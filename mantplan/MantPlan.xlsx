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EXPORTAR" sheetId="22" state="visible" r:id="rId22"/>
    <sheet name="_COMPATIBILIDAD" sheetId="23" state="visible" r:id="rId23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patronHabil">CALENDARIO!$B$5:$B$11</definedName>
    <definedName name="cal_fechas">CALENDARIO!$I$5:$I$764</definedName>
    <definedName name="cal_habil">CALENDARIO!$J$5:$J$764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J339" headerRowCount="1">
  <autoFilter ref="A3:J339"/>
  <tableColumns count="10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fecha"/>
    <tableColumn id="9" name="horas_disponibles"/>
    <tableColumn id="10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2.3.0 · generado 2026-07-21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2-MEDIA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3-BAJA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2-MEDIA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OT-000138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3-BAJA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OT-000139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1-ALTA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OT-000140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2-MEDIA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OT-000141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3-BAJA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OT-000142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1-ALTA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OT-000143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2-MEDIA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OT-000144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3-BAJA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OT-000145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1-ALTA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OT-000146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2-MEDIA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OT-000147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3-BAJA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OT-000148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1-ALTA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OT-000149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2-MEDIA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OT-000150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3-BAJA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OT-000151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1-ALTA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OT-000152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2-MEDIA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OT-000153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3-BAJA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OT-000154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1-ALTA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OT-000155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2-MEDIA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OT-000156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3-BAJA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OT-000157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1-ALTA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OT-000158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2-MEDIA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OT-000159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3-BAJA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OT-000160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1-ALTA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OT-000161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2-MEDIA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OT-000162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3-BAJA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OT-000163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1-ALTA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OT-000164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2-MEDIA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OT-000165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OT-000166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1-ALTA</t>
        </is>
      </c>
      <c r="E139" s="3" t="inlineStr">
        <is>
          <t>PARADO</t>
        </is>
      </c>
      <c r="F139" s="10" t="n">
        <v>40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OT-000167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2-MEDIA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OT-000168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3-BAJA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OT-000169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1-ALTA</t>
        </is>
      </c>
      <c r="E142" s="3" t="inlineStr">
        <is>
          <t>OPERATIVO</t>
        </is>
      </c>
      <c r="F142" s="10" t="n">
        <v>260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OT-000170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2-MEDIA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OT-000171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3-BAJA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OT-000172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1-ALTA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OT-000173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2-MEDIA</t>
        </is>
      </c>
      <c r="E146" s="3" t="inlineStr">
        <is>
          <t>OPERATIVO</t>
        </is>
      </c>
      <c r="F146" s="10" t="n">
        <v>96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OT-000174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3-BAJA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OT-000175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1-ALTA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OT-000176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2-MEDIA</t>
        </is>
      </c>
      <c r="E149" s="3" t="inlineStr">
        <is>
          <t>PARADO</t>
        </is>
      </c>
      <c r="F149" s="10" t="n">
        <v>250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OT-000177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3-BAJA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OT-000178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1-ALTA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OT-000179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2-MEDIA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OT-000180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3-BAJA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3-BAJA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1-ALTA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2-MEDIA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3-BAJA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1-ALTA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2-MEDIA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3-BAJA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1-ALTA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OT-000200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2-MEDIA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OT-000990</t>
        </is>
      </c>
      <c r="B163" s="3" t="inlineStr">
        <is>
          <t>0010</t>
        </is>
      </c>
      <c r="C163" s="3" t="inlineStr">
        <is>
          <t>LIB</t>
        </is>
      </c>
      <c r="D163" s="3" t="inlineStr">
        <is>
          <t>2-MEDIA</t>
        </is>
      </c>
      <c r="E163" s="3" t="inlineStr">
        <is>
          <t>OPERATIVO</t>
        </is>
      </c>
      <c r="F163" s="10" t="n">
        <v>50</v>
      </c>
      <c r="G163" s="10" t="n">
        <v>0</v>
      </c>
      <c r="H163" s="10" t="n">
        <v>150</v>
      </c>
      <c r="I163" s="3" t="inlineStr">
        <is>
          <t>LIBERADA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OT-000991</t>
        </is>
      </c>
      <c r="B164" s="3" t="inlineStr">
        <is>
          <t>0010</t>
        </is>
      </c>
      <c r="C164" s="3" t="inlineStr">
        <is>
          <t>LIB</t>
        </is>
      </c>
      <c r="D164" s="3" t="inlineStr">
        <is>
          <t>2-MEDIA</t>
        </is>
      </c>
      <c r="E164" s="3" t="inlineStr">
        <is>
          <t>OPERATIVO</t>
        </is>
      </c>
      <c r="F164" s="10" t="n">
        <v>50</v>
      </c>
      <c r="G164" s="10" t="n">
        <v>0</v>
      </c>
      <c r="H164" s="10" t="n">
        <v>150</v>
      </c>
      <c r="I164" s="3" t="inlineStr">
        <is>
          <t>LIBERADA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OT-000992</t>
        </is>
      </c>
      <c r="B165" s="3" t="inlineStr">
        <is>
          <t>0010</t>
        </is>
      </c>
      <c r="C165" s="3" t="inlineStr">
        <is>
          <t>LIB</t>
        </is>
      </c>
      <c r="D165" s="3" t="inlineStr">
        <is>
          <t>2-MEDIA</t>
        </is>
      </c>
      <c r="E165" s="3" t="inlineStr">
        <is>
          <t>OPERATIVO</t>
        </is>
      </c>
      <c r="F165" s="10" t="n">
        <v>50</v>
      </c>
      <c r="G165" s="10" t="n">
        <v>0</v>
      </c>
      <c r="H165" s="10" t="n">
        <v>150</v>
      </c>
      <c r="I165" s="3" t="inlineStr">
        <is>
          <t>LIBERADA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n"/>
      <c r="B166" s="3" t="n"/>
      <c r="C166" s="3" t="n"/>
      <c r="D166" s="3" t="n"/>
      <c r="E166" s="3" t="n"/>
      <c r="F166" s="10" t="n"/>
      <c r="G166" s="10" t="n"/>
      <c r="H166" s="10" t="n"/>
      <c r="I166" s="3" t="n"/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n"/>
      <c r="B167" s="3" t="n"/>
      <c r="C167" s="3" t="n"/>
      <c r="D167" s="3" t="n"/>
      <c r="E167" s="3" t="n"/>
      <c r="F167" s="10" t="n"/>
      <c r="G167" s="10" t="n"/>
      <c r="H167" s="10" t="n"/>
      <c r="I167" s="3" t="n"/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n"/>
      <c r="B168" s="3" t="n"/>
      <c r="C168" s="3" t="n"/>
      <c r="D168" s="3" t="n"/>
      <c r="E168" s="3" t="n"/>
      <c r="F168" s="10" t="n"/>
      <c r="G168" s="10" t="n"/>
      <c r="H168" s="10" t="n"/>
      <c r="I168" s="3" t="n"/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n"/>
      <c r="B169" s="3" t="n"/>
      <c r="C169" s="3" t="n"/>
      <c r="D169" s="3" t="n"/>
      <c r="E169" s="3" t="n"/>
      <c r="F169" s="10" t="n"/>
      <c r="G169" s="10" t="n"/>
      <c r="H169" s="10" t="n"/>
      <c r="I169" s="3" t="n"/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2">
        <f>IF(tblOrdenes[[#This Row],[fecha_inicio]]="","",TODAY()-tblOrdenes[[#This Row],[fecha_inicio]])</f>
        <v/>
      </c>
      <c r="AB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0">
        <f>IF(tblOrdenes[[#This Row],[orden]]="","",_xlfn.XLOOKUP(tblOrdenes[[#This Row],[id_operacion]],tblEjecucion[id_operacion],tblEjecucion[precio],0))</f>
        <v/>
      </c>
      <c r="AJ4" s="10">
        <f>IF(tblOrdenes[[#This Row],[orden]]="","",MAX(0,_xlfn.XLOOKUP(tblOrdenes[[#This Row],[id_operacion]],tblEjecucion[id_operacion],tblEjecucion[costo_plan_total],0)-tblOrdenes[[#This Row],[costo_servicio]]))</f>
        <v/>
      </c>
      <c r="AK4" s="10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2">
        <f>IF(tblOrdenes[[#This Row],[fecha_inicio]]="","",TODAY()-tblOrdenes[[#This Row],[fecha_inicio]])</f>
        <v/>
      </c>
      <c r="AB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0">
        <f>IF(tblOrdenes[[#This Row],[orden]]="","",_xlfn.XLOOKUP(tblOrdenes[[#This Row],[id_operacion]],tblEjecucion[id_operacion],tblEjecucion[precio],0))</f>
        <v/>
      </c>
      <c r="AJ5" s="10">
        <f>IF(tblOrdenes[[#This Row],[orden]]="","",MAX(0,_xlfn.XLOOKUP(tblOrdenes[[#This Row],[id_operacion]],tblEjecucion[id_operacion],tblEjecucion[costo_plan_total],0)-tblOrdenes[[#This Row],[costo_servicio]]))</f>
        <v/>
      </c>
      <c r="AK5" s="10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2">
        <f>IF(tblOrdenes[[#This Row],[fecha_inicio]]="","",TODAY()-tblOrdenes[[#This Row],[fecha_inicio]])</f>
        <v/>
      </c>
      <c r="AB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0">
        <f>IF(tblOrdenes[[#This Row],[orden]]="","",_xlfn.XLOOKUP(tblOrdenes[[#This Row],[id_operacion]],tblEjecucion[id_operacion],tblEjecucion[precio],0))</f>
        <v/>
      </c>
      <c r="AJ6" s="10">
        <f>IF(tblOrdenes[[#This Row],[orden]]="","",MAX(0,_xlfn.XLOOKUP(tblOrdenes[[#This Row],[id_operacion]],tblEjecucion[id_operacion],tblEjecucion[costo_plan_total],0)-tblOrdenes[[#This Row],[costo_servicio]]))</f>
        <v/>
      </c>
      <c r="AK6" s="10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2">
        <f>IF(tblOrdenes[[#This Row],[fecha_inicio]]="","",TODAY()-tblOrdenes[[#This Row],[fecha_inicio]])</f>
        <v/>
      </c>
      <c r="AB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0">
        <f>IF(tblOrdenes[[#This Row],[orden]]="","",_xlfn.XLOOKUP(tblOrdenes[[#This Row],[id_operacion]],tblEjecucion[id_operacion],tblEjecucion[precio],0))</f>
        <v/>
      </c>
      <c r="AJ7" s="10">
        <f>IF(tblOrdenes[[#This Row],[orden]]="","",MAX(0,_xlfn.XLOOKUP(tblOrdenes[[#This Row],[id_operacion]],tblEjecucion[id_operacion],tblEjecucion[costo_plan_total],0)-tblOrdenes[[#This Row],[costo_servicio]]))</f>
        <v/>
      </c>
      <c r="AK7" s="10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2">
        <f>IF(tblOrdenes[[#This Row],[fecha_inicio]]="","",TODAY()-tblOrdenes[[#This Row],[fecha_inicio]])</f>
        <v/>
      </c>
      <c r="AB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01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0">
        <f>IF(tblOrdenes[[#This Row],[orden]]="","",_xlfn.XLOOKUP(tblOrdenes[[#This Row],[id_operacion]],tblEjecucion[id_operacion],tblEjecucion[precio],0))</f>
        <v/>
      </c>
      <c r="AJ8" s="10">
        <f>IF(tblOrdenes[[#This Row],[orden]]="","",MAX(0,_xlfn.XLOOKUP(tblOrdenes[[#This Row],[id_operacion]],tblEjecucion[id_operacion],tblEjecucion[costo_plan_total],0)-tblOrdenes[[#This Row],[costo_servicio]]))</f>
        <v/>
      </c>
      <c r="AK8" s="10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2">
        <f>IF(tblOrdenes[[#This Row],[fecha_inicio]]="","",TODAY()-tblOrdenes[[#This Row],[fecha_inicio]])</f>
        <v/>
      </c>
      <c r="AB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02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0">
        <f>IF(tblOrdenes[[#This Row],[orden]]="","",_xlfn.XLOOKUP(tblOrdenes[[#This Row],[id_operacion]],tblEjecucion[id_operacion],tblEjecucion[precio],0))</f>
        <v/>
      </c>
      <c r="AJ9" s="10">
        <f>IF(tblOrdenes[[#This Row],[orden]]="","",MAX(0,_xlfn.XLOOKUP(tblOrdenes[[#This Row],[id_operacion]],tblEjecucion[id_operacion],tblEjecucion[costo_plan_total],0)-tblOrdenes[[#This Row],[costo_servicio]]))</f>
        <v/>
      </c>
      <c r="AK9" s="10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2">
        <f>IF(tblOrdenes[[#This Row],[fecha_inicio]]="","",TODAY()-tblOrdenes[[#This Row],[fecha_inicio]])</f>
        <v/>
      </c>
      <c r="AB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03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0">
        <f>IF(tblOrdenes[[#This Row],[orden]]="","",_xlfn.XLOOKUP(tblOrdenes[[#This Row],[id_operacion]],tblEjecucion[id_operacion],tblEjecucion[precio],0))</f>
        <v/>
      </c>
      <c r="AJ10" s="10">
        <f>IF(tblOrdenes[[#This Row],[orden]]="","",MAX(0,_xlfn.XLOOKUP(tblOrdenes[[#This Row],[id_operacion]],tblEjecucion[id_operacion],tblEjecucion[costo_plan_total],0)-tblOrdenes[[#This Row],[costo_servicio]]))</f>
        <v/>
      </c>
      <c r="AK10" s="10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2">
        <f>IF(tblOrdenes[[#This Row],[fecha_inicio]]="","",TODAY()-tblOrdenes[[#This Row],[fecha_inicio]])</f>
        <v/>
      </c>
      <c r="AB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04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0">
        <f>IF(tblOrdenes[[#This Row],[orden]]="","",_xlfn.XLOOKUP(tblOrdenes[[#This Row],[id_operacion]],tblEjecucion[id_operacion],tblEjecucion[precio],0))</f>
        <v/>
      </c>
      <c r="AJ11" s="10">
        <f>IF(tblOrdenes[[#This Row],[orden]]="","",MAX(0,_xlfn.XLOOKUP(tblOrdenes[[#This Row],[id_operacion]],tblEjecucion[id_operacion],tblEjecucion[costo_plan_total],0)-tblOrdenes[[#This Row],[costo_servicio]]))</f>
        <v/>
      </c>
      <c r="AK11" s="10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2">
        <f>IF(tblOrdenes[[#This Row],[fecha_inicio]]="","",TODAY()-tblOrdenes[[#This Row],[fecha_inicio]])</f>
        <v/>
      </c>
      <c r="AB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01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0">
        <f>IF(tblOrdenes[[#This Row],[orden]]="","",_xlfn.XLOOKUP(tblOrdenes[[#This Row],[id_operacion]],tblEjecucion[id_operacion],tblEjecucion[precio],0))</f>
        <v/>
      </c>
      <c r="AJ12" s="10">
        <f>IF(tblOrdenes[[#This Row],[orden]]="","",MAX(0,_xlfn.XLOOKUP(tblOrdenes[[#This Row],[id_operacion]],tblEjecucion[id_operacion],tblEjecucion[costo_plan_total],0)-tblOrdenes[[#This Row],[costo_servicio]]))</f>
        <v/>
      </c>
      <c r="AK12" s="10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2">
        <f>IF(tblOrdenes[[#This Row],[fecha_inicio]]="","",TODAY()-tblOrdenes[[#This Row],[fecha_inicio]])</f>
        <v/>
      </c>
      <c r="AB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02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0">
        <f>IF(tblOrdenes[[#This Row],[orden]]="","",_xlfn.XLOOKUP(tblOrdenes[[#This Row],[id_operacion]],tblEjecucion[id_operacion],tblEjecucion[precio],0))</f>
        <v/>
      </c>
      <c r="AJ13" s="10">
        <f>IF(tblOrdenes[[#This Row],[orden]]="","",MAX(0,_xlfn.XLOOKUP(tblOrdenes[[#This Row],[id_operacion]],tblEjecucion[id_operacion],tblEjecucion[costo_plan_total],0)-tblOrdenes[[#This Row],[costo_servicio]]))</f>
        <v/>
      </c>
      <c r="AK13" s="10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2">
        <f>IF(tblOrdenes[[#This Row],[fecha_inicio]]="","",TODAY()-tblOrdenes[[#This Row],[fecha_inicio]])</f>
        <v/>
      </c>
      <c r="AB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03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0">
        <f>IF(tblOrdenes[[#This Row],[orden]]="","",_xlfn.XLOOKUP(tblOrdenes[[#This Row],[id_operacion]],tblEjecucion[id_operacion],tblEjecucion[precio],0))</f>
        <v/>
      </c>
      <c r="AJ14" s="10">
        <f>IF(tblOrdenes[[#This Row],[orden]]="","",MAX(0,_xlfn.XLOOKUP(tblOrdenes[[#This Row],[id_operacion]],tblEjecucion[id_operacion],tblEjecucion[costo_plan_total],0)-tblOrdenes[[#This Row],[costo_servicio]]))</f>
        <v/>
      </c>
      <c r="AK14" s="10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2">
        <f>IF(tblOrdenes[[#This Row],[fecha_inicio]]="","",TODAY()-tblOrdenes[[#This Row],[fecha_inicio]])</f>
        <v/>
      </c>
      <c r="AB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0">
        <f>IF(tblOrdenes[[#This Row],[orden]]="","",_xlfn.XLOOKUP(tblOrdenes[[#This Row],[id_operacion]],tblEjecucion[id_operacion],tblEjecucion[precio],0))</f>
        <v/>
      </c>
      <c r="AJ15" s="10">
        <f>IF(tblOrdenes[[#This Row],[orden]]="","",MAX(0,_xlfn.XLOOKUP(tblOrdenes[[#This Row],[id_operacion]],tblEjecucion[id_operacion],tblEjecucion[costo_plan_total],0)-tblOrdenes[[#This Row],[costo_servicio]]))</f>
        <v/>
      </c>
      <c r="AK15" s="10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2">
        <f>IF(tblOrdenes[[#This Row],[fecha_inicio]]="","",TODAY()-tblOrdenes[[#This Row],[fecha_inicio]])</f>
        <v/>
      </c>
      <c r="AB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0">
        <f>IF(tblOrdenes[[#This Row],[orden]]="","",_xlfn.XLOOKUP(tblOrdenes[[#This Row],[id_operacion]],tblEjecucion[id_operacion],tblEjecucion[precio],0))</f>
        <v/>
      </c>
      <c r="AJ16" s="10">
        <f>IF(tblOrdenes[[#This Row],[orden]]="","",MAX(0,_xlfn.XLOOKUP(tblOrdenes[[#This Row],[id_operacion]],tblEjecucion[id_operacion],tblEjecucion[costo_plan_total],0)-tblOrdenes[[#This Row],[costo_servicio]]))</f>
        <v/>
      </c>
      <c r="AK16" s="10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/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2">
        <f>IF(tblOrdenes[[#This Row],[fecha_inicio]]="","",TODAY()-tblOrdenes[[#This Row],[fecha_inicio]])</f>
        <v/>
      </c>
      <c r="AB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02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0">
        <f>IF(tblOrdenes[[#This Row],[orden]]="","",_xlfn.XLOOKUP(tblOrdenes[[#This Row],[id_operacion]],tblEjecucion[id_operacion],tblEjecucion[precio],0))</f>
        <v/>
      </c>
      <c r="AJ17" s="10">
        <f>IF(tblOrdenes[[#This Row],[orden]]="","",MAX(0,_xlfn.XLOOKUP(tblOrdenes[[#This Row],[id_operacion]],tblEjecucion[id_operacion],tblEjecucion[costo_plan_total],0)-tblOrdenes[[#This Row],[costo_servicio]]))</f>
        <v/>
      </c>
      <c r="AK17" s="10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2">
        <f>IF(tblOrdenes[[#This Row],[fecha_inicio]]="","",TODAY()-tblOrdenes[[#This Row],[fecha_inicio]])</f>
        <v/>
      </c>
      <c r="AB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03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0">
        <f>IF(tblOrdenes[[#This Row],[orden]]="","",_xlfn.XLOOKUP(tblOrdenes[[#This Row],[id_operacion]],tblEjecucion[id_operacion],tblEjecucion[precio],0))</f>
        <v/>
      </c>
      <c r="AJ18" s="10">
        <f>IF(tblOrdenes[[#This Row],[orden]]="","",MAX(0,_xlfn.XLOOKUP(tblOrdenes[[#This Row],[id_operacion]],tblEjecucion[id_operacion],tblEjecucion[costo_plan_total],0)-tblOrdenes[[#This Row],[costo_servicio]]))</f>
        <v/>
      </c>
      <c r="AK18" s="10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2">
        <f>IF(tblOrdenes[[#This Row],[fecha_inicio]]="","",TODAY()-tblOrdenes[[#This Row],[fecha_inicio]])</f>
        <v/>
      </c>
      <c r="AB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04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0">
        <f>IF(tblOrdenes[[#This Row],[orden]]="","",_xlfn.XLOOKUP(tblOrdenes[[#This Row],[id_operacion]],tblEjecucion[id_operacion],tblEjecucion[precio],0))</f>
        <v/>
      </c>
      <c r="AJ19" s="10">
        <f>IF(tblOrdenes[[#This Row],[orden]]="","",MAX(0,_xlfn.XLOOKUP(tblOrdenes[[#This Row],[id_operacion]],tblEjecucion[id_operacion],tblEjecucion[costo_plan_total],0)-tblOrdenes[[#This Row],[costo_servicio]]))</f>
        <v/>
      </c>
      <c r="AK19" s="10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2">
        <f>IF(tblOrdenes[[#This Row],[fecha_inicio]]="","",TODAY()-tblOrdenes[[#This Row],[fecha_inicio]])</f>
        <v/>
      </c>
      <c r="AB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01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0">
        <f>IF(tblOrdenes[[#This Row],[orden]]="","",_xlfn.XLOOKUP(tblOrdenes[[#This Row],[id_operacion]],tblEjecucion[id_operacion],tblEjecucion[precio],0))</f>
        <v/>
      </c>
      <c r="AJ20" s="10">
        <f>IF(tblOrdenes[[#This Row],[orden]]="","",MAX(0,_xlfn.XLOOKUP(tblOrdenes[[#This Row],[id_operacion]],tblEjecucion[id_operacion],tblEjecucion[costo_plan_total],0)-tblOrdenes[[#This Row],[costo_servicio]]))</f>
        <v/>
      </c>
      <c r="AK20" s="10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>
        <is>
          <t>Ajuste 8 → 12 h en hoja AJUSTES</t>
        </is>
      </c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2">
        <f>IF(tblOrdenes[[#This Row],[fecha_inicio]]="","",TODAY()-tblOrdenes[[#This Row],[fecha_inicio]])</f>
        <v/>
      </c>
      <c r="AB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02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0">
        <f>IF(tblOrdenes[[#This Row],[orden]]="","",_xlfn.XLOOKUP(tblOrdenes[[#This Row],[id_operacion]],tblEjecucion[id_operacion],tblEjecucion[precio],0))</f>
        <v/>
      </c>
      <c r="AJ21" s="10">
        <f>IF(tblOrdenes[[#This Row],[orden]]="","",MAX(0,_xlfn.XLOOKUP(tblOrdenes[[#This Row],[id_operacion]],tblEjecucion[id_operacion],tblEjecucion[costo_plan_total],0)-tblOrdenes[[#This Row],[costo_servicio]]))</f>
        <v/>
      </c>
      <c r="AK21" s="10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2">
        <f>IF(tblOrdenes[[#This Row],[fecha_inicio]]="","",TODAY()-tblOrdenes[[#This Row],[fecha_inicio]])</f>
        <v/>
      </c>
      <c r="AB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>
        <is>
          <t>Técnico 03</t>
        </is>
      </c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0">
        <f>IF(tblOrdenes[[#This Row],[orden]]="","",_xlfn.XLOOKUP(tblOrdenes[[#This Row],[id_operacion]],tblEjecucion[id_operacion],tblEjecucion[precio],0))</f>
        <v/>
      </c>
      <c r="AJ22" s="10">
        <f>IF(tblOrdenes[[#This Row],[orden]]="","",MAX(0,_xlfn.XLOOKUP(tblOrdenes[[#This Row],[id_operacion]],tblEjecucion[id_operacion],tblEjecucion[costo_plan_total],0)-tblOrdenes[[#This Row],[costo_servicio]]))</f>
        <v/>
      </c>
      <c r="AK22" s="10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2">
        <f>IF(tblOrdenes[[#This Row],[fecha_inicio]]="","",TODAY()-tblOrdenes[[#This Row],[fecha_inicio]])</f>
        <v/>
      </c>
      <c r="AB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04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0">
        <f>IF(tblOrdenes[[#This Row],[orden]]="","",_xlfn.XLOOKUP(tblOrdenes[[#This Row],[id_operacion]],tblEjecucion[id_operacion],tblEjecucion[precio],0))</f>
        <v/>
      </c>
      <c r="AJ23" s="10">
        <f>IF(tblOrdenes[[#This Row],[orden]]="","",MAX(0,_xlfn.XLOOKUP(tblOrdenes[[#This Row],[id_operacion]],tblEjecucion[id_operacion],tblEjecucion[costo_plan_total],0)-tblOrdenes[[#This Row],[costo_servicio]]))</f>
        <v/>
      </c>
      <c r="AK23" s="10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2">
        <f>IF(tblOrdenes[[#This Row],[fecha_inicio]]="","",TODAY()-tblOrdenes[[#This Row],[fecha_inicio]])</f>
        <v/>
      </c>
      <c r="AB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01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0">
        <f>IF(tblOrdenes[[#This Row],[orden]]="","",_xlfn.XLOOKUP(tblOrdenes[[#This Row],[id_operacion]],tblEjecucion[id_operacion],tblEjecucion[precio],0))</f>
        <v/>
      </c>
      <c r="AJ24" s="10">
        <f>IF(tblOrdenes[[#This Row],[orden]]="","",MAX(0,_xlfn.XLOOKUP(tblOrdenes[[#This Row],[id_operacion]],tblEjecucion[id_operacion],tblEjecucion[costo_plan_total],0)-tblOrdenes[[#This Row],[costo_servicio]]))</f>
        <v/>
      </c>
      <c r="AK24" s="10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2">
        <f>IF(tblOrdenes[[#This Row],[fecha_inicio]]="","",TODAY()-tblOrdenes[[#This Row],[fecha_inicio]])</f>
        <v/>
      </c>
      <c r="AB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02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0">
        <f>IF(tblOrdenes[[#This Row],[orden]]="","",_xlfn.XLOOKUP(tblOrdenes[[#This Row],[id_operacion]],tblEjecucion[id_operacion],tblEjecucion[precio],0))</f>
        <v/>
      </c>
      <c r="AJ25" s="10">
        <f>IF(tblOrdenes[[#This Row],[orden]]="","",MAX(0,_xlfn.XLOOKUP(tblOrdenes[[#This Row],[id_operacion]],tblEjecucion[id_operacion],tblEjecucion[costo_plan_total],0)-tblOrdenes[[#This Row],[costo_servicio]]))</f>
        <v/>
      </c>
      <c r="AK25" s="10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2">
        <f>IF(tblOrdenes[[#This Row],[fecha_inicio]]="","",TODAY()-tblOrdenes[[#This Row],[fecha_inicio]])</f>
        <v/>
      </c>
      <c r="AB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03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0">
        <f>IF(tblOrdenes[[#This Row],[orden]]="","",_xlfn.XLOOKUP(tblOrdenes[[#This Row],[id_operacion]],tblEjecucion[id_operacion],tblEjecucion[precio],0))</f>
        <v/>
      </c>
      <c r="AJ26" s="10">
        <f>IF(tblOrdenes[[#This Row],[orden]]="","",MAX(0,_xlfn.XLOOKUP(tblOrdenes[[#This Row],[id_operacion]],tblEjecucion[id_operacion],tblEjecucion[costo_plan_total],0)-tblOrdenes[[#This Row],[costo_servicio]]))</f>
        <v/>
      </c>
      <c r="AK26" s="10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2">
        <f>IF(tblOrdenes[[#This Row],[fecha_inicio]]="","",TODAY()-tblOrdenes[[#This Row],[fecha_inicio]])</f>
        <v/>
      </c>
      <c r="AB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0">
        <f>IF(tblOrdenes[[#This Row],[orden]]="","",_xlfn.XLOOKUP(tblOrdenes[[#This Row],[id_operacion]],tblEjecucion[id_operacion],tblEjecucion[precio],0))</f>
        <v/>
      </c>
      <c r="AJ27" s="10">
        <f>IF(tblOrdenes[[#This Row],[orden]]="","",MAX(0,_xlfn.XLOOKUP(tblOrdenes[[#This Row],[id_operacion]],tblEjecucion[id_operacion],tblEjecucion[costo_plan_total],0)-tblOrdenes[[#This Row],[costo_servicio]]))</f>
        <v/>
      </c>
      <c r="AK27" s="10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2">
        <f>IF(tblOrdenes[[#This Row],[fecha_inicio]]="","",TODAY()-tblOrdenes[[#This Row],[fecha_inicio]])</f>
        <v/>
      </c>
      <c r="AB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01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0">
        <f>IF(tblOrdenes[[#This Row],[orden]]="","",_xlfn.XLOOKUP(tblOrdenes[[#This Row],[id_operacion]],tblEjecucion[id_operacion],tblEjecucion[precio],0))</f>
        <v/>
      </c>
      <c r="AJ28" s="10">
        <f>IF(tblOrdenes[[#This Row],[orden]]="","",MAX(0,_xlfn.XLOOKUP(tblOrdenes[[#This Row],[id_operacion]],tblEjecucion[id_operacion],tblEjecucion[costo_plan_total],0)-tblOrdenes[[#This Row],[costo_servicio]]))</f>
        <v/>
      </c>
      <c r="AK28" s="10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2">
        <f>IF(tblOrdenes[[#This Row],[fecha_inicio]]="","",TODAY()-tblOrdenes[[#This Row],[fecha_inicio]])</f>
        <v/>
      </c>
      <c r="AB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04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0">
        <f>IF(tblOrdenes[[#This Row],[orden]]="","",_xlfn.XLOOKUP(tblOrdenes[[#This Row],[id_operacion]],tblEjecucion[id_operacion],tblEjecucion[precio],0))</f>
        <v/>
      </c>
      <c r="AJ29" s="10">
        <f>IF(tblOrdenes[[#This Row],[orden]]="","",MAX(0,_xlfn.XLOOKUP(tblOrdenes[[#This Row],[id_operacion]],tblEjecucion[id_operacion],tblEjecucion[costo_plan_total],0)-tblOrdenes[[#This Row],[costo_servicio]]))</f>
        <v/>
      </c>
      <c r="AK29" s="10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>
        <is>
          <t>Demo: asignada a técnico de vacaciones (HHD = −HHA)</t>
        </is>
      </c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2">
        <f>IF(tblOrdenes[[#This Row],[fecha_inicio]]="","",TODAY()-tblOrdenes[[#This Row],[fecha_inicio]])</f>
        <v/>
      </c>
      <c r="AB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0">
        <f>IF(tblOrdenes[[#This Row],[orden]]="","",_xlfn.XLOOKUP(tblOrdenes[[#This Row],[id_operacion]],tblEjecucion[id_operacion],tblEjecucion[precio],0))</f>
        <v/>
      </c>
      <c r="AJ30" s="10">
        <f>IF(tblOrdenes[[#This Row],[orden]]="","",MAX(0,_xlfn.XLOOKUP(tblOrdenes[[#This Row],[id_operacion]],tblEjecucion[id_operacion],tblEjecucion[costo_plan_total],0)-tblOrdenes[[#This Row],[costo_servicio]]))</f>
        <v/>
      </c>
      <c r="AK30" s="10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2">
        <f>IF(tblOrdenes[[#This Row],[fecha_inicio]]="","",TODAY()-tblOrdenes[[#This Row],[fecha_inicio]])</f>
        <v/>
      </c>
      <c r="AB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>
        <is>
          <t>Técnico 01</t>
        </is>
      </c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0">
        <f>IF(tblOrdenes[[#This Row],[orden]]="","",_xlfn.XLOOKUP(tblOrdenes[[#This Row],[id_operacion]],tblEjecucion[id_operacion],tblEjecucion[precio],0))</f>
        <v/>
      </c>
      <c r="AJ31" s="10">
        <f>IF(tblOrdenes[[#This Row],[orden]]="","",MAX(0,_xlfn.XLOOKUP(tblOrdenes[[#This Row],[id_operacion]],tblEjecucion[id_operacion],tblEjecucion[costo_plan_total],0)-tblOrdenes[[#This Row],[costo_servicio]]))</f>
        <v/>
      </c>
      <c r="AK31" s="10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2">
        <f>IF(tblOrdenes[[#This Row],[fecha_inicio]]="","",TODAY()-tblOrdenes[[#This Row],[fecha_inicio]])</f>
        <v/>
      </c>
      <c r="AB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02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0">
        <f>IF(tblOrdenes[[#This Row],[orden]]="","",_xlfn.XLOOKUP(tblOrdenes[[#This Row],[id_operacion]],tblEjecucion[id_operacion],tblEjecucion[precio],0))</f>
        <v/>
      </c>
      <c r="AJ32" s="10">
        <f>IF(tblOrdenes[[#This Row],[orden]]="","",MAX(0,_xlfn.XLOOKUP(tblOrdenes[[#This Row],[id_operacion]],tblEjecucion[id_operacion],tblEjecucion[costo_plan_total],0)-tblOrdenes[[#This Row],[costo_servicio]]))</f>
        <v/>
      </c>
      <c r="AK32" s="10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2">
        <f>IF(tblOrdenes[[#This Row],[fecha_inicio]]="","",TODAY()-tblOrdenes[[#This Row],[fecha_inicio]])</f>
        <v/>
      </c>
      <c r="AB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03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0">
        <f>IF(tblOrdenes[[#This Row],[orden]]="","",_xlfn.XLOOKUP(tblOrdenes[[#This Row],[id_operacion]],tblEjecucion[id_operacion],tblEjecucion[precio],0))</f>
        <v/>
      </c>
      <c r="AJ33" s="10">
        <f>IF(tblOrdenes[[#This Row],[orden]]="","",MAX(0,_xlfn.XLOOKUP(tblOrdenes[[#This Row],[id_operacion]],tblEjecucion[id_operacion],tblEjecucion[costo_plan_total],0)-tblOrdenes[[#This Row],[costo_servicio]]))</f>
        <v/>
      </c>
      <c r="AK33" s="10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2">
        <f>IF(tblOrdenes[[#This Row],[fecha_inicio]]="","",TODAY()-tblOrdenes[[#This Row],[fecha_inicio]])</f>
        <v/>
      </c>
      <c r="AB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0">
        <f>IF(tblOrdenes[[#This Row],[orden]]="","",_xlfn.XLOOKUP(tblOrdenes[[#This Row],[id_operacion]],tblEjecucion[id_operacion],tblEjecucion[precio],0))</f>
        <v/>
      </c>
      <c r="AJ34" s="10">
        <f>IF(tblOrdenes[[#This Row],[orden]]="","",MAX(0,_xlfn.XLOOKUP(tblOrdenes[[#This Row],[id_operacion]],tblEjecucion[id_operacion],tblEjecucion[costo_plan_total],0)-tblOrdenes[[#This Row],[costo_servicio]]))</f>
        <v/>
      </c>
      <c r="AK34" s="10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2">
        <f>IF(tblOrdenes[[#This Row],[fecha_inicio]]="","",TODAY()-tblOrdenes[[#This Row],[fecha_inicio]])</f>
        <v/>
      </c>
      <c r="AB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0">
        <f>IF(tblOrdenes[[#This Row],[orden]]="","",_xlfn.XLOOKUP(tblOrdenes[[#This Row],[id_operacion]],tblEjecucion[id_operacion],tblEjecucion[precio],0))</f>
        <v/>
      </c>
      <c r="AJ35" s="10">
        <f>IF(tblOrdenes[[#This Row],[orden]]="","",MAX(0,_xlfn.XLOOKUP(tblOrdenes[[#This Row],[id_operacion]],tblEjecucion[id_operacion],tblEjecucion[costo_plan_total],0)-tblOrdenes[[#This Row],[costo_servicio]]))</f>
        <v/>
      </c>
      <c r="AK35" s="10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2">
        <f>IF(tblOrdenes[[#This Row],[fecha_inicio]]="","",TODAY()-tblOrdenes[[#This Row],[fecha_inicio]])</f>
        <v/>
      </c>
      <c r="AB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0">
        <f>IF(tblOrdenes[[#This Row],[orden]]="","",_xlfn.XLOOKUP(tblOrdenes[[#This Row],[id_operacion]],tblEjecucion[id_operacion],tblEjecucion[precio],0))</f>
        <v/>
      </c>
      <c r="AJ36" s="10">
        <f>IF(tblOrdenes[[#This Row],[orden]]="","",MAX(0,_xlfn.XLOOKUP(tblOrdenes[[#This Row],[id_operacion]],tblEjecucion[id_operacion],tblEjecucion[costo_plan_total],0)-tblOrdenes[[#This Row],[costo_servicio]]))</f>
        <v/>
      </c>
      <c r="AK36" s="10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2">
        <f>IF(tblOrdenes[[#This Row],[fecha_inicio]]="","",TODAY()-tblOrdenes[[#This Row],[fecha_inicio]])</f>
        <v/>
      </c>
      <c r="AB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>
        <is>
          <t>Técnico 01</t>
        </is>
      </c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0">
        <f>IF(tblOrdenes[[#This Row],[orden]]="","",_xlfn.XLOOKUP(tblOrdenes[[#This Row],[id_operacion]],tblEjecucion[id_operacion],tblEjecucion[precio],0))</f>
        <v/>
      </c>
      <c r="AJ37" s="10">
        <f>IF(tblOrdenes[[#This Row],[orden]]="","",MAX(0,_xlfn.XLOOKUP(tblOrdenes[[#This Row],[id_operacion]],tblEjecucion[id_operacion],tblEjecucion[costo_plan_total],0)-tblOrdenes[[#This Row],[costo_servicio]]))</f>
        <v/>
      </c>
      <c r="AK37" s="10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2">
        <f>IF(tblOrdenes[[#This Row],[fecha_inicio]]="","",TODAY()-tblOrdenes[[#This Row],[fecha_inicio]])</f>
        <v/>
      </c>
      <c r="AB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02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0">
        <f>IF(tblOrdenes[[#This Row],[orden]]="","",_xlfn.XLOOKUP(tblOrdenes[[#This Row],[id_operacion]],tblEjecucion[id_operacion],tblEjecucion[precio],0))</f>
        <v/>
      </c>
      <c r="AJ38" s="10">
        <f>IF(tblOrdenes[[#This Row],[orden]]="","",MAX(0,_xlfn.XLOOKUP(tblOrdenes[[#This Row],[id_operacion]],tblEjecucion[id_operacion],tblEjecucion[costo_plan_total],0)-tblOrdenes[[#This Row],[costo_servicio]]))</f>
        <v/>
      </c>
      <c r="AK38" s="10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2">
        <f>IF(tblOrdenes[[#This Row],[fecha_inicio]]="","",TODAY()-tblOrdenes[[#This Row],[fecha_inicio]])</f>
        <v/>
      </c>
      <c r="AB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0">
        <f>IF(tblOrdenes[[#This Row],[orden]]="","",_xlfn.XLOOKUP(tblOrdenes[[#This Row],[id_operacion]],tblEjecucion[id_operacion],tblEjecucion[precio],0))</f>
        <v/>
      </c>
      <c r="AJ39" s="10">
        <f>IF(tblOrdenes[[#This Row],[orden]]="","",MAX(0,_xlfn.XLOOKUP(tblOrdenes[[#This Row],[id_operacion]],tblEjecucion[id_operacion],tblEjecucion[costo_plan_total],0)-tblOrdenes[[#This Row],[costo_servicio]]))</f>
        <v/>
      </c>
      <c r="AK39" s="10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2">
        <f>IF(tblOrdenes[[#This Row],[fecha_inicio]]="","",TODAY()-tblOrdenes[[#This Row],[fecha_inicio]])</f>
        <v/>
      </c>
      <c r="AB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0">
        <f>IF(tblOrdenes[[#This Row],[orden]]="","",_xlfn.XLOOKUP(tblOrdenes[[#This Row],[id_operacion]],tblEjecucion[id_operacion],tblEjecucion[precio],0))</f>
        <v/>
      </c>
      <c r="AJ40" s="10">
        <f>IF(tblOrdenes[[#This Row],[orden]]="","",MAX(0,_xlfn.XLOOKUP(tblOrdenes[[#This Row],[id_operacion]],tblEjecucion[id_operacion],tblEjecucion[costo_plan_total],0)-tblOrdenes[[#This Row],[costo_servicio]]))</f>
        <v/>
      </c>
      <c r="AK40" s="10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2">
        <f>IF(tblOrdenes[[#This Row],[fecha_inicio]]="","",TODAY()-tblOrdenes[[#This Row],[fecha_inicio]])</f>
        <v/>
      </c>
      <c r="AB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02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0">
        <f>IF(tblOrdenes[[#This Row],[orden]]="","",_xlfn.XLOOKUP(tblOrdenes[[#This Row],[id_operacion]],tblEjecucion[id_operacion],tblEjecucion[precio],0))</f>
        <v/>
      </c>
      <c r="AJ41" s="10">
        <f>IF(tblOrdenes[[#This Row],[orden]]="","",MAX(0,_xlfn.XLOOKUP(tblOrdenes[[#This Row],[id_operacion]],tblEjecucion[id_operacion],tblEjecucion[costo_plan_total],0)-tblOrdenes[[#This Row],[costo_servicio]]))</f>
        <v/>
      </c>
      <c r="AK41" s="10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2">
        <f>IF(tblOrdenes[[#This Row],[fecha_inicio]]="","",TODAY()-tblOrdenes[[#This Row],[fecha_inicio]])</f>
        <v/>
      </c>
      <c r="AB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03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0">
        <f>IF(tblOrdenes[[#This Row],[orden]]="","",_xlfn.XLOOKUP(tblOrdenes[[#This Row],[id_operacion]],tblEjecucion[id_operacion],tblEjecucion[precio],0))</f>
        <v/>
      </c>
      <c r="AJ42" s="10">
        <f>IF(tblOrdenes[[#This Row],[orden]]="","",MAX(0,_xlfn.XLOOKUP(tblOrdenes[[#This Row],[id_operacion]],tblEjecucion[id_operacion],tblEjecucion[costo_plan_total],0)-tblOrdenes[[#This Row],[costo_servicio]]))</f>
        <v/>
      </c>
      <c r="AK42" s="10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2">
        <f>IF(tblOrdenes[[#This Row],[fecha_inicio]]="","",TODAY()-tblOrdenes[[#This Row],[fecha_inicio]])</f>
        <v/>
      </c>
      <c r="AB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>
        <is>
          <t>Técnico 04</t>
        </is>
      </c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0">
        <f>IF(tblOrdenes[[#This Row],[orden]]="","",_xlfn.XLOOKUP(tblOrdenes[[#This Row],[id_operacion]],tblEjecucion[id_operacion],tblEjecucion[precio],0))</f>
        <v/>
      </c>
      <c r="AJ43" s="10">
        <f>IF(tblOrdenes[[#This Row],[orden]]="","",MAX(0,_xlfn.XLOOKUP(tblOrdenes[[#This Row],[id_operacion]],tblEjecucion[id_operacion],tblEjecucion[costo_plan_total],0)-tblOrdenes[[#This Row],[costo_servicio]]))</f>
        <v/>
      </c>
      <c r="AK43" s="10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2">
        <f>IF(tblOrdenes[[#This Row],[fecha_inicio]]="","",TODAY()-tblOrdenes[[#This Row],[fecha_inicio]])</f>
        <v/>
      </c>
      <c r="AB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01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0">
        <f>IF(tblOrdenes[[#This Row],[orden]]="","",_xlfn.XLOOKUP(tblOrdenes[[#This Row],[id_operacion]],tblEjecucion[id_operacion],tblEjecucion[precio],0))</f>
        <v/>
      </c>
      <c r="AJ44" s="10">
        <f>IF(tblOrdenes[[#This Row],[orden]]="","",MAX(0,_xlfn.XLOOKUP(tblOrdenes[[#This Row],[id_operacion]],tblEjecucion[id_operacion],tblEjecucion[costo_plan_total],0)-tblOrdenes[[#This Row],[costo_servicio]]))</f>
        <v/>
      </c>
      <c r="AK44" s="10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2">
        <f>IF(tblOrdenes[[#This Row],[fecha_inicio]]="","",TODAY()-tblOrdenes[[#This Row],[fecha_inicio]])</f>
        <v/>
      </c>
      <c r="AB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02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0">
        <f>IF(tblOrdenes[[#This Row],[orden]]="","",_xlfn.XLOOKUP(tblOrdenes[[#This Row],[id_operacion]],tblEjecucion[id_operacion],tblEjecucion[precio],0))</f>
        <v/>
      </c>
      <c r="AJ45" s="10">
        <f>IF(tblOrdenes[[#This Row],[orden]]="","",MAX(0,_xlfn.XLOOKUP(tblOrdenes[[#This Row],[id_operacion]],tblEjecucion[id_operacion],tblEjecucion[costo_plan_total],0)-tblOrdenes[[#This Row],[costo_servicio]]))</f>
        <v/>
      </c>
      <c r="AK45" s="10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2">
        <f>IF(tblOrdenes[[#This Row],[fecha_inicio]]="","",TODAY()-tblOrdenes[[#This Row],[fecha_inicio]])</f>
        <v/>
      </c>
      <c r="AB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03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0">
        <f>IF(tblOrdenes[[#This Row],[orden]]="","",_xlfn.XLOOKUP(tblOrdenes[[#This Row],[id_operacion]],tblEjecucion[id_operacion],tblEjecucion[precio],0))</f>
        <v/>
      </c>
      <c r="AJ46" s="10">
        <f>IF(tblOrdenes[[#This Row],[orden]]="","",MAX(0,_xlfn.XLOOKUP(tblOrdenes[[#This Row],[id_operacion]],tblEjecucion[id_operacion],tblEjecucion[costo_plan_total],0)-tblOrdenes[[#This Row],[costo_servicio]]))</f>
        <v/>
      </c>
      <c r="AK46" s="10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2">
        <f>IF(tblOrdenes[[#This Row],[fecha_inicio]]="","",TODAY()-tblOrdenes[[#This Row],[fecha_inicio]])</f>
        <v/>
      </c>
      <c r="AB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04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0">
        <f>IF(tblOrdenes[[#This Row],[orden]]="","",_xlfn.XLOOKUP(tblOrdenes[[#This Row],[id_operacion]],tblEjecucion[id_operacion],tblEjecucion[precio],0))</f>
        <v/>
      </c>
      <c r="AJ47" s="10">
        <f>IF(tblOrdenes[[#This Row],[orden]]="","",MAX(0,_xlfn.XLOOKUP(tblOrdenes[[#This Row],[id_operacion]],tblEjecucion[id_operacion],tblEjecucion[costo_plan_total],0)-tblOrdenes[[#This Row],[costo_servicio]]))</f>
        <v/>
      </c>
      <c r="AK47" s="10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2">
        <f>IF(tblOrdenes[[#This Row],[fecha_inicio]]="","",TODAY()-tblOrdenes[[#This Row],[fecha_inicio]])</f>
        <v/>
      </c>
      <c r="AB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01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0">
        <f>IF(tblOrdenes[[#This Row],[orden]]="","",_xlfn.XLOOKUP(tblOrdenes[[#This Row],[id_operacion]],tblEjecucion[id_operacion],tblEjecucion[precio],0))</f>
        <v/>
      </c>
      <c r="AJ48" s="10">
        <f>IF(tblOrdenes[[#This Row],[orden]]="","",MAX(0,_xlfn.XLOOKUP(tblOrdenes[[#This Row],[id_operacion]],tblEjecucion[id_operacion],tblEjecucion[costo_plan_total],0)-tblOrdenes[[#This Row],[costo_servicio]]))</f>
        <v/>
      </c>
      <c r="AK48" s="10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2">
        <f>IF(tblOrdenes[[#This Row],[fecha_inicio]]="","",TODAY()-tblOrdenes[[#This Row],[fecha_inicio]])</f>
        <v/>
      </c>
      <c r="AB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02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0">
        <f>IF(tblOrdenes[[#This Row],[orden]]="","",_xlfn.XLOOKUP(tblOrdenes[[#This Row],[id_operacion]],tblEjecucion[id_operacion],tblEjecucion[precio],0))</f>
        <v/>
      </c>
      <c r="AJ49" s="10">
        <f>IF(tblOrdenes[[#This Row],[orden]]="","",MAX(0,_xlfn.XLOOKUP(tblOrdenes[[#This Row],[id_operacion]],tblEjecucion[id_operacion],tblEjecucion[costo_plan_total],0)-tblOrdenes[[#This Row],[costo_servicio]]))</f>
        <v/>
      </c>
      <c r="AK49" s="10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2">
        <f>IF(tblOrdenes[[#This Row],[fecha_inicio]]="","",TODAY()-tblOrdenes[[#This Row],[fecha_inicio]])</f>
        <v/>
      </c>
      <c r="AB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>
        <is>
          <t>Técnico 03</t>
        </is>
      </c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0">
        <f>IF(tblOrdenes[[#This Row],[orden]]="","",_xlfn.XLOOKUP(tblOrdenes[[#This Row],[id_operacion]],tblEjecucion[id_operacion],tblEjecucion[precio],0))</f>
        <v/>
      </c>
      <c r="AJ50" s="10">
        <f>IF(tblOrdenes[[#This Row],[orden]]="","",MAX(0,_xlfn.XLOOKUP(tblOrdenes[[#This Row],[id_operacion]],tblEjecucion[id_operacion],tblEjecucion[costo_plan_total],0)-tblOrdenes[[#This Row],[costo_servicio]]))</f>
        <v/>
      </c>
      <c r="AK50" s="10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2">
        <f>IF(tblOrdenes[[#This Row],[fecha_inicio]]="","",TODAY()-tblOrdenes[[#This Row],[fecha_inicio]])</f>
        <v/>
      </c>
      <c r="AB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0">
        <f>IF(tblOrdenes[[#This Row],[orden]]="","",_xlfn.XLOOKUP(tblOrdenes[[#This Row],[id_operacion]],tblEjecucion[id_operacion],tblEjecucion[precio],0))</f>
        <v/>
      </c>
      <c r="AJ51" s="10">
        <f>IF(tblOrdenes[[#This Row],[orden]]="","",MAX(0,_xlfn.XLOOKUP(tblOrdenes[[#This Row],[id_operacion]],tblEjecucion[id_operacion],tblEjecucion[costo_plan_total],0)-tblOrdenes[[#This Row],[costo_servicio]]))</f>
        <v/>
      </c>
      <c r="AK51" s="10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2">
        <f>IF(tblOrdenes[[#This Row],[fecha_inicio]]="","",TODAY()-tblOrdenes[[#This Row],[fecha_inicio]])</f>
        <v/>
      </c>
      <c r="AB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05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0">
        <f>IF(tblOrdenes[[#This Row],[orden]]="","",_xlfn.XLOOKUP(tblOrdenes[[#This Row],[id_operacion]],tblEjecucion[id_operacion],tblEjecucion[precio],0))</f>
        <v/>
      </c>
      <c r="AJ52" s="10">
        <f>IF(tblOrdenes[[#This Row],[orden]]="","",MAX(0,_xlfn.XLOOKUP(tblOrdenes[[#This Row],[id_operacion]],tblEjecucion[id_operacion],tblEjecucion[costo_plan_total],0)-tblOrdenes[[#This Row],[costo_servicio]]))</f>
        <v/>
      </c>
      <c r="AK52" s="10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2">
        <f>IF(tblOrdenes[[#This Row],[fecha_inicio]]="","",TODAY()-tblOrdenes[[#This Row],[fecha_inicio]])</f>
        <v/>
      </c>
      <c r="AB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06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0">
        <f>IF(tblOrdenes[[#This Row],[orden]]="","",_xlfn.XLOOKUP(tblOrdenes[[#This Row],[id_operacion]],tblEjecucion[id_operacion],tblEjecucion[precio],0))</f>
        <v/>
      </c>
      <c r="AJ53" s="10">
        <f>IF(tblOrdenes[[#This Row],[orden]]="","",MAX(0,_xlfn.XLOOKUP(tblOrdenes[[#This Row],[id_operacion]],tblEjecucion[id_operacion],tblEjecucion[costo_plan_total],0)-tblOrdenes[[#This Row],[costo_servicio]]))</f>
        <v/>
      </c>
      <c r="AK53" s="10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2">
        <f>IF(tblOrdenes[[#This Row],[fecha_inicio]]="","",TODAY()-tblOrdenes[[#This Row],[fecha_inicio]])</f>
        <v/>
      </c>
      <c r="AB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07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0">
        <f>IF(tblOrdenes[[#This Row],[orden]]="","",_xlfn.XLOOKUP(tblOrdenes[[#This Row],[id_operacion]],tblEjecucion[id_operacion],tblEjecucion[precio],0))</f>
        <v/>
      </c>
      <c r="AJ54" s="10">
        <f>IF(tblOrdenes[[#This Row],[orden]]="","",MAX(0,_xlfn.XLOOKUP(tblOrdenes[[#This Row],[id_operacion]],tblEjecucion[id_operacion],tblEjecucion[costo_plan_total],0)-tblOrdenes[[#This Row],[costo_servicio]]))</f>
        <v/>
      </c>
      <c r="AK54" s="10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2">
        <f>IF(tblOrdenes[[#This Row],[fecha_inicio]]="","",TODAY()-tblOrdenes[[#This Row],[fecha_inicio]])</f>
        <v/>
      </c>
      <c r="AB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05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0">
        <f>IF(tblOrdenes[[#This Row],[orden]]="","",_xlfn.XLOOKUP(tblOrdenes[[#This Row],[id_operacion]],tblEjecucion[id_operacion],tblEjecucion[precio],0))</f>
        <v/>
      </c>
      <c r="AJ55" s="10">
        <f>IF(tblOrdenes[[#This Row],[orden]]="","",MAX(0,_xlfn.XLOOKUP(tblOrdenes[[#This Row],[id_operacion]],tblEjecucion[id_operacion],tblEjecucion[costo_plan_total],0)-tblOrdenes[[#This Row],[costo_servicio]]))</f>
        <v/>
      </c>
      <c r="AK55" s="10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2">
        <f>IF(tblOrdenes[[#This Row],[fecha_inicio]]="","",TODAY()-tblOrdenes[[#This Row],[fecha_inicio]])</f>
        <v/>
      </c>
      <c r="AB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06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0">
        <f>IF(tblOrdenes[[#This Row],[orden]]="","",_xlfn.XLOOKUP(tblOrdenes[[#This Row],[id_operacion]],tblEjecucion[id_operacion],tblEjecucion[precio],0))</f>
        <v/>
      </c>
      <c r="AJ56" s="10">
        <f>IF(tblOrdenes[[#This Row],[orden]]="","",MAX(0,_xlfn.XLOOKUP(tblOrdenes[[#This Row],[id_operacion]],tblEjecucion[id_operacion],tblEjecucion[costo_plan_total],0)-tblOrdenes[[#This Row],[costo_servicio]]))</f>
        <v/>
      </c>
      <c r="AK56" s="10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2">
        <f>IF(tblOrdenes[[#This Row],[fecha_inicio]]="","",TODAY()-tblOrdenes[[#This Row],[fecha_inicio]])</f>
        <v/>
      </c>
      <c r="AB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07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0">
        <f>IF(tblOrdenes[[#This Row],[orden]]="","",_xlfn.XLOOKUP(tblOrdenes[[#This Row],[id_operacion]],tblEjecucion[id_operacion],tblEjecucion[precio],0))</f>
        <v/>
      </c>
      <c r="AJ57" s="10">
        <f>IF(tblOrdenes[[#This Row],[orden]]="","",MAX(0,_xlfn.XLOOKUP(tblOrdenes[[#This Row],[id_operacion]],tblEjecucion[id_operacion],tblEjecucion[costo_plan_total],0)-tblOrdenes[[#This Row],[costo_servicio]]))</f>
        <v/>
      </c>
      <c r="AK57" s="10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2">
        <f>IF(tblOrdenes[[#This Row],[fecha_inicio]]="","",TODAY()-tblOrdenes[[#This Row],[fecha_inicio]])</f>
        <v/>
      </c>
      <c r="AB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05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0">
        <f>IF(tblOrdenes[[#This Row],[orden]]="","",_xlfn.XLOOKUP(tblOrdenes[[#This Row],[id_operacion]],tblEjecucion[id_operacion],tblEjecucion[precio],0))</f>
        <v/>
      </c>
      <c r="AJ58" s="10">
        <f>IF(tblOrdenes[[#This Row],[orden]]="","",MAX(0,_xlfn.XLOOKUP(tblOrdenes[[#This Row],[id_operacion]],tblEjecucion[id_operacion],tblEjecucion[costo_plan_total],0)-tblOrdenes[[#This Row],[costo_servicio]]))</f>
        <v/>
      </c>
      <c r="AK58" s="10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2">
        <f>IF(tblOrdenes[[#This Row],[fecha_inicio]]="","",TODAY()-tblOrdenes[[#This Row],[fecha_inicio]])</f>
        <v/>
      </c>
      <c r="AB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06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0">
        <f>IF(tblOrdenes[[#This Row],[orden]]="","",_xlfn.XLOOKUP(tblOrdenes[[#This Row],[id_operacion]],tblEjecucion[id_operacion],tblEjecucion[precio],0))</f>
        <v/>
      </c>
      <c r="AJ59" s="10">
        <f>IF(tblOrdenes[[#This Row],[orden]]="","",MAX(0,_xlfn.XLOOKUP(tblOrdenes[[#This Row],[id_operacion]],tblEjecucion[id_operacion],tblEjecucion[costo_plan_total],0)-tblOrdenes[[#This Row],[costo_servicio]]))</f>
        <v/>
      </c>
      <c r="AK59" s="10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2">
        <f>IF(tblOrdenes[[#This Row],[fecha_inicio]]="","",TODAY()-tblOrdenes[[#This Row],[fecha_inicio]])</f>
        <v/>
      </c>
      <c r="AB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07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0">
        <f>IF(tblOrdenes[[#This Row],[orden]]="","",_xlfn.XLOOKUP(tblOrdenes[[#This Row],[id_operacion]],tblEjecucion[id_operacion],tblEjecucion[precio],0))</f>
        <v/>
      </c>
      <c r="AJ60" s="10">
        <f>IF(tblOrdenes[[#This Row],[orden]]="","",MAX(0,_xlfn.XLOOKUP(tblOrdenes[[#This Row],[id_operacion]],tblEjecucion[id_operacion],tblEjecucion[costo_plan_total],0)-tblOrdenes[[#This Row],[costo_servicio]]))</f>
        <v/>
      </c>
      <c r="AK60" s="10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2">
        <f>IF(tblOrdenes[[#This Row],[fecha_inicio]]="","",TODAY()-tblOrdenes[[#This Row],[fecha_inicio]])</f>
        <v/>
      </c>
      <c r="AB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05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0">
        <f>IF(tblOrdenes[[#This Row],[orden]]="","",_xlfn.XLOOKUP(tblOrdenes[[#This Row],[id_operacion]],tblEjecucion[id_operacion],tblEjecucion[precio],0))</f>
        <v/>
      </c>
      <c r="AJ61" s="10">
        <f>IF(tblOrdenes[[#This Row],[orden]]="","",MAX(0,_xlfn.XLOOKUP(tblOrdenes[[#This Row],[id_operacion]],tblEjecucion[id_operacion],tblEjecucion[costo_plan_total],0)-tblOrdenes[[#This Row],[costo_servicio]]))</f>
        <v/>
      </c>
      <c r="AK61" s="10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2">
        <f>IF(tblOrdenes[[#This Row],[fecha_inicio]]="","",TODAY()-tblOrdenes[[#This Row],[fecha_inicio]])</f>
        <v/>
      </c>
      <c r="AB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06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0">
        <f>IF(tblOrdenes[[#This Row],[orden]]="","",_xlfn.XLOOKUP(tblOrdenes[[#This Row],[id_operacion]],tblEjecucion[id_operacion],tblEjecucion[precio],0))</f>
        <v/>
      </c>
      <c r="AJ62" s="10">
        <f>IF(tblOrdenes[[#This Row],[orden]]="","",MAX(0,_xlfn.XLOOKUP(tblOrdenes[[#This Row],[id_operacion]],tblEjecucion[id_operacion],tblEjecucion[costo_plan_total],0)-tblOrdenes[[#This Row],[costo_servicio]]))</f>
        <v/>
      </c>
      <c r="AK62" s="10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/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2">
        <f>IF(tblOrdenes[[#This Row],[fecha_inicio]]="","",TODAY()-tblOrdenes[[#This Row],[fecha_inicio]])</f>
        <v/>
      </c>
      <c r="AB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0">
        <f>IF(tblOrdenes[[#This Row],[orden]]="","",_xlfn.XLOOKUP(tblOrdenes[[#This Row],[id_operacion]],tblEjecucion[id_operacion],tblEjecucion[precio],0))</f>
        <v/>
      </c>
      <c r="AJ63" s="10">
        <f>IF(tblOrdenes[[#This Row],[orden]]="","",MAX(0,_xlfn.XLOOKUP(tblOrdenes[[#This Row],[id_operacion]],tblEjecucion[id_operacion],tblEjecucion[costo_plan_total],0)-tblOrdenes[[#This Row],[costo_servicio]]))</f>
        <v/>
      </c>
      <c r="AK63" s="10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2">
        <f>IF(tblOrdenes[[#This Row],[fecha_inicio]]="","",TODAY()-tblOrdenes[[#This Row],[fecha_inicio]])</f>
        <v/>
      </c>
      <c r="AB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05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0">
        <f>IF(tblOrdenes[[#This Row],[orden]]="","",_xlfn.XLOOKUP(tblOrdenes[[#This Row],[id_operacion]],tblEjecucion[id_operacion],tblEjecucion[precio],0))</f>
        <v/>
      </c>
      <c r="AJ64" s="10">
        <f>IF(tblOrdenes[[#This Row],[orden]]="","",MAX(0,_xlfn.XLOOKUP(tblOrdenes[[#This Row],[id_operacion]],tblEjecucion[id_operacion],tblEjecucion[costo_plan_total],0)-tblOrdenes[[#This Row],[costo_servicio]]))</f>
        <v/>
      </c>
      <c r="AK64" s="10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>
        <is>
          <t>Ajuste 6 → 4 h en hoja AJUSTES</t>
        </is>
      </c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2">
        <f>IF(tblOrdenes[[#This Row],[fecha_inicio]]="","",TODAY()-tblOrdenes[[#This Row],[fecha_inicio]])</f>
        <v/>
      </c>
      <c r="AB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06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0">
        <f>IF(tblOrdenes[[#This Row],[orden]]="","",_xlfn.XLOOKUP(tblOrdenes[[#This Row],[id_operacion]],tblEjecucion[id_operacion],tblEjecucion[precio],0))</f>
        <v/>
      </c>
      <c r="AJ65" s="10">
        <f>IF(tblOrdenes[[#This Row],[orden]]="","",MAX(0,_xlfn.XLOOKUP(tblOrdenes[[#This Row],[id_operacion]],tblEjecucion[id_operacion],tblEjecucion[costo_plan_total],0)-tblOrdenes[[#This Row],[costo_servicio]]))</f>
        <v/>
      </c>
      <c r="AK65" s="10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2">
        <f>IF(tblOrdenes[[#This Row],[fecha_inicio]]="","",TODAY()-tblOrdenes[[#This Row],[fecha_inicio]])</f>
        <v/>
      </c>
      <c r="AB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07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0">
        <f>IF(tblOrdenes[[#This Row],[orden]]="","",_xlfn.XLOOKUP(tblOrdenes[[#This Row],[id_operacion]],tblEjecucion[id_operacion],tblEjecucion[precio],0))</f>
        <v/>
      </c>
      <c r="AJ66" s="10">
        <f>IF(tblOrdenes[[#This Row],[orden]]="","",MAX(0,_xlfn.XLOOKUP(tblOrdenes[[#This Row],[id_operacion]],tblEjecucion[id_operacion],tblEjecucion[costo_plan_total],0)-tblOrdenes[[#This Row],[costo_servicio]]))</f>
        <v/>
      </c>
      <c r="AK66" s="10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2">
        <f>IF(tblOrdenes[[#This Row],[fecha_inicio]]="","",TODAY()-tblOrdenes[[#This Row],[fecha_inicio]])</f>
        <v/>
      </c>
      <c r="AB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05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0">
        <f>IF(tblOrdenes[[#This Row],[orden]]="","",_xlfn.XLOOKUP(tblOrdenes[[#This Row],[id_operacion]],tblEjecucion[id_operacion],tblEjecucion[precio],0))</f>
        <v/>
      </c>
      <c r="AJ67" s="10">
        <f>IF(tblOrdenes[[#This Row],[orden]]="","",MAX(0,_xlfn.XLOOKUP(tblOrdenes[[#This Row],[id_operacion]],tblEjecucion[id_operacion],tblEjecucion[costo_plan_total],0)-tblOrdenes[[#This Row],[costo_servicio]]))</f>
        <v/>
      </c>
      <c r="AK67" s="10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2">
        <f>IF(tblOrdenes[[#This Row],[fecha_inicio]]="","",TODAY()-tblOrdenes[[#This Row],[fecha_inicio]])</f>
        <v/>
      </c>
      <c r="AB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06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0">
        <f>IF(tblOrdenes[[#This Row],[orden]]="","",_xlfn.XLOOKUP(tblOrdenes[[#This Row],[id_operacion]],tblEjecucion[id_operacion],tblEjecucion[precio],0))</f>
        <v/>
      </c>
      <c r="AJ68" s="10">
        <f>IF(tblOrdenes[[#This Row],[orden]]="","",MAX(0,_xlfn.XLOOKUP(tblOrdenes[[#This Row],[id_operacion]],tblEjecucion[id_operacion],tblEjecucion[costo_plan_total],0)-tblOrdenes[[#This Row],[costo_servicio]]))</f>
        <v/>
      </c>
      <c r="AK68" s="10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2">
        <f>IF(tblOrdenes[[#This Row],[fecha_inicio]]="","",TODAY()-tblOrdenes[[#This Row],[fecha_inicio]])</f>
        <v/>
      </c>
      <c r="AB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07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0">
        <f>IF(tblOrdenes[[#This Row],[orden]]="","",_xlfn.XLOOKUP(tblOrdenes[[#This Row],[id_operacion]],tblEjecucion[id_operacion],tblEjecucion[precio],0))</f>
        <v/>
      </c>
      <c r="AJ69" s="10">
        <f>IF(tblOrdenes[[#This Row],[orden]]="","",MAX(0,_xlfn.XLOOKUP(tblOrdenes[[#This Row],[id_operacion]],tblEjecucion[id_operacion],tblEjecucion[costo_plan_total],0)-tblOrdenes[[#This Row],[costo_servicio]]))</f>
        <v/>
      </c>
      <c r="AK69" s="10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2">
        <f>IF(tblOrdenes[[#This Row],[fecha_inicio]]="","",TODAY()-tblOrdenes[[#This Row],[fecha_inicio]])</f>
        <v/>
      </c>
      <c r="AB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05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0">
        <f>IF(tblOrdenes[[#This Row],[orden]]="","",_xlfn.XLOOKUP(tblOrdenes[[#This Row],[id_operacion]],tblEjecucion[id_operacion],tblEjecucion[precio],0))</f>
        <v/>
      </c>
      <c r="AJ70" s="10">
        <f>IF(tblOrdenes[[#This Row],[orden]]="","",MAX(0,_xlfn.XLOOKUP(tblOrdenes[[#This Row],[id_operacion]],tblEjecucion[id_operacion],tblEjecucion[costo_plan_total],0)-tblOrdenes[[#This Row],[costo_servicio]]))</f>
        <v/>
      </c>
      <c r="AK70" s="10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2">
        <f>IF(tblOrdenes[[#This Row],[fecha_inicio]]="","",TODAY()-tblOrdenes[[#This Row],[fecha_inicio]])</f>
        <v/>
      </c>
      <c r="AB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06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0">
        <f>IF(tblOrdenes[[#This Row],[orden]]="","",_xlfn.XLOOKUP(tblOrdenes[[#This Row],[id_operacion]],tblEjecucion[id_operacion],tblEjecucion[precio],0))</f>
        <v/>
      </c>
      <c r="AJ71" s="10">
        <f>IF(tblOrdenes[[#This Row],[orden]]="","",MAX(0,_xlfn.XLOOKUP(tblOrdenes[[#This Row],[id_operacion]],tblEjecucion[id_operacion],tblEjecucion[costo_plan_total],0)-tblOrdenes[[#This Row],[costo_servicio]]))</f>
        <v/>
      </c>
      <c r="AK71" s="10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2">
        <f>IF(tblOrdenes[[#This Row],[fecha_inicio]]="","",TODAY()-tblOrdenes[[#This Row],[fecha_inicio]])</f>
        <v/>
      </c>
      <c r="AB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07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0">
        <f>IF(tblOrdenes[[#This Row],[orden]]="","",_xlfn.XLOOKUP(tblOrdenes[[#This Row],[id_operacion]],tblEjecucion[id_operacion],tblEjecucion[precio],0))</f>
        <v/>
      </c>
      <c r="AJ72" s="10">
        <f>IF(tblOrdenes[[#This Row],[orden]]="","",MAX(0,_xlfn.XLOOKUP(tblOrdenes[[#This Row],[id_operacion]],tblEjecucion[id_operacion],tblEjecucion[costo_plan_total],0)-tblOrdenes[[#This Row],[costo_servicio]]))</f>
        <v/>
      </c>
      <c r="AK72" s="10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2">
        <f>IF(tblOrdenes[[#This Row],[fecha_inicio]]="","",TODAY()-tblOrdenes[[#This Row],[fecha_inicio]])</f>
        <v/>
      </c>
      <c r="AB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05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0">
        <f>IF(tblOrdenes[[#This Row],[orden]]="","",_xlfn.XLOOKUP(tblOrdenes[[#This Row],[id_operacion]],tblEjecucion[id_operacion],tblEjecucion[precio],0))</f>
        <v/>
      </c>
      <c r="AJ73" s="10">
        <f>IF(tblOrdenes[[#This Row],[orden]]="","",MAX(0,_xlfn.XLOOKUP(tblOrdenes[[#This Row],[id_operacion]],tblEjecucion[id_operacion],tblEjecucion[costo_plan_total],0)-tblOrdenes[[#This Row],[costo_servicio]]))</f>
        <v/>
      </c>
      <c r="AK73" s="10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2">
        <f>IF(tblOrdenes[[#This Row],[fecha_inicio]]="","",TODAY()-tblOrdenes[[#This Row],[fecha_inicio]])</f>
        <v/>
      </c>
      <c r="AB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06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0">
        <f>IF(tblOrdenes[[#This Row],[orden]]="","",_xlfn.XLOOKUP(tblOrdenes[[#This Row],[id_operacion]],tblEjecucion[id_operacion],tblEjecucion[precio],0))</f>
        <v/>
      </c>
      <c r="AJ74" s="10">
        <f>IF(tblOrdenes[[#This Row],[orden]]="","",MAX(0,_xlfn.XLOOKUP(tblOrdenes[[#This Row],[id_operacion]],tblEjecucion[id_operacion],tblEjecucion[costo_plan_total],0)-tblOrdenes[[#This Row],[costo_servicio]]))</f>
        <v/>
      </c>
      <c r="AK74" s="10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2">
        <f>IF(tblOrdenes[[#This Row],[fecha_inicio]]="","",TODAY()-tblOrdenes[[#This Row],[fecha_inicio]])</f>
        <v/>
      </c>
      <c r="AB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0">
        <f>IF(tblOrdenes[[#This Row],[orden]]="","",_xlfn.XLOOKUP(tblOrdenes[[#This Row],[id_operacion]],tblEjecucion[id_operacion],tblEjecucion[precio],0))</f>
        <v/>
      </c>
      <c r="AJ75" s="10">
        <f>IF(tblOrdenes[[#This Row],[orden]]="","",MAX(0,_xlfn.XLOOKUP(tblOrdenes[[#This Row],[id_operacion]],tblEjecucion[id_operacion],tblEjecucion[costo_plan_total],0)-tblOrdenes[[#This Row],[costo_servicio]]))</f>
        <v/>
      </c>
      <c r="AK75" s="10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2">
        <f>IF(tblOrdenes[[#This Row],[fecha_inicio]]="","",TODAY()-tblOrdenes[[#This Row],[fecha_inicio]])</f>
        <v/>
      </c>
      <c r="AB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05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0">
        <f>IF(tblOrdenes[[#This Row],[orden]]="","",_xlfn.XLOOKUP(tblOrdenes[[#This Row],[id_operacion]],tblEjecucion[id_operacion],tblEjecucion[precio],0))</f>
        <v/>
      </c>
      <c r="AJ76" s="10">
        <f>IF(tblOrdenes[[#This Row],[orden]]="","",MAX(0,_xlfn.XLOOKUP(tblOrdenes[[#This Row],[id_operacion]],tblEjecucion[id_operacion],tblEjecucion[costo_plan_total],0)-tblOrdenes[[#This Row],[costo_servicio]]))</f>
        <v/>
      </c>
      <c r="AK76" s="10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2">
        <f>IF(tblOrdenes[[#This Row],[fecha_inicio]]="","",TODAY()-tblOrdenes[[#This Row],[fecha_inicio]])</f>
        <v/>
      </c>
      <c r="AB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06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0">
        <f>IF(tblOrdenes[[#This Row],[orden]]="","",_xlfn.XLOOKUP(tblOrdenes[[#This Row],[id_operacion]],tblEjecucion[id_operacion],tblEjecucion[precio],0))</f>
        <v/>
      </c>
      <c r="AJ77" s="10">
        <f>IF(tblOrdenes[[#This Row],[orden]]="","",MAX(0,_xlfn.XLOOKUP(tblOrdenes[[#This Row],[id_operacion]],tblEjecucion[id_operacion],tblEjecucion[costo_plan_total],0)-tblOrdenes[[#This Row],[costo_servicio]]))</f>
        <v/>
      </c>
      <c r="AK77" s="10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2">
        <f>IF(tblOrdenes[[#This Row],[fecha_inicio]]="","",TODAY()-tblOrdenes[[#This Row],[fecha_inicio]])</f>
        <v/>
      </c>
      <c r="AB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07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0">
        <f>IF(tblOrdenes[[#This Row],[orden]]="","",_xlfn.XLOOKUP(tblOrdenes[[#This Row],[id_operacion]],tblEjecucion[id_operacion],tblEjecucion[precio],0))</f>
        <v/>
      </c>
      <c r="AJ78" s="10">
        <f>IF(tblOrdenes[[#This Row],[orden]]="","",MAX(0,_xlfn.XLOOKUP(tblOrdenes[[#This Row],[id_operacion]],tblEjecucion[id_operacion],tblEjecucion[costo_plan_total],0)-tblOrdenes[[#This Row],[costo_servicio]]))</f>
        <v/>
      </c>
      <c r="AK78" s="10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2">
        <f>IF(tblOrdenes[[#This Row],[fecha_inicio]]="","",TODAY()-tblOrdenes[[#This Row],[fecha_inicio]])</f>
        <v/>
      </c>
      <c r="AB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05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0">
        <f>IF(tblOrdenes[[#This Row],[orden]]="","",_xlfn.XLOOKUP(tblOrdenes[[#This Row],[id_operacion]],tblEjecucion[id_operacion],tblEjecucion[precio],0))</f>
        <v/>
      </c>
      <c r="AJ79" s="10">
        <f>IF(tblOrdenes[[#This Row],[orden]]="","",MAX(0,_xlfn.XLOOKUP(tblOrdenes[[#This Row],[id_operacion]],tblEjecucion[id_operacion],tblEjecucion[costo_plan_total],0)-tblOrdenes[[#This Row],[costo_servicio]]))</f>
        <v/>
      </c>
      <c r="AK79" s="10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2">
        <f>IF(tblOrdenes[[#This Row],[fecha_inicio]]="","",TODAY()-tblOrdenes[[#This Row],[fecha_inicio]])</f>
        <v/>
      </c>
      <c r="AB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06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0">
        <f>IF(tblOrdenes[[#This Row],[orden]]="","",_xlfn.XLOOKUP(tblOrdenes[[#This Row],[id_operacion]],tblEjecucion[id_operacion],tblEjecucion[precio],0))</f>
        <v/>
      </c>
      <c r="AJ80" s="10">
        <f>IF(tblOrdenes[[#This Row],[orden]]="","",MAX(0,_xlfn.XLOOKUP(tblOrdenes[[#This Row],[id_operacion]],tblEjecucion[id_operacion],tblEjecucion[costo_plan_total],0)-tblOrdenes[[#This Row],[costo_servicio]]))</f>
        <v/>
      </c>
      <c r="AK80" s="10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2">
        <f>IF(tblOrdenes[[#This Row],[fecha_inicio]]="","",TODAY()-tblOrdenes[[#This Row],[fecha_inicio]])</f>
        <v/>
      </c>
      <c r="AB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07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0">
        <f>IF(tblOrdenes[[#This Row],[orden]]="","",_xlfn.XLOOKUP(tblOrdenes[[#This Row],[id_operacion]],tblEjecucion[id_operacion],tblEjecucion[precio],0))</f>
        <v/>
      </c>
      <c r="AJ81" s="10">
        <f>IF(tblOrdenes[[#This Row],[orden]]="","",MAX(0,_xlfn.XLOOKUP(tblOrdenes[[#This Row],[id_operacion]],tblEjecucion[id_operacion],tblEjecucion[costo_plan_total],0)-tblOrdenes[[#This Row],[costo_servicio]]))</f>
        <v/>
      </c>
      <c r="AK81" s="10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2">
        <f>IF(tblOrdenes[[#This Row],[fecha_inicio]]="","",TODAY()-tblOrdenes[[#This Row],[fecha_inicio]])</f>
        <v/>
      </c>
      <c r="AB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05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0">
        <f>IF(tblOrdenes[[#This Row],[orden]]="","",_xlfn.XLOOKUP(tblOrdenes[[#This Row],[id_operacion]],tblEjecucion[id_operacion],tblEjecucion[precio],0))</f>
        <v/>
      </c>
      <c r="AJ82" s="10">
        <f>IF(tblOrdenes[[#This Row],[orden]]="","",MAX(0,_xlfn.XLOOKUP(tblOrdenes[[#This Row],[id_operacion]],tblEjecucion[id_operacion],tblEjecucion[costo_plan_total],0)-tblOrdenes[[#This Row],[costo_servicio]]))</f>
        <v/>
      </c>
      <c r="AK82" s="10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2">
        <f>IF(tblOrdenes[[#This Row],[fecha_inicio]]="","",TODAY()-tblOrdenes[[#This Row],[fecha_inicio]])</f>
        <v/>
      </c>
      <c r="AB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06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0">
        <f>IF(tblOrdenes[[#This Row],[orden]]="","",_xlfn.XLOOKUP(tblOrdenes[[#This Row],[id_operacion]],tblEjecucion[id_operacion],tblEjecucion[precio],0))</f>
        <v/>
      </c>
      <c r="AJ83" s="10">
        <f>IF(tblOrdenes[[#This Row],[orden]]="","",MAX(0,_xlfn.XLOOKUP(tblOrdenes[[#This Row],[id_operacion]],tblEjecucion[id_operacion],tblEjecucion[costo_plan_total],0)-tblOrdenes[[#This Row],[costo_servicio]]))</f>
        <v/>
      </c>
      <c r="AK83" s="10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2">
        <f>IF(tblOrdenes[[#This Row],[fecha_inicio]]="","",TODAY()-tblOrdenes[[#This Row],[fecha_inicio]])</f>
        <v/>
      </c>
      <c r="AB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07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0">
        <f>IF(tblOrdenes[[#This Row],[orden]]="","",_xlfn.XLOOKUP(tblOrdenes[[#This Row],[id_operacion]],tblEjecucion[id_operacion],tblEjecucion[precio],0))</f>
        <v/>
      </c>
      <c r="AJ84" s="10">
        <f>IF(tblOrdenes[[#This Row],[orden]]="","",MAX(0,_xlfn.XLOOKUP(tblOrdenes[[#This Row],[id_operacion]],tblEjecucion[id_operacion],tblEjecucion[costo_plan_total],0)-tblOrdenes[[#This Row],[costo_servicio]]))</f>
        <v/>
      </c>
      <c r="AK84" s="10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2">
        <f>IF(tblOrdenes[[#This Row],[fecha_inicio]]="","",TODAY()-tblOrdenes[[#This Row],[fecha_inicio]])</f>
        <v/>
      </c>
      <c r="AB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05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0">
        <f>IF(tblOrdenes[[#This Row],[orden]]="","",_xlfn.XLOOKUP(tblOrdenes[[#This Row],[id_operacion]],tblEjecucion[id_operacion],tblEjecucion[precio],0))</f>
        <v/>
      </c>
      <c r="AJ85" s="10">
        <f>IF(tblOrdenes[[#This Row],[orden]]="","",MAX(0,_xlfn.XLOOKUP(tblOrdenes[[#This Row],[id_operacion]],tblEjecucion[id_operacion],tblEjecucion[costo_plan_total],0)-tblOrdenes[[#This Row],[costo_servicio]]))</f>
        <v/>
      </c>
      <c r="AK85" s="10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2">
        <f>IF(tblOrdenes[[#This Row],[fecha_inicio]]="","",TODAY()-tblOrdenes[[#This Row],[fecha_inicio]])</f>
        <v/>
      </c>
      <c r="AB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06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0">
        <f>IF(tblOrdenes[[#This Row],[orden]]="","",_xlfn.XLOOKUP(tblOrdenes[[#This Row],[id_operacion]],tblEjecucion[id_operacion],tblEjecucion[precio],0))</f>
        <v/>
      </c>
      <c r="AJ86" s="10">
        <f>IF(tblOrdenes[[#This Row],[orden]]="","",MAX(0,_xlfn.XLOOKUP(tblOrdenes[[#This Row],[id_operacion]],tblEjecucion[id_operacion],tblEjecucion[costo_plan_total],0)-tblOrdenes[[#This Row],[costo_servicio]]))</f>
        <v/>
      </c>
      <c r="AK86" s="10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2">
        <f>IF(tblOrdenes[[#This Row],[fecha_inicio]]="","",TODAY()-tblOrdenes[[#This Row],[fecha_inicio]])</f>
        <v/>
      </c>
      <c r="AB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0">
        <f>IF(tblOrdenes[[#This Row],[orden]]="","",_xlfn.XLOOKUP(tblOrdenes[[#This Row],[id_operacion]],tblEjecucion[id_operacion],tblEjecucion[precio],0))</f>
        <v/>
      </c>
      <c r="AJ87" s="10">
        <f>IF(tblOrdenes[[#This Row],[orden]]="","",MAX(0,_xlfn.XLOOKUP(tblOrdenes[[#This Row],[id_operacion]],tblEjecucion[id_operacion],tblEjecucion[costo_plan_total],0)-tblOrdenes[[#This Row],[costo_servicio]]))</f>
        <v/>
      </c>
      <c r="AK87" s="10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2">
        <f>IF(tblOrdenes[[#This Row],[fecha_inicio]]="","",TODAY()-tblOrdenes[[#This Row],[fecha_inicio]])</f>
        <v/>
      </c>
      <c r="AB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08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0">
        <f>IF(tblOrdenes[[#This Row],[orden]]="","",_xlfn.XLOOKUP(tblOrdenes[[#This Row],[id_operacion]],tblEjecucion[id_operacion],tblEjecucion[precio],0))</f>
        <v/>
      </c>
      <c r="AJ88" s="10">
        <f>IF(tblOrdenes[[#This Row],[orden]]="","",MAX(0,_xlfn.XLOOKUP(tblOrdenes[[#This Row],[id_operacion]],tblEjecucion[id_operacion],tblEjecucion[costo_plan_total],0)-tblOrdenes[[#This Row],[costo_servicio]]))</f>
        <v/>
      </c>
      <c r="AK88" s="10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2">
        <f>IF(tblOrdenes[[#This Row],[fecha_inicio]]="","",TODAY()-tblOrdenes[[#This Row],[fecha_inicio]])</f>
        <v/>
      </c>
      <c r="AB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09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0">
        <f>IF(tblOrdenes[[#This Row],[orden]]="","",_xlfn.XLOOKUP(tblOrdenes[[#This Row],[id_operacion]],tblEjecucion[id_operacion],tblEjecucion[precio],0))</f>
        <v/>
      </c>
      <c r="AJ89" s="10">
        <f>IF(tblOrdenes[[#This Row],[orden]]="","",MAX(0,_xlfn.XLOOKUP(tblOrdenes[[#This Row],[id_operacion]],tblEjecucion[id_operacion],tblEjecucion[costo_plan_total],0)-tblOrdenes[[#This Row],[costo_servicio]]))</f>
        <v/>
      </c>
      <c r="AK89" s="10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2">
        <f>IF(tblOrdenes[[#This Row],[fecha_inicio]]="","",TODAY()-tblOrdenes[[#This Row],[fecha_inicio]])</f>
        <v/>
      </c>
      <c r="AB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08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0">
        <f>IF(tblOrdenes[[#This Row],[orden]]="","",_xlfn.XLOOKUP(tblOrdenes[[#This Row],[id_operacion]],tblEjecucion[id_operacion],tblEjecucion[precio],0))</f>
        <v/>
      </c>
      <c r="AJ90" s="10">
        <f>IF(tblOrdenes[[#This Row],[orden]]="","",MAX(0,_xlfn.XLOOKUP(tblOrdenes[[#This Row],[id_operacion]],tblEjecucion[id_operacion],tblEjecucion[costo_plan_total],0)-tblOrdenes[[#This Row],[costo_servicio]]))</f>
        <v/>
      </c>
      <c r="AK90" s="10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2">
        <f>IF(tblOrdenes[[#This Row],[fecha_inicio]]="","",TODAY()-tblOrdenes[[#This Row],[fecha_inicio]])</f>
        <v/>
      </c>
      <c r="AB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09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0">
        <f>IF(tblOrdenes[[#This Row],[orden]]="","",_xlfn.XLOOKUP(tblOrdenes[[#This Row],[id_operacion]],tblEjecucion[id_operacion],tblEjecucion[precio],0))</f>
        <v/>
      </c>
      <c r="AJ91" s="10">
        <f>IF(tblOrdenes[[#This Row],[orden]]="","",MAX(0,_xlfn.XLOOKUP(tblOrdenes[[#This Row],[id_operacion]],tblEjecucion[id_operacion],tblEjecucion[costo_plan_total],0)-tblOrdenes[[#This Row],[costo_servicio]]))</f>
        <v/>
      </c>
      <c r="AK91" s="10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2">
        <f>IF(tblOrdenes[[#This Row],[fecha_inicio]]="","",TODAY()-tblOrdenes[[#This Row],[fecha_inicio]])</f>
        <v/>
      </c>
      <c r="AB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08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0">
        <f>IF(tblOrdenes[[#This Row],[orden]]="","",_xlfn.XLOOKUP(tblOrdenes[[#This Row],[id_operacion]],tblEjecucion[id_operacion],tblEjecucion[precio],0))</f>
        <v/>
      </c>
      <c r="AJ92" s="10">
        <f>IF(tblOrdenes[[#This Row],[orden]]="","",MAX(0,_xlfn.XLOOKUP(tblOrdenes[[#This Row],[id_operacion]],tblEjecucion[id_operacion],tblEjecucion[costo_plan_total],0)-tblOrdenes[[#This Row],[costo_servicio]]))</f>
        <v/>
      </c>
      <c r="AK92" s="10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2">
        <f>IF(tblOrdenes[[#This Row],[fecha_inicio]]="","",TODAY()-tblOrdenes[[#This Row],[fecha_inicio]])</f>
        <v/>
      </c>
      <c r="AB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09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0">
        <f>IF(tblOrdenes[[#This Row],[orden]]="","",_xlfn.XLOOKUP(tblOrdenes[[#This Row],[id_operacion]],tblEjecucion[id_operacion],tblEjecucion[precio],0))</f>
        <v/>
      </c>
      <c r="AJ93" s="10">
        <f>IF(tblOrdenes[[#This Row],[orden]]="","",MAX(0,_xlfn.XLOOKUP(tblOrdenes[[#This Row],[id_operacion]],tblEjecucion[id_operacion],tblEjecucion[costo_plan_total],0)-tblOrdenes[[#This Row],[costo_servicio]]))</f>
        <v/>
      </c>
      <c r="AK93" s="10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2">
        <f>IF(tblOrdenes[[#This Row],[fecha_inicio]]="","",TODAY()-tblOrdenes[[#This Row],[fecha_inicio]])</f>
        <v/>
      </c>
      <c r="AB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08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0">
        <f>IF(tblOrdenes[[#This Row],[orden]]="","",_xlfn.XLOOKUP(tblOrdenes[[#This Row],[id_operacion]],tblEjecucion[id_operacion],tblEjecucion[precio],0))</f>
        <v/>
      </c>
      <c r="AJ94" s="10">
        <f>IF(tblOrdenes[[#This Row],[orden]]="","",MAX(0,_xlfn.XLOOKUP(tblOrdenes[[#This Row],[id_operacion]],tblEjecucion[id_operacion],tblEjecucion[costo_plan_total],0)-tblOrdenes[[#This Row],[costo_servicio]]))</f>
        <v/>
      </c>
      <c r="AK94" s="10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2">
        <f>IF(tblOrdenes[[#This Row],[fecha_inicio]]="","",TODAY()-tblOrdenes[[#This Row],[fecha_inicio]])</f>
        <v/>
      </c>
      <c r="AB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09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0">
        <f>IF(tblOrdenes[[#This Row],[orden]]="","",_xlfn.XLOOKUP(tblOrdenes[[#This Row],[id_operacion]],tblEjecucion[id_operacion],tblEjecucion[precio],0))</f>
        <v/>
      </c>
      <c r="AJ95" s="10">
        <f>IF(tblOrdenes[[#This Row],[orden]]="","",MAX(0,_xlfn.XLOOKUP(tblOrdenes[[#This Row],[id_operacion]],tblEjecucion[id_operacion],tblEjecucion[costo_plan_total],0)-tblOrdenes[[#This Row],[costo_servicio]]))</f>
        <v/>
      </c>
      <c r="AK95" s="10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2">
        <f>IF(tblOrdenes[[#This Row],[fecha_inicio]]="","",TODAY()-tblOrdenes[[#This Row],[fecha_inicio]])</f>
        <v/>
      </c>
      <c r="AB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08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0">
        <f>IF(tblOrdenes[[#This Row],[orden]]="","",_xlfn.XLOOKUP(tblOrdenes[[#This Row],[id_operacion]],tblEjecucion[id_operacion],tblEjecucion[precio],0))</f>
        <v/>
      </c>
      <c r="AJ96" s="10">
        <f>IF(tblOrdenes[[#This Row],[orden]]="","",MAX(0,_xlfn.XLOOKUP(tblOrdenes[[#This Row],[id_operacion]],tblEjecucion[id_operacion],tblEjecucion[costo_plan_total],0)-tblOrdenes[[#This Row],[costo_servicio]]))</f>
        <v/>
      </c>
      <c r="AK96" s="10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2">
        <f>IF(tblOrdenes[[#This Row],[fecha_inicio]]="","",TODAY()-tblOrdenes[[#This Row],[fecha_inicio]])</f>
        <v/>
      </c>
      <c r="AB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09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0">
        <f>IF(tblOrdenes[[#This Row],[orden]]="","",_xlfn.XLOOKUP(tblOrdenes[[#This Row],[id_operacion]],tblEjecucion[id_operacion],tblEjecucion[precio],0))</f>
        <v/>
      </c>
      <c r="AJ97" s="10">
        <f>IF(tblOrdenes[[#This Row],[orden]]="","",MAX(0,_xlfn.XLOOKUP(tblOrdenes[[#This Row],[id_operacion]],tblEjecucion[id_operacion],tblEjecucion[costo_plan_total],0)-tblOrdenes[[#This Row],[costo_servicio]]))</f>
        <v/>
      </c>
      <c r="AK97" s="10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2">
        <f>IF(tblOrdenes[[#This Row],[fecha_inicio]]="","",TODAY()-tblOrdenes[[#This Row],[fecha_inicio]])</f>
        <v/>
      </c>
      <c r="AB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08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0">
        <f>IF(tblOrdenes[[#This Row],[orden]]="","",_xlfn.XLOOKUP(tblOrdenes[[#This Row],[id_operacion]],tblEjecucion[id_operacion],tblEjecucion[precio],0))</f>
        <v/>
      </c>
      <c r="AJ98" s="10">
        <f>IF(tblOrdenes[[#This Row],[orden]]="","",MAX(0,_xlfn.XLOOKUP(tblOrdenes[[#This Row],[id_operacion]],tblEjecucion[id_operacion],tblEjecucion[costo_plan_total],0)-tblOrdenes[[#This Row],[costo_servicio]]))</f>
        <v/>
      </c>
      <c r="AK98" s="10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2">
        <f>IF(tblOrdenes[[#This Row],[fecha_inicio]]="","",TODAY()-tblOrdenes[[#This Row],[fecha_inicio]])</f>
        <v/>
      </c>
      <c r="AB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0">
        <f>IF(tblOrdenes[[#This Row],[orden]]="","",_xlfn.XLOOKUP(tblOrdenes[[#This Row],[id_operacion]],tblEjecucion[id_operacion],tblEjecucion[precio],0))</f>
        <v/>
      </c>
      <c r="AJ99" s="10">
        <f>IF(tblOrdenes[[#This Row],[orden]]="","",MAX(0,_xlfn.XLOOKUP(tblOrdenes[[#This Row],[id_operacion]],tblEjecucion[id_operacion],tblEjecucion[costo_plan_total],0)-tblOrdenes[[#This Row],[costo_servicio]]))</f>
        <v/>
      </c>
      <c r="AK99" s="10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2">
        <f>IF(tblOrdenes[[#This Row],[fecha_inicio]]="","",TODAY()-tblOrdenes[[#This Row],[fecha_inicio]])</f>
        <v/>
      </c>
      <c r="AB1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08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0">
        <f>IF(tblOrdenes[[#This Row],[orden]]="","",_xlfn.XLOOKUP(tblOrdenes[[#This Row],[id_operacion]],tblEjecucion[id_operacion],tblEjecucion[precio],0))</f>
        <v/>
      </c>
      <c r="AJ100" s="10">
        <f>IF(tblOrdenes[[#This Row],[orden]]="","",MAX(0,_xlfn.XLOOKUP(tblOrdenes[[#This Row],[id_operacion]],tblEjecucion[id_operacion],tblEjecucion[costo_plan_total],0)-tblOrdenes[[#This Row],[costo_servicio]]))</f>
        <v/>
      </c>
      <c r="AK100" s="10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2">
        <f>IF(tblOrdenes[[#This Row],[fecha_inicio]]="","",TODAY()-tblOrdenes[[#This Row],[fecha_inicio]])</f>
        <v/>
      </c>
      <c r="AB1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09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0">
        <f>IF(tblOrdenes[[#This Row],[orden]]="","",_xlfn.XLOOKUP(tblOrdenes[[#This Row],[id_operacion]],tblEjecucion[id_operacion],tblEjecucion[precio],0))</f>
        <v/>
      </c>
      <c r="AJ101" s="10">
        <f>IF(tblOrdenes[[#This Row],[orden]]="","",MAX(0,_xlfn.XLOOKUP(tblOrdenes[[#This Row],[id_operacion]],tblEjecucion[id_operacion],tblEjecucion[costo_plan_total],0)-tblOrdenes[[#This Row],[costo_servicio]]))</f>
        <v/>
      </c>
      <c r="AK101" s="10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2">
        <f>IF(tblOrdenes[[#This Row],[fecha_inicio]]="","",TODAY()-tblOrdenes[[#This Row],[fecha_inicio]])</f>
        <v/>
      </c>
      <c r="AB1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08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0">
        <f>IF(tblOrdenes[[#This Row],[orden]]="","",_xlfn.XLOOKUP(tblOrdenes[[#This Row],[id_operacion]],tblEjecucion[id_operacion],tblEjecucion[precio],0))</f>
        <v/>
      </c>
      <c r="AJ102" s="10">
        <f>IF(tblOrdenes[[#This Row],[orden]]="","",MAX(0,_xlfn.XLOOKUP(tblOrdenes[[#This Row],[id_operacion]],tblEjecucion[id_operacion],tblEjecucion[costo_plan_total],0)-tblOrdenes[[#This Row],[costo_servicio]]))</f>
        <v/>
      </c>
      <c r="AK102" s="10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2">
        <f>IF(tblOrdenes[[#This Row],[fecha_inicio]]="","",TODAY()-tblOrdenes[[#This Row],[fecha_inicio]])</f>
        <v/>
      </c>
      <c r="AB1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09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0">
        <f>IF(tblOrdenes[[#This Row],[orden]]="","",_xlfn.XLOOKUP(tblOrdenes[[#This Row],[id_operacion]],tblEjecucion[id_operacion],tblEjecucion[precio],0))</f>
        <v/>
      </c>
      <c r="AJ103" s="10">
        <f>IF(tblOrdenes[[#This Row],[orden]]="","",MAX(0,_xlfn.XLOOKUP(tblOrdenes[[#This Row],[id_operacion]],tblEjecucion[id_operacion],tblEjecucion[costo_plan_total],0)-tblOrdenes[[#This Row],[costo_servicio]]))</f>
        <v/>
      </c>
      <c r="AK103" s="10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2">
        <f>IF(tblOrdenes[[#This Row],[fecha_inicio]]="","",TODAY()-tblOrdenes[[#This Row],[fecha_inicio]])</f>
        <v/>
      </c>
      <c r="AB1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08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0">
        <f>IF(tblOrdenes[[#This Row],[orden]]="","",_xlfn.XLOOKUP(tblOrdenes[[#This Row],[id_operacion]],tblEjecucion[id_operacion],tblEjecucion[precio],0))</f>
        <v/>
      </c>
      <c r="AJ104" s="10">
        <f>IF(tblOrdenes[[#This Row],[orden]]="","",MAX(0,_xlfn.XLOOKUP(tblOrdenes[[#This Row],[id_operacion]],tblEjecucion[id_operacion],tblEjecucion[costo_plan_total],0)-tblOrdenes[[#This Row],[costo_servicio]]))</f>
        <v/>
      </c>
      <c r="AK104" s="10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2">
        <f>IF(tblOrdenes[[#This Row],[fecha_inicio]]="","",TODAY()-tblOrdenes[[#This Row],[fecha_inicio]])</f>
        <v/>
      </c>
      <c r="AB1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09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0">
        <f>IF(tblOrdenes[[#This Row],[orden]]="","",_xlfn.XLOOKUP(tblOrdenes[[#This Row],[id_operacion]],tblEjecucion[id_operacion],tblEjecucion[precio],0))</f>
        <v/>
      </c>
      <c r="AJ105" s="10">
        <f>IF(tblOrdenes[[#This Row],[orden]]="","",MAX(0,_xlfn.XLOOKUP(tblOrdenes[[#This Row],[id_operacion]],tblEjecucion[id_operacion],tblEjecucion[costo_plan_total],0)-tblOrdenes[[#This Row],[costo_servicio]]))</f>
        <v/>
      </c>
      <c r="AK105" s="10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2">
        <f>IF(tblOrdenes[[#This Row],[fecha_inicio]]="","",TODAY()-tblOrdenes[[#This Row],[fecha_inicio]])</f>
        <v/>
      </c>
      <c r="AB1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08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0">
        <f>IF(tblOrdenes[[#This Row],[orden]]="","",_xlfn.XLOOKUP(tblOrdenes[[#This Row],[id_operacion]],tblEjecucion[id_operacion],tblEjecucion[precio],0))</f>
        <v/>
      </c>
      <c r="AJ106" s="10">
        <f>IF(tblOrdenes[[#This Row],[orden]]="","",MAX(0,_xlfn.XLOOKUP(tblOrdenes[[#This Row],[id_operacion]],tblEjecucion[id_operacion],tblEjecucion[costo_plan_total],0)-tblOrdenes[[#This Row],[costo_servicio]]))</f>
        <v/>
      </c>
      <c r="AK106" s="10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2">
        <f>IF(tblOrdenes[[#This Row],[fecha_inicio]]="","",TODAY()-tblOrdenes[[#This Row],[fecha_inicio]])</f>
        <v/>
      </c>
      <c r="AB1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09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0">
        <f>IF(tblOrdenes[[#This Row],[orden]]="","",_xlfn.XLOOKUP(tblOrdenes[[#This Row],[id_operacion]],tblEjecucion[id_operacion],tblEjecucion[precio],0))</f>
        <v/>
      </c>
      <c r="AJ107" s="10">
        <f>IF(tblOrdenes[[#This Row],[orden]]="","",MAX(0,_xlfn.XLOOKUP(tblOrdenes[[#This Row],[id_operacion]],tblEjecucion[id_operacion],tblEjecucion[costo_plan_total],0)-tblOrdenes[[#This Row],[costo_servicio]]))</f>
        <v/>
      </c>
      <c r="AK107" s="10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2">
        <f>IF(tblOrdenes[[#This Row],[fecha_inicio]]="","",TODAY()-tblOrdenes[[#This Row],[fecha_inicio]])</f>
        <v/>
      </c>
      <c r="AB1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08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0">
        <f>IF(tblOrdenes[[#This Row],[orden]]="","",_xlfn.XLOOKUP(tblOrdenes[[#This Row],[id_operacion]],tblEjecucion[id_operacion],tblEjecucion[precio],0))</f>
        <v/>
      </c>
      <c r="AJ108" s="10">
        <f>IF(tblOrdenes[[#This Row],[orden]]="","",MAX(0,_xlfn.XLOOKUP(tblOrdenes[[#This Row],[id_operacion]],tblEjecucion[id_operacion],tblEjecucion[costo_plan_total],0)-tblOrdenes[[#This Row],[costo_servicio]]))</f>
        <v/>
      </c>
      <c r="AK108" s="10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2">
        <f>IF(tblOrdenes[[#This Row],[fecha_inicio]]="","",TODAY()-tblOrdenes[[#This Row],[fecha_inicio]])</f>
        <v/>
      </c>
      <c r="AB1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09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0">
        <f>IF(tblOrdenes[[#This Row],[orden]]="","",_xlfn.XLOOKUP(tblOrdenes[[#This Row],[id_operacion]],tblEjecucion[id_operacion],tblEjecucion[precio],0))</f>
        <v/>
      </c>
      <c r="AJ109" s="10">
        <f>IF(tblOrdenes[[#This Row],[orden]]="","",MAX(0,_xlfn.XLOOKUP(tblOrdenes[[#This Row],[id_operacion]],tblEjecucion[id_operacion],tblEjecucion[costo_plan_total],0)-tblOrdenes[[#This Row],[costo_servicio]]))</f>
        <v/>
      </c>
      <c r="AK109" s="10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2">
        <f>IF(tblOrdenes[[#This Row],[fecha_inicio]]="","",TODAY()-tblOrdenes[[#This Row],[fecha_inicio]])</f>
        <v/>
      </c>
      <c r="AB1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>
        <is>
          <t>Técnico 11</t>
        </is>
      </c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0">
        <f>IF(tblOrdenes[[#This Row],[orden]]="","",_xlfn.XLOOKUP(tblOrdenes[[#This Row],[id_operacion]],tblEjecucion[id_operacion],tblEjecucion[precio],0))</f>
        <v/>
      </c>
      <c r="AJ110" s="10">
        <f>IF(tblOrdenes[[#This Row],[orden]]="","",MAX(0,_xlfn.XLOOKUP(tblOrdenes[[#This Row],[id_operacion]],tblEjecucion[id_operacion],tblEjecucion[costo_plan_total],0)-tblOrdenes[[#This Row],[costo_servicio]]))</f>
        <v/>
      </c>
      <c r="AK110" s="10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>
        <is>
          <t>ACT-04.pdf</t>
        </is>
      </c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2">
        <f>IF(tblOrdenes[[#This Row],[fecha_inicio]]="","",TODAY()-tblOrdenes[[#This Row],[fecha_inicio]])</f>
        <v/>
      </c>
      <c r="AB1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0">
        <f>IF(tblOrdenes[[#This Row],[orden]]="","",_xlfn.XLOOKUP(tblOrdenes[[#This Row],[id_operacion]],tblEjecucion[id_operacion],tblEjecucion[precio],0))</f>
        <v/>
      </c>
      <c r="AJ111" s="10">
        <f>IF(tblOrdenes[[#This Row],[orden]]="","",MAX(0,_xlfn.XLOOKUP(tblOrdenes[[#This Row],[id_operacion]],tblEjecucion[id_operacion],tblEjecucion[costo_plan_total],0)-tblOrdenes[[#This Row],[costo_servicio]]))</f>
        <v/>
      </c>
      <c r="AK111" s="10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>
        <is>
          <t>ACT-01.pdf</t>
        </is>
      </c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2">
        <f>IF(tblOrdenes[[#This Row],[fecha_inicio]]="","",TODAY()-tblOrdenes[[#This Row],[fecha_inicio]])</f>
        <v/>
      </c>
      <c r="AB1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>
        <is>
          <t>Técnico 10</t>
        </is>
      </c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0">
        <f>IF(tblOrdenes[[#This Row],[orden]]="","",_xlfn.XLOOKUP(tblOrdenes[[#This Row],[id_operacion]],tblEjecucion[id_operacion],tblEjecucion[precio],0))</f>
        <v/>
      </c>
      <c r="AJ112" s="10">
        <f>IF(tblOrdenes[[#This Row],[orden]]="","",MAX(0,_xlfn.XLOOKUP(tblOrdenes[[#This Row],[id_operacion]],tblEjecucion[id_operacion],tblEjecucion[costo_plan_total],0)-tblOrdenes[[#This Row],[costo_servicio]]))</f>
        <v/>
      </c>
      <c r="AK112" s="10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>
        <is>
          <t>ACT-02.pdf</t>
        </is>
      </c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2">
        <f>IF(tblOrdenes[[#This Row],[fecha_inicio]]="","",TODAY()-tblOrdenes[[#This Row],[fecha_inicio]])</f>
        <v/>
      </c>
      <c r="AB1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>
        <is>
          <t>Técnico 11</t>
        </is>
      </c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0">
        <f>IF(tblOrdenes[[#This Row],[orden]]="","",_xlfn.XLOOKUP(tblOrdenes[[#This Row],[id_operacion]],tblEjecucion[id_operacion],tblEjecucion[precio],0))</f>
        <v/>
      </c>
      <c r="AJ113" s="10">
        <f>IF(tblOrdenes[[#This Row],[orden]]="","",MAX(0,_xlfn.XLOOKUP(tblOrdenes[[#This Row],[id_operacion]],tblEjecucion[id_operacion],tblEjecucion[costo_plan_total],0)-tblOrdenes[[#This Row],[costo_servicio]]))</f>
        <v/>
      </c>
      <c r="AK113" s="10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>
        <is>
          <t>ACT-04.pdf</t>
        </is>
      </c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2">
        <f>IF(tblOrdenes[[#This Row],[fecha_inicio]]="","",TODAY()-tblOrdenes[[#This Row],[fecha_inicio]])</f>
        <v/>
      </c>
      <c r="AB1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12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0">
        <f>IF(tblOrdenes[[#This Row],[orden]]="","",_xlfn.XLOOKUP(tblOrdenes[[#This Row],[id_operacion]],tblEjecucion[id_operacion],tblEjecucion[precio],0))</f>
        <v/>
      </c>
      <c r="AJ114" s="10">
        <f>IF(tblOrdenes[[#This Row],[orden]]="","",MAX(0,_xlfn.XLOOKUP(tblOrdenes[[#This Row],[id_operacion]],tblEjecucion[id_operacion],tblEjecucion[costo_plan_total],0)-tblOrdenes[[#This Row],[costo_servicio]]))</f>
        <v/>
      </c>
      <c r="AK114" s="10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2">
        <f>IF(tblOrdenes[[#This Row],[fecha_inicio]]="","",TODAY()-tblOrdenes[[#This Row],[fecha_inicio]])</f>
        <v/>
      </c>
      <c r="AB1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10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0">
        <f>IF(tblOrdenes[[#This Row],[orden]]="","",_xlfn.XLOOKUP(tblOrdenes[[#This Row],[id_operacion]],tblEjecucion[id_operacion],tblEjecucion[precio],0))</f>
        <v/>
      </c>
      <c r="AJ115" s="10">
        <f>IF(tblOrdenes[[#This Row],[orden]]="","",MAX(0,_xlfn.XLOOKUP(tblOrdenes[[#This Row],[id_operacion]],tblEjecucion[id_operacion],tblEjecucion[costo_plan_total],0)-tblOrdenes[[#This Row],[costo_servicio]]))</f>
        <v/>
      </c>
      <c r="AK115" s="10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>
        <is>
          <t>ACT-02.pdf</t>
        </is>
      </c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2">
        <f>IF(tblOrdenes[[#This Row],[fecha_inicio]]="","",TODAY()-tblOrdenes[[#This Row],[fecha_inicio]])</f>
        <v/>
      </c>
      <c r="AB1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>
        <is>
          <t>Técnico 11</t>
        </is>
      </c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0">
        <f>IF(tblOrdenes[[#This Row],[orden]]="","",_xlfn.XLOOKUP(tblOrdenes[[#This Row],[id_operacion]],tblEjecucion[id_operacion],tblEjecucion[precio],0))</f>
        <v/>
      </c>
      <c r="AJ116" s="10">
        <f>IF(tblOrdenes[[#This Row],[orden]]="","",MAX(0,_xlfn.XLOOKUP(tblOrdenes[[#This Row],[id_operacion]],tblEjecucion[id_operacion],tblEjecucion[costo_plan_total],0)-tblOrdenes[[#This Row],[costo_servicio]]))</f>
        <v/>
      </c>
      <c r="AK116" s="10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>
        <is>
          <t>ACT-04.pdf</t>
        </is>
      </c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2">
        <f>IF(tblOrdenes[[#This Row],[fecha_inicio]]="","",TODAY()-tblOrdenes[[#This Row],[fecha_inicio]])</f>
        <v/>
      </c>
      <c r="AB1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12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0">
        <f>IF(tblOrdenes[[#This Row],[orden]]="","",_xlfn.XLOOKUP(tblOrdenes[[#This Row],[id_operacion]],tblEjecucion[id_operacion],tblEjecucion[precio],0))</f>
        <v/>
      </c>
      <c r="AJ117" s="10">
        <f>IF(tblOrdenes[[#This Row],[orden]]="","",MAX(0,_xlfn.XLOOKUP(tblOrdenes[[#This Row],[id_operacion]],tblEjecucion[id_operacion],tblEjecucion[costo_plan_total],0)-tblOrdenes[[#This Row],[costo_servicio]]))</f>
        <v/>
      </c>
      <c r="AK117" s="10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>
        <is>
          <t>ACT-01.pdf</t>
        </is>
      </c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2">
        <f>IF(tblOrdenes[[#This Row],[fecha_inicio]]="","",TODAY()-tblOrdenes[[#This Row],[fecha_inicio]])</f>
        <v/>
      </c>
      <c r="AB1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10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0">
        <f>IF(tblOrdenes[[#This Row],[orden]]="","",_xlfn.XLOOKUP(tblOrdenes[[#This Row],[id_operacion]],tblEjecucion[id_operacion],tblEjecucion[precio],0))</f>
        <v/>
      </c>
      <c r="AJ118" s="10">
        <f>IF(tblOrdenes[[#This Row],[orden]]="","",MAX(0,_xlfn.XLOOKUP(tblOrdenes[[#This Row],[id_operacion]],tblEjecucion[id_operacion],tblEjecucion[costo_plan_total],0)-tblOrdenes[[#This Row],[costo_servicio]]))</f>
        <v/>
      </c>
      <c r="AK118" s="10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>
        <is>
          <t>ACT-02.pdf</t>
        </is>
      </c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2">
        <f>IF(tblOrdenes[[#This Row],[fecha_inicio]]="","",TODAY()-tblOrdenes[[#This Row],[fecha_inicio]])</f>
        <v/>
      </c>
      <c r="AB1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0">
        <f>IF(tblOrdenes[[#This Row],[orden]]="","",_xlfn.XLOOKUP(tblOrdenes[[#This Row],[id_operacion]],tblEjecucion[id_operacion],tblEjecucion[precio],0))</f>
        <v/>
      </c>
      <c r="AJ119" s="10">
        <f>IF(tblOrdenes[[#This Row],[orden]]="","",MAX(0,_xlfn.XLOOKUP(tblOrdenes[[#This Row],[id_operacion]],tblEjecucion[id_operacion],tblEjecucion[costo_plan_total],0)-tblOrdenes[[#This Row],[costo_servicio]]))</f>
        <v/>
      </c>
      <c r="AK119" s="10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>
        <is>
          <t>ACT-04.pdf</t>
        </is>
      </c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2">
        <f>IF(tblOrdenes[[#This Row],[fecha_inicio]]="","",TODAY()-tblOrdenes[[#This Row],[fecha_inicio]])</f>
        <v/>
      </c>
      <c r="AB1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>
        <is>
          <t>Técnico 12</t>
        </is>
      </c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0">
        <f>IF(tblOrdenes[[#This Row],[orden]]="","",_xlfn.XLOOKUP(tblOrdenes[[#This Row],[id_operacion]],tblEjecucion[id_operacion],tblEjecucion[precio],0))</f>
        <v/>
      </c>
      <c r="AJ120" s="10">
        <f>IF(tblOrdenes[[#This Row],[orden]]="","",MAX(0,_xlfn.XLOOKUP(tblOrdenes[[#This Row],[id_operacion]],tblEjecucion[id_operacion],tblEjecucion[costo_plan_total],0)-tblOrdenes[[#This Row],[costo_servicio]]))</f>
        <v/>
      </c>
      <c r="AK120" s="10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2">
        <f>IF(tblOrdenes[[#This Row],[fecha_inicio]]="","",TODAY()-tblOrdenes[[#This Row],[fecha_inicio]])</f>
        <v/>
      </c>
      <c r="AB1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>
        <is>
          <t>Técnico 10</t>
        </is>
      </c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0">
        <f>IF(tblOrdenes[[#This Row],[orden]]="","",_xlfn.XLOOKUP(tblOrdenes[[#This Row],[id_operacion]],tblEjecucion[id_operacion],tblEjecucion[precio],0))</f>
        <v/>
      </c>
      <c r="AJ121" s="10">
        <f>IF(tblOrdenes[[#This Row],[orden]]="","",MAX(0,_xlfn.XLOOKUP(tblOrdenes[[#This Row],[id_operacion]],tblEjecucion[id_operacion],tblEjecucion[costo_plan_total],0)-tblOrdenes[[#This Row],[costo_servicio]]))</f>
        <v/>
      </c>
      <c r="AK121" s="10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>
        <is>
          <t>ACT-02.pdf</t>
        </is>
      </c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2">
        <f>IF(tblOrdenes[[#This Row],[fecha_inicio]]="","",TODAY()-tblOrdenes[[#This Row],[fecha_inicio]])</f>
        <v/>
      </c>
      <c r="AB1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>
        <is>
          <t>Técnico 11</t>
        </is>
      </c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0">
        <f>IF(tblOrdenes[[#This Row],[orden]]="","",_xlfn.XLOOKUP(tblOrdenes[[#This Row],[id_operacion]],tblEjecucion[id_operacion],tblEjecucion[precio],0))</f>
        <v/>
      </c>
      <c r="AJ122" s="10">
        <f>IF(tblOrdenes[[#This Row],[orden]]="","",MAX(0,_xlfn.XLOOKUP(tblOrdenes[[#This Row],[id_operacion]],tblEjecucion[id_operacion],tblEjecucion[costo_plan_total],0)-tblOrdenes[[#This Row],[costo_servicio]]))</f>
        <v/>
      </c>
      <c r="AK122" s="10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>
        <is>
          <t>ACT-04.pdf</t>
        </is>
      </c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2">
        <f>IF(tblOrdenes[[#This Row],[fecha_inicio]]="","",TODAY()-tblOrdenes[[#This Row],[fecha_inicio]])</f>
        <v/>
      </c>
      <c r="AB1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0">
        <f>IF(tblOrdenes[[#This Row],[orden]]="","",_xlfn.XLOOKUP(tblOrdenes[[#This Row],[id_operacion]],tblEjecucion[id_operacion],tblEjecucion[precio],0))</f>
        <v/>
      </c>
      <c r="AJ123" s="10">
        <f>IF(tblOrdenes[[#This Row],[orden]]="","",MAX(0,_xlfn.XLOOKUP(tblOrdenes[[#This Row],[id_operacion]],tblEjecucion[id_operacion],tblEjecucion[costo_plan_total],0)-tblOrdenes[[#This Row],[costo_servicio]]))</f>
        <v/>
      </c>
      <c r="AK123" s="10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>
        <is>
          <t>ACT-01.pdf</t>
        </is>
      </c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2">
        <f>IF(tblOrdenes[[#This Row],[fecha_inicio]]="","",TODAY()-tblOrdenes[[#This Row],[fecha_inicio]])</f>
        <v/>
      </c>
      <c r="AB1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>
        <is>
          <t>Técnico 10</t>
        </is>
      </c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0">
        <f>IF(tblOrdenes[[#This Row],[orden]]="","",_xlfn.XLOOKUP(tblOrdenes[[#This Row],[id_operacion]],tblEjecucion[id_operacion],tblEjecucion[precio],0))</f>
        <v/>
      </c>
      <c r="AJ124" s="10">
        <f>IF(tblOrdenes[[#This Row],[orden]]="","",MAX(0,_xlfn.XLOOKUP(tblOrdenes[[#This Row],[id_operacion]],tblEjecucion[id_operacion],tblEjecucion[costo_plan_total],0)-tblOrdenes[[#This Row],[costo_servicio]]))</f>
        <v/>
      </c>
      <c r="AK124" s="10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2">
        <f>IF(tblOrdenes[[#This Row],[fecha_inicio]]="","",TODAY()-tblOrdenes[[#This Row],[fecha_inicio]])</f>
        <v/>
      </c>
      <c r="AB1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>
        <is>
          <t>Técnico 11</t>
        </is>
      </c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0">
        <f>IF(tblOrdenes[[#This Row],[orden]]="","",_xlfn.XLOOKUP(tblOrdenes[[#This Row],[id_operacion]],tblEjecucion[id_operacion],tblEjecucion[precio],0))</f>
        <v/>
      </c>
      <c r="AJ125" s="10">
        <f>IF(tblOrdenes[[#This Row],[orden]]="","",MAX(0,_xlfn.XLOOKUP(tblOrdenes[[#This Row],[id_operacion]],tblEjecucion[id_operacion],tblEjecucion[costo_plan_total],0)-tblOrdenes[[#This Row],[costo_servicio]]))</f>
        <v/>
      </c>
      <c r="AK125" s="10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>
        <is>
          <t>ACT-04.pdf</t>
        </is>
      </c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2">
        <f>IF(tblOrdenes[[#This Row],[fecha_inicio]]="","",TODAY()-tblOrdenes[[#This Row],[fecha_inicio]])</f>
        <v/>
      </c>
      <c r="AB1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>
        <is>
          <t>Técnico 12</t>
        </is>
      </c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0">
        <f>IF(tblOrdenes[[#This Row],[orden]]="","",_xlfn.XLOOKUP(tblOrdenes[[#This Row],[id_operacion]],tblEjecucion[id_operacion],tblEjecucion[precio],0))</f>
        <v/>
      </c>
      <c r="AJ126" s="10">
        <f>IF(tblOrdenes[[#This Row],[orden]]="","",MAX(0,_xlfn.XLOOKUP(tblOrdenes[[#This Row],[id_operacion]],tblEjecucion[id_operacion],tblEjecucion[costo_plan_total],0)-tblOrdenes[[#This Row],[costo_servicio]]))</f>
        <v/>
      </c>
      <c r="AK126" s="10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>
        <is>
          <t>ACT-01.pdf</t>
        </is>
      </c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2">
        <f>IF(tblOrdenes[[#This Row],[fecha_inicio]]="","",TODAY()-tblOrdenes[[#This Row],[fecha_inicio]])</f>
        <v/>
      </c>
      <c r="AB1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>
        <is>
          <t>Técnico 10</t>
        </is>
      </c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0">
        <f>IF(tblOrdenes[[#This Row],[orden]]="","",_xlfn.XLOOKUP(tblOrdenes[[#This Row],[id_operacion]],tblEjecucion[id_operacion],tblEjecucion[precio],0))</f>
        <v/>
      </c>
      <c r="AJ127" s="10">
        <f>IF(tblOrdenes[[#This Row],[orden]]="","",MAX(0,_xlfn.XLOOKUP(tblOrdenes[[#This Row],[id_operacion]],tblEjecucion[id_operacion],tblEjecucion[costo_plan_total],0)-tblOrdenes[[#This Row],[costo_servicio]]))</f>
        <v/>
      </c>
      <c r="AK127" s="10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>
        <is>
          <t>ACT-02.pdf</t>
        </is>
      </c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2">
        <f>IF(tblOrdenes[[#This Row],[fecha_inicio]]="","",TODAY()-tblOrdenes[[#This Row],[fecha_inicio]])</f>
        <v/>
      </c>
      <c r="AB1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>
        <is>
          <t>Técnico 11</t>
        </is>
      </c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0">
        <f>IF(tblOrdenes[[#This Row],[orden]]="","",_xlfn.XLOOKUP(tblOrdenes[[#This Row],[id_operacion]],tblEjecucion[id_operacion],tblEjecucion[precio],0))</f>
        <v/>
      </c>
      <c r="AJ128" s="10">
        <f>IF(tblOrdenes[[#This Row],[orden]]="","",MAX(0,_xlfn.XLOOKUP(tblOrdenes[[#This Row],[id_operacion]],tblEjecucion[id_operacion],tblEjecucion[costo_plan_total],0)-tblOrdenes[[#This Row],[costo_servicio]]))</f>
        <v/>
      </c>
      <c r="AK128" s="10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2">
        <f>IF(tblOrdenes[[#This Row],[fecha_inicio]]="","",TODAY()-tblOrdenes[[#This Row],[fecha_inicio]])</f>
        <v/>
      </c>
      <c r="AB1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0">
        <f>IF(tblOrdenes[[#This Row],[orden]]="","",_xlfn.XLOOKUP(tblOrdenes[[#This Row],[id_operacion]],tblEjecucion[id_operacion],tblEjecucion[precio],0))</f>
        <v/>
      </c>
      <c r="AJ129" s="10">
        <f>IF(tblOrdenes[[#This Row],[orden]]="","",MAX(0,_xlfn.XLOOKUP(tblOrdenes[[#This Row],[id_operacion]],tblEjecucion[id_operacion],tblEjecucion[costo_plan_total],0)-tblOrdenes[[#This Row],[costo_servicio]]))</f>
        <v/>
      </c>
      <c r="AK129" s="10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2">
        <f>IF(tblOrdenes[[#This Row],[fecha_inicio]]="","",TODAY()-tblOrdenes[[#This Row],[fecha_inicio]])</f>
        <v/>
      </c>
      <c r="AB1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0">
        <f>IF(tblOrdenes[[#This Row],[orden]]="","",_xlfn.XLOOKUP(tblOrdenes[[#This Row],[id_operacion]],tblEjecucion[id_operacion],tblEjecucion[precio],0))</f>
        <v/>
      </c>
      <c r="AJ130" s="10">
        <f>IF(tblOrdenes[[#This Row],[orden]]="","",MAX(0,_xlfn.XLOOKUP(tblOrdenes[[#This Row],[id_operacion]],tblEjecucion[id_operacion],tblEjecucion[costo_plan_total],0)-tblOrdenes[[#This Row],[costo_servicio]]))</f>
        <v/>
      </c>
      <c r="AK130" s="10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2">
        <f>IF(tblOrdenes[[#This Row],[fecha_inicio]]="","",TODAY()-tblOrdenes[[#This Row],[fecha_inicio]])</f>
        <v/>
      </c>
      <c r="AB1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0">
        <f>IF(tblOrdenes[[#This Row],[orden]]="","",_xlfn.XLOOKUP(tblOrdenes[[#This Row],[id_operacion]],tblEjecucion[id_operacion],tblEjecucion[precio],0))</f>
        <v/>
      </c>
      <c r="AJ131" s="10">
        <f>IF(tblOrdenes[[#This Row],[orden]]="","",MAX(0,_xlfn.XLOOKUP(tblOrdenes[[#This Row],[id_operacion]],tblEjecucion[id_operacion],tblEjecucion[costo_plan_total],0)-tblOrdenes[[#This Row],[costo_servicio]]))</f>
        <v/>
      </c>
      <c r="AK131" s="10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2">
        <f>IF(tblOrdenes[[#This Row],[fecha_inicio]]="","",TODAY()-tblOrdenes[[#This Row],[fecha_inicio]])</f>
        <v/>
      </c>
      <c r="AB1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0">
        <f>IF(tblOrdenes[[#This Row],[orden]]="","",_xlfn.XLOOKUP(tblOrdenes[[#This Row],[id_operacion]],tblEjecucion[id_operacion],tblEjecucion[precio],0))</f>
        <v/>
      </c>
      <c r="AJ132" s="10">
        <f>IF(tblOrdenes[[#This Row],[orden]]="","",MAX(0,_xlfn.XLOOKUP(tblOrdenes[[#This Row],[id_operacion]],tblEjecucion[id_operacion],tblEjecucion[costo_plan_total],0)-tblOrdenes[[#This Row],[costo_servicio]]))</f>
        <v/>
      </c>
      <c r="AK132" s="10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EQ-101</t>
        </is>
      </c>
      <c r="D133" s="3" t="inlineStr">
        <is>
          <t>Reparación de falla en EQ-101</t>
        </is>
      </c>
      <c r="E133" s="3" t="inlineStr">
        <is>
          <t>EQ-101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1" t="n">
        <v>46228</v>
      </c>
      <c r="K133" s="3" t="n">
        <v>6</v>
      </c>
      <c r="L133" s="10" t="n">
        <v>240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2">
        <f>IF(tblOrdenes[[#This Row],[fecha_inicio]]="","",TODAY()-tblOrdenes[[#This Row],[fecha_inicio]])</f>
        <v/>
      </c>
      <c r="AB1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>
        <is>
          <t>Técnico 01</t>
        </is>
      </c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0">
        <f>IF(tblOrdenes[[#This Row],[orden]]="","",_xlfn.XLOOKUP(tblOrdenes[[#This Row],[id_operacion]],tblEjecucion[id_operacion],tblEjecucion[precio],0))</f>
        <v/>
      </c>
      <c r="AJ133" s="10">
        <f>IF(tblOrdenes[[#This Row],[orden]]="","",MAX(0,_xlfn.XLOOKUP(tblOrdenes[[#This Row],[id_operacion]],tblEjecucion[id_operacion],tblEjecucion[costo_plan_total],0)-tblOrdenes[[#This Row],[costo_servicio]]))</f>
        <v/>
      </c>
      <c r="AK133" s="10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EQ-102</t>
        </is>
      </c>
      <c r="D134" s="3" t="inlineStr">
        <is>
          <t>Reparación de falla en EQ-102</t>
        </is>
      </c>
      <c r="E134" s="3" t="inlineStr">
        <is>
          <t>EQ-102</t>
        </is>
      </c>
      <c r="F134" s="3" t="inlineStr">
        <is>
          <t>CC-120</t>
        </is>
      </c>
      <c r="G134" s="3" t="inlineStr">
        <is>
          <t>PU-ELE</t>
        </is>
      </c>
      <c r="H134" s="3" t="inlineStr">
        <is>
          <t>ACT-03</t>
        </is>
      </c>
      <c r="I134" s="3" t="inlineStr">
        <is>
          <t>TIPO-C2</t>
        </is>
      </c>
      <c r="J134" s="11" t="n">
        <v>46228</v>
      </c>
      <c r="K134" s="3" t="n">
        <v>4</v>
      </c>
      <c r="L134" s="10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2">
        <f>IF(tblOrdenes[[#This Row],[fecha_inicio]]="","",TODAY()-tblOrdenes[[#This Row],[fecha_inicio]])</f>
        <v/>
      </c>
      <c r="AB1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>
        <is>
          <t>Técnico 05</t>
        </is>
      </c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0">
        <f>IF(tblOrdenes[[#This Row],[orden]]="","",_xlfn.XLOOKUP(tblOrdenes[[#This Row],[id_operacion]],tblEjecucion[id_operacion],tblEjecucion[precio],0))</f>
        <v/>
      </c>
      <c r="AJ134" s="10">
        <f>IF(tblOrdenes[[#This Row],[orden]]="","",MAX(0,_xlfn.XLOOKUP(tblOrdenes[[#This Row],[id_operacion]],tblEjecucion[id_operacion],tblEjecucion[costo_plan_total],0)-tblOrdenes[[#This Row],[costo_servicio]]))</f>
        <v/>
      </c>
      <c r="AK134" s="10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CC-210</t>
        </is>
      </c>
      <c r="G135" s="3" t="inlineStr">
        <is>
          <t>PU-OP</t>
        </is>
      </c>
      <c r="H135" s="3" t="inlineStr">
        <is>
          <t>ACT-03</t>
        </is>
      </c>
      <c r="I135" s="3" t="inlineStr">
        <is>
          <t>TIPO-C1</t>
        </is>
      </c>
      <c r="J135" s="11" t="n">
        <v>46229</v>
      </c>
      <c r="K135" s="3" t="n">
        <v>8</v>
      </c>
      <c r="L135" s="10" t="n">
        <v>320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2">
        <f>IF(tblOrdenes[[#This Row],[fecha_inicio]]="","",TODAY()-tblOrdenes[[#This Row],[fecha_inicio]])</f>
        <v/>
      </c>
      <c r="AB1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0">
        <f>IF(tblOrdenes[[#This Row],[orden]]="","",_xlfn.XLOOKUP(tblOrdenes[[#This Row],[id_operacion]],tblEjecucion[id_operacion],tblEjecucion[precio],0))</f>
        <v/>
      </c>
      <c r="AJ135" s="10">
        <f>IF(tblOrdenes[[#This Row],[orden]]="","",MAX(0,_xlfn.XLOOKUP(tblOrdenes[[#This Row],[id_operacion]],tblEjecucion[id_operacion],tblEjecucion[costo_plan_total],0)-tblOrdenes[[#This Row],[costo_servicio]]))</f>
        <v/>
      </c>
      <c r="AK135" s="10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Lubricación programada — EQ-111</t>
        </is>
      </c>
      <c r="D136" s="3" t="inlineStr">
        <is>
          <t>Mantenimiento especial de CO2 (domingo laborable)</t>
        </is>
      </c>
      <c r="E136" s="3" t="inlineStr">
        <is>
          <t>EQ-111</t>
        </is>
      </c>
      <c r="F136" s="3" t="inlineStr">
        <is>
          <t>CC-330</t>
        </is>
      </c>
      <c r="G136" s="3" t="inlineStr">
        <is>
          <t>PU-OP</t>
        </is>
      </c>
      <c r="H136" s="3" t="inlineStr">
        <is>
          <t>ACT-02</t>
        </is>
      </c>
      <c r="I136" s="3" t="inlineStr">
        <is>
          <t>TIPO-P1</t>
        </is>
      </c>
      <c r="J136" s="11" t="n">
        <v>46236</v>
      </c>
      <c r="K136" s="3" t="n">
        <v>6</v>
      </c>
      <c r="L136" s="10" t="n">
        <v>150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2">
        <f>IF(tblOrdenes[[#This Row],[fecha_inicio]]="","",TODAY()-tblOrdenes[[#This Row],[fecha_inicio]])</f>
        <v/>
      </c>
      <c r="AB1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>
        <is>
          <t>Técnico 12</t>
        </is>
      </c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0">
        <f>IF(tblOrdenes[[#This Row],[orden]]="","",_xlfn.XLOOKUP(tblOrdenes[[#This Row],[id_operacion]],tblEjecucion[id_operacion],tblEjecucion[precio],0))</f>
        <v/>
      </c>
      <c r="AJ136" s="10">
        <f>IF(tblOrdenes[[#This Row],[orden]]="","",MAX(0,_xlfn.XLOOKUP(tblOrdenes[[#This Row],[id_operacion]],tblEjecucion[id_operacion],tblEjecucion[costo_plan_total],0)-tblOrdenes[[#This Row],[costo_servicio]]))</f>
        <v/>
      </c>
      <c r="AK136" s="10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OT-000001</t>
        </is>
      </c>
      <c r="B137" s="3" t="inlineStr">
        <is>
          <t>0020</t>
        </is>
      </c>
      <c r="C137" s="3" t="inlineStr">
        <is>
          <t>Lubricación programada — EQ-102</t>
        </is>
      </c>
      <c r="D137" s="3" t="inlineStr">
        <is>
          <t>Segunda operación — EQ-102</t>
        </is>
      </c>
      <c r="E137" s="3" t="inlineStr">
        <is>
          <t>EQ-102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ACT-02</t>
        </is>
      </c>
      <c r="I137" s="3" t="inlineStr">
        <is>
          <t>TIPO-P2</t>
        </is>
      </c>
      <c r="J137" s="11" t="n">
        <v>46216</v>
      </c>
      <c r="K137" s="3" t="n">
        <v>2</v>
      </c>
      <c r="L137" s="10" t="n">
        <v>50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2">
        <f>IF(tblOrdenes[[#This Row],[fecha_inicio]]="","",TODAY()-tblOrdenes[[#This Row],[fecha_inicio]])</f>
        <v/>
      </c>
      <c r="AB1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>
        <is>
          <t>Técnico 01</t>
        </is>
      </c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0">
        <f>IF(tblOrdenes[[#This Row],[orden]]="","",_xlfn.XLOOKUP(tblOrdenes[[#This Row],[id_operacion]],tblEjecucion[id_operacion],tblEjecucion[precio],0))</f>
        <v/>
      </c>
      <c r="AJ137" s="10">
        <f>IF(tblOrdenes[[#This Row],[orden]]="","",MAX(0,_xlfn.XLOOKUP(tblOrdenes[[#This Row],[id_operacion]],tblEjecucion[id_operacion],tblEjecucion[costo_plan_total],0)-tblOrdenes[[#This Row],[costo_servicio]]))</f>
        <v/>
      </c>
      <c r="AK137" s="10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OT-000041</t>
        </is>
      </c>
      <c r="B138" s="3" t="inlineStr">
        <is>
          <t>0020</t>
        </is>
      </c>
      <c r="C138" s="3" t="inlineStr">
        <is>
          <t>Análisis predictivo — EQ-107</t>
        </is>
      </c>
      <c r="D138" s="3" t="inlineStr">
        <is>
          <t>Segunda operación — EQ-107</t>
        </is>
      </c>
      <c r="E138" s="3" t="inlineStr">
        <is>
          <t>EQ-107</t>
        </is>
      </c>
      <c r="F138" s="3" t="inlineStr">
        <is>
          <t>CC-210</t>
        </is>
      </c>
      <c r="G138" s="3" t="inlineStr">
        <is>
          <t>PU-MEC</t>
        </is>
      </c>
      <c r="H138" s="3" t="inlineStr">
        <is>
          <t>ACT-04</t>
        </is>
      </c>
      <c r="I138" s="3" t="inlineStr">
        <is>
          <t>TIPO-P2</t>
        </is>
      </c>
      <c r="J138" s="11" t="n">
        <v>46237</v>
      </c>
      <c r="K138" s="3" t="n">
        <v>2</v>
      </c>
      <c r="L138" s="10" t="n">
        <v>50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2">
        <f>IF(tblOrdenes[[#This Row],[fecha_inicio]]="","",TODAY()-tblOrdenes[[#This Row],[fecha_inicio]])</f>
        <v/>
      </c>
      <c r="AB1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>
        <is>
          <t>Técnico 01</t>
        </is>
      </c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0">
        <f>IF(tblOrdenes[[#This Row],[orden]]="","",_xlfn.XLOOKUP(tblOrdenes[[#This Row],[id_operacion]],tblEjecucion[id_operacion],tblEjecucion[precio],0))</f>
        <v/>
      </c>
      <c r="AJ138" s="10">
        <f>IF(tblOrdenes[[#This Row],[orden]]="","",MAX(0,_xlfn.XLOOKUP(tblOrdenes[[#This Row],[id_operacion]],tblEjecucion[id_operacion],tblEjecucion[costo_plan_total],0)-tblOrdenes[[#This Row],[costo_servicio]]))</f>
        <v/>
      </c>
      <c r="AK138" s="10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OT-000081</t>
        </is>
      </c>
      <c r="B139" s="3" t="inlineStr">
        <is>
          <t>0020</t>
        </is>
      </c>
      <c r="C139" s="3" t="inlineStr">
        <is>
          <t>Inspección de rutina — EQ-102</t>
        </is>
      </c>
      <c r="D139" s="3" t="inlineStr">
        <is>
          <t>Segunda operación — EQ-102</t>
        </is>
      </c>
      <c r="E139" s="3" t="inlineStr">
        <is>
          <t>EQ-102</t>
        </is>
      </c>
      <c r="F139" s="3" t="inlineStr">
        <is>
          <t>CC-120</t>
        </is>
      </c>
      <c r="G139" s="3" t="inlineStr">
        <is>
          <t>PU-ELE</t>
        </is>
      </c>
      <c r="H139" s="3" t="inlineStr">
        <is>
          <t>ACT-01</t>
        </is>
      </c>
      <c r="I139" s="3" t="inlineStr">
        <is>
          <t>TIPO-P2</t>
        </is>
      </c>
      <c r="J139" s="11" t="n">
        <v>46237</v>
      </c>
      <c r="K139" s="3" t="n">
        <v>2</v>
      </c>
      <c r="L139" s="10" t="n">
        <v>50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2">
        <f>IF(tblOrdenes[[#This Row],[fecha_inicio]]="","",TODAY()-tblOrdenes[[#This Row],[fecha_inicio]])</f>
        <v/>
      </c>
      <c r="AB1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>
        <is>
          <t>Técnico 07</t>
        </is>
      </c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0">
        <f>IF(tblOrdenes[[#This Row],[orden]]="","",_xlfn.XLOOKUP(tblOrdenes[[#This Row],[id_operacion]],tblEjecucion[id_operacion],tblEjecucion[precio],0))</f>
        <v/>
      </c>
      <c r="AJ139" s="10">
        <f>IF(tblOrdenes[[#This Row],[orden]]="","",MAX(0,_xlfn.XLOOKUP(tblOrdenes[[#This Row],[id_operacion]],tblEjecucion[id_operacion],tblEjecucion[costo_plan_total],0)-tblOrdenes[[#This Row],[costo_servicio]]))</f>
        <v/>
      </c>
      <c r="AK139" s="10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OT-000121</t>
        </is>
      </c>
      <c r="B140" s="3" t="inlineStr">
        <is>
          <t>0020</t>
        </is>
      </c>
      <c r="C140" s="3" t="inlineStr">
        <is>
          <t>Reparación de falla — EQ-102</t>
        </is>
      </c>
      <c r="D140" s="3" t="inlineStr">
        <is>
          <t>Segunda operación — EQ-102</t>
        </is>
      </c>
      <c r="E140" s="3" t="inlineStr">
        <is>
          <t>EQ-102</t>
        </is>
      </c>
      <c r="F140" s="3" t="inlineStr">
        <is>
          <t>CC-120</t>
        </is>
      </c>
      <c r="G140" s="3" t="inlineStr">
        <is>
          <t>PU-OP</t>
        </is>
      </c>
      <c r="H140" s="3" t="inlineStr">
        <is>
          <t>ACT-03</t>
        </is>
      </c>
      <c r="I140" s="3" t="inlineStr">
        <is>
          <t>TIPO-C2</t>
        </is>
      </c>
      <c r="J140" s="11" t="n">
        <v>46230</v>
      </c>
      <c r="K140" s="3" t="n">
        <v>2</v>
      </c>
      <c r="L140" s="10" t="n">
        <v>80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2">
        <f>IF(tblOrdenes[[#This Row],[fecha_inicio]]="","",TODAY()-tblOrdenes[[#This Row],[fecha_inicio]])</f>
        <v/>
      </c>
      <c r="AB1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>
        <is>
          <t>Técnico 10</t>
        </is>
      </c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0">
        <f>IF(tblOrdenes[[#This Row],[orden]]="","",_xlfn.XLOOKUP(tblOrdenes[[#This Row],[id_operacion]],tblEjecucion[id_operacion],tblEjecucion[precio],0))</f>
        <v/>
      </c>
      <c r="AJ140" s="10">
        <f>IF(tblOrdenes[[#This Row],[orden]]="","",MAX(0,_xlfn.XLOOKUP(tblOrdenes[[#This Row],[id_operacion]],tblEjecucion[id_operacion],tblEjecucion[costo_plan_total],0)-tblOrdenes[[#This Row],[costo_servicio]]))</f>
        <v/>
      </c>
      <c r="AK140" s="10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EQ-104</t>
        </is>
      </c>
      <c r="D141" s="3" t="inlineStr">
        <is>
          <t>Reparación de falla en EQ-104</t>
        </is>
      </c>
      <c r="E141" s="3" t="inlineStr">
        <is>
          <t>EQ-104</t>
        </is>
      </c>
      <c r="F141" s="3" t="inlineStr">
        <is>
          <t>CC-110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46179</v>
      </c>
      <c r="K141" s="3" t="n">
        <v>4</v>
      </c>
      <c r="L141" s="10" t="n">
        <v>160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2">
        <f>IF(tblOrdenes[[#This Row],[fecha_inicio]]="","",TODAY()-tblOrdenes[[#This Row],[fecha_inicio]])</f>
        <v/>
      </c>
      <c r="AB1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0">
        <f>IF(tblOrdenes[[#This Row],[orden]]="","",_xlfn.XLOOKUP(tblOrdenes[[#This Row],[id_operacion]],tblEjecucion[id_operacion],tblEjecucion[precio],0))</f>
        <v/>
      </c>
      <c r="AJ141" s="10">
        <f>IF(tblOrdenes[[#This Row],[orden]]="","",MAX(0,_xlfn.XLOOKUP(tblOrdenes[[#This Row],[id_operacion]],tblEjecucion[id_operacion],tblEjecucion[costo_plan_total],0)-tblOrdenes[[#This Row],[costo_servicio]]))</f>
        <v/>
      </c>
      <c r="AK141" s="10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EQ-105</t>
        </is>
      </c>
      <c r="D142" s="3" t="inlineStr">
        <is>
          <t>Reparación de falla en EQ-105</t>
        </is>
      </c>
      <c r="E142" s="3" t="inlineStr">
        <is>
          <t>EQ-105</t>
        </is>
      </c>
      <c r="F142" s="3" t="inlineStr">
        <is>
          <t>CC-120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46179</v>
      </c>
      <c r="K142" s="3" t="n">
        <v>6</v>
      </c>
      <c r="L142" s="10" t="n">
        <v>240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2">
        <f>IF(tblOrdenes[[#This Row],[fecha_inicio]]="","",TODAY()-tblOrdenes[[#This Row],[fecha_inicio]])</f>
        <v/>
      </c>
      <c r="AB1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0">
        <f>IF(tblOrdenes[[#This Row],[orden]]="","",_xlfn.XLOOKUP(tblOrdenes[[#This Row],[id_operacion]],tblEjecucion[id_operacion],tblEjecucion[precio],0))</f>
        <v/>
      </c>
      <c r="AJ142" s="10">
        <f>IF(tblOrdenes[[#This Row],[orden]]="","",MAX(0,_xlfn.XLOOKUP(tblOrdenes[[#This Row],[id_operacion]],tblEjecucion[id_operacion],tblEjecucion[costo_plan_total],0)-tblOrdenes[[#This Row],[costo_servicio]]))</f>
        <v/>
      </c>
      <c r="AK142" s="10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EQ-106</t>
        </is>
      </c>
      <c r="D143" s="3" t="inlineStr">
        <is>
          <t>Reparación de falla en EQ-106</t>
        </is>
      </c>
      <c r="E143" s="3" t="inlineStr">
        <is>
          <t>EQ-106</t>
        </is>
      </c>
      <c r="F143" s="3" t="inlineStr">
        <is>
          <t>CC-210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46179</v>
      </c>
      <c r="K143" s="3" t="n">
        <v>8</v>
      </c>
      <c r="L143" s="10" t="n">
        <v>320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2">
        <f>IF(tblOrdenes[[#This Row],[fecha_inicio]]="","",TODAY()-tblOrdenes[[#This Row],[fecha_inicio]])</f>
        <v/>
      </c>
      <c r="AB1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0">
        <f>IF(tblOrdenes[[#This Row],[orden]]="","",_xlfn.XLOOKUP(tblOrdenes[[#This Row],[id_operacion]],tblEjecucion[id_operacion],tblEjecucion[precio],0))</f>
        <v/>
      </c>
      <c r="AJ143" s="10">
        <f>IF(tblOrdenes[[#This Row],[orden]]="","",MAX(0,_xlfn.XLOOKUP(tblOrdenes[[#This Row],[id_operacion]],tblEjecucion[id_operacion],tblEjecucion[costo_plan_total],0)-tblOrdenes[[#This Row],[costo_servicio]]))</f>
        <v/>
      </c>
      <c r="AK143" s="10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EQ-107</t>
        </is>
      </c>
      <c r="D144" s="3" t="inlineStr">
        <is>
          <t>Inspección de rutina en EQ-107</t>
        </is>
      </c>
      <c r="E144" s="3" t="inlineStr">
        <is>
          <t>EQ-107</t>
        </is>
      </c>
      <c r="F144" s="3" t="inlineStr">
        <is>
          <t>CC-220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46179</v>
      </c>
      <c r="K144" s="3" t="n">
        <v>4</v>
      </c>
      <c r="L144" s="10" t="n">
        <v>100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2">
        <f>IF(tblOrdenes[[#This Row],[fecha_inicio]]="","",TODAY()-tblOrdenes[[#This Row],[fecha_inicio]])</f>
        <v/>
      </c>
      <c r="AB1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0">
        <f>IF(tblOrdenes[[#This Row],[orden]]="","",_xlfn.XLOOKUP(tblOrdenes[[#This Row],[id_operacion]],tblEjecucion[id_operacion],tblEjecucion[precio],0))</f>
        <v/>
      </c>
      <c r="AJ144" s="10">
        <f>IF(tblOrdenes[[#This Row],[orden]]="","",MAX(0,_xlfn.XLOOKUP(tblOrdenes[[#This Row],[id_operacion]],tblEjecucion[id_operacion],tblEjecucion[costo_plan_total],0)-tblOrdenes[[#This Row],[costo_servicio]]))</f>
        <v/>
      </c>
      <c r="AK144" s="10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CC-310</t>
        </is>
      </c>
      <c r="G145" s="3" t="inlineStr">
        <is>
          <t>PU-MEC</t>
        </is>
      </c>
      <c r="H145" s="3" t="inlineStr">
        <is>
          <t>ACT-03</t>
        </is>
      </c>
      <c r="I145" s="3" t="inlineStr">
        <is>
          <t>TIPO-C1</t>
        </is>
      </c>
      <c r="J145" s="11" t="n">
        <v>46179</v>
      </c>
      <c r="K145" s="3" t="n">
        <v>6</v>
      </c>
      <c r="L145" s="10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2">
        <f>IF(tblOrdenes[[#This Row],[fecha_inicio]]="","",TODAY()-tblOrdenes[[#This Row],[fecha_inicio]])</f>
        <v/>
      </c>
      <c r="AB1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0">
        <f>IF(tblOrdenes[[#This Row],[orden]]="","",_xlfn.XLOOKUP(tblOrdenes[[#This Row],[id_operacion]],tblEjecucion[id_operacion],tblEjecucion[precio],0))</f>
        <v/>
      </c>
      <c r="AJ145" s="10">
        <f>IF(tblOrdenes[[#This Row],[orden]]="","",MAX(0,_xlfn.XLOOKUP(tblOrdenes[[#This Row],[id_operacion]],tblEjecucion[id_operacion],tblEjecucion[costo_plan_total],0)-tblOrdenes[[#This Row],[costo_servicio]]))</f>
        <v/>
      </c>
      <c r="AK145" s="10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CC-311</t>
        </is>
      </c>
      <c r="G146" s="3" t="inlineStr">
        <is>
          <t>PU-ELE</t>
        </is>
      </c>
      <c r="H146" s="3" t="inlineStr">
        <is>
          <t>ACT-03</t>
        </is>
      </c>
      <c r="I146" s="3" t="inlineStr">
        <is>
          <t>TIPO-C2</t>
        </is>
      </c>
      <c r="J146" s="11" t="n">
        <v>46179</v>
      </c>
      <c r="K146" s="3" t="n">
        <v>8</v>
      </c>
      <c r="L146" s="10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2">
        <f>IF(tblOrdenes[[#This Row],[fecha_inicio]]="","",TODAY()-tblOrdenes[[#This Row],[fecha_inicio]])</f>
        <v/>
      </c>
      <c r="AB1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0">
        <f>IF(tblOrdenes[[#This Row],[orden]]="","",_xlfn.XLOOKUP(tblOrdenes[[#This Row],[id_operacion]],tblEjecucion[id_operacion],tblEjecucion[precio],0))</f>
        <v/>
      </c>
      <c r="AJ146" s="10">
        <f>IF(tblOrdenes[[#This Row],[orden]]="","",MAX(0,_xlfn.XLOOKUP(tblOrdenes[[#This Row],[id_operacion]],tblEjecucion[id_operacion],tblEjecucion[costo_plan_total],0)-tblOrdenes[[#This Row],[costo_servicio]]))</f>
        <v/>
      </c>
      <c r="AK146" s="10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EQ-110</t>
        </is>
      </c>
      <c r="D147" s="3" t="inlineStr">
        <is>
          <t>Reparación de falla en EQ-110</t>
        </is>
      </c>
      <c r="E147" s="3" t="inlineStr">
        <is>
          <t>EQ-110</t>
        </is>
      </c>
      <c r="F147" s="3" t="inlineStr">
        <is>
          <t>CC-320</t>
        </is>
      </c>
      <c r="G147" s="3" t="inlineStr">
        <is>
          <t>PU-AUT</t>
        </is>
      </c>
      <c r="H147" s="3" t="inlineStr">
        <is>
          <t>ACT-03</t>
        </is>
      </c>
      <c r="I147" s="3" t="inlineStr">
        <is>
          <t>TIPO-C1</t>
        </is>
      </c>
      <c r="J147" s="11" t="n">
        <v>46179</v>
      </c>
      <c r="K147" s="3" t="n">
        <v>4</v>
      </c>
      <c r="L147" s="10" t="n">
        <v>160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2">
        <f>IF(tblOrdenes[[#This Row],[fecha_inicio]]="","",TODAY()-tblOrdenes[[#This Row],[fecha_inicio]])</f>
        <v/>
      </c>
      <c r="AB1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0">
        <f>IF(tblOrdenes[[#This Row],[orden]]="","",_xlfn.XLOOKUP(tblOrdenes[[#This Row],[id_operacion]],tblEjecucion[id_operacion],tblEjecucion[precio],0))</f>
        <v/>
      </c>
      <c r="AJ147" s="10">
        <f>IF(tblOrdenes[[#This Row],[orden]]="","",MAX(0,_xlfn.XLOOKUP(tblOrdenes[[#This Row],[id_operacion]],tblEjecucion[id_operacion],tblEjecucion[costo_plan_total],0)-tblOrdenes[[#This Row],[costo_servicio]]))</f>
        <v/>
      </c>
      <c r="AK147" s="10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CC-321</t>
        </is>
      </c>
      <c r="G148" s="3" t="inlineStr">
        <is>
          <t>PU-OP</t>
        </is>
      </c>
      <c r="H148" s="3" t="inlineStr">
        <is>
          <t>ACT-02</t>
        </is>
      </c>
      <c r="I148" s="3" t="inlineStr">
        <is>
          <t>TIPO-P2</t>
        </is>
      </c>
      <c r="J148" s="11" t="n">
        <v>46179</v>
      </c>
      <c r="K148" s="3" t="n">
        <v>6</v>
      </c>
      <c r="L148" s="10" t="n">
        <v>150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2">
        <f>IF(tblOrdenes[[#This Row],[fecha_inicio]]="","",TODAY()-tblOrdenes[[#This Row],[fecha_inicio]])</f>
        <v/>
      </c>
      <c r="AB1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0">
        <f>IF(tblOrdenes[[#This Row],[orden]]="","",_xlfn.XLOOKUP(tblOrdenes[[#This Row],[id_operacion]],tblEjecucion[id_operacion],tblEjecucion[precio],0))</f>
        <v/>
      </c>
      <c r="AJ148" s="10">
        <f>IF(tblOrdenes[[#This Row],[orden]]="","",MAX(0,_xlfn.XLOOKUP(tblOrdenes[[#This Row],[id_operacion]],tblEjecucion[id_operacion],tblEjecucion[costo_plan_total],0)-tblOrdenes[[#This Row],[costo_servicio]]))</f>
        <v/>
      </c>
      <c r="AK148" s="10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46149</v>
      </c>
      <c r="K149" s="3" t="n">
        <v>4</v>
      </c>
      <c r="L149" s="10" t="n">
        <v>160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2">
        <f>IF(tblOrdenes[[#This Row],[fecha_inicio]]="","",TODAY()-tblOrdenes[[#This Row],[fecha_inicio]])</f>
        <v/>
      </c>
      <c r="AB1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0">
        <f>IF(tblOrdenes[[#This Row],[orden]]="","",_xlfn.XLOOKUP(tblOrdenes[[#This Row],[id_operacion]],tblEjecucion[id_operacion],tblEjecucion[precio],0))</f>
        <v/>
      </c>
      <c r="AJ149" s="10">
        <f>IF(tblOrdenes[[#This Row],[orden]]="","",MAX(0,_xlfn.XLOOKUP(tblOrdenes[[#This Row],[id_operacion]],tblEjecucion[id_operacion],tblEjecucion[costo_plan_total],0)-tblOrdenes[[#This Row],[costo_servicio]]))</f>
        <v/>
      </c>
      <c r="AK149" s="10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EQ-109</t>
        </is>
      </c>
      <c r="D150" s="3" t="inlineStr">
        <is>
          <t>Reparación de falla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46149</v>
      </c>
      <c r="K150" s="3" t="n">
        <v>6</v>
      </c>
      <c r="L150" s="10" t="n">
        <v>240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2">
        <f>IF(tblOrdenes[[#This Row],[fecha_inicio]]="","",TODAY()-tblOrdenes[[#This Row],[fecha_inicio]])</f>
        <v/>
      </c>
      <c r="AB1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0">
        <f>IF(tblOrdenes[[#This Row],[orden]]="","",_xlfn.XLOOKUP(tblOrdenes[[#This Row],[id_operacion]],tblEjecucion[id_operacion],tblEjecucion[precio],0))</f>
        <v/>
      </c>
      <c r="AJ150" s="10">
        <f>IF(tblOrdenes[[#This Row],[orden]]="","",MAX(0,_xlfn.XLOOKUP(tblOrdenes[[#This Row],[id_operacion]],tblEjecucion[id_operacion],tblEjecucion[costo_plan_total],0)-tblOrdenes[[#This Row],[costo_servicio]]))</f>
        <v/>
      </c>
      <c r="AK150" s="10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PU-OP</t>
        </is>
      </c>
      <c r="H151" s="3" t="inlineStr">
        <is>
          <t>ACT-03</t>
        </is>
      </c>
      <c r="I151" s="3" t="inlineStr">
        <is>
          <t>TIPO-C1</t>
        </is>
      </c>
      <c r="J151" s="11" t="n">
        <v>46149</v>
      </c>
      <c r="K151" s="3" t="n">
        <v>8</v>
      </c>
      <c r="L151" s="10" t="n">
        <v>320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2">
        <f>IF(tblOrdenes[[#This Row],[fecha_inicio]]="","",TODAY()-tblOrdenes[[#This Row],[fecha_inicio]])</f>
        <v/>
      </c>
      <c r="AB1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0">
        <f>IF(tblOrdenes[[#This Row],[orden]]="","",_xlfn.XLOOKUP(tblOrdenes[[#This Row],[id_operacion]],tblEjecucion[id_operacion],tblEjecucion[precio],0))</f>
        <v/>
      </c>
      <c r="AJ151" s="10">
        <f>IF(tblOrdenes[[#This Row],[orden]]="","",MAX(0,_xlfn.XLOOKUP(tblOrdenes[[#This Row],[id_operacion]],tblEjecucion[id_operacion],tblEjecucion[costo_plan_total],0)-tblOrdenes[[#This Row],[costo_servicio]]))</f>
        <v/>
      </c>
      <c r="AK151" s="10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PU-MEC</t>
        </is>
      </c>
      <c r="H152" s="3" t="inlineStr">
        <is>
          <t>ACT-04</t>
        </is>
      </c>
      <c r="I152" s="3" t="inlineStr">
        <is>
          <t>TIPO-P2</t>
        </is>
      </c>
      <c r="J152" s="11" t="n">
        <v>46149</v>
      </c>
      <c r="K152" s="3" t="n">
        <v>4</v>
      </c>
      <c r="L152" s="10" t="n">
        <v>100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2">
        <f>IF(tblOrdenes[[#This Row],[fecha_inicio]]="","",TODAY()-tblOrdenes[[#This Row],[fecha_inicio]])</f>
        <v/>
      </c>
      <c r="AB1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0">
        <f>IF(tblOrdenes[[#This Row],[orden]]="","",_xlfn.XLOOKUP(tblOrdenes[[#This Row],[id_operacion]],tblEjecucion[id_operacion],tblEjecucion[precio],0))</f>
        <v/>
      </c>
      <c r="AJ152" s="10">
        <f>IF(tblOrdenes[[#This Row],[orden]]="","",MAX(0,_xlfn.XLOOKUP(tblOrdenes[[#This Row],[id_operacion]],tblEjecucion[id_operacion],tblEjecucion[costo_plan_total],0)-tblOrdenes[[#This Row],[costo_servicio]]))</f>
        <v/>
      </c>
      <c r="AK152" s="10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PU-ELE</t>
        </is>
      </c>
      <c r="H153" s="3" t="inlineStr">
        <is>
          <t>ACT-03</t>
        </is>
      </c>
      <c r="I153" s="3" t="inlineStr">
        <is>
          <t>TIPO-C1</t>
        </is>
      </c>
      <c r="J153" s="11" t="n">
        <v>46149</v>
      </c>
      <c r="K153" s="3" t="n">
        <v>6</v>
      </c>
      <c r="L153" s="10" t="n">
        <v>240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2">
        <f>IF(tblOrdenes[[#This Row],[fecha_inicio]]="","",TODAY()-tblOrdenes[[#This Row],[fecha_inicio]])</f>
        <v/>
      </c>
      <c r="AB1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0">
        <f>IF(tblOrdenes[[#This Row],[orden]]="","",_xlfn.XLOOKUP(tblOrdenes[[#This Row],[id_operacion]],tblEjecucion[id_operacion],tblEjecucion[precio],0))</f>
        <v/>
      </c>
      <c r="AJ153" s="10">
        <f>IF(tblOrdenes[[#This Row],[orden]]="","",MAX(0,_xlfn.XLOOKUP(tblOrdenes[[#This Row],[id_operacion]],tblEjecucion[id_operacion],tblEjecucion[costo_plan_total],0)-tblOrdenes[[#This Row],[costo_servicio]]))</f>
        <v/>
      </c>
      <c r="AK153" s="10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Reparación de falla — EQ-111</t>
        </is>
      </c>
      <c r="D154" s="3" t="inlineStr">
        <is>
          <t>Reparación de falla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PU-AUT</t>
        </is>
      </c>
      <c r="H154" s="3" t="inlineStr">
        <is>
          <t>ACT-03</t>
        </is>
      </c>
      <c r="I154" s="3" t="inlineStr">
        <is>
          <t>TIPO-C2</t>
        </is>
      </c>
      <c r="J154" s="11" t="n">
        <v>46149</v>
      </c>
      <c r="K154" s="3" t="n">
        <v>8</v>
      </c>
      <c r="L154" s="10" t="n">
        <v>320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2">
        <f>IF(tblOrdenes[[#This Row],[fecha_inicio]]="","",TODAY()-tblOrdenes[[#This Row],[fecha_inicio]])</f>
        <v/>
      </c>
      <c r="AB1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0">
        <f>IF(tblOrdenes[[#This Row],[orden]]="","",_xlfn.XLOOKUP(tblOrdenes[[#This Row],[id_operacion]],tblEjecucion[id_operacion],tblEjecucion[precio],0))</f>
        <v/>
      </c>
      <c r="AJ154" s="10">
        <f>IF(tblOrdenes[[#This Row],[orden]]="","",MAX(0,_xlfn.XLOOKUP(tblOrdenes[[#This Row],[id_operacion]],tblEjecucion[id_operacion],tblEjecucion[costo_plan_total],0)-tblOrdenes[[#This Row],[costo_servicio]]))</f>
        <v/>
      </c>
      <c r="AK154" s="10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EQ-106</t>
        </is>
      </c>
      <c r="D155" s="3" t="inlineStr">
        <is>
          <t>Reparación de falla en EQ-106</t>
        </is>
      </c>
      <c r="E155" s="3" t="inlineStr">
        <is>
          <t>EQ-106</t>
        </is>
      </c>
      <c r="F155" s="3" t="inlineStr">
        <is>
          <t>CC-210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46124</v>
      </c>
      <c r="K155" s="3" t="n">
        <v>4</v>
      </c>
      <c r="L155" s="10" t="n">
        <v>160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2">
        <f>IF(tblOrdenes[[#This Row],[fecha_inicio]]="","",TODAY()-tblOrdenes[[#This Row],[fecha_inicio]])</f>
        <v/>
      </c>
      <c r="AB1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0">
        <f>IF(tblOrdenes[[#This Row],[orden]]="","",_xlfn.XLOOKUP(tblOrdenes[[#This Row],[id_operacion]],tblEjecucion[id_operacion],tblEjecucion[precio],0))</f>
        <v/>
      </c>
      <c r="AJ155" s="10">
        <f>IF(tblOrdenes[[#This Row],[orden]]="","",MAX(0,_xlfn.XLOOKUP(tblOrdenes[[#This Row],[id_operacion]],tblEjecucion[id_operacion],tblEjecucion[costo_plan_total],0)-tblOrdenes[[#This Row],[costo_servicio]]))</f>
        <v/>
      </c>
      <c r="AK155" s="10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EQ-107</t>
        </is>
      </c>
      <c r="D156" s="3" t="inlineStr">
        <is>
          <t>Reparación de falla en EQ-107</t>
        </is>
      </c>
      <c r="E156" s="3" t="inlineStr">
        <is>
          <t>EQ-107</t>
        </is>
      </c>
      <c r="F156" s="3" t="inlineStr">
        <is>
          <t>CC-220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46124</v>
      </c>
      <c r="K156" s="3" t="n">
        <v>6</v>
      </c>
      <c r="L156" s="10" t="n">
        <v>240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2">
        <f>IF(tblOrdenes[[#This Row],[fecha_inicio]]="","",TODAY()-tblOrdenes[[#This Row],[fecha_inicio]])</f>
        <v/>
      </c>
      <c r="AB1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0">
        <f>IF(tblOrdenes[[#This Row],[orden]]="","",_xlfn.XLOOKUP(tblOrdenes[[#This Row],[id_operacion]],tblEjecucion[id_operacion],tblEjecucion[precio],0))</f>
        <v/>
      </c>
      <c r="AJ156" s="10">
        <f>IF(tblOrdenes[[#This Row],[orden]]="","",MAX(0,_xlfn.XLOOKUP(tblOrdenes[[#This Row],[id_operacion]],tblEjecucion[id_operacion],tblEjecucion[costo_plan_total],0)-tblOrdenes[[#This Row],[costo_servicio]]))</f>
        <v/>
      </c>
      <c r="AK156" s="10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CC-310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1" t="n">
        <v>46124</v>
      </c>
      <c r="K157" s="3" t="n">
        <v>8</v>
      </c>
      <c r="L157" s="10" t="n">
        <v>320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2">
        <f>IF(tblOrdenes[[#This Row],[fecha_inicio]]="","",TODAY()-tblOrdenes[[#This Row],[fecha_inicio]])</f>
        <v/>
      </c>
      <c r="AB1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0">
        <f>IF(tblOrdenes[[#This Row],[orden]]="","",_xlfn.XLOOKUP(tblOrdenes[[#This Row],[id_operacion]],tblEjecucion[id_operacion],tblEjecucion[precio],0))</f>
        <v/>
      </c>
      <c r="AJ157" s="10">
        <f>IF(tblOrdenes[[#This Row],[orden]]="","",MAX(0,_xlfn.XLOOKUP(tblOrdenes[[#This Row],[id_operacion]],tblEjecucion[id_operacion],tblEjecucion[costo_plan_total],0)-tblOrdenes[[#This Row],[costo_servicio]]))</f>
        <v/>
      </c>
      <c r="AK157" s="10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EQ-112</t>
        </is>
      </c>
      <c r="D158" s="3" t="inlineStr">
        <is>
          <t>Análisis predictivo en EQ-112</t>
        </is>
      </c>
      <c r="E158" s="3" t="inlineStr">
        <is>
          <t>EQ-112</t>
        </is>
      </c>
      <c r="F158" s="3" t="inlineStr">
        <is>
          <t>CC-311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1" t="n">
        <v>46124</v>
      </c>
      <c r="K158" s="3" t="n">
        <v>4</v>
      </c>
      <c r="L158" s="10" t="n">
        <v>100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2">
        <f>IF(tblOrdenes[[#This Row],[fecha_inicio]]="","",TODAY()-tblOrdenes[[#This Row],[fecha_inicio]])</f>
        <v/>
      </c>
      <c r="AB1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0">
        <f>IF(tblOrdenes[[#This Row],[orden]]="","",_xlfn.XLOOKUP(tblOrdenes[[#This Row],[id_operacion]],tblEjecucion[id_operacion],tblEjecucion[precio],0))</f>
        <v/>
      </c>
      <c r="AJ158" s="10">
        <f>IF(tblOrdenes[[#This Row],[orden]]="","",MAX(0,_xlfn.XLOOKUP(tblOrdenes[[#This Row],[id_operacion]],tblEjecucion[id_operacion],tblEjecucion[costo_plan_total],0)-tblOrdenes[[#This Row],[costo_servicio]]))</f>
        <v/>
      </c>
      <c r="AK158" s="10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1" t="n">
        <v>46124</v>
      </c>
      <c r="K159" s="3" t="n">
        <v>6</v>
      </c>
      <c r="L159" s="10" t="n">
        <v>240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2">
        <f>IF(tblOrdenes[[#This Row],[fecha_inicio]]="","",TODAY()-tblOrdenes[[#This Row],[fecha_inicio]])</f>
        <v/>
      </c>
      <c r="AB1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0">
        <f>IF(tblOrdenes[[#This Row],[orden]]="","",_xlfn.XLOOKUP(tblOrdenes[[#This Row],[id_operacion]],tblEjecucion[id_operacion],tblEjecucion[precio],0))</f>
        <v/>
      </c>
      <c r="AJ159" s="10">
        <f>IF(tblOrdenes[[#This Row],[orden]]="","",MAX(0,_xlfn.XLOOKUP(tblOrdenes[[#This Row],[id_operacion]],tblEjecucion[id_operacion],tblEjecucion[costo_plan_total],0)-tblOrdenes[[#This Row],[costo_servicio]]))</f>
        <v/>
      </c>
      <c r="AK159" s="10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Reparación de falla — EQ-111</t>
        </is>
      </c>
      <c r="D160" s="3" t="inlineStr">
        <is>
          <t>Reparación de falla en EQ-111</t>
        </is>
      </c>
      <c r="E160" s="3" t="inlineStr">
        <is>
          <t>EQ-111</t>
        </is>
      </c>
      <c r="F160" s="3" t="inlineStr">
        <is>
          <t>CC-321</t>
        </is>
      </c>
      <c r="G160" s="3" t="inlineStr">
        <is>
          <t>PU-OP</t>
        </is>
      </c>
      <c r="H160" s="3" t="inlineStr">
        <is>
          <t>ACT-03</t>
        </is>
      </c>
      <c r="I160" s="3" t="inlineStr">
        <is>
          <t>TIPO-C2</t>
        </is>
      </c>
      <c r="J160" s="11" t="n">
        <v>46124</v>
      </c>
      <c r="K160" s="3" t="n">
        <v>8</v>
      </c>
      <c r="L160" s="10" t="n">
        <v>320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2">
        <f>IF(tblOrdenes[[#This Row],[fecha_inicio]]="","",TODAY()-tblOrdenes[[#This Row],[fecha_inicio]])</f>
        <v/>
      </c>
      <c r="AB1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0">
        <f>IF(tblOrdenes[[#This Row],[orden]]="","",_xlfn.XLOOKUP(tblOrdenes[[#This Row],[id_operacion]],tblEjecucion[id_operacion],tblEjecucion[precio],0))</f>
        <v/>
      </c>
      <c r="AJ160" s="10">
        <f>IF(tblOrdenes[[#This Row],[orden]]="","",MAX(0,_xlfn.XLOOKUP(tblOrdenes[[#This Row],[id_operacion]],tblEjecucion[id_operacion],tblEjecucion[costo_plan_total],0)-tblOrdenes[[#This Row],[costo_servicio]]))</f>
        <v/>
      </c>
      <c r="AK160" s="10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PU-OP</t>
        </is>
      </c>
      <c r="H161" s="3" t="inlineStr">
        <is>
          <t>ACT-03</t>
        </is>
      </c>
      <c r="I161" s="3" t="inlineStr">
        <is>
          <t>TIPO-C1</t>
        </is>
      </c>
      <c r="J161" s="11" t="n">
        <v>46104</v>
      </c>
      <c r="K161" s="3" t="n">
        <v>4</v>
      </c>
      <c r="L161" s="10" t="n">
        <v>160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2">
        <f>IF(tblOrdenes[[#This Row],[fecha_inicio]]="","",TODAY()-tblOrdenes[[#This Row],[fecha_inicio]])</f>
        <v/>
      </c>
      <c r="AB1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0">
        <f>IF(tblOrdenes[[#This Row],[orden]]="","",_xlfn.XLOOKUP(tblOrdenes[[#This Row],[id_operacion]],tblEjecucion[id_operacion],tblEjecucion[precio],0))</f>
        <v/>
      </c>
      <c r="AJ161" s="10">
        <f>IF(tblOrdenes[[#This Row],[orden]]="","",MAX(0,_xlfn.XLOOKUP(tblOrdenes[[#This Row],[id_operacion]],tblEjecucion[id_operacion],tblEjecucion[costo_plan_total],0)-tblOrdenes[[#This Row],[costo_servicio]]))</f>
        <v/>
      </c>
      <c r="AK161" s="10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PU-MEC</t>
        </is>
      </c>
      <c r="H162" s="3" t="inlineStr">
        <is>
          <t>ACT-03</t>
        </is>
      </c>
      <c r="I162" s="3" t="inlineStr">
        <is>
          <t>TIPO-C2</t>
        </is>
      </c>
      <c r="J162" s="11" t="n">
        <v>46104</v>
      </c>
      <c r="K162" s="3" t="n">
        <v>6</v>
      </c>
      <c r="L162" s="10" t="n">
        <v>240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2">
        <f>IF(tblOrdenes[[#This Row],[fecha_inicio]]="","",TODAY()-tblOrdenes[[#This Row],[fecha_inicio]])</f>
        <v/>
      </c>
      <c r="AB1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0">
        <f>IF(tblOrdenes[[#This Row],[orden]]="","",_xlfn.XLOOKUP(tblOrdenes[[#This Row],[id_operacion]],tblEjecucion[id_operacion],tblEjecucion[precio],0))</f>
        <v/>
      </c>
      <c r="AJ162" s="10">
        <f>IF(tblOrdenes[[#This Row],[orden]]="","",MAX(0,_xlfn.XLOOKUP(tblOrdenes[[#This Row],[id_operacion]],tblEjecucion[id_operacion],tblEjecucion[costo_plan_total],0)-tblOrdenes[[#This Row],[costo_servicio]]))</f>
        <v/>
      </c>
      <c r="AK162" s="10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CC-311</t>
        </is>
      </c>
      <c r="G163" s="3" t="inlineStr">
        <is>
          <t>PU-ELE</t>
        </is>
      </c>
      <c r="H163" s="3" t="inlineStr">
        <is>
          <t>ACT-03</t>
        </is>
      </c>
      <c r="I163" s="3" t="inlineStr">
        <is>
          <t>TIPO-C1</t>
        </is>
      </c>
      <c r="J163" s="11" t="n">
        <v>46104</v>
      </c>
      <c r="K163" s="3" t="n">
        <v>8</v>
      </c>
      <c r="L163" s="10" t="n">
        <v>320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2">
        <f>IF(tblOrdenes[[#This Row],[fecha_inicio]]="","",TODAY()-tblOrdenes[[#This Row],[fecha_inicio]])</f>
        <v/>
      </c>
      <c r="AB1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0">
        <f>IF(tblOrdenes[[#This Row],[orden]]="","",_xlfn.XLOOKUP(tblOrdenes[[#This Row],[id_operacion]],tblEjecucion[id_operacion],tblEjecucion[precio],0))</f>
        <v/>
      </c>
      <c r="AJ163" s="10">
        <f>IF(tblOrdenes[[#This Row],[orden]]="","",MAX(0,_xlfn.XLOOKUP(tblOrdenes[[#This Row],[id_operacion]],tblEjecucion[id_operacion],tblEjecucion[costo_plan_total],0)-tblOrdenes[[#This Row],[costo_servicio]]))</f>
        <v/>
      </c>
      <c r="AK163" s="10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CC-320</t>
        </is>
      </c>
      <c r="G164" s="3" t="inlineStr">
        <is>
          <t>PU-AUT</t>
        </is>
      </c>
      <c r="H164" s="3" t="inlineStr">
        <is>
          <t>ACT-04</t>
        </is>
      </c>
      <c r="I164" s="3" t="inlineStr">
        <is>
          <t>TIPO-P2</t>
        </is>
      </c>
      <c r="J164" s="11" t="n">
        <v>46104</v>
      </c>
      <c r="K164" s="3" t="n">
        <v>4</v>
      </c>
      <c r="L164" s="10" t="n">
        <v>100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2">
        <f>IF(tblOrdenes[[#This Row],[fecha_inicio]]="","",TODAY()-tblOrdenes[[#This Row],[fecha_inicio]])</f>
        <v/>
      </c>
      <c r="AB1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0">
        <f>IF(tblOrdenes[[#This Row],[orden]]="","",_xlfn.XLOOKUP(tblOrdenes[[#This Row],[id_operacion]],tblEjecucion[id_operacion],tblEjecucion[precio],0))</f>
        <v/>
      </c>
      <c r="AJ164" s="10">
        <f>IF(tblOrdenes[[#This Row],[orden]]="","",MAX(0,_xlfn.XLOOKUP(tblOrdenes[[#This Row],[id_operacion]],tblEjecucion[id_operacion],tblEjecucion[costo_plan_total],0)-tblOrdenes[[#This Row],[costo_servicio]]))</f>
        <v/>
      </c>
      <c r="AK164" s="10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Reparación de falla — EQ-110</t>
        </is>
      </c>
      <c r="D165" s="3" t="inlineStr">
        <is>
          <t>Reparación de falla en EQ-110</t>
        </is>
      </c>
      <c r="E165" s="3" t="inlineStr">
        <is>
          <t>EQ-110</t>
        </is>
      </c>
      <c r="F165" s="3" t="inlineStr">
        <is>
          <t>CC-310</t>
        </is>
      </c>
      <c r="G165" s="3" t="inlineStr">
        <is>
          <t>PU-MEC</t>
        </is>
      </c>
      <c r="H165" s="3" t="inlineStr">
        <is>
          <t>ACT-03</t>
        </is>
      </c>
      <c r="I165" s="3" t="inlineStr">
        <is>
          <t>TIPO-C1</t>
        </is>
      </c>
      <c r="J165" s="11" t="n">
        <v>46074</v>
      </c>
      <c r="K165" s="3" t="n">
        <v>4</v>
      </c>
      <c r="L165" s="10" t="n">
        <v>160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2">
        <f>IF(tblOrdenes[[#This Row],[fecha_inicio]]="","",TODAY()-tblOrdenes[[#This Row],[fecha_inicio]])</f>
        <v/>
      </c>
      <c r="AB1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0">
        <f>IF(tblOrdenes[[#This Row],[orden]]="","",_xlfn.XLOOKUP(tblOrdenes[[#This Row],[id_operacion]],tblEjecucion[id_operacion],tblEjecucion[precio],0))</f>
        <v/>
      </c>
      <c r="AJ165" s="10">
        <f>IF(tblOrdenes[[#This Row],[orden]]="","",MAX(0,_xlfn.XLOOKUP(tblOrdenes[[#This Row],[id_operacion]],tblEjecucion[id_operacion],tblEjecucion[costo_plan_total],0)-tblOrdenes[[#This Row],[costo_servicio]]))</f>
        <v/>
      </c>
      <c r="AK165" s="10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EQ-111</t>
        </is>
      </c>
      <c r="D166" s="3" t="inlineStr">
        <is>
          <t>Reparación de falla en EQ-111</t>
        </is>
      </c>
      <c r="E166" s="3" t="inlineStr">
        <is>
          <t>EQ-111</t>
        </is>
      </c>
      <c r="F166" s="3" t="inlineStr">
        <is>
          <t>CC-311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46074</v>
      </c>
      <c r="K166" s="3" t="n">
        <v>6</v>
      </c>
      <c r="L166" s="10" t="n">
        <v>240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2">
        <f>IF(tblOrdenes[[#This Row],[fecha_inicio]]="","",TODAY()-tblOrdenes[[#This Row],[fecha_inicio]])</f>
        <v/>
      </c>
      <c r="AB1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0">
        <f>IF(tblOrdenes[[#This Row],[orden]]="","",_xlfn.XLOOKUP(tblOrdenes[[#This Row],[id_operacion]],tblEjecucion[id_operacion],tblEjecucion[precio],0))</f>
        <v/>
      </c>
      <c r="AJ166" s="10">
        <f>IF(tblOrdenes[[#This Row],[orden]]="","",MAX(0,_xlfn.XLOOKUP(tblOrdenes[[#This Row],[id_operacion]],tblEjecucion[id_operacion],tblEjecucion[costo_plan_total],0)-tblOrdenes[[#This Row],[costo_servicio]]))</f>
        <v/>
      </c>
      <c r="AK166" s="10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Reparación de falla — EQ-112</t>
        </is>
      </c>
      <c r="D167" s="3" t="inlineStr">
        <is>
          <t>Reparación de falla en EQ-112</t>
        </is>
      </c>
      <c r="E167" s="3" t="inlineStr">
        <is>
          <t>EQ-112</t>
        </is>
      </c>
      <c r="F167" s="3" t="inlineStr">
        <is>
          <t>CC-320</t>
        </is>
      </c>
      <c r="G167" s="3" t="inlineStr">
        <is>
          <t>PU-AUT</t>
        </is>
      </c>
      <c r="H167" s="3" t="inlineStr">
        <is>
          <t>ACT-03</t>
        </is>
      </c>
      <c r="I167" s="3" t="inlineStr">
        <is>
          <t>TIPO-C1</t>
        </is>
      </c>
      <c r="J167" s="11" t="n">
        <v>46074</v>
      </c>
      <c r="K167" s="3" t="n">
        <v>8</v>
      </c>
      <c r="L167" s="10" t="n">
        <v>320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2">
        <f>IF(tblOrdenes[[#This Row],[fecha_inicio]]="","",TODAY()-tblOrdenes[[#This Row],[fecha_inicio]])</f>
        <v/>
      </c>
      <c r="AB1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0">
        <f>IF(tblOrdenes[[#This Row],[orden]]="","",_xlfn.XLOOKUP(tblOrdenes[[#This Row],[id_operacion]],tblEjecucion[id_operacion],tblEjecucion[precio],0))</f>
        <v/>
      </c>
      <c r="AJ167" s="10">
        <f>IF(tblOrdenes[[#This Row],[orden]]="","",MAX(0,_xlfn.XLOOKUP(tblOrdenes[[#This Row],[id_operacion]],tblEjecucion[id_operacion],tblEjecucion[costo_plan_total],0)-tblOrdenes[[#This Row],[costo_servicio]]))</f>
        <v/>
      </c>
      <c r="AK167" s="10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EQ-110</t>
        </is>
      </c>
      <c r="D168" s="3" t="inlineStr">
        <is>
          <t>Inspección de rutina en EQ-110</t>
        </is>
      </c>
      <c r="E168" s="3" t="inlineStr">
        <is>
          <t>EQ-110</t>
        </is>
      </c>
      <c r="F168" s="3" t="inlineStr">
        <is>
          <t>CC-321</t>
        </is>
      </c>
      <c r="G168" s="3" t="inlineStr">
        <is>
          <t>PU-OP</t>
        </is>
      </c>
      <c r="H168" s="3" t="inlineStr">
        <is>
          <t>ACT-01</t>
        </is>
      </c>
      <c r="I168" s="3" t="inlineStr">
        <is>
          <t>TIPO-P2</t>
        </is>
      </c>
      <c r="J168" s="11" t="n">
        <v>46074</v>
      </c>
      <c r="K168" s="3" t="n">
        <v>4</v>
      </c>
      <c r="L168" s="10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2">
        <f>IF(tblOrdenes[[#This Row],[fecha_inicio]]="","",TODAY()-tblOrdenes[[#This Row],[fecha_inicio]])</f>
        <v/>
      </c>
      <c r="AB1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0">
        <f>IF(tblOrdenes[[#This Row],[orden]]="","",_xlfn.XLOOKUP(tblOrdenes[[#This Row],[id_operacion]],tblEjecucion[id_operacion],tblEjecucion[precio],0))</f>
        <v/>
      </c>
      <c r="AJ168" s="10">
        <f>IF(tblOrdenes[[#This Row],[orden]]="","",MAX(0,_xlfn.XLOOKUP(tblOrdenes[[#This Row],[id_operacion]],tblEjecucion[id_operacion],tblEjecucion[costo_plan_total],0)-tblOrdenes[[#This Row],[costo_servicio]]))</f>
        <v/>
      </c>
      <c r="AK168" s="10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46184</v>
      </c>
      <c r="K169" s="3" t="n">
        <v>4</v>
      </c>
      <c r="L169" s="10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2">
        <f>IF(tblOrdenes[[#This Row],[fecha_inicio]]="","",TODAY()-tblOrdenes[[#This Row],[fecha_inicio]])</f>
        <v/>
      </c>
      <c r="AB1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0">
        <f>IF(tblOrdenes[[#This Row],[orden]]="","",_xlfn.XLOOKUP(tblOrdenes[[#This Row],[id_operacion]],tblEjecucion[id_operacion],tblEjecucion[precio],0))</f>
        <v/>
      </c>
      <c r="AJ169" s="10">
        <f>IF(tblOrdenes[[#This Row],[orden]]="","",MAX(0,_xlfn.XLOOKUP(tblOrdenes[[#This Row],[id_operacion]],tblEjecucion[id_operacion],tblEjecucion[costo_plan_total],0)-tblOrdenes[[#This Row],[costo_servicio]]))</f>
        <v/>
      </c>
      <c r="AK169" s="10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EQ-103</t>
        </is>
      </c>
      <c r="D170" s="3" t="inlineStr">
        <is>
          <t>Reparación de falla en EQ-103</t>
        </is>
      </c>
      <c r="E170" s="3" t="inlineStr">
        <is>
          <t>EQ-103</t>
        </is>
      </c>
      <c r="F170" s="3" t="inlineStr">
        <is>
          <t>CC-120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46177</v>
      </c>
      <c r="K170" s="3" t="n">
        <v>6</v>
      </c>
      <c r="L170" s="10" t="n">
        <v>240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2">
        <f>IF(tblOrdenes[[#This Row],[fecha_inicio]]="","",TODAY()-tblOrdenes[[#This Row],[fecha_inicio]])</f>
        <v/>
      </c>
      <c r="AB1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0">
        <f>IF(tblOrdenes[[#This Row],[orden]]="","",_xlfn.XLOOKUP(tblOrdenes[[#This Row],[id_operacion]],tblEjecucion[id_operacion],tblEjecucion[precio],0))</f>
        <v/>
      </c>
      <c r="AJ170" s="10">
        <f>IF(tblOrdenes[[#This Row],[orden]]="","",MAX(0,_xlfn.XLOOKUP(tblOrdenes[[#This Row],[id_operacion]],tblEjecucion[id_operacion],tblEjecucion[costo_plan_total],0)-tblOrdenes[[#This Row],[costo_servicio]]))</f>
        <v/>
      </c>
      <c r="AK170" s="10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EQ-106</t>
        </is>
      </c>
      <c r="D171" s="3" t="inlineStr">
        <is>
          <t>Inspección de rutina en EQ-106</t>
        </is>
      </c>
      <c r="E171" s="3" t="inlineStr">
        <is>
          <t>EQ-106</t>
        </is>
      </c>
      <c r="F171" s="3" t="inlineStr">
        <is>
          <t>CC-210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46170</v>
      </c>
      <c r="K171" s="3" t="n">
        <v>8</v>
      </c>
      <c r="L171" s="10" t="n">
        <v>200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2">
        <f>IF(tblOrdenes[[#This Row],[fecha_inicio]]="","",TODAY()-tblOrdenes[[#This Row],[fecha_inicio]])</f>
        <v/>
      </c>
      <c r="AB1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0">
        <f>IF(tblOrdenes[[#This Row],[orden]]="","",_xlfn.XLOOKUP(tblOrdenes[[#This Row],[id_operacion]],tblEjecucion[id_operacion],tblEjecucion[precio],0))</f>
        <v/>
      </c>
      <c r="AJ171" s="10">
        <f>IF(tblOrdenes[[#This Row],[orden]]="","",MAX(0,_xlfn.XLOOKUP(tblOrdenes[[#This Row],[id_operacion]],tblEjecucion[id_operacion],tblEjecucion[costo_plan_total],0)-tblOrdenes[[#This Row],[costo_servicio]]))</f>
        <v/>
      </c>
      <c r="AK171" s="10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EQ-107</t>
        </is>
      </c>
      <c r="D172" s="3" t="inlineStr">
        <is>
          <t>Reparación de falla en EQ-107</t>
        </is>
      </c>
      <c r="E172" s="3" t="inlineStr">
        <is>
          <t>EQ-107</t>
        </is>
      </c>
      <c r="F172" s="3" t="inlineStr">
        <is>
          <t>CC-220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46163</v>
      </c>
      <c r="K172" s="3" t="n">
        <v>4</v>
      </c>
      <c r="L172" s="10" t="n">
        <v>160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2">
        <f>IF(tblOrdenes[[#This Row],[fecha_inicio]]="","",TODAY()-tblOrdenes[[#This Row],[fecha_inicio]])</f>
        <v/>
      </c>
      <c r="AB1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0">
        <f>IF(tblOrdenes[[#This Row],[orden]]="","",_xlfn.XLOOKUP(tblOrdenes[[#This Row],[id_operacion]],tblEjecucion[id_operacion],tblEjecucion[precio],0))</f>
        <v/>
      </c>
      <c r="AJ172" s="10">
        <f>IF(tblOrdenes[[#This Row],[orden]]="","",MAX(0,_xlfn.XLOOKUP(tblOrdenes[[#This Row],[id_operacion]],tblEjecucion[id_operacion],tblEjecucion[costo_plan_total],0)-tblOrdenes[[#This Row],[costo_servicio]]))</f>
        <v/>
      </c>
      <c r="AK172" s="10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46156</v>
      </c>
      <c r="K173" s="3" t="n">
        <v>6</v>
      </c>
      <c r="L173" s="10" t="n">
        <v>150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2">
        <f>IF(tblOrdenes[[#This Row],[fecha_inicio]]="","",TODAY()-tblOrdenes[[#This Row],[fecha_inicio]])</f>
        <v/>
      </c>
      <c r="AB1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0">
        <f>IF(tblOrdenes[[#This Row],[orden]]="","",_xlfn.XLOOKUP(tblOrdenes[[#This Row],[id_operacion]],tblEjecucion[id_operacion],tblEjecucion[precio],0))</f>
        <v/>
      </c>
      <c r="AJ173" s="10">
        <f>IF(tblOrdenes[[#This Row],[orden]]="","",MAX(0,_xlfn.XLOOKUP(tblOrdenes[[#This Row],[id_operacion]],tblEjecucion[id_operacion],tblEjecucion[costo_plan_total],0)-tblOrdenes[[#This Row],[costo_servicio]]))</f>
        <v/>
      </c>
      <c r="AK173" s="10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CC-311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46149</v>
      </c>
      <c r="K174" s="3" t="n">
        <v>8</v>
      </c>
      <c r="L174" s="10" t="n">
        <v>320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2">
        <f>IF(tblOrdenes[[#This Row],[fecha_inicio]]="","",TODAY()-tblOrdenes[[#This Row],[fecha_inicio]])</f>
        <v/>
      </c>
      <c r="AB1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0">
        <f>IF(tblOrdenes[[#This Row],[orden]]="","",_xlfn.XLOOKUP(tblOrdenes[[#This Row],[id_operacion]],tblEjecucion[id_operacion],tblEjecucion[precio],0))</f>
        <v/>
      </c>
      <c r="AJ174" s="10">
        <f>IF(tblOrdenes[[#This Row],[orden]]="","",MAX(0,_xlfn.XLOOKUP(tblOrdenes[[#This Row],[id_operacion]],tblEjecucion[id_operacion],tblEjecucion[costo_plan_total],0)-tblOrdenes[[#This Row],[costo_servicio]]))</f>
        <v/>
      </c>
      <c r="AK174" s="10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CC-320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46142</v>
      </c>
      <c r="K175" s="3" t="n">
        <v>4</v>
      </c>
      <c r="L175" s="10" t="n">
        <v>100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2">
        <f>IF(tblOrdenes[[#This Row],[fecha_inicio]]="","",TODAY()-tblOrdenes[[#This Row],[fecha_inicio]])</f>
        <v/>
      </c>
      <c r="AB1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0">
        <f>IF(tblOrdenes[[#This Row],[orden]]="","",_xlfn.XLOOKUP(tblOrdenes[[#This Row],[id_operacion]],tblEjecucion[id_operacion],tblEjecucion[precio],0))</f>
        <v/>
      </c>
      <c r="AJ175" s="10">
        <f>IF(tblOrdenes[[#This Row],[orden]]="","",MAX(0,_xlfn.XLOOKUP(tblOrdenes[[#This Row],[id_operacion]],tblEjecucion[id_operacion],tblEjecucion[costo_plan_total],0)-tblOrdenes[[#This Row],[costo_servicio]]))</f>
        <v/>
      </c>
      <c r="AK175" s="10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CC-321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46135</v>
      </c>
      <c r="K176" s="3" t="n">
        <v>6</v>
      </c>
      <c r="L176" s="10" t="n">
        <v>240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2">
        <f>IF(tblOrdenes[[#This Row],[fecha_inicio]]="","",TODAY()-tblOrdenes[[#This Row],[fecha_inicio]])</f>
        <v/>
      </c>
      <c r="AB1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0">
        <f>IF(tblOrdenes[[#This Row],[orden]]="","",_xlfn.XLOOKUP(tblOrdenes[[#This Row],[id_operacion]],tblEjecucion[id_operacion],tblEjecucion[precio],0))</f>
        <v/>
      </c>
      <c r="AJ176" s="10">
        <f>IF(tblOrdenes[[#This Row],[orden]]="","",MAX(0,_xlfn.XLOOKUP(tblOrdenes[[#This Row],[id_operacion]],tblEjecucion[id_operacion],tblEjecucion[costo_plan_total],0)-tblOrdenes[[#This Row],[costo_servicio]]))</f>
        <v/>
      </c>
      <c r="AK176" s="10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EQ-110</t>
        </is>
      </c>
      <c r="D177" s="3" t="inlineStr">
        <is>
          <t>Inspección de rutina en EQ-110</t>
        </is>
      </c>
      <c r="E177" s="3" t="inlineStr">
        <is>
          <t>EQ-110</t>
        </is>
      </c>
      <c r="F177" s="3" t="inlineStr">
        <is>
          <t>CC-330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46128</v>
      </c>
      <c r="K177" s="3" t="n">
        <v>8</v>
      </c>
      <c r="L177" s="10" t="n">
        <v>200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2">
        <f>IF(tblOrdenes[[#This Row],[fecha_inicio]]="","",TODAY()-tblOrdenes[[#This Row],[fecha_inicio]])</f>
        <v/>
      </c>
      <c r="AB1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0">
        <f>IF(tblOrdenes[[#This Row],[orden]]="","",_xlfn.XLOOKUP(tblOrdenes[[#This Row],[id_operacion]],tblEjecucion[id_operacion],tblEjecucion[precio],0))</f>
        <v/>
      </c>
      <c r="AJ177" s="10">
        <f>IF(tblOrdenes[[#This Row],[orden]]="","",MAX(0,_xlfn.XLOOKUP(tblOrdenes[[#This Row],[id_operacion]],tblEjecucion[id_operacion],tblEjecucion[costo_plan_total],0)-tblOrdenes[[#This Row],[costo_servicio]]))</f>
        <v/>
      </c>
      <c r="AK177" s="10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EQ-111</t>
        </is>
      </c>
      <c r="D178" s="3" t="inlineStr">
        <is>
          <t>Reparación de falla en EQ-111</t>
        </is>
      </c>
      <c r="E178" s="3" t="inlineStr">
        <is>
          <t>EQ-111</t>
        </is>
      </c>
      <c r="F178" s="3" t="inlineStr">
        <is>
          <t>CC-340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46121</v>
      </c>
      <c r="K178" s="3" t="n">
        <v>4</v>
      </c>
      <c r="L178" s="10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2">
        <f>IF(tblOrdenes[[#This Row],[fecha_inicio]]="","",TODAY()-tblOrdenes[[#This Row],[fecha_inicio]])</f>
        <v/>
      </c>
      <c r="AB1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0">
        <f>IF(tblOrdenes[[#This Row],[orden]]="","",_xlfn.XLOOKUP(tblOrdenes[[#This Row],[id_operacion]],tblEjecucion[id_operacion],tblEjecucion[precio],0))</f>
        <v/>
      </c>
      <c r="AJ178" s="10">
        <f>IF(tblOrdenes[[#This Row],[orden]]="","",MAX(0,_xlfn.XLOOKUP(tblOrdenes[[#This Row],[id_operacion]],tblEjecucion[id_operacion],tblEjecucion[costo_plan_total],0)-tblOrdenes[[#This Row],[costo_servicio]]))</f>
        <v/>
      </c>
      <c r="AK178" s="10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EQ-102</t>
        </is>
      </c>
      <c r="D179" s="3" t="inlineStr">
        <is>
          <t>Análisis predictivo en EQ-102</t>
        </is>
      </c>
      <c r="E179" s="3" t="inlineStr">
        <is>
          <t>EQ-102</t>
        </is>
      </c>
      <c r="F179" s="3" t="inlineStr">
        <is>
          <t>CC-110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46114</v>
      </c>
      <c r="K179" s="3" t="n">
        <v>6</v>
      </c>
      <c r="L179" s="10" t="n">
        <v>150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2">
        <f>IF(tblOrdenes[[#This Row],[fecha_inicio]]="","",TODAY()-tblOrdenes[[#This Row],[fecha_inicio]])</f>
        <v/>
      </c>
      <c r="AB1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0">
        <f>IF(tblOrdenes[[#This Row],[orden]]="","",_xlfn.XLOOKUP(tblOrdenes[[#This Row],[id_operacion]],tblEjecucion[id_operacion],tblEjecucion[precio],0))</f>
        <v/>
      </c>
      <c r="AJ179" s="10">
        <f>IF(tblOrdenes[[#This Row],[orden]]="","",MAX(0,_xlfn.XLOOKUP(tblOrdenes[[#This Row],[id_operacion]],tblEjecucion[id_operacion],tblEjecucion[costo_plan_total],0)-tblOrdenes[[#This Row],[costo_servicio]]))</f>
        <v/>
      </c>
      <c r="AK179" s="10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CC-120</t>
        </is>
      </c>
      <c r="G180" s="3" t="inlineStr">
        <is>
          <t>PU-OP</t>
        </is>
      </c>
      <c r="H180" s="3" t="inlineStr">
        <is>
          <t>ACT-03</t>
        </is>
      </c>
      <c r="I180" s="3" t="inlineStr">
        <is>
          <t>TIPO-C2</t>
        </is>
      </c>
      <c r="J180" s="11" t="n">
        <v>46107</v>
      </c>
      <c r="K180" s="3" t="n">
        <v>8</v>
      </c>
      <c r="L180" s="10" t="n">
        <v>320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2">
        <f>IF(tblOrdenes[[#This Row],[fecha_inicio]]="","",TODAY()-tblOrdenes[[#This Row],[fecha_inicio]])</f>
        <v/>
      </c>
      <c r="AB1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0">
        <f>IF(tblOrdenes[[#This Row],[orden]]="","",_xlfn.XLOOKUP(tblOrdenes[[#This Row],[id_operacion]],tblEjecucion[id_operacion],tblEjecucion[precio],0))</f>
        <v/>
      </c>
      <c r="AJ180" s="10">
        <f>IF(tblOrdenes[[#This Row],[orden]]="","",MAX(0,_xlfn.XLOOKUP(tblOrdenes[[#This Row],[id_operacion]],tblEjecucion[id_operacion],tblEjecucion[costo_plan_total],0)-tblOrdenes[[#This Row],[costo_servicio]]))</f>
        <v/>
      </c>
      <c r="AK180" s="10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EQ-108</t>
        </is>
      </c>
      <c r="D181" s="3" t="inlineStr">
        <is>
          <t>Lubricación programada en EQ-108</t>
        </is>
      </c>
      <c r="E181" s="3" t="inlineStr">
        <is>
          <t>EQ-108</t>
        </is>
      </c>
      <c r="F181" s="3" t="inlineStr">
        <is>
          <t>CC-210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46100</v>
      </c>
      <c r="K181" s="3" t="n">
        <v>4</v>
      </c>
      <c r="L181" s="10" t="n">
        <v>100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2">
        <f>IF(tblOrdenes[[#This Row],[fecha_inicio]]="","",TODAY()-tblOrdenes[[#This Row],[fecha_inicio]])</f>
        <v/>
      </c>
      <c r="AB1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0">
        <f>IF(tblOrdenes[[#This Row],[orden]]="","",_xlfn.XLOOKUP(tblOrdenes[[#This Row],[id_operacion]],tblEjecucion[id_operacion],tblEjecucion[precio],0))</f>
        <v/>
      </c>
      <c r="AJ181" s="10">
        <f>IF(tblOrdenes[[#This Row],[orden]]="","",MAX(0,_xlfn.XLOOKUP(tblOrdenes[[#This Row],[id_operacion]],tblEjecucion[id_operacion],tblEjecucion[costo_plan_total],0)-tblOrdenes[[#This Row],[costo_servicio]]))</f>
        <v/>
      </c>
      <c r="AK181" s="10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1" t="n">
        <v>46093</v>
      </c>
      <c r="K182" s="3" t="n">
        <v>6</v>
      </c>
      <c r="L182" s="10" t="n">
        <v>240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2">
        <f>IF(tblOrdenes[[#This Row],[fecha_inicio]]="","",TODAY()-tblOrdenes[[#This Row],[fecha_inicio]])</f>
        <v/>
      </c>
      <c r="AB1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0">
        <f>IF(tblOrdenes[[#This Row],[orden]]="","",_xlfn.XLOOKUP(tblOrdenes[[#This Row],[id_operacion]],tblEjecucion[id_operacion],tblEjecucion[precio],0))</f>
        <v/>
      </c>
      <c r="AJ182" s="10">
        <f>IF(tblOrdenes[[#This Row],[orden]]="","",MAX(0,_xlfn.XLOOKUP(tblOrdenes[[#This Row],[id_operacion]],tblEjecucion[id_operacion],tblEjecucion[costo_plan_total],0)-tblOrdenes[[#This Row],[costo_servicio]]))</f>
        <v/>
      </c>
      <c r="AK182" s="10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EQ-110</t>
        </is>
      </c>
      <c r="D183" s="3" t="inlineStr">
        <is>
          <t>Inspección de rutina en EQ-110</t>
        </is>
      </c>
      <c r="E183" s="3" t="inlineStr">
        <is>
          <t>EQ-110</t>
        </is>
      </c>
      <c r="F183" s="3" t="inlineStr">
        <is>
          <t>CC-310</t>
        </is>
      </c>
      <c r="G183" s="3" t="inlineStr">
        <is>
          <t>PU-AUT</t>
        </is>
      </c>
      <c r="H183" s="3" t="inlineStr">
        <is>
          <t>ACT-01</t>
        </is>
      </c>
      <c r="I183" s="3" t="inlineStr">
        <is>
          <t>TIPO-P1</t>
        </is>
      </c>
      <c r="J183" s="11" t="n">
        <v>46086</v>
      </c>
      <c r="K183" s="3" t="n">
        <v>8</v>
      </c>
      <c r="L183" s="10" t="n">
        <v>200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2">
        <f>IF(tblOrdenes[[#This Row],[fecha_inicio]]="","",TODAY()-tblOrdenes[[#This Row],[fecha_inicio]])</f>
        <v/>
      </c>
      <c r="AB1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0">
        <f>IF(tblOrdenes[[#This Row],[orden]]="","",_xlfn.XLOOKUP(tblOrdenes[[#This Row],[id_operacion]],tblEjecucion[id_operacion],tblEjecucion[precio],0))</f>
        <v/>
      </c>
      <c r="AJ183" s="10">
        <f>IF(tblOrdenes[[#This Row],[orden]]="","",MAX(0,_xlfn.XLOOKUP(tblOrdenes[[#This Row],[id_operacion]],tblEjecucion[id_operacion],tblEjecucion[costo_plan_total],0)-tblOrdenes[[#This Row],[costo_servicio]]))</f>
        <v/>
      </c>
      <c r="AK183" s="10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PU-MEC</t>
        </is>
      </c>
      <c r="H184" s="3" t="inlineStr">
        <is>
          <t>ACT-02</t>
        </is>
      </c>
      <c r="I184" s="3" t="inlineStr">
        <is>
          <t>TIPO-P2</t>
        </is>
      </c>
      <c r="J184" s="11" t="n">
        <v>46264</v>
      </c>
      <c r="K184" s="3" t="n">
        <v>6</v>
      </c>
      <c r="L184" s="10" t="n">
        <v>150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2">
        <f>IF(tblOrdenes[[#This Row],[fecha_inicio]]="","",TODAY()-tblOrdenes[[#This Row],[fecha_inicio]])</f>
        <v/>
      </c>
      <c r="AB1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0">
        <f>IF(tblOrdenes[[#This Row],[orden]]="","",_xlfn.XLOOKUP(tblOrdenes[[#This Row],[id_operacion]],tblEjecucion[id_operacion],tblEjecucion[precio],0))</f>
        <v/>
      </c>
      <c r="AJ184" s="10">
        <f>IF(tblOrdenes[[#This Row],[orden]]="","",MAX(0,_xlfn.XLOOKUP(tblOrdenes[[#This Row],[id_operacion]],tblEjecucion[id_operacion],tblEjecucion[costo_plan_total],0)-tblOrdenes[[#This Row],[costo_servicio]]))</f>
        <v/>
      </c>
      <c r="AK184" s="10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PU-MEC</t>
        </is>
      </c>
      <c r="H185" s="3" t="inlineStr">
        <is>
          <t>ACT-04</t>
        </is>
      </c>
      <c r="I185" s="3" t="inlineStr">
        <is>
          <t>TIPO-P1</t>
        </is>
      </c>
      <c r="J185" s="11" t="n">
        <v>46264</v>
      </c>
      <c r="K185" s="3" t="n">
        <v>6</v>
      </c>
      <c r="L185" s="10" t="n">
        <v>150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2">
        <f>IF(tblOrdenes[[#This Row],[fecha_inicio]]="","",TODAY()-tblOrdenes[[#This Row],[fecha_inicio]])</f>
        <v/>
      </c>
      <c r="AB1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0">
        <f>IF(tblOrdenes[[#This Row],[orden]]="","",_xlfn.XLOOKUP(tblOrdenes[[#This Row],[id_operacion]],tblEjecucion[id_operacion],tblEjecucion[precio],0))</f>
        <v/>
      </c>
      <c r="AJ185" s="10">
        <f>IF(tblOrdenes[[#This Row],[orden]]="","",MAX(0,_xlfn.XLOOKUP(tblOrdenes[[#This Row],[id_operacion]],tblEjecucion[id_operacion],tblEjecucion[costo_plan_total],0)-tblOrdenes[[#This Row],[costo_servicio]]))</f>
        <v/>
      </c>
      <c r="AK185" s="10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46264</v>
      </c>
      <c r="K186" s="3" t="n">
        <v>6</v>
      </c>
      <c r="L186" s="10" t="n">
        <v>150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2">
        <f>IF(tblOrdenes[[#This Row],[fecha_inicio]]="","",TODAY()-tblOrdenes[[#This Row],[fecha_inicio]])</f>
        <v/>
      </c>
      <c r="AB1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0">
        <f>IF(tblOrdenes[[#This Row],[orden]]="","",_xlfn.XLOOKUP(tblOrdenes[[#This Row],[id_operacion]],tblEjecucion[id_operacion],tblEjecucion[precio],0))</f>
        <v/>
      </c>
      <c r="AJ186" s="10">
        <f>IF(tblOrdenes[[#This Row],[orden]]="","",MAX(0,_xlfn.XLOOKUP(tblOrdenes[[#This Row],[id_operacion]],tblEjecucion[id_operacion],tblEjecucion[costo_plan_total],0)-tblOrdenes[[#This Row],[costo_servicio]]))</f>
        <v/>
      </c>
      <c r="AK186" s="10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46324</v>
      </c>
      <c r="K187" s="3" t="n">
        <v>6</v>
      </c>
      <c r="L187" s="10" t="n">
        <v>150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2">
        <f>IF(tblOrdenes[[#This Row],[fecha_inicio]]="","",TODAY()-tblOrdenes[[#This Row],[fecha_inicio]])</f>
        <v/>
      </c>
      <c r="AB1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0">
        <f>IF(tblOrdenes[[#This Row],[orden]]="","",_xlfn.XLOOKUP(tblOrdenes[[#This Row],[id_operacion]],tblEjecucion[id_operacion],tblEjecucion[precio],0))</f>
        <v/>
      </c>
      <c r="AJ187" s="10">
        <f>IF(tblOrdenes[[#This Row],[orden]]="","",MAX(0,_xlfn.XLOOKUP(tblOrdenes[[#This Row],[id_operacion]],tblEjecucion[id_operacion],tblEjecucion[costo_plan_total],0)-tblOrdenes[[#This Row],[costo_servicio]]))</f>
        <v/>
      </c>
      <c r="AK187" s="10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Análisis predictivo — EQ-101</t>
        </is>
      </c>
      <c r="D188" s="3" t="inlineStr">
        <is>
          <t>Análisis predictivo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PU-ELE</t>
        </is>
      </c>
      <c r="H188" s="3" t="inlineStr">
        <is>
          <t>ACT-04</t>
        </is>
      </c>
      <c r="I188" s="3" t="inlineStr">
        <is>
          <t>TIPO-P2</t>
        </is>
      </c>
      <c r="J188" s="11" t="n">
        <v>46324</v>
      </c>
      <c r="K188" s="3" t="n">
        <v>6</v>
      </c>
      <c r="L188" s="10" t="n">
        <v>150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2">
        <f>IF(tblOrdenes[[#This Row],[fecha_inicio]]="","",TODAY()-tblOrdenes[[#This Row],[fecha_inicio]])</f>
        <v/>
      </c>
      <c r="AB1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0">
        <f>IF(tblOrdenes[[#This Row],[orden]]="","",_xlfn.XLOOKUP(tblOrdenes[[#This Row],[id_operacion]],tblEjecucion[id_operacion],tblEjecucion[precio],0))</f>
        <v/>
      </c>
      <c r="AJ188" s="10">
        <f>IF(tblOrdenes[[#This Row],[orden]]="","",MAX(0,_xlfn.XLOOKUP(tblOrdenes[[#This Row],[id_operacion]],tblEjecucion[id_operacion],tblEjecucion[costo_plan_total],0)-tblOrdenes[[#This Row],[costo_servicio]]))</f>
        <v/>
      </c>
      <c r="AK188" s="10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Inspección de rutina — EQ-102</t>
        </is>
      </c>
      <c r="D189" s="3" t="inlineStr">
        <is>
          <t>Inspección de rutina en EQ-102</t>
        </is>
      </c>
      <c r="E189" s="3" t="inlineStr">
        <is>
          <t>EQ-102</t>
        </is>
      </c>
      <c r="F189" s="3" t="inlineStr">
        <is>
          <t>CC-110</t>
        </is>
      </c>
      <c r="G189" s="3" t="inlineStr">
        <is>
          <t>PU-AUT</t>
        </is>
      </c>
      <c r="H189" s="3" t="inlineStr">
        <is>
          <t>ACT-01</t>
        </is>
      </c>
      <c r="I189" s="3" t="inlineStr">
        <is>
          <t>TIPO-P1</t>
        </is>
      </c>
      <c r="J189" s="11" t="n">
        <v>46385</v>
      </c>
      <c r="K189" s="3" t="n">
        <v>4</v>
      </c>
      <c r="L189" s="10" t="n">
        <v>100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2">
        <f>IF(tblOrdenes[[#This Row],[fecha_inicio]]="","",TODAY()-tblOrdenes[[#This Row],[fecha_inicio]])</f>
        <v/>
      </c>
      <c r="AB1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0">
        <f>IF(tblOrdenes[[#This Row],[orden]]="","",_xlfn.XLOOKUP(tblOrdenes[[#This Row],[id_operacion]],tblEjecucion[id_operacion],tblEjecucion[precio],0))</f>
        <v/>
      </c>
      <c r="AJ189" s="10">
        <f>IF(tblOrdenes[[#This Row],[orden]]="","",MAX(0,_xlfn.XLOOKUP(tblOrdenes[[#This Row],[id_operacion]],tblEjecucion[id_operacion],tblEjecucion[costo_plan_total],0)-tblOrdenes[[#This Row],[costo_servicio]]))</f>
        <v/>
      </c>
      <c r="AK189" s="10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Lubricación programada — EQ-103</t>
        </is>
      </c>
      <c r="D190" s="3" t="inlineStr">
        <is>
          <t>Lubricación programada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PU-MEC</t>
        </is>
      </c>
      <c r="H190" s="3" t="inlineStr">
        <is>
          <t>ACT-02</t>
        </is>
      </c>
      <c r="I190" s="3" t="inlineStr">
        <is>
          <t>TIPO-P2</t>
        </is>
      </c>
      <c r="J190" s="11" t="n">
        <v>46388</v>
      </c>
      <c r="K190" s="3" t="n">
        <v>4</v>
      </c>
      <c r="L190" s="10" t="n">
        <v>100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2">
        <f>IF(tblOrdenes[[#This Row],[fecha_inicio]]="","",TODAY()-tblOrdenes[[#This Row],[fecha_inicio]])</f>
        <v/>
      </c>
      <c r="AB1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0">
        <f>IF(tblOrdenes[[#This Row],[orden]]="","",_xlfn.XLOOKUP(tblOrdenes[[#This Row],[id_operacion]],tblEjecucion[id_operacion],tblEjecucion[precio],0))</f>
        <v/>
      </c>
      <c r="AJ190" s="10">
        <f>IF(tblOrdenes[[#This Row],[orden]]="","",MAX(0,_xlfn.XLOOKUP(tblOrdenes[[#This Row],[id_operacion]],tblEjecucion[id_operacion],tblEjecucion[costo_plan_total],0)-tblOrdenes[[#This Row],[costo_servicio]]))</f>
        <v/>
      </c>
      <c r="AK190" s="10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PU-ELE</t>
        </is>
      </c>
      <c r="H191" s="3" t="inlineStr">
        <is>
          <t>ACT-04</t>
        </is>
      </c>
      <c r="I191" s="3" t="inlineStr">
        <is>
          <t>TIPO-P1</t>
        </is>
      </c>
      <c r="J191" s="11" t="n">
        <v>46392</v>
      </c>
      <c r="K191" s="3" t="n">
        <v>4</v>
      </c>
      <c r="L191" s="10" t="n">
        <v>100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2">
        <f>IF(tblOrdenes[[#This Row],[fecha_inicio]]="","",TODAY()-tblOrdenes[[#This Row],[fecha_inicio]])</f>
        <v/>
      </c>
      <c r="AB1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0">
        <f>IF(tblOrdenes[[#This Row],[orden]]="","",_xlfn.XLOOKUP(tblOrdenes[[#This Row],[id_operacion]],tblEjecucion[id_operacion],tblEjecucion[precio],0))</f>
        <v/>
      </c>
      <c r="AJ191" s="10">
        <f>IF(tblOrdenes[[#This Row],[orden]]="","",MAX(0,_xlfn.XLOOKUP(tblOrdenes[[#This Row],[id_operacion]],tblEjecucion[id_operacion],tblEjecucion[costo_plan_total],0)-tblOrdenes[[#This Row],[costo_servicio]]))</f>
        <v/>
      </c>
      <c r="AK191" s="10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OT-000900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PU-MEC</t>
        </is>
      </c>
      <c r="H192" s="3" t="inlineStr">
        <is>
          <t>ACT-03</t>
        </is>
      </c>
      <c r="I192" s="3" t="inlineStr">
        <is>
          <t>TIPO-C2</t>
        </is>
      </c>
      <c r="J192" s="11" t="n">
        <v>46174</v>
      </c>
      <c r="K192" s="3" t="n">
        <v>6</v>
      </c>
      <c r="L192" s="10" t="n">
        <v>240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2">
        <f>IF(tblOrdenes[[#This Row],[fecha_inicio]]="","",TODAY()-tblOrdenes[[#This Row],[fecha_inicio]])</f>
        <v/>
      </c>
      <c r="AB1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0">
        <f>IF(tblOrdenes[[#This Row],[orden]]="","",_xlfn.XLOOKUP(tblOrdenes[[#This Row],[id_operacion]],tblEjecucion[id_operacion],tblEjecucion[precio],0))</f>
        <v/>
      </c>
      <c r="AJ192" s="10">
        <f>IF(tblOrdenes[[#This Row],[orden]]="","",MAX(0,_xlfn.XLOOKUP(tblOrdenes[[#This Row],[id_operacion]],tblEjecucion[id_operacion],tblEjecucion[costo_plan_total],0)-tblOrdenes[[#This Row],[costo_servicio]]))</f>
        <v/>
      </c>
      <c r="AK192" s="10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OT-000900</t>
        </is>
      </c>
      <c r="B193" s="3" t="inlineStr">
        <is>
          <t>0010</t>
        </is>
      </c>
      <c r="C193" s="3" t="inlineStr">
        <is>
          <t>Reparación de falla — EQ-105</t>
        </is>
      </c>
      <c r="D193" s="3" t="inlineStr">
        <is>
          <t>Reparación de falla en EQ-105</t>
        </is>
      </c>
      <c r="E193" s="3" t="inlineStr">
        <is>
          <t>EQ-105</t>
        </is>
      </c>
      <c r="F193" s="3" t="inlineStr">
        <is>
          <t>CC-110</t>
        </is>
      </c>
      <c r="G193" s="3" t="inlineStr">
        <is>
          <t>PU-MEC</t>
        </is>
      </c>
      <c r="H193" s="3" t="inlineStr">
        <is>
          <t>ACT-03</t>
        </is>
      </c>
      <c r="I193" s="3" t="inlineStr">
        <is>
          <t>TIPO-C2</t>
        </is>
      </c>
      <c r="J193" s="11" t="n">
        <v>46174</v>
      </c>
      <c r="K193" s="3" t="n">
        <v>6</v>
      </c>
      <c r="L193" s="10" t="n">
        <v>240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2">
        <f>IF(tblOrdenes[[#This Row],[fecha_inicio]]="","",TODAY()-tblOrdenes[[#This Row],[fecha_inicio]])</f>
        <v/>
      </c>
      <c r="AB1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0">
        <f>IF(tblOrdenes[[#This Row],[orden]]="","",_xlfn.XLOOKUP(tblOrdenes[[#This Row],[id_operacion]],tblEjecucion[id_operacion],tblEjecucion[precio],0))</f>
        <v/>
      </c>
      <c r="AJ193" s="10">
        <f>IF(tblOrdenes[[#This Row],[orden]]="","",MAX(0,_xlfn.XLOOKUP(tblOrdenes[[#This Row],[id_operacion]],tblEjecucion[id_operacion],tblEjecucion[costo_plan_total],0)-tblOrdenes[[#This Row],[costo_servicio]]))</f>
        <v/>
      </c>
      <c r="AK193" s="10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OT-000901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1" t="n"/>
      <c r="K194" s="3" t="n">
        <v>4</v>
      </c>
      <c r="L194" s="10" t="n">
        <v>160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2">
        <f>IF(tblOrdenes[[#This Row],[fecha_inicio]]="","",TODAY()-tblOrdenes[[#This Row],[fecha_inicio]])</f>
        <v/>
      </c>
      <c r="AB1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0">
        <f>IF(tblOrdenes[[#This Row],[orden]]="","",_xlfn.XLOOKUP(tblOrdenes[[#This Row],[id_operacion]],tblEjecucion[id_operacion],tblEjecucion[precio],0))</f>
        <v/>
      </c>
      <c r="AJ194" s="10">
        <f>IF(tblOrdenes[[#This Row],[orden]]="","",MAX(0,_xlfn.XLOOKUP(tblOrdenes[[#This Row],[id_operacion]],tblEjecucion[id_operacion],tblEjecucion[costo_plan_total],0)-tblOrdenes[[#This Row],[costo_servicio]]))</f>
        <v/>
      </c>
      <c r="AK194" s="10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OT-000902</t>
        </is>
      </c>
      <c r="B195" s="3" t="inlineStr">
        <is>
          <t>0010</t>
        </is>
      </c>
      <c r="C195" s="3" t="inlineStr">
        <is>
          <t>Inspección de rutina — EQ-103</t>
        </is>
      </c>
      <c r="D195" s="3" t="inlineStr">
        <is>
          <t>Inspección de rutina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PU-MEC</t>
        </is>
      </c>
      <c r="H195" s="3" t="inlineStr">
        <is>
          <t>ACT-01</t>
        </is>
      </c>
      <c r="I195" s="3" t="inlineStr">
        <is>
          <t>TIPO-P1</t>
        </is>
      </c>
      <c r="J195" s="11" t="n"/>
      <c r="K195" s="3" t="n">
        <v>6</v>
      </c>
      <c r="L195" s="10" t="n">
        <v>150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2">
        <f>IF(tblOrdenes[[#This Row],[fecha_inicio]]="","",TODAY()-tblOrdenes[[#This Row],[fecha_inicio]])</f>
        <v/>
      </c>
      <c r="AB1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0">
        <f>IF(tblOrdenes[[#This Row],[orden]]="","",_xlfn.XLOOKUP(tblOrdenes[[#This Row],[id_operacion]],tblEjecucion[id_operacion],tblEjecucion[precio],0))</f>
        <v/>
      </c>
      <c r="AJ195" s="10">
        <f>IF(tblOrdenes[[#This Row],[orden]]="","",MAX(0,_xlfn.XLOOKUP(tblOrdenes[[#This Row],[id_operacion]],tblEjecucion[id_operacion],tblEjecucion[costo_plan_total],0)-tblOrdenes[[#This Row],[costo_servicio]]))</f>
        <v/>
      </c>
      <c r="AK195" s="10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OT-000903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CC-110</t>
        </is>
      </c>
      <c r="G196" s="3" t="inlineStr">
        <is>
          <t>PU-AUT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46169</v>
      </c>
      <c r="K196" s="3" t="n"/>
      <c r="L196" s="10" t="n">
        <v>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2">
        <f>IF(tblOrdenes[[#This Row],[fecha_inicio]]="","",TODAY()-tblOrdenes[[#This Row],[fecha_inicio]])</f>
        <v/>
      </c>
      <c r="AB1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0">
        <f>IF(tblOrdenes[[#This Row],[orden]]="","",_xlfn.XLOOKUP(tblOrdenes[[#This Row],[id_operacion]],tblEjecucion[id_operacion],tblEjecucion[precio],0))</f>
        <v/>
      </c>
      <c r="AJ196" s="10">
        <f>IF(tblOrdenes[[#This Row],[orden]]="","",MAX(0,_xlfn.XLOOKUP(tblOrdenes[[#This Row],[id_operacion]],tblEjecucion[id_operacion],tblEjecucion[costo_plan_total],0)-tblOrdenes[[#This Row],[costo_servicio]]))</f>
        <v/>
      </c>
      <c r="AK196" s="10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OT-000904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PU-OP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46169</v>
      </c>
      <c r="K197" s="3" t="n"/>
      <c r="L197" s="10" t="n">
        <v>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2">
        <f>IF(tblOrdenes[[#This Row],[fecha_inicio]]="","",TODAY()-tblOrdenes[[#This Row],[fecha_inicio]])</f>
        <v/>
      </c>
      <c r="AB1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0">
        <f>IF(tblOrdenes[[#This Row],[orden]]="","",_xlfn.XLOOKUP(tblOrdenes[[#This Row],[id_operacion]],tblEjecucion[id_operacion],tblEjecucion[precio],0))</f>
        <v/>
      </c>
      <c r="AJ197" s="10">
        <f>IF(tblOrdenes[[#This Row],[orden]]="","",MAX(0,_xlfn.XLOOKUP(tblOrdenes[[#This Row],[id_operacion]],tblEjecucion[id_operacion],tblEjecucion[costo_plan_total],0)-tblOrdenes[[#This Row],[costo_servicio]]))</f>
        <v/>
      </c>
      <c r="AK197" s="10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OT-000905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PU-MEC</t>
        </is>
      </c>
      <c r="H198" s="3" t="inlineStr">
        <is>
          <t>ACT-03</t>
        </is>
      </c>
      <c r="I198" s="3" t="inlineStr">
        <is>
          <t>TIPO-X9</t>
        </is>
      </c>
      <c r="J198" s="11" t="n">
        <v>46164</v>
      </c>
      <c r="K198" s="3" t="n">
        <v>4</v>
      </c>
      <c r="L198" s="10" t="n">
        <v>160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2">
        <f>IF(tblOrdenes[[#This Row],[fecha_inicio]]="","",TODAY()-tblOrdenes[[#This Row],[fecha_inicio]])</f>
        <v/>
      </c>
      <c r="AB1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0">
        <f>IF(tblOrdenes[[#This Row],[orden]]="","",_xlfn.XLOOKUP(tblOrdenes[[#This Row],[id_operacion]],tblEjecucion[id_operacion],tblEjecucion[precio],0))</f>
        <v/>
      </c>
      <c r="AJ198" s="10">
        <f>IF(tblOrdenes[[#This Row],[orden]]="","",MAX(0,_xlfn.XLOOKUP(tblOrdenes[[#This Row],[id_operacion]],tblEjecucion[id_operacion],tblEjecucion[costo_plan_total],0)-tblOrdenes[[#This Row],[costo_servicio]]))</f>
        <v/>
      </c>
      <c r="AK198" s="10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OT-000906</t>
        </is>
      </c>
      <c r="B199" s="3" t="inlineStr">
        <is>
          <t>0010</t>
        </is>
      </c>
      <c r="C199" s="3" t="inlineStr">
        <is>
          <t>Reparación de falla — EQ-102</t>
        </is>
      </c>
      <c r="D199" s="3" t="inlineStr">
        <is>
          <t>Reparación de falla en EQ-102</t>
        </is>
      </c>
      <c r="E199" s="3" t="inlineStr">
        <is>
          <t>EQ-102</t>
        </is>
      </c>
      <c r="F199" s="3" t="inlineStr">
        <is>
          <t>CC-110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TIPO-X9</t>
        </is>
      </c>
      <c r="J199" s="11" t="n">
        <v>46164</v>
      </c>
      <c r="K199" s="3" t="n">
        <v>4</v>
      </c>
      <c r="L199" s="10" t="n">
        <v>160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2">
        <f>IF(tblOrdenes[[#This Row],[fecha_inicio]]="","",TODAY()-tblOrdenes[[#This Row],[fecha_inicio]])</f>
        <v/>
      </c>
      <c r="AB1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0">
        <f>IF(tblOrdenes[[#This Row],[orden]]="","",_xlfn.XLOOKUP(tblOrdenes[[#This Row],[id_operacion]],tblEjecucion[id_operacion],tblEjecucion[precio],0))</f>
        <v/>
      </c>
      <c r="AJ199" s="10">
        <f>IF(tblOrdenes[[#This Row],[orden]]="","",MAX(0,_xlfn.XLOOKUP(tblOrdenes[[#This Row],[id_operacion]],tblEjecucion[id_operacion],tblEjecucion[costo_plan_total],0)-tblOrdenes[[#This Row],[costo_servicio]]))</f>
        <v/>
      </c>
      <c r="AK199" s="10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OT-000907</t>
        </is>
      </c>
      <c r="B200" s="3" t="inlineStr">
        <is>
          <t>0010</t>
        </is>
      </c>
      <c r="C200" s="3" t="inlineStr">
        <is>
          <t>Reparación de falla — EQ-103</t>
        </is>
      </c>
      <c r="D200" s="3" t="inlineStr">
        <is>
          <t>Reparación de falla en EQ-103</t>
        </is>
      </c>
      <c r="E200" s="3" t="inlineStr">
        <is>
          <t>EQ-103</t>
        </is>
      </c>
      <c r="F200" s="3" t="inlineStr">
        <is>
          <t>CC-999</t>
        </is>
      </c>
      <c r="G200" s="3" t="inlineStr">
        <is>
          <t>PU-MEC</t>
        </is>
      </c>
      <c r="H200" s="3" t="inlineStr">
        <is>
          <t>ACT-03</t>
        </is>
      </c>
      <c r="I200" s="3" t="inlineStr">
        <is>
          <t>TIPO-C2</t>
        </is>
      </c>
      <c r="J200" s="11" t="n">
        <v>46162</v>
      </c>
      <c r="K200" s="3" t="n">
        <v>4</v>
      </c>
      <c r="L200" s="10" t="n">
        <v>160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2">
        <f>IF(tblOrdenes[[#This Row],[fecha_inicio]]="","",TODAY()-tblOrdenes[[#This Row],[fecha_inicio]])</f>
        <v/>
      </c>
      <c r="AB2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0">
        <f>IF(tblOrdenes[[#This Row],[orden]]="","",_xlfn.XLOOKUP(tblOrdenes[[#This Row],[id_operacion]],tblEjecucion[id_operacion],tblEjecucion[precio],0))</f>
        <v/>
      </c>
      <c r="AJ200" s="10">
        <f>IF(tblOrdenes[[#This Row],[orden]]="","",MAX(0,_xlfn.XLOOKUP(tblOrdenes[[#This Row],[id_operacion]],tblEjecucion[id_operacion],tblEjecucion[costo_plan_total],0)-tblOrdenes[[#This Row],[costo_servicio]]))</f>
        <v/>
      </c>
      <c r="AK200" s="10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OT-000908</t>
        </is>
      </c>
      <c r="B201" s="3" t="inlineStr">
        <is>
          <t>0010</t>
        </is>
      </c>
      <c r="C201" s="3" t="inlineStr">
        <is>
          <t>Reparación de falla — EQ-104</t>
        </is>
      </c>
      <c r="D201" s="3" t="inlineStr">
        <is>
          <t>Reparación de falla en EQ-104</t>
        </is>
      </c>
      <c r="E201" s="3" t="inlineStr">
        <is>
          <t>EQ-104</t>
        </is>
      </c>
      <c r="F201" s="3" t="inlineStr">
        <is>
          <t>CC-110</t>
        </is>
      </c>
      <c r="G201" s="3" t="inlineStr">
        <is>
          <t>PU-XXX</t>
        </is>
      </c>
      <c r="H201" s="3" t="inlineStr">
        <is>
          <t>ACT-03</t>
        </is>
      </c>
      <c r="I201" s="3" t="inlineStr">
        <is>
          <t>TIPO-C1</t>
        </is>
      </c>
      <c r="J201" s="11" t="n">
        <v>46162</v>
      </c>
      <c r="K201" s="3" t="n">
        <v>4</v>
      </c>
      <c r="L201" s="10" t="n">
        <v>160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2">
        <f>IF(tblOrdenes[[#This Row],[fecha_inicio]]="","",TODAY()-tblOrdenes[[#This Row],[fecha_inicio]])</f>
        <v/>
      </c>
      <c r="AB2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0">
        <f>IF(tblOrdenes[[#This Row],[orden]]="","",_xlfn.XLOOKUP(tblOrdenes[[#This Row],[id_operacion]],tblEjecucion[id_operacion],tblEjecucion[precio],0))</f>
        <v/>
      </c>
      <c r="AJ201" s="10">
        <f>IF(tblOrdenes[[#This Row],[orden]]="","",MAX(0,_xlfn.XLOOKUP(tblOrdenes[[#This Row],[id_operacion]],tblEjecucion[id_operacion],tblEjecucion[costo_plan_total],0)-tblOrdenes[[#This Row],[costo_servicio]]))</f>
        <v/>
      </c>
      <c r="AK201" s="10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OT-000909</t>
        </is>
      </c>
      <c r="B202" s="3" t="inlineStr">
        <is>
          <t>0010</t>
        </is>
      </c>
      <c r="C202" s="3" t="inlineStr">
        <is>
          <t>Reparación de falla — EQ-105</t>
        </is>
      </c>
      <c r="D202" s="3" t="inlineStr">
        <is>
          <t>Reparación de falla en EQ-105</t>
        </is>
      </c>
      <c r="E202" s="3" t="inlineStr">
        <is>
          <t>EQ-105</t>
        </is>
      </c>
      <c r="F202" s="3" t="inlineStr">
        <is>
          <t>CC-110</t>
        </is>
      </c>
      <c r="G202" s="3" t="inlineStr">
        <is>
          <t>PU-AUT</t>
        </is>
      </c>
      <c r="H202" s="3" t="inlineStr">
        <is>
          <t>ACT-99</t>
        </is>
      </c>
      <c r="I202" s="3" t="inlineStr">
        <is>
          <t>TIPO-C2</t>
        </is>
      </c>
      <c r="J202" s="11" t="n">
        <v>46160</v>
      </c>
      <c r="K202" s="3" t="n">
        <v>4</v>
      </c>
      <c r="L202" s="10" t="n">
        <v>160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2">
        <f>IF(tblOrdenes[[#This Row],[fecha_inicio]]="","",TODAY()-tblOrdenes[[#This Row],[fecha_inicio]])</f>
        <v/>
      </c>
      <c r="AB2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0">
        <f>IF(tblOrdenes[[#This Row],[orden]]="","",_xlfn.XLOOKUP(tblOrdenes[[#This Row],[id_operacion]],tblEjecucion[id_operacion],tblEjecucion[precio],0))</f>
        <v/>
      </c>
      <c r="AJ202" s="10">
        <f>IF(tblOrdenes[[#This Row],[orden]]="","",MAX(0,_xlfn.XLOOKUP(tblOrdenes[[#This Row],[id_operacion]],tblEjecucion[id_operacion],tblEjecucion[costo_plan_total],0)-tblOrdenes[[#This Row],[costo_servicio]]))</f>
        <v/>
      </c>
      <c r="AK202" s="10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46189</v>
      </c>
      <c r="K203" s="3" t="n">
        <v>2</v>
      </c>
      <c r="L203" s="10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2">
        <f>IF(tblOrdenes[[#This Row],[fecha_inicio]]="","",TODAY()-tblOrdenes[[#This Row],[fecha_inicio]])</f>
        <v/>
      </c>
      <c r="AB2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0">
        <f>IF(tblOrdenes[[#This Row],[orden]]="","",_xlfn.XLOOKUP(tblOrdenes[[#This Row],[id_operacion]],tblEjecucion[id_operacion],tblEjecucion[precio],0))</f>
        <v/>
      </c>
      <c r="AJ203" s="10">
        <f>IF(tblOrdenes[[#This Row],[orden]]="","",MAX(0,_xlfn.XLOOKUP(tblOrdenes[[#This Row],[id_operacion]],tblEjecucion[id_operacion],tblEjecucion[costo_plan_total],0)-tblOrdenes[[#This Row],[costo_servicio]]))</f>
        <v/>
      </c>
      <c r="AK203" s="10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2">
        <f>IF(tblOrdenes[[#This Row],[fecha_inicio]]="","",TODAY()-tblOrdenes[[#This Row],[fecha_inicio]])</f>
        <v/>
      </c>
      <c r="AB2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0">
        <f>IF(tblOrdenes[[#This Row],[orden]]="","",_xlfn.XLOOKUP(tblOrdenes[[#This Row],[id_operacion]],tblEjecucion[id_operacion],tblEjecucion[precio],0))</f>
        <v/>
      </c>
      <c r="AJ204" s="10">
        <f>IF(tblOrdenes[[#This Row],[orden]]="","",MAX(0,_xlfn.XLOOKUP(tblOrdenes[[#This Row],[id_operacion]],tblEjecucion[id_operacion],tblEjecucion[costo_plan_total],0)-tblOrdenes[[#This Row],[costo_servicio]]))</f>
        <v/>
      </c>
      <c r="AK204" s="10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2">
        <f>IF(tblOrdenes[[#This Row],[fecha_inicio]]="","",TODAY()-tblOrdenes[[#This Row],[fecha_inicio]])</f>
        <v/>
      </c>
      <c r="AB2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0">
        <f>IF(tblOrdenes[[#This Row],[orden]]="","",_xlfn.XLOOKUP(tblOrdenes[[#This Row],[id_operacion]],tblEjecucion[id_operacion],tblEjecucion[precio],0))</f>
        <v/>
      </c>
      <c r="AJ205" s="10">
        <f>IF(tblOrdenes[[#This Row],[orden]]="","",MAX(0,_xlfn.XLOOKUP(tblOrdenes[[#This Row],[id_operacion]],tblEjecucion[id_operacion],tblEjecucion[costo_plan_total],0)-tblOrdenes[[#This Row],[costo_servicio]]))</f>
        <v/>
      </c>
      <c r="AK205" s="10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2">
        <f>IF(tblOrdenes[[#This Row],[fecha_inicio]]="","",TODAY()-tblOrdenes[[#This Row],[fecha_inicio]])</f>
        <v/>
      </c>
      <c r="AB2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0">
        <f>IF(tblOrdenes[[#This Row],[orden]]="","",_xlfn.XLOOKUP(tblOrdenes[[#This Row],[id_operacion]],tblEjecucion[id_operacion],tblEjecucion[precio],0))</f>
        <v/>
      </c>
      <c r="AJ206" s="10">
        <f>IF(tblOrdenes[[#This Row],[orden]]="","",MAX(0,_xlfn.XLOOKUP(tblOrdenes[[#This Row],[id_operacion]],tblEjecucion[id_operacion],tblEjecucion[costo_plan_total],0)-tblOrdenes[[#This Row],[costo_servicio]]))</f>
        <v/>
      </c>
      <c r="AK206" s="10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2">
        <f>IF(tblOrdenes[[#This Row],[fecha_inicio]]="","",TODAY()-tblOrdenes[[#This Row],[fecha_inicio]])</f>
        <v/>
      </c>
      <c r="AB2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0">
        <f>IF(tblOrdenes[[#This Row],[orden]]="","",_xlfn.XLOOKUP(tblOrdenes[[#This Row],[id_operacion]],tblEjecucion[id_operacion],tblEjecucion[precio],0))</f>
        <v/>
      </c>
      <c r="AJ207" s="10">
        <f>IF(tblOrdenes[[#This Row],[orden]]="","",MAX(0,_xlfn.XLOOKUP(tblOrdenes[[#This Row],[id_operacion]],tblEjecucion[id_operacion],tblEjecucion[costo_plan_total],0)-tblOrdenes[[#This Row],[costo_servicio]]))</f>
        <v/>
      </c>
      <c r="AK207" s="10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2">
        <f>IF(tblOrdenes[[#This Row],[fecha_inicio]]="","",TODAY()-tblOrdenes[[#This Row],[fecha_inicio]])</f>
        <v/>
      </c>
      <c r="AB2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0">
        <f>IF(tblOrdenes[[#This Row],[orden]]="","",_xlfn.XLOOKUP(tblOrdenes[[#This Row],[id_operacion]],tblEjecucion[id_operacion],tblEjecucion[precio],0))</f>
        <v/>
      </c>
      <c r="AJ208" s="10">
        <f>IF(tblOrdenes[[#This Row],[orden]]="","",MAX(0,_xlfn.XLOOKUP(tblOrdenes[[#This Row],[id_operacion]],tblEjecucion[id_operacion],tblEjecucion[costo_plan_total],0)-tblOrdenes[[#This Row],[costo_servicio]]))</f>
        <v/>
      </c>
      <c r="AK208" s="10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2">
        <f>IF(tblOrdenes[[#This Row],[fecha_inicio]]="","",TODAY()-tblOrdenes[[#This Row],[fecha_inicio]])</f>
        <v/>
      </c>
      <c r="AB2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0">
        <f>IF(tblOrdenes[[#This Row],[orden]]="","",_xlfn.XLOOKUP(tblOrdenes[[#This Row],[id_operacion]],tblEjecucion[id_operacion],tblEjecucion[precio],0))</f>
        <v/>
      </c>
      <c r="AJ209" s="10">
        <f>IF(tblOrdenes[[#This Row],[orden]]="","",MAX(0,_xlfn.XLOOKUP(tblOrdenes[[#This Row],[id_operacion]],tblEjecucion[id_operacion],tblEjecucion[costo_plan_total],0)-tblOrdenes[[#This Row],[costo_servicio]]))</f>
        <v/>
      </c>
      <c r="AK209" s="10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2">
        <f>IF(tblOrdenes[[#This Row],[fecha_inicio]]="","",TODAY()-tblOrdenes[[#This Row],[fecha_inicio]])</f>
        <v/>
      </c>
      <c r="AB2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0">
        <f>IF(tblOrdenes[[#This Row],[orden]]="","",_xlfn.XLOOKUP(tblOrdenes[[#This Row],[id_operacion]],tblEjecucion[id_operacion],tblEjecucion[precio],0))</f>
        <v/>
      </c>
      <c r="AJ210" s="10">
        <f>IF(tblOrdenes[[#This Row],[orden]]="","",MAX(0,_xlfn.XLOOKUP(tblOrdenes[[#This Row],[id_operacion]],tblEjecucion[id_operacion],tblEjecucion[costo_plan_total],0)-tblOrdenes[[#This Row],[costo_servicio]]))</f>
        <v/>
      </c>
      <c r="AK210" s="10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2">
        <f>IF(tblOrdenes[[#This Row],[fecha_inicio]]="","",TODAY()-tblOrdenes[[#This Row],[fecha_inicio]])</f>
        <v/>
      </c>
      <c r="AB2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0">
        <f>IF(tblOrdenes[[#This Row],[orden]]="","",_xlfn.XLOOKUP(tblOrdenes[[#This Row],[id_operacion]],tblEjecucion[id_operacion],tblEjecucion[precio],0))</f>
        <v/>
      </c>
      <c r="AJ211" s="10">
        <f>IF(tblOrdenes[[#This Row],[orden]]="","",MAX(0,_xlfn.XLOOKUP(tblOrdenes[[#This Row],[id_operacion]],tblEjecucion[id_operacion],tblEjecucion[costo_plan_total],0)-tblOrdenes[[#This Row],[costo_servicio]]))</f>
        <v/>
      </c>
      <c r="AK211" s="10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2">
        <f>IF(tblOrdenes[[#This Row],[fecha_inicio]]="","",TODAY()-tblOrdenes[[#This Row],[fecha_inicio]])</f>
        <v/>
      </c>
      <c r="AB2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0">
        <f>IF(tblOrdenes[[#This Row],[orden]]="","",_xlfn.XLOOKUP(tblOrdenes[[#This Row],[id_operacion]],tblEjecucion[id_operacion],tblEjecucion[precio],0))</f>
        <v/>
      </c>
      <c r="AJ212" s="10">
        <f>IF(tblOrdenes[[#This Row],[orden]]="","",MAX(0,_xlfn.XLOOKUP(tblOrdenes[[#This Row],[id_operacion]],tblEjecucion[id_operacion],tblEjecucion[costo_plan_total],0)-tblOrdenes[[#This Row],[costo_servicio]]))</f>
        <v/>
      </c>
      <c r="AK212" s="10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2">
        <f>IF(tblOrdenes[[#This Row],[fecha_inicio]]="","",TODAY()-tblOrdenes[[#This Row],[fecha_inicio]])</f>
        <v/>
      </c>
      <c r="AB2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0">
        <f>IF(tblOrdenes[[#This Row],[orden]]="","",_xlfn.XLOOKUP(tblOrdenes[[#This Row],[id_operacion]],tblEjecucion[id_operacion],tblEjecucion[precio],0))</f>
        <v/>
      </c>
      <c r="AJ213" s="10">
        <f>IF(tblOrdenes[[#This Row],[orden]]="","",MAX(0,_xlfn.XLOOKUP(tblOrdenes[[#This Row],[id_operacion]],tblEjecucion[id_operacion],tblEjecucion[costo_plan_total],0)-tblOrdenes[[#This Row],[costo_servicio]]))</f>
        <v/>
      </c>
      <c r="AK213" s="10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2">
        <f>IF(tblOrdenes[[#This Row],[fecha_inicio]]="","",TODAY()-tblOrdenes[[#This Row],[fecha_inicio]])</f>
        <v/>
      </c>
      <c r="AB2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0">
        <f>IF(tblOrdenes[[#This Row],[orden]]="","",_xlfn.XLOOKUP(tblOrdenes[[#This Row],[id_operacion]],tblEjecucion[id_operacion],tblEjecucion[precio],0))</f>
        <v/>
      </c>
      <c r="AJ214" s="10">
        <f>IF(tblOrdenes[[#This Row],[orden]]="","",MAX(0,_xlfn.XLOOKUP(tblOrdenes[[#This Row],[id_operacion]],tblEjecucion[id_operacion],tblEjecucion[costo_plan_total],0)-tblOrdenes[[#This Row],[costo_servicio]]))</f>
        <v/>
      </c>
      <c r="AK214" s="10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2">
        <f>IF(tblOrdenes[[#This Row],[fecha_inicio]]="","",TODAY()-tblOrdenes[[#This Row],[fecha_inicio]])</f>
        <v/>
      </c>
      <c r="AB2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0">
        <f>IF(tblOrdenes[[#This Row],[orden]]="","",_xlfn.XLOOKUP(tblOrdenes[[#This Row],[id_operacion]],tblEjecucion[id_operacion],tblEjecucion[precio],0))</f>
        <v/>
      </c>
      <c r="AJ215" s="10">
        <f>IF(tblOrdenes[[#This Row],[orden]]="","",MAX(0,_xlfn.XLOOKUP(tblOrdenes[[#This Row],[id_operacion]],tblEjecucion[id_operacion],tblEjecucion[costo_plan_total],0)-tblOrdenes[[#This Row],[costo_servicio]]))</f>
        <v/>
      </c>
      <c r="AK215" s="10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2">
        <f>IF(tblOrdenes[[#This Row],[fecha_inicio]]="","",TODAY()-tblOrdenes[[#This Row],[fecha_inicio]])</f>
        <v/>
      </c>
      <c r="AB2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0">
        <f>IF(tblOrdenes[[#This Row],[orden]]="","",_xlfn.XLOOKUP(tblOrdenes[[#This Row],[id_operacion]],tblEjecucion[id_operacion],tblEjecucion[precio],0))</f>
        <v/>
      </c>
      <c r="AJ216" s="10">
        <f>IF(tblOrdenes[[#This Row],[orden]]="","",MAX(0,_xlfn.XLOOKUP(tblOrdenes[[#This Row],[id_operacion]],tblEjecucion[id_operacion],tblEjecucion[costo_plan_total],0)-tblOrdenes[[#This Row],[costo_servicio]]))</f>
        <v/>
      </c>
      <c r="AK216" s="10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2">
        <f>IF(tblOrdenes[[#This Row],[fecha_inicio]]="","",TODAY()-tblOrdenes[[#This Row],[fecha_inicio]])</f>
        <v/>
      </c>
      <c r="AB2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0">
        <f>IF(tblOrdenes[[#This Row],[orden]]="","",_xlfn.XLOOKUP(tblOrdenes[[#This Row],[id_operacion]],tblEjecucion[id_operacion],tblEjecucion[precio],0))</f>
        <v/>
      </c>
      <c r="AJ217" s="10">
        <f>IF(tblOrdenes[[#This Row],[orden]]="","",MAX(0,_xlfn.XLOOKUP(tblOrdenes[[#This Row],[id_operacion]],tblEjecucion[id_operacion],tblEjecucion[costo_plan_total],0)-tblOrdenes[[#This Row],[costo_servicio]]))</f>
        <v/>
      </c>
      <c r="AK217" s="10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2">
        <f>IF(tblOrdenes[[#This Row],[fecha_inicio]]="","",TODAY()-tblOrdenes[[#This Row],[fecha_inicio]])</f>
        <v/>
      </c>
      <c r="AB2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0">
        <f>IF(tblOrdenes[[#This Row],[orden]]="","",_xlfn.XLOOKUP(tblOrdenes[[#This Row],[id_operacion]],tblEjecucion[id_operacion],tblEjecucion[precio],0))</f>
        <v/>
      </c>
      <c r="AJ218" s="10">
        <f>IF(tblOrdenes[[#This Row],[orden]]="","",MAX(0,_xlfn.XLOOKUP(tblOrdenes[[#This Row],[id_operacion]],tblEjecucion[id_operacion],tblEjecucion[costo_plan_total],0)-tblOrdenes[[#This Row],[costo_servicio]]))</f>
        <v/>
      </c>
      <c r="AK218" s="10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2">
        <f>IF(tblOrdenes[[#This Row],[fecha_inicio]]="","",TODAY()-tblOrdenes[[#This Row],[fecha_inicio]])</f>
        <v/>
      </c>
      <c r="AB2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0">
        <f>IF(tblOrdenes[[#This Row],[orden]]="","",_xlfn.XLOOKUP(tblOrdenes[[#This Row],[id_operacion]],tblEjecucion[id_operacion],tblEjecucion[precio],0))</f>
        <v/>
      </c>
      <c r="AJ219" s="10">
        <f>IF(tblOrdenes[[#This Row],[orden]]="","",MAX(0,_xlfn.XLOOKUP(tblOrdenes[[#This Row],[id_operacion]],tblEjecucion[id_operacion],tblEjecucion[costo_plan_total],0)-tblOrdenes[[#This Row],[costo_servicio]]))</f>
        <v/>
      </c>
      <c r="AK219" s="10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2">
        <f>IF(tblOrdenes[[#This Row],[fecha_inicio]]="","",TODAY()-tblOrdenes[[#This Row],[fecha_inicio]])</f>
        <v/>
      </c>
      <c r="AB2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0">
        <f>IF(tblOrdenes[[#This Row],[orden]]="","",_xlfn.XLOOKUP(tblOrdenes[[#This Row],[id_operacion]],tblEjecucion[id_operacion],tblEjecucion[precio],0))</f>
        <v/>
      </c>
      <c r="AJ220" s="10">
        <f>IF(tblOrdenes[[#This Row],[orden]]="","",MAX(0,_xlfn.XLOOKUP(tblOrdenes[[#This Row],[id_operacion]],tblEjecucion[id_operacion],tblEjecucion[costo_plan_total],0)-tblOrdenes[[#This Row],[costo_servicio]]))</f>
        <v/>
      </c>
      <c r="AK220" s="10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2">
        <f>IF(tblOrdenes[[#This Row],[fecha_inicio]]="","",TODAY()-tblOrdenes[[#This Row],[fecha_inicio]])</f>
        <v/>
      </c>
      <c r="AB2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0">
        <f>IF(tblOrdenes[[#This Row],[orden]]="","",_xlfn.XLOOKUP(tblOrdenes[[#This Row],[id_operacion]],tblEjecucion[id_operacion],tblEjecucion[precio],0))</f>
        <v/>
      </c>
      <c r="AJ221" s="10">
        <f>IF(tblOrdenes[[#This Row],[orden]]="","",MAX(0,_xlfn.XLOOKUP(tblOrdenes[[#This Row],[id_operacion]],tblEjecucion[id_operacion],tblEjecucion[costo_plan_total],0)-tblOrdenes[[#This Row],[costo_servicio]]))</f>
        <v/>
      </c>
      <c r="AK221" s="10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2">
        <f>IF(tblOrdenes[[#This Row],[fecha_inicio]]="","",TODAY()-tblOrdenes[[#This Row],[fecha_inicio]])</f>
        <v/>
      </c>
      <c r="AB2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0">
        <f>IF(tblOrdenes[[#This Row],[orden]]="","",_xlfn.XLOOKUP(tblOrdenes[[#This Row],[id_operacion]],tblEjecucion[id_operacion],tblEjecucion[precio],0))</f>
        <v/>
      </c>
      <c r="AJ222" s="10">
        <f>IF(tblOrdenes[[#This Row],[orden]]="","",MAX(0,_xlfn.XLOOKUP(tblOrdenes[[#This Row],[id_operacion]],tblEjecucion[id_operacion],tblEjecucion[costo_plan_total],0)-tblOrdenes[[#This Row],[costo_servicio]]))</f>
        <v/>
      </c>
      <c r="AK222" s="10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2">
        <f>IF(tblOrdenes[[#This Row],[fecha_inicio]]="","",TODAY()-tblOrdenes[[#This Row],[fecha_inicio]])</f>
        <v/>
      </c>
      <c r="AB2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0">
        <f>IF(tblOrdenes[[#This Row],[orden]]="","",_xlfn.XLOOKUP(tblOrdenes[[#This Row],[id_operacion]],tblEjecucion[id_operacion],tblEjecucion[precio],0))</f>
        <v/>
      </c>
      <c r="AJ223" s="10">
        <f>IF(tblOrdenes[[#This Row],[orden]]="","",MAX(0,_xlfn.XLOOKUP(tblOrdenes[[#This Row],[id_operacion]],tblEjecucion[id_operacion],tblEjecucion[costo_plan_total],0)-tblOrdenes[[#This Row],[costo_servicio]]))</f>
        <v/>
      </c>
      <c r="AK223" s="10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2">
        <f>IF(tblOrdenes[[#This Row],[fecha_inicio]]="","",TODAY()-tblOrdenes[[#This Row],[fecha_inicio]])</f>
        <v/>
      </c>
      <c r="AB2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0">
        <f>IF(tblOrdenes[[#This Row],[orden]]="","",_xlfn.XLOOKUP(tblOrdenes[[#This Row],[id_operacion]],tblEjecucion[id_operacion],tblEjecucion[precio],0))</f>
        <v/>
      </c>
      <c r="AJ224" s="10">
        <f>IF(tblOrdenes[[#This Row],[orden]]="","",MAX(0,_xlfn.XLOOKUP(tblOrdenes[[#This Row],[id_operacion]],tblEjecucion[id_operacion],tblEjecucion[costo_plan_total],0)-tblOrdenes[[#This Row],[costo_servicio]]))</f>
        <v/>
      </c>
      <c r="AK224" s="10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2">
        <f>IF(tblOrdenes[[#This Row],[fecha_inicio]]="","",TODAY()-tblOrdenes[[#This Row],[fecha_inicio]])</f>
        <v/>
      </c>
      <c r="AB2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0">
        <f>IF(tblOrdenes[[#This Row],[orden]]="","",_xlfn.XLOOKUP(tblOrdenes[[#This Row],[id_operacion]],tblEjecucion[id_operacion],tblEjecucion[precio],0))</f>
        <v/>
      </c>
      <c r="AJ225" s="10">
        <f>IF(tblOrdenes[[#This Row],[orden]]="","",MAX(0,_xlfn.XLOOKUP(tblOrdenes[[#This Row],[id_operacion]],tblEjecucion[id_operacion],tblEjecucion[costo_plan_total],0)-tblOrdenes[[#This Row],[costo_servicio]]))</f>
        <v/>
      </c>
      <c r="AK225" s="10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2">
        <f>IF(tblOrdenes[[#This Row],[fecha_inicio]]="","",TODAY()-tblOrdenes[[#This Row],[fecha_inicio]])</f>
        <v/>
      </c>
      <c r="AB2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0">
        <f>IF(tblOrdenes[[#This Row],[orden]]="","",_xlfn.XLOOKUP(tblOrdenes[[#This Row],[id_operacion]],tblEjecucion[id_operacion],tblEjecucion[precio],0))</f>
        <v/>
      </c>
      <c r="AJ226" s="10">
        <f>IF(tblOrdenes[[#This Row],[orden]]="","",MAX(0,_xlfn.XLOOKUP(tblOrdenes[[#This Row],[id_operacion]],tblEjecucion[id_operacion],tblEjecucion[costo_plan_total],0)-tblOrdenes[[#This Row],[costo_servicio]]))</f>
        <v/>
      </c>
      <c r="AK226" s="10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2">
        <f>IF(tblOrdenes[[#This Row],[fecha_inicio]]="","",TODAY()-tblOrdenes[[#This Row],[fecha_inicio]])</f>
        <v/>
      </c>
      <c r="AB2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0">
        <f>IF(tblOrdenes[[#This Row],[orden]]="","",_xlfn.XLOOKUP(tblOrdenes[[#This Row],[id_operacion]],tblEjecucion[id_operacion],tblEjecucion[precio],0))</f>
        <v/>
      </c>
      <c r="AJ227" s="10">
        <f>IF(tblOrdenes[[#This Row],[orden]]="","",MAX(0,_xlfn.XLOOKUP(tblOrdenes[[#This Row],[id_operacion]],tblEjecucion[id_operacion],tblEjecucion[costo_plan_total],0)-tblOrdenes[[#This Row],[costo_servicio]]))</f>
        <v/>
      </c>
      <c r="AK227" s="10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2">
        <f>IF(tblOrdenes[[#This Row],[fecha_inicio]]="","",TODAY()-tblOrdenes[[#This Row],[fecha_inicio]])</f>
        <v/>
      </c>
      <c r="AB2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0">
        <f>IF(tblOrdenes[[#This Row],[orden]]="","",_xlfn.XLOOKUP(tblOrdenes[[#This Row],[id_operacion]],tblEjecucion[id_operacion],tblEjecucion[precio],0))</f>
        <v/>
      </c>
      <c r="AJ228" s="10">
        <f>IF(tblOrdenes[[#This Row],[orden]]="","",MAX(0,_xlfn.XLOOKUP(tblOrdenes[[#This Row],[id_operacion]],tblEjecucion[id_operacion],tblEjecucion[costo_plan_total],0)-tblOrdenes[[#This Row],[costo_servicio]]))</f>
        <v/>
      </c>
      <c r="AK228" s="10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2">
        <f>IF(tblOrdenes[[#This Row],[fecha_inicio]]="","",TODAY()-tblOrdenes[[#This Row],[fecha_inicio]])</f>
        <v/>
      </c>
      <c r="AB2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0">
        <f>IF(tblOrdenes[[#This Row],[orden]]="","",_xlfn.XLOOKUP(tblOrdenes[[#This Row],[id_operacion]],tblEjecucion[id_operacion],tblEjecucion[precio],0))</f>
        <v/>
      </c>
      <c r="AJ229" s="10">
        <f>IF(tblOrdenes[[#This Row],[orden]]="","",MAX(0,_xlfn.XLOOKUP(tblOrdenes[[#This Row],[id_operacion]],tblEjecucion[id_operacion],tblEjecucion[costo_plan_total],0)-tblOrdenes[[#This Row],[costo_servicio]]))</f>
        <v/>
      </c>
      <c r="AK229" s="10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2">
        <f>IF(tblOrdenes[[#This Row],[fecha_inicio]]="","",TODAY()-tblOrdenes[[#This Row],[fecha_inicio]])</f>
        <v/>
      </c>
      <c r="AB2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0">
        <f>IF(tblOrdenes[[#This Row],[orden]]="","",_xlfn.XLOOKUP(tblOrdenes[[#This Row],[id_operacion]],tblEjecucion[id_operacion],tblEjecucion[precio],0))</f>
        <v/>
      </c>
      <c r="AJ230" s="10">
        <f>IF(tblOrdenes[[#This Row],[orden]]="","",MAX(0,_xlfn.XLOOKUP(tblOrdenes[[#This Row],[id_operacion]],tblEjecucion[id_operacion],tblEjecucion[costo_plan_total],0)-tblOrdenes[[#This Row],[costo_servicio]]))</f>
        <v/>
      </c>
      <c r="AK230" s="10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2">
        <f>IF(tblOrdenes[[#This Row],[fecha_inicio]]="","",TODAY()-tblOrdenes[[#This Row],[fecha_inicio]])</f>
        <v/>
      </c>
      <c r="AB2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0">
        <f>IF(tblOrdenes[[#This Row],[orden]]="","",_xlfn.XLOOKUP(tblOrdenes[[#This Row],[id_operacion]],tblEjecucion[id_operacion],tblEjecucion[precio],0))</f>
        <v/>
      </c>
      <c r="AJ231" s="10">
        <f>IF(tblOrdenes[[#This Row],[orden]]="","",MAX(0,_xlfn.XLOOKUP(tblOrdenes[[#This Row],[id_operacion]],tblEjecucion[id_operacion],tblEjecucion[costo_plan_total],0)-tblOrdenes[[#This Row],[costo_servicio]]))</f>
        <v/>
      </c>
      <c r="AK231" s="10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2">
        <f>IF(tblOrdenes[[#This Row],[fecha_inicio]]="","",TODAY()-tblOrdenes[[#This Row],[fecha_inicio]])</f>
        <v/>
      </c>
      <c r="AB2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0">
        <f>IF(tblOrdenes[[#This Row],[orden]]="","",_xlfn.XLOOKUP(tblOrdenes[[#This Row],[id_operacion]],tblEjecucion[id_operacion],tblEjecucion[precio],0))</f>
        <v/>
      </c>
      <c r="AJ232" s="10">
        <f>IF(tblOrdenes[[#This Row],[orden]]="","",MAX(0,_xlfn.XLOOKUP(tblOrdenes[[#This Row],[id_operacion]],tblEjecucion[id_operacion],tblEjecucion[costo_plan_total],0)-tblOrdenes[[#This Row],[costo_servicio]]))</f>
        <v/>
      </c>
      <c r="AK232" s="10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2">
        <f>IF(tblOrdenes[[#This Row],[fecha_inicio]]="","",TODAY()-tblOrdenes[[#This Row],[fecha_inicio]])</f>
        <v/>
      </c>
      <c r="AB2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0">
        <f>IF(tblOrdenes[[#This Row],[orden]]="","",_xlfn.XLOOKUP(tblOrdenes[[#This Row],[id_operacion]],tblEjecucion[id_operacion],tblEjecucion[precio],0))</f>
        <v/>
      </c>
      <c r="AJ233" s="10">
        <f>IF(tblOrdenes[[#This Row],[orden]]="","",MAX(0,_xlfn.XLOOKUP(tblOrdenes[[#This Row],[id_operacion]],tblEjecucion[id_operacion],tblEjecucion[costo_plan_total],0)-tblOrdenes[[#This Row],[costo_servicio]]))</f>
        <v/>
      </c>
      <c r="AK233" s="10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2">
        <f>IF(tblOrdenes[[#This Row],[fecha_inicio]]="","",TODAY()-tblOrdenes[[#This Row],[fecha_inicio]])</f>
        <v/>
      </c>
      <c r="AB2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0">
        <f>IF(tblOrdenes[[#This Row],[orden]]="","",_xlfn.XLOOKUP(tblOrdenes[[#This Row],[id_operacion]],tblEjecucion[id_operacion],tblEjecucion[precio],0))</f>
        <v/>
      </c>
      <c r="AJ234" s="10">
        <f>IF(tblOrdenes[[#This Row],[orden]]="","",MAX(0,_xlfn.XLOOKUP(tblOrdenes[[#This Row],[id_operacion]],tblEjecucion[id_operacion],tblEjecucion[costo_plan_total],0)-tblOrdenes[[#This Row],[costo_servicio]]))</f>
        <v/>
      </c>
      <c r="AK234" s="10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2">
        <f>IF(tblOrdenes[[#This Row],[fecha_inicio]]="","",TODAY()-tblOrdenes[[#This Row],[fecha_inicio]])</f>
        <v/>
      </c>
      <c r="AB2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0">
        <f>IF(tblOrdenes[[#This Row],[orden]]="","",_xlfn.XLOOKUP(tblOrdenes[[#This Row],[id_operacion]],tblEjecucion[id_operacion],tblEjecucion[precio],0))</f>
        <v/>
      </c>
      <c r="AJ235" s="10">
        <f>IF(tblOrdenes[[#This Row],[orden]]="","",MAX(0,_xlfn.XLOOKUP(tblOrdenes[[#This Row],[id_operacion]],tblEjecucion[id_operacion],tblEjecucion[costo_plan_total],0)-tblOrdenes[[#This Row],[costo_servicio]]))</f>
        <v/>
      </c>
      <c r="AK235" s="10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2">
        <f>IF(tblOrdenes[[#This Row],[fecha_inicio]]="","",TODAY()-tblOrdenes[[#This Row],[fecha_inicio]])</f>
        <v/>
      </c>
      <c r="AB2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0">
        <f>IF(tblOrdenes[[#This Row],[orden]]="","",_xlfn.XLOOKUP(tblOrdenes[[#This Row],[id_operacion]],tblEjecucion[id_operacion],tblEjecucion[precio],0))</f>
        <v/>
      </c>
      <c r="AJ236" s="10">
        <f>IF(tblOrdenes[[#This Row],[orden]]="","",MAX(0,_xlfn.XLOOKUP(tblOrdenes[[#This Row],[id_operacion]],tblEjecucion[id_operacion],tblEjecucion[costo_plan_total],0)-tblOrdenes[[#This Row],[costo_servicio]]))</f>
        <v/>
      </c>
      <c r="AK236" s="10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2">
        <f>IF(tblOrdenes[[#This Row],[fecha_inicio]]="","",TODAY()-tblOrdenes[[#This Row],[fecha_inicio]])</f>
        <v/>
      </c>
      <c r="AB2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0">
        <f>IF(tblOrdenes[[#This Row],[orden]]="","",_xlfn.XLOOKUP(tblOrdenes[[#This Row],[id_operacion]],tblEjecucion[id_operacion],tblEjecucion[precio],0))</f>
        <v/>
      </c>
      <c r="AJ237" s="10">
        <f>IF(tblOrdenes[[#This Row],[orden]]="","",MAX(0,_xlfn.XLOOKUP(tblOrdenes[[#This Row],[id_operacion]],tblEjecucion[id_operacion],tblEjecucion[costo_plan_total],0)-tblOrdenes[[#This Row],[costo_servicio]]))</f>
        <v/>
      </c>
      <c r="AK237" s="10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2">
        <f>IF(tblOrdenes[[#This Row],[fecha_inicio]]="","",TODAY()-tblOrdenes[[#This Row],[fecha_inicio]])</f>
        <v/>
      </c>
      <c r="AB2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0">
        <f>IF(tblOrdenes[[#This Row],[orden]]="","",_xlfn.XLOOKUP(tblOrdenes[[#This Row],[id_operacion]],tblEjecucion[id_operacion],tblEjecucion[precio],0))</f>
        <v/>
      </c>
      <c r="AJ238" s="10">
        <f>IF(tblOrdenes[[#This Row],[orden]]="","",MAX(0,_xlfn.XLOOKUP(tblOrdenes[[#This Row],[id_operacion]],tblEjecucion[id_operacion],tblEjecucion[costo_plan_total],0)-tblOrdenes[[#This Row],[costo_servicio]]))</f>
        <v/>
      </c>
      <c r="AK238" s="10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2">
        <f>IF(tblOrdenes[[#This Row],[fecha_inicio]]="","",TODAY()-tblOrdenes[[#This Row],[fecha_inicio]])</f>
        <v/>
      </c>
      <c r="AB2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0">
        <f>IF(tblOrdenes[[#This Row],[orden]]="","",_xlfn.XLOOKUP(tblOrdenes[[#This Row],[id_operacion]],tblEjecucion[id_operacion],tblEjecucion[precio],0))</f>
        <v/>
      </c>
      <c r="AJ239" s="10">
        <f>IF(tblOrdenes[[#This Row],[orden]]="","",MAX(0,_xlfn.XLOOKUP(tblOrdenes[[#This Row],[id_operacion]],tblEjecucion[id_operacion],tblEjecucion[costo_plan_total],0)-tblOrdenes[[#This Row],[costo_servicio]]))</f>
        <v/>
      </c>
      <c r="AK239" s="10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2">
        <f>IF(tblOrdenes[[#This Row],[fecha_inicio]]="","",TODAY()-tblOrdenes[[#This Row],[fecha_inicio]])</f>
        <v/>
      </c>
      <c r="AB2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0">
        <f>IF(tblOrdenes[[#This Row],[orden]]="","",_xlfn.XLOOKUP(tblOrdenes[[#This Row],[id_operacion]],tblEjecucion[id_operacion],tblEjecucion[precio],0))</f>
        <v/>
      </c>
      <c r="AJ240" s="10">
        <f>IF(tblOrdenes[[#This Row],[orden]]="","",MAX(0,_xlfn.XLOOKUP(tblOrdenes[[#This Row],[id_operacion]],tblEjecucion[id_operacion],tblEjecucion[costo_plan_total],0)-tblOrdenes[[#This Row],[costo_servicio]]))</f>
        <v/>
      </c>
      <c r="AK240" s="10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2">
        <f>IF(tblOrdenes[[#This Row],[fecha_inicio]]="","",TODAY()-tblOrdenes[[#This Row],[fecha_inicio]])</f>
        <v/>
      </c>
      <c r="AB2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0">
        <f>IF(tblOrdenes[[#This Row],[orden]]="","",_xlfn.XLOOKUP(tblOrdenes[[#This Row],[id_operacion]],tblEjecucion[id_operacion],tblEjecucion[precio],0))</f>
        <v/>
      </c>
      <c r="AJ241" s="10">
        <f>IF(tblOrdenes[[#This Row],[orden]]="","",MAX(0,_xlfn.XLOOKUP(tblOrdenes[[#This Row],[id_operacion]],tblEjecucion[id_operacion],tblEjecucion[costo_plan_total],0)-tblOrdenes[[#This Row],[costo_servicio]]))</f>
        <v/>
      </c>
      <c r="AK241" s="10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2">
        <f>IF(tblOrdenes[[#This Row],[fecha_inicio]]="","",TODAY()-tblOrdenes[[#This Row],[fecha_inicio]])</f>
        <v/>
      </c>
      <c r="AB2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0">
        <f>IF(tblOrdenes[[#This Row],[orden]]="","",_xlfn.XLOOKUP(tblOrdenes[[#This Row],[id_operacion]],tblEjecucion[id_operacion],tblEjecucion[precio],0))</f>
        <v/>
      </c>
      <c r="AJ242" s="10">
        <f>IF(tblOrdenes[[#This Row],[orden]]="","",MAX(0,_xlfn.XLOOKUP(tblOrdenes[[#This Row],[id_operacion]],tblEjecucion[id_operacion],tblEjecucion[costo_plan_total],0)-tblOrdenes[[#This Row],[costo_servicio]]))</f>
        <v/>
      </c>
      <c r="AK242" s="10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2">
        <f>IF(tblOrdenes[[#This Row],[fecha_inicio]]="","",TODAY()-tblOrdenes[[#This Row],[fecha_inicio]])</f>
        <v/>
      </c>
      <c r="AB2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0">
        <f>IF(tblOrdenes[[#This Row],[orden]]="","",_xlfn.XLOOKUP(tblOrdenes[[#This Row],[id_operacion]],tblEjecucion[id_operacion],tblEjecucion[precio],0))</f>
        <v/>
      </c>
      <c r="AJ243" s="10">
        <f>IF(tblOrdenes[[#This Row],[orden]]="","",MAX(0,_xlfn.XLOOKUP(tblOrdenes[[#This Row],[id_operacion]],tblEjecucion[id_operacion],tblEjecucion[costo_plan_total],0)-tblOrdenes[[#This Row],[costo_servicio]]))</f>
        <v/>
      </c>
      <c r="AK243" s="10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2">
        <f>IF(tblOrdenes[[#This Row],[fecha_inicio]]="","",TODAY()-tblOrdenes[[#This Row],[fecha_inicio]])</f>
        <v/>
      </c>
      <c r="AB2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0">
        <f>IF(tblOrdenes[[#This Row],[orden]]="","",_xlfn.XLOOKUP(tblOrdenes[[#This Row],[id_operacion]],tblEjecucion[id_operacion],tblEjecucion[precio],0))</f>
        <v/>
      </c>
      <c r="AJ244" s="10">
        <f>IF(tblOrdenes[[#This Row],[orden]]="","",MAX(0,_xlfn.XLOOKUP(tblOrdenes[[#This Row],[id_operacion]],tblEjecucion[id_operacion],tblEjecucion[costo_plan_total],0)-tblOrdenes[[#This Row],[costo_servicio]]))</f>
        <v/>
      </c>
      <c r="AK244" s="10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2">
        <f>IF(tblOrdenes[[#This Row],[fecha_inicio]]="","",TODAY()-tblOrdenes[[#This Row],[fecha_inicio]])</f>
        <v/>
      </c>
      <c r="AB2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0">
        <f>IF(tblOrdenes[[#This Row],[orden]]="","",_xlfn.XLOOKUP(tblOrdenes[[#This Row],[id_operacion]],tblEjecucion[id_operacion],tblEjecucion[precio],0))</f>
        <v/>
      </c>
      <c r="AJ245" s="10">
        <f>IF(tblOrdenes[[#This Row],[orden]]="","",MAX(0,_xlfn.XLOOKUP(tblOrdenes[[#This Row],[id_operacion]],tblEjecucion[id_operacion],tblEjecucion[costo_plan_total],0)-tblOrdenes[[#This Row],[costo_servicio]]))</f>
        <v/>
      </c>
      <c r="AK245" s="10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2">
        <f>IF(tblOrdenes[[#This Row],[fecha_inicio]]="","",TODAY()-tblOrdenes[[#This Row],[fecha_inicio]])</f>
        <v/>
      </c>
      <c r="AB2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0">
        <f>IF(tblOrdenes[[#This Row],[orden]]="","",_xlfn.XLOOKUP(tblOrdenes[[#This Row],[id_operacion]],tblEjecucion[id_operacion],tblEjecucion[precio],0))</f>
        <v/>
      </c>
      <c r="AJ246" s="10">
        <f>IF(tblOrdenes[[#This Row],[orden]]="","",MAX(0,_xlfn.XLOOKUP(tblOrdenes[[#This Row],[id_operacion]],tblEjecucion[id_operacion],tblEjecucion[costo_plan_total],0)-tblOrdenes[[#This Row],[costo_servicio]]))</f>
        <v/>
      </c>
      <c r="AK246" s="10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2">
        <f>IF(tblOrdenes[[#This Row],[fecha_inicio]]="","",TODAY()-tblOrdenes[[#This Row],[fecha_inicio]])</f>
        <v/>
      </c>
      <c r="AB2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0">
        <f>IF(tblOrdenes[[#This Row],[orden]]="","",_xlfn.XLOOKUP(tblOrdenes[[#This Row],[id_operacion]],tblEjecucion[id_operacion],tblEjecucion[precio],0))</f>
        <v/>
      </c>
      <c r="AJ247" s="10">
        <f>IF(tblOrdenes[[#This Row],[orden]]="","",MAX(0,_xlfn.XLOOKUP(tblOrdenes[[#This Row],[id_operacion]],tblEjecucion[id_operacion],tblEjecucion[costo_plan_total],0)-tblOrdenes[[#This Row],[costo_servicio]]))</f>
        <v/>
      </c>
      <c r="AK247" s="10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2">
        <f>IF(tblOrdenes[[#This Row],[fecha_inicio]]="","",TODAY()-tblOrdenes[[#This Row],[fecha_inicio]])</f>
        <v/>
      </c>
      <c r="AB2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0">
        <f>IF(tblOrdenes[[#This Row],[orden]]="","",_xlfn.XLOOKUP(tblOrdenes[[#This Row],[id_operacion]],tblEjecucion[id_operacion],tblEjecucion[precio],0))</f>
        <v/>
      </c>
      <c r="AJ248" s="10">
        <f>IF(tblOrdenes[[#This Row],[orden]]="","",MAX(0,_xlfn.XLOOKUP(tblOrdenes[[#This Row],[id_operacion]],tblEjecucion[id_operacion],tblEjecucion[costo_plan_total],0)-tblOrdenes[[#This Row],[costo_servicio]]))</f>
        <v/>
      </c>
      <c r="AK248" s="10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2">
        <f>IF(tblOrdenes[[#This Row],[fecha_inicio]]="","",TODAY()-tblOrdenes[[#This Row],[fecha_inicio]])</f>
        <v/>
      </c>
      <c r="AB2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0">
        <f>IF(tblOrdenes[[#This Row],[orden]]="","",_xlfn.XLOOKUP(tblOrdenes[[#This Row],[id_operacion]],tblEjecucion[id_operacion],tblEjecucion[precio],0))</f>
        <v/>
      </c>
      <c r="AJ249" s="10">
        <f>IF(tblOrdenes[[#This Row],[orden]]="","",MAX(0,_xlfn.XLOOKUP(tblOrdenes[[#This Row],[id_operacion]],tblEjecucion[id_operacion],tblEjecucion[costo_plan_total],0)-tblOrdenes[[#This Row],[costo_servicio]]))</f>
        <v/>
      </c>
      <c r="AK249" s="10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2">
        <f>IF(tblOrdenes[[#This Row],[fecha_inicio]]="","",TODAY()-tblOrdenes[[#This Row],[fecha_inicio]])</f>
        <v/>
      </c>
      <c r="AB2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0">
        <f>IF(tblOrdenes[[#This Row],[orden]]="","",_xlfn.XLOOKUP(tblOrdenes[[#This Row],[id_operacion]],tblEjecucion[id_operacion],tblEjecucion[precio],0))</f>
        <v/>
      </c>
      <c r="AJ250" s="10">
        <f>IF(tblOrdenes[[#This Row],[orden]]="","",MAX(0,_xlfn.XLOOKUP(tblOrdenes[[#This Row],[id_operacion]],tblEjecucion[id_operacion],tblEjecucion[costo_plan_total],0)-tblOrdenes[[#This Row],[costo_servicio]]))</f>
        <v/>
      </c>
      <c r="AK250" s="10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2">
        <f>IF(tblOrdenes[[#This Row],[fecha_inicio]]="","",TODAY()-tblOrdenes[[#This Row],[fecha_inicio]])</f>
        <v/>
      </c>
      <c r="AB2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0">
        <f>IF(tblOrdenes[[#This Row],[orden]]="","",_xlfn.XLOOKUP(tblOrdenes[[#This Row],[id_operacion]],tblEjecucion[id_operacion],tblEjecucion[precio],0))</f>
        <v/>
      </c>
      <c r="AJ251" s="10">
        <f>IF(tblOrdenes[[#This Row],[orden]]="","",MAX(0,_xlfn.XLOOKUP(tblOrdenes[[#This Row],[id_operacion]],tblEjecucion[id_operacion],tblEjecucion[costo_plan_total],0)-tblOrdenes[[#This Row],[costo_servicio]]))</f>
        <v/>
      </c>
      <c r="AK251" s="10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2">
        <f>IF(tblOrdenes[[#This Row],[fecha_inicio]]="","",TODAY()-tblOrdenes[[#This Row],[fecha_inicio]])</f>
        <v/>
      </c>
      <c r="AB2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0">
        <f>IF(tblOrdenes[[#This Row],[orden]]="","",_xlfn.XLOOKUP(tblOrdenes[[#This Row],[id_operacion]],tblEjecucion[id_operacion],tblEjecucion[precio],0))</f>
        <v/>
      </c>
      <c r="AJ252" s="10">
        <f>IF(tblOrdenes[[#This Row],[orden]]="","",MAX(0,_xlfn.XLOOKUP(tblOrdenes[[#This Row],[id_operacion]],tblEjecucion[id_operacion],tblEjecucion[costo_plan_total],0)-tblOrdenes[[#This Row],[costo_servicio]]))</f>
        <v/>
      </c>
      <c r="AK252" s="10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2">
        <f>IF(tblOrdenes[[#This Row],[fecha_inicio]]="","",TODAY()-tblOrdenes[[#This Row],[fecha_inicio]])</f>
        <v/>
      </c>
      <c r="AB2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0">
        <f>IF(tblOrdenes[[#This Row],[orden]]="","",_xlfn.XLOOKUP(tblOrdenes[[#This Row],[id_operacion]],tblEjecucion[id_operacion],tblEjecucion[precio],0))</f>
        <v/>
      </c>
      <c r="AJ253" s="10">
        <f>IF(tblOrdenes[[#This Row],[orden]]="","",MAX(0,_xlfn.XLOOKUP(tblOrdenes[[#This Row],[id_operacion]],tblEjecucion[id_operacion],tblEjecucion[costo_plan_total],0)-tblOrdenes[[#This Row],[costo_servicio]]))</f>
        <v/>
      </c>
      <c r="AK253" s="10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2">
        <f>IF(tblOrdenes[[#This Row],[fecha_inicio]]="","",TODAY()-tblOrdenes[[#This Row],[fecha_inicio]])</f>
        <v/>
      </c>
      <c r="AB2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0">
        <f>IF(tblOrdenes[[#This Row],[orden]]="","",_xlfn.XLOOKUP(tblOrdenes[[#This Row],[id_operacion]],tblEjecucion[id_operacion],tblEjecucion[precio],0))</f>
        <v/>
      </c>
      <c r="AJ254" s="10">
        <f>IF(tblOrdenes[[#This Row],[orden]]="","",MAX(0,_xlfn.XLOOKUP(tblOrdenes[[#This Row],[id_operacion]],tblEjecucion[id_operacion],tblEjecucion[costo_plan_total],0)-tblOrdenes[[#This Row],[costo_servicio]]))</f>
        <v/>
      </c>
      <c r="AK254" s="10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2">
        <f>IF(tblOrdenes[[#This Row],[fecha_inicio]]="","",TODAY()-tblOrdenes[[#This Row],[fecha_inicio]])</f>
        <v/>
      </c>
      <c r="AB2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0">
        <f>IF(tblOrdenes[[#This Row],[orden]]="","",_xlfn.XLOOKUP(tblOrdenes[[#This Row],[id_operacion]],tblEjecucion[id_operacion],tblEjecucion[precio],0))</f>
        <v/>
      </c>
      <c r="AJ255" s="10">
        <f>IF(tblOrdenes[[#This Row],[orden]]="","",MAX(0,_xlfn.XLOOKUP(tblOrdenes[[#This Row],[id_operacion]],tblEjecucion[id_operacion],tblEjecucion[costo_plan_total],0)-tblOrdenes[[#This Row],[costo_servicio]]))</f>
        <v/>
      </c>
      <c r="AK255" s="10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2">
        <f>IF(tblOrdenes[[#This Row],[fecha_inicio]]="","",TODAY()-tblOrdenes[[#This Row],[fecha_inicio]])</f>
        <v/>
      </c>
      <c r="AB2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0">
        <f>IF(tblOrdenes[[#This Row],[orden]]="","",_xlfn.XLOOKUP(tblOrdenes[[#This Row],[id_operacion]],tblEjecucion[id_operacion],tblEjecucion[precio],0))</f>
        <v/>
      </c>
      <c r="AJ256" s="10">
        <f>IF(tblOrdenes[[#This Row],[orden]]="","",MAX(0,_xlfn.XLOOKUP(tblOrdenes[[#This Row],[id_operacion]],tblEjecucion[id_operacion],tblEjecucion[costo_plan_total],0)-tblOrdenes[[#This Row],[costo_servicio]]))</f>
        <v/>
      </c>
      <c r="AK256" s="10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2">
        <f>IF(tblOrdenes[[#This Row],[fecha_inicio]]="","",TODAY()-tblOrdenes[[#This Row],[fecha_inicio]])</f>
        <v/>
      </c>
      <c r="AB2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0">
        <f>IF(tblOrdenes[[#This Row],[orden]]="","",_xlfn.XLOOKUP(tblOrdenes[[#This Row],[id_operacion]],tblEjecucion[id_operacion],tblEjecucion[precio],0))</f>
        <v/>
      </c>
      <c r="AJ257" s="10">
        <f>IF(tblOrdenes[[#This Row],[orden]]="","",MAX(0,_xlfn.XLOOKUP(tblOrdenes[[#This Row],[id_operacion]],tblEjecucion[id_operacion],tblEjecucion[costo_plan_total],0)-tblOrdenes[[#This Row],[costo_servicio]]))</f>
        <v/>
      </c>
      <c r="AK257" s="10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2">
        <f>IF(tblOrdenes[[#This Row],[fecha_inicio]]="","",TODAY()-tblOrdenes[[#This Row],[fecha_inicio]])</f>
        <v/>
      </c>
      <c r="AB2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0">
        <f>IF(tblOrdenes[[#This Row],[orden]]="","",_xlfn.XLOOKUP(tblOrdenes[[#This Row],[id_operacion]],tblEjecucion[id_operacion],tblEjecucion[precio],0))</f>
        <v/>
      </c>
      <c r="AJ258" s="10">
        <f>IF(tblOrdenes[[#This Row],[orden]]="","",MAX(0,_xlfn.XLOOKUP(tblOrdenes[[#This Row],[id_operacion]],tblEjecucion[id_operacion],tblEjecucion[costo_plan_total],0)-tblOrdenes[[#This Row],[costo_servicio]]))</f>
        <v/>
      </c>
      <c r="AK258" s="10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2">
        <f>IF(tblOrdenes[[#This Row],[fecha_inicio]]="","",TODAY()-tblOrdenes[[#This Row],[fecha_inicio]])</f>
        <v/>
      </c>
      <c r="AB2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0">
        <f>IF(tblOrdenes[[#This Row],[orden]]="","",_xlfn.XLOOKUP(tblOrdenes[[#This Row],[id_operacion]],tblEjecucion[id_operacion],tblEjecucion[precio],0))</f>
        <v/>
      </c>
      <c r="AJ259" s="10">
        <f>IF(tblOrdenes[[#This Row],[orden]]="","",MAX(0,_xlfn.XLOOKUP(tblOrdenes[[#This Row],[id_operacion]],tblEjecucion[id_operacion],tblEjecucion[costo_plan_total],0)-tblOrdenes[[#This Row],[costo_servicio]]))</f>
        <v/>
      </c>
      <c r="AK259" s="10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2">
        <f>IF(tblOrdenes[[#This Row],[fecha_inicio]]="","",TODAY()-tblOrdenes[[#This Row],[fecha_inicio]])</f>
        <v/>
      </c>
      <c r="AB2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0">
        <f>IF(tblOrdenes[[#This Row],[orden]]="","",_xlfn.XLOOKUP(tblOrdenes[[#This Row],[id_operacion]],tblEjecucion[id_operacion],tblEjecucion[precio],0))</f>
        <v/>
      </c>
      <c r="AJ260" s="10">
        <f>IF(tblOrdenes[[#This Row],[orden]]="","",MAX(0,_xlfn.XLOOKUP(tblOrdenes[[#This Row],[id_operacion]],tblEjecucion[id_operacion],tblEjecucion[costo_plan_total],0)-tblOrdenes[[#This Row],[costo_servicio]]))</f>
        <v/>
      </c>
      <c r="AK260" s="10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2">
        <f>IF(tblOrdenes[[#This Row],[fecha_inicio]]="","",TODAY()-tblOrdenes[[#This Row],[fecha_inicio]])</f>
        <v/>
      </c>
      <c r="AB2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0">
        <f>IF(tblOrdenes[[#This Row],[orden]]="","",_xlfn.XLOOKUP(tblOrdenes[[#This Row],[id_operacion]],tblEjecucion[id_operacion],tblEjecucion[precio],0))</f>
        <v/>
      </c>
      <c r="AJ261" s="10">
        <f>IF(tblOrdenes[[#This Row],[orden]]="","",MAX(0,_xlfn.XLOOKUP(tblOrdenes[[#This Row],[id_operacion]],tblEjecucion[id_operacion],tblEjecucion[costo_plan_total],0)-tblOrdenes[[#This Row],[costo_servicio]]))</f>
        <v/>
      </c>
      <c r="AK261" s="10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2">
        <f>IF(tblOrdenes[[#This Row],[fecha_inicio]]="","",TODAY()-tblOrdenes[[#This Row],[fecha_inicio]])</f>
        <v/>
      </c>
      <c r="AB2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0">
        <f>IF(tblOrdenes[[#This Row],[orden]]="","",_xlfn.XLOOKUP(tblOrdenes[[#This Row],[id_operacion]],tblEjecucion[id_operacion],tblEjecucion[precio],0))</f>
        <v/>
      </c>
      <c r="AJ262" s="10">
        <f>IF(tblOrdenes[[#This Row],[orden]]="","",MAX(0,_xlfn.XLOOKUP(tblOrdenes[[#This Row],[id_operacion]],tblEjecucion[id_operacion],tblEjecucion[costo_plan_total],0)-tblOrdenes[[#This Row],[costo_servicio]]))</f>
        <v/>
      </c>
      <c r="AK262" s="10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2">
        <f>IF(tblOrdenes[[#This Row],[fecha_inicio]]="","",TODAY()-tblOrdenes[[#This Row],[fecha_inicio]])</f>
        <v/>
      </c>
      <c r="AB2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0">
        <f>IF(tblOrdenes[[#This Row],[orden]]="","",_xlfn.XLOOKUP(tblOrdenes[[#This Row],[id_operacion]],tblEjecucion[id_operacion],tblEjecucion[precio],0))</f>
        <v/>
      </c>
      <c r="AJ263" s="10">
        <f>IF(tblOrdenes[[#This Row],[orden]]="","",MAX(0,_xlfn.XLOOKUP(tblOrdenes[[#This Row],[id_operacion]],tblEjecucion[id_operacion],tblEjecucion[costo_plan_total],0)-tblOrdenes[[#This Row],[costo_servicio]]))</f>
        <v/>
      </c>
      <c r="AK263" s="10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2">
        <f>IF(tblOrdenes[[#This Row],[fecha_inicio]]="","",TODAY()-tblOrdenes[[#This Row],[fecha_inicio]])</f>
        <v/>
      </c>
      <c r="AB2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0">
        <f>IF(tblOrdenes[[#This Row],[orden]]="","",_xlfn.XLOOKUP(tblOrdenes[[#This Row],[id_operacion]],tblEjecucion[id_operacion],tblEjecucion[precio],0))</f>
        <v/>
      </c>
      <c r="AJ264" s="10">
        <f>IF(tblOrdenes[[#This Row],[orden]]="","",MAX(0,_xlfn.XLOOKUP(tblOrdenes[[#This Row],[id_operacion]],tblEjecucion[id_operacion],tblEjecucion[costo_plan_total],0)-tblOrdenes[[#This Row],[costo_servicio]]))</f>
        <v/>
      </c>
      <c r="AK264" s="10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2">
        <f>IF(tblOrdenes[[#This Row],[fecha_inicio]]="","",TODAY()-tblOrdenes[[#This Row],[fecha_inicio]])</f>
        <v/>
      </c>
      <c r="AB2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0">
        <f>IF(tblOrdenes[[#This Row],[orden]]="","",_xlfn.XLOOKUP(tblOrdenes[[#This Row],[id_operacion]],tblEjecucion[id_operacion],tblEjecucion[precio],0))</f>
        <v/>
      </c>
      <c r="AJ265" s="10">
        <f>IF(tblOrdenes[[#This Row],[orden]]="","",MAX(0,_xlfn.XLOOKUP(tblOrdenes[[#This Row],[id_operacion]],tblEjecucion[id_operacion],tblEjecucion[costo_plan_total],0)-tblOrdenes[[#This Row],[costo_servicio]]))</f>
        <v/>
      </c>
      <c r="AK265" s="10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2">
        <f>IF(tblOrdenes[[#This Row],[fecha_inicio]]="","",TODAY()-tblOrdenes[[#This Row],[fecha_inicio]])</f>
        <v/>
      </c>
      <c r="AB2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0">
        <f>IF(tblOrdenes[[#This Row],[orden]]="","",_xlfn.XLOOKUP(tblOrdenes[[#This Row],[id_operacion]],tblEjecucion[id_operacion],tblEjecucion[precio],0))</f>
        <v/>
      </c>
      <c r="AJ266" s="10">
        <f>IF(tblOrdenes[[#This Row],[orden]]="","",MAX(0,_xlfn.XLOOKUP(tblOrdenes[[#This Row],[id_operacion]],tblEjecucion[id_operacion],tblEjecucion[costo_plan_total],0)-tblOrdenes[[#This Row],[costo_servicio]]))</f>
        <v/>
      </c>
      <c r="AK266" s="10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2">
        <f>IF(tblOrdenes[[#This Row],[fecha_inicio]]="","",TODAY()-tblOrdenes[[#This Row],[fecha_inicio]])</f>
        <v/>
      </c>
      <c r="AB2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0">
        <f>IF(tblOrdenes[[#This Row],[orden]]="","",_xlfn.XLOOKUP(tblOrdenes[[#This Row],[id_operacion]],tblEjecucion[id_operacion],tblEjecucion[precio],0))</f>
        <v/>
      </c>
      <c r="AJ267" s="10">
        <f>IF(tblOrdenes[[#This Row],[orden]]="","",MAX(0,_xlfn.XLOOKUP(tblOrdenes[[#This Row],[id_operacion]],tblEjecucion[id_operacion],tblEjecucion[costo_plan_total],0)-tblOrdenes[[#This Row],[costo_servicio]]))</f>
        <v/>
      </c>
      <c r="AK267" s="10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2">
        <f>IF(tblOrdenes[[#This Row],[fecha_inicio]]="","",TODAY()-tblOrdenes[[#This Row],[fecha_inicio]])</f>
        <v/>
      </c>
      <c r="AB2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0">
        <f>IF(tblOrdenes[[#This Row],[orden]]="","",_xlfn.XLOOKUP(tblOrdenes[[#This Row],[id_operacion]],tblEjecucion[id_operacion],tblEjecucion[precio],0))</f>
        <v/>
      </c>
      <c r="AJ268" s="10">
        <f>IF(tblOrdenes[[#This Row],[orden]]="","",MAX(0,_xlfn.XLOOKUP(tblOrdenes[[#This Row],[id_operacion]],tblEjecucion[id_operacion],tblEjecucion[costo_plan_total],0)-tblOrdenes[[#This Row],[costo_servicio]]))</f>
        <v/>
      </c>
      <c r="AK268" s="10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2">
        <f>IF(tblOrdenes[[#This Row],[fecha_inicio]]="","",TODAY()-tblOrdenes[[#This Row],[fecha_inicio]])</f>
        <v/>
      </c>
      <c r="AB2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0">
        <f>IF(tblOrdenes[[#This Row],[orden]]="","",_xlfn.XLOOKUP(tblOrdenes[[#This Row],[id_operacion]],tblEjecucion[id_operacion],tblEjecucion[precio],0))</f>
        <v/>
      </c>
      <c r="AJ269" s="10">
        <f>IF(tblOrdenes[[#This Row],[orden]]="","",MAX(0,_xlfn.XLOOKUP(tblOrdenes[[#This Row],[id_operacion]],tblEjecucion[id_operacion],tblEjecucion[costo_plan_total],0)-tblOrdenes[[#This Row],[costo_servicio]]))</f>
        <v/>
      </c>
      <c r="AK269" s="10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2">
        <f>IF(tblOrdenes[[#This Row],[fecha_inicio]]="","",TODAY()-tblOrdenes[[#This Row],[fecha_inicio]])</f>
        <v/>
      </c>
      <c r="AB2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0">
        <f>IF(tblOrdenes[[#This Row],[orden]]="","",_xlfn.XLOOKUP(tblOrdenes[[#This Row],[id_operacion]],tblEjecucion[id_operacion],tblEjecucion[precio],0))</f>
        <v/>
      </c>
      <c r="AJ270" s="10">
        <f>IF(tblOrdenes[[#This Row],[orden]]="","",MAX(0,_xlfn.XLOOKUP(tblOrdenes[[#This Row],[id_operacion]],tblEjecucion[id_operacion],tblEjecucion[costo_plan_total],0)-tblOrdenes[[#This Row],[costo_servicio]]))</f>
        <v/>
      </c>
      <c r="AK270" s="10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2">
        <f>IF(tblOrdenes[[#This Row],[fecha_inicio]]="","",TODAY()-tblOrdenes[[#This Row],[fecha_inicio]])</f>
        <v/>
      </c>
      <c r="AB2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0">
        <f>IF(tblOrdenes[[#This Row],[orden]]="","",_xlfn.XLOOKUP(tblOrdenes[[#This Row],[id_operacion]],tblEjecucion[id_operacion],tblEjecucion[precio],0))</f>
        <v/>
      </c>
      <c r="AJ271" s="10">
        <f>IF(tblOrdenes[[#This Row],[orden]]="","",MAX(0,_xlfn.XLOOKUP(tblOrdenes[[#This Row],[id_operacion]],tblEjecucion[id_operacion],tblEjecucion[costo_plan_total],0)-tblOrdenes[[#This Row],[costo_servicio]]))</f>
        <v/>
      </c>
      <c r="AK271" s="10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2">
        <f>IF(tblOrdenes[[#This Row],[fecha_inicio]]="","",TODAY()-tblOrdenes[[#This Row],[fecha_inicio]])</f>
        <v/>
      </c>
      <c r="AB2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0">
        <f>IF(tblOrdenes[[#This Row],[orden]]="","",_xlfn.XLOOKUP(tblOrdenes[[#This Row],[id_operacion]],tblEjecucion[id_operacion],tblEjecucion[precio],0))</f>
        <v/>
      </c>
      <c r="AJ272" s="10">
        <f>IF(tblOrdenes[[#This Row],[orden]]="","",MAX(0,_xlfn.XLOOKUP(tblOrdenes[[#This Row],[id_operacion]],tblEjecucion[id_operacion],tblEjecucion[costo_plan_total],0)-tblOrdenes[[#This Row],[costo_servicio]]))</f>
        <v/>
      </c>
      <c r="AK272" s="10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2">
        <f>IF(tblOrdenes[[#This Row],[fecha_inicio]]="","",TODAY()-tblOrdenes[[#This Row],[fecha_inicio]])</f>
        <v/>
      </c>
      <c r="AB2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0">
        <f>IF(tblOrdenes[[#This Row],[orden]]="","",_xlfn.XLOOKUP(tblOrdenes[[#This Row],[id_operacion]],tblEjecucion[id_operacion],tblEjecucion[precio],0))</f>
        <v/>
      </c>
      <c r="AJ273" s="10">
        <f>IF(tblOrdenes[[#This Row],[orden]]="","",MAX(0,_xlfn.XLOOKUP(tblOrdenes[[#This Row],[id_operacion]],tblEjecucion[id_operacion],tblEjecucion[costo_plan_total],0)-tblOrdenes[[#This Row],[costo_servicio]]))</f>
        <v/>
      </c>
      <c r="AK273" s="10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2">
        <f>IF(tblOrdenes[[#This Row],[fecha_inicio]]="","",TODAY()-tblOrdenes[[#This Row],[fecha_inicio]])</f>
        <v/>
      </c>
      <c r="AB2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0">
        <f>IF(tblOrdenes[[#This Row],[orden]]="","",_xlfn.XLOOKUP(tblOrdenes[[#This Row],[id_operacion]],tblEjecucion[id_operacion],tblEjecucion[precio],0))</f>
        <v/>
      </c>
      <c r="AJ274" s="10">
        <f>IF(tblOrdenes[[#This Row],[orden]]="","",MAX(0,_xlfn.XLOOKUP(tblOrdenes[[#This Row],[id_operacion]],tblEjecucion[id_operacion],tblEjecucion[costo_plan_total],0)-tblOrdenes[[#This Row],[costo_servicio]]))</f>
        <v/>
      </c>
      <c r="AK274" s="10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2">
        <f>IF(tblOrdenes[[#This Row],[fecha_inicio]]="","",TODAY()-tblOrdenes[[#This Row],[fecha_inicio]])</f>
        <v/>
      </c>
      <c r="AB2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0">
        <f>IF(tblOrdenes[[#This Row],[orden]]="","",_xlfn.XLOOKUP(tblOrdenes[[#This Row],[id_operacion]],tblEjecucion[id_operacion],tblEjecucion[precio],0))</f>
        <v/>
      </c>
      <c r="AJ275" s="10">
        <f>IF(tblOrdenes[[#This Row],[orden]]="","",MAX(0,_xlfn.XLOOKUP(tblOrdenes[[#This Row],[id_operacion]],tblEjecucion[id_operacion],tblEjecucion[costo_plan_total],0)-tblOrdenes[[#This Row],[costo_servicio]]))</f>
        <v/>
      </c>
      <c r="AK275" s="10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2">
        <f>IF(tblOrdenes[[#This Row],[fecha_inicio]]="","",TODAY()-tblOrdenes[[#This Row],[fecha_inicio]])</f>
        <v/>
      </c>
      <c r="AB2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0">
        <f>IF(tblOrdenes[[#This Row],[orden]]="","",_xlfn.XLOOKUP(tblOrdenes[[#This Row],[id_operacion]],tblEjecucion[id_operacion],tblEjecucion[precio],0))</f>
        <v/>
      </c>
      <c r="AJ276" s="10">
        <f>IF(tblOrdenes[[#This Row],[orden]]="","",MAX(0,_xlfn.XLOOKUP(tblOrdenes[[#This Row],[id_operacion]],tblEjecucion[id_operacion],tblEjecucion[costo_plan_total],0)-tblOrdenes[[#This Row],[costo_servicio]]))</f>
        <v/>
      </c>
      <c r="AK276" s="10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2">
        <f>IF(tblOrdenes[[#This Row],[fecha_inicio]]="","",TODAY()-tblOrdenes[[#This Row],[fecha_inicio]])</f>
        <v/>
      </c>
      <c r="AB2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0">
        <f>IF(tblOrdenes[[#This Row],[orden]]="","",_xlfn.XLOOKUP(tblOrdenes[[#This Row],[id_operacion]],tblEjecucion[id_operacion],tblEjecucion[precio],0))</f>
        <v/>
      </c>
      <c r="AJ277" s="10">
        <f>IF(tblOrdenes[[#This Row],[orden]]="","",MAX(0,_xlfn.XLOOKUP(tblOrdenes[[#This Row],[id_operacion]],tblEjecucion[id_operacion],tblEjecucion[costo_plan_total],0)-tblOrdenes[[#This Row],[costo_servicio]]))</f>
        <v/>
      </c>
      <c r="AK277" s="10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2">
        <f>IF(tblOrdenes[[#This Row],[fecha_inicio]]="","",TODAY()-tblOrdenes[[#This Row],[fecha_inicio]])</f>
        <v/>
      </c>
      <c r="AB2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0">
        <f>IF(tblOrdenes[[#This Row],[orden]]="","",_xlfn.XLOOKUP(tblOrdenes[[#This Row],[id_operacion]],tblEjecucion[id_operacion],tblEjecucion[precio],0))</f>
        <v/>
      </c>
      <c r="AJ278" s="10">
        <f>IF(tblOrdenes[[#This Row],[orden]]="","",MAX(0,_xlfn.XLOOKUP(tblOrdenes[[#This Row],[id_operacion]],tblEjecucion[id_operacion],tblEjecucion[costo_plan_total],0)-tblOrdenes[[#This Row],[costo_servicio]]))</f>
        <v/>
      </c>
      <c r="AK278" s="10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2">
        <f>IF(tblOrdenes[[#This Row],[fecha_inicio]]="","",TODAY()-tblOrdenes[[#This Row],[fecha_inicio]])</f>
        <v/>
      </c>
      <c r="AB2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0">
        <f>IF(tblOrdenes[[#This Row],[orden]]="","",_xlfn.XLOOKUP(tblOrdenes[[#This Row],[id_operacion]],tblEjecucion[id_operacion],tblEjecucion[precio],0))</f>
        <v/>
      </c>
      <c r="AJ279" s="10">
        <f>IF(tblOrdenes[[#This Row],[orden]]="","",MAX(0,_xlfn.XLOOKUP(tblOrdenes[[#This Row],[id_operacion]],tblEjecucion[id_operacion],tblEjecucion[costo_plan_total],0)-tblOrdenes[[#This Row],[costo_servicio]]))</f>
        <v/>
      </c>
      <c r="AK279" s="10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2">
        <f>IF(tblOrdenes[[#This Row],[fecha_inicio]]="","",TODAY()-tblOrdenes[[#This Row],[fecha_inicio]])</f>
        <v/>
      </c>
      <c r="AB2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0">
        <f>IF(tblOrdenes[[#This Row],[orden]]="","",_xlfn.XLOOKUP(tblOrdenes[[#This Row],[id_operacion]],tblEjecucion[id_operacion],tblEjecucion[precio],0))</f>
        <v/>
      </c>
      <c r="AJ280" s="10">
        <f>IF(tblOrdenes[[#This Row],[orden]]="","",MAX(0,_xlfn.XLOOKUP(tblOrdenes[[#This Row],[id_operacion]],tblEjecucion[id_operacion],tblEjecucion[costo_plan_total],0)-tblOrdenes[[#This Row],[costo_servicio]]))</f>
        <v/>
      </c>
      <c r="AK280" s="10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2">
        <f>IF(tblOrdenes[[#This Row],[fecha_inicio]]="","",TODAY()-tblOrdenes[[#This Row],[fecha_inicio]])</f>
        <v/>
      </c>
      <c r="AB2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0">
        <f>IF(tblOrdenes[[#This Row],[orden]]="","",_xlfn.XLOOKUP(tblOrdenes[[#This Row],[id_operacion]],tblEjecucion[id_operacion],tblEjecucion[precio],0))</f>
        <v/>
      </c>
      <c r="AJ281" s="10">
        <f>IF(tblOrdenes[[#This Row],[orden]]="","",MAX(0,_xlfn.XLOOKUP(tblOrdenes[[#This Row],[id_operacion]],tblEjecucion[id_operacion],tblEjecucion[costo_plan_total],0)-tblOrdenes[[#This Row],[costo_servicio]]))</f>
        <v/>
      </c>
      <c r="AK281" s="10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2">
        <f>IF(tblOrdenes[[#This Row],[fecha_inicio]]="","",TODAY()-tblOrdenes[[#This Row],[fecha_inicio]])</f>
        <v/>
      </c>
      <c r="AB2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0">
        <f>IF(tblOrdenes[[#This Row],[orden]]="","",_xlfn.XLOOKUP(tblOrdenes[[#This Row],[id_operacion]],tblEjecucion[id_operacion],tblEjecucion[precio],0))</f>
        <v/>
      </c>
      <c r="AJ282" s="10">
        <f>IF(tblOrdenes[[#This Row],[orden]]="","",MAX(0,_xlfn.XLOOKUP(tblOrdenes[[#This Row],[id_operacion]],tblEjecucion[id_operacion],tblEjecucion[costo_plan_total],0)-tblOrdenes[[#This Row],[costo_servicio]]))</f>
        <v/>
      </c>
      <c r="AK282" s="10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2">
        <f>IF(tblOrdenes[[#This Row],[fecha_inicio]]="","",TODAY()-tblOrdenes[[#This Row],[fecha_inicio]])</f>
        <v/>
      </c>
      <c r="AB2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0">
        <f>IF(tblOrdenes[[#This Row],[orden]]="","",_xlfn.XLOOKUP(tblOrdenes[[#This Row],[id_operacion]],tblEjecucion[id_operacion],tblEjecucion[precio],0))</f>
        <v/>
      </c>
      <c r="AJ283" s="10">
        <f>IF(tblOrdenes[[#This Row],[orden]]="","",MAX(0,_xlfn.XLOOKUP(tblOrdenes[[#This Row],[id_operacion]],tblEjecucion[id_operacion],tblEjecucion[costo_plan_total],0)-tblOrdenes[[#This Row],[costo_servicio]]))</f>
        <v/>
      </c>
      <c r="AK283" s="10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2">
        <f>IF(tblOrdenes[[#This Row],[fecha_inicio]]="","",TODAY()-tblOrdenes[[#This Row],[fecha_inicio]])</f>
        <v/>
      </c>
      <c r="AB2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0">
        <f>IF(tblOrdenes[[#This Row],[orden]]="","",_xlfn.XLOOKUP(tblOrdenes[[#This Row],[id_operacion]],tblEjecucion[id_operacion],tblEjecucion[precio],0))</f>
        <v/>
      </c>
      <c r="AJ284" s="10">
        <f>IF(tblOrdenes[[#This Row],[orden]]="","",MAX(0,_xlfn.XLOOKUP(tblOrdenes[[#This Row],[id_operacion]],tblEjecucion[id_operacion],tblEjecucion[costo_plan_total],0)-tblOrdenes[[#This Row],[costo_servicio]]))</f>
        <v/>
      </c>
      <c r="AK284" s="10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2">
        <f>IF(tblOrdenes[[#This Row],[fecha_inicio]]="","",TODAY()-tblOrdenes[[#This Row],[fecha_inicio]])</f>
        <v/>
      </c>
      <c r="AB2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0">
        <f>IF(tblOrdenes[[#This Row],[orden]]="","",_xlfn.XLOOKUP(tblOrdenes[[#This Row],[id_operacion]],tblEjecucion[id_operacion],tblEjecucion[precio],0))</f>
        <v/>
      </c>
      <c r="AJ285" s="10">
        <f>IF(tblOrdenes[[#This Row],[orden]]="","",MAX(0,_xlfn.XLOOKUP(tblOrdenes[[#This Row],[id_operacion]],tblEjecucion[id_operacion],tblEjecucion[costo_plan_total],0)-tblOrdenes[[#This Row],[costo_servicio]]))</f>
        <v/>
      </c>
      <c r="AK285" s="10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2">
        <f>IF(tblOrdenes[[#This Row],[fecha_inicio]]="","",TODAY()-tblOrdenes[[#This Row],[fecha_inicio]])</f>
        <v/>
      </c>
      <c r="AB2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0">
        <f>IF(tblOrdenes[[#This Row],[orden]]="","",_xlfn.XLOOKUP(tblOrdenes[[#This Row],[id_operacion]],tblEjecucion[id_operacion],tblEjecucion[precio],0))</f>
        <v/>
      </c>
      <c r="AJ286" s="10">
        <f>IF(tblOrdenes[[#This Row],[orden]]="","",MAX(0,_xlfn.XLOOKUP(tblOrdenes[[#This Row],[id_operacion]],tblEjecucion[id_operacion],tblEjecucion[costo_plan_total],0)-tblOrdenes[[#This Row],[costo_servicio]]))</f>
        <v/>
      </c>
      <c r="AK286" s="10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2">
        <f>IF(tblOrdenes[[#This Row],[fecha_inicio]]="","",TODAY()-tblOrdenes[[#This Row],[fecha_inicio]])</f>
        <v/>
      </c>
      <c r="AB2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0">
        <f>IF(tblOrdenes[[#This Row],[orden]]="","",_xlfn.XLOOKUP(tblOrdenes[[#This Row],[id_operacion]],tblEjecucion[id_operacion],tblEjecucion[precio],0))</f>
        <v/>
      </c>
      <c r="AJ287" s="10">
        <f>IF(tblOrdenes[[#This Row],[orden]]="","",MAX(0,_xlfn.XLOOKUP(tblOrdenes[[#This Row],[id_operacion]],tblEjecucion[id_operacion],tblEjecucion[costo_plan_total],0)-tblOrdenes[[#This Row],[costo_servicio]]))</f>
        <v/>
      </c>
      <c r="AK287" s="10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2">
        <f>IF(tblOrdenes[[#This Row],[fecha_inicio]]="","",TODAY()-tblOrdenes[[#This Row],[fecha_inicio]])</f>
        <v/>
      </c>
      <c r="AB2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0">
        <f>IF(tblOrdenes[[#This Row],[orden]]="","",_xlfn.XLOOKUP(tblOrdenes[[#This Row],[id_operacion]],tblEjecucion[id_operacion],tblEjecucion[precio],0))</f>
        <v/>
      </c>
      <c r="AJ288" s="10">
        <f>IF(tblOrdenes[[#This Row],[orden]]="","",MAX(0,_xlfn.XLOOKUP(tblOrdenes[[#This Row],[id_operacion]],tblEjecucion[id_operacion],tblEjecucion[costo_plan_total],0)-tblOrdenes[[#This Row],[costo_servicio]]))</f>
        <v/>
      </c>
      <c r="AK288" s="10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2">
        <f>IF(tblOrdenes[[#This Row],[fecha_inicio]]="","",TODAY()-tblOrdenes[[#This Row],[fecha_inicio]])</f>
        <v/>
      </c>
      <c r="AB2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0">
        <f>IF(tblOrdenes[[#This Row],[orden]]="","",_xlfn.XLOOKUP(tblOrdenes[[#This Row],[id_operacion]],tblEjecucion[id_operacion],tblEjecucion[precio],0))</f>
        <v/>
      </c>
      <c r="AJ289" s="10">
        <f>IF(tblOrdenes[[#This Row],[orden]]="","",MAX(0,_xlfn.XLOOKUP(tblOrdenes[[#This Row],[id_operacion]],tblEjecucion[id_operacion],tblEjecucion[costo_plan_total],0)-tblOrdenes[[#This Row],[costo_servicio]]))</f>
        <v/>
      </c>
      <c r="AK289" s="10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2">
        <f>IF(tblOrdenes[[#This Row],[fecha_inicio]]="","",TODAY()-tblOrdenes[[#This Row],[fecha_inicio]])</f>
        <v/>
      </c>
      <c r="AB2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0">
        <f>IF(tblOrdenes[[#This Row],[orden]]="","",_xlfn.XLOOKUP(tblOrdenes[[#This Row],[id_operacion]],tblEjecucion[id_operacion],tblEjecucion[precio],0))</f>
        <v/>
      </c>
      <c r="AJ290" s="10">
        <f>IF(tblOrdenes[[#This Row],[orden]]="","",MAX(0,_xlfn.XLOOKUP(tblOrdenes[[#This Row],[id_operacion]],tblEjecucion[id_operacion],tblEjecucion[costo_plan_total],0)-tblOrdenes[[#This Row],[costo_servicio]]))</f>
        <v/>
      </c>
      <c r="AK290" s="10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2">
        <f>IF(tblOrdenes[[#This Row],[fecha_inicio]]="","",TODAY()-tblOrdenes[[#This Row],[fecha_inicio]])</f>
        <v/>
      </c>
      <c r="AB2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0">
        <f>IF(tblOrdenes[[#This Row],[orden]]="","",_xlfn.XLOOKUP(tblOrdenes[[#This Row],[id_operacion]],tblEjecucion[id_operacion],tblEjecucion[precio],0))</f>
        <v/>
      </c>
      <c r="AJ291" s="10">
        <f>IF(tblOrdenes[[#This Row],[orden]]="","",MAX(0,_xlfn.XLOOKUP(tblOrdenes[[#This Row],[id_operacion]],tblEjecucion[id_operacion],tblEjecucion[costo_plan_total],0)-tblOrdenes[[#This Row],[costo_servicio]]))</f>
        <v/>
      </c>
      <c r="AK291" s="10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2">
        <f>IF(tblOrdenes[[#This Row],[fecha_inicio]]="","",TODAY()-tblOrdenes[[#This Row],[fecha_inicio]])</f>
        <v/>
      </c>
      <c r="AB2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0">
        <f>IF(tblOrdenes[[#This Row],[orden]]="","",_xlfn.XLOOKUP(tblOrdenes[[#This Row],[id_operacion]],tblEjecucion[id_operacion],tblEjecucion[precio],0))</f>
        <v/>
      </c>
      <c r="AJ292" s="10">
        <f>IF(tblOrdenes[[#This Row],[orden]]="","",MAX(0,_xlfn.XLOOKUP(tblOrdenes[[#This Row],[id_operacion]],tblEjecucion[id_operacion],tblEjecucion[costo_plan_total],0)-tblOrdenes[[#This Row],[costo_servicio]]))</f>
        <v/>
      </c>
      <c r="AK292" s="10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2">
        <f>IF(tblOrdenes[[#This Row],[fecha_inicio]]="","",TODAY()-tblOrdenes[[#This Row],[fecha_inicio]])</f>
        <v/>
      </c>
      <c r="AB2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0">
        <f>IF(tblOrdenes[[#This Row],[orden]]="","",_xlfn.XLOOKUP(tblOrdenes[[#This Row],[id_operacion]],tblEjecucion[id_operacion],tblEjecucion[precio],0))</f>
        <v/>
      </c>
      <c r="AJ293" s="10">
        <f>IF(tblOrdenes[[#This Row],[orden]]="","",MAX(0,_xlfn.XLOOKUP(tblOrdenes[[#This Row],[id_operacion]],tblEjecucion[id_operacion],tblEjecucion[costo_plan_total],0)-tblOrdenes[[#This Row],[costo_servicio]]))</f>
        <v/>
      </c>
      <c r="AK293" s="10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2">
        <f>IF(tblOrdenes[[#This Row],[fecha_inicio]]="","",TODAY()-tblOrdenes[[#This Row],[fecha_inicio]])</f>
        <v/>
      </c>
      <c r="AB2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0">
        <f>IF(tblOrdenes[[#This Row],[orden]]="","",_xlfn.XLOOKUP(tblOrdenes[[#This Row],[id_operacion]],tblEjecucion[id_operacion],tblEjecucion[precio],0))</f>
        <v/>
      </c>
      <c r="AJ294" s="10">
        <f>IF(tblOrdenes[[#This Row],[orden]]="","",MAX(0,_xlfn.XLOOKUP(tblOrdenes[[#This Row],[id_operacion]],tblEjecucion[id_operacion],tblEjecucion[costo_plan_total],0)-tblOrdenes[[#This Row],[costo_servicio]]))</f>
        <v/>
      </c>
      <c r="AK294" s="10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2">
        <f>IF(tblOrdenes[[#This Row],[fecha_inicio]]="","",TODAY()-tblOrdenes[[#This Row],[fecha_inicio]])</f>
        <v/>
      </c>
      <c r="AB2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0">
        <f>IF(tblOrdenes[[#This Row],[orden]]="","",_xlfn.XLOOKUP(tblOrdenes[[#This Row],[id_operacion]],tblEjecucion[id_operacion],tblEjecucion[precio],0))</f>
        <v/>
      </c>
      <c r="AJ295" s="10">
        <f>IF(tblOrdenes[[#This Row],[orden]]="","",MAX(0,_xlfn.XLOOKUP(tblOrdenes[[#This Row],[id_operacion]],tblEjecucion[id_operacion],tblEjecucion[costo_plan_total],0)-tblOrdenes[[#This Row],[costo_servicio]]))</f>
        <v/>
      </c>
      <c r="AK295" s="10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2">
        <f>IF(tblOrdenes[[#This Row],[fecha_inicio]]="","",TODAY()-tblOrdenes[[#This Row],[fecha_inicio]])</f>
        <v/>
      </c>
      <c r="AB2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0">
        <f>IF(tblOrdenes[[#This Row],[orden]]="","",_xlfn.XLOOKUP(tblOrdenes[[#This Row],[id_operacion]],tblEjecucion[id_operacion],tblEjecucion[precio],0))</f>
        <v/>
      </c>
      <c r="AJ296" s="10">
        <f>IF(tblOrdenes[[#This Row],[orden]]="","",MAX(0,_xlfn.XLOOKUP(tblOrdenes[[#This Row],[id_operacion]],tblEjecucion[id_operacion],tblEjecucion[costo_plan_total],0)-tblOrdenes[[#This Row],[costo_servicio]]))</f>
        <v/>
      </c>
      <c r="AK296" s="10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2">
        <f>IF(tblOrdenes[[#This Row],[fecha_inicio]]="","",TODAY()-tblOrdenes[[#This Row],[fecha_inicio]])</f>
        <v/>
      </c>
      <c r="AB2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0">
        <f>IF(tblOrdenes[[#This Row],[orden]]="","",_xlfn.XLOOKUP(tblOrdenes[[#This Row],[id_operacion]],tblEjecucion[id_operacion],tblEjecucion[precio],0))</f>
        <v/>
      </c>
      <c r="AJ297" s="10">
        <f>IF(tblOrdenes[[#This Row],[orden]]="","",MAX(0,_xlfn.XLOOKUP(tblOrdenes[[#This Row],[id_operacion]],tblEjecucion[id_operacion],tblEjecucion[costo_plan_total],0)-tblOrdenes[[#This Row],[costo_servicio]]))</f>
        <v/>
      </c>
      <c r="AK297" s="10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2">
        <f>IF(tblOrdenes[[#This Row],[fecha_inicio]]="","",TODAY()-tblOrdenes[[#This Row],[fecha_inicio]])</f>
        <v/>
      </c>
      <c r="AB2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0">
        <f>IF(tblOrdenes[[#This Row],[orden]]="","",_xlfn.XLOOKUP(tblOrdenes[[#This Row],[id_operacion]],tblEjecucion[id_operacion],tblEjecucion[precio],0))</f>
        <v/>
      </c>
      <c r="AJ298" s="10">
        <f>IF(tblOrdenes[[#This Row],[orden]]="","",MAX(0,_xlfn.XLOOKUP(tblOrdenes[[#This Row],[id_operacion]],tblEjecucion[id_operacion],tblEjecucion[costo_plan_total],0)-tblOrdenes[[#This Row],[costo_servicio]]))</f>
        <v/>
      </c>
      <c r="AK298" s="10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2">
        <f>IF(tblOrdenes[[#This Row],[fecha_inicio]]="","",TODAY()-tblOrdenes[[#This Row],[fecha_inicio]])</f>
        <v/>
      </c>
      <c r="AB2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0">
        <f>IF(tblOrdenes[[#This Row],[orden]]="","",_xlfn.XLOOKUP(tblOrdenes[[#This Row],[id_operacion]],tblEjecucion[id_operacion],tblEjecucion[precio],0))</f>
        <v/>
      </c>
      <c r="AJ299" s="10">
        <f>IF(tblOrdenes[[#This Row],[orden]]="","",MAX(0,_xlfn.XLOOKUP(tblOrdenes[[#This Row],[id_operacion]],tblEjecucion[id_operacion],tblEjecucion[costo_plan_total],0)-tblOrdenes[[#This Row],[costo_servicio]]))</f>
        <v/>
      </c>
      <c r="AK299" s="10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2">
        <f>IF(tblOrdenes[[#This Row],[fecha_inicio]]="","",TODAY()-tblOrdenes[[#This Row],[fecha_inicio]])</f>
        <v/>
      </c>
      <c r="AB3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0">
        <f>IF(tblOrdenes[[#This Row],[orden]]="","",_xlfn.XLOOKUP(tblOrdenes[[#This Row],[id_operacion]],tblEjecucion[id_operacion],tblEjecucion[precio],0))</f>
        <v/>
      </c>
      <c r="AJ300" s="10">
        <f>IF(tblOrdenes[[#This Row],[orden]]="","",MAX(0,_xlfn.XLOOKUP(tblOrdenes[[#This Row],[id_operacion]],tblEjecucion[id_operacion],tblEjecucion[costo_plan_total],0)-tblOrdenes[[#This Row],[costo_servicio]]))</f>
        <v/>
      </c>
      <c r="AK300" s="10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2">
        <f>IF(tblOrdenes[[#This Row],[fecha_inicio]]="","",TODAY()-tblOrdenes[[#This Row],[fecha_inicio]])</f>
        <v/>
      </c>
      <c r="AB3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0">
        <f>IF(tblOrdenes[[#This Row],[orden]]="","",_xlfn.XLOOKUP(tblOrdenes[[#This Row],[id_operacion]],tblEjecucion[id_operacion],tblEjecucion[precio],0))</f>
        <v/>
      </c>
      <c r="AJ301" s="10">
        <f>IF(tblOrdenes[[#This Row],[orden]]="","",MAX(0,_xlfn.XLOOKUP(tblOrdenes[[#This Row],[id_operacion]],tblEjecucion[id_operacion],tblEjecucion[costo_plan_total],0)-tblOrdenes[[#This Row],[costo_servicio]]))</f>
        <v/>
      </c>
      <c r="AK301" s="10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2">
        <f>IF(tblOrdenes[[#This Row],[fecha_inicio]]="","",TODAY()-tblOrdenes[[#This Row],[fecha_inicio]])</f>
        <v/>
      </c>
      <c r="AB3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0">
        <f>IF(tblOrdenes[[#This Row],[orden]]="","",_xlfn.XLOOKUP(tblOrdenes[[#This Row],[id_operacion]],tblEjecucion[id_operacion],tblEjecucion[precio],0))</f>
        <v/>
      </c>
      <c r="AJ302" s="10">
        <f>IF(tblOrdenes[[#This Row],[orden]]="","",MAX(0,_xlfn.XLOOKUP(tblOrdenes[[#This Row],[id_operacion]],tblEjecucion[id_operacion],tblEjecucion[costo_plan_total],0)-tblOrdenes[[#This Row],[costo_servicio]]))</f>
        <v/>
      </c>
      <c r="AK302" s="10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2">
        <f>IF(tblOrdenes[[#This Row],[fecha_inicio]]="","",TODAY()-tblOrdenes[[#This Row],[fecha_inicio]])</f>
        <v/>
      </c>
      <c r="AB3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0">
        <f>IF(tblOrdenes[[#This Row],[orden]]="","",_xlfn.XLOOKUP(tblOrdenes[[#This Row],[id_operacion]],tblEjecucion[id_operacion],tblEjecucion[precio],0))</f>
        <v/>
      </c>
      <c r="AJ303" s="10">
        <f>IF(tblOrdenes[[#This Row],[orden]]="","",MAX(0,_xlfn.XLOOKUP(tblOrdenes[[#This Row],[id_operacion]],tblEjecucion[id_operacion],tblEjecucion[costo_plan_total],0)-tblOrdenes[[#This Row],[costo_servicio]]))</f>
        <v/>
      </c>
      <c r="AK303" s="10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2">
        <f>IF(tblOrdenes[[#This Row],[fecha_inicio]]="","",TODAY()-tblOrdenes[[#This Row],[fecha_inicio]])</f>
        <v/>
      </c>
      <c r="AB3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0">
        <f>IF(tblOrdenes[[#This Row],[orden]]="","",_xlfn.XLOOKUP(tblOrdenes[[#This Row],[id_operacion]],tblEjecucion[id_operacion],tblEjecucion[precio],0))</f>
        <v/>
      </c>
      <c r="AJ304" s="10">
        <f>IF(tblOrdenes[[#This Row],[orden]]="","",MAX(0,_xlfn.XLOOKUP(tblOrdenes[[#This Row],[id_operacion]],tblEjecucion[id_operacion],tblEjecucion[costo_plan_total],0)-tblOrdenes[[#This Row],[costo_servicio]]))</f>
        <v/>
      </c>
      <c r="AK304" s="10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2">
        <f>IF(tblOrdenes[[#This Row],[fecha_inicio]]="","",TODAY()-tblOrdenes[[#This Row],[fecha_inicio]])</f>
        <v/>
      </c>
      <c r="AB3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0">
        <f>IF(tblOrdenes[[#This Row],[orden]]="","",_xlfn.XLOOKUP(tblOrdenes[[#This Row],[id_operacion]],tblEjecucion[id_operacion],tblEjecucion[precio],0))</f>
        <v/>
      </c>
      <c r="AJ305" s="10">
        <f>IF(tblOrdenes[[#This Row],[orden]]="","",MAX(0,_xlfn.XLOOKUP(tblOrdenes[[#This Row],[id_operacion]],tblEjecucion[id_operacion],tblEjecucion[costo_plan_total],0)-tblOrdenes[[#This Row],[costo_servicio]]))</f>
        <v/>
      </c>
      <c r="AK305" s="10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2">
        <f>IF(tblOrdenes[[#This Row],[fecha_inicio]]="","",TODAY()-tblOrdenes[[#This Row],[fecha_inicio]])</f>
        <v/>
      </c>
      <c r="AB3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0">
        <f>IF(tblOrdenes[[#This Row],[orden]]="","",_xlfn.XLOOKUP(tblOrdenes[[#This Row],[id_operacion]],tblEjecucion[id_operacion],tblEjecucion[precio],0))</f>
        <v/>
      </c>
      <c r="AJ306" s="10">
        <f>IF(tblOrdenes[[#This Row],[orden]]="","",MAX(0,_xlfn.XLOOKUP(tblOrdenes[[#This Row],[id_operacion]],tblEjecucion[id_operacion],tblEjecucion[costo_plan_total],0)-tblOrdenes[[#This Row],[costo_servicio]]))</f>
        <v/>
      </c>
      <c r="AK306" s="10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2">
        <f>IF(tblOrdenes[[#This Row],[fecha_inicio]]="","",TODAY()-tblOrdenes[[#This Row],[fecha_inicio]])</f>
        <v/>
      </c>
      <c r="AB3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0">
        <f>IF(tblOrdenes[[#This Row],[orden]]="","",_xlfn.XLOOKUP(tblOrdenes[[#This Row],[id_operacion]],tblEjecucion[id_operacion],tblEjecucion[precio],0))</f>
        <v/>
      </c>
      <c r="AJ307" s="10">
        <f>IF(tblOrdenes[[#This Row],[orden]]="","",MAX(0,_xlfn.XLOOKUP(tblOrdenes[[#This Row],[id_operacion]],tblEjecucion[id_operacion],tblEjecucion[costo_plan_total],0)-tblOrdenes[[#This Row],[costo_servicio]]))</f>
        <v/>
      </c>
      <c r="AK307" s="10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2">
        <f>IF(tblOrdenes[[#This Row],[fecha_inicio]]="","",TODAY()-tblOrdenes[[#This Row],[fecha_inicio]])</f>
        <v/>
      </c>
      <c r="AB3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0">
        <f>IF(tblOrdenes[[#This Row],[orden]]="","",_xlfn.XLOOKUP(tblOrdenes[[#This Row],[id_operacion]],tblEjecucion[id_operacion],tblEjecucion[precio],0))</f>
        <v/>
      </c>
      <c r="AJ308" s="10">
        <f>IF(tblOrdenes[[#This Row],[orden]]="","",MAX(0,_xlfn.XLOOKUP(tblOrdenes[[#This Row],[id_operacion]],tblEjecucion[id_operacion],tblEjecucion[costo_plan_total],0)-tblOrdenes[[#This Row],[costo_servicio]]))</f>
        <v/>
      </c>
      <c r="AK308" s="10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2">
        <f>IF(tblOrdenes[[#This Row],[fecha_inicio]]="","",TODAY()-tblOrdenes[[#This Row],[fecha_inicio]])</f>
        <v/>
      </c>
      <c r="AB3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0">
        <f>IF(tblOrdenes[[#This Row],[orden]]="","",_xlfn.XLOOKUP(tblOrdenes[[#This Row],[id_operacion]],tblEjecucion[id_operacion],tblEjecucion[precio],0))</f>
        <v/>
      </c>
      <c r="AJ309" s="10">
        <f>IF(tblOrdenes[[#This Row],[orden]]="","",MAX(0,_xlfn.XLOOKUP(tblOrdenes[[#This Row],[id_operacion]],tblEjecucion[id_operacion],tblEjecucion[costo_plan_total],0)-tblOrdenes[[#This Row],[costo_servicio]]))</f>
        <v/>
      </c>
      <c r="AK309" s="10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2">
        <f>IF(tblOrdenes[[#This Row],[fecha_inicio]]="","",TODAY()-tblOrdenes[[#This Row],[fecha_inicio]])</f>
        <v/>
      </c>
      <c r="AB3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0">
        <f>IF(tblOrdenes[[#This Row],[orden]]="","",_xlfn.XLOOKUP(tblOrdenes[[#This Row],[id_operacion]],tblEjecucion[id_operacion],tblEjecucion[precio],0))</f>
        <v/>
      </c>
      <c r="AJ310" s="10">
        <f>IF(tblOrdenes[[#This Row],[orden]]="","",MAX(0,_xlfn.XLOOKUP(tblOrdenes[[#This Row],[id_operacion]],tblEjecucion[id_operacion],tblEjecucion[costo_plan_total],0)-tblOrdenes[[#This Row],[costo_servicio]]))</f>
        <v/>
      </c>
      <c r="AK310" s="10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2">
        <f>IF(tblOrdenes[[#This Row],[fecha_inicio]]="","",TODAY()-tblOrdenes[[#This Row],[fecha_inicio]])</f>
        <v/>
      </c>
      <c r="AB3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0">
        <f>IF(tblOrdenes[[#This Row],[orden]]="","",_xlfn.XLOOKUP(tblOrdenes[[#This Row],[id_operacion]],tblEjecucion[id_operacion],tblEjecucion[precio],0))</f>
        <v/>
      </c>
      <c r="AJ311" s="10">
        <f>IF(tblOrdenes[[#This Row],[orden]]="","",MAX(0,_xlfn.XLOOKUP(tblOrdenes[[#This Row],[id_operacion]],tblEjecucion[id_operacion],tblEjecucion[costo_plan_total],0)-tblOrdenes[[#This Row],[costo_servicio]]))</f>
        <v/>
      </c>
      <c r="AK311" s="10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2">
        <f>IF(tblOrdenes[[#This Row],[fecha_inicio]]="","",TODAY()-tblOrdenes[[#This Row],[fecha_inicio]])</f>
        <v/>
      </c>
      <c r="AB3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0">
        <f>IF(tblOrdenes[[#This Row],[orden]]="","",_xlfn.XLOOKUP(tblOrdenes[[#This Row],[id_operacion]],tblEjecucion[id_operacion],tblEjecucion[precio],0))</f>
        <v/>
      </c>
      <c r="AJ312" s="10">
        <f>IF(tblOrdenes[[#This Row],[orden]]="","",MAX(0,_xlfn.XLOOKUP(tblOrdenes[[#This Row],[id_operacion]],tblEjecucion[id_operacion],tblEjecucion[costo_plan_total],0)-tblOrdenes[[#This Row],[costo_servicio]]))</f>
        <v/>
      </c>
      <c r="AK312" s="10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2">
        <f>IF(tblOrdenes[[#This Row],[fecha_inicio]]="","",TODAY()-tblOrdenes[[#This Row],[fecha_inicio]])</f>
        <v/>
      </c>
      <c r="AB3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0">
        <f>IF(tblOrdenes[[#This Row],[orden]]="","",_xlfn.XLOOKUP(tblOrdenes[[#This Row],[id_operacion]],tblEjecucion[id_operacion],tblEjecucion[precio],0))</f>
        <v/>
      </c>
      <c r="AJ313" s="10">
        <f>IF(tblOrdenes[[#This Row],[orden]]="","",MAX(0,_xlfn.XLOOKUP(tblOrdenes[[#This Row],[id_operacion]],tblEjecucion[id_operacion],tblEjecucion[costo_plan_total],0)-tblOrdenes[[#This Row],[costo_servicio]]))</f>
        <v/>
      </c>
      <c r="AK313" s="10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2">
        <f>IF(tblOrdenes[[#This Row],[fecha_inicio]]="","",TODAY()-tblOrdenes[[#This Row],[fecha_inicio]])</f>
        <v/>
      </c>
      <c r="AB3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0">
        <f>IF(tblOrdenes[[#This Row],[orden]]="","",_xlfn.XLOOKUP(tblOrdenes[[#This Row],[id_operacion]],tblEjecucion[id_operacion],tblEjecucion[precio],0))</f>
        <v/>
      </c>
      <c r="AJ314" s="10">
        <f>IF(tblOrdenes[[#This Row],[orden]]="","",MAX(0,_xlfn.XLOOKUP(tblOrdenes[[#This Row],[id_operacion]],tblEjecucion[id_operacion],tblEjecucion[costo_plan_total],0)-tblOrdenes[[#This Row],[costo_servicio]]))</f>
        <v/>
      </c>
      <c r="AK314" s="10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2">
        <f>IF(tblOrdenes[[#This Row],[fecha_inicio]]="","",TODAY()-tblOrdenes[[#This Row],[fecha_inicio]])</f>
        <v/>
      </c>
      <c r="AB3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0">
        <f>IF(tblOrdenes[[#This Row],[orden]]="","",_xlfn.XLOOKUP(tblOrdenes[[#This Row],[id_operacion]],tblEjecucion[id_operacion],tblEjecucion[precio],0))</f>
        <v/>
      </c>
      <c r="AJ315" s="10">
        <f>IF(tblOrdenes[[#This Row],[orden]]="","",MAX(0,_xlfn.XLOOKUP(tblOrdenes[[#This Row],[id_operacion]],tblEjecucion[id_operacion],tblEjecucion[costo_plan_total],0)-tblOrdenes[[#This Row],[costo_servicio]]))</f>
        <v/>
      </c>
      <c r="AK315" s="10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2">
        <f>IF(tblOrdenes[[#This Row],[fecha_inicio]]="","",TODAY()-tblOrdenes[[#This Row],[fecha_inicio]])</f>
        <v/>
      </c>
      <c r="AB3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0">
        <f>IF(tblOrdenes[[#This Row],[orden]]="","",_xlfn.XLOOKUP(tblOrdenes[[#This Row],[id_operacion]],tblEjecucion[id_operacion],tblEjecucion[precio],0))</f>
        <v/>
      </c>
      <c r="AJ316" s="10">
        <f>IF(tblOrdenes[[#This Row],[orden]]="","",MAX(0,_xlfn.XLOOKUP(tblOrdenes[[#This Row],[id_operacion]],tblEjecucion[id_operacion],tblEjecucion[costo_plan_total],0)-tblOrdenes[[#This Row],[costo_servicio]]))</f>
        <v/>
      </c>
      <c r="AK316" s="10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2">
        <f>IF(tblOrdenes[[#This Row],[fecha_inicio]]="","",TODAY()-tblOrdenes[[#This Row],[fecha_inicio]])</f>
        <v/>
      </c>
      <c r="AB3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0">
        <f>IF(tblOrdenes[[#This Row],[orden]]="","",_xlfn.XLOOKUP(tblOrdenes[[#This Row],[id_operacion]],tblEjecucion[id_operacion],tblEjecucion[precio],0))</f>
        <v/>
      </c>
      <c r="AJ317" s="10">
        <f>IF(tblOrdenes[[#This Row],[orden]]="","",MAX(0,_xlfn.XLOOKUP(tblOrdenes[[#This Row],[id_operacion]],tblEjecucion[id_operacion],tblEjecucion[costo_plan_total],0)-tblOrdenes[[#This Row],[costo_servicio]]))</f>
        <v/>
      </c>
      <c r="AK317" s="10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2">
        <f>IF(tblOrdenes[[#This Row],[fecha_inicio]]="","",TODAY()-tblOrdenes[[#This Row],[fecha_inicio]])</f>
        <v/>
      </c>
      <c r="AB3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0">
        <f>IF(tblOrdenes[[#This Row],[orden]]="","",_xlfn.XLOOKUP(tblOrdenes[[#This Row],[id_operacion]],tblEjecucion[id_operacion],tblEjecucion[precio],0))</f>
        <v/>
      </c>
      <c r="AJ318" s="10">
        <f>IF(tblOrdenes[[#This Row],[orden]]="","",MAX(0,_xlfn.XLOOKUP(tblOrdenes[[#This Row],[id_operacion]],tblEjecucion[id_operacion],tblEjecucion[costo_plan_total],0)-tblOrdenes[[#This Row],[costo_servicio]]))</f>
        <v/>
      </c>
      <c r="AK318" s="10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2">
        <f>IF(tblOrdenes[[#This Row],[fecha_inicio]]="","",TODAY()-tblOrdenes[[#This Row],[fecha_inicio]])</f>
        <v/>
      </c>
      <c r="AB3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0">
        <f>IF(tblOrdenes[[#This Row],[orden]]="","",_xlfn.XLOOKUP(tblOrdenes[[#This Row],[id_operacion]],tblEjecucion[id_operacion],tblEjecucion[precio],0))</f>
        <v/>
      </c>
      <c r="AJ319" s="10">
        <f>IF(tblOrdenes[[#This Row],[orden]]="","",MAX(0,_xlfn.XLOOKUP(tblOrdenes[[#This Row],[id_operacion]],tblEjecucion[id_operacion],tblEjecucion[costo_plan_total],0)-tblOrdenes[[#This Row],[costo_servicio]]))</f>
        <v/>
      </c>
      <c r="AK319" s="10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2">
        <f>IF(tblOrdenes[[#This Row],[fecha_inicio]]="","",TODAY()-tblOrdenes[[#This Row],[fecha_inicio]])</f>
        <v/>
      </c>
      <c r="AB3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0">
        <f>IF(tblOrdenes[[#This Row],[orden]]="","",_xlfn.XLOOKUP(tblOrdenes[[#This Row],[id_operacion]],tblEjecucion[id_operacion],tblEjecucion[precio],0))</f>
        <v/>
      </c>
      <c r="AJ320" s="10">
        <f>IF(tblOrdenes[[#This Row],[orden]]="","",MAX(0,_xlfn.XLOOKUP(tblOrdenes[[#This Row],[id_operacion]],tblEjecucion[id_operacion],tblEjecucion[costo_plan_total],0)-tblOrdenes[[#This Row],[costo_servicio]]))</f>
        <v/>
      </c>
      <c r="AK320" s="10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2">
        <f>IF(tblOrdenes[[#This Row],[fecha_inicio]]="","",TODAY()-tblOrdenes[[#This Row],[fecha_inicio]])</f>
        <v/>
      </c>
      <c r="AB3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0">
        <f>IF(tblOrdenes[[#This Row],[orden]]="","",_xlfn.XLOOKUP(tblOrdenes[[#This Row],[id_operacion]],tblEjecucion[id_operacion],tblEjecucion[precio],0))</f>
        <v/>
      </c>
      <c r="AJ321" s="10">
        <f>IF(tblOrdenes[[#This Row],[orden]]="","",MAX(0,_xlfn.XLOOKUP(tblOrdenes[[#This Row],[id_operacion]],tblEjecucion[id_operacion],tblEjecucion[costo_plan_total],0)-tblOrdenes[[#This Row],[costo_servicio]]))</f>
        <v/>
      </c>
      <c r="AK321" s="10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2">
        <f>IF(tblOrdenes[[#This Row],[fecha_inicio]]="","",TODAY()-tblOrdenes[[#This Row],[fecha_inicio]])</f>
        <v/>
      </c>
      <c r="AB3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0">
        <f>IF(tblOrdenes[[#This Row],[orden]]="","",_xlfn.XLOOKUP(tblOrdenes[[#This Row],[id_operacion]],tblEjecucion[id_operacion],tblEjecucion[precio],0))</f>
        <v/>
      </c>
      <c r="AJ322" s="10">
        <f>IF(tblOrdenes[[#This Row],[orden]]="","",MAX(0,_xlfn.XLOOKUP(tblOrdenes[[#This Row],[id_operacion]],tblEjecucion[id_operacion],tblEjecucion[costo_plan_total],0)-tblOrdenes[[#This Row],[costo_servicio]]))</f>
        <v/>
      </c>
      <c r="AK322" s="10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2">
        <f>IF(tblOrdenes[[#This Row],[fecha_inicio]]="","",TODAY()-tblOrdenes[[#This Row],[fecha_inicio]])</f>
        <v/>
      </c>
      <c r="AB3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0">
        <f>IF(tblOrdenes[[#This Row],[orden]]="","",_xlfn.XLOOKUP(tblOrdenes[[#This Row],[id_operacion]],tblEjecucion[id_operacion],tblEjecucion[precio],0))</f>
        <v/>
      </c>
      <c r="AJ323" s="10">
        <f>IF(tblOrdenes[[#This Row],[orden]]="","",MAX(0,_xlfn.XLOOKUP(tblOrdenes[[#This Row],[id_operacion]],tblEjecucion[id_operacion],tblEjecucion[costo_plan_total],0)-tblOrdenes[[#This Row],[costo_servicio]]))</f>
        <v/>
      </c>
      <c r="AK323" s="10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2">
        <f>IF(tblOrdenes[[#This Row],[fecha_inicio]]="","",TODAY()-tblOrdenes[[#This Row],[fecha_inicio]])</f>
        <v/>
      </c>
      <c r="AB3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0">
        <f>IF(tblOrdenes[[#This Row],[orden]]="","",_xlfn.XLOOKUP(tblOrdenes[[#This Row],[id_operacion]],tblEjecucion[id_operacion],tblEjecucion[precio],0))</f>
        <v/>
      </c>
      <c r="AJ324" s="10">
        <f>IF(tblOrdenes[[#This Row],[orden]]="","",MAX(0,_xlfn.XLOOKUP(tblOrdenes[[#This Row],[id_operacion]],tblEjecucion[id_operacion],tblEjecucion[costo_plan_total],0)-tblOrdenes[[#This Row],[costo_servicio]]))</f>
        <v/>
      </c>
      <c r="AK324" s="10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2">
        <f>IF(tblOrdenes[[#This Row],[fecha_inicio]]="","",TODAY()-tblOrdenes[[#This Row],[fecha_inicio]])</f>
        <v/>
      </c>
      <c r="AB3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0">
        <f>IF(tblOrdenes[[#This Row],[orden]]="","",_xlfn.XLOOKUP(tblOrdenes[[#This Row],[id_operacion]],tblEjecucion[id_operacion],tblEjecucion[precio],0))</f>
        <v/>
      </c>
      <c r="AJ325" s="10">
        <f>IF(tblOrdenes[[#This Row],[orden]]="","",MAX(0,_xlfn.XLOOKUP(tblOrdenes[[#This Row],[id_operacion]],tblEjecucion[id_operacion],tblEjecucion[costo_plan_total],0)-tblOrdenes[[#This Row],[costo_servicio]]))</f>
        <v/>
      </c>
      <c r="AK325" s="10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2">
        <f>IF(tblOrdenes[[#This Row],[fecha_inicio]]="","",TODAY()-tblOrdenes[[#This Row],[fecha_inicio]])</f>
        <v/>
      </c>
      <c r="AB3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0">
        <f>IF(tblOrdenes[[#This Row],[orden]]="","",_xlfn.XLOOKUP(tblOrdenes[[#This Row],[id_operacion]],tblEjecucion[id_operacion],tblEjecucion[precio],0))</f>
        <v/>
      </c>
      <c r="AJ326" s="10">
        <f>IF(tblOrdenes[[#This Row],[orden]]="","",MAX(0,_xlfn.XLOOKUP(tblOrdenes[[#This Row],[id_operacion]],tblEjecucion[id_operacion],tblEjecucion[costo_plan_total],0)-tblOrdenes[[#This Row],[costo_servicio]]))</f>
        <v/>
      </c>
      <c r="AK326" s="10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2">
        <f>IF(tblOrdenes[[#This Row],[fecha_inicio]]="","",TODAY()-tblOrdenes[[#This Row],[fecha_inicio]])</f>
        <v/>
      </c>
      <c r="AB3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0">
        <f>IF(tblOrdenes[[#This Row],[orden]]="","",_xlfn.XLOOKUP(tblOrdenes[[#This Row],[id_operacion]],tblEjecucion[id_operacion],tblEjecucion[precio],0))</f>
        <v/>
      </c>
      <c r="AJ327" s="10">
        <f>IF(tblOrdenes[[#This Row],[orden]]="","",MAX(0,_xlfn.XLOOKUP(tblOrdenes[[#This Row],[id_operacion]],tblEjecucion[id_operacion],tblEjecucion[costo_plan_total],0)-tblOrdenes[[#This Row],[costo_servicio]]))</f>
        <v/>
      </c>
      <c r="AK327" s="10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2">
        <f>IF(tblOrdenes[[#This Row],[fecha_inicio]]="","",TODAY()-tblOrdenes[[#This Row],[fecha_inicio]])</f>
        <v/>
      </c>
      <c r="AB3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0">
        <f>IF(tblOrdenes[[#This Row],[orden]]="","",_xlfn.XLOOKUP(tblOrdenes[[#This Row],[id_operacion]],tblEjecucion[id_operacion],tblEjecucion[precio],0))</f>
        <v/>
      </c>
      <c r="AJ328" s="10">
        <f>IF(tblOrdenes[[#This Row],[orden]]="","",MAX(0,_xlfn.XLOOKUP(tblOrdenes[[#This Row],[id_operacion]],tblEjecucion[id_operacion],tblEjecucion[costo_plan_total],0)-tblOrdenes[[#This Row],[costo_servicio]]))</f>
        <v/>
      </c>
      <c r="AK328" s="10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2">
        <f>IF(tblOrdenes[[#This Row],[fecha_inicio]]="","",TODAY()-tblOrdenes[[#This Row],[fecha_inicio]])</f>
        <v/>
      </c>
      <c r="AB3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0">
        <f>IF(tblOrdenes[[#This Row],[orden]]="","",_xlfn.XLOOKUP(tblOrdenes[[#This Row],[id_operacion]],tblEjecucion[id_operacion],tblEjecucion[precio],0))</f>
        <v/>
      </c>
      <c r="AJ329" s="10">
        <f>IF(tblOrdenes[[#This Row],[orden]]="","",MAX(0,_xlfn.XLOOKUP(tblOrdenes[[#This Row],[id_operacion]],tblEjecucion[id_operacion],tblEjecucion[costo_plan_total],0)-tblOrdenes[[#This Row],[costo_servicio]]))</f>
        <v/>
      </c>
      <c r="AK329" s="10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2">
        <f>IF(tblOrdenes[[#This Row],[fecha_inicio]]="","",TODAY()-tblOrdenes[[#This Row],[fecha_inicio]])</f>
        <v/>
      </c>
      <c r="AB3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0">
        <f>IF(tblOrdenes[[#This Row],[orden]]="","",_xlfn.XLOOKUP(tblOrdenes[[#This Row],[id_operacion]],tblEjecucion[id_operacion],tblEjecucion[precio],0))</f>
        <v/>
      </c>
      <c r="AJ330" s="10">
        <f>IF(tblOrdenes[[#This Row],[orden]]="","",MAX(0,_xlfn.XLOOKUP(tblOrdenes[[#This Row],[id_operacion]],tblEjecucion[id_operacion],tblEjecucion[costo_plan_total],0)-tblOrdenes[[#This Row],[costo_servicio]]))</f>
        <v/>
      </c>
      <c r="AK330" s="10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2">
        <f>IF(tblOrdenes[[#This Row],[fecha_inicio]]="","",TODAY()-tblOrdenes[[#This Row],[fecha_inicio]])</f>
        <v/>
      </c>
      <c r="AB3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0">
        <f>IF(tblOrdenes[[#This Row],[orden]]="","",_xlfn.XLOOKUP(tblOrdenes[[#This Row],[id_operacion]],tblEjecucion[id_operacion],tblEjecucion[precio],0))</f>
        <v/>
      </c>
      <c r="AJ331" s="10">
        <f>IF(tblOrdenes[[#This Row],[orden]]="","",MAX(0,_xlfn.XLOOKUP(tblOrdenes[[#This Row],[id_operacion]],tblEjecucion[id_operacion],tblEjecucion[costo_plan_total],0)-tblOrdenes[[#This Row],[costo_servicio]]))</f>
        <v/>
      </c>
      <c r="AK331" s="10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2">
        <f>IF(tblOrdenes[[#This Row],[fecha_inicio]]="","",TODAY()-tblOrdenes[[#This Row],[fecha_inicio]])</f>
        <v/>
      </c>
      <c r="AB3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0">
        <f>IF(tblOrdenes[[#This Row],[orden]]="","",_xlfn.XLOOKUP(tblOrdenes[[#This Row],[id_operacion]],tblEjecucion[id_operacion],tblEjecucion[precio],0))</f>
        <v/>
      </c>
      <c r="AJ332" s="10">
        <f>IF(tblOrdenes[[#This Row],[orden]]="","",MAX(0,_xlfn.XLOOKUP(tblOrdenes[[#This Row],[id_operacion]],tblEjecucion[id_operacion],tblEjecucion[costo_plan_total],0)-tblOrdenes[[#This Row],[costo_servicio]]))</f>
        <v/>
      </c>
      <c r="AK332" s="10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2">
        <f>IF(tblOrdenes[[#This Row],[fecha_inicio]]="","",TODAY()-tblOrdenes[[#This Row],[fecha_inicio]])</f>
        <v/>
      </c>
      <c r="AB3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0">
        <f>IF(tblOrdenes[[#This Row],[orden]]="","",_xlfn.XLOOKUP(tblOrdenes[[#This Row],[id_operacion]],tblEjecucion[id_operacion],tblEjecucion[precio],0))</f>
        <v/>
      </c>
      <c r="AJ333" s="10">
        <f>IF(tblOrdenes[[#This Row],[orden]]="","",MAX(0,_xlfn.XLOOKUP(tblOrdenes[[#This Row],[id_operacion]],tblEjecucion[id_operacion],tblEjecucion[costo_plan_total],0)-tblOrdenes[[#This Row],[costo_servicio]]))</f>
        <v/>
      </c>
      <c r="AK333" s="10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2">
        <f>IF(tblOrdenes[[#This Row],[fecha_inicio]]="","",TODAY()-tblOrdenes[[#This Row],[fecha_inicio]])</f>
        <v/>
      </c>
      <c r="AB3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0">
        <f>IF(tblOrdenes[[#This Row],[orden]]="","",_xlfn.XLOOKUP(tblOrdenes[[#This Row],[id_operacion]],tblEjecucion[id_operacion],tblEjecucion[precio],0))</f>
        <v/>
      </c>
      <c r="AJ334" s="10">
        <f>IF(tblOrdenes[[#This Row],[orden]]="","",MAX(0,_xlfn.XLOOKUP(tblOrdenes[[#This Row],[id_operacion]],tblEjecucion[id_operacion],tblEjecucion[costo_plan_total],0)-tblOrdenes[[#This Row],[costo_servicio]]))</f>
        <v/>
      </c>
      <c r="AK334" s="10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2">
        <f>IF(tblOrdenes[[#This Row],[fecha_inicio]]="","",TODAY()-tblOrdenes[[#This Row],[fecha_inicio]])</f>
        <v/>
      </c>
      <c r="AB3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0">
        <f>IF(tblOrdenes[[#This Row],[orden]]="","",_xlfn.XLOOKUP(tblOrdenes[[#This Row],[id_operacion]],tblEjecucion[id_operacion],tblEjecucion[precio],0))</f>
        <v/>
      </c>
      <c r="AJ335" s="10">
        <f>IF(tblOrdenes[[#This Row],[orden]]="","",MAX(0,_xlfn.XLOOKUP(tblOrdenes[[#This Row],[id_operacion]],tblEjecucion[id_operacion],tblEjecucion[costo_plan_total],0)-tblOrdenes[[#This Row],[costo_servicio]]))</f>
        <v/>
      </c>
      <c r="AK335" s="10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2">
        <f>IF(tblOrdenes[[#This Row],[fecha_inicio]]="","",TODAY()-tblOrdenes[[#This Row],[fecha_inicio]])</f>
        <v/>
      </c>
      <c r="AB3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0">
        <f>IF(tblOrdenes[[#This Row],[orden]]="","",_xlfn.XLOOKUP(tblOrdenes[[#This Row],[id_operacion]],tblEjecucion[id_operacion],tblEjecucion[precio],0))</f>
        <v/>
      </c>
      <c r="AJ336" s="10">
        <f>IF(tblOrdenes[[#This Row],[orden]]="","",MAX(0,_xlfn.XLOOKUP(tblOrdenes[[#This Row],[id_operacion]],tblEjecucion[id_operacion],tblEjecucion[costo_plan_total],0)-tblOrdenes[[#This Row],[costo_servicio]]))</f>
        <v/>
      </c>
      <c r="AK336" s="10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2">
        <f>IF(tblOrdenes[[#This Row],[fecha_inicio]]="","",TODAY()-tblOrdenes[[#This Row],[fecha_inicio]])</f>
        <v/>
      </c>
      <c r="AB3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0">
        <f>IF(tblOrdenes[[#This Row],[orden]]="","",_xlfn.XLOOKUP(tblOrdenes[[#This Row],[id_operacion]],tblEjecucion[id_operacion],tblEjecucion[precio],0))</f>
        <v/>
      </c>
      <c r="AJ337" s="10">
        <f>IF(tblOrdenes[[#This Row],[orden]]="","",MAX(0,_xlfn.XLOOKUP(tblOrdenes[[#This Row],[id_operacion]],tblEjecucion[id_operacion],tblEjecucion[costo_plan_total],0)-tblOrdenes[[#This Row],[costo_servicio]]))</f>
        <v/>
      </c>
      <c r="AK337" s="10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2">
        <f>IF(tblOrdenes[[#This Row],[fecha_inicio]]="","",TODAY()-tblOrdenes[[#This Row],[fecha_inicio]])</f>
        <v/>
      </c>
      <c r="AB3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0">
        <f>IF(tblOrdenes[[#This Row],[orden]]="","",_xlfn.XLOOKUP(tblOrdenes[[#This Row],[id_operacion]],tblEjecucion[id_operacion],tblEjecucion[precio],0))</f>
        <v/>
      </c>
      <c r="AJ338" s="10">
        <f>IF(tblOrdenes[[#This Row],[orden]]="","",MAX(0,_xlfn.XLOOKUP(tblOrdenes[[#This Row],[id_operacion]],tblEjecucion[id_operacion],tblEjecucion[costo_plan_total],0)-tblOrdenes[[#This Row],[costo_servicio]]))</f>
        <v/>
      </c>
      <c r="AK338" s="10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2">
        <f>IF(tblOrdenes[[#This Row],[fecha_inicio]]="","",TODAY()-tblOrdenes[[#This Row],[fecha_inicio]])</f>
        <v/>
      </c>
      <c r="AB3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0">
        <f>IF(tblOrdenes[[#This Row],[orden]]="","",_xlfn.XLOOKUP(tblOrdenes[[#This Row],[id_operacion]],tblEjecucion[id_operacion],tblEjecucion[precio],0))</f>
        <v/>
      </c>
      <c r="AJ339" s="10">
        <f>IF(tblOrdenes[[#This Row],[orden]]="","",MAX(0,_xlfn.XLOOKUP(tblOrdenes[[#This Row],[id_operacion]],tblEjecucion[id_operacion],tblEjecucion[costo_plan_total],0)-tblOrdenes[[#This Row],[costo_servicio]]))</f>
        <v/>
      </c>
      <c r="AK339" s="10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2">
        <f>IF(tblOrdenes[[#This Row],[fecha_inicio]]="","",TODAY()-tblOrdenes[[#This Row],[fecha_inicio]])</f>
        <v/>
      </c>
      <c r="AB3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0">
        <f>IF(tblOrdenes[[#This Row],[orden]]="","",_xlfn.XLOOKUP(tblOrdenes[[#This Row],[id_operacion]],tblEjecucion[id_operacion],tblEjecucion[precio],0))</f>
        <v/>
      </c>
      <c r="AJ340" s="10">
        <f>IF(tblOrdenes[[#This Row],[orden]]="","",MAX(0,_xlfn.XLOOKUP(tblOrdenes[[#This Row],[id_operacion]],tblEjecucion[id_operacion],tblEjecucion[costo_plan_total],0)-tblOrdenes[[#This Row],[costo_servicio]]))</f>
        <v/>
      </c>
      <c r="AK340" s="10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2">
        <f>IF(tblOrdenes[[#This Row],[fecha_inicio]]="","",TODAY()-tblOrdenes[[#This Row],[fecha_inicio]])</f>
        <v/>
      </c>
      <c r="AB3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0">
        <f>IF(tblOrdenes[[#This Row],[orden]]="","",_xlfn.XLOOKUP(tblOrdenes[[#This Row],[id_operacion]],tblEjecucion[id_operacion],tblEjecucion[precio],0))</f>
        <v/>
      </c>
      <c r="AJ341" s="10">
        <f>IF(tblOrdenes[[#This Row],[orden]]="","",MAX(0,_xlfn.XLOOKUP(tblOrdenes[[#This Row],[id_operacion]],tblEjecucion[id_operacion],tblEjecucion[costo_plan_total],0)-tblOrdenes[[#This Row],[costo_servicio]]))</f>
        <v/>
      </c>
      <c r="AK341" s="10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2">
        <f>IF(tblOrdenes[[#This Row],[fecha_inicio]]="","",TODAY()-tblOrdenes[[#This Row],[fecha_inicio]])</f>
        <v/>
      </c>
      <c r="AB3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0">
        <f>IF(tblOrdenes[[#This Row],[orden]]="","",_xlfn.XLOOKUP(tblOrdenes[[#This Row],[id_operacion]],tblEjecucion[id_operacion],tblEjecucion[precio],0))</f>
        <v/>
      </c>
      <c r="AJ342" s="10">
        <f>IF(tblOrdenes[[#This Row],[orden]]="","",MAX(0,_xlfn.XLOOKUP(tblOrdenes[[#This Row],[id_operacion]],tblEjecucion[id_operacion],tblEjecucion[costo_plan_total],0)-tblOrdenes[[#This Row],[costo_servicio]]))</f>
        <v/>
      </c>
      <c r="AK342" s="10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2">
        <f>IF(tblOrdenes[[#This Row],[fecha_inicio]]="","",TODAY()-tblOrdenes[[#This Row],[fecha_inicio]])</f>
        <v/>
      </c>
      <c r="AB3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0">
        <f>IF(tblOrdenes[[#This Row],[orden]]="","",_xlfn.XLOOKUP(tblOrdenes[[#This Row],[id_operacion]],tblEjecucion[id_operacion],tblEjecucion[precio],0))</f>
        <v/>
      </c>
      <c r="AJ343" s="10">
        <f>IF(tblOrdenes[[#This Row],[orden]]="","",MAX(0,_xlfn.XLOOKUP(tblOrdenes[[#This Row],[id_operacion]],tblEjecucion[id_operacion],tblEjecucion[costo_plan_total],0)-tblOrdenes[[#This Row],[costo_servicio]]))</f>
        <v/>
      </c>
      <c r="AK343" s="10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2">
        <f>IF(tblOrdenes[[#This Row],[fecha_inicio]]="","",TODAY()-tblOrdenes[[#This Row],[fecha_inicio]])</f>
        <v/>
      </c>
      <c r="AB3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0">
        <f>IF(tblOrdenes[[#This Row],[orden]]="","",_xlfn.XLOOKUP(tblOrdenes[[#This Row],[id_operacion]],tblEjecucion[id_operacion],tblEjecucion[precio],0))</f>
        <v/>
      </c>
      <c r="AJ344" s="10">
        <f>IF(tblOrdenes[[#This Row],[orden]]="","",MAX(0,_xlfn.XLOOKUP(tblOrdenes[[#This Row],[id_operacion]],tblEjecucion[id_operacion],tblEjecucion[costo_plan_total],0)-tblOrdenes[[#This Row],[costo_servicio]]))</f>
        <v/>
      </c>
      <c r="AK344" s="10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2">
        <f>IF(tblOrdenes[[#This Row],[fecha_inicio]]="","",TODAY()-tblOrdenes[[#This Row],[fecha_inicio]])</f>
        <v/>
      </c>
      <c r="AB3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0">
        <f>IF(tblOrdenes[[#This Row],[orden]]="","",_xlfn.XLOOKUP(tblOrdenes[[#This Row],[id_operacion]],tblEjecucion[id_operacion],tblEjecucion[precio],0))</f>
        <v/>
      </c>
      <c r="AJ345" s="10">
        <f>IF(tblOrdenes[[#This Row],[orden]]="","",MAX(0,_xlfn.XLOOKUP(tblOrdenes[[#This Row],[id_operacion]],tblEjecucion[id_operacion],tblEjecucion[costo_plan_total],0)-tblOrdenes[[#This Row],[costo_servicio]]))</f>
        <v/>
      </c>
      <c r="AK345" s="10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2">
        <f>IF(tblOrdenes[[#This Row],[fecha_inicio]]="","",TODAY()-tblOrdenes[[#This Row],[fecha_inicio]])</f>
        <v/>
      </c>
      <c r="AB3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0">
        <f>IF(tblOrdenes[[#This Row],[orden]]="","",_xlfn.XLOOKUP(tblOrdenes[[#This Row],[id_operacion]],tblEjecucion[id_operacion],tblEjecucion[precio],0))</f>
        <v/>
      </c>
      <c r="AJ346" s="10">
        <f>IF(tblOrdenes[[#This Row],[orden]]="","",MAX(0,_xlfn.XLOOKUP(tblOrdenes[[#This Row],[id_operacion]],tblEjecucion[id_operacion],tblEjecucion[costo_plan_total],0)-tblOrdenes[[#This Row],[costo_servicio]]))</f>
        <v/>
      </c>
      <c r="AK346" s="10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2">
        <f>IF(tblOrdenes[[#This Row],[fecha_inicio]]="","",TODAY()-tblOrdenes[[#This Row],[fecha_inicio]])</f>
        <v/>
      </c>
      <c r="AB3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0">
        <f>IF(tblOrdenes[[#This Row],[orden]]="","",_xlfn.XLOOKUP(tblOrdenes[[#This Row],[id_operacion]],tblEjecucion[id_operacion],tblEjecucion[precio],0))</f>
        <v/>
      </c>
      <c r="AJ347" s="10">
        <f>IF(tblOrdenes[[#This Row],[orden]]="","",MAX(0,_xlfn.XLOOKUP(tblOrdenes[[#This Row],[id_operacion]],tblEjecucion[id_operacion],tblEjecucion[costo_plan_total],0)-tblOrdenes[[#This Row],[costo_servicio]]))</f>
        <v/>
      </c>
      <c r="AK347" s="10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2">
        <f>IF(tblOrdenes[[#This Row],[fecha_inicio]]="","",TODAY()-tblOrdenes[[#This Row],[fecha_inicio]])</f>
        <v/>
      </c>
      <c r="AB3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0">
        <f>IF(tblOrdenes[[#This Row],[orden]]="","",_xlfn.XLOOKUP(tblOrdenes[[#This Row],[id_operacion]],tblEjecucion[id_operacion],tblEjecucion[precio],0))</f>
        <v/>
      </c>
      <c r="AJ348" s="10">
        <f>IF(tblOrdenes[[#This Row],[orden]]="","",MAX(0,_xlfn.XLOOKUP(tblOrdenes[[#This Row],[id_operacion]],tblEjecucion[id_operacion],tblEjecucion[costo_plan_total],0)-tblOrdenes[[#This Row],[costo_servicio]]))</f>
        <v/>
      </c>
      <c r="AK348" s="10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2">
        <f>IF(tblOrdenes[[#This Row],[fecha_inicio]]="","",TODAY()-tblOrdenes[[#This Row],[fecha_inicio]])</f>
        <v/>
      </c>
      <c r="AB3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0">
        <f>IF(tblOrdenes[[#This Row],[orden]]="","",_xlfn.XLOOKUP(tblOrdenes[[#This Row],[id_operacion]],tblEjecucion[id_operacion],tblEjecucion[precio],0))</f>
        <v/>
      </c>
      <c r="AJ349" s="10">
        <f>IF(tblOrdenes[[#This Row],[orden]]="","",MAX(0,_xlfn.XLOOKUP(tblOrdenes[[#This Row],[id_operacion]],tblEjecucion[id_operacion],tblEjecucion[costo_plan_total],0)-tblOrdenes[[#This Row],[costo_servicio]]))</f>
        <v/>
      </c>
      <c r="AK349" s="10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2">
        <f>IF(tblOrdenes[[#This Row],[fecha_inicio]]="","",TODAY()-tblOrdenes[[#This Row],[fecha_inicio]])</f>
        <v/>
      </c>
      <c r="AB3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0">
        <f>IF(tblOrdenes[[#This Row],[orden]]="","",_xlfn.XLOOKUP(tblOrdenes[[#This Row],[id_operacion]],tblEjecucion[id_operacion],tblEjecucion[precio],0))</f>
        <v/>
      </c>
      <c r="AJ350" s="10">
        <f>IF(tblOrdenes[[#This Row],[orden]]="","",MAX(0,_xlfn.XLOOKUP(tblOrdenes[[#This Row],[id_operacion]],tblEjecucion[id_operacion],tblEjecucion[costo_plan_total],0)-tblOrdenes[[#This Row],[costo_servicio]]))</f>
        <v/>
      </c>
      <c r="AK350" s="10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2">
        <f>IF(tblOrdenes[[#This Row],[fecha_inicio]]="","",TODAY()-tblOrdenes[[#This Row],[fecha_inicio]])</f>
        <v/>
      </c>
      <c r="AB3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0">
        <f>IF(tblOrdenes[[#This Row],[orden]]="","",_xlfn.XLOOKUP(tblOrdenes[[#This Row],[id_operacion]],tblEjecucion[id_operacion],tblEjecucion[precio],0))</f>
        <v/>
      </c>
      <c r="AJ351" s="10">
        <f>IF(tblOrdenes[[#This Row],[orden]]="","",MAX(0,_xlfn.XLOOKUP(tblOrdenes[[#This Row],[id_operacion]],tblEjecucion[id_operacion],tblEjecucion[costo_plan_total],0)-tblOrdenes[[#This Row],[costo_servicio]]))</f>
        <v/>
      </c>
      <c r="AK351" s="10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2">
        <f>IF(tblOrdenes[[#This Row],[fecha_inicio]]="","",TODAY()-tblOrdenes[[#This Row],[fecha_inicio]])</f>
        <v/>
      </c>
      <c r="AB3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0">
        <f>IF(tblOrdenes[[#This Row],[orden]]="","",_xlfn.XLOOKUP(tblOrdenes[[#This Row],[id_operacion]],tblEjecucion[id_operacion],tblEjecucion[precio],0))</f>
        <v/>
      </c>
      <c r="AJ352" s="10">
        <f>IF(tblOrdenes[[#This Row],[orden]]="","",MAX(0,_xlfn.XLOOKUP(tblOrdenes[[#This Row],[id_operacion]],tblEjecucion[id_operacion],tblEjecucion[costo_plan_total],0)-tblOrdenes[[#This Row],[costo_servicio]]))</f>
        <v/>
      </c>
      <c r="AK352" s="10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2">
        <f>IF(tblOrdenes[[#This Row],[fecha_inicio]]="","",TODAY()-tblOrdenes[[#This Row],[fecha_inicio]])</f>
        <v/>
      </c>
      <c r="AB3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0">
        <f>IF(tblOrdenes[[#This Row],[orden]]="","",_xlfn.XLOOKUP(tblOrdenes[[#This Row],[id_operacion]],tblEjecucion[id_operacion],tblEjecucion[precio],0))</f>
        <v/>
      </c>
      <c r="AJ353" s="10">
        <f>IF(tblOrdenes[[#This Row],[orden]]="","",MAX(0,_xlfn.XLOOKUP(tblOrdenes[[#This Row],[id_operacion]],tblEjecucion[id_operacion],tblEjecucion[costo_plan_total],0)-tblOrdenes[[#This Row],[costo_servicio]]))</f>
        <v/>
      </c>
      <c r="AK353" s="10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2">
        <f>IF(tblOrdenes[[#This Row],[fecha_inicio]]="","",TODAY()-tblOrdenes[[#This Row],[fecha_inicio]])</f>
        <v/>
      </c>
      <c r="AB3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0">
        <f>IF(tblOrdenes[[#This Row],[orden]]="","",_xlfn.XLOOKUP(tblOrdenes[[#This Row],[id_operacion]],tblEjecucion[id_operacion],tblEjecucion[precio],0))</f>
        <v/>
      </c>
      <c r="AJ354" s="10">
        <f>IF(tblOrdenes[[#This Row],[orden]]="","",MAX(0,_xlfn.XLOOKUP(tblOrdenes[[#This Row],[id_operacion]],tblEjecucion[id_operacion],tblEjecucion[costo_plan_total],0)-tblOrdenes[[#This Row],[costo_servicio]]))</f>
        <v/>
      </c>
      <c r="AK354" s="10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2">
        <f>IF(tblOrdenes[[#This Row],[fecha_inicio]]="","",TODAY()-tblOrdenes[[#This Row],[fecha_inicio]])</f>
        <v/>
      </c>
      <c r="AB3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0">
        <f>IF(tblOrdenes[[#This Row],[orden]]="","",_xlfn.XLOOKUP(tblOrdenes[[#This Row],[id_operacion]],tblEjecucion[id_operacion],tblEjecucion[precio],0))</f>
        <v/>
      </c>
      <c r="AJ355" s="10">
        <f>IF(tblOrdenes[[#This Row],[orden]]="","",MAX(0,_xlfn.XLOOKUP(tblOrdenes[[#This Row],[id_operacion]],tblEjecucion[id_operacion],tblEjecucion[costo_plan_total],0)-tblOrdenes[[#This Row],[costo_servicio]]))</f>
        <v/>
      </c>
      <c r="AK355" s="10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2">
        <f>IF(tblOrdenes[[#This Row],[fecha_inicio]]="","",TODAY()-tblOrdenes[[#This Row],[fecha_inicio]])</f>
        <v/>
      </c>
      <c r="AB3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0">
        <f>IF(tblOrdenes[[#This Row],[orden]]="","",_xlfn.XLOOKUP(tblOrdenes[[#This Row],[id_operacion]],tblEjecucion[id_operacion],tblEjecucion[precio],0))</f>
        <v/>
      </c>
      <c r="AJ356" s="10">
        <f>IF(tblOrdenes[[#This Row],[orden]]="","",MAX(0,_xlfn.XLOOKUP(tblOrdenes[[#This Row],[id_operacion]],tblEjecucion[id_operacion],tblEjecucion[costo_plan_total],0)-tblOrdenes[[#This Row],[costo_servicio]]))</f>
        <v/>
      </c>
      <c r="AK356" s="10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2">
        <f>IF(tblOrdenes[[#This Row],[fecha_inicio]]="","",TODAY()-tblOrdenes[[#This Row],[fecha_inicio]])</f>
        <v/>
      </c>
      <c r="AB3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0">
        <f>IF(tblOrdenes[[#This Row],[orden]]="","",_xlfn.XLOOKUP(tblOrdenes[[#This Row],[id_operacion]],tblEjecucion[id_operacion],tblEjecucion[precio],0))</f>
        <v/>
      </c>
      <c r="AJ357" s="10">
        <f>IF(tblOrdenes[[#This Row],[orden]]="","",MAX(0,_xlfn.XLOOKUP(tblOrdenes[[#This Row],[id_operacion]],tblEjecucion[id_operacion],tblEjecucion[costo_plan_total],0)-tblOrdenes[[#This Row],[costo_servicio]]))</f>
        <v/>
      </c>
      <c r="AK357" s="10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2">
        <f>IF(tblOrdenes[[#This Row],[fecha_inicio]]="","",TODAY()-tblOrdenes[[#This Row],[fecha_inicio]])</f>
        <v/>
      </c>
      <c r="AB3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0">
        <f>IF(tblOrdenes[[#This Row],[orden]]="","",_xlfn.XLOOKUP(tblOrdenes[[#This Row],[id_operacion]],tblEjecucion[id_operacion],tblEjecucion[precio],0))</f>
        <v/>
      </c>
      <c r="AJ358" s="10">
        <f>IF(tblOrdenes[[#This Row],[orden]]="","",MAX(0,_xlfn.XLOOKUP(tblOrdenes[[#This Row],[id_operacion]],tblEjecucion[id_operacion],tblEjecucion[costo_plan_total],0)-tblOrdenes[[#This Row],[costo_servicio]]))</f>
        <v/>
      </c>
      <c r="AK358" s="10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2">
        <f>IF(tblOrdenes[[#This Row],[fecha_inicio]]="","",TODAY()-tblOrdenes[[#This Row],[fecha_inicio]])</f>
        <v/>
      </c>
      <c r="AB3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0">
        <f>IF(tblOrdenes[[#This Row],[orden]]="","",_xlfn.XLOOKUP(tblOrdenes[[#This Row],[id_operacion]],tblEjecucion[id_operacion],tblEjecucion[precio],0))</f>
        <v/>
      </c>
      <c r="AJ359" s="10">
        <f>IF(tblOrdenes[[#This Row],[orden]]="","",MAX(0,_xlfn.XLOOKUP(tblOrdenes[[#This Row],[id_operacion]],tblEjecucion[id_operacion],tblEjecucion[costo_plan_total],0)-tblOrdenes[[#This Row],[costo_servicio]]))</f>
        <v/>
      </c>
      <c r="AK359" s="10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2">
        <f>IF(tblOrdenes[[#This Row],[fecha_inicio]]="","",TODAY()-tblOrdenes[[#This Row],[fecha_inicio]])</f>
        <v/>
      </c>
      <c r="AB3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0">
        <f>IF(tblOrdenes[[#This Row],[orden]]="","",_xlfn.XLOOKUP(tblOrdenes[[#This Row],[id_operacion]],tblEjecucion[id_operacion],tblEjecucion[precio],0))</f>
        <v/>
      </c>
      <c r="AJ360" s="10">
        <f>IF(tblOrdenes[[#This Row],[orden]]="","",MAX(0,_xlfn.XLOOKUP(tblOrdenes[[#This Row],[id_operacion]],tblEjecucion[id_operacion],tblEjecucion[costo_plan_total],0)-tblOrdenes[[#This Row],[costo_servicio]]))</f>
        <v/>
      </c>
      <c r="AK360" s="10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2">
        <f>IF(tblOrdenes[[#This Row],[fecha_inicio]]="","",TODAY()-tblOrdenes[[#This Row],[fecha_inicio]])</f>
        <v/>
      </c>
      <c r="AB3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0">
        <f>IF(tblOrdenes[[#This Row],[orden]]="","",_xlfn.XLOOKUP(tblOrdenes[[#This Row],[id_operacion]],tblEjecucion[id_operacion],tblEjecucion[precio],0))</f>
        <v/>
      </c>
      <c r="AJ361" s="10">
        <f>IF(tblOrdenes[[#This Row],[orden]]="","",MAX(0,_xlfn.XLOOKUP(tblOrdenes[[#This Row],[id_operacion]],tblEjecucion[id_operacion],tblEjecucion[costo_plan_total],0)-tblOrdenes[[#This Row],[costo_servicio]]))</f>
        <v/>
      </c>
      <c r="AK361" s="10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2">
        <f>IF(tblOrdenes[[#This Row],[fecha_inicio]]="","",TODAY()-tblOrdenes[[#This Row],[fecha_inicio]])</f>
        <v/>
      </c>
      <c r="AB3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0">
        <f>IF(tblOrdenes[[#This Row],[orden]]="","",_xlfn.XLOOKUP(tblOrdenes[[#This Row],[id_operacion]],tblEjecucion[id_operacion],tblEjecucion[precio],0))</f>
        <v/>
      </c>
      <c r="AJ362" s="10">
        <f>IF(tblOrdenes[[#This Row],[orden]]="","",MAX(0,_xlfn.XLOOKUP(tblOrdenes[[#This Row],[id_operacion]],tblEjecucion[id_operacion],tblEjecucion[costo_plan_total],0)-tblOrdenes[[#This Row],[costo_servicio]]))</f>
        <v/>
      </c>
      <c r="AK362" s="10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2">
        <f>IF(tblOrdenes[[#This Row],[fecha_inicio]]="","",TODAY()-tblOrdenes[[#This Row],[fecha_inicio]])</f>
        <v/>
      </c>
      <c r="AB3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0">
        <f>IF(tblOrdenes[[#This Row],[orden]]="","",_xlfn.XLOOKUP(tblOrdenes[[#This Row],[id_operacion]],tblEjecucion[id_operacion],tblEjecucion[precio],0))</f>
        <v/>
      </c>
      <c r="AJ363" s="10">
        <f>IF(tblOrdenes[[#This Row],[orden]]="","",MAX(0,_xlfn.XLOOKUP(tblOrdenes[[#This Row],[id_operacion]],tblEjecucion[id_operacion],tblEjecucion[costo_plan_total],0)-tblOrdenes[[#This Row],[costo_servicio]]))</f>
        <v/>
      </c>
      <c r="AK363" s="10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2">
        <f>IF(tblOrdenes[[#This Row],[fecha_inicio]]="","",TODAY()-tblOrdenes[[#This Row],[fecha_inicio]])</f>
        <v/>
      </c>
      <c r="AB3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0">
        <f>IF(tblOrdenes[[#This Row],[orden]]="","",_xlfn.XLOOKUP(tblOrdenes[[#This Row],[id_operacion]],tblEjecucion[id_operacion],tblEjecucion[precio],0))</f>
        <v/>
      </c>
      <c r="AJ364" s="10">
        <f>IF(tblOrdenes[[#This Row],[orden]]="","",MAX(0,_xlfn.XLOOKUP(tblOrdenes[[#This Row],[id_operacion]],tblEjecucion[id_operacion],tblEjecucion[costo_plan_total],0)-tblOrdenes[[#This Row],[costo_servicio]]))</f>
        <v/>
      </c>
      <c r="AK364" s="10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2">
        <f>IF(tblOrdenes[[#This Row],[fecha_inicio]]="","",TODAY()-tblOrdenes[[#This Row],[fecha_inicio]])</f>
        <v/>
      </c>
      <c r="AB3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0">
        <f>IF(tblOrdenes[[#This Row],[orden]]="","",_xlfn.XLOOKUP(tblOrdenes[[#This Row],[id_operacion]],tblEjecucion[id_operacion],tblEjecucion[precio],0))</f>
        <v/>
      </c>
      <c r="AJ365" s="10">
        <f>IF(tblOrdenes[[#This Row],[orden]]="","",MAX(0,_xlfn.XLOOKUP(tblOrdenes[[#This Row],[id_operacion]],tblEjecucion[id_operacion],tblEjecucion[costo_plan_total],0)-tblOrdenes[[#This Row],[costo_servicio]]))</f>
        <v/>
      </c>
      <c r="AK365" s="10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2">
        <f>IF(tblOrdenes[[#This Row],[fecha_inicio]]="","",TODAY()-tblOrdenes[[#This Row],[fecha_inicio]])</f>
        <v/>
      </c>
      <c r="AB3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0">
        <f>IF(tblOrdenes[[#This Row],[orden]]="","",_xlfn.XLOOKUP(tblOrdenes[[#This Row],[id_operacion]],tblEjecucion[id_operacion],tblEjecucion[precio],0))</f>
        <v/>
      </c>
      <c r="AJ366" s="10">
        <f>IF(tblOrdenes[[#This Row],[orden]]="","",MAX(0,_xlfn.XLOOKUP(tblOrdenes[[#This Row],[id_operacion]],tblEjecucion[id_operacion],tblEjecucion[costo_plan_total],0)-tblOrdenes[[#This Row],[costo_servicio]]))</f>
        <v/>
      </c>
      <c r="AK366" s="10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2">
        <f>IF(tblOrdenes[[#This Row],[fecha_inicio]]="","",TODAY()-tblOrdenes[[#This Row],[fecha_inicio]])</f>
        <v/>
      </c>
      <c r="AB3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0">
        <f>IF(tblOrdenes[[#This Row],[orden]]="","",_xlfn.XLOOKUP(tblOrdenes[[#This Row],[id_operacion]],tblEjecucion[id_operacion],tblEjecucion[precio],0))</f>
        <v/>
      </c>
      <c r="AJ367" s="10">
        <f>IF(tblOrdenes[[#This Row],[orden]]="","",MAX(0,_xlfn.XLOOKUP(tblOrdenes[[#This Row],[id_operacion]],tblEjecucion[id_operacion],tblEjecucion[costo_plan_total],0)-tblOrdenes[[#This Row],[costo_servicio]]))</f>
        <v/>
      </c>
      <c r="AK367" s="10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2">
        <f>IF(tblOrdenes[[#This Row],[fecha_inicio]]="","",TODAY()-tblOrdenes[[#This Row],[fecha_inicio]])</f>
        <v/>
      </c>
      <c r="AB3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0">
        <f>IF(tblOrdenes[[#This Row],[orden]]="","",_xlfn.XLOOKUP(tblOrdenes[[#This Row],[id_operacion]],tblEjecucion[id_operacion],tblEjecucion[precio],0))</f>
        <v/>
      </c>
      <c r="AJ368" s="10">
        <f>IF(tblOrdenes[[#This Row],[orden]]="","",MAX(0,_xlfn.XLOOKUP(tblOrdenes[[#This Row],[id_operacion]],tblEjecucion[id_operacion],tblEjecucion[costo_plan_total],0)-tblOrdenes[[#This Row],[costo_servicio]]))</f>
        <v/>
      </c>
      <c r="AK368" s="10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2">
        <f>IF(tblOrdenes[[#This Row],[fecha_inicio]]="","",TODAY()-tblOrdenes[[#This Row],[fecha_inicio]])</f>
        <v/>
      </c>
      <c r="AB3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0">
        <f>IF(tblOrdenes[[#This Row],[orden]]="","",_xlfn.XLOOKUP(tblOrdenes[[#This Row],[id_operacion]],tblEjecucion[id_operacion],tblEjecucion[precio],0))</f>
        <v/>
      </c>
      <c r="AJ369" s="10">
        <f>IF(tblOrdenes[[#This Row],[orden]]="","",MAX(0,_xlfn.XLOOKUP(tblOrdenes[[#This Row],[id_operacion]],tblEjecucion[id_operacion],tblEjecucion[costo_plan_total],0)-tblOrdenes[[#This Row],[costo_servicio]]))</f>
        <v/>
      </c>
      <c r="AK369" s="10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2">
        <f>IF(tblOrdenes[[#This Row],[fecha_inicio]]="","",TODAY()-tblOrdenes[[#This Row],[fecha_inicio]])</f>
        <v/>
      </c>
      <c r="AB3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0">
        <f>IF(tblOrdenes[[#This Row],[orden]]="","",_xlfn.XLOOKUP(tblOrdenes[[#This Row],[id_operacion]],tblEjecucion[id_operacion],tblEjecucion[precio],0))</f>
        <v/>
      </c>
      <c r="AJ370" s="10">
        <f>IF(tblOrdenes[[#This Row],[orden]]="","",MAX(0,_xlfn.XLOOKUP(tblOrdenes[[#This Row],[id_operacion]],tblEjecucion[id_operacion],tblEjecucion[costo_plan_total],0)-tblOrdenes[[#This Row],[costo_servicio]]))</f>
        <v/>
      </c>
      <c r="AK370" s="10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2">
        <f>IF(tblOrdenes[[#This Row],[fecha_inicio]]="","",TODAY()-tblOrdenes[[#This Row],[fecha_inicio]])</f>
        <v/>
      </c>
      <c r="AB3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0">
        <f>IF(tblOrdenes[[#This Row],[orden]]="","",_xlfn.XLOOKUP(tblOrdenes[[#This Row],[id_operacion]],tblEjecucion[id_operacion],tblEjecucion[precio],0))</f>
        <v/>
      </c>
      <c r="AJ371" s="10">
        <f>IF(tblOrdenes[[#This Row],[orden]]="","",MAX(0,_xlfn.XLOOKUP(tblOrdenes[[#This Row],[id_operacion]],tblEjecucion[id_operacion],tblEjecucion[costo_plan_total],0)-tblOrdenes[[#This Row],[costo_servicio]]))</f>
        <v/>
      </c>
      <c r="AK371" s="10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2">
        <f>IF(tblOrdenes[[#This Row],[fecha_inicio]]="","",TODAY()-tblOrdenes[[#This Row],[fecha_inicio]])</f>
        <v/>
      </c>
      <c r="AB3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0">
        <f>IF(tblOrdenes[[#This Row],[orden]]="","",_xlfn.XLOOKUP(tblOrdenes[[#This Row],[id_operacion]],tblEjecucion[id_operacion],tblEjecucion[precio],0))</f>
        <v/>
      </c>
      <c r="AJ372" s="10">
        <f>IF(tblOrdenes[[#This Row],[orden]]="","",MAX(0,_xlfn.XLOOKUP(tblOrdenes[[#This Row],[id_operacion]],tblEjecucion[id_operacion],tblEjecucion[costo_plan_total],0)-tblOrdenes[[#This Row],[costo_servicio]]))</f>
        <v/>
      </c>
      <c r="AK372" s="10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2">
        <f>IF(tblOrdenes[[#This Row],[fecha_inicio]]="","",TODAY()-tblOrdenes[[#This Row],[fecha_inicio]])</f>
        <v/>
      </c>
      <c r="AB3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0">
        <f>IF(tblOrdenes[[#This Row],[orden]]="","",_xlfn.XLOOKUP(tblOrdenes[[#This Row],[id_operacion]],tblEjecucion[id_operacion],tblEjecucion[precio],0))</f>
        <v/>
      </c>
      <c r="AJ373" s="10">
        <f>IF(tblOrdenes[[#This Row],[orden]]="","",MAX(0,_xlfn.XLOOKUP(tblOrdenes[[#This Row],[id_operacion]],tblEjecucion[id_operacion],tblEjecucion[costo_plan_total],0)-tblOrdenes[[#This Row],[costo_servicio]]))</f>
        <v/>
      </c>
      <c r="AK373" s="10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2">
        <f>IF(tblOrdenes[[#This Row],[fecha_inicio]]="","",TODAY()-tblOrdenes[[#This Row],[fecha_inicio]])</f>
        <v/>
      </c>
      <c r="AB3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0">
        <f>IF(tblOrdenes[[#This Row],[orden]]="","",_xlfn.XLOOKUP(tblOrdenes[[#This Row],[id_operacion]],tblEjecucion[id_operacion],tblEjecucion[precio],0))</f>
        <v/>
      </c>
      <c r="AJ374" s="10">
        <f>IF(tblOrdenes[[#This Row],[orden]]="","",MAX(0,_xlfn.XLOOKUP(tblOrdenes[[#This Row],[id_operacion]],tblEjecucion[id_operacion],tblEjecucion[costo_plan_total],0)-tblOrdenes[[#This Row],[costo_servicio]]))</f>
        <v/>
      </c>
      <c r="AK374" s="10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2">
        <f>IF(tblOrdenes[[#This Row],[fecha_inicio]]="","",TODAY()-tblOrdenes[[#This Row],[fecha_inicio]])</f>
        <v/>
      </c>
      <c r="AB3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0">
        <f>IF(tblOrdenes[[#This Row],[orden]]="","",_xlfn.XLOOKUP(tblOrdenes[[#This Row],[id_operacion]],tblEjecucion[id_operacion],tblEjecucion[precio],0))</f>
        <v/>
      </c>
      <c r="AJ375" s="10">
        <f>IF(tblOrdenes[[#This Row],[orden]]="","",MAX(0,_xlfn.XLOOKUP(tblOrdenes[[#This Row],[id_operacion]],tblEjecucion[id_operacion],tblEjecucion[costo_plan_total],0)-tblOrdenes[[#This Row],[costo_servicio]]))</f>
        <v/>
      </c>
      <c r="AK375" s="10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2">
        <f>IF(tblOrdenes[[#This Row],[fecha_inicio]]="","",TODAY()-tblOrdenes[[#This Row],[fecha_inicio]])</f>
        <v/>
      </c>
      <c r="AB3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0">
        <f>IF(tblOrdenes[[#This Row],[orden]]="","",_xlfn.XLOOKUP(tblOrdenes[[#This Row],[id_operacion]],tblEjecucion[id_operacion],tblEjecucion[precio],0))</f>
        <v/>
      </c>
      <c r="AJ376" s="10">
        <f>IF(tblOrdenes[[#This Row],[orden]]="","",MAX(0,_xlfn.XLOOKUP(tblOrdenes[[#This Row],[id_operacion]],tblEjecucion[id_operacion],tblEjecucion[costo_plan_total],0)-tblOrdenes[[#This Row],[costo_servicio]]))</f>
        <v/>
      </c>
      <c r="AK376" s="10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2">
        <f>IF(tblOrdenes[[#This Row],[fecha_inicio]]="","",TODAY()-tblOrdenes[[#This Row],[fecha_inicio]])</f>
        <v/>
      </c>
      <c r="AB3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0">
        <f>IF(tblOrdenes[[#This Row],[orden]]="","",_xlfn.XLOOKUP(tblOrdenes[[#This Row],[id_operacion]],tblEjecucion[id_operacion],tblEjecucion[precio],0))</f>
        <v/>
      </c>
      <c r="AJ377" s="10">
        <f>IF(tblOrdenes[[#This Row],[orden]]="","",MAX(0,_xlfn.XLOOKUP(tblOrdenes[[#This Row],[id_operacion]],tblEjecucion[id_operacion],tblEjecucion[costo_plan_total],0)-tblOrdenes[[#This Row],[costo_servicio]]))</f>
        <v/>
      </c>
      <c r="AK377" s="10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2">
        <f>IF(tblOrdenes[[#This Row],[fecha_inicio]]="","",TODAY()-tblOrdenes[[#This Row],[fecha_inicio]])</f>
        <v/>
      </c>
      <c r="AB3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0">
        <f>IF(tblOrdenes[[#This Row],[orden]]="","",_xlfn.XLOOKUP(tblOrdenes[[#This Row],[id_operacion]],tblEjecucion[id_operacion],tblEjecucion[precio],0))</f>
        <v/>
      </c>
      <c r="AJ378" s="10">
        <f>IF(tblOrdenes[[#This Row],[orden]]="","",MAX(0,_xlfn.XLOOKUP(tblOrdenes[[#This Row],[id_operacion]],tblEjecucion[id_operacion],tblEjecucion[costo_plan_total],0)-tblOrdenes[[#This Row],[costo_servicio]]))</f>
        <v/>
      </c>
      <c r="AK378" s="10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2">
        <f>IF(tblOrdenes[[#This Row],[fecha_inicio]]="","",TODAY()-tblOrdenes[[#This Row],[fecha_inicio]])</f>
        <v/>
      </c>
      <c r="AB3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0">
        <f>IF(tblOrdenes[[#This Row],[orden]]="","",_xlfn.XLOOKUP(tblOrdenes[[#This Row],[id_operacion]],tblEjecucion[id_operacion],tblEjecucion[precio],0))</f>
        <v/>
      </c>
      <c r="AJ379" s="10">
        <f>IF(tblOrdenes[[#This Row],[orden]]="","",MAX(0,_xlfn.XLOOKUP(tblOrdenes[[#This Row],[id_operacion]],tblEjecucion[id_operacion],tblEjecucion[costo_plan_total],0)-tblOrdenes[[#This Row],[costo_servicio]]))</f>
        <v/>
      </c>
      <c r="AK379" s="10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2">
        <f>IF(tblOrdenes[[#This Row],[fecha_inicio]]="","",TODAY()-tblOrdenes[[#This Row],[fecha_inicio]])</f>
        <v/>
      </c>
      <c r="AB3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0">
        <f>IF(tblOrdenes[[#This Row],[orden]]="","",_xlfn.XLOOKUP(tblOrdenes[[#This Row],[id_operacion]],tblEjecucion[id_operacion],tblEjecucion[precio],0))</f>
        <v/>
      </c>
      <c r="AJ380" s="10">
        <f>IF(tblOrdenes[[#This Row],[orden]]="","",MAX(0,_xlfn.XLOOKUP(tblOrdenes[[#This Row],[id_operacion]],tblEjecucion[id_operacion],tblEjecucion[costo_plan_total],0)-tblOrdenes[[#This Row],[costo_servicio]]))</f>
        <v/>
      </c>
      <c r="AK380" s="10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2">
        <f>IF(tblOrdenes[[#This Row],[fecha_inicio]]="","",TODAY()-tblOrdenes[[#This Row],[fecha_inicio]])</f>
        <v/>
      </c>
      <c r="AB3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0">
        <f>IF(tblOrdenes[[#This Row],[orden]]="","",_xlfn.XLOOKUP(tblOrdenes[[#This Row],[id_operacion]],tblEjecucion[id_operacion],tblEjecucion[precio],0))</f>
        <v/>
      </c>
      <c r="AJ381" s="10">
        <f>IF(tblOrdenes[[#This Row],[orden]]="","",MAX(0,_xlfn.XLOOKUP(tblOrdenes[[#This Row],[id_operacion]],tblEjecucion[id_operacion],tblEjecucion[costo_plan_total],0)-tblOrdenes[[#This Row],[costo_servicio]]))</f>
        <v/>
      </c>
      <c r="AK381" s="10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2">
        <f>IF(tblOrdenes[[#This Row],[fecha_inicio]]="","",TODAY()-tblOrdenes[[#This Row],[fecha_inicio]])</f>
        <v/>
      </c>
      <c r="AB3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0">
        <f>IF(tblOrdenes[[#This Row],[orden]]="","",_xlfn.XLOOKUP(tblOrdenes[[#This Row],[id_operacion]],tblEjecucion[id_operacion],tblEjecucion[precio],0))</f>
        <v/>
      </c>
      <c r="AJ382" s="10">
        <f>IF(tblOrdenes[[#This Row],[orden]]="","",MAX(0,_xlfn.XLOOKUP(tblOrdenes[[#This Row],[id_operacion]],tblEjecucion[id_operacion],tblEjecucion[costo_plan_total],0)-tblOrdenes[[#This Row],[costo_servicio]]))</f>
        <v/>
      </c>
      <c r="AK382" s="10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2">
        <f>IF(tblOrdenes[[#This Row],[fecha_inicio]]="","",TODAY()-tblOrdenes[[#This Row],[fecha_inicio]])</f>
        <v/>
      </c>
      <c r="AB3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0">
        <f>IF(tblOrdenes[[#This Row],[orden]]="","",_xlfn.XLOOKUP(tblOrdenes[[#This Row],[id_operacion]],tblEjecucion[id_operacion],tblEjecucion[precio],0))</f>
        <v/>
      </c>
      <c r="AJ383" s="10">
        <f>IF(tblOrdenes[[#This Row],[orden]]="","",MAX(0,_xlfn.XLOOKUP(tblOrdenes[[#This Row],[id_operacion]],tblEjecucion[id_operacion],tblEjecucion[costo_plan_total],0)-tblOrdenes[[#This Row],[costo_servicio]]))</f>
        <v/>
      </c>
      <c r="AK383" s="10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2">
        <f>IF(tblOrdenes[[#This Row],[fecha_inicio]]="","",TODAY()-tblOrdenes[[#This Row],[fecha_inicio]])</f>
        <v/>
      </c>
      <c r="AB3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0">
        <f>IF(tblOrdenes[[#This Row],[orden]]="","",_xlfn.XLOOKUP(tblOrdenes[[#This Row],[id_operacion]],tblEjecucion[id_operacion],tblEjecucion[precio],0))</f>
        <v/>
      </c>
      <c r="AJ384" s="10">
        <f>IF(tblOrdenes[[#This Row],[orden]]="","",MAX(0,_xlfn.XLOOKUP(tblOrdenes[[#This Row],[id_operacion]],tblEjecucion[id_operacion],tblEjecucion[costo_plan_total],0)-tblOrdenes[[#This Row],[costo_servicio]]))</f>
        <v/>
      </c>
      <c r="AK384" s="10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2">
        <f>IF(tblOrdenes[[#This Row],[fecha_inicio]]="","",TODAY()-tblOrdenes[[#This Row],[fecha_inicio]])</f>
        <v/>
      </c>
      <c r="AB3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0">
        <f>IF(tblOrdenes[[#This Row],[orden]]="","",_xlfn.XLOOKUP(tblOrdenes[[#This Row],[id_operacion]],tblEjecucion[id_operacion],tblEjecucion[precio],0))</f>
        <v/>
      </c>
      <c r="AJ385" s="10">
        <f>IF(tblOrdenes[[#This Row],[orden]]="","",MAX(0,_xlfn.XLOOKUP(tblOrdenes[[#This Row],[id_operacion]],tblEjecucion[id_operacion],tblEjecucion[costo_plan_total],0)-tblOrdenes[[#This Row],[costo_servicio]]))</f>
        <v/>
      </c>
      <c r="AK385" s="10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2">
        <f>IF(tblOrdenes[[#This Row],[fecha_inicio]]="","",TODAY()-tblOrdenes[[#This Row],[fecha_inicio]])</f>
        <v/>
      </c>
      <c r="AB3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0">
        <f>IF(tblOrdenes[[#This Row],[orden]]="","",_xlfn.XLOOKUP(tblOrdenes[[#This Row],[id_operacion]],tblEjecucion[id_operacion],tblEjecucion[precio],0))</f>
        <v/>
      </c>
      <c r="AJ386" s="10">
        <f>IF(tblOrdenes[[#This Row],[orden]]="","",MAX(0,_xlfn.XLOOKUP(tblOrdenes[[#This Row],[id_operacion]],tblEjecucion[id_operacion],tblEjecucion[costo_plan_total],0)-tblOrdenes[[#This Row],[costo_servicio]]))</f>
        <v/>
      </c>
      <c r="AK386" s="10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2">
        <f>IF(tblOrdenes[[#This Row],[fecha_inicio]]="","",TODAY()-tblOrdenes[[#This Row],[fecha_inicio]])</f>
        <v/>
      </c>
      <c r="AB3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0">
        <f>IF(tblOrdenes[[#This Row],[orden]]="","",_xlfn.XLOOKUP(tblOrdenes[[#This Row],[id_operacion]],tblEjecucion[id_operacion],tblEjecucion[precio],0))</f>
        <v/>
      </c>
      <c r="AJ387" s="10">
        <f>IF(tblOrdenes[[#This Row],[orden]]="","",MAX(0,_xlfn.XLOOKUP(tblOrdenes[[#This Row],[id_operacion]],tblEjecucion[id_operacion],tblEjecucion[costo_plan_total],0)-tblOrdenes[[#This Row],[costo_servicio]]))</f>
        <v/>
      </c>
      <c r="AK387" s="10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2">
        <f>IF(tblOrdenes[[#This Row],[fecha_inicio]]="","",TODAY()-tblOrdenes[[#This Row],[fecha_inicio]])</f>
        <v/>
      </c>
      <c r="AB3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0">
        <f>IF(tblOrdenes[[#This Row],[orden]]="","",_xlfn.XLOOKUP(tblOrdenes[[#This Row],[id_operacion]],tblEjecucion[id_operacion],tblEjecucion[precio],0))</f>
        <v/>
      </c>
      <c r="AJ388" s="10">
        <f>IF(tblOrdenes[[#This Row],[orden]]="","",MAX(0,_xlfn.XLOOKUP(tblOrdenes[[#This Row],[id_operacion]],tblEjecucion[id_operacion],tblEjecucion[costo_plan_total],0)-tblOrdenes[[#This Row],[costo_servicio]]))</f>
        <v/>
      </c>
      <c r="AK388" s="10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2">
        <f>IF(tblOrdenes[[#This Row],[fecha_inicio]]="","",TODAY()-tblOrdenes[[#This Row],[fecha_inicio]])</f>
        <v/>
      </c>
      <c r="AB3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0">
        <f>IF(tblOrdenes[[#This Row],[orden]]="","",_xlfn.XLOOKUP(tblOrdenes[[#This Row],[id_operacion]],tblEjecucion[id_operacion],tblEjecucion[precio],0))</f>
        <v/>
      </c>
      <c r="AJ389" s="10">
        <f>IF(tblOrdenes[[#This Row],[orden]]="","",MAX(0,_xlfn.XLOOKUP(tblOrdenes[[#This Row],[id_operacion]],tblEjecucion[id_operacion],tblEjecucion[costo_plan_total],0)-tblOrdenes[[#This Row],[costo_servicio]]))</f>
        <v/>
      </c>
      <c r="AK389" s="10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2">
        <f>IF(tblOrdenes[[#This Row],[fecha_inicio]]="","",TODAY()-tblOrdenes[[#This Row],[fecha_inicio]])</f>
        <v/>
      </c>
      <c r="AB3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0">
        <f>IF(tblOrdenes[[#This Row],[orden]]="","",_xlfn.XLOOKUP(tblOrdenes[[#This Row],[id_operacion]],tblEjecucion[id_operacion],tblEjecucion[precio],0))</f>
        <v/>
      </c>
      <c r="AJ390" s="10">
        <f>IF(tblOrdenes[[#This Row],[orden]]="","",MAX(0,_xlfn.XLOOKUP(tblOrdenes[[#This Row],[id_operacion]],tblEjecucion[id_operacion],tblEjecucion[costo_plan_total],0)-tblOrdenes[[#This Row],[costo_servicio]]))</f>
        <v/>
      </c>
      <c r="AK390" s="10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2">
        <f>IF(tblOrdenes[[#This Row],[fecha_inicio]]="","",TODAY()-tblOrdenes[[#This Row],[fecha_inicio]])</f>
        <v/>
      </c>
      <c r="AB3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0">
        <f>IF(tblOrdenes[[#This Row],[orden]]="","",_xlfn.XLOOKUP(tblOrdenes[[#This Row],[id_operacion]],tblEjecucion[id_operacion],tblEjecucion[precio],0))</f>
        <v/>
      </c>
      <c r="AJ391" s="10">
        <f>IF(tblOrdenes[[#This Row],[orden]]="","",MAX(0,_xlfn.XLOOKUP(tblOrdenes[[#This Row],[id_operacion]],tblEjecucion[id_operacion],tblEjecucion[costo_plan_total],0)-tblOrdenes[[#This Row],[costo_servicio]]))</f>
        <v/>
      </c>
      <c r="AK391" s="10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2">
        <f>IF(tblOrdenes[[#This Row],[fecha_inicio]]="","",TODAY()-tblOrdenes[[#This Row],[fecha_inicio]])</f>
        <v/>
      </c>
      <c r="AB3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0">
        <f>IF(tblOrdenes[[#This Row],[orden]]="","",_xlfn.XLOOKUP(tblOrdenes[[#This Row],[id_operacion]],tblEjecucion[id_operacion],tblEjecucion[precio],0))</f>
        <v/>
      </c>
      <c r="AJ392" s="10">
        <f>IF(tblOrdenes[[#This Row],[orden]]="","",MAX(0,_xlfn.XLOOKUP(tblOrdenes[[#This Row],[id_operacion]],tblEjecucion[id_operacion],tblEjecucion[costo_plan_total],0)-tblOrdenes[[#This Row],[costo_servicio]]))</f>
        <v/>
      </c>
      <c r="AK392" s="10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2">
        <f>IF(tblOrdenes[[#This Row],[fecha_inicio]]="","",TODAY()-tblOrdenes[[#This Row],[fecha_inicio]])</f>
        <v/>
      </c>
      <c r="AB3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0">
        <f>IF(tblOrdenes[[#This Row],[orden]]="","",_xlfn.XLOOKUP(tblOrdenes[[#This Row],[id_operacion]],tblEjecucion[id_operacion],tblEjecucion[precio],0))</f>
        <v/>
      </c>
      <c r="AJ393" s="10">
        <f>IF(tblOrdenes[[#This Row],[orden]]="","",MAX(0,_xlfn.XLOOKUP(tblOrdenes[[#This Row],[id_operacion]],tblEjecucion[id_operacion],tblEjecucion[costo_plan_total],0)-tblOrdenes[[#This Row],[costo_servicio]]))</f>
        <v/>
      </c>
      <c r="AK393" s="10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2">
        <f>IF(tblOrdenes[[#This Row],[fecha_inicio]]="","",TODAY()-tblOrdenes[[#This Row],[fecha_inicio]])</f>
        <v/>
      </c>
      <c r="AB3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0">
        <f>IF(tblOrdenes[[#This Row],[orden]]="","",_xlfn.XLOOKUP(tblOrdenes[[#This Row],[id_operacion]],tblEjecucion[id_operacion],tblEjecucion[precio],0))</f>
        <v/>
      </c>
      <c r="AJ394" s="10">
        <f>IF(tblOrdenes[[#This Row],[orden]]="","",MAX(0,_xlfn.XLOOKUP(tblOrdenes[[#This Row],[id_operacion]],tblEjecucion[id_operacion],tblEjecucion[costo_plan_total],0)-tblOrdenes[[#This Row],[costo_servicio]]))</f>
        <v/>
      </c>
      <c r="AK394" s="10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2">
        <f>IF(tblOrdenes[[#This Row],[fecha_inicio]]="","",TODAY()-tblOrdenes[[#This Row],[fecha_inicio]])</f>
        <v/>
      </c>
      <c r="AB3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0">
        <f>IF(tblOrdenes[[#This Row],[orden]]="","",_xlfn.XLOOKUP(tblOrdenes[[#This Row],[id_operacion]],tblEjecucion[id_operacion],tblEjecucion[precio],0))</f>
        <v/>
      </c>
      <c r="AJ395" s="10">
        <f>IF(tblOrdenes[[#This Row],[orden]]="","",MAX(0,_xlfn.XLOOKUP(tblOrdenes[[#This Row],[id_operacion]],tblEjecucion[id_operacion],tblEjecucion[costo_plan_total],0)-tblOrdenes[[#This Row],[costo_servicio]]))</f>
        <v/>
      </c>
      <c r="AK395" s="10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2">
        <f>IF(tblOrdenes[[#This Row],[fecha_inicio]]="","",TODAY()-tblOrdenes[[#This Row],[fecha_inicio]])</f>
        <v/>
      </c>
      <c r="AB3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0">
        <f>IF(tblOrdenes[[#This Row],[orden]]="","",_xlfn.XLOOKUP(tblOrdenes[[#This Row],[id_operacion]],tblEjecucion[id_operacion],tblEjecucion[precio],0))</f>
        <v/>
      </c>
      <c r="AJ396" s="10">
        <f>IF(tblOrdenes[[#This Row],[orden]]="","",MAX(0,_xlfn.XLOOKUP(tblOrdenes[[#This Row],[id_operacion]],tblEjecucion[id_operacion],tblEjecucion[costo_plan_total],0)-tblOrdenes[[#This Row],[costo_servicio]]))</f>
        <v/>
      </c>
      <c r="AK396" s="10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2">
        <f>IF(tblOrdenes[[#This Row],[fecha_inicio]]="","",TODAY()-tblOrdenes[[#This Row],[fecha_inicio]])</f>
        <v/>
      </c>
      <c r="AB3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0">
        <f>IF(tblOrdenes[[#This Row],[orden]]="","",_xlfn.XLOOKUP(tblOrdenes[[#This Row],[id_operacion]],tblEjecucion[id_operacion],tblEjecucion[precio],0))</f>
        <v/>
      </c>
      <c r="AJ397" s="10">
        <f>IF(tblOrdenes[[#This Row],[orden]]="","",MAX(0,_xlfn.XLOOKUP(tblOrdenes[[#This Row],[id_operacion]],tblEjecucion[id_operacion],tblEjecucion[costo_plan_total],0)-tblOrdenes[[#This Row],[costo_servicio]]))</f>
        <v/>
      </c>
      <c r="AK397" s="10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2">
        <f>IF(tblOrdenes[[#This Row],[fecha_inicio]]="","",TODAY()-tblOrdenes[[#This Row],[fecha_inicio]])</f>
        <v/>
      </c>
      <c r="AB3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0">
        <f>IF(tblOrdenes[[#This Row],[orden]]="","",_xlfn.XLOOKUP(tblOrdenes[[#This Row],[id_operacion]],tblEjecucion[id_operacion],tblEjecucion[precio],0))</f>
        <v/>
      </c>
      <c r="AJ398" s="10">
        <f>IF(tblOrdenes[[#This Row],[orden]]="","",MAX(0,_xlfn.XLOOKUP(tblOrdenes[[#This Row],[id_operacion]],tblEjecucion[id_operacion],tblEjecucion[costo_plan_total],0)-tblOrdenes[[#This Row],[costo_servicio]]))</f>
        <v/>
      </c>
      <c r="AK398" s="10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2">
        <f>IF(tblOrdenes[[#This Row],[fecha_inicio]]="","",TODAY()-tblOrdenes[[#This Row],[fecha_inicio]])</f>
        <v/>
      </c>
      <c r="AB3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0">
        <f>IF(tblOrdenes[[#This Row],[orden]]="","",_xlfn.XLOOKUP(tblOrdenes[[#This Row],[id_operacion]],tblEjecucion[id_operacion],tblEjecucion[precio],0))</f>
        <v/>
      </c>
      <c r="AJ399" s="10">
        <f>IF(tblOrdenes[[#This Row],[orden]]="","",MAX(0,_xlfn.XLOOKUP(tblOrdenes[[#This Row],[id_operacion]],tblEjecucion[id_operacion],tblEjecucion[costo_plan_total],0)-tblOrdenes[[#This Row],[costo_servicio]]))</f>
        <v/>
      </c>
      <c r="AK399" s="10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2">
        <f>IF(tblOrdenes[[#This Row],[fecha_inicio]]="","",TODAY()-tblOrdenes[[#This Row],[fecha_inicio]])</f>
        <v/>
      </c>
      <c r="AB4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0">
        <f>IF(tblOrdenes[[#This Row],[orden]]="","",_xlfn.XLOOKUP(tblOrdenes[[#This Row],[id_operacion]],tblEjecucion[id_operacion],tblEjecucion[precio],0))</f>
        <v/>
      </c>
      <c r="AJ400" s="10">
        <f>IF(tblOrdenes[[#This Row],[orden]]="","",MAX(0,_xlfn.XLOOKUP(tblOrdenes[[#This Row],[id_operacion]],tblEjecucion[id_operacion],tblEjecucion[costo_plan_total],0)-tblOrdenes[[#This Row],[costo_servicio]]))</f>
        <v/>
      </c>
      <c r="AK400" s="10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2">
        <f>IF(tblOrdenes[[#This Row],[fecha_inicio]]="","",TODAY()-tblOrdenes[[#This Row],[fecha_inicio]])</f>
        <v/>
      </c>
      <c r="AB4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0">
        <f>IF(tblOrdenes[[#This Row],[orden]]="","",_xlfn.XLOOKUP(tblOrdenes[[#This Row],[id_operacion]],tblEjecucion[id_operacion],tblEjecucion[precio],0))</f>
        <v/>
      </c>
      <c r="AJ401" s="10">
        <f>IF(tblOrdenes[[#This Row],[orden]]="","",MAX(0,_xlfn.XLOOKUP(tblOrdenes[[#This Row],[id_operacion]],tblEjecucion[id_operacion],tblEjecucion[costo_plan_total],0)-tblOrdenes[[#This Row],[costo_servicio]]))</f>
        <v/>
      </c>
      <c r="AK401" s="10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2">
        <f>IF(tblOrdenes[[#This Row],[fecha_inicio]]="","",TODAY()-tblOrdenes[[#This Row],[fecha_inicio]])</f>
        <v/>
      </c>
      <c r="AB4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0">
        <f>IF(tblOrdenes[[#This Row],[orden]]="","",_xlfn.XLOOKUP(tblOrdenes[[#This Row],[id_operacion]],tblEjecucion[id_operacion],tblEjecucion[precio],0))</f>
        <v/>
      </c>
      <c r="AJ402" s="10">
        <f>IF(tblOrdenes[[#This Row],[orden]]="","",MAX(0,_xlfn.XLOOKUP(tblOrdenes[[#This Row],[id_operacion]],tblEjecucion[id_operacion],tblEjecucion[costo_plan_total],0)-tblOrdenes[[#This Row],[costo_servicio]]))</f>
        <v/>
      </c>
      <c r="AK402" s="10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2">
        <f>IF(tblOrdenes[[#This Row],[fecha_inicio]]="","",TODAY()-tblOrdenes[[#This Row],[fecha_inicio]])</f>
        <v/>
      </c>
      <c r="AB4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0">
        <f>IF(tblOrdenes[[#This Row],[orden]]="","",_xlfn.XLOOKUP(tblOrdenes[[#This Row],[id_operacion]],tblEjecucion[id_operacion],tblEjecucion[precio],0))</f>
        <v/>
      </c>
      <c r="AJ403" s="10">
        <f>IF(tblOrdenes[[#This Row],[orden]]="","",MAX(0,_xlfn.XLOOKUP(tblOrdenes[[#This Row],[id_operacion]],tblEjecucion[id_operacion],tblEjecucion[costo_plan_total],0)-tblOrdenes[[#This Row],[costo_servicio]]))</f>
        <v/>
      </c>
      <c r="AK403" s="10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2">
        <f>IF(tblOrdenes[[#This Row],[fecha_inicio]]="","",TODAY()-tblOrdenes[[#This Row],[fecha_inicio]])</f>
        <v/>
      </c>
      <c r="AB4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0">
        <f>IF(tblOrdenes[[#This Row],[orden]]="","",_xlfn.XLOOKUP(tblOrdenes[[#This Row],[id_operacion]],tblEjecucion[id_operacion],tblEjecucion[precio],0))</f>
        <v/>
      </c>
      <c r="AJ404" s="10">
        <f>IF(tblOrdenes[[#This Row],[orden]]="","",MAX(0,_xlfn.XLOOKUP(tblOrdenes[[#This Row],[id_operacion]],tblEjecucion[id_operacion],tblEjecucion[costo_plan_total],0)-tblOrdenes[[#This Row],[costo_servicio]]))</f>
        <v/>
      </c>
      <c r="AK404" s="10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2">
        <f>IF(tblOrdenes[[#This Row],[fecha_inicio]]="","",TODAY()-tblOrdenes[[#This Row],[fecha_inicio]])</f>
        <v/>
      </c>
      <c r="AB4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0">
        <f>IF(tblOrdenes[[#This Row],[orden]]="","",_xlfn.XLOOKUP(tblOrdenes[[#This Row],[id_operacion]],tblEjecucion[id_operacion],tblEjecucion[precio],0))</f>
        <v/>
      </c>
      <c r="AJ405" s="10">
        <f>IF(tblOrdenes[[#This Row],[orden]]="","",MAX(0,_xlfn.XLOOKUP(tblOrdenes[[#This Row],[id_operacion]],tblEjecucion[id_operacion],tblEjecucion[costo_plan_total],0)-tblOrdenes[[#This Row],[costo_servicio]]))</f>
        <v/>
      </c>
      <c r="AK405" s="10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2">
        <f>IF(tblOrdenes[[#This Row],[fecha_inicio]]="","",TODAY()-tblOrdenes[[#This Row],[fecha_inicio]])</f>
        <v/>
      </c>
      <c r="AB4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0">
        <f>IF(tblOrdenes[[#This Row],[orden]]="","",_xlfn.XLOOKUP(tblOrdenes[[#This Row],[id_operacion]],tblEjecucion[id_operacion],tblEjecucion[precio],0))</f>
        <v/>
      </c>
      <c r="AJ406" s="10">
        <f>IF(tblOrdenes[[#This Row],[orden]]="","",MAX(0,_xlfn.XLOOKUP(tblOrdenes[[#This Row],[id_operacion]],tblEjecucion[id_operacion],tblEjecucion[costo_plan_total],0)-tblOrdenes[[#This Row],[costo_servicio]]))</f>
        <v/>
      </c>
      <c r="AK406" s="10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2">
        <f>IF(tblOrdenes[[#This Row],[fecha_inicio]]="","",TODAY()-tblOrdenes[[#This Row],[fecha_inicio]])</f>
        <v/>
      </c>
      <c r="AB4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0">
        <f>IF(tblOrdenes[[#This Row],[orden]]="","",_xlfn.XLOOKUP(tblOrdenes[[#This Row],[id_operacion]],tblEjecucion[id_operacion],tblEjecucion[precio],0))</f>
        <v/>
      </c>
      <c r="AJ407" s="10">
        <f>IF(tblOrdenes[[#This Row],[orden]]="","",MAX(0,_xlfn.XLOOKUP(tblOrdenes[[#This Row],[id_operacion]],tblEjecucion[id_operacion],tblEjecucion[costo_plan_total],0)-tblOrdenes[[#This Row],[costo_servicio]]))</f>
        <v/>
      </c>
      <c r="AK407" s="10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2">
        <f>IF(tblOrdenes[[#This Row],[fecha_inicio]]="","",TODAY()-tblOrdenes[[#This Row],[fecha_inicio]])</f>
        <v/>
      </c>
      <c r="AB4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0">
        <f>IF(tblOrdenes[[#This Row],[orden]]="","",_xlfn.XLOOKUP(tblOrdenes[[#This Row],[id_operacion]],tblEjecucion[id_operacion],tblEjecucion[precio],0))</f>
        <v/>
      </c>
      <c r="AJ408" s="10">
        <f>IF(tblOrdenes[[#This Row],[orden]]="","",MAX(0,_xlfn.XLOOKUP(tblOrdenes[[#This Row],[id_operacion]],tblEjecucion[id_operacion],tblEjecucion[costo_plan_total],0)-tblOrdenes[[#This Row],[costo_servicio]]))</f>
        <v/>
      </c>
      <c r="AK408" s="10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2">
        <f>IF(tblOrdenes[[#This Row],[fecha_inicio]]="","",TODAY()-tblOrdenes[[#This Row],[fecha_inicio]])</f>
        <v/>
      </c>
      <c r="AB4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0">
        <f>IF(tblOrdenes[[#This Row],[orden]]="","",_xlfn.XLOOKUP(tblOrdenes[[#This Row],[id_operacion]],tblEjecucion[id_operacion],tblEjecucion[precio],0))</f>
        <v/>
      </c>
      <c r="AJ409" s="10">
        <f>IF(tblOrdenes[[#This Row],[orden]]="","",MAX(0,_xlfn.XLOOKUP(tblOrdenes[[#This Row],[id_operacion]],tblEjecucion[id_operacion],tblEjecucion[costo_plan_total],0)-tblOrdenes[[#This Row],[costo_servicio]]))</f>
        <v/>
      </c>
      <c r="AK409" s="10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2">
        <f>IF(tblOrdenes[[#This Row],[fecha_inicio]]="","",TODAY()-tblOrdenes[[#This Row],[fecha_inicio]])</f>
        <v/>
      </c>
      <c r="AB4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0">
        <f>IF(tblOrdenes[[#This Row],[orden]]="","",_xlfn.XLOOKUP(tblOrdenes[[#This Row],[id_operacion]],tblEjecucion[id_operacion],tblEjecucion[precio],0))</f>
        <v/>
      </c>
      <c r="AJ410" s="10">
        <f>IF(tblOrdenes[[#This Row],[orden]]="","",MAX(0,_xlfn.XLOOKUP(tblOrdenes[[#This Row],[id_operacion]],tblEjecucion[id_operacion],tblEjecucion[costo_plan_total],0)-tblOrdenes[[#This Row],[costo_servicio]]))</f>
        <v/>
      </c>
      <c r="AK410" s="10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2">
        <f>IF(tblOrdenes[[#This Row],[fecha_inicio]]="","",TODAY()-tblOrdenes[[#This Row],[fecha_inicio]])</f>
        <v/>
      </c>
      <c r="AB4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0">
        <f>IF(tblOrdenes[[#This Row],[orden]]="","",_xlfn.XLOOKUP(tblOrdenes[[#This Row],[id_operacion]],tblEjecucion[id_operacion],tblEjecucion[precio],0))</f>
        <v/>
      </c>
      <c r="AJ411" s="10">
        <f>IF(tblOrdenes[[#This Row],[orden]]="","",MAX(0,_xlfn.XLOOKUP(tblOrdenes[[#This Row],[id_operacion]],tblEjecucion[id_operacion],tblEjecucion[costo_plan_total],0)-tblOrdenes[[#This Row],[costo_servicio]]))</f>
        <v/>
      </c>
      <c r="AK411" s="10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2">
        <f>IF(tblOrdenes[[#This Row],[fecha_inicio]]="","",TODAY()-tblOrdenes[[#This Row],[fecha_inicio]])</f>
        <v/>
      </c>
      <c r="AB4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0">
        <f>IF(tblOrdenes[[#This Row],[orden]]="","",_xlfn.XLOOKUP(tblOrdenes[[#This Row],[id_operacion]],tblEjecucion[id_operacion],tblEjecucion[precio],0))</f>
        <v/>
      </c>
      <c r="AJ412" s="10">
        <f>IF(tblOrdenes[[#This Row],[orden]]="","",MAX(0,_xlfn.XLOOKUP(tblOrdenes[[#This Row],[id_operacion]],tblEjecucion[id_operacion],tblEjecucion[costo_plan_total],0)-tblOrdenes[[#This Row],[costo_servicio]]))</f>
        <v/>
      </c>
      <c r="AK412" s="10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2">
        <f>IF(tblOrdenes[[#This Row],[fecha_inicio]]="","",TODAY()-tblOrdenes[[#This Row],[fecha_inicio]])</f>
        <v/>
      </c>
      <c r="AB4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0">
        <f>IF(tblOrdenes[[#This Row],[orden]]="","",_xlfn.XLOOKUP(tblOrdenes[[#This Row],[id_operacion]],tblEjecucion[id_operacion],tblEjecucion[precio],0))</f>
        <v/>
      </c>
      <c r="AJ413" s="10">
        <f>IF(tblOrdenes[[#This Row],[orden]]="","",MAX(0,_xlfn.XLOOKUP(tblOrdenes[[#This Row],[id_operacion]],tblEjecucion[id_operacion],tblEjecucion[costo_plan_total],0)-tblOrdenes[[#This Row],[costo_servicio]]))</f>
        <v/>
      </c>
      <c r="AK413" s="10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2">
        <f>IF(tblOrdenes[[#This Row],[fecha_inicio]]="","",TODAY()-tblOrdenes[[#This Row],[fecha_inicio]])</f>
        <v/>
      </c>
      <c r="AB4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0">
        <f>IF(tblOrdenes[[#This Row],[orden]]="","",_xlfn.XLOOKUP(tblOrdenes[[#This Row],[id_operacion]],tblEjecucion[id_operacion],tblEjecucion[precio],0))</f>
        <v/>
      </c>
      <c r="AJ414" s="10">
        <f>IF(tblOrdenes[[#This Row],[orden]]="","",MAX(0,_xlfn.XLOOKUP(tblOrdenes[[#This Row],[id_operacion]],tblEjecucion[id_operacion],tblEjecucion[costo_plan_total],0)-tblOrdenes[[#This Row],[costo_servicio]]))</f>
        <v/>
      </c>
      <c r="AK414" s="10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2">
        <f>IF(tblOrdenes[[#This Row],[fecha_inicio]]="","",TODAY()-tblOrdenes[[#This Row],[fecha_inicio]])</f>
        <v/>
      </c>
      <c r="AB4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0">
        <f>IF(tblOrdenes[[#This Row],[orden]]="","",_xlfn.XLOOKUP(tblOrdenes[[#This Row],[id_operacion]],tblEjecucion[id_operacion],tblEjecucion[precio],0))</f>
        <v/>
      </c>
      <c r="AJ415" s="10">
        <f>IF(tblOrdenes[[#This Row],[orden]]="","",MAX(0,_xlfn.XLOOKUP(tblOrdenes[[#This Row],[id_operacion]],tblEjecucion[id_operacion],tblEjecucion[costo_plan_total],0)-tblOrdenes[[#This Row],[costo_servicio]]))</f>
        <v/>
      </c>
      <c r="AK415" s="10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2">
        <f>IF(tblOrdenes[[#This Row],[fecha_inicio]]="","",TODAY()-tblOrdenes[[#This Row],[fecha_inicio]])</f>
        <v/>
      </c>
      <c r="AB4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0">
        <f>IF(tblOrdenes[[#This Row],[orden]]="","",_xlfn.XLOOKUP(tblOrdenes[[#This Row],[id_operacion]],tblEjecucion[id_operacion],tblEjecucion[precio],0))</f>
        <v/>
      </c>
      <c r="AJ416" s="10">
        <f>IF(tblOrdenes[[#This Row],[orden]]="","",MAX(0,_xlfn.XLOOKUP(tblOrdenes[[#This Row],[id_operacion]],tblEjecucion[id_operacion],tblEjecucion[costo_plan_total],0)-tblOrdenes[[#This Row],[costo_servicio]]))</f>
        <v/>
      </c>
      <c r="AK416" s="10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2">
        <f>IF(tblOrdenes[[#This Row],[fecha_inicio]]="","",TODAY()-tblOrdenes[[#This Row],[fecha_inicio]])</f>
        <v/>
      </c>
      <c r="AB4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0">
        <f>IF(tblOrdenes[[#This Row],[orden]]="","",_xlfn.XLOOKUP(tblOrdenes[[#This Row],[id_operacion]],tblEjecucion[id_operacion],tblEjecucion[precio],0))</f>
        <v/>
      </c>
      <c r="AJ417" s="10">
        <f>IF(tblOrdenes[[#This Row],[orden]]="","",MAX(0,_xlfn.XLOOKUP(tblOrdenes[[#This Row],[id_operacion]],tblEjecucion[id_operacion],tblEjecucion[costo_plan_total],0)-tblOrdenes[[#This Row],[costo_servicio]]))</f>
        <v/>
      </c>
      <c r="AK417" s="10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2">
        <f>IF(tblOrdenes[[#This Row],[fecha_inicio]]="","",TODAY()-tblOrdenes[[#This Row],[fecha_inicio]])</f>
        <v/>
      </c>
      <c r="AB4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0">
        <f>IF(tblOrdenes[[#This Row],[orden]]="","",_xlfn.XLOOKUP(tblOrdenes[[#This Row],[id_operacion]],tblEjecucion[id_operacion],tblEjecucion[precio],0))</f>
        <v/>
      </c>
      <c r="AJ418" s="10">
        <f>IF(tblOrdenes[[#This Row],[orden]]="","",MAX(0,_xlfn.XLOOKUP(tblOrdenes[[#This Row],[id_operacion]],tblEjecucion[id_operacion],tblEjecucion[costo_plan_total],0)-tblOrdenes[[#This Row],[costo_servicio]]))</f>
        <v/>
      </c>
      <c r="AK418" s="10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2">
        <f>IF(tblOrdenes[[#This Row],[fecha_inicio]]="","",TODAY()-tblOrdenes[[#This Row],[fecha_inicio]])</f>
        <v/>
      </c>
      <c r="AB4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0">
        <f>IF(tblOrdenes[[#This Row],[orden]]="","",_xlfn.XLOOKUP(tblOrdenes[[#This Row],[id_operacion]],tblEjecucion[id_operacion],tblEjecucion[precio],0))</f>
        <v/>
      </c>
      <c r="AJ419" s="10">
        <f>IF(tblOrdenes[[#This Row],[orden]]="","",MAX(0,_xlfn.XLOOKUP(tblOrdenes[[#This Row],[id_operacion]],tblEjecucion[id_operacion],tblEjecucion[costo_plan_total],0)-tblOrdenes[[#This Row],[costo_servicio]]))</f>
        <v/>
      </c>
      <c r="AK419" s="10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2">
        <f>IF(tblOrdenes[[#This Row],[fecha_inicio]]="","",TODAY()-tblOrdenes[[#This Row],[fecha_inicio]])</f>
        <v/>
      </c>
      <c r="AB4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0">
        <f>IF(tblOrdenes[[#This Row],[orden]]="","",_xlfn.XLOOKUP(tblOrdenes[[#This Row],[id_operacion]],tblEjecucion[id_operacion],tblEjecucion[precio],0))</f>
        <v/>
      </c>
      <c r="AJ420" s="10">
        <f>IF(tblOrdenes[[#This Row],[orden]]="","",MAX(0,_xlfn.XLOOKUP(tblOrdenes[[#This Row],[id_operacion]],tblEjecucion[id_operacion],tblEjecucion[costo_plan_total],0)-tblOrdenes[[#This Row],[costo_servicio]]))</f>
        <v/>
      </c>
      <c r="AK420" s="10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2">
        <f>IF(tblOrdenes[[#This Row],[fecha_inicio]]="","",TODAY()-tblOrdenes[[#This Row],[fecha_inicio]])</f>
        <v/>
      </c>
      <c r="AB4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0">
        <f>IF(tblOrdenes[[#This Row],[orden]]="","",_xlfn.XLOOKUP(tblOrdenes[[#This Row],[id_operacion]],tblEjecucion[id_operacion],tblEjecucion[precio],0))</f>
        <v/>
      </c>
      <c r="AJ421" s="10">
        <f>IF(tblOrdenes[[#This Row],[orden]]="","",MAX(0,_xlfn.XLOOKUP(tblOrdenes[[#This Row],[id_operacion]],tblEjecucion[id_operacion],tblEjecucion[costo_plan_total],0)-tblOrdenes[[#This Row],[costo_servicio]]))</f>
        <v/>
      </c>
      <c r="AK421" s="10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2">
        <f>IF(tblOrdenes[[#This Row],[fecha_inicio]]="","",TODAY()-tblOrdenes[[#This Row],[fecha_inicio]])</f>
        <v/>
      </c>
      <c r="AB4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0">
        <f>IF(tblOrdenes[[#This Row],[orden]]="","",_xlfn.XLOOKUP(tblOrdenes[[#This Row],[id_operacion]],tblEjecucion[id_operacion],tblEjecucion[precio],0))</f>
        <v/>
      </c>
      <c r="AJ422" s="10">
        <f>IF(tblOrdenes[[#This Row],[orden]]="","",MAX(0,_xlfn.XLOOKUP(tblOrdenes[[#This Row],[id_operacion]],tblEjecucion[id_operacion],tblEjecucion[costo_plan_total],0)-tblOrdenes[[#This Row],[costo_servicio]]))</f>
        <v/>
      </c>
      <c r="AK422" s="10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2">
        <f>IF(tblOrdenes[[#This Row],[fecha_inicio]]="","",TODAY()-tblOrdenes[[#This Row],[fecha_inicio]])</f>
        <v/>
      </c>
      <c r="AB4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0">
        <f>IF(tblOrdenes[[#This Row],[orden]]="","",_xlfn.XLOOKUP(tblOrdenes[[#This Row],[id_operacion]],tblEjecucion[id_operacion],tblEjecucion[precio],0))</f>
        <v/>
      </c>
      <c r="AJ423" s="10">
        <f>IF(tblOrdenes[[#This Row],[orden]]="","",MAX(0,_xlfn.XLOOKUP(tblOrdenes[[#This Row],[id_operacion]],tblEjecucion[id_operacion],tblEjecucion[costo_plan_total],0)-tblOrdenes[[#This Row],[costo_servicio]]))</f>
        <v/>
      </c>
      <c r="AK423" s="10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2">
        <f>IF(tblOrdenes[[#This Row],[fecha_inicio]]="","",TODAY()-tblOrdenes[[#This Row],[fecha_inicio]])</f>
        <v/>
      </c>
      <c r="AB4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0">
        <f>IF(tblOrdenes[[#This Row],[orden]]="","",_xlfn.XLOOKUP(tblOrdenes[[#This Row],[id_operacion]],tblEjecucion[id_operacion],tblEjecucion[precio],0))</f>
        <v/>
      </c>
      <c r="AJ424" s="10">
        <f>IF(tblOrdenes[[#This Row],[orden]]="","",MAX(0,_xlfn.XLOOKUP(tblOrdenes[[#This Row],[id_operacion]],tblEjecucion[id_operacion],tblEjecucion[costo_plan_total],0)-tblOrdenes[[#This Row],[costo_servicio]]))</f>
        <v/>
      </c>
      <c r="AK424" s="10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2">
        <f>IF(tblOrdenes[[#This Row],[fecha_inicio]]="","",TODAY()-tblOrdenes[[#This Row],[fecha_inicio]])</f>
        <v/>
      </c>
      <c r="AB4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0">
        <f>IF(tblOrdenes[[#This Row],[orden]]="","",_xlfn.XLOOKUP(tblOrdenes[[#This Row],[id_operacion]],tblEjecucion[id_operacion],tblEjecucion[precio],0))</f>
        <v/>
      </c>
      <c r="AJ425" s="10">
        <f>IF(tblOrdenes[[#This Row],[orden]]="","",MAX(0,_xlfn.XLOOKUP(tblOrdenes[[#This Row],[id_operacion]],tblEjecucion[id_operacion],tblEjecucion[costo_plan_total],0)-tblOrdenes[[#This Row],[costo_servicio]]))</f>
        <v/>
      </c>
      <c r="AK425" s="10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2">
        <f>IF(tblOrdenes[[#This Row],[fecha_inicio]]="","",TODAY()-tblOrdenes[[#This Row],[fecha_inicio]])</f>
        <v/>
      </c>
      <c r="AB4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0">
        <f>IF(tblOrdenes[[#This Row],[orden]]="","",_xlfn.XLOOKUP(tblOrdenes[[#This Row],[id_operacion]],tblEjecucion[id_operacion],tblEjecucion[precio],0))</f>
        <v/>
      </c>
      <c r="AJ426" s="10">
        <f>IF(tblOrdenes[[#This Row],[orden]]="","",MAX(0,_xlfn.XLOOKUP(tblOrdenes[[#This Row],[id_operacion]],tblEjecucion[id_operacion],tblEjecucion[costo_plan_total],0)-tblOrdenes[[#This Row],[costo_servicio]]))</f>
        <v/>
      </c>
      <c r="AK426" s="10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2">
        <f>IF(tblOrdenes[[#This Row],[fecha_inicio]]="","",TODAY()-tblOrdenes[[#This Row],[fecha_inicio]])</f>
        <v/>
      </c>
      <c r="AB4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0">
        <f>IF(tblOrdenes[[#This Row],[orden]]="","",_xlfn.XLOOKUP(tblOrdenes[[#This Row],[id_operacion]],tblEjecucion[id_operacion],tblEjecucion[precio],0))</f>
        <v/>
      </c>
      <c r="AJ427" s="10">
        <f>IF(tblOrdenes[[#This Row],[orden]]="","",MAX(0,_xlfn.XLOOKUP(tblOrdenes[[#This Row],[id_operacion]],tblEjecucion[id_operacion],tblEjecucion[costo_plan_total],0)-tblOrdenes[[#This Row],[costo_servicio]]))</f>
        <v/>
      </c>
      <c r="AK427" s="10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2">
        <f>IF(tblOrdenes[[#This Row],[fecha_inicio]]="","",TODAY()-tblOrdenes[[#This Row],[fecha_inicio]])</f>
        <v/>
      </c>
      <c r="AB4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0">
        <f>IF(tblOrdenes[[#This Row],[orden]]="","",_xlfn.XLOOKUP(tblOrdenes[[#This Row],[id_operacion]],tblEjecucion[id_operacion],tblEjecucion[precio],0))</f>
        <v/>
      </c>
      <c r="AJ428" s="10">
        <f>IF(tblOrdenes[[#This Row],[orden]]="","",MAX(0,_xlfn.XLOOKUP(tblOrdenes[[#This Row],[id_operacion]],tblEjecucion[id_operacion],tblEjecucion[costo_plan_total],0)-tblOrdenes[[#This Row],[costo_servicio]]))</f>
        <v/>
      </c>
      <c r="AK428" s="10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2">
        <f>IF(tblOrdenes[[#This Row],[fecha_inicio]]="","",TODAY()-tblOrdenes[[#This Row],[fecha_inicio]])</f>
        <v/>
      </c>
      <c r="AB4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0">
        <f>IF(tblOrdenes[[#This Row],[orden]]="","",_xlfn.XLOOKUP(tblOrdenes[[#This Row],[id_operacion]],tblEjecucion[id_operacion],tblEjecucion[precio],0))</f>
        <v/>
      </c>
      <c r="AJ429" s="10">
        <f>IF(tblOrdenes[[#This Row],[orden]]="","",MAX(0,_xlfn.XLOOKUP(tblOrdenes[[#This Row],[id_operacion]],tblEjecucion[id_operacion],tblEjecucion[costo_plan_total],0)-tblOrdenes[[#This Row],[costo_servicio]]))</f>
        <v/>
      </c>
      <c r="AK429" s="10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2">
        <f>IF(tblOrdenes[[#This Row],[fecha_inicio]]="","",TODAY()-tblOrdenes[[#This Row],[fecha_inicio]])</f>
        <v/>
      </c>
      <c r="AB4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0">
        <f>IF(tblOrdenes[[#This Row],[orden]]="","",_xlfn.XLOOKUP(tblOrdenes[[#This Row],[id_operacion]],tblEjecucion[id_operacion],tblEjecucion[precio],0))</f>
        <v/>
      </c>
      <c r="AJ430" s="10">
        <f>IF(tblOrdenes[[#This Row],[orden]]="","",MAX(0,_xlfn.XLOOKUP(tblOrdenes[[#This Row],[id_operacion]],tblEjecucion[id_operacion],tblEjecucion[costo_plan_total],0)-tblOrdenes[[#This Row],[costo_servicio]]))</f>
        <v/>
      </c>
      <c r="AK430" s="10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2">
        <f>IF(tblOrdenes[[#This Row],[fecha_inicio]]="","",TODAY()-tblOrdenes[[#This Row],[fecha_inicio]])</f>
        <v/>
      </c>
      <c r="AB4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0">
        <f>IF(tblOrdenes[[#This Row],[orden]]="","",_xlfn.XLOOKUP(tblOrdenes[[#This Row],[id_operacion]],tblEjecucion[id_operacion],tblEjecucion[precio],0))</f>
        <v/>
      </c>
      <c r="AJ431" s="10">
        <f>IF(tblOrdenes[[#This Row],[orden]]="","",MAX(0,_xlfn.XLOOKUP(tblOrdenes[[#This Row],[id_operacion]],tblEjecucion[id_operacion],tblEjecucion[costo_plan_total],0)-tblOrdenes[[#This Row],[costo_servicio]]))</f>
        <v/>
      </c>
      <c r="AK431" s="10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2">
        <f>IF(tblOrdenes[[#This Row],[fecha_inicio]]="","",TODAY()-tblOrdenes[[#This Row],[fecha_inicio]])</f>
        <v/>
      </c>
      <c r="AB4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0">
        <f>IF(tblOrdenes[[#This Row],[orden]]="","",_xlfn.XLOOKUP(tblOrdenes[[#This Row],[id_operacion]],tblEjecucion[id_operacion],tblEjecucion[precio],0))</f>
        <v/>
      </c>
      <c r="AJ432" s="10">
        <f>IF(tblOrdenes[[#This Row],[orden]]="","",MAX(0,_xlfn.XLOOKUP(tblOrdenes[[#This Row],[id_operacion]],tblEjecucion[id_operacion],tblEjecucion[costo_plan_total],0)-tblOrdenes[[#This Row],[costo_servicio]]))</f>
        <v/>
      </c>
      <c r="AK432" s="10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2">
        <f>IF(tblOrdenes[[#This Row],[fecha_inicio]]="","",TODAY()-tblOrdenes[[#This Row],[fecha_inicio]])</f>
        <v/>
      </c>
      <c r="AB4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0">
        <f>IF(tblOrdenes[[#This Row],[orden]]="","",_xlfn.XLOOKUP(tblOrdenes[[#This Row],[id_operacion]],tblEjecucion[id_operacion],tblEjecucion[precio],0))</f>
        <v/>
      </c>
      <c r="AJ433" s="10">
        <f>IF(tblOrdenes[[#This Row],[orden]]="","",MAX(0,_xlfn.XLOOKUP(tblOrdenes[[#This Row],[id_operacion]],tblEjecucion[id_operacion],tblEjecucion[costo_plan_total],0)-tblOrdenes[[#This Row],[costo_servicio]]))</f>
        <v/>
      </c>
      <c r="AK433" s="10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2">
        <f>IF(tblOrdenes[[#This Row],[fecha_inicio]]="","",TODAY()-tblOrdenes[[#This Row],[fecha_inicio]])</f>
        <v/>
      </c>
      <c r="AB4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0">
        <f>IF(tblOrdenes[[#This Row],[orden]]="","",_xlfn.XLOOKUP(tblOrdenes[[#This Row],[id_operacion]],tblEjecucion[id_operacion],tblEjecucion[precio],0))</f>
        <v/>
      </c>
      <c r="AJ434" s="10">
        <f>IF(tblOrdenes[[#This Row],[orden]]="","",MAX(0,_xlfn.XLOOKUP(tblOrdenes[[#This Row],[id_operacion]],tblEjecucion[id_operacion],tblEjecucion[costo_plan_total],0)-tblOrdenes[[#This Row],[costo_servicio]]))</f>
        <v/>
      </c>
      <c r="AK434" s="10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2">
        <f>IF(tblOrdenes[[#This Row],[fecha_inicio]]="","",TODAY()-tblOrdenes[[#This Row],[fecha_inicio]])</f>
        <v/>
      </c>
      <c r="AB4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0">
        <f>IF(tblOrdenes[[#This Row],[orden]]="","",_xlfn.XLOOKUP(tblOrdenes[[#This Row],[id_operacion]],tblEjecucion[id_operacion],tblEjecucion[precio],0))</f>
        <v/>
      </c>
      <c r="AJ435" s="10">
        <f>IF(tblOrdenes[[#This Row],[orden]]="","",MAX(0,_xlfn.XLOOKUP(tblOrdenes[[#This Row],[id_operacion]],tblEjecucion[id_operacion],tblEjecucion[costo_plan_total],0)-tblOrdenes[[#This Row],[costo_servicio]]))</f>
        <v/>
      </c>
      <c r="AK435" s="10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2">
        <f>IF(tblOrdenes[[#This Row],[fecha_inicio]]="","",TODAY()-tblOrdenes[[#This Row],[fecha_inicio]])</f>
        <v/>
      </c>
      <c r="AB4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0">
        <f>IF(tblOrdenes[[#This Row],[orden]]="","",_xlfn.XLOOKUP(tblOrdenes[[#This Row],[id_operacion]],tblEjecucion[id_operacion],tblEjecucion[precio],0))</f>
        <v/>
      </c>
      <c r="AJ436" s="10">
        <f>IF(tblOrdenes[[#This Row],[orden]]="","",MAX(0,_xlfn.XLOOKUP(tblOrdenes[[#This Row],[id_operacion]],tblEjecucion[id_operacion],tblEjecucion[costo_plan_total],0)-tblOrdenes[[#This Row],[costo_servicio]]))</f>
        <v/>
      </c>
      <c r="AK436" s="10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2">
        <f>IF(tblOrdenes[[#This Row],[fecha_inicio]]="","",TODAY()-tblOrdenes[[#This Row],[fecha_inicio]])</f>
        <v/>
      </c>
      <c r="AB4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0">
        <f>IF(tblOrdenes[[#This Row],[orden]]="","",_xlfn.XLOOKUP(tblOrdenes[[#This Row],[id_operacion]],tblEjecucion[id_operacion],tblEjecucion[precio],0))</f>
        <v/>
      </c>
      <c r="AJ437" s="10">
        <f>IF(tblOrdenes[[#This Row],[orden]]="","",MAX(0,_xlfn.XLOOKUP(tblOrdenes[[#This Row],[id_operacion]],tblEjecucion[id_operacion],tblEjecucion[costo_plan_total],0)-tblOrdenes[[#This Row],[costo_servicio]]))</f>
        <v/>
      </c>
      <c r="AK437" s="10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2">
        <f>IF(tblOrdenes[[#This Row],[fecha_inicio]]="","",TODAY()-tblOrdenes[[#This Row],[fecha_inicio]])</f>
        <v/>
      </c>
      <c r="AB4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0">
        <f>IF(tblOrdenes[[#This Row],[orden]]="","",_xlfn.XLOOKUP(tblOrdenes[[#This Row],[id_operacion]],tblEjecucion[id_operacion],tblEjecucion[precio],0))</f>
        <v/>
      </c>
      <c r="AJ438" s="10">
        <f>IF(tblOrdenes[[#This Row],[orden]]="","",MAX(0,_xlfn.XLOOKUP(tblOrdenes[[#This Row],[id_operacion]],tblEjecucion[id_operacion],tblEjecucion[costo_plan_total],0)-tblOrdenes[[#This Row],[costo_servicio]]))</f>
        <v/>
      </c>
      <c r="AK438" s="10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2">
        <f>IF(tblOrdenes[[#This Row],[fecha_inicio]]="","",TODAY()-tblOrdenes[[#This Row],[fecha_inicio]])</f>
        <v/>
      </c>
      <c r="AB4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0">
        <f>IF(tblOrdenes[[#This Row],[orden]]="","",_xlfn.XLOOKUP(tblOrdenes[[#This Row],[id_operacion]],tblEjecucion[id_operacion],tblEjecucion[precio],0))</f>
        <v/>
      </c>
      <c r="AJ439" s="10">
        <f>IF(tblOrdenes[[#This Row],[orden]]="","",MAX(0,_xlfn.XLOOKUP(tblOrdenes[[#This Row],[id_operacion]],tblEjecucion[id_operacion],tblEjecucion[costo_plan_total],0)-tblOrdenes[[#This Row],[costo_servicio]]))</f>
        <v/>
      </c>
      <c r="AK439" s="10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2">
        <f>IF(tblOrdenes[[#This Row],[fecha_inicio]]="","",TODAY()-tblOrdenes[[#This Row],[fecha_inicio]])</f>
        <v/>
      </c>
      <c r="AB4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0">
        <f>IF(tblOrdenes[[#This Row],[orden]]="","",_xlfn.XLOOKUP(tblOrdenes[[#This Row],[id_operacion]],tblEjecucion[id_operacion],tblEjecucion[precio],0))</f>
        <v/>
      </c>
      <c r="AJ440" s="10">
        <f>IF(tblOrdenes[[#This Row],[orden]]="","",MAX(0,_xlfn.XLOOKUP(tblOrdenes[[#This Row],[id_operacion]],tblEjecucion[id_operacion],tblEjecucion[costo_plan_total],0)-tblOrdenes[[#This Row],[costo_servicio]]))</f>
        <v/>
      </c>
      <c r="AK440" s="10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2">
        <f>IF(tblOrdenes[[#This Row],[fecha_inicio]]="","",TODAY()-tblOrdenes[[#This Row],[fecha_inicio]])</f>
        <v/>
      </c>
      <c r="AB4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0">
        <f>IF(tblOrdenes[[#This Row],[orden]]="","",_xlfn.XLOOKUP(tblOrdenes[[#This Row],[id_operacion]],tblEjecucion[id_operacion],tblEjecucion[precio],0))</f>
        <v/>
      </c>
      <c r="AJ441" s="10">
        <f>IF(tblOrdenes[[#This Row],[orden]]="","",MAX(0,_xlfn.XLOOKUP(tblOrdenes[[#This Row],[id_operacion]],tblEjecucion[id_operacion],tblEjecucion[costo_plan_total],0)-tblOrdenes[[#This Row],[costo_servicio]]))</f>
        <v/>
      </c>
      <c r="AK441" s="10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2">
        <f>IF(tblOrdenes[[#This Row],[fecha_inicio]]="","",TODAY()-tblOrdenes[[#This Row],[fecha_inicio]])</f>
        <v/>
      </c>
      <c r="AB4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0">
        <f>IF(tblOrdenes[[#This Row],[orden]]="","",_xlfn.XLOOKUP(tblOrdenes[[#This Row],[id_operacion]],tblEjecucion[id_operacion],tblEjecucion[precio],0))</f>
        <v/>
      </c>
      <c r="AJ442" s="10">
        <f>IF(tblOrdenes[[#This Row],[orden]]="","",MAX(0,_xlfn.XLOOKUP(tblOrdenes[[#This Row],[id_operacion]],tblEjecucion[id_operacion],tblEjecucion[costo_plan_total],0)-tblOrdenes[[#This Row],[costo_servicio]]))</f>
        <v/>
      </c>
      <c r="AK442" s="10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2">
        <f>IF(tblOrdenes[[#This Row],[fecha_inicio]]="","",TODAY()-tblOrdenes[[#This Row],[fecha_inicio]])</f>
        <v/>
      </c>
      <c r="AB4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0">
        <f>IF(tblOrdenes[[#This Row],[orden]]="","",_xlfn.XLOOKUP(tblOrdenes[[#This Row],[id_operacion]],tblEjecucion[id_operacion],tblEjecucion[precio],0))</f>
        <v/>
      </c>
      <c r="AJ443" s="10">
        <f>IF(tblOrdenes[[#This Row],[orden]]="","",MAX(0,_xlfn.XLOOKUP(tblOrdenes[[#This Row],[id_operacion]],tblEjecucion[id_operacion],tblEjecucion[costo_plan_total],0)-tblOrdenes[[#This Row],[costo_servicio]]))</f>
        <v/>
      </c>
      <c r="AK443" s="10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2">
        <f>IF(tblOrdenes[[#This Row],[fecha_inicio]]="","",TODAY()-tblOrdenes[[#This Row],[fecha_inicio]])</f>
        <v/>
      </c>
      <c r="AB4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0">
        <f>IF(tblOrdenes[[#This Row],[orden]]="","",_xlfn.XLOOKUP(tblOrdenes[[#This Row],[id_operacion]],tblEjecucion[id_operacion],tblEjecucion[precio],0))</f>
        <v/>
      </c>
      <c r="AJ444" s="10">
        <f>IF(tblOrdenes[[#This Row],[orden]]="","",MAX(0,_xlfn.XLOOKUP(tblOrdenes[[#This Row],[id_operacion]],tblEjecucion[id_operacion],tblEjecucion[costo_plan_total],0)-tblOrdenes[[#This Row],[costo_servicio]]))</f>
        <v/>
      </c>
      <c r="AK444" s="10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2">
        <f>IF(tblOrdenes[[#This Row],[fecha_inicio]]="","",TODAY()-tblOrdenes[[#This Row],[fecha_inicio]])</f>
        <v/>
      </c>
      <c r="AB4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0">
        <f>IF(tblOrdenes[[#This Row],[orden]]="","",_xlfn.XLOOKUP(tblOrdenes[[#This Row],[id_operacion]],tblEjecucion[id_operacion],tblEjecucion[precio],0))</f>
        <v/>
      </c>
      <c r="AJ445" s="10">
        <f>IF(tblOrdenes[[#This Row],[orden]]="","",MAX(0,_xlfn.XLOOKUP(tblOrdenes[[#This Row],[id_operacion]],tblEjecucion[id_operacion],tblEjecucion[costo_plan_total],0)-tblOrdenes[[#This Row],[costo_servicio]]))</f>
        <v/>
      </c>
      <c r="AK445" s="10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2">
        <f>IF(tblOrdenes[[#This Row],[fecha_inicio]]="","",TODAY()-tblOrdenes[[#This Row],[fecha_inicio]])</f>
        <v/>
      </c>
      <c r="AB4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0">
        <f>IF(tblOrdenes[[#This Row],[orden]]="","",_xlfn.XLOOKUP(tblOrdenes[[#This Row],[id_operacion]],tblEjecucion[id_operacion],tblEjecucion[precio],0))</f>
        <v/>
      </c>
      <c r="AJ446" s="10">
        <f>IF(tblOrdenes[[#This Row],[orden]]="","",MAX(0,_xlfn.XLOOKUP(tblOrdenes[[#This Row],[id_operacion]],tblEjecucion[id_operacion],tblEjecucion[costo_plan_total],0)-tblOrdenes[[#This Row],[costo_servicio]]))</f>
        <v/>
      </c>
      <c r="AK446" s="10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2">
        <f>IF(tblOrdenes[[#This Row],[fecha_inicio]]="","",TODAY()-tblOrdenes[[#This Row],[fecha_inicio]])</f>
        <v/>
      </c>
      <c r="AB4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0">
        <f>IF(tblOrdenes[[#This Row],[orden]]="","",_xlfn.XLOOKUP(tblOrdenes[[#This Row],[id_operacion]],tblEjecucion[id_operacion],tblEjecucion[precio],0))</f>
        <v/>
      </c>
      <c r="AJ447" s="10">
        <f>IF(tblOrdenes[[#This Row],[orden]]="","",MAX(0,_xlfn.XLOOKUP(tblOrdenes[[#This Row],[id_operacion]],tblEjecucion[id_operacion],tblEjecucion[costo_plan_total],0)-tblOrdenes[[#This Row],[costo_servicio]]))</f>
        <v/>
      </c>
      <c r="AK447" s="10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2">
        <f>IF(tblOrdenes[[#This Row],[fecha_inicio]]="","",TODAY()-tblOrdenes[[#This Row],[fecha_inicio]])</f>
        <v/>
      </c>
      <c r="AB4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0">
        <f>IF(tblOrdenes[[#This Row],[orden]]="","",_xlfn.XLOOKUP(tblOrdenes[[#This Row],[id_operacion]],tblEjecucion[id_operacion],tblEjecucion[precio],0))</f>
        <v/>
      </c>
      <c r="AJ448" s="10">
        <f>IF(tblOrdenes[[#This Row],[orden]]="","",MAX(0,_xlfn.XLOOKUP(tblOrdenes[[#This Row],[id_operacion]],tblEjecucion[id_operacion],tblEjecucion[costo_plan_total],0)-tblOrdenes[[#This Row],[costo_servicio]]))</f>
        <v/>
      </c>
      <c r="AK448" s="10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2">
        <f>IF(tblOrdenes[[#This Row],[fecha_inicio]]="","",TODAY()-tblOrdenes[[#This Row],[fecha_inicio]])</f>
        <v/>
      </c>
      <c r="AB4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0">
        <f>IF(tblOrdenes[[#This Row],[orden]]="","",_xlfn.XLOOKUP(tblOrdenes[[#This Row],[id_operacion]],tblEjecucion[id_operacion],tblEjecucion[precio],0))</f>
        <v/>
      </c>
      <c r="AJ449" s="10">
        <f>IF(tblOrdenes[[#This Row],[orden]]="","",MAX(0,_xlfn.XLOOKUP(tblOrdenes[[#This Row],[id_operacion]],tblEjecucion[id_operacion],tblEjecucion[costo_plan_total],0)-tblOrdenes[[#This Row],[costo_servicio]]))</f>
        <v/>
      </c>
      <c r="AK449" s="10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2">
        <f>IF(tblOrdenes[[#This Row],[fecha_inicio]]="","",TODAY()-tblOrdenes[[#This Row],[fecha_inicio]])</f>
        <v/>
      </c>
      <c r="AB4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0">
        <f>IF(tblOrdenes[[#This Row],[orden]]="","",_xlfn.XLOOKUP(tblOrdenes[[#This Row],[id_operacion]],tblEjecucion[id_operacion],tblEjecucion[precio],0))</f>
        <v/>
      </c>
      <c r="AJ450" s="10">
        <f>IF(tblOrdenes[[#This Row],[orden]]="","",MAX(0,_xlfn.XLOOKUP(tblOrdenes[[#This Row],[id_operacion]],tblEjecucion[id_operacion],tblEjecucion[costo_plan_total],0)-tblOrdenes[[#This Row],[costo_servicio]]))</f>
        <v/>
      </c>
      <c r="AK450" s="10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2">
        <f>IF(tblOrdenes[[#This Row],[fecha_inicio]]="","",TODAY()-tblOrdenes[[#This Row],[fecha_inicio]])</f>
        <v/>
      </c>
      <c r="AB4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0">
        <f>IF(tblOrdenes[[#This Row],[orden]]="","",_xlfn.XLOOKUP(tblOrdenes[[#This Row],[id_operacion]],tblEjecucion[id_operacion],tblEjecucion[precio],0))</f>
        <v/>
      </c>
      <c r="AJ451" s="10">
        <f>IF(tblOrdenes[[#This Row],[orden]]="","",MAX(0,_xlfn.XLOOKUP(tblOrdenes[[#This Row],[id_operacion]],tblEjecucion[id_operacion],tblEjecucion[costo_plan_total],0)-tblOrdenes[[#This Row],[costo_servicio]]))</f>
        <v/>
      </c>
      <c r="AK451" s="10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2">
        <f>IF(tblOrdenes[[#This Row],[fecha_inicio]]="","",TODAY()-tblOrdenes[[#This Row],[fecha_inicio]])</f>
        <v/>
      </c>
      <c r="AB4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0">
        <f>IF(tblOrdenes[[#This Row],[orden]]="","",_xlfn.XLOOKUP(tblOrdenes[[#This Row],[id_operacion]],tblEjecucion[id_operacion],tblEjecucion[precio],0))</f>
        <v/>
      </c>
      <c r="AJ452" s="10">
        <f>IF(tblOrdenes[[#This Row],[orden]]="","",MAX(0,_xlfn.XLOOKUP(tblOrdenes[[#This Row],[id_operacion]],tblEjecucion[id_operacion],tblEjecucion[costo_plan_total],0)-tblOrdenes[[#This Row],[costo_servicio]]))</f>
        <v/>
      </c>
      <c r="AK452" s="10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2">
        <f>IF(tblOrdenes[[#This Row],[fecha_inicio]]="","",TODAY()-tblOrdenes[[#This Row],[fecha_inicio]])</f>
        <v/>
      </c>
      <c r="AB4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0">
        <f>IF(tblOrdenes[[#This Row],[orden]]="","",_xlfn.XLOOKUP(tblOrdenes[[#This Row],[id_operacion]],tblEjecucion[id_operacion],tblEjecucion[precio],0))</f>
        <v/>
      </c>
      <c r="AJ453" s="10">
        <f>IF(tblOrdenes[[#This Row],[orden]]="","",MAX(0,_xlfn.XLOOKUP(tblOrdenes[[#This Row],[id_operacion]],tblEjecucion[id_operacion],tblEjecucion[costo_plan_total],0)-tblOrdenes[[#This Row],[costo_servicio]]))</f>
        <v/>
      </c>
      <c r="AK453" s="10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2">
        <f>IF(tblOrdenes[[#This Row],[fecha_inicio]]="","",TODAY()-tblOrdenes[[#This Row],[fecha_inicio]])</f>
        <v/>
      </c>
      <c r="AB4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0">
        <f>IF(tblOrdenes[[#This Row],[orden]]="","",_xlfn.XLOOKUP(tblOrdenes[[#This Row],[id_operacion]],tblEjecucion[id_operacion],tblEjecucion[precio],0))</f>
        <v/>
      </c>
      <c r="AJ454" s="10">
        <f>IF(tblOrdenes[[#This Row],[orden]]="","",MAX(0,_xlfn.XLOOKUP(tblOrdenes[[#This Row],[id_operacion]],tblEjecucion[id_operacion],tblEjecucion[costo_plan_total],0)-tblOrdenes[[#This Row],[costo_servicio]]))</f>
        <v/>
      </c>
      <c r="AK454" s="10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2">
        <f>IF(tblOrdenes[[#This Row],[fecha_inicio]]="","",TODAY()-tblOrdenes[[#This Row],[fecha_inicio]])</f>
        <v/>
      </c>
      <c r="AB4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0">
        <f>IF(tblOrdenes[[#This Row],[orden]]="","",_xlfn.XLOOKUP(tblOrdenes[[#This Row],[id_operacion]],tblEjecucion[id_operacion],tblEjecucion[precio],0))</f>
        <v/>
      </c>
      <c r="AJ455" s="10">
        <f>IF(tblOrdenes[[#This Row],[orden]]="","",MAX(0,_xlfn.XLOOKUP(tblOrdenes[[#This Row],[id_operacion]],tblEjecucion[id_operacion],tblEjecucion[costo_plan_total],0)-tblOrdenes[[#This Row],[costo_servicio]]))</f>
        <v/>
      </c>
      <c r="AK455" s="10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2">
        <f>IF(tblOrdenes[[#This Row],[fecha_inicio]]="","",TODAY()-tblOrdenes[[#This Row],[fecha_inicio]])</f>
        <v/>
      </c>
      <c r="AB4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0">
        <f>IF(tblOrdenes[[#This Row],[orden]]="","",_xlfn.XLOOKUP(tblOrdenes[[#This Row],[id_operacion]],tblEjecucion[id_operacion],tblEjecucion[precio],0))</f>
        <v/>
      </c>
      <c r="AJ456" s="10">
        <f>IF(tblOrdenes[[#This Row],[orden]]="","",MAX(0,_xlfn.XLOOKUP(tblOrdenes[[#This Row],[id_operacion]],tblEjecucion[id_operacion],tblEjecucion[costo_plan_total],0)-tblOrdenes[[#This Row],[costo_servicio]]))</f>
        <v/>
      </c>
      <c r="AK456" s="10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2">
        <f>IF(tblOrdenes[[#This Row],[fecha_inicio]]="","",TODAY()-tblOrdenes[[#This Row],[fecha_inicio]])</f>
        <v/>
      </c>
      <c r="AB4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0">
        <f>IF(tblOrdenes[[#This Row],[orden]]="","",_xlfn.XLOOKUP(tblOrdenes[[#This Row],[id_operacion]],tblEjecucion[id_operacion],tblEjecucion[precio],0))</f>
        <v/>
      </c>
      <c r="AJ457" s="10">
        <f>IF(tblOrdenes[[#This Row],[orden]]="","",MAX(0,_xlfn.XLOOKUP(tblOrdenes[[#This Row],[id_operacion]],tblEjecucion[id_operacion],tblEjecucion[costo_plan_total],0)-tblOrdenes[[#This Row],[costo_servicio]]))</f>
        <v/>
      </c>
      <c r="AK457" s="10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2">
        <f>IF(tblOrdenes[[#This Row],[fecha_inicio]]="","",TODAY()-tblOrdenes[[#This Row],[fecha_inicio]])</f>
        <v/>
      </c>
      <c r="AB4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0">
        <f>IF(tblOrdenes[[#This Row],[orden]]="","",_xlfn.XLOOKUP(tblOrdenes[[#This Row],[id_operacion]],tblEjecucion[id_operacion],tblEjecucion[precio],0))</f>
        <v/>
      </c>
      <c r="AJ458" s="10">
        <f>IF(tblOrdenes[[#This Row],[orden]]="","",MAX(0,_xlfn.XLOOKUP(tblOrdenes[[#This Row],[id_operacion]],tblEjecucion[id_operacion],tblEjecucion[costo_plan_total],0)-tblOrdenes[[#This Row],[costo_servicio]]))</f>
        <v/>
      </c>
      <c r="AK458" s="10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2">
        <f>IF(tblOrdenes[[#This Row],[fecha_inicio]]="","",TODAY()-tblOrdenes[[#This Row],[fecha_inicio]])</f>
        <v/>
      </c>
      <c r="AB4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0">
        <f>IF(tblOrdenes[[#This Row],[orden]]="","",_xlfn.XLOOKUP(tblOrdenes[[#This Row],[id_operacion]],tblEjecucion[id_operacion],tblEjecucion[precio],0))</f>
        <v/>
      </c>
      <c r="AJ459" s="10">
        <f>IF(tblOrdenes[[#This Row],[orden]]="","",MAX(0,_xlfn.XLOOKUP(tblOrdenes[[#This Row],[id_operacion]],tblEjecucion[id_operacion],tblEjecucion[costo_plan_total],0)-tblOrdenes[[#This Row],[costo_servicio]]))</f>
        <v/>
      </c>
      <c r="AK459" s="10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2">
        <f>IF(tblOrdenes[[#This Row],[fecha_inicio]]="","",TODAY()-tblOrdenes[[#This Row],[fecha_inicio]])</f>
        <v/>
      </c>
      <c r="AB4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0">
        <f>IF(tblOrdenes[[#This Row],[orden]]="","",_xlfn.XLOOKUP(tblOrdenes[[#This Row],[id_operacion]],tblEjecucion[id_operacion],tblEjecucion[precio],0))</f>
        <v/>
      </c>
      <c r="AJ460" s="10">
        <f>IF(tblOrdenes[[#This Row],[orden]]="","",MAX(0,_xlfn.XLOOKUP(tblOrdenes[[#This Row],[id_operacion]],tblEjecucion[id_operacion],tblEjecucion[costo_plan_total],0)-tblOrdenes[[#This Row],[costo_servicio]]))</f>
        <v/>
      </c>
      <c r="AK460" s="10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2">
        <f>IF(tblOrdenes[[#This Row],[fecha_inicio]]="","",TODAY()-tblOrdenes[[#This Row],[fecha_inicio]])</f>
        <v/>
      </c>
      <c r="AB4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0">
        <f>IF(tblOrdenes[[#This Row],[orden]]="","",_xlfn.XLOOKUP(tblOrdenes[[#This Row],[id_operacion]],tblEjecucion[id_operacion],tblEjecucion[precio],0))</f>
        <v/>
      </c>
      <c r="AJ461" s="10">
        <f>IF(tblOrdenes[[#This Row],[orden]]="","",MAX(0,_xlfn.XLOOKUP(tblOrdenes[[#This Row],[id_operacion]],tblEjecucion[id_operacion],tblEjecucion[costo_plan_total],0)-tblOrdenes[[#This Row],[costo_servicio]]))</f>
        <v/>
      </c>
      <c r="AK461" s="10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2">
        <f>IF(tblOrdenes[[#This Row],[fecha_inicio]]="","",TODAY()-tblOrdenes[[#This Row],[fecha_inicio]])</f>
        <v/>
      </c>
      <c r="AB4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0">
        <f>IF(tblOrdenes[[#This Row],[orden]]="","",_xlfn.XLOOKUP(tblOrdenes[[#This Row],[id_operacion]],tblEjecucion[id_operacion],tblEjecucion[precio],0))</f>
        <v/>
      </c>
      <c r="AJ462" s="10">
        <f>IF(tblOrdenes[[#This Row],[orden]]="","",MAX(0,_xlfn.XLOOKUP(tblOrdenes[[#This Row],[id_operacion]],tblEjecucion[id_operacion],tblEjecucion[costo_plan_total],0)-tblOrdenes[[#This Row],[costo_servicio]]))</f>
        <v/>
      </c>
      <c r="AK462" s="10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2">
        <f>IF(tblOrdenes[[#This Row],[fecha_inicio]]="","",TODAY()-tblOrdenes[[#This Row],[fecha_inicio]])</f>
        <v/>
      </c>
      <c r="AB4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0">
        <f>IF(tblOrdenes[[#This Row],[orden]]="","",_xlfn.XLOOKUP(tblOrdenes[[#This Row],[id_operacion]],tblEjecucion[id_operacion],tblEjecucion[precio],0))</f>
        <v/>
      </c>
      <c r="AJ463" s="10">
        <f>IF(tblOrdenes[[#This Row],[orden]]="","",MAX(0,_xlfn.XLOOKUP(tblOrdenes[[#This Row],[id_operacion]],tblEjecucion[id_operacion],tblEjecucion[costo_plan_total],0)-tblOrdenes[[#This Row],[costo_servicio]]))</f>
        <v/>
      </c>
      <c r="AK463" s="10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2">
        <f>IF(tblOrdenes[[#This Row],[fecha_inicio]]="","",TODAY()-tblOrdenes[[#This Row],[fecha_inicio]])</f>
        <v/>
      </c>
      <c r="AB4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0">
        <f>IF(tblOrdenes[[#This Row],[orden]]="","",_xlfn.XLOOKUP(tblOrdenes[[#This Row],[id_operacion]],tblEjecucion[id_operacion],tblEjecucion[precio],0))</f>
        <v/>
      </c>
      <c r="AJ464" s="10">
        <f>IF(tblOrdenes[[#This Row],[orden]]="","",MAX(0,_xlfn.XLOOKUP(tblOrdenes[[#This Row],[id_operacion]],tblEjecucion[id_operacion],tblEjecucion[costo_plan_total],0)-tblOrdenes[[#This Row],[costo_servicio]]))</f>
        <v/>
      </c>
      <c r="AK464" s="10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2">
        <f>IF(tblOrdenes[[#This Row],[fecha_inicio]]="","",TODAY()-tblOrdenes[[#This Row],[fecha_inicio]])</f>
        <v/>
      </c>
      <c r="AB4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0">
        <f>IF(tblOrdenes[[#This Row],[orden]]="","",_xlfn.XLOOKUP(tblOrdenes[[#This Row],[id_operacion]],tblEjecucion[id_operacion],tblEjecucion[precio],0))</f>
        <v/>
      </c>
      <c r="AJ465" s="10">
        <f>IF(tblOrdenes[[#This Row],[orden]]="","",MAX(0,_xlfn.XLOOKUP(tblOrdenes[[#This Row],[id_operacion]],tblEjecucion[id_operacion],tblEjecucion[costo_plan_total],0)-tblOrdenes[[#This Row],[costo_servicio]]))</f>
        <v/>
      </c>
      <c r="AK465" s="10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2">
        <f>IF(tblOrdenes[[#This Row],[fecha_inicio]]="","",TODAY()-tblOrdenes[[#This Row],[fecha_inicio]])</f>
        <v/>
      </c>
      <c r="AB4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0">
        <f>IF(tblOrdenes[[#This Row],[orden]]="","",_xlfn.XLOOKUP(tblOrdenes[[#This Row],[id_operacion]],tblEjecucion[id_operacion],tblEjecucion[precio],0))</f>
        <v/>
      </c>
      <c r="AJ466" s="10">
        <f>IF(tblOrdenes[[#This Row],[orden]]="","",MAX(0,_xlfn.XLOOKUP(tblOrdenes[[#This Row],[id_operacion]],tblEjecucion[id_operacion],tblEjecucion[costo_plan_total],0)-tblOrdenes[[#This Row],[costo_servicio]]))</f>
        <v/>
      </c>
      <c r="AK466" s="10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2">
        <f>IF(tblOrdenes[[#This Row],[fecha_inicio]]="","",TODAY()-tblOrdenes[[#This Row],[fecha_inicio]])</f>
        <v/>
      </c>
      <c r="AB4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0">
        <f>IF(tblOrdenes[[#This Row],[orden]]="","",_xlfn.XLOOKUP(tblOrdenes[[#This Row],[id_operacion]],tblEjecucion[id_operacion],tblEjecucion[precio],0))</f>
        <v/>
      </c>
      <c r="AJ467" s="10">
        <f>IF(tblOrdenes[[#This Row],[orden]]="","",MAX(0,_xlfn.XLOOKUP(tblOrdenes[[#This Row],[id_operacion]],tblEjecucion[id_operacion],tblEjecucion[costo_plan_total],0)-tblOrdenes[[#This Row],[costo_servicio]]))</f>
        <v/>
      </c>
      <c r="AK467" s="10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2">
        <f>IF(tblOrdenes[[#This Row],[fecha_inicio]]="","",TODAY()-tblOrdenes[[#This Row],[fecha_inicio]])</f>
        <v/>
      </c>
      <c r="AB4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0">
        <f>IF(tblOrdenes[[#This Row],[orden]]="","",_xlfn.XLOOKUP(tblOrdenes[[#This Row],[id_operacion]],tblEjecucion[id_operacion],tblEjecucion[precio],0))</f>
        <v/>
      </c>
      <c r="AJ468" s="10">
        <f>IF(tblOrdenes[[#This Row],[orden]]="","",MAX(0,_xlfn.XLOOKUP(tblOrdenes[[#This Row],[id_operacion]],tblEjecucion[id_operacion],tblEjecucion[costo_plan_total],0)-tblOrdenes[[#This Row],[costo_servicio]]))</f>
        <v/>
      </c>
      <c r="AK468" s="10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2">
        <f>IF(tblOrdenes[[#This Row],[fecha_inicio]]="","",TODAY()-tblOrdenes[[#This Row],[fecha_inicio]])</f>
        <v/>
      </c>
      <c r="AB4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0">
        <f>IF(tblOrdenes[[#This Row],[orden]]="","",_xlfn.XLOOKUP(tblOrdenes[[#This Row],[id_operacion]],tblEjecucion[id_operacion],tblEjecucion[precio],0))</f>
        <v/>
      </c>
      <c r="AJ469" s="10">
        <f>IF(tblOrdenes[[#This Row],[orden]]="","",MAX(0,_xlfn.XLOOKUP(tblOrdenes[[#This Row],[id_operacion]],tblEjecucion[id_operacion],tblEjecucion[costo_plan_total],0)-tblOrdenes[[#This Row],[costo_servicio]]))</f>
        <v/>
      </c>
      <c r="AK469" s="10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2">
        <f>IF(tblOrdenes[[#This Row],[fecha_inicio]]="","",TODAY()-tblOrdenes[[#This Row],[fecha_inicio]])</f>
        <v/>
      </c>
      <c r="AB4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0">
        <f>IF(tblOrdenes[[#This Row],[orden]]="","",_xlfn.XLOOKUP(tblOrdenes[[#This Row],[id_operacion]],tblEjecucion[id_operacion],tblEjecucion[precio],0))</f>
        <v/>
      </c>
      <c r="AJ470" s="10">
        <f>IF(tblOrdenes[[#This Row],[orden]]="","",MAX(0,_xlfn.XLOOKUP(tblOrdenes[[#This Row],[id_operacion]],tblEjecucion[id_operacion],tblEjecucion[costo_plan_total],0)-tblOrdenes[[#This Row],[costo_servicio]]))</f>
        <v/>
      </c>
      <c r="AK470" s="10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2">
        <f>IF(tblOrdenes[[#This Row],[fecha_inicio]]="","",TODAY()-tblOrdenes[[#This Row],[fecha_inicio]])</f>
        <v/>
      </c>
      <c r="AB4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0">
        <f>IF(tblOrdenes[[#This Row],[orden]]="","",_xlfn.XLOOKUP(tblOrdenes[[#This Row],[id_operacion]],tblEjecucion[id_operacion],tblEjecucion[precio],0))</f>
        <v/>
      </c>
      <c r="AJ471" s="10">
        <f>IF(tblOrdenes[[#This Row],[orden]]="","",MAX(0,_xlfn.XLOOKUP(tblOrdenes[[#This Row],[id_operacion]],tblEjecucion[id_operacion],tblEjecucion[costo_plan_total],0)-tblOrdenes[[#This Row],[costo_servicio]]))</f>
        <v/>
      </c>
      <c r="AK471" s="10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2">
        <f>IF(tblOrdenes[[#This Row],[fecha_inicio]]="","",TODAY()-tblOrdenes[[#This Row],[fecha_inicio]])</f>
        <v/>
      </c>
      <c r="AB4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0">
        <f>IF(tblOrdenes[[#This Row],[orden]]="","",_xlfn.XLOOKUP(tblOrdenes[[#This Row],[id_operacion]],tblEjecucion[id_operacion],tblEjecucion[precio],0))</f>
        <v/>
      </c>
      <c r="AJ472" s="10">
        <f>IF(tblOrdenes[[#This Row],[orden]]="","",MAX(0,_xlfn.XLOOKUP(tblOrdenes[[#This Row],[id_operacion]],tblEjecucion[id_operacion],tblEjecucion[costo_plan_total],0)-tblOrdenes[[#This Row],[costo_servicio]]))</f>
        <v/>
      </c>
      <c r="AK472" s="10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2">
        <f>IF(tblOrdenes[[#This Row],[fecha_inicio]]="","",TODAY()-tblOrdenes[[#This Row],[fecha_inicio]])</f>
        <v/>
      </c>
      <c r="AB4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0">
        <f>IF(tblOrdenes[[#This Row],[orden]]="","",_xlfn.XLOOKUP(tblOrdenes[[#This Row],[id_operacion]],tblEjecucion[id_operacion],tblEjecucion[precio],0))</f>
        <v/>
      </c>
      <c r="AJ473" s="10">
        <f>IF(tblOrdenes[[#This Row],[orden]]="","",MAX(0,_xlfn.XLOOKUP(tblOrdenes[[#This Row],[id_operacion]],tblEjecucion[id_operacion],tblEjecucion[costo_plan_total],0)-tblOrdenes[[#This Row],[costo_servicio]]))</f>
        <v/>
      </c>
      <c r="AK473" s="10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2">
        <f>IF(tblOrdenes[[#This Row],[fecha_inicio]]="","",TODAY()-tblOrdenes[[#This Row],[fecha_inicio]])</f>
        <v/>
      </c>
      <c r="AB4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0">
        <f>IF(tblOrdenes[[#This Row],[orden]]="","",_xlfn.XLOOKUP(tblOrdenes[[#This Row],[id_operacion]],tblEjecucion[id_operacion],tblEjecucion[precio],0))</f>
        <v/>
      </c>
      <c r="AJ474" s="10">
        <f>IF(tblOrdenes[[#This Row],[orden]]="","",MAX(0,_xlfn.XLOOKUP(tblOrdenes[[#This Row],[id_operacion]],tblEjecucion[id_operacion],tblEjecucion[costo_plan_total],0)-tblOrdenes[[#This Row],[costo_servicio]]))</f>
        <v/>
      </c>
      <c r="AK474" s="10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2">
        <f>IF(tblOrdenes[[#This Row],[fecha_inicio]]="","",TODAY()-tblOrdenes[[#This Row],[fecha_inicio]])</f>
        <v/>
      </c>
      <c r="AB4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0">
        <f>IF(tblOrdenes[[#This Row],[orden]]="","",_xlfn.XLOOKUP(tblOrdenes[[#This Row],[id_operacion]],tblEjecucion[id_operacion],tblEjecucion[precio],0))</f>
        <v/>
      </c>
      <c r="AJ475" s="10">
        <f>IF(tblOrdenes[[#This Row],[orden]]="","",MAX(0,_xlfn.XLOOKUP(tblOrdenes[[#This Row],[id_operacion]],tblEjecucion[id_operacion],tblEjecucion[costo_plan_total],0)-tblOrdenes[[#This Row],[costo_servicio]]))</f>
        <v/>
      </c>
      <c r="AK475" s="10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2">
        <f>IF(tblOrdenes[[#This Row],[fecha_inicio]]="","",TODAY()-tblOrdenes[[#This Row],[fecha_inicio]])</f>
        <v/>
      </c>
      <c r="AB4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0">
        <f>IF(tblOrdenes[[#This Row],[orden]]="","",_xlfn.XLOOKUP(tblOrdenes[[#This Row],[id_operacion]],tblEjecucion[id_operacion],tblEjecucion[precio],0))</f>
        <v/>
      </c>
      <c r="AJ476" s="10">
        <f>IF(tblOrdenes[[#This Row],[orden]]="","",MAX(0,_xlfn.XLOOKUP(tblOrdenes[[#This Row],[id_operacion]],tblEjecucion[id_operacion],tblEjecucion[costo_plan_total],0)-tblOrdenes[[#This Row],[costo_servicio]]))</f>
        <v/>
      </c>
      <c r="AK476" s="10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2">
        <f>IF(tblOrdenes[[#This Row],[fecha_inicio]]="","",TODAY()-tblOrdenes[[#This Row],[fecha_inicio]])</f>
        <v/>
      </c>
      <c r="AB4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0">
        <f>IF(tblOrdenes[[#This Row],[orden]]="","",_xlfn.XLOOKUP(tblOrdenes[[#This Row],[id_operacion]],tblEjecucion[id_operacion],tblEjecucion[precio],0))</f>
        <v/>
      </c>
      <c r="AJ477" s="10">
        <f>IF(tblOrdenes[[#This Row],[orden]]="","",MAX(0,_xlfn.XLOOKUP(tblOrdenes[[#This Row],[id_operacion]],tblEjecucion[id_operacion],tblEjecucion[costo_plan_total],0)-tblOrdenes[[#This Row],[costo_servicio]]))</f>
        <v/>
      </c>
      <c r="AK477" s="10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2">
        <f>IF(tblOrdenes[[#This Row],[fecha_inicio]]="","",TODAY()-tblOrdenes[[#This Row],[fecha_inicio]])</f>
        <v/>
      </c>
      <c r="AB4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0">
        <f>IF(tblOrdenes[[#This Row],[orden]]="","",_xlfn.XLOOKUP(tblOrdenes[[#This Row],[id_operacion]],tblEjecucion[id_operacion],tblEjecucion[precio],0))</f>
        <v/>
      </c>
      <c r="AJ478" s="10">
        <f>IF(tblOrdenes[[#This Row],[orden]]="","",MAX(0,_xlfn.XLOOKUP(tblOrdenes[[#This Row],[id_operacion]],tblEjecucion[id_operacion],tblEjecucion[costo_plan_total],0)-tblOrdenes[[#This Row],[costo_servicio]]))</f>
        <v/>
      </c>
      <c r="AK478" s="10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2">
        <f>IF(tblOrdenes[[#This Row],[fecha_inicio]]="","",TODAY()-tblOrdenes[[#This Row],[fecha_inicio]])</f>
        <v/>
      </c>
      <c r="AB4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0">
        <f>IF(tblOrdenes[[#This Row],[orden]]="","",_xlfn.XLOOKUP(tblOrdenes[[#This Row],[id_operacion]],tblEjecucion[id_operacion],tblEjecucion[precio],0))</f>
        <v/>
      </c>
      <c r="AJ479" s="10">
        <f>IF(tblOrdenes[[#This Row],[orden]]="","",MAX(0,_xlfn.XLOOKUP(tblOrdenes[[#This Row],[id_operacion]],tblEjecucion[id_operacion],tblEjecucion[costo_plan_total],0)-tblOrdenes[[#This Row],[costo_servicio]]))</f>
        <v/>
      </c>
      <c r="AK479" s="10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2">
        <f>IF(tblOrdenes[[#This Row],[fecha_inicio]]="","",TODAY()-tblOrdenes[[#This Row],[fecha_inicio]])</f>
        <v/>
      </c>
      <c r="AB4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0">
        <f>IF(tblOrdenes[[#This Row],[orden]]="","",_xlfn.XLOOKUP(tblOrdenes[[#This Row],[id_operacion]],tblEjecucion[id_operacion],tblEjecucion[precio],0))</f>
        <v/>
      </c>
      <c r="AJ480" s="10">
        <f>IF(tblOrdenes[[#This Row],[orden]]="","",MAX(0,_xlfn.XLOOKUP(tblOrdenes[[#This Row],[id_operacion]],tblEjecucion[id_operacion],tblEjecucion[costo_plan_total],0)-tblOrdenes[[#This Row],[costo_servicio]]))</f>
        <v/>
      </c>
      <c r="AK480" s="10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2">
        <f>IF(tblOrdenes[[#This Row],[fecha_inicio]]="","",TODAY()-tblOrdenes[[#This Row],[fecha_inicio]])</f>
        <v/>
      </c>
      <c r="AB4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0">
        <f>IF(tblOrdenes[[#This Row],[orden]]="","",_xlfn.XLOOKUP(tblOrdenes[[#This Row],[id_operacion]],tblEjecucion[id_operacion],tblEjecucion[precio],0))</f>
        <v/>
      </c>
      <c r="AJ481" s="10">
        <f>IF(tblOrdenes[[#This Row],[orden]]="","",MAX(0,_xlfn.XLOOKUP(tblOrdenes[[#This Row],[id_operacion]],tblEjecucion[id_operacion],tblEjecucion[costo_plan_total],0)-tblOrdenes[[#This Row],[costo_servicio]]))</f>
        <v/>
      </c>
      <c r="AK481" s="10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2">
        <f>IF(tblOrdenes[[#This Row],[fecha_inicio]]="","",TODAY()-tblOrdenes[[#This Row],[fecha_inicio]])</f>
        <v/>
      </c>
      <c r="AB4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0">
        <f>IF(tblOrdenes[[#This Row],[orden]]="","",_xlfn.XLOOKUP(tblOrdenes[[#This Row],[id_operacion]],tblEjecucion[id_operacion],tblEjecucion[precio],0))</f>
        <v/>
      </c>
      <c r="AJ482" s="10">
        <f>IF(tblOrdenes[[#This Row],[orden]]="","",MAX(0,_xlfn.XLOOKUP(tblOrdenes[[#This Row],[id_operacion]],tblEjecucion[id_operacion],tblEjecucion[costo_plan_total],0)-tblOrdenes[[#This Row],[costo_servicio]]))</f>
        <v/>
      </c>
      <c r="AK482" s="10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2">
        <f>IF(tblOrdenes[[#This Row],[fecha_inicio]]="","",TODAY()-tblOrdenes[[#This Row],[fecha_inicio]])</f>
        <v/>
      </c>
      <c r="AB4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0">
        <f>IF(tblOrdenes[[#This Row],[orden]]="","",_xlfn.XLOOKUP(tblOrdenes[[#This Row],[id_operacion]],tblEjecucion[id_operacion],tblEjecucion[precio],0))</f>
        <v/>
      </c>
      <c r="AJ483" s="10">
        <f>IF(tblOrdenes[[#This Row],[orden]]="","",MAX(0,_xlfn.XLOOKUP(tblOrdenes[[#This Row],[id_operacion]],tblEjecucion[id_operacion],tblEjecucion[costo_plan_total],0)-tblOrdenes[[#This Row],[costo_servicio]]))</f>
        <v/>
      </c>
      <c r="AK483" s="10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2">
        <f>IF(tblOrdenes[[#This Row],[fecha_inicio]]="","",TODAY()-tblOrdenes[[#This Row],[fecha_inicio]])</f>
        <v/>
      </c>
      <c r="AB4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0">
        <f>IF(tblOrdenes[[#This Row],[orden]]="","",_xlfn.XLOOKUP(tblOrdenes[[#This Row],[id_operacion]],tblEjecucion[id_operacion],tblEjecucion[precio],0))</f>
        <v/>
      </c>
      <c r="AJ484" s="10">
        <f>IF(tblOrdenes[[#This Row],[orden]]="","",MAX(0,_xlfn.XLOOKUP(tblOrdenes[[#This Row],[id_operacion]],tblEjecucion[id_operacion],tblEjecucion[costo_plan_total],0)-tblOrdenes[[#This Row],[costo_servicio]]))</f>
        <v/>
      </c>
      <c r="AK484" s="10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2">
        <f>IF(tblOrdenes[[#This Row],[fecha_inicio]]="","",TODAY()-tblOrdenes[[#This Row],[fecha_inicio]])</f>
        <v/>
      </c>
      <c r="AB4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0">
        <f>IF(tblOrdenes[[#This Row],[orden]]="","",_xlfn.XLOOKUP(tblOrdenes[[#This Row],[id_operacion]],tblEjecucion[id_operacion],tblEjecucion[precio],0))</f>
        <v/>
      </c>
      <c r="AJ485" s="10">
        <f>IF(tblOrdenes[[#This Row],[orden]]="","",MAX(0,_xlfn.XLOOKUP(tblOrdenes[[#This Row],[id_operacion]],tblEjecucion[id_operacion],tblEjecucion[costo_plan_total],0)-tblOrdenes[[#This Row],[costo_servicio]]))</f>
        <v/>
      </c>
      <c r="AK485" s="10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2">
        <f>IF(tblOrdenes[[#This Row],[fecha_inicio]]="","",TODAY()-tblOrdenes[[#This Row],[fecha_inicio]])</f>
        <v/>
      </c>
      <c r="AB4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0">
        <f>IF(tblOrdenes[[#This Row],[orden]]="","",_xlfn.XLOOKUP(tblOrdenes[[#This Row],[id_operacion]],tblEjecucion[id_operacion],tblEjecucion[precio],0))</f>
        <v/>
      </c>
      <c r="AJ486" s="10">
        <f>IF(tblOrdenes[[#This Row],[orden]]="","",MAX(0,_xlfn.XLOOKUP(tblOrdenes[[#This Row],[id_operacion]],tblEjecucion[id_operacion],tblEjecucion[costo_plan_total],0)-tblOrdenes[[#This Row],[costo_servicio]]))</f>
        <v/>
      </c>
      <c r="AK486" s="10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2">
        <f>IF(tblOrdenes[[#This Row],[fecha_inicio]]="","",TODAY()-tblOrdenes[[#This Row],[fecha_inicio]])</f>
        <v/>
      </c>
      <c r="AB4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0">
        <f>IF(tblOrdenes[[#This Row],[orden]]="","",_xlfn.XLOOKUP(tblOrdenes[[#This Row],[id_operacion]],tblEjecucion[id_operacion],tblEjecucion[precio],0))</f>
        <v/>
      </c>
      <c r="AJ487" s="10">
        <f>IF(tblOrdenes[[#This Row],[orden]]="","",MAX(0,_xlfn.XLOOKUP(tblOrdenes[[#This Row],[id_operacion]],tblEjecucion[id_operacion],tblEjecucion[costo_plan_total],0)-tblOrdenes[[#This Row],[costo_servicio]]))</f>
        <v/>
      </c>
      <c r="AK487" s="10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2">
        <f>IF(tblOrdenes[[#This Row],[fecha_inicio]]="","",TODAY()-tblOrdenes[[#This Row],[fecha_inicio]])</f>
        <v/>
      </c>
      <c r="AB4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0">
        <f>IF(tblOrdenes[[#This Row],[orden]]="","",_xlfn.XLOOKUP(tblOrdenes[[#This Row],[id_operacion]],tblEjecucion[id_operacion],tblEjecucion[precio],0))</f>
        <v/>
      </c>
      <c r="AJ488" s="10">
        <f>IF(tblOrdenes[[#This Row],[orden]]="","",MAX(0,_xlfn.XLOOKUP(tblOrdenes[[#This Row],[id_operacion]],tblEjecucion[id_operacion],tblEjecucion[costo_plan_total],0)-tblOrdenes[[#This Row],[costo_servicio]]))</f>
        <v/>
      </c>
      <c r="AK488" s="10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2">
        <f>IF(tblOrdenes[[#This Row],[fecha_inicio]]="","",TODAY()-tblOrdenes[[#This Row],[fecha_inicio]])</f>
        <v/>
      </c>
      <c r="AB4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0">
        <f>IF(tblOrdenes[[#This Row],[orden]]="","",_xlfn.XLOOKUP(tblOrdenes[[#This Row],[id_operacion]],tblEjecucion[id_operacion],tblEjecucion[precio],0))</f>
        <v/>
      </c>
      <c r="AJ489" s="10">
        <f>IF(tblOrdenes[[#This Row],[orden]]="","",MAX(0,_xlfn.XLOOKUP(tblOrdenes[[#This Row],[id_operacion]],tblEjecucion[id_operacion],tblEjecucion[costo_plan_total],0)-tblOrdenes[[#This Row],[costo_servicio]]))</f>
        <v/>
      </c>
      <c r="AK489" s="10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2">
        <f>IF(tblOrdenes[[#This Row],[fecha_inicio]]="","",TODAY()-tblOrdenes[[#This Row],[fecha_inicio]])</f>
        <v/>
      </c>
      <c r="AB4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0">
        <f>IF(tblOrdenes[[#This Row],[orden]]="","",_xlfn.XLOOKUP(tblOrdenes[[#This Row],[id_operacion]],tblEjecucion[id_operacion],tblEjecucion[precio],0))</f>
        <v/>
      </c>
      <c r="AJ490" s="10">
        <f>IF(tblOrdenes[[#This Row],[orden]]="","",MAX(0,_xlfn.XLOOKUP(tblOrdenes[[#This Row],[id_operacion]],tblEjecucion[id_operacion],tblEjecucion[costo_plan_total],0)-tblOrdenes[[#This Row],[costo_servicio]]))</f>
        <v/>
      </c>
      <c r="AK490" s="10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2">
        <f>IF(tblOrdenes[[#This Row],[fecha_inicio]]="","",TODAY()-tblOrdenes[[#This Row],[fecha_inicio]])</f>
        <v/>
      </c>
      <c r="AB4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0">
        <f>IF(tblOrdenes[[#This Row],[orden]]="","",_xlfn.XLOOKUP(tblOrdenes[[#This Row],[id_operacion]],tblEjecucion[id_operacion],tblEjecucion[precio],0))</f>
        <v/>
      </c>
      <c r="AJ491" s="10">
        <f>IF(tblOrdenes[[#This Row],[orden]]="","",MAX(0,_xlfn.XLOOKUP(tblOrdenes[[#This Row],[id_operacion]],tblEjecucion[id_operacion],tblEjecucion[costo_plan_total],0)-tblOrdenes[[#This Row],[costo_servicio]]))</f>
        <v/>
      </c>
      <c r="AK491" s="10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2">
        <f>IF(tblOrdenes[[#This Row],[fecha_inicio]]="","",TODAY()-tblOrdenes[[#This Row],[fecha_inicio]])</f>
        <v/>
      </c>
      <c r="AB4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0">
        <f>IF(tblOrdenes[[#This Row],[orden]]="","",_xlfn.XLOOKUP(tblOrdenes[[#This Row],[id_operacion]],tblEjecucion[id_operacion],tblEjecucion[precio],0))</f>
        <v/>
      </c>
      <c r="AJ492" s="10">
        <f>IF(tblOrdenes[[#This Row],[orden]]="","",MAX(0,_xlfn.XLOOKUP(tblOrdenes[[#This Row],[id_operacion]],tblEjecucion[id_operacion],tblEjecucion[costo_plan_total],0)-tblOrdenes[[#This Row],[costo_servicio]]))</f>
        <v/>
      </c>
      <c r="AK492" s="10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2">
        <f>IF(tblOrdenes[[#This Row],[fecha_inicio]]="","",TODAY()-tblOrdenes[[#This Row],[fecha_inicio]])</f>
        <v/>
      </c>
      <c r="AB4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0">
        <f>IF(tblOrdenes[[#This Row],[orden]]="","",_xlfn.XLOOKUP(tblOrdenes[[#This Row],[id_operacion]],tblEjecucion[id_operacion],tblEjecucion[precio],0))</f>
        <v/>
      </c>
      <c r="AJ493" s="10">
        <f>IF(tblOrdenes[[#This Row],[orden]]="","",MAX(0,_xlfn.XLOOKUP(tblOrdenes[[#This Row],[id_operacion]],tblEjecucion[id_operacion],tblEjecucion[costo_plan_total],0)-tblOrdenes[[#This Row],[costo_servicio]]))</f>
        <v/>
      </c>
      <c r="AK493" s="10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2">
        <f>IF(tblOrdenes[[#This Row],[fecha_inicio]]="","",TODAY()-tblOrdenes[[#This Row],[fecha_inicio]])</f>
        <v/>
      </c>
      <c r="AB4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0">
        <f>IF(tblOrdenes[[#This Row],[orden]]="","",_xlfn.XLOOKUP(tblOrdenes[[#This Row],[id_operacion]],tblEjecucion[id_operacion],tblEjecucion[precio],0))</f>
        <v/>
      </c>
      <c r="AJ494" s="10">
        <f>IF(tblOrdenes[[#This Row],[orden]]="","",MAX(0,_xlfn.XLOOKUP(tblOrdenes[[#This Row],[id_operacion]],tblEjecucion[id_operacion],tblEjecucion[costo_plan_total],0)-tblOrdenes[[#This Row],[costo_servicio]]))</f>
        <v/>
      </c>
      <c r="AK494" s="10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2">
        <f>IF(tblOrdenes[[#This Row],[fecha_inicio]]="","",TODAY()-tblOrdenes[[#This Row],[fecha_inicio]])</f>
        <v/>
      </c>
      <c r="AB4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0">
        <f>IF(tblOrdenes[[#This Row],[orden]]="","",_xlfn.XLOOKUP(tblOrdenes[[#This Row],[id_operacion]],tblEjecucion[id_operacion],tblEjecucion[precio],0))</f>
        <v/>
      </c>
      <c r="AJ495" s="10">
        <f>IF(tblOrdenes[[#This Row],[orden]]="","",MAX(0,_xlfn.XLOOKUP(tblOrdenes[[#This Row],[id_operacion]],tblEjecucion[id_operacion],tblEjecucion[costo_plan_total],0)-tblOrdenes[[#This Row],[costo_servicio]]))</f>
        <v/>
      </c>
      <c r="AK495" s="10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2">
        <f>IF(tblOrdenes[[#This Row],[fecha_inicio]]="","",TODAY()-tblOrdenes[[#This Row],[fecha_inicio]])</f>
        <v/>
      </c>
      <c r="AB4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0">
        <f>IF(tblOrdenes[[#This Row],[orden]]="","",_xlfn.XLOOKUP(tblOrdenes[[#This Row],[id_operacion]],tblEjecucion[id_operacion],tblEjecucion[precio],0))</f>
        <v/>
      </c>
      <c r="AJ496" s="10">
        <f>IF(tblOrdenes[[#This Row],[orden]]="","",MAX(0,_xlfn.XLOOKUP(tblOrdenes[[#This Row],[id_operacion]],tblEjecucion[id_operacion],tblEjecucion[costo_plan_total],0)-tblOrdenes[[#This Row],[costo_servicio]]))</f>
        <v/>
      </c>
      <c r="AK496" s="10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2">
        <f>IF(tblOrdenes[[#This Row],[fecha_inicio]]="","",TODAY()-tblOrdenes[[#This Row],[fecha_inicio]])</f>
        <v/>
      </c>
      <c r="AB4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0">
        <f>IF(tblOrdenes[[#This Row],[orden]]="","",_xlfn.XLOOKUP(tblOrdenes[[#This Row],[id_operacion]],tblEjecucion[id_operacion],tblEjecucion[precio],0))</f>
        <v/>
      </c>
      <c r="AJ497" s="10">
        <f>IF(tblOrdenes[[#This Row],[orden]]="","",MAX(0,_xlfn.XLOOKUP(tblOrdenes[[#This Row],[id_operacion]],tblEjecucion[id_operacion],tblEjecucion[costo_plan_total],0)-tblOrdenes[[#This Row],[costo_servicio]]))</f>
        <v/>
      </c>
      <c r="AK497" s="10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2">
        <f>IF(tblOrdenes[[#This Row],[fecha_inicio]]="","",TODAY()-tblOrdenes[[#This Row],[fecha_inicio]])</f>
        <v/>
      </c>
      <c r="AB4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0">
        <f>IF(tblOrdenes[[#This Row],[orden]]="","",_xlfn.XLOOKUP(tblOrdenes[[#This Row],[id_operacion]],tblEjecucion[id_operacion],tblEjecucion[precio],0))</f>
        <v/>
      </c>
      <c r="AJ498" s="10">
        <f>IF(tblOrdenes[[#This Row],[orden]]="","",MAX(0,_xlfn.XLOOKUP(tblOrdenes[[#This Row],[id_operacion]],tblEjecucion[id_operacion],tblEjecucion[costo_plan_total],0)-tblOrdenes[[#This Row],[costo_servicio]]))</f>
        <v/>
      </c>
      <c r="AK498" s="10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2">
        <f>IF(tblOrdenes[[#This Row],[fecha_inicio]]="","",TODAY()-tblOrdenes[[#This Row],[fecha_inicio]])</f>
        <v/>
      </c>
      <c r="AB4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0">
        <f>IF(tblOrdenes[[#This Row],[orden]]="","",_xlfn.XLOOKUP(tblOrdenes[[#This Row],[id_operacion]],tblEjecucion[id_operacion],tblEjecucion[precio],0))</f>
        <v/>
      </c>
      <c r="AJ499" s="10">
        <f>IF(tblOrdenes[[#This Row],[orden]]="","",MAX(0,_xlfn.XLOOKUP(tblOrdenes[[#This Row],[id_operacion]],tblEjecucion[id_operacion],tblEjecucion[costo_plan_total],0)-tblOrdenes[[#This Row],[costo_servicio]]))</f>
        <v/>
      </c>
      <c r="AK499" s="10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2">
        <f>IF(tblOrdenes[[#This Row],[fecha_inicio]]="","",TODAY()-tblOrdenes[[#This Row],[fecha_inicio]])</f>
        <v/>
      </c>
      <c r="AB5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0">
        <f>IF(tblOrdenes[[#This Row],[orden]]="","",_xlfn.XLOOKUP(tblOrdenes[[#This Row],[id_operacion]],tblEjecucion[id_operacion],tblEjecucion[precio],0))</f>
        <v/>
      </c>
      <c r="AJ500" s="10">
        <f>IF(tblOrdenes[[#This Row],[orden]]="","",MAX(0,_xlfn.XLOOKUP(tblOrdenes[[#This Row],[id_operacion]],tblEjecucion[id_operacion],tblEjecucion[costo_plan_total],0)-tblOrdenes[[#This Row],[costo_servicio]]))</f>
        <v/>
      </c>
      <c r="AK500" s="10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2">
        <f>IF(tblOrdenes[[#This Row],[fecha_inicio]]="","",TODAY()-tblOrdenes[[#This Row],[fecha_inicio]])</f>
        <v/>
      </c>
      <c r="AB5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0">
        <f>IF(tblOrdenes[[#This Row],[orden]]="","",_xlfn.XLOOKUP(tblOrdenes[[#This Row],[id_operacion]],tblEjecucion[id_operacion],tblEjecucion[precio],0))</f>
        <v/>
      </c>
      <c r="AJ501" s="10">
        <f>IF(tblOrdenes[[#This Row],[orden]]="","",MAX(0,_xlfn.XLOOKUP(tblOrdenes[[#This Row],[id_operacion]],tblEjecucion[id_operacion],tblEjecucion[costo_plan_total],0)-tblOrdenes[[#This Row],[costo_servicio]]))</f>
        <v/>
      </c>
      <c r="AK501" s="10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2">
        <f>IF(tblOrdenes[[#This Row],[fecha_inicio]]="","",TODAY()-tblOrdenes[[#This Row],[fecha_inicio]])</f>
        <v/>
      </c>
      <c r="AB5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0">
        <f>IF(tblOrdenes[[#This Row],[orden]]="","",_xlfn.XLOOKUP(tblOrdenes[[#This Row],[id_operacion]],tblEjecucion[id_operacion],tblEjecucion[precio],0))</f>
        <v/>
      </c>
      <c r="AJ502" s="10">
        <f>IF(tblOrdenes[[#This Row],[orden]]="","",MAX(0,_xlfn.XLOOKUP(tblOrdenes[[#This Row],[id_operacion]],tblEjecucion[id_operacion],tblEjecucion[costo_plan_total],0)-tblOrdenes[[#This Row],[costo_servicio]]))</f>
        <v/>
      </c>
      <c r="AK502" s="10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2">
        <f>IF(tblOrdenes[[#This Row],[fecha_inicio]]="","",TODAY()-tblOrdenes[[#This Row],[fecha_inicio]])</f>
        <v/>
      </c>
      <c r="AB5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0">
        <f>IF(tblOrdenes[[#This Row],[orden]]="","",_xlfn.XLOOKUP(tblOrdenes[[#This Row],[id_operacion]],tblEjecucion[id_operacion],tblEjecucion[precio],0))</f>
        <v/>
      </c>
      <c r="AJ503" s="10">
        <f>IF(tblOrdenes[[#This Row],[orden]]="","",MAX(0,_xlfn.XLOOKUP(tblOrdenes[[#This Row],[id_operacion]],tblEjecucion[id_operacion],tblEjecucion[costo_plan_total],0)-tblOrdenes[[#This Row],[costo_servicio]]))</f>
        <v/>
      </c>
      <c r="AK503" s="10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2">
        <f>IF(tblOrdenes[[#This Row],[fecha_inicio]]="","",TODAY()-tblOrdenes[[#This Row],[fecha_inicio]])</f>
        <v/>
      </c>
      <c r="AB5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0">
        <f>IF(tblOrdenes[[#This Row],[orden]]="","",_xlfn.XLOOKUP(tblOrdenes[[#This Row],[id_operacion]],tblEjecucion[id_operacion],tblEjecucion[precio],0))</f>
        <v/>
      </c>
      <c r="AJ504" s="10">
        <f>IF(tblOrdenes[[#This Row],[orden]]="","",MAX(0,_xlfn.XLOOKUP(tblOrdenes[[#This Row],[id_operacion]],tblEjecucion[id_operacion],tblEjecucion[costo_plan_total],0)-tblOrdenes[[#This Row],[costo_servicio]]))</f>
        <v/>
      </c>
      <c r="AK504" s="10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2">
        <f>IF(tblOrdenes[[#This Row],[fecha_inicio]]="","",TODAY()-tblOrdenes[[#This Row],[fecha_inicio]])</f>
        <v/>
      </c>
      <c r="AB5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0">
        <f>IF(tblOrdenes[[#This Row],[orden]]="","",_xlfn.XLOOKUP(tblOrdenes[[#This Row],[id_operacion]],tblEjecucion[id_operacion],tblEjecucion[precio],0))</f>
        <v/>
      </c>
      <c r="AJ505" s="10">
        <f>IF(tblOrdenes[[#This Row],[orden]]="","",MAX(0,_xlfn.XLOOKUP(tblOrdenes[[#This Row],[id_operacion]],tblEjecucion[id_operacion],tblEjecucion[costo_plan_total],0)-tblOrdenes[[#This Row],[costo_servicio]]))</f>
        <v/>
      </c>
      <c r="AK505" s="10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2">
        <f>IF(tblOrdenes[[#This Row],[fecha_inicio]]="","",TODAY()-tblOrdenes[[#This Row],[fecha_inicio]])</f>
        <v/>
      </c>
      <c r="AB5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0">
        <f>IF(tblOrdenes[[#This Row],[orden]]="","",_xlfn.XLOOKUP(tblOrdenes[[#This Row],[id_operacion]],tblEjecucion[id_operacion],tblEjecucion[precio],0))</f>
        <v/>
      </c>
      <c r="AJ506" s="10">
        <f>IF(tblOrdenes[[#This Row],[orden]]="","",MAX(0,_xlfn.XLOOKUP(tblOrdenes[[#This Row],[id_operacion]],tblEjecucion[id_operacion],tblEjecucion[costo_plan_total],0)-tblOrdenes[[#This Row],[costo_servicio]]))</f>
        <v/>
      </c>
      <c r="AK506" s="10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2">
        <f>IF(tblOrdenes[[#This Row],[fecha_inicio]]="","",TODAY()-tblOrdenes[[#This Row],[fecha_inicio]])</f>
        <v/>
      </c>
      <c r="AB5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0">
        <f>IF(tblOrdenes[[#This Row],[orden]]="","",_xlfn.XLOOKUP(tblOrdenes[[#This Row],[id_operacion]],tblEjecucion[id_operacion],tblEjecucion[precio],0))</f>
        <v/>
      </c>
      <c r="AJ507" s="10">
        <f>IF(tblOrdenes[[#This Row],[orden]]="","",MAX(0,_xlfn.XLOOKUP(tblOrdenes[[#This Row],[id_operacion]],tblEjecucion[id_operacion],tblEjecucion[costo_plan_total],0)-tblOrdenes[[#This Row],[costo_servicio]]))</f>
        <v/>
      </c>
      <c r="AK507" s="10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2">
        <f>IF(tblOrdenes[[#This Row],[fecha_inicio]]="","",TODAY()-tblOrdenes[[#This Row],[fecha_inicio]])</f>
        <v/>
      </c>
      <c r="AB5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0">
        <f>IF(tblOrdenes[[#This Row],[orden]]="","",_xlfn.XLOOKUP(tblOrdenes[[#This Row],[id_operacion]],tblEjecucion[id_operacion],tblEjecucion[precio],0))</f>
        <v/>
      </c>
      <c r="AJ508" s="10">
        <f>IF(tblOrdenes[[#This Row],[orden]]="","",MAX(0,_xlfn.XLOOKUP(tblOrdenes[[#This Row],[id_operacion]],tblEjecucion[id_operacion],tblEjecucion[costo_plan_total],0)-tblOrdenes[[#This Row],[costo_servicio]]))</f>
        <v/>
      </c>
      <c r="AK508" s="10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2">
        <f>IF(tblOrdenes[[#This Row],[fecha_inicio]]="","",TODAY()-tblOrdenes[[#This Row],[fecha_inicio]])</f>
        <v/>
      </c>
      <c r="AB5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0">
        <f>IF(tblOrdenes[[#This Row],[orden]]="","",_xlfn.XLOOKUP(tblOrdenes[[#This Row],[id_operacion]],tblEjecucion[id_operacion],tblEjecucion[precio],0))</f>
        <v/>
      </c>
      <c r="AJ509" s="10">
        <f>IF(tblOrdenes[[#This Row],[orden]]="","",MAX(0,_xlfn.XLOOKUP(tblOrdenes[[#This Row],[id_operacion]],tblEjecucion[id_operacion],tblEjecucion[costo_plan_total],0)-tblOrdenes[[#This Row],[costo_servicio]]))</f>
        <v/>
      </c>
      <c r="AK509" s="10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2">
        <f>IF(tblOrdenes[[#This Row],[fecha_inicio]]="","",TODAY()-tblOrdenes[[#This Row],[fecha_inicio]])</f>
        <v/>
      </c>
      <c r="AB5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0">
        <f>IF(tblOrdenes[[#This Row],[orden]]="","",_xlfn.XLOOKUP(tblOrdenes[[#This Row],[id_operacion]],tblEjecucion[id_operacion],tblEjecucion[precio],0))</f>
        <v/>
      </c>
      <c r="AJ510" s="10">
        <f>IF(tblOrdenes[[#This Row],[orden]]="","",MAX(0,_xlfn.XLOOKUP(tblOrdenes[[#This Row],[id_operacion]],tblEjecucion[id_operacion],tblEjecucion[costo_plan_total],0)-tblOrdenes[[#This Row],[costo_servicio]]))</f>
        <v/>
      </c>
      <c r="AK510" s="10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2">
        <f>IF(tblOrdenes[[#This Row],[fecha_inicio]]="","",TODAY()-tblOrdenes[[#This Row],[fecha_inicio]])</f>
        <v/>
      </c>
      <c r="AB5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0">
        <f>IF(tblOrdenes[[#This Row],[orden]]="","",_xlfn.XLOOKUP(tblOrdenes[[#This Row],[id_operacion]],tblEjecucion[id_operacion],tblEjecucion[precio],0))</f>
        <v/>
      </c>
      <c r="AJ511" s="10">
        <f>IF(tblOrdenes[[#This Row],[orden]]="","",MAX(0,_xlfn.XLOOKUP(tblOrdenes[[#This Row],[id_operacion]],tblEjecucion[id_operacion],tblEjecucion[costo_plan_total],0)-tblOrdenes[[#This Row],[costo_servicio]]))</f>
        <v/>
      </c>
      <c r="AK511" s="10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2">
        <f>IF(tblOrdenes[[#This Row],[fecha_inicio]]="","",TODAY()-tblOrdenes[[#This Row],[fecha_inicio]])</f>
        <v/>
      </c>
      <c r="AB5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0">
        <f>IF(tblOrdenes[[#This Row],[orden]]="","",_xlfn.XLOOKUP(tblOrdenes[[#This Row],[id_operacion]],tblEjecucion[id_operacion],tblEjecucion[precio],0))</f>
        <v/>
      </c>
      <c r="AJ512" s="10">
        <f>IF(tblOrdenes[[#This Row],[orden]]="","",MAX(0,_xlfn.XLOOKUP(tblOrdenes[[#This Row],[id_operacion]],tblEjecucion[id_operacion],tblEjecucion[costo_plan_total],0)-tblOrdenes[[#This Row],[costo_servicio]]))</f>
        <v/>
      </c>
      <c r="AK512" s="10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2">
        <f>IF(tblOrdenes[[#This Row],[fecha_inicio]]="","",TODAY()-tblOrdenes[[#This Row],[fecha_inicio]])</f>
        <v/>
      </c>
      <c r="AB5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0">
        <f>IF(tblOrdenes[[#This Row],[orden]]="","",_xlfn.XLOOKUP(tblOrdenes[[#This Row],[id_operacion]],tblEjecucion[id_operacion],tblEjecucion[precio],0))</f>
        <v/>
      </c>
      <c r="AJ513" s="10">
        <f>IF(tblOrdenes[[#This Row],[orden]]="","",MAX(0,_xlfn.XLOOKUP(tblOrdenes[[#This Row],[id_operacion]],tblEjecucion[id_operacion],tblEjecucion[costo_plan_total],0)-tblOrdenes[[#This Row],[costo_servicio]]))</f>
        <v/>
      </c>
      <c r="AK513" s="10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2">
        <f>IF(tblOrdenes[[#This Row],[fecha_inicio]]="","",TODAY()-tblOrdenes[[#This Row],[fecha_inicio]])</f>
        <v/>
      </c>
      <c r="AB5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0">
        <f>IF(tblOrdenes[[#This Row],[orden]]="","",_xlfn.XLOOKUP(tblOrdenes[[#This Row],[id_operacion]],tblEjecucion[id_operacion],tblEjecucion[precio],0))</f>
        <v/>
      </c>
      <c r="AJ514" s="10">
        <f>IF(tblOrdenes[[#This Row],[orden]]="","",MAX(0,_xlfn.XLOOKUP(tblOrdenes[[#This Row],[id_operacion]],tblEjecucion[id_operacion],tblEjecucion[costo_plan_total],0)-tblOrdenes[[#This Row],[costo_servicio]]))</f>
        <v/>
      </c>
      <c r="AK514" s="10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2">
        <f>IF(tblOrdenes[[#This Row],[fecha_inicio]]="","",TODAY()-tblOrdenes[[#This Row],[fecha_inicio]])</f>
        <v/>
      </c>
      <c r="AB5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0">
        <f>IF(tblOrdenes[[#This Row],[orden]]="","",_xlfn.XLOOKUP(tblOrdenes[[#This Row],[id_operacion]],tblEjecucion[id_operacion],tblEjecucion[precio],0))</f>
        <v/>
      </c>
      <c r="AJ515" s="10">
        <f>IF(tblOrdenes[[#This Row],[orden]]="","",MAX(0,_xlfn.XLOOKUP(tblOrdenes[[#This Row],[id_operacion]],tblEjecucion[id_operacion],tblEjecucion[costo_plan_total],0)-tblOrdenes[[#This Row],[costo_servicio]]))</f>
        <v/>
      </c>
      <c r="AK515" s="10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2">
        <f>IF(tblOrdenes[[#This Row],[fecha_inicio]]="","",TODAY()-tblOrdenes[[#This Row],[fecha_inicio]])</f>
        <v/>
      </c>
      <c r="AB5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0">
        <f>IF(tblOrdenes[[#This Row],[orden]]="","",_xlfn.XLOOKUP(tblOrdenes[[#This Row],[id_operacion]],tblEjecucion[id_operacion],tblEjecucion[precio],0))</f>
        <v/>
      </c>
      <c r="AJ516" s="10">
        <f>IF(tblOrdenes[[#This Row],[orden]]="","",MAX(0,_xlfn.XLOOKUP(tblOrdenes[[#This Row],[id_operacion]],tblEjecucion[id_operacion],tblEjecucion[costo_plan_total],0)-tblOrdenes[[#This Row],[costo_servicio]]))</f>
        <v/>
      </c>
      <c r="AK516" s="10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2">
        <f>IF(tblOrdenes[[#This Row],[fecha_inicio]]="","",TODAY()-tblOrdenes[[#This Row],[fecha_inicio]])</f>
        <v/>
      </c>
      <c r="AB5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0">
        <f>IF(tblOrdenes[[#This Row],[orden]]="","",_xlfn.XLOOKUP(tblOrdenes[[#This Row],[id_operacion]],tblEjecucion[id_operacion],tblEjecucion[precio],0))</f>
        <v/>
      </c>
      <c r="AJ517" s="10">
        <f>IF(tblOrdenes[[#This Row],[orden]]="","",MAX(0,_xlfn.XLOOKUP(tblOrdenes[[#This Row],[id_operacion]],tblEjecucion[id_operacion],tblEjecucion[costo_plan_total],0)-tblOrdenes[[#This Row],[costo_servicio]]))</f>
        <v/>
      </c>
      <c r="AK517" s="10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2">
        <f>IF(tblOrdenes[[#This Row],[fecha_inicio]]="","",TODAY()-tblOrdenes[[#This Row],[fecha_inicio]])</f>
        <v/>
      </c>
      <c r="AB5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0">
        <f>IF(tblOrdenes[[#This Row],[orden]]="","",_xlfn.XLOOKUP(tblOrdenes[[#This Row],[id_operacion]],tblEjecucion[id_operacion],tblEjecucion[precio],0))</f>
        <v/>
      </c>
      <c r="AJ518" s="10">
        <f>IF(tblOrdenes[[#This Row],[orden]]="","",MAX(0,_xlfn.XLOOKUP(tblOrdenes[[#This Row],[id_operacion]],tblEjecucion[id_operacion],tblEjecucion[costo_plan_total],0)-tblOrdenes[[#This Row],[costo_servicio]]))</f>
        <v/>
      </c>
      <c r="AK518" s="10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2">
        <f>IF(tblOrdenes[[#This Row],[fecha_inicio]]="","",TODAY()-tblOrdenes[[#This Row],[fecha_inicio]])</f>
        <v/>
      </c>
      <c r="AB5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0">
        <f>IF(tblOrdenes[[#This Row],[orden]]="","",_xlfn.XLOOKUP(tblOrdenes[[#This Row],[id_operacion]],tblEjecucion[id_operacion],tblEjecucion[precio],0))</f>
        <v/>
      </c>
      <c r="AJ519" s="10">
        <f>IF(tblOrdenes[[#This Row],[orden]]="","",MAX(0,_xlfn.XLOOKUP(tblOrdenes[[#This Row],[id_operacion]],tblEjecucion[id_operacion],tblEjecucion[costo_plan_total],0)-tblOrdenes[[#This Row],[costo_servicio]]))</f>
        <v/>
      </c>
      <c r="AK519" s="10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2">
        <f>IF(tblOrdenes[[#This Row],[fecha_inicio]]="","",TODAY()-tblOrdenes[[#This Row],[fecha_inicio]])</f>
        <v/>
      </c>
      <c r="AB5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0">
        <f>IF(tblOrdenes[[#This Row],[orden]]="","",_xlfn.XLOOKUP(tblOrdenes[[#This Row],[id_operacion]],tblEjecucion[id_operacion],tblEjecucion[precio],0))</f>
        <v/>
      </c>
      <c r="AJ520" s="10">
        <f>IF(tblOrdenes[[#This Row],[orden]]="","",MAX(0,_xlfn.XLOOKUP(tblOrdenes[[#This Row],[id_operacion]],tblEjecucion[id_operacion],tblEjecucion[costo_plan_total],0)-tblOrdenes[[#This Row],[costo_servicio]]))</f>
        <v/>
      </c>
      <c r="AK520" s="10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2">
        <f>IF(tblOrdenes[[#This Row],[fecha_inicio]]="","",TODAY()-tblOrdenes[[#This Row],[fecha_inicio]])</f>
        <v/>
      </c>
      <c r="AB5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0">
        <f>IF(tblOrdenes[[#This Row],[orden]]="","",_xlfn.XLOOKUP(tblOrdenes[[#This Row],[id_operacion]],tblEjecucion[id_operacion],tblEjecucion[precio],0))</f>
        <v/>
      </c>
      <c r="AJ521" s="10">
        <f>IF(tblOrdenes[[#This Row],[orden]]="","",MAX(0,_xlfn.XLOOKUP(tblOrdenes[[#This Row],[id_operacion]],tblEjecucion[id_operacion],tblEjecucion[costo_plan_total],0)-tblOrdenes[[#This Row],[costo_servicio]]))</f>
        <v/>
      </c>
      <c r="AK521" s="10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2">
        <f>IF(tblOrdenes[[#This Row],[fecha_inicio]]="","",TODAY()-tblOrdenes[[#This Row],[fecha_inicio]])</f>
        <v/>
      </c>
      <c r="AB5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0">
        <f>IF(tblOrdenes[[#This Row],[orden]]="","",_xlfn.XLOOKUP(tblOrdenes[[#This Row],[id_operacion]],tblEjecucion[id_operacion],tblEjecucion[precio],0))</f>
        <v/>
      </c>
      <c r="AJ522" s="10">
        <f>IF(tblOrdenes[[#This Row],[orden]]="","",MAX(0,_xlfn.XLOOKUP(tblOrdenes[[#This Row],[id_operacion]],tblEjecucion[id_operacion],tblEjecucion[costo_plan_total],0)-tblOrdenes[[#This Row],[costo_servicio]]))</f>
        <v/>
      </c>
      <c r="AK522" s="10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2">
        <f>IF(tblOrdenes[[#This Row],[fecha_inicio]]="","",TODAY()-tblOrdenes[[#This Row],[fecha_inicio]])</f>
        <v/>
      </c>
      <c r="AB5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0">
        <f>IF(tblOrdenes[[#This Row],[orden]]="","",_xlfn.XLOOKUP(tblOrdenes[[#This Row],[id_operacion]],tblEjecucion[id_operacion],tblEjecucion[precio],0))</f>
        <v/>
      </c>
      <c r="AJ523" s="10">
        <f>IF(tblOrdenes[[#This Row],[orden]]="","",MAX(0,_xlfn.XLOOKUP(tblOrdenes[[#This Row],[id_operacion]],tblEjecucion[id_operacion],tblEjecucion[costo_plan_total],0)-tblOrdenes[[#This Row],[costo_servicio]]))</f>
        <v/>
      </c>
      <c r="AK523" s="10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2">
        <f>IF(tblOrdenes[[#This Row],[fecha_inicio]]="","",TODAY()-tblOrdenes[[#This Row],[fecha_inicio]])</f>
        <v/>
      </c>
      <c r="AB5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0">
        <f>IF(tblOrdenes[[#This Row],[orden]]="","",_xlfn.XLOOKUP(tblOrdenes[[#This Row],[id_operacion]],tblEjecucion[id_operacion],tblEjecucion[precio],0))</f>
        <v/>
      </c>
      <c r="AJ524" s="10">
        <f>IF(tblOrdenes[[#This Row],[orden]]="","",MAX(0,_xlfn.XLOOKUP(tblOrdenes[[#This Row],[id_operacion]],tblEjecucion[id_operacion],tblEjecucion[costo_plan_total],0)-tblOrdenes[[#This Row],[costo_servicio]]))</f>
        <v/>
      </c>
      <c r="AK524" s="10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2">
        <f>IF(tblOrdenes[[#This Row],[fecha_inicio]]="","",TODAY()-tblOrdenes[[#This Row],[fecha_inicio]])</f>
        <v/>
      </c>
      <c r="AB5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0">
        <f>IF(tblOrdenes[[#This Row],[orden]]="","",_xlfn.XLOOKUP(tblOrdenes[[#This Row],[id_operacion]],tblEjecucion[id_operacion],tblEjecucion[precio],0))</f>
        <v/>
      </c>
      <c r="AJ525" s="10">
        <f>IF(tblOrdenes[[#This Row],[orden]]="","",MAX(0,_xlfn.XLOOKUP(tblOrdenes[[#This Row],[id_operacion]],tblEjecucion[id_operacion],tblEjecucion[costo_plan_total],0)-tblOrdenes[[#This Row],[costo_servicio]]))</f>
        <v/>
      </c>
      <c r="AK525" s="10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2">
        <f>IF(tblOrdenes[[#This Row],[fecha_inicio]]="","",TODAY()-tblOrdenes[[#This Row],[fecha_inicio]])</f>
        <v/>
      </c>
      <c r="AB5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0">
        <f>IF(tblOrdenes[[#This Row],[orden]]="","",_xlfn.XLOOKUP(tblOrdenes[[#This Row],[id_operacion]],tblEjecucion[id_operacion],tblEjecucion[precio],0))</f>
        <v/>
      </c>
      <c r="AJ526" s="10">
        <f>IF(tblOrdenes[[#This Row],[orden]]="","",MAX(0,_xlfn.XLOOKUP(tblOrdenes[[#This Row],[id_operacion]],tblEjecucion[id_operacion],tblEjecucion[costo_plan_total],0)-tblOrdenes[[#This Row],[costo_servicio]]))</f>
        <v/>
      </c>
      <c r="AK526" s="10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2">
        <f>IF(tblOrdenes[[#This Row],[fecha_inicio]]="","",TODAY()-tblOrdenes[[#This Row],[fecha_inicio]])</f>
        <v/>
      </c>
      <c r="AB5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0">
        <f>IF(tblOrdenes[[#This Row],[orden]]="","",_xlfn.XLOOKUP(tblOrdenes[[#This Row],[id_operacion]],tblEjecucion[id_operacion],tblEjecucion[precio],0))</f>
        <v/>
      </c>
      <c r="AJ527" s="10">
        <f>IF(tblOrdenes[[#This Row],[orden]]="","",MAX(0,_xlfn.XLOOKUP(tblOrdenes[[#This Row],[id_operacion]],tblEjecucion[id_operacion],tblEjecucion[costo_plan_total],0)-tblOrdenes[[#This Row],[costo_servicio]]))</f>
        <v/>
      </c>
      <c r="AK527" s="10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2">
        <f>IF(tblOrdenes[[#This Row],[fecha_inicio]]="","",TODAY()-tblOrdenes[[#This Row],[fecha_inicio]])</f>
        <v/>
      </c>
      <c r="AB5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0">
        <f>IF(tblOrdenes[[#This Row],[orden]]="","",_xlfn.XLOOKUP(tblOrdenes[[#This Row],[id_operacion]],tblEjecucion[id_operacion],tblEjecucion[precio],0))</f>
        <v/>
      </c>
      <c r="AJ528" s="10">
        <f>IF(tblOrdenes[[#This Row],[orden]]="","",MAX(0,_xlfn.XLOOKUP(tblOrdenes[[#This Row],[id_operacion]],tblEjecucion[id_operacion],tblEjecucion[costo_plan_total],0)-tblOrdenes[[#This Row],[costo_servicio]]))</f>
        <v/>
      </c>
      <c r="AK528" s="10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2">
        <f>IF(tblOrdenes[[#This Row],[fecha_inicio]]="","",TODAY()-tblOrdenes[[#This Row],[fecha_inicio]])</f>
        <v/>
      </c>
      <c r="AB5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0">
        <f>IF(tblOrdenes[[#This Row],[orden]]="","",_xlfn.XLOOKUP(tblOrdenes[[#This Row],[id_operacion]],tblEjecucion[id_operacion],tblEjecucion[precio],0))</f>
        <v/>
      </c>
      <c r="AJ529" s="10">
        <f>IF(tblOrdenes[[#This Row],[orden]]="","",MAX(0,_xlfn.XLOOKUP(tblOrdenes[[#This Row],[id_operacion]],tblEjecucion[id_operacion],tblEjecucion[costo_plan_total],0)-tblOrdenes[[#This Row],[costo_servicio]]))</f>
        <v/>
      </c>
      <c r="AK529" s="10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2">
        <f>IF(tblOrdenes[[#This Row],[fecha_inicio]]="","",TODAY()-tblOrdenes[[#This Row],[fecha_inicio]])</f>
        <v/>
      </c>
      <c r="AB5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0">
        <f>IF(tblOrdenes[[#This Row],[orden]]="","",_xlfn.XLOOKUP(tblOrdenes[[#This Row],[id_operacion]],tblEjecucion[id_operacion],tblEjecucion[precio],0))</f>
        <v/>
      </c>
      <c r="AJ530" s="10">
        <f>IF(tblOrdenes[[#This Row],[orden]]="","",MAX(0,_xlfn.XLOOKUP(tblOrdenes[[#This Row],[id_operacion]],tblEjecucion[id_operacion],tblEjecucion[costo_plan_total],0)-tblOrdenes[[#This Row],[costo_servicio]]))</f>
        <v/>
      </c>
      <c r="AK530" s="10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2">
        <f>IF(tblOrdenes[[#This Row],[fecha_inicio]]="","",TODAY()-tblOrdenes[[#This Row],[fecha_inicio]])</f>
        <v/>
      </c>
      <c r="AB5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0">
        <f>IF(tblOrdenes[[#This Row],[orden]]="","",_xlfn.XLOOKUP(tblOrdenes[[#This Row],[id_operacion]],tblEjecucion[id_operacion],tblEjecucion[precio],0))</f>
        <v/>
      </c>
      <c r="AJ531" s="10">
        <f>IF(tblOrdenes[[#This Row],[orden]]="","",MAX(0,_xlfn.XLOOKUP(tblOrdenes[[#This Row],[id_operacion]],tblEjecucion[id_operacion],tblEjecucion[costo_plan_total],0)-tblOrdenes[[#This Row],[costo_servicio]]))</f>
        <v/>
      </c>
      <c r="AK531" s="10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2">
        <f>IF(tblOrdenes[[#This Row],[fecha_inicio]]="","",TODAY()-tblOrdenes[[#This Row],[fecha_inicio]])</f>
        <v/>
      </c>
      <c r="AB5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0">
        <f>IF(tblOrdenes[[#This Row],[orden]]="","",_xlfn.XLOOKUP(tblOrdenes[[#This Row],[id_operacion]],tblEjecucion[id_operacion],tblEjecucion[precio],0))</f>
        <v/>
      </c>
      <c r="AJ532" s="10">
        <f>IF(tblOrdenes[[#This Row],[orden]]="","",MAX(0,_xlfn.XLOOKUP(tblOrdenes[[#This Row],[id_operacion]],tblEjecucion[id_operacion],tblEjecucion[costo_plan_total],0)-tblOrdenes[[#This Row],[costo_servicio]]))</f>
        <v/>
      </c>
      <c r="AK532" s="10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2">
        <f>IF(tblOrdenes[[#This Row],[fecha_inicio]]="","",TODAY()-tblOrdenes[[#This Row],[fecha_inicio]])</f>
        <v/>
      </c>
      <c r="AB5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0">
        <f>IF(tblOrdenes[[#This Row],[orden]]="","",_xlfn.XLOOKUP(tblOrdenes[[#This Row],[id_operacion]],tblEjecucion[id_operacion],tblEjecucion[precio],0))</f>
        <v/>
      </c>
      <c r="AJ533" s="10">
        <f>IF(tblOrdenes[[#This Row],[orden]]="","",MAX(0,_xlfn.XLOOKUP(tblOrdenes[[#This Row],[id_operacion]],tblEjecucion[id_operacion],tblEjecucion[costo_plan_total],0)-tblOrdenes[[#This Row],[costo_servicio]]))</f>
        <v/>
      </c>
      <c r="AK533" s="10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2">
        <f>IF(tblOrdenes[[#This Row],[fecha_inicio]]="","",TODAY()-tblOrdenes[[#This Row],[fecha_inicio]])</f>
        <v/>
      </c>
      <c r="AB5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0">
        <f>IF(tblOrdenes[[#This Row],[orden]]="","",_xlfn.XLOOKUP(tblOrdenes[[#This Row],[id_operacion]],tblEjecucion[id_operacion],tblEjecucion[precio],0))</f>
        <v/>
      </c>
      <c r="AJ534" s="10">
        <f>IF(tblOrdenes[[#This Row],[orden]]="","",MAX(0,_xlfn.XLOOKUP(tblOrdenes[[#This Row],[id_operacion]],tblEjecucion[id_operacion],tblEjecucion[costo_plan_total],0)-tblOrdenes[[#This Row],[costo_servicio]]))</f>
        <v/>
      </c>
      <c r="AK534" s="10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2">
        <f>IF(tblOrdenes[[#This Row],[fecha_inicio]]="","",TODAY()-tblOrdenes[[#This Row],[fecha_inicio]])</f>
        <v/>
      </c>
      <c r="AB5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0">
        <f>IF(tblOrdenes[[#This Row],[orden]]="","",_xlfn.XLOOKUP(tblOrdenes[[#This Row],[id_operacion]],tblEjecucion[id_operacion],tblEjecucion[precio],0))</f>
        <v/>
      </c>
      <c r="AJ535" s="10">
        <f>IF(tblOrdenes[[#This Row],[orden]]="","",MAX(0,_xlfn.XLOOKUP(tblOrdenes[[#This Row],[id_operacion]],tblEjecucion[id_operacion],tblEjecucion[costo_plan_total],0)-tblOrdenes[[#This Row],[costo_servicio]]))</f>
        <v/>
      </c>
      <c r="AK535" s="10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2">
        <f>IF(tblOrdenes[[#This Row],[fecha_inicio]]="","",TODAY()-tblOrdenes[[#This Row],[fecha_inicio]])</f>
        <v/>
      </c>
      <c r="AB5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0">
        <f>IF(tblOrdenes[[#This Row],[orden]]="","",_xlfn.XLOOKUP(tblOrdenes[[#This Row],[id_operacion]],tblEjecucion[id_operacion],tblEjecucion[precio],0))</f>
        <v/>
      </c>
      <c r="AJ536" s="10">
        <f>IF(tblOrdenes[[#This Row],[orden]]="","",MAX(0,_xlfn.XLOOKUP(tblOrdenes[[#This Row],[id_operacion]],tblEjecucion[id_operacion],tblEjecucion[costo_plan_total],0)-tblOrdenes[[#This Row],[costo_servicio]]))</f>
        <v/>
      </c>
      <c r="AK536" s="10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2">
        <f>IF(tblOrdenes[[#This Row],[fecha_inicio]]="","",TODAY()-tblOrdenes[[#This Row],[fecha_inicio]])</f>
        <v/>
      </c>
      <c r="AB5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0">
        <f>IF(tblOrdenes[[#This Row],[orden]]="","",_xlfn.XLOOKUP(tblOrdenes[[#This Row],[id_operacion]],tblEjecucion[id_operacion],tblEjecucion[precio],0))</f>
        <v/>
      </c>
      <c r="AJ537" s="10">
        <f>IF(tblOrdenes[[#This Row],[orden]]="","",MAX(0,_xlfn.XLOOKUP(tblOrdenes[[#This Row],[id_operacion]],tblEjecucion[id_operacion],tblEjecucion[costo_plan_total],0)-tblOrdenes[[#This Row],[costo_servicio]]))</f>
        <v/>
      </c>
      <c r="AK537" s="10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2">
        <f>IF(tblOrdenes[[#This Row],[fecha_inicio]]="","",TODAY()-tblOrdenes[[#This Row],[fecha_inicio]])</f>
        <v/>
      </c>
      <c r="AB5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0">
        <f>IF(tblOrdenes[[#This Row],[orden]]="","",_xlfn.XLOOKUP(tblOrdenes[[#This Row],[id_operacion]],tblEjecucion[id_operacion],tblEjecucion[precio],0))</f>
        <v/>
      </c>
      <c r="AJ538" s="10">
        <f>IF(tblOrdenes[[#This Row],[orden]]="","",MAX(0,_xlfn.XLOOKUP(tblOrdenes[[#This Row],[id_operacion]],tblEjecucion[id_operacion],tblEjecucion[costo_plan_total],0)-tblOrdenes[[#This Row],[costo_servicio]]))</f>
        <v/>
      </c>
      <c r="AK538" s="10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2">
        <f>IF(tblOrdenes[[#This Row],[fecha_inicio]]="","",TODAY()-tblOrdenes[[#This Row],[fecha_inicio]])</f>
        <v/>
      </c>
      <c r="AB5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0">
        <f>IF(tblOrdenes[[#This Row],[orden]]="","",_xlfn.XLOOKUP(tblOrdenes[[#This Row],[id_operacion]],tblEjecucion[id_operacion],tblEjecucion[precio],0))</f>
        <v/>
      </c>
      <c r="AJ539" s="10">
        <f>IF(tblOrdenes[[#This Row],[orden]]="","",MAX(0,_xlfn.XLOOKUP(tblOrdenes[[#This Row],[id_operacion]],tblEjecucion[id_operacion],tblEjecucion[costo_plan_total],0)-tblOrdenes[[#This Row],[costo_servicio]]))</f>
        <v/>
      </c>
      <c r="AK539" s="10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2">
        <f>IF(tblOrdenes[[#This Row],[fecha_inicio]]="","",TODAY()-tblOrdenes[[#This Row],[fecha_inicio]])</f>
        <v/>
      </c>
      <c r="AB5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0">
        <f>IF(tblOrdenes[[#This Row],[orden]]="","",_xlfn.XLOOKUP(tblOrdenes[[#This Row],[id_operacion]],tblEjecucion[id_operacion],tblEjecucion[precio],0))</f>
        <v/>
      </c>
      <c r="AJ540" s="10">
        <f>IF(tblOrdenes[[#This Row],[orden]]="","",MAX(0,_xlfn.XLOOKUP(tblOrdenes[[#This Row],[id_operacion]],tblEjecucion[id_operacion],tblEjecucion[costo_plan_total],0)-tblOrdenes[[#This Row],[costo_servicio]]))</f>
        <v/>
      </c>
      <c r="AK540" s="10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2">
        <f>IF(tblOrdenes[[#This Row],[fecha_inicio]]="","",TODAY()-tblOrdenes[[#This Row],[fecha_inicio]])</f>
        <v/>
      </c>
      <c r="AB5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0">
        <f>IF(tblOrdenes[[#This Row],[orden]]="","",_xlfn.XLOOKUP(tblOrdenes[[#This Row],[id_operacion]],tblEjecucion[id_operacion],tblEjecucion[precio],0))</f>
        <v/>
      </c>
      <c r="AJ541" s="10">
        <f>IF(tblOrdenes[[#This Row],[orden]]="","",MAX(0,_xlfn.XLOOKUP(tblOrdenes[[#This Row],[id_operacion]],tblEjecucion[id_operacion],tblEjecucion[costo_plan_total],0)-tblOrdenes[[#This Row],[costo_servicio]]))</f>
        <v/>
      </c>
      <c r="AK541" s="10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2">
        <f>IF(tblOrdenes[[#This Row],[fecha_inicio]]="","",TODAY()-tblOrdenes[[#This Row],[fecha_inicio]])</f>
        <v/>
      </c>
      <c r="AB5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0">
        <f>IF(tblOrdenes[[#This Row],[orden]]="","",_xlfn.XLOOKUP(tblOrdenes[[#This Row],[id_operacion]],tblEjecucion[id_operacion],tblEjecucion[precio],0))</f>
        <v/>
      </c>
      <c r="AJ542" s="10">
        <f>IF(tblOrdenes[[#This Row],[orden]]="","",MAX(0,_xlfn.XLOOKUP(tblOrdenes[[#This Row],[id_operacion]],tblEjecucion[id_operacion],tblEjecucion[costo_plan_total],0)-tblOrdenes[[#This Row],[costo_servicio]]))</f>
        <v/>
      </c>
      <c r="AK542" s="10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2">
        <f>IF(tblOrdenes[[#This Row],[fecha_inicio]]="","",TODAY()-tblOrdenes[[#This Row],[fecha_inicio]])</f>
        <v/>
      </c>
      <c r="AB5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0">
        <f>IF(tblOrdenes[[#This Row],[orden]]="","",_xlfn.XLOOKUP(tblOrdenes[[#This Row],[id_operacion]],tblEjecucion[id_operacion],tblEjecucion[precio],0))</f>
        <v/>
      </c>
      <c r="AJ543" s="10">
        <f>IF(tblOrdenes[[#This Row],[orden]]="","",MAX(0,_xlfn.XLOOKUP(tblOrdenes[[#This Row],[id_operacion]],tblEjecucion[id_operacion],tblEjecucion[costo_plan_total],0)-tblOrdenes[[#This Row],[costo_servicio]]))</f>
        <v/>
      </c>
      <c r="AK543" s="10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2">
        <f>IF(tblOrdenes[[#This Row],[fecha_inicio]]="","",TODAY()-tblOrdenes[[#This Row],[fecha_inicio]])</f>
        <v/>
      </c>
      <c r="AB5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0">
        <f>IF(tblOrdenes[[#This Row],[orden]]="","",_xlfn.XLOOKUP(tblOrdenes[[#This Row],[id_operacion]],tblEjecucion[id_operacion],tblEjecucion[precio],0))</f>
        <v/>
      </c>
      <c r="AJ544" s="10">
        <f>IF(tblOrdenes[[#This Row],[orden]]="","",MAX(0,_xlfn.XLOOKUP(tblOrdenes[[#This Row],[id_operacion]],tblEjecucion[id_operacion],tblEjecucion[costo_plan_total],0)-tblOrdenes[[#This Row],[costo_servicio]]))</f>
        <v/>
      </c>
      <c r="AK544" s="10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2">
        <f>IF(tblOrdenes[[#This Row],[fecha_inicio]]="","",TODAY()-tblOrdenes[[#This Row],[fecha_inicio]])</f>
        <v/>
      </c>
      <c r="AB5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0">
        <f>IF(tblOrdenes[[#This Row],[orden]]="","",_xlfn.XLOOKUP(tblOrdenes[[#This Row],[id_operacion]],tblEjecucion[id_operacion],tblEjecucion[precio],0))</f>
        <v/>
      </c>
      <c r="AJ545" s="10">
        <f>IF(tblOrdenes[[#This Row],[orden]]="","",MAX(0,_xlfn.XLOOKUP(tblOrdenes[[#This Row],[id_operacion]],tblEjecucion[id_operacion],tblEjecucion[costo_plan_total],0)-tblOrdenes[[#This Row],[costo_servicio]]))</f>
        <v/>
      </c>
      <c r="AK545" s="10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2">
        <f>IF(tblOrdenes[[#This Row],[fecha_inicio]]="","",TODAY()-tblOrdenes[[#This Row],[fecha_inicio]])</f>
        <v/>
      </c>
      <c r="AB5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0">
        <f>IF(tblOrdenes[[#This Row],[orden]]="","",_xlfn.XLOOKUP(tblOrdenes[[#This Row],[id_operacion]],tblEjecucion[id_operacion],tblEjecucion[precio],0))</f>
        <v/>
      </c>
      <c r="AJ546" s="10">
        <f>IF(tblOrdenes[[#This Row],[orden]]="","",MAX(0,_xlfn.XLOOKUP(tblOrdenes[[#This Row],[id_operacion]],tblEjecucion[id_operacion],tblEjecucion[costo_plan_total],0)-tblOrdenes[[#This Row],[costo_servicio]]))</f>
        <v/>
      </c>
      <c r="AK546" s="10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2">
        <f>IF(tblOrdenes[[#This Row],[fecha_inicio]]="","",TODAY()-tblOrdenes[[#This Row],[fecha_inicio]])</f>
        <v/>
      </c>
      <c r="AB5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0">
        <f>IF(tblOrdenes[[#This Row],[orden]]="","",_xlfn.XLOOKUP(tblOrdenes[[#This Row],[id_operacion]],tblEjecucion[id_operacion],tblEjecucion[precio],0))</f>
        <v/>
      </c>
      <c r="AJ547" s="10">
        <f>IF(tblOrdenes[[#This Row],[orden]]="","",MAX(0,_xlfn.XLOOKUP(tblOrdenes[[#This Row],[id_operacion]],tblEjecucion[id_operacion],tblEjecucion[costo_plan_total],0)-tblOrdenes[[#This Row],[costo_servicio]]))</f>
        <v/>
      </c>
      <c r="AK547" s="10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2">
        <f>IF(tblOrdenes[[#This Row],[fecha_inicio]]="","",TODAY()-tblOrdenes[[#This Row],[fecha_inicio]])</f>
        <v/>
      </c>
      <c r="AB5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0">
        <f>IF(tblOrdenes[[#This Row],[orden]]="","",_xlfn.XLOOKUP(tblOrdenes[[#This Row],[id_operacion]],tblEjecucion[id_operacion],tblEjecucion[precio],0))</f>
        <v/>
      </c>
      <c r="AJ548" s="10">
        <f>IF(tblOrdenes[[#This Row],[orden]]="","",MAX(0,_xlfn.XLOOKUP(tblOrdenes[[#This Row],[id_operacion]],tblEjecucion[id_operacion],tblEjecucion[costo_plan_total],0)-tblOrdenes[[#This Row],[costo_servicio]]))</f>
        <v/>
      </c>
      <c r="AK548" s="10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2">
        <f>IF(tblOrdenes[[#This Row],[fecha_inicio]]="","",TODAY()-tblOrdenes[[#This Row],[fecha_inicio]])</f>
        <v/>
      </c>
      <c r="AB5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0">
        <f>IF(tblOrdenes[[#This Row],[orden]]="","",_xlfn.XLOOKUP(tblOrdenes[[#This Row],[id_operacion]],tblEjecucion[id_operacion],tblEjecucion[precio],0))</f>
        <v/>
      </c>
      <c r="AJ549" s="10">
        <f>IF(tblOrdenes[[#This Row],[orden]]="","",MAX(0,_xlfn.XLOOKUP(tblOrdenes[[#This Row],[id_operacion]],tblEjecucion[id_operacion],tblEjecucion[costo_plan_total],0)-tblOrdenes[[#This Row],[costo_servicio]]))</f>
        <v/>
      </c>
      <c r="AK549" s="10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2">
        <f>IF(tblOrdenes[[#This Row],[fecha_inicio]]="","",TODAY()-tblOrdenes[[#This Row],[fecha_inicio]])</f>
        <v/>
      </c>
      <c r="AB5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0">
        <f>IF(tblOrdenes[[#This Row],[orden]]="","",_xlfn.XLOOKUP(tblOrdenes[[#This Row],[id_operacion]],tblEjecucion[id_operacion],tblEjecucion[precio],0))</f>
        <v/>
      </c>
      <c r="AJ550" s="10">
        <f>IF(tblOrdenes[[#This Row],[orden]]="","",MAX(0,_xlfn.XLOOKUP(tblOrdenes[[#This Row],[id_operacion]],tblEjecucion[id_operacion],tblEjecucion[costo_plan_total],0)-tblOrdenes[[#This Row],[costo_servicio]]))</f>
        <v/>
      </c>
      <c r="AK550" s="10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2">
        <f>IF(tblOrdenes[[#This Row],[fecha_inicio]]="","",TODAY()-tblOrdenes[[#This Row],[fecha_inicio]])</f>
        <v/>
      </c>
      <c r="AB5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0">
        <f>IF(tblOrdenes[[#This Row],[orden]]="","",_xlfn.XLOOKUP(tblOrdenes[[#This Row],[id_operacion]],tblEjecucion[id_operacion],tblEjecucion[precio],0))</f>
        <v/>
      </c>
      <c r="AJ551" s="10">
        <f>IF(tblOrdenes[[#This Row],[orden]]="","",MAX(0,_xlfn.XLOOKUP(tblOrdenes[[#This Row],[id_operacion]],tblEjecucion[id_operacion],tblEjecucion[costo_plan_total],0)-tblOrdenes[[#This Row],[costo_servicio]]))</f>
        <v/>
      </c>
      <c r="AK551" s="10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2">
        <f>IF(tblOrdenes[[#This Row],[fecha_inicio]]="","",TODAY()-tblOrdenes[[#This Row],[fecha_inicio]])</f>
        <v/>
      </c>
      <c r="AB5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0">
        <f>IF(tblOrdenes[[#This Row],[orden]]="","",_xlfn.XLOOKUP(tblOrdenes[[#This Row],[id_operacion]],tblEjecucion[id_operacion],tblEjecucion[precio],0))</f>
        <v/>
      </c>
      <c r="AJ552" s="10">
        <f>IF(tblOrdenes[[#This Row],[orden]]="","",MAX(0,_xlfn.XLOOKUP(tblOrdenes[[#This Row],[id_operacion]],tblEjecucion[id_operacion],tblEjecucion[costo_plan_total],0)-tblOrdenes[[#This Row],[costo_servicio]]))</f>
        <v/>
      </c>
      <c r="AK552" s="10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2">
        <f>IF(tblOrdenes[[#This Row],[fecha_inicio]]="","",TODAY()-tblOrdenes[[#This Row],[fecha_inicio]])</f>
        <v/>
      </c>
      <c r="AB5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0">
        <f>IF(tblOrdenes[[#This Row],[orden]]="","",_xlfn.XLOOKUP(tblOrdenes[[#This Row],[id_operacion]],tblEjecucion[id_operacion],tblEjecucion[precio],0))</f>
        <v/>
      </c>
      <c r="AJ553" s="10">
        <f>IF(tblOrdenes[[#This Row],[orden]]="","",MAX(0,_xlfn.XLOOKUP(tblOrdenes[[#This Row],[id_operacion]],tblEjecucion[id_operacion],tblEjecucion[costo_plan_total],0)-tblOrdenes[[#This Row],[costo_servicio]]))</f>
        <v/>
      </c>
      <c r="AK553" s="10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2">
        <f>IF(tblOrdenes[[#This Row],[fecha_inicio]]="","",TODAY()-tblOrdenes[[#This Row],[fecha_inicio]])</f>
        <v/>
      </c>
      <c r="AB5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0">
        <f>IF(tblOrdenes[[#This Row],[orden]]="","",_xlfn.XLOOKUP(tblOrdenes[[#This Row],[id_operacion]],tblEjecucion[id_operacion],tblEjecucion[precio],0))</f>
        <v/>
      </c>
      <c r="AJ554" s="10">
        <f>IF(tblOrdenes[[#This Row],[orden]]="","",MAX(0,_xlfn.XLOOKUP(tblOrdenes[[#This Row],[id_operacion]],tblEjecucion[id_operacion],tblEjecucion[costo_plan_total],0)-tblOrdenes[[#This Row],[costo_servicio]]))</f>
        <v/>
      </c>
      <c r="AK554" s="10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2">
        <f>IF(tblOrdenes[[#This Row],[fecha_inicio]]="","",TODAY()-tblOrdenes[[#This Row],[fecha_inicio]])</f>
        <v/>
      </c>
      <c r="AB5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0">
        <f>IF(tblOrdenes[[#This Row],[orden]]="","",_xlfn.XLOOKUP(tblOrdenes[[#This Row],[id_operacion]],tblEjecucion[id_operacion],tblEjecucion[precio],0))</f>
        <v/>
      </c>
      <c r="AJ555" s="10">
        <f>IF(tblOrdenes[[#This Row],[orden]]="","",MAX(0,_xlfn.XLOOKUP(tblOrdenes[[#This Row],[id_operacion]],tblEjecucion[id_operacion],tblEjecucion[costo_plan_total],0)-tblOrdenes[[#This Row],[costo_servicio]]))</f>
        <v/>
      </c>
      <c r="AK555" s="10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2">
        <f>IF(tblOrdenes[[#This Row],[fecha_inicio]]="","",TODAY()-tblOrdenes[[#This Row],[fecha_inicio]])</f>
        <v/>
      </c>
      <c r="AB5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0">
        <f>IF(tblOrdenes[[#This Row],[orden]]="","",_xlfn.XLOOKUP(tblOrdenes[[#This Row],[id_operacion]],tblEjecucion[id_operacion],tblEjecucion[precio],0))</f>
        <v/>
      </c>
      <c r="AJ556" s="10">
        <f>IF(tblOrdenes[[#This Row],[orden]]="","",MAX(0,_xlfn.XLOOKUP(tblOrdenes[[#This Row],[id_operacion]],tblEjecucion[id_operacion],tblEjecucion[costo_plan_total],0)-tblOrdenes[[#This Row],[costo_servicio]]))</f>
        <v/>
      </c>
      <c r="AK556" s="10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2">
        <f>IF(tblOrdenes[[#This Row],[fecha_inicio]]="","",TODAY()-tblOrdenes[[#This Row],[fecha_inicio]])</f>
        <v/>
      </c>
      <c r="AB5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0">
        <f>IF(tblOrdenes[[#This Row],[orden]]="","",_xlfn.XLOOKUP(tblOrdenes[[#This Row],[id_operacion]],tblEjecucion[id_operacion],tblEjecucion[precio],0))</f>
        <v/>
      </c>
      <c r="AJ557" s="10">
        <f>IF(tblOrdenes[[#This Row],[orden]]="","",MAX(0,_xlfn.XLOOKUP(tblOrdenes[[#This Row],[id_operacion]],tblEjecucion[id_operacion],tblEjecucion[costo_plan_total],0)-tblOrdenes[[#This Row],[costo_servicio]]))</f>
        <v/>
      </c>
      <c r="AK557" s="10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2">
        <f>IF(tblOrdenes[[#This Row],[fecha_inicio]]="","",TODAY()-tblOrdenes[[#This Row],[fecha_inicio]])</f>
        <v/>
      </c>
      <c r="AB5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0">
        <f>IF(tblOrdenes[[#This Row],[orden]]="","",_xlfn.XLOOKUP(tblOrdenes[[#This Row],[id_operacion]],tblEjecucion[id_operacion],tblEjecucion[precio],0))</f>
        <v/>
      </c>
      <c r="AJ558" s="10">
        <f>IF(tblOrdenes[[#This Row],[orden]]="","",MAX(0,_xlfn.XLOOKUP(tblOrdenes[[#This Row],[id_operacion]],tblEjecucion[id_operacion],tblEjecucion[costo_plan_total],0)-tblOrdenes[[#This Row],[costo_servicio]]))</f>
        <v/>
      </c>
      <c r="AK558" s="10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2">
        <f>IF(tblOrdenes[[#This Row],[fecha_inicio]]="","",TODAY()-tblOrdenes[[#This Row],[fecha_inicio]])</f>
        <v/>
      </c>
      <c r="AB5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0">
        <f>IF(tblOrdenes[[#This Row],[orden]]="","",_xlfn.XLOOKUP(tblOrdenes[[#This Row],[id_operacion]],tblEjecucion[id_operacion],tblEjecucion[precio],0))</f>
        <v/>
      </c>
      <c r="AJ559" s="10">
        <f>IF(tblOrdenes[[#This Row],[orden]]="","",MAX(0,_xlfn.XLOOKUP(tblOrdenes[[#This Row],[id_operacion]],tblEjecucion[id_operacion],tblEjecucion[costo_plan_total],0)-tblOrdenes[[#This Row],[costo_servicio]]))</f>
        <v/>
      </c>
      <c r="AK559" s="10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2">
        <f>IF(tblOrdenes[[#This Row],[fecha_inicio]]="","",TODAY()-tblOrdenes[[#This Row],[fecha_inicio]])</f>
        <v/>
      </c>
      <c r="AB5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0">
        <f>IF(tblOrdenes[[#This Row],[orden]]="","",_xlfn.XLOOKUP(tblOrdenes[[#This Row],[id_operacion]],tblEjecucion[id_operacion],tblEjecucion[precio],0))</f>
        <v/>
      </c>
      <c r="AJ560" s="10">
        <f>IF(tblOrdenes[[#This Row],[orden]]="","",MAX(0,_xlfn.XLOOKUP(tblOrdenes[[#This Row],[id_operacion]],tblEjecucion[id_operacion],tblEjecucion[costo_plan_total],0)-tblOrdenes[[#This Row],[costo_servicio]]))</f>
        <v/>
      </c>
      <c r="AK560" s="10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2">
        <f>IF(tblOrdenes[[#This Row],[fecha_inicio]]="","",TODAY()-tblOrdenes[[#This Row],[fecha_inicio]])</f>
        <v/>
      </c>
      <c r="AB5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0">
        <f>IF(tblOrdenes[[#This Row],[orden]]="","",_xlfn.XLOOKUP(tblOrdenes[[#This Row],[id_operacion]],tblEjecucion[id_operacion],tblEjecucion[precio],0))</f>
        <v/>
      </c>
      <c r="AJ561" s="10">
        <f>IF(tblOrdenes[[#This Row],[orden]]="","",MAX(0,_xlfn.XLOOKUP(tblOrdenes[[#This Row],[id_operacion]],tblEjecucion[id_operacion],tblEjecucion[costo_plan_total],0)-tblOrdenes[[#This Row],[costo_servicio]]))</f>
        <v/>
      </c>
      <c r="AK561" s="10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2">
        <f>IF(tblOrdenes[[#This Row],[fecha_inicio]]="","",TODAY()-tblOrdenes[[#This Row],[fecha_inicio]])</f>
        <v/>
      </c>
      <c r="AB5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0">
        <f>IF(tblOrdenes[[#This Row],[orden]]="","",_xlfn.XLOOKUP(tblOrdenes[[#This Row],[id_operacion]],tblEjecucion[id_operacion],tblEjecucion[precio],0))</f>
        <v/>
      </c>
      <c r="AJ562" s="10">
        <f>IF(tblOrdenes[[#This Row],[orden]]="","",MAX(0,_xlfn.XLOOKUP(tblOrdenes[[#This Row],[id_operacion]],tblEjecucion[id_operacion],tblEjecucion[costo_plan_total],0)-tblOrdenes[[#This Row],[costo_servicio]]))</f>
        <v/>
      </c>
      <c r="AK562" s="10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2">
        <f>IF(tblOrdenes[[#This Row],[fecha_inicio]]="","",TODAY()-tblOrdenes[[#This Row],[fecha_inicio]])</f>
        <v/>
      </c>
      <c r="AB5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0">
        <f>IF(tblOrdenes[[#This Row],[orden]]="","",_xlfn.XLOOKUP(tblOrdenes[[#This Row],[id_operacion]],tblEjecucion[id_operacion],tblEjecucion[precio],0))</f>
        <v/>
      </c>
      <c r="AJ563" s="10">
        <f>IF(tblOrdenes[[#This Row],[orden]]="","",MAX(0,_xlfn.XLOOKUP(tblOrdenes[[#This Row],[id_operacion]],tblEjecucion[id_operacion],tblEjecucion[costo_plan_total],0)-tblOrdenes[[#This Row],[costo_servicio]]))</f>
        <v/>
      </c>
      <c r="AK563" s="10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2">
        <f>IF(tblOrdenes[[#This Row],[fecha_inicio]]="","",TODAY()-tblOrdenes[[#This Row],[fecha_inicio]])</f>
        <v/>
      </c>
      <c r="AB5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0">
        <f>IF(tblOrdenes[[#This Row],[orden]]="","",_xlfn.XLOOKUP(tblOrdenes[[#This Row],[id_operacion]],tblEjecucion[id_operacion],tblEjecucion[precio],0))</f>
        <v/>
      </c>
      <c r="AJ564" s="10">
        <f>IF(tblOrdenes[[#This Row],[orden]]="","",MAX(0,_xlfn.XLOOKUP(tblOrdenes[[#This Row],[id_operacion]],tblEjecucion[id_operacion],tblEjecucion[costo_plan_total],0)-tblOrdenes[[#This Row],[costo_servicio]]))</f>
        <v/>
      </c>
      <c r="AK564" s="10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2">
        <f>IF(tblOrdenes[[#This Row],[fecha_inicio]]="","",TODAY()-tblOrdenes[[#This Row],[fecha_inicio]])</f>
        <v/>
      </c>
      <c r="AB5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0">
        <f>IF(tblOrdenes[[#This Row],[orden]]="","",_xlfn.XLOOKUP(tblOrdenes[[#This Row],[id_operacion]],tblEjecucion[id_operacion],tblEjecucion[precio],0))</f>
        <v/>
      </c>
      <c r="AJ565" s="10">
        <f>IF(tblOrdenes[[#This Row],[orden]]="","",MAX(0,_xlfn.XLOOKUP(tblOrdenes[[#This Row],[id_operacion]],tblEjecucion[id_operacion],tblEjecucion[costo_plan_total],0)-tblOrdenes[[#This Row],[costo_servicio]]))</f>
        <v/>
      </c>
      <c r="AK565" s="10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2">
        <f>IF(tblOrdenes[[#This Row],[fecha_inicio]]="","",TODAY()-tblOrdenes[[#This Row],[fecha_inicio]])</f>
        <v/>
      </c>
      <c r="AB5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0">
        <f>IF(tblOrdenes[[#This Row],[orden]]="","",_xlfn.XLOOKUP(tblOrdenes[[#This Row],[id_operacion]],tblEjecucion[id_operacion],tblEjecucion[precio],0))</f>
        <v/>
      </c>
      <c r="AJ566" s="10">
        <f>IF(tblOrdenes[[#This Row],[orden]]="","",MAX(0,_xlfn.XLOOKUP(tblOrdenes[[#This Row],[id_operacion]],tblEjecucion[id_operacion],tblEjecucion[costo_plan_total],0)-tblOrdenes[[#This Row],[costo_servicio]]))</f>
        <v/>
      </c>
      <c r="AK566" s="10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2">
        <f>IF(tblOrdenes[[#This Row],[fecha_inicio]]="","",TODAY()-tblOrdenes[[#This Row],[fecha_inicio]])</f>
        <v/>
      </c>
      <c r="AB5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0">
        <f>IF(tblOrdenes[[#This Row],[orden]]="","",_xlfn.XLOOKUP(tblOrdenes[[#This Row],[id_operacion]],tblEjecucion[id_operacion],tblEjecucion[precio],0))</f>
        <v/>
      </c>
      <c r="AJ567" s="10">
        <f>IF(tblOrdenes[[#This Row],[orden]]="","",MAX(0,_xlfn.XLOOKUP(tblOrdenes[[#This Row],[id_operacion]],tblEjecucion[id_operacion],tblEjecucion[costo_plan_total],0)-tblOrdenes[[#This Row],[costo_servicio]]))</f>
        <v/>
      </c>
      <c r="AK567" s="10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2">
        <f>IF(tblOrdenes[[#This Row],[fecha_inicio]]="","",TODAY()-tblOrdenes[[#This Row],[fecha_inicio]])</f>
        <v/>
      </c>
      <c r="AB5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0">
        <f>IF(tblOrdenes[[#This Row],[orden]]="","",_xlfn.XLOOKUP(tblOrdenes[[#This Row],[id_operacion]],tblEjecucion[id_operacion],tblEjecucion[precio],0))</f>
        <v/>
      </c>
      <c r="AJ568" s="10">
        <f>IF(tblOrdenes[[#This Row],[orden]]="","",MAX(0,_xlfn.XLOOKUP(tblOrdenes[[#This Row],[id_operacion]],tblEjecucion[id_operacion],tblEjecucion[costo_plan_total],0)-tblOrdenes[[#This Row],[costo_servicio]]))</f>
        <v/>
      </c>
      <c r="AK568" s="10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2">
        <f>IF(tblOrdenes[[#This Row],[fecha_inicio]]="","",TODAY()-tblOrdenes[[#This Row],[fecha_inicio]])</f>
        <v/>
      </c>
      <c r="AB5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0">
        <f>IF(tblOrdenes[[#This Row],[orden]]="","",_xlfn.XLOOKUP(tblOrdenes[[#This Row],[id_operacion]],tblEjecucion[id_operacion],tblEjecucion[precio],0))</f>
        <v/>
      </c>
      <c r="AJ569" s="10">
        <f>IF(tblOrdenes[[#This Row],[orden]]="","",MAX(0,_xlfn.XLOOKUP(tblOrdenes[[#This Row],[id_operacion]],tblEjecucion[id_operacion],tblEjecucion[costo_plan_total],0)-tblOrdenes[[#This Row],[costo_servicio]]))</f>
        <v/>
      </c>
      <c r="AK569" s="10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2">
        <f>IF(tblOrdenes[[#This Row],[fecha_inicio]]="","",TODAY()-tblOrdenes[[#This Row],[fecha_inicio]])</f>
        <v/>
      </c>
      <c r="AB5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0">
        <f>IF(tblOrdenes[[#This Row],[orden]]="","",_xlfn.XLOOKUP(tblOrdenes[[#This Row],[id_operacion]],tblEjecucion[id_operacion],tblEjecucion[precio],0))</f>
        <v/>
      </c>
      <c r="AJ570" s="10">
        <f>IF(tblOrdenes[[#This Row],[orden]]="","",MAX(0,_xlfn.XLOOKUP(tblOrdenes[[#This Row],[id_operacion]],tblEjecucion[id_operacion],tblEjecucion[costo_plan_total],0)-tblOrdenes[[#This Row],[costo_servicio]]))</f>
        <v/>
      </c>
      <c r="AK570" s="10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2">
        <f>IF(tblOrdenes[[#This Row],[fecha_inicio]]="","",TODAY()-tblOrdenes[[#This Row],[fecha_inicio]])</f>
        <v/>
      </c>
      <c r="AB5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0">
        <f>IF(tblOrdenes[[#This Row],[orden]]="","",_xlfn.XLOOKUP(tblOrdenes[[#This Row],[id_operacion]],tblEjecucion[id_operacion],tblEjecucion[precio],0))</f>
        <v/>
      </c>
      <c r="AJ571" s="10">
        <f>IF(tblOrdenes[[#This Row],[orden]]="","",MAX(0,_xlfn.XLOOKUP(tblOrdenes[[#This Row],[id_operacion]],tblEjecucion[id_operacion],tblEjecucion[costo_plan_total],0)-tblOrdenes[[#This Row],[costo_servicio]]))</f>
        <v/>
      </c>
      <c r="AK571" s="10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2">
        <f>IF(tblOrdenes[[#This Row],[fecha_inicio]]="","",TODAY()-tblOrdenes[[#This Row],[fecha_inicio]])</f>
        <v/>
      </c>
      <c r="AB5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0">
        <f>IF(tblOrdenes[[#This Row],[orden]]="","",_xlfn.XLOOKUP(tblOrdenes[[#This Row],[id_operacion]],tblEjecucion[id_operacion],tblEjecucion[precio],0))</f>
        <v/>
      </c>
      <c r="AJ572" s="10">
        <f>IF(tblOrdenes[[#This Row],[orden]]="","",MAX(0,_xlfn.XLOOKUP(tblOrdenes[[#This Row],[id_operacion]],tblEjecucion[id_operacion],tblEjecucion[costo_plan_total],0)-tblOrdenes[[#This Row],[costo_servicio]]))</f>
        <v/>
      </c>
      <c r="AK572" s="10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2">
        <f>IF(tblOrdenes[[#This Row],[fecha_inicio]]="","",TODAY()-tblOrdenes[[#This Row],[fecha_inicio]])</f>
        <v/>
      </c>
      <c r="AB5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0">
        <f>IF(tblOrdenes[[#This Row],[orden]]="","",_xlfn.XLOOKUP(tblOrdenes[[#This Row],[id_operacion]],tblEjecucion[id_operacion],tblEjecucion[precio],0))</f>
        <v/>
      </c>
      <c r="AJ573" s="10">
        <f>IF(tblOrdenes[[#This Row],[orden]]="","",MAX(0,_xlfn.XLOOKUP(tblOrdenes[[#This Row],[id_operacion]],tblEjecucion[id_operacion],tblEjecucion[costo_plan_total],0)-tblOrdenes[[#This Row],[costo_servicio]]))</f>
        <v/>
      </c>
      <c r="AK573" s="10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2">
        <f>IF(tblOrdenes[[#This Row],[fecha_inicio]]="","",TODAY()-tblOrdenes[[#This Row],[fecha_inicio]])</f>
        <v/>
      </c>
      <c r="AB5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0">
        <f>IF(tblOrdenes[[#This Row],[orden]]="","",_xlfn.XLOOKUP(tblOrdenes[[#This Row],[id_operacion]],tblEjecucion[id_operacion],tblEjecucion[precio],0))</f>
        <v/>
      </c>
      <c r="AJ574" s="10">
        <f>IF(tblOrdenes[[#This Row],[orden]]="","",MAX(0,_xlfn.XLOOKUP(tblOrdenes[[#This Row],[id_operacion]],tblEjecucion[id_operacion],tblEjecucion[costo_plan_total],0)-tblOrdenes[[#This Row],[costo_servicio]]))</f>
        <v/>
      </c>
      <c r="AK574" s="10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2">
        <f>IF(tblOrdenes[[#This Row],[fecha_inicio]]="","",TODAY()-tblOrdenes[[#This Row],[fecha_inicio]])</f>
        <v/>
      </c>
      <c r="AB5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0">
        <f>IF(tblOrdenes[[#This Row],[orden]]="","",_xlfn.XLOOKUP(tblOrdenes[[#This Row],[id_operacion]],tblEjecucion[id_operacion],tblEjecucion[precio],0))</f>
        <v/>
      </c>
      <c r="AJ575" s="10">
        <f>IF(tblOrdenes[[#This Row],[orden]]="","",MAX(0,_xlfn.XLOOKUP(tblOrdenes[[#This Row],[id_operacion]],tblEjecucion[id_operacion],tblEjecucion[costo_plan_total],0)-tblOrdenes[[#This Row],[costo_servicio]]))</f>
        <v/>
      </c>
      <c r="AK575" s="10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2">
        <f>IF(tblOrdenes[[#This Row],[fecha_inicio]]="","",TODAY()-tblOrdenes[[#This Row],[fecha_inicio]])</f>
        <v/>
      </c>
      <c r="AB5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0">
        <f>IF(tblOrdenes[[#This Row],[orden]]="","",_xlfn.XLOOKUP(tblOrdenes[[#This Row],[id_operacion]],tblEjecucion[id_operacion],tblEjecucion[precio],0))</f>
        <v/>
      </c>
      <c r="AJ576" s="10">
        <f>IF(tblOrdenes[[#This Row],[orden]]="","",MAX(0,_xlfn.XLOOKUP(tblOrdenes[[#This Row],[id_operacion]],tblEjecucion[id_operacion],tblEjecucion[costo_plan_total],0)-tblOrdenes[[#This Row],[costo_servicio]]))</f>
        <v/>
      </c>
      <c r="AK576" s="10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2">
        <f>IF(tblOrdenes[[#This Row],[fecha_inicio]]="","",TODAY()-tblOrdenes[[#This Row],[fecha_inicio]])</f>
        <v/>
      </c>
      <c r="AB5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0">
        <f>IF(tblOrdenes[[#This Row],[orden]]="","",_xlfn.XLOOKUP(tblOrdenes[[#This Row],[id_operacion]],tblEjecucion[id_operacion],tblEjecucion[precio],0))</f>
        <v/>
      </c>
      <c r="AJ577" s="10">
        <f>IF(tblOrdenes[[#This Row],[orden]]="","",MAX(0,_xlfn.XLOOKUP(tblOrdenes[[#This Row],[id_operacion]],tblEjecucion[id_operacion],tblEjecucion[costo_plan_total],0)-tblOrdenes[[#This Row],[costo_servicio]]))</f>
        <v/>
      </c>
      <c r="AK577" s="10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2">
        <f>IF(tblOrdenes[[#This Row],[fecha_inicio]]="","",TODAY()-tblOrdenes[[#This Row],[fecha_inicio]])</f>
        <v/>
      </c>
      <c r="AB5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0">
        <f>IF(tblOrdenes[[#This Row],[orden]]="","",_xlfn.XLOOKUP(tblOrdenes[[#This Row],[id_operacion]],tblEjecucion[id_operacion],tblEjecucion[precio],0))</f>
        <v/>
      </c>
      <c r="AJ578" s="10">
        <f>IF(tblOrdenes[[#This Row],[orden]]="","",MAX(0,_xlfn.XLOOKUP(tblOrdenes[[#This Row],[id_operacion]],tblEjecucion[id_operacion],tblEjecucion[costo_plan_total],0)-tblOrdenes[[#This Row],[costo_servicio]]))</f>
        <v/>
      </c>
      <c r="AK578" s="10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2">
        <f>IF(tblOrdenes[[#This Row],[fecha_inicio]]="","",TODAY()-tblOrdenes[[#This Row],[fecha_inicio]])</f>
        <v/>
      </c>
      <c r="AB5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0">
        <f>IF(tblOrdenes[[#This Row],[orden]]="","",_xlfn.XLOOKUP(tblOrdenes[[#This Row],[id_operacion]],tblEjecucion[id_operacion],tblEjecucion[precio],0))</f>
        <v/>
      </c>
      <c r="AJ579" s="10">
        <f>IF(tblOrdenes[[#This Row],[orden]]="","",MAX(0,_xlfn.XLOOKUP(tblOrdenes[[#This Row],[id_operacion]],tblEjecucion[id_operacion],tblEjecucion[costo_plan_total],0)-tblOrdenes[[#This Row],[costo_servicio]]))</f>
        <v/>
      </c>
      <c r="AK579" s="10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2">
        <f>IF(tblOrdenes[[#This Row],[fecha_inicio]]="","",TODAY()-tblOrdenes[[#This Row],[fecha_inicio]])</f>
        <v/>
      </c>
      <c r="AB5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0">
        <f>IF(tblOrdenes[[#This Row],[orden]]="","",_xlfn.XLOOKUP(tblOrdenes[[#This Row],[id_operacion]],tblEjecucion[id_operacion],tblEjecucion[precio],0))</f>
        <v/>
      </c>
      <c r="AJ580" s="10">
        <f>IF(tblOrdenes[[#This Row],[orden]]="","",MAX(0,_xlfn.XLOOKUP(tblOrdenes[[#This Row],[id_operacion]],tblEjecucion[id_operacion],tblEjecucion[costo_plan_total],0)-tblOrdenes[[#This Row],[costo_servicio]]))</f>
        <v/>
      </c>
      <c r="AK580" s="10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2">
        <f>IF(tblOrdenes[[#This Row],[fecha_inicio]]="","",TODAY()-tblOrdenes[[#This Row],[fecha_inicio]])</f>
        <v/>
      </c>
      <c r="AB5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0">
        <f>IF(tblOrdenes[[#This Row],[orden]]="","",_xlfn.XLOOKUP(tblOrdenes[[#This Row],[id_operacion]],tblEjecucion[id_operacion],tblEjecucion[precio],0))</f>
        <v/>
      </c>
      <c r="AJ581" s="10">
        <f>IF(tblOrdenes[[#This Row],[orden]]="","",MAX(0,_xlfn.XLOOKUP(tblOrdenes[[#This Row],[id_operacion]],tblEjecucion[id_operacion],tblEjecucion[costo_plan_total],0)-tblOrdenes[[#This Row],[costo_servicio]]))</f>
        <v/>
      </c>
      <c r="AK581" s="10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2">
        <f>IF(tblOrdenes[[#This Row],[fecha_inicio]]="","",TODAY()-tblOrdenes[[#This Row],[fecha_inicio]])</f>
        <v/>
      </c>
      <c r="AB5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0">
        <f>IF(tblOrdenes[[#This Row],[orden]]="","",_xlfn.XLOOKUP(tblOrdenes[[#This Row],[id_operacion]],tblEjecucion[id_operacion],tblEjecucion[precio],0))</f>
        <v/>
      </c>
      <c r="AJ582" s="10">
        <f>IF(tblOrdenes[[#This Row],[orden]]="","",MAX(0,_xlfn.XLOOKUP(tblOrdenes[[#This Row],[id_operacion]],tblEjecucion[id_operacion],tblEjecucion[costo_plan_total],0)-tblOrdenes[[#This Row],[costo_servicio]]))</f>
        <v/>
      </c>
      <c r="AK582" s="10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2">
        <f>IF(tblOrdenes[[#This Row],[fecha_inicio]]="","",TODAY()-tblOrdenes[[#This Row],[fecha_inicio]])</f>
        <v/>
      </c>
      <c r="AB5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0">
        <f>IF(tblOrdenes[[#This Row],[orden]]="","",_xlfn.XLOOKUP(tblOrdenes[[#This Row],[id_operacion]],tblEjecucion[id_operacion],tblEjecucion[precio],0))</f>
        <v/>
      </c>
      <c r="AJ583" s="10">
        <f>IF(tblOrdenes[[#This Row],[orden]]="","",MAX(0,_xlfn.XLOOKUP(tblOrdenes[[#This Row],[id_operacion]],tblEjecucion[id_operacion],tblEjecucion[costo_plan_total],0)-tblOrdenes[[#This Row],[costo_servicio]]))</f>
        <v/>
      </c>
      <c r="AK583" s="10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2">
        <f>IF(tblOrdenes[[#This Row],[fecha_inicio]]="","",TODAY()-tblOrdenes[[#This Row],[fecha_inicio]])</f>
        <v/>
      </c>
      <c r="AB5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0">
        <f>IF(tblOrdenes[[#This Row],[orden]]="","",_xlfn.XLOOKUP(tblOrdenes[[#This Row],[id_operacion]],tblEjecucion[id_operacion],tblEjecucion[precio],0))</f>
        <v/>
      </c>
      <c r="AJ584" s="10">
        <f>IF(tblOrdenes[[#This Row],[orden]]="","",MAX(0,_xlfn.XLOOKUP(tblOrdenes[[#This Row],[id_operacion]],tblEjecucion[id_operacion],tblEjecucion[costo_plan_total],0)-tblOrdenes[[#This Row],[costo_servicio]]))</f>
        <v/>
      </c>
      <c r="AK584" s="10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2">
        <f>IF(tblOrdenes[[#This Row],[fecha_inicio]]="","",TODAY()-tblOrdenes[[#This Row],[fecha_inicio]])</f>
        <v/>
      </c>
      <c r="AB5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0">
        <f>IF(tblOrdenes[[#This Row],[orden]]="","",_xlfn.XLOOKUP(tblOrdenes[[#This Row],[id_operacion]],tblEjecucion[id_operacion],tblEjecucion[precio],0))</f>
        <v/>
      </c>
      <c r="AJ585" s="10">
        <f>IF(tblOrdenes[[#This Row],[orden]]="","",MAX(0,_xlfn.XLOOKUP(tblOrdenes[[#This Row],[id_operacion]],tblEjecucion[id_operacion],tblEjecucion[costo_plan_total],0)-tblOrdenes[[#This Row],[costo_servicio]]))</f>
        <v/>
      </c>
      <c r="AK585" s="10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2">
        <f>IF(tblOrdenes[[#This Row],[fecha_inicio]]="","",TODAY()-tblOrdenes[[#This Row],[fecha_inicio]])</f>
        <v/>
      </c>
      <c r="AB5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0">
        <f>IF(tblOrdenes[[#This Row],[orden]]="","",_xlfn.XLOOKUP(tblOrdenes[[#This Row],[id_operacion]],tblEjecucion[id_operacion],tblEjecucion[precio],0))</f>
        <v/>
      </c>
      <c r="AJ586" s="10">
        <f>IF(tblOrdenes[[#This Row],[orden]]="","",MAX(0,_xlfn.XLOOKUP(tblOrdenes[[#This Row],[id_operacion]],tblEjecucion[id_operacion],tblEjecucion[costo_plan_total],0)-tblOrdenes[[#This Row],[costo_servicio]]))</f>
        <v/>
      </c>
      <c r="AK586" s="10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2">
        <f>IF(tblOrdenes[[#This Row],[fecha_inicio]]="","",TODAY()-tblOrdenes[[#This Row],[fecha_inicio]])</f>
        <v/>
      </c>
      <c r="AB5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0">
        <f>IF(tblOrdenes[[#This Row],[orden]]="","",_xlfn.XLOOKUP(tblOrdenes[[#This Row],[id_operacion]],tblEjecucion[id_operacion],tblEjecucion[precio],0))</f>
        <v/>
      </c>
      <c r="AJ587" s="10">
        <f>IF(tblOrdenes[[#This Row],[orden]]="","",MAX(0,_xlfn.XLOOKUP(tblOrdenes[[#This Row],[id_operacion]],tblEjecucion[id_operacion],tblEjecucion[costo_plan_total],0)-tblOrdenes[[#This Row],[costo_servicio]]))</f>
        <v/>
      </c>
      <c r="AK587" s="10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2">
        <f>IF(tblOrdenes[[#This Row],[fecha_inicio]]="","",TODAY()-tblOrdenes[[#This Row],[fecha_inicio]])</f>
        <v/>
      </c>
      <c r="AB5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0">
        <f>IF(tblOrdenes[[#This Row],[orden]]="","",_xlfn.XLOOKUP(tblOrdenes[[#This Row],[id_operacion]],tblEjecucion[id_operacion],tblEjecucion[precio],0))</f>
        <v/>
      </c>
      <c r="AJ588" s="10">
        <f>IF(tblOrdenes[[#This Row],[orden]]="","",MAX(0,_xlfn.XLOOKUP(tblOrdenes[[#This Row],[id_operacion]],tblEjecucion[id_operacion],tblEjecucion[costo_plan_total],0)-tblOrdenes[[#This Row],[costo_servicio]]))</f>
        <v/>
      </c>
      <c r="AK588" s="10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2">
        <f>IF(tblOrdenes[[#This Row],[fecha_inicio]]="","",TODAY()-tblOrdenes[[#This Row],[fecha_inicio]])</f>
        <v/>
      </c>
      <c r="AB5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0">
        <f>IF(tblOrdenes[[#This Row],[orden]]="","",_xlfn.XLOOKUP(tblOrdenes[[#This Row],[id_operacion]],tblEjecucion[id_operacion],tblEjecucion[precio],0))</f>
        <v/>
      </c>
      <c r="AJ589" s="10">
        <f>IF(tblOrdenes[[#This Row],[orden]]="","",MAX(0,_xlfn.XLOOKUP(tblOrdenes[[#This Row],[id_operacion]],tblEjecucion[id_operacion],tblEjecucion[costo_plan_total],0)-tblOrdenes[[#This Row],[costo_servicio]]))</f>
        <v/>
      </c>
      <c r="AK589" s="10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2">
        <f>IF(tblOrdenes[[#This Row],[fecha_inicio]]="","",TODAY()-tblOrdenes[[#This Row],[fecha_inicio]])</f>
        <v/>
      </c>
      <c r="AB5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0">
        <f>IF(tblOrdenes[[#This Row],[orden]]="","",_xlfn.XLOOKUP(tblOrdenes[[#This Row],[id_operacion]],tblEjecucion[id_operacion],tblEjecucion[precio],0))</f>
        <v/>
      </c>
      <c r="AJ590" s="10">
        <f>IF(tblOrdenes[[#This Row],[orden]]="","",MAX(0,_xlfn.XLOOKUP(tblOrdenes[[#This Row],[id_operacion]],tblEjecucion[id_operacion],tblEjecucion[costo_plan_total],0)-tblOrdenes[[#This Row],[costo_servicio]]))</f>
        <v/>
      </c>
      <c r="AK590" s="10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2">
        <f>IF(tblOrdenes[[#This Row],[fecha_inicio]]="","",TODAY()-tblOrdenes[[#This Row],[fecha_inicio]])</f>
        <v/>
      </c>
      <c r="AB5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0">
        <f>IF(tblOrdenes[[#This Row],[orden]]="","",_xlfn.XLOOKUP(tblOrdenes[[#This Row],[id_operacion]],tblEjecucion[id_operacion],tblEjecucion[precio],0))</f>
        <v/>
      </c>
      <c r="AJ591" s="10">
        <f>IF(tblOrdenes[[#This Row],[orden]]="","",MAX(0,_xlfn.XLOOKUP(tblOrdenes[[#This Row],[id_operacion]],tblEjecucion[id_operacion],tblEjecucion[costo_plan_total],0)-tblOrdenes[[#This Row],[costo_servicio]]))</f>
        <v/>
      </c>
      <c r="AK591" s="10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2">
        <f>IF(tblOrdenes[[#This Row],[fecha_inicio]]="","",TODAY()-tblOrdenes[[#This Row],[fecha_inicio]])</f>
        <v/>
      </c>
      <c r="AB5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0">
        <f>IF(tblOrdenes[[#This Row],[orden]]="","",_xlfn.XLOOKUP(tblOrdenes[[#This Row],[id_operacion]],tblEjecucion[id_operacion],tblEjecucion[precio],0))</f>
        <v/>
      </c>
      <c r="AJ592" s="10">
        <f>IF(tblOrdenes[[#This Row],[orden]]="","",MAX(0,_xlfn.XLOOKUP(tblOrdenes[[#This Row],[id_operacion]],tblEjecucion[id_operacion],tblEjecucion[costo_plan_total],0)-tblOrdenes[[#This Row],[costo_servicio]]))</f>
        <v/>
      </c>
      <c r="AK592" s="10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2">
        <f>IF(tblOrdenes[[#This Row],[fecha_inicio]]="","",TODAY()-tblOrdenes[[#This Row],[fecha_inicio]])</f>
        <v/>
      </c>
      <c r="AB5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0">
        <f>IF(tblOrdenes[[#This Row],[orden]]="","",_xlfn.XLOOKUP(tblOrdenes[[#This Row],[id_operacion]],tblEjecucion[id_operacion],tblEjecucion[precio],0))</f>
        <v/>
      </c>
      <c r="AJ593" s="10">
        <f>IF(tblOrdenes[[#This Row],[orden]]="","",MAX(0,_xlfn.XLOOKUP(tblOrdenes[[#This Row],[id_operacion]],tblEjecucion[id_operacion],tblEjecucion[costo_plan_total],0)-tblOrdenes[[#This Row],[costo_servicio]]))</f>
        <v/>
      </c>
      <c r="AK593" s="10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2">
        <f>IF(tblOrdenes[[#This Row],[fecha_inicio]]="","",TODAY()-tblOrdenes[[#This Row],[fecha_inicio]])</f>
        <v/>
      </c>
      <c r="AB5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0">
        <f>IF(tblOrdenes[[#This Row],[orden]]="","",_xlfn.XLOOKUP(tblOrdenes[[#This Row],[id_operacion]],tblEjecucion[id_operacion],tblEjecucion[precio],0))</f>
        <v/>
      </c>
      <c r="AJ594" s="10">
        <f>IF(tblOrdenes[[#This Row],[orden]]="","",MAX(0,_xlfn.XLOOKUP(tblOrdenes[[#This Row],[id_operacion]],tblEjecucion[id_operacion],tblEjecucion[costo_plan_total],0)-tblOrdenes[[#This Row],[costo_servicio]]))</f>
        <v/>
      </c>
      <c r="AK594" s="10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2">
        <f>IF(tblOrdenes[[#This Row],[fecha_inicio]]="","",TODAY()-tblOrdenes[[#This Row],[fecha_inicio]])</f>
        <v/>
      </c>
      <c r="AB5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0">
        <f>IF(tblOrdenes[[#This Row],[orden]]="","",_xlfn.XLOOKUP(tblOrdenes[[#This Row],[id_operacion]],tblEjecucion[id_operacion],tblEjecucion[precio],0))</f>
        <v/>
      </c>
      <c r="AJ595" s="10">
        <f>IF(tblOrdenes[[#This Row],[orden]]="","",MAX(0,_xlfn.XLOOKUP(tblOrdenes[[#This Row],[id_operacion]],tblEjecucion[id_operacion],tblEjecucion[costo_plan_total],0)-tblOrdenes[[#This Row],[costo_servicio]]))</f>
        <v/>
      </c>
      <c r="AK595" s="10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2">
        <f>IF(tblOrdenes[[#This Row],[fecha_inicio]]="","",TODAY()-tblOrdenes[[#This Row],[fecha_inicio]])</f>
        <v/>
      </c>
      <c r="AB5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0">
        <f>IF(tblOrdenes[[#This Row],[orden]]="","",_xlfn.XLOOKUP(tblOrdenes[[#This Row],[id_operacion]],tblEjecucion[id_operacion],tblEjecucion[precio],0))</f>
        <v/>
      </c>
      <c r="AJ596" s="10">
        <f>IF(tblOrdenes[[#This Row],[orden]]="","",MAX(0,_xlfn.XLOOKUP(tblOrdenes[[#This Row],[id_operacion]],tblEjecucion[id_operacion],tblEjecucion[costo_plan_total],0)-tblOrdenes[[#This Row],[costo_servicio]]))</f>
        <v/>
      </c>
      <c r="AK596" s="10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2">
        <f>IF(tblOrdenes[[#This Row],[fecha_inicio]]="","",TODAY()-tblOrdenes[[#This Row],[fecha_inicio]])</f>
        <v/>
      </c>
      <c r="AB5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0">
        <f>IF(tblOrdenes[[#This Row],[orden]]="","",_xlfn.XLOOKUP(tblOrdenes[[#This Row],[id_operacion]],tblEjecucion[id_operacion],tblEjecucion[precio],0))</f>
        <v/>
      </c>
      <c r="AJ597" s="10">
        <f>IF(tblOrdenes[[#This Row],[orden]]="","",MAX(0,_xlfn.XLOOKUP(tblOrdenes[[#This Row],[id_operacion]],tblEjecucion[id_operacion],tblEjecucion[costo_plan_total],0)-tblOrdenes[[#This Row],[costo_servicio]]))</f>
        <v/>
      </c>
      <c r="AK597" s="10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2">
        <f>IF(tblOrdenes[[#This Row],[fecha_inicio]]="","",TODAY()-tblOrdenes[[#This Row],[fecha_inicio]])</f>
        <v/>
      </c>
      <c r="AB5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0">
        <f>IF(tblOrdenes[[#This Row],[orden]]="","",_xlfn.XLOOKUP(tblOrdenes[[#This Row],[id_operacion]],tblEjecucion[id_operacion],tblEjecucion[precio],0))</f>
        <v/>
      </c>
      <c r="AJ598" s="10">
        <f>IF(tblOrdenes[[#This Row],[orden]]="","",MAX(0,_xlfn.XLOOKUP(tblOrdenes[[#This Row],[id_operacion]],tblEjecucion[id_operacion],tblEjecucion[costo_plan_total],0)-tblOrdenes[[#This Row],[costo_servicio]]))</f>
        <v/>
      </c>
      <c r="AK598" s="10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2">
        <f>IF(tblOrdenes[[#This Row],[fecha_inicio]]="","",TODAY()-tblOrdenes[[#This Row],[fecha_inicio]])</f>
        <v/>
      </c>
      <c r="AB5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0">
        <f>IF(tblOrdenes[[#This Row],[orden]]="","",_xlfn.XLOOKUP(tblOrdenes[[#This Row],[id_operacion]],tblEjecucion[id_operacion],tblEjecucion[precio],0))</f>
        <v/>
      </c>
      <c r="AJ599" s="10">
        <f>IF(tblOrdenes[[#This Row],[orden]]="","",MAX(0,_xlfn.XLOOKUP(tblOrdenes[[#This Row],[id_operacion]],tblEjecucion[id_operacion],tblEjecucion[costo_plan_total],0)-tblOrdenes[[#This Row],[costo_servicio]]))</f>
        <v/>
      </c>
      <c r="AK599" s="10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2">
        <f>IF(tblOrdenes[[#This Row],[fecha_inicio]]="","",TODAY()-tblOrdenes[[#This Row],[fecha_inicio]])</f>
        <v/>
      </c>
      <c r="AB6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0">
        <f>IF(tblOrdenes[[#This Row],[orden]]="","",_xlfn.XLOOKUP(tblOrdenes[[#This Row],[id_operacion]],tblEjecucion[id_operacion],tblEjecucion[precio],0))</f>
        <v/>
      </c>
      <c r="AJ600" s="10">
        <f>IF(tblOrdenes[[#This Row],[orden]]="","",MAX(0,_xlfn.XLOOKUP(tblOrdenes[[#This Row],[id_operacion]],tblEjecucion[id_operacion],tblEjecucion[costo_plan_total],0)-tblOrdenes[[#This Row],[costo_servicio]]))</f>
        <v/>
      </c>
      <c r="AK600" s="10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2">
        <f>IF(tblOrdenes[[#This Row],[fecha_inicio]]="","",TODAY()-tblOrdenes[[#This Row],[fecha_inicio]])</f>
        <v/>
      </c>
      <c r="AB6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0">
        <f>IF(tblOrdenes[[#This Row],[orden]]="","",_xlfn.XLOOKUP(tblOrdenes[[#This Row],[id_operacion]],tblEjecucion[id_operacion],tblEjecucion[precio],0))</f>
        <v/>
      </c>
      <c r="AJ601" s="10">
        <f>IF(tblOrdenes[[#This Row],[orden]]="","",MAX(0,_xlfn.XLOOKUP(tblOrdenes[[#This Row],[id_operacion]],tblEjecucion[id_operacion],tblEjecucion[costo_plan_total],0)-tblOrdenes[[#This Row],[costo_servicio]]))</f>
        <v/>
      </c>
      <c r="AK601" s="10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2">
        <f>IF(tblOrdenes[[#This Row],[fecha_inicio]]="","",TODAY()-tblOrdenes[[#This Row],[fecha_inicio]])</f>
        <v/>
      </c>
      <c r="AB6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0">
        <f>IF(tblOrdenes[[#This Row],[orden]]="","",_xlfn.XLOOKUP(tblOrdenes[[#This Row],[id_operacion]],tblEjecucion[id_operacion],tblEjecucion[precio],0))</f>
        <v/>
      </c>
      <c r="AJ602" s="10">
        <f>IF(tblOrdenes[[#This Row],[orden]]="","",MAX(0,_xlfn.XLOOKUP(tblOrdenes[[#This Row],[id_operacion]],tblEjecucion[id_operacion],tblEjecucion[costo_plan_total],0)-tblOrdenes[[#This Row],[costo_servicio]]))</f>
        <v/>
      </c>
      <c r="AK602" s="10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2">
        <f>IF(tblOrdenes[[#This Row],[fecha_inicio]]="","",TODAY()-tblOrdenes[[#This Row],[fecha_inicio]])</f>
        <v/>
      </c>
      <c r="AB6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0">
        <f>IF(tblOrdenes[[#This Row],[orden]]="","",_xlfn.XLOOKUP(tblOrdenes[[#This Row],[id_operacion]],tblEjecucion[id_operacion],tblEjecucion[precio],0))</f>
        <v/>
      </c>
      <c r="AJ603" s="10">
        <f>IF(tblOrdenes[[#This Row],[orden]]="","",MAX(0,_xlfn.XLOOKUP(tblOrdenes[[#This Row],[id_operacion]],tblEjecucion[id_operacion],tblEjecucion[costo_plan_total],0)-tblOrdenes[[#This Row],[costo_servicio]]))</f>
        <v/>
      </c>
      <c r="AK603" s="10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2">
        <f>IF(tblOrdenes[[#This Row],[fecha_inicio]]="","",TODAY()-tblOrdenes[[#This Row],[fecha_inicio]])</f>
        <v/>
      </c>
      <c r="AB6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0">
        <f>IF(tblOrdenes[[#This Row],[orden]]="","",_xlfn.XLOOKUP(tblOrdenes[[#This Row],[id_operacion]],tblEjecucion[id_operacion],tblEjecucion[precio],0))</f>
        <v/>
      </c>
      <c r="AJ604" s="10">
        <f>IF(tblOrdenes[[#This Row],[orden]]="","",MAX(0,_xlfn.XLOOKUP(tblOrdenes[[#This Row],[id_operacion]],tblEjecucion[id_operacion],tblEjecucion[costo_plan_total],0)-tblOrdenes[[#This Row],[costo_servicio]]))</f>
        <v/>
      </c>
      <c r="AK604" s="10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2">
        <f>IF(tblOrdenes[[#This Row],[fecha_inicio]]="","",TODAY()-tblOrdenes[[#This Row],[fecha_inicio]])</f>
        <v/>
      </c>
      <c r="AB6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0">
        <f>IF(tblOrdenes[[#This Row],[orden]]="","",_xlfn.XLOOKUP(tblOrdenes[[#This Row],[id_operacion]],tblEjecucion[id_operacion],tblEjecucion[precio],0))</f>
        <v/>
      </c>
      <c r="AJ605" s="10">
        <f>IF(tblOrdenes[[#This Row],[orden]]="","",MAX(0,_xlfn.XLOOKUP(tblOrdenes[[#This Row],[id_operacion]],tblEjecucion[id_operacion],tblEjecucion[costo_plan_total],0)-tblOrdenes[[#This Row],[costo_servicio]]))</f>
        <v/>
      </c>
      <c r="AK605" s="10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2">
        <f>IF(tblOrdenes[[#This Row],[fecha_inicio]]="","",TODAY()-tblOrdenes[[#This Row],[fecha_inicio]])</f>
        <v/>
      </c>
      <c r="AB6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0">
        <f>IF(tblOrdenes[[#This Row],[orden]]="","",_xlfn.XLOOKUP(tblOrdenes[[#This Row],[id_operacion]],tblEjecucion[id_operacion],tblEjecucion[precio],0))</f>
        <v/>
      </c>
      <c r="AJ606" s="10">
        <f>IF(tblOrdenes[[#This Row],[orden]]="","",MAX(0,_xlfn.XLOOKUP(tblOrdenes[[#This Row],[id_operacion]],tblEjecucion[id_operacion],tblEjecucion[costo_plan_total],0)-tblOrdenes[[#This Row],[costo_servicio]]))</f>
        <v/>
      </c>
      <c r="AK606" s="10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2">
        <f>IF(tblOrdenes[[#This Row],[fecha_inicio]]="","",TODAY()-tblOrdenes[[#This Row],[fecha_inicio]])</f>
        <v/>
      </c>
      <c r="AB6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0">
        <f>IF(tblOrdenes[[#This Row],[orden]]="","",_xlfn.XLOOKUP(tblOrdenes[[#This Row],[id_operacion]],tblEjecucion[id_operacion],tblEjecucion[precio],0))</f>
        <v/>
      </c>
      <c r="AJ607" s="10">
        <f>IF(tblOrdenes[[#This Row],[orden]]="","",MAX(0,_xlfn.XLOOKUP(tblOrdenes[[#This Row],[id_operacion]],tblEjecucion[id_operacion],tblEjecucion[costo_plan_total],0)-tblOrdenes[[#This Row],[costo_servicio]]))</f>
        <v/>
      </c>
      <c r="AK607" s="10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2">
        <f>IF(tblOrdenes[[#This Row],[fecha_inicio]]="","",TODAY()-tblOrdenes[[#This Row],[fecha_inicio]])</f>
        <v/>
      </c>
      <c r="AB6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0">
        <f>IF(tblOrdenes[[#This Row],[orden]]="","",_xlfn.XLOOKUP(tblOrdenes[[#This Row],[id_operacion]],tblEjecucion[id_operacion],tblEjecucion[precio],0))</f>
        <v/>
      </c>
      <c r="AJ608" s="10">
        <f>IF(tblOrdenes[[#This Row],[orden]]="","",MAX(0,_xlfn.XLOOKUP(tblOrdenes[[#This Row],[id_operacion]],tblEjecucion[id_operacion],tblEjecucion[costo_plan_total],0)-tblOrdenes[[#This Row],[costo_servicio]]))</f>
        <v/>
      </c>
      <c r="AK608" s="10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2">
        <f>IF(tblOrdenes[[#This Row],[fecha_inicio]]="","",TODAY()-tblOrdenes[[#This Row],[fecha_inicio]])</f>
        <v/>
      </c>
      <c r="AB6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0">
        <f>IF(tblOrdenes[[#This Row],[orden]]="","",_xlfn.XLOOKUP(tblOrdenes[[#This Row],[id_operacion]],tblEjecucion[id_operacion],tblEjecucion[precio],0))</f>
        <v/>
      </c>
      <c r="AJ609" s="10">
        <f>IF(tblOrdenes[[#This Row],[orden]]="","",MAX(0,_xlfn.XLOOKUP(tblOrdenes[[#This Row],[id_operacion]],tblEjecucion[id_operacion],tblEjecucion[costo_plan_total],0)-tblOrdenes[[#This Row],[costo_servicio]]))</f>
        <v/>
      </c>
      <c r="AK609" s="10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2">
        <f>IF(tblOrdenes[[#This Row],[fecha_inicio]]="","",TODAY()-tblOrdenes[[#This Row],[fecha_inicio]])</f>
        <v/>
      </c>
      <c r="AB6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0">
        <f>IF(tblOrdenes[[#This Row],[orden]]="","",_xlfn.XLOOKUP(tblOrdenes[[#This Row],[id_operacion]],tblEjecucion[id_operacion],tblEjecucion[precio],0))</f>
        <v/>
      </c>
      <c r="AJ610" s="10">
        <f>IF(tblOrdenes[[#This Row],[orden]]="","",MAX(0,_xlfn.XLOOKUP(tblOrdenes[[#This Row],[id_operacion]],tblEjecucion[id_operacion],tblEjecucion[costo_plan_total],0)-tblOrdenes[[#This Row],[costo_servicio]]))</f>
        <v/>
      </c>
      <c r="AK610" s="10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2">
        <f>IF(tblOrdenes[[#This Row],[fecha_inicio]]="","",TODAY()-tblOrdenes[[#This Row],[fecha_inicio]])</f>
        <v/>
      </c>
      <c r="AB6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0">
        <f>IF(tblOrdenes[[#This Row],[orden]]="","",_xlfn.XLOOKUP(tblOrdenes[[#This Row],[id_operacion]],tblEjecucion[id_operacion],tblEjecucion[precio],0))</f>
        <v/>
      </c>
      <c r="AJ611" s="10">
        <f>IF(tblOrdenes[[#This Row],[orden]]="","",MAX(0,_xlfn.XLOOKUP(tblOrdenes[[#This Row],[id_operacion]],tblEjecucion[id_operacion],tblEjecucion[costo_plan_total],0)-tblOrdenes[[#This Row],[costo_servicio]]))</f>
        <v/>
      </c>
      <c r="AK611" s="10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2">
        <f>IF(tblOrdenes[[#This Row],[fecha_inicio]]="","",TODAY()-tblOrdenes[[#This Row],[fecha_inicio]])</f>
        <v/>
      </c>
      <c r="AB6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0">
        <f>IF(tblOrdenes[[#This Row],[orden]]="","",_xlfn.XLOOKUP(tblOrdenes[[#This Row],[id_operacion]],tblEjecucion[id_operacion],tblEjecucion[precio],0))</f>
        <v/>
      </c>
      <c r="AJ612" s="10">
        <f>IF(tblOrdenes[[#This Row],[orden]]="","",MAX(0,_xlfn.XLOOKUP(tblOrdenes[[#This Row],[id_operacion]],tblEjecucion[id_operacion],tblEjecucion[costo_plan_total],0)-tblOrdenes[[#This Row],[costo_servicio]]))</f>
        <v/>
      </c>
      <c r="AK612" s="10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2">
        <f>IF(tblOrdenes[[#This Row],[fecha_inicio]]="","",TODAY()-tblOrdenes[[#This Row],[fecha_inicio]])</f>
        <v/>
      </c>
      <c r="AB6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0">
        <f>IF(tblOrdenes[[#This Row],[orden]]="","",_xlfn.XLOOKUP(tblOrdenes[[#This Row],[id_operacion]],tblEjecucion[id_operacion],tblEjecucion[precio],0))</f>
        <v/>
      </c>
      <c r="AJ613" s="10">
        <f>IF(tblOrdenes[[#This Row],[orden]]="","",MAX(0,_xlfn.XLOOKUP(tblOrdenes[[#This Row],[id_operacion]],tblEjecucion[id_operacion],tblEjecucion[costo_plan_total],0)-tblOrdenes[[#This Row],[costo_servicio]]))</f>
        <v/>
      </c>
      <c r="AK613" s="10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2">
        <f>IF(tblOrdenes[[#This Row],[fecha_inicio]]="","",TODAY()-tblOrdenes[[#This Row],[fecha_inicio]])</f>
        <v/>
      </c>
      <c r="AB6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0">
        <f>IF(tblOrdenes[[#This Row],[orden]]="","",_xlfn.XLOOKUP(tblOrdenes[[#This Row],[id_operacion]],tblEjecucion[id_operacion],tblEjecucion[precio],0))</f>
        <v/>
      </c>
      <c r="AJ614" s="10">
        <f>IF(tblOrdenes[[#This Row],[orden]]="","",MAX(0,_xlfn.XLOOKUP(tblOrdenes[[#This Row],[id_operacion]],tblEjecucion[id_operacion],tblEjecucion[costo_plan_total],0)-tblOrdenes[[#This Row],[costo_servicio]]))</f>
        <v/>
      </c>
      <c r="AK614" s="10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2">
        <f>IF(tblOrdenes[[#This Row],[fecha_inicio]]="","",TODAY()-tblOrdenes[[#This Row],[fecha_inicio]])</f>
        <v/>
      </c>
      <c r="AB6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0">
        <f>IF(tblOrdenes[[#This Row],[orden]]="","",_xlfn.XLOOKUP(tblOrdenes[[#This Row],[id_operacion]],tblEjecucion[id_operacion],tblEjecucion[precio],0))</f>
        <v/>
      </c>
      <c r="AJ615" s="10">
        <f>IF(tblOrdenes[[#This Row],[orden]]="","",MAX(0,_xlfn.XLOOKUP(tblOrdenes[[#This Row],[id_operacion]],tblEjecucion[id_operacion],tblEjecucion[costo_plan_total],0)-tblOrdenes[[#This Row],[costo_servicio]]))</f>
        <v/>
      </c>
      <c r="AK615" s="10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2">
        <f>IF(tblOrdenes[[#This Row],[fecha_inicio]]="","",TODAY()-tblOrdenes[[#This Row],[fecha_inicio]])</f>
        <v/>
      </c>
      <c r="AB6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0">
        <f>IF(tblOrdenes[[#This Row],[orden]]="","",_xlfn.XLOOKUP(tblOrdenes[[#This Row],[id_operacion]],tblEjecucion[id_operacion],tblEjecucion[precio],0))</f>
        <v/>
      </c>
      <c r="AJ616" s="10">
        <f>IF(tblOrdenes[[#This Row],[orden]]="","",MAX(0,_xlfn.XLOOKUP(tblOrdenes[[#This Row],[id_operacion]],tblEjecucion[id_operacion],tblEjecucion[costo_plan_total],0)-tblOrdenes[[#This Row],[costo_servicio]]))</f>
        <v/>
      </c>
      <c r="AK616" s="10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2">
        <f>IF(tblOrdenes[[#This Row],[fecha_inicio]]="","",TODAY()-tblOrdenes[[#This Row],[fecha_inicio]])</f>
        <v/>
      </c>
      <c r="AB6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0">
        <f>IF(tblOrdenes[[#This Row],[orden]]="","",_xlfn.XLOOKUP(tblOrdenes[[#This Row],[id_operacion]],tblEjecucion[id_operacion],tblEjecucion[precio],0))</f>
        <v/>
      </c>
      <c r="AJ617" s="10">
        <f>IF(tblOrdenes[[#This Row],[orden]]="","",MAX(0,_xlfn.XLOOKUP(tblOrdenes[[#This Row],[id_operacion]],tblEjecucion[id_operacion],tblEjecucion[costo_plan_total],0)-tblOrdenes[[#This Row],[costo_servicio]]))</f>
        <v/>
      </c>
      <c r="AK617" s="10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2">
        <f>IF(tblOrdenes[[#This Row],[fecha_inicio]]="","",TODAY()-tblOrdenes[[#This Row],[fecha_inicio]])</f>
        <v/>
      </c>
      <c r="AB6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0">
        <f>IF(tblOrdenes[[#This Row],[orden]]="","",_xlfn.XLOOKUP(tblOrdenes[[#This Row],[id_operacion]],tblEjecucion[id_operacion],tblEjecucion[precio],0))</f>
        <v/>
      </c>
      <c r="AJ618" s="10">
        <f>IF(tblOrdenes[[#This Row],[orden]]="","",MAX(0,_xlfn.XLOOKUP(tblOrdenes[[#This Row],[id_operacion]],tblEjecucion[id_operacion],tblEjecucion[costo_plan_total],0)-tblOrdenes[[#This Row],[costo_servicio]]))</f>
        <v/>
      </c>
      <c r="AK618" s="10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2">
        <f>IF(tblOrdenes[[#This Row],[fecha_inicio]]="","",TODAY()-tblOrdenes[[#This Row],[fecha_inicio]])</f>
        <v/>
      </c>
      <c r="AB6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0">
        <f>IF(tblOrdenes[[#This Row],[orden]]="","",_xlfn.XLOOKUP(tblOrdenes[[#This Row],[id_operacion]],tblEjecucion[id_operacion],tblEjecucion[precio],0))</f>
        <v/>
      </c>
      <c r="AJ619" s="10">
        <f>IF(tblOrdenes[[#This Row],[orden]]="","",MAX(0,_xlfn.XLOOKUP(tblOrdenes[[#This Row],[id_operacion]],tblEjecucion[id_operacion],tblEjecucion[costo_plan_total],0)-tblOrdenes[[#This Row],[costo_servicio]]))</f>
        <v/>
      </c>
      <c r="AK619" s="10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2">
        <f>IF(tblOrdenes[[#This Row],[fecha_inicio]]="","",TODAY()-tblOrdenes[[#This Row],[fecha_inicio]])</f>
        <v/>
      </c>
      <c r="AB6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0">
        <f>IF(tblOrdenes[[#This Row],[orden]]="","",_xlfn.XLOOKUP(tblOrdenes[[#This Row],[id_operacion]],tblEjecucion[id_operacion],tblEjecucion[precio],0))</f>
        <v/>
      </c>
      <c r="AJ620" s="10">
        <f>IF(tblOrdenes[[#This Row],[orden]]="","",MAX(0,_xlfn.XLOOKUP(tblOrdenes[[#This Row],[id_operacion]],tblEjecucion[id_operacion],tblEjecucion[costo_plan_total],0)-tblOrdenes[[#This Row],[costo_servicio]]))</f>
        <v/>
      </c>
      <c r="AK620" s="10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2">
        <f>IF(tblOrdenes[[#This Row],[fecha_inicio]]="","",TODAY()-tblOrdenes[[#This Row],[fecha_inicio]])</f>
        <v/>
      </c>
      <c r="AB6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0">
        <f>IF(tblOrdenes[[#This Row],[orden]]="","",_xlfn.XLOOKUP(tblOrdenes[[#This Row],[id_operacion]],tblEjecucion[id_operacion],tblEjecucion[precio],0))</f>
        <v/>
      </c>
      <c r="AJ621" s="10">
        <f>IF(tblOrdenes[[#This Row],[orden]]="","",MAX(0,_xlfn.XLOOKUP(tblOrdenes[[#This Row],[id_operacion]],tblEjecucion[id_operacion],tblEjecucion[costo_plan_total],0)-tblOrdenes[[#This Row],[costo_servicio]]))</f>
        <v/>
      </c>
      <c r="AK621" s="10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2">
        <f>IF(tblOrdenes[[#This Row],[fecha_inicio]]="","",TODAY()-tblOrdenes[[#This Row],[fecha_inicio]])</f>
        <v/>
      </c>
      <c r="AB6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0">
        <f>IF(tblOrdenes[[#This Row],[orden]]="","",_xlfn.XLOOKUP(tblOrdenes[[#This Row],[id_operacion]],tblEjecucion[id_operacion],tblEjecucion[precio],0))</f>
        <v/>
      </c>
      <c r="AJ622" s="10">
        <f>IF(tblOrdenes[[#This Row],[orden]]="","",MAX(0,_xlfn.XLOOKUP(tblOrdenes[[#This Row],[id_operacion]],tblEjecucion[id_operacion],tblEjecucion[costo_plan_total],0)-tblOrdenes[[#This Row],[costo_servicio]]))</f>
        <v/>
      </c>
      <c r="AK622" s="10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2">
        <f>IF(tblOrdenes[[#This Row],[fecha_inicio]]="","",TODAY()-tblOrdenes[[#This Row],[fecha_inicio]])</f>
        <v/>
      </c>
      <c r="AB6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0">
        <f>IF(tblOrdenes[[#This Row],[orden]]="","",_xlfn.XLOOKUP(tblOrdenes[[#This Row],[id_operacion]],tblEjecucion[id_operacion],tblEjecucion[precio],0))</f>
        <v/>
      </c>
      <c r="AJ623" s="10">
        <f>IF(tblOrdenes[[#This Row],[orden]]="","",MAX(0,_xlfn.XLOOKUP(tblOrdenes[[#This Row],[id_operacion]],tblEjecucion[id_operacion],tblEjecucion[costo_plan_total],0)-tblOrdenes[[#This Row],[costo_servicio]]))</f>
        <v/>
      </c>
      <c r="AK623" s="10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2">
        <f>IF(tblOrdenes[[#This Row],[fecha_inicio]]="","",TODAY()-tblOrdenes[[#This Row],[fecha_inicio]])</f>
        <v/>
      </c>
      <c r="AB6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0">
        <f>IF(tblOrdenes[[#This Row],[orden]]="","",_xlfn.XLOOKUP(tblOrdenes[[#This Row],[id_operacion]],tblEjecucion[id_operacion],tblEjecucion[precio],0))</f>
        <v/>
      </c>
      <c r="AJ624" s="10">
        <f>IF(tblOrdenes[[#This Row],[orden]]="","",MAX(0,_xlfn.XLOOKUP(tblOrdenes[[#This Row],[id_operacion]],tblEjecucion[id_operacion],tblEjecucion[costo_plan_total],0)-tblOrdenes[[#This Row],[costo_servicio]]))</f>
        <v/>
      </c>
      <c r="AK624" s="10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2">
        <f>IF(tblOrdenes[[#This Row],[fecha_inicio]]="","",TODAY()-tblOrdenes[[#This Row],[fecha_inicio]])</f>
        <v/>
      </c>
      <c r="AB6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0">
        <f>IF(tblOrdenes[[#This Row],[orden]]="","",_xlfn.XLOOKUP(tblOrdenes[[#This Row],[id_operacion]],tblEjecucion[id_operacion],tblEjecucion[precio],0))</f>
        <v/>
      </c>
      <c r="AJ625" s="10">
        <f>IF(tblOrdenes[[#This Row],[orden]]="","",MAX(0,_xlfn.XLOOKUP(tblOrdenes[[#This Row],[id_operacion]],tblEjecucion[id_operacion],tblEjecucion[costo_plan_total],0)-tblOrdenes[[#This Row],[costo_servicio]]))</f>
        <v/>
      </c>
      <c r="AK625" s="10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2">
        <f>IF(tblOrdenes[[#This Row],[fecha_inicio]]="","",TODAY()-tblOrdenes[[#This Row],[fecha_inicio]])</f>
        <v/>
      </c>
      <c r="AB6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0">
        <f>IF(tblOrdenes[[#This Row],[orden]]="","",_xlfn.XLOOKUP(tblOrdenes[[#This Row],[id_operacion]],tblEjecucion[id_operacion],tblEjecucion[precio],0))</f>
        <v/>
      </c>
      <c r="AJ626" s="10">
        <f>IF(tblOrdenes[[#This Row],[orden]]="","",MAX(0,_xlfn.XLOOKUP(tblOrdenes[[#This Row],[id_operacion]],tblEjecucion[id_operacion],tblEjecucion[costo_plan_total],0)-tblOrdenes[[#This Row],[costo_servicio]]))</f>
        <v/>
      </c>
      <c r="AK626" s="10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2">
        <f>IF(tblOrdenes[[#This Row],[fecha_inicio]]="","",TODAY()-tblOrdenes[[#This Row],[fecha_inicio]])</f>
        <v/>
      </c>
      <c r="AB6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0">
        <f>IF(tblOrdenes[[#This Row],[orden]]="","",_xlfn.XLOOKUP(tblOrdenes[[#This Row],[id_operacion]],tblEjecucion[id_operacion],tblEjecucion[precio],0))</f>
        <v/>
      </c>
      <c r="AJ627" s="10">
        <f>IF(tblOrdenes[[#This Row],[orden]]="","",MAX(0,_xlfn.XLOOKUP(tblOrdenes[[#This Row],[id_operacion]],tblEjecucion[id_operacion],tblEjecucion[costo_plan_total],0)-tblOrdenes[[#This Row],[costo_servicio]]))</f>
        <v/>
      </c>
      <c r="AK627" s="10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2">
        <f>IF(tblOrdenes[[#This Row],[fecha_inicio]]="","",TODAY()-tblOrdenes[[#This Row],[fecha_inicio]])</f>
        <v/>
      </c>
      <c r="AB6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0">
        <f>IF(tblOrdenes[[#This Row],[orden]]="","",_xlfn.XLOOKUP(tblOrdenes[[#This Row],[id_operacion]],tblEjecucion[id_operacion],tblEjecucion[precio],0))</f>
        <v/>
      </c>
      <c r="AJ628" s="10">
        <f>IF(tblOrdenes[[#This Row],[orden]]="","",MAX(0,_xlfn.XLOOKUP(tblOrdenes[[#This Row],[id_operacion]],tblEjecucion[id_operacion],tblEjecucion[costo_plan_total],0)-tblOrdenes[[#This Row],[costo_servicio]]))</f>
        <v/>
      </c>
      <c r="AK628" s="10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2">
        <f>IF(tblOrdenes[[#This Row],[fecha_inicio]]="","",TODAY()-tblOrdenes[[#This Row],[fecha_inicio]])</f>
        <v/>
      </c>
      <c r="AB6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0">
        <f>IF(tblOrdenes[[#This Row],[orden]]="","",_xlfn.XLOOKUP(tblOrdenes[[#This Row],[id_operacion]],tblEjecucion[id_operacion],tblEjecucion[precio],0))</f>
        <v/>
      </c>
      <c r="AJ629" s="10">
        <f>IF(tblOrdenes[[#This Row],[orden]]="","",MAX(0,_xlfn.XLOOKUP(tblOrdenes[[#This Row],[id_operacion]],tblEjecucion[id_operacion],tblEjecucion[costo_plan_total],0)-tblOrdenes[[#This Row],[costo_servicio]]))</f>
        <v/>
      </c>
      <c r="AK629" s="10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2">
        <f>IF(tblOrdenes[[#This Row],[fecha_inicio]]="","",TODAY()-tblOrdenes[[#This Row],[fecha_inicio]])</f>
        <v/>
      </c>
      <c r="AB6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0">
        <f>IF(tblOrdenes[[#This Row],[orden]]="","",_xlfn.XLOOKUP(tblOrdenes[[#This Row],[id_operacion]],tblEjecucion[id_operacion],tblEjecucion[precio],0))</f>
        <v/>
      </c>
      <c r="AJ630" s="10">
        <f>IF(tblOrdenes[[#This Row],[orden]]="","",MAX(0,_xlfn.XLOOKUP(tblOrdenes[[#This Row],[id_operacion]],tblEjecucion[id_operacion],tblEjecucion[costo_plan_total],0)-tblOrdenes[[#This Row],[costo_servicio]]))</f>
        <v/>
      </c>
      <c r="AK630" s="10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2">
        <f>IF(tblOrdenes[[#This Row],[fecha_inicio]]="","",TODAY()-tblOrdenes[[#This Row],[fecha_inicio]])</f>
        <v/>
      </c>
      <c r="AB6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0">
        <f>IF(tblOrdenes[[#This Row],[orden]]="","",_xlfn.XLOOKUP(tblOrdenes[[#This Row],[id_operacion]],tblEjecucion[id_operacion],tblEjecucion[precio],0))</f>
        <v/>
      </c>
      <c r="AJ631" s="10">
        <f>IF(tblOrdenes[[#This Row],[orden]]="","",MAX(0,_xlfn.XLOOKUP(tblOrdenes[[#This Row],[id_operacion]],tblEjecucion[id_operacion],tblEjecucion[costo_plan_total],0)-tblOrdenes[[#This Row],[costo_servicio]]))</f>
        <v/>
      </c>
      <c r="AK631" s="10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2">
        <f>IF(tblOrdenes[[#This Row],[fecha_inicio]]="","",TODAY()-tblOrdenes[[#This Row],[fecha_inicio]])</f>
        <v/>
      </c>
      <c r="AB6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0">
        <f>IF(tblOrdenes[[#This Row],[orden]]="","",_xlfn.XLOOKUP(tblOrdenes[[#This Row],[id_operacion]],tblEjecucion[id_operacion],tblEjecucion[precio],0))</f>
        <v/>
      </c>
      <c r="AJ632" s="10">
        <f>IF(tblOrdenes[[#This Row],[orden]]="","",MAX(0,_xlfn.XLOOKUP(tblOrdenes[[#This Row],[id_operacion]],tblEjecucion[id_operacion],tblEjecucion[costo_plan_total],0)-tblOrdenes[[#This Row],[costo_servicio]]))</f>
        <v/>
      </c>
      <c r="AK632" s="10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2">
        <f>IF(tblOrdenes[[#This Row],[fecha_inicio]]="","",TODAY()-tblOrdenes[[#This Row],[fecha_inicio]])</f>
        <v/>
      </c>
      <c r="AB6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0">
        <f>IF(tblOrdenes[[#This Row],[orden]]="","",_xlfn.XLOOKUP(tblOrdenes[[#This Row],[id_operacion]],tblEjecucion[id_operacion],tblEjecucion[precio],0))</f>
        <v/>
      </c>
      <c r="AJ633" s="10">
        <f>IF(tblOrdenes[[#This Row],[orden]]="","",MAX(0,_xlfn.XLOOKUP(tblOrdenes[[#This Row],[id_operacion]],tblEjecucion[id_operacion],tblEjecucion[costo_plan_total],0)-tblOrdenes[[#This Row],[costo_servicio]]))</f>
        <v/>
      </c>
      <c r="AK633" s="10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2">
        <f>IF(tblOrdenes[[#This Row],[fecha_inicio]]="","",TODAY()-tblOrdenes[[#This Row],[fecha_inicio]])</f>
        <v/>
      </c>
      <c r="AB6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0">
        <f>IF(tblOrdenes[[#This Row],[orden]]="","",_xlfn.XLOOKUP(tblOrdenes[[#This Row],[id_operacion]],tblEjecucion[id_operacion],tblEjecucion[precio],0))</f>
        <v/>
      </c>
      <c r="AJ634" s="10">
        <f>IF(tblOrdenes[[#This Row],[orden]]="","",MAX(0,_xlfn.XLOOKUP(tblOrdenes[[#This Row],[id_operacion]],tblEjecucion[id_operacion],tblEjecucion[costo_plan_total],0)-tblOrdenes[[#This Row],[costo_servicio]]))</f>
        <v/>
      </c>
      <c r="AK634" s="10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2">
        <f>IF(tblOrdenes[[#This Row],[fecha_inicio]]="","",TODAY()-tblOrdenes[[#This Row],[fecha_inicio]])</f>
        <v/>
      </c>
      <c r="AB6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0">
        <f>IF(tblOrdenes[[#This Row],[orden]]="","",_xlfn.XLOOKUP(tblOrdenes[[#This Row],[id_operacion]],tblEjecucion[id_operacion],tblEjecucion[precio],0))</f>
        <v/>
      </c>
      <c r="AJ635" s="10">
        <f>IF(tblOrdenes[[#This Row],[orden]]="","",MAX(0,_xlfn.XLOOKUP(tblOrdenes[[#This Row],[id_operacion]],tblEjecucion[id_operacion],tblEjecucion[costo_plan_total],0)-tblOrdenes[[#This Row],[costo_servicio]]))</f>
        <v/>
      </c>
      <c r="AK635" s="10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2">
        <f>IF(tblOrdenes[[#This Row],[fecha_inicio]]="","",TODAY()-tblOrdenes[[#This Row],[fecha_inicio]])</f>
        <v/>
      </c>
      <c r="AB6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0">
        <f>IF(tblOrdenes[[#This Row],[orden]]="","",_xlfn.XLOOKUP(tblOrdenes[[#This Row],[id_operacion]],tblEjecucion[id_operacion],tblEjecucion[precio],0))</f>
        <v/>
      </c>
      <c r="AJ636" s="10">
        <f>IF(tblOrdenes[[#This Row],[orden]]="","",MAX(0,_xlfn.XLOOKUP(tblOrdenes[[#This Row],[id_operacion]],tblEjecucion[id_operacion],tblEjecucion[costo_plan_total],0)-tblOrdenes[[#This Row],[costo_servicio]]))</f>
        <v/>
      </c>
      <c r="AK636" s="10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2">
        <f>IF(tblOrdenes[[#This Row],[fecha_inicio]]="","",TODAY()-tblOrdenes[[#This Row],[fecha_inicio]])</f>
        <v/>
      </c>
      <c r="AB6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0">
        <f>IF(tblOrdenes[[#This Row],[orden]]="","",_xlfn.XLOOKUP(tblOrdenes[[#This Row],[id_operacion]],tblEjecucion[id_operacion],tblEjecucion[precio],0))</f>
        <v/>
      </c>
      <c r="AJ637" s="10">
        <f>IF(tblOrdenes[[#This Row],[orden]]="","",MAX(0,_xlfn.XLOOKUP(tblOrdenes[[#This Row],[id_operacion]],tblEjecucion[id_operacion],tblEjecucion[costo_plan_total],0)-tblOrdenes[[#This Row],[costo_servicio]]))</f>
        <v/>
      </c>
      <c r="AK637" s="10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2">
        <f>IF(tblOrdenes[[#This Row],[fecha_inicio]]="","",TODAY()-tblOrdenes[[#This Row],[fecha_inicio]])</f>
        <v/>
      </c>
      <c r="AB6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0">
        <f>IF(tblOrdenes[[#This Row],[orden]]="","",_xlfn.XLOOKUP(tblOrdenes[[#This Row],[id_operacion]],tblEjecucion[id_operacion],tblEjecucion[precio],0))</f>
        <v/>
      </c>
      <c r="AJ638" s="10">
        <f>IF(tblOrdenes[[#This Row],[orden]]="","",MAX(0,_xlfn.XLOOKUP(tblOrdenes[[#This Row],[id_operacion]],tblEjecucion[id_operacion],tblEjecucion[costo_plan_total],0)-tblOrdenes[[#This Row],[costo_servicio]]))</f>
        <v/>
      </c>
      <c r="AK638" s="10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2">
        <f>IF(tblOrdenes[[#This Row],[fecha_inicio]]="","",TODAY()-tblOrdenes[[#This Row],[fecha_inicio]])</f>
        <v/>
      </c>
      <c r="AB6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0">
        <f>IF(tblOrdenes[[#This Row],[orden]]="","",_xlfn.XLOOKUP(tblOrdenes[[#This Row],[id_operacion]],tblEjecucion[id_operacion],tblEjecucion[precio],0))</f>
        <v/>
      </c>
      <c r="AJ639" s="10">
        <f>IF(tblOrdenes[[#This Row],[orden]]="","",MAX(0,_xlfn.XLOOKUP(tblOrdenes[[#This Row],[id_operacion]],tblEjecucion[id_operacion],tblEjecucion[costo_plan_total],0)-tblOrdenes[[#This Row],[costo_servicio]]))</f>
        <v/>
      </c>
      <c r="AK639" s="10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2">
        <f>IF(tblOrdenes[[#This Row],[fecha_inicio]]="","",TODAY()-tblOrdenes[[#This Row],[fecha_inicio]])</f>
        <v/>
      </c>
      <c r="AB6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0">
        <f>IF(tblOrdenes[[#This Row],[orden]]="","",_xlfn.XLOOKUP(tblOrdenes[[#This Row],[id_operacion]],tblEjecucion[id_operacion],tblEjecucion[precio],0))</f>
        <v/>
      </c>
      <c r="AJ640" s="10">
        <f>IF(tblOrdenes[[#This Row],[orden]]="","",MAX(0,_xlfn.XLOOKUP(tblOrdenes[[#This Row],[id_operacion]],tblEjecucion[id_operacion],tblEjecucion[costo_plan_total],0)-tblOrdenes[[#This Row],[costo_servicio]]))</f>
        <v/>
      </c>
      <c r="AK640" s="10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2">
        <f>IF(tblOrdenes[[#This Row],[fecha_inicio]]="","",TODAY()-tblOrdenes[[#This Row],[fecha_inicio]])</f>
        <v/>
      </c>
      <c r="AB6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0">
        <f>IF(tblOrdenes[[#This Row],[orden]]="","",_xlfn.XLOOKUP(tblOrdenes[[#This Row],[id_operacion]],tblEjecucion[id_operacion],tblEjecucion[precio],0))</f>
        <v/>
      </c>
      <c r="AJ641" s="10">
        <f>IF(tblOrdenes[[#This Row],[orden]]="","",MAX(0,_xlfn.XLOOKUP(tblOrdenes[[#This Row],[id_operacion]],tblEjecucion[id_operacion],tblEjecucion[costo_plan_total],0)-tblOrdenes[[#This Row],[costo_servicio]]))</f>
        <v/>
      </c>
      <c r="AK641" s="10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2">
        <f>IF(tblOrdenes[[#This Row],[fecha_inicio]]="","",TODAY()-tblOrdenes[[#This Row],[fecha_inicio]])</f>
        <v/>
      </c>
      <c r="AB6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0">
        <f>IF(tblOrdenes[[#This Row],[orden]]="","",_xlfn.XLOOKUP(tblOrdenes[[#This Row],[id_operacion]],tblEjecucion[id_operacion],tblEjecucion[precio],0))</f>
        <v/>
      </c>
      <c r="AJ642" s="10">
        <f>IF(tblOrdenes[[#This Row],[orden]]="","",MAX(0,_xlfn.XLOOKUP(tblOrdenes[[#This Row],[id_operacion]],tblEjecucion[id_operacion],tblEjecucion[costo_plan_total],0)-tblOrdenes[[#This Row],[costo_servicio]]))</f>
        <v/>
      </c>
      <c r="AK642" s="10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2">
        <f>IF(tblOrdenes[[#This Row],[fecha_inicio]]="","",TODAY()-tblOrdenes[[#This Row],[fecha_inicio]])</f>
        <v/>
      </c>
      <c r="AB6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0">
        <f>IF(tblOrdenes[[#This Row],[orden]]="","",_xlfn.XLOOKUP(tblOrdenes[[#This Row],[id_operacion]],tblEjecucion[id_operacion],tblEjecucion[precio],0))</f>
        <v/>
      </c>
      <c r="AJ643" s="10">
        <f>IF(tblOrdenes[[#This Row],[orden]]="","",MAX(0,_xlfn.XLOOKUP(tblOrdenes[[#This Row],[id_operacion]],tblEjecucion[id_operacion],tblEjecucion[costo_plan_total],0)-tblOrdenes[[#This Row],[costo_servicio]]))</f>
        <v/>
      </c>
      <c r="AK643" s="10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2">
        <f>IF(tblOrdenes[[#This Row],[fecha_inicio]]="","",TODAY()-tblOrdenes[[#This Row],[fecha_inicio]])</f>
        <v/>
      </c>
      <c r="AB6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0">
        <f>IF(tblOrdenes[[#This Row],[orden]]="","",_xlfn.XLOOKUP(tblOrdenes[[#This Row],[id_operacion]],tblEjecucion[id_operacion],tblEjecucion[precio],0))</f>
        <v/>
      </c>
      <c r="AJ644" s="10">
        <f>IF(tblOrdenes[[#This Row],[orden]]="","",MAX(0,_xlfn.XLOOKUP(tblOrdenes[[#This Row],[id_operacion]],tblEjecucion[id_operacion],tblEjecucion[costo_plan_total],0)-tblOrdenes[[#This Row],[costo_servicio]]))</f>
        <v/>
      </c>
      <c r="AK644" s="10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2">
        <f>IF(tblOrdenes[[#This Row],[fecha_inicio]]="","",TODAY()-tblOrdenes[[#This Row],[fecha_inicio]])</f>
        <v/>
      </c>
      <c r="AB6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0">
        <f>IF(tblOrdenes[[#This Row],[orden]]="","",_xlfn.XLOOKUP(tblOrdenes[[#This Row],[id_operacion]],tblEjecucion[id_operacion],tblEjecucion[precio],0))</f>
        <v/>
      </c>
      <c r="AJ645" s="10">
        <f>IF(tblOrdenes[[#This Row],[orden]]="","",MAX(0,_xlfn.XLOOKUP(tblOrdenes[[#This Row],[id_operacion]],tblEjecucion[id_operacion],tblEjecucion[costo_plan_total],0)-tblOrdenes[[#This Row],[costo_servicio]]))</f>
        <v/>
      </c>
      <c r="AK645" s="10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2">
        <f>IF(tblOrdenes[[#This Row],[fecha_inicio]]="","",TODAY()-tblOrdenes[[#This Row],[fecha_inicio]])</f>
        <v/>
      </c>
      <c r="AB6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0">
        <f>IF(tblOrdenes[[#This Row],[orden]]="","",_xlfn.XLOOKUP(tblOrdenes[[#This Row],[id_operacion]],tblEjecucion[id_operacion],tblEjecucion[precio],0))</f>
        <v/>
      </c>
      <c r="AJ646" s="10">
        <f>IF(tblOrdenes[[#This Row],[orden]]="","",MAX(0,_xlfn.XLOOKUP(tblOrdenes[[#This Row],[id_operacion]],tblEjecucion[id_operacion],tblEjecucion[costo_plan_total],0)-tblOrdenes[[#This Row],[costo_servicio]]))</f>
        <v/>
      </c>
      <c r="AK646" s="10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2">
        <f>IF(tblOrdenes[[#This Row],[fecha_inicio]]="","",TODAY()-tblOrdenes[[#This Row],[fecha_inicio]])</f>
        <v/>
      </c>
      <c r="AB6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0">
        <f>IF(tblOrdenes[[#This Row],[orden]]="","",_xlfn.XLOOKUP(tblOrdenes[[#This Row],[id_operacion]],tblEjecucion[id_operacion],tblEjecucion[precio],0))</f>
        <v/>
      </c>
      <c r="AJ647" s="10">
        <f>IF(tblOrdenes[[#This Row],[orden]]="","",MAX(0,_xlfn.XLOOKUP(tblOrdenes[[#This Row],[id_operacion]],tblEjecucion[id_operacion],tblEjecucion[costo_plan_total],0)-tblOrdenes[[#This Row],[costo_servicio]]))</f>
        <v/>
      </c>
      <c r="AK647" s="10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2">
        <f>IF(tblOrdenes[[#This Row],[fecha_inicio]]="","",TODAY()-tblOrdenes[[#This Row],[fecha_inicio]])</f>
        <v/>
      </c>
      <c r="AB6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0">
        <f>IF(tblOrdenes[[#This Row],[orden]]="","",_xlfn.XLOOKUP(tblOrdenes[[#This Row],[id_operacion]],tblEjecucion[id_operacion],tblEjecucion[precio],0))</f>
        <v/>
      </c>
      <c r="AJ648" s="10">
        <f>IF(tblOrdenes[[#This Row],[orden]]="","",MAX(0,_xlfn.XLOOKUP(tblOrdenes[[#This Row],[id_operacion]],tblEjecucion[id_operacion],tblEjecucion[costo_plan_total],0)-tblOrdenes[[#This Row],[costo_servicio]]))</f>
        <v/>
      </c>
      <c r="AK648" s="10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2">
        <f>IF(tblOrdenes[[#This Row],[fecha_inicio]]="","",TODAY()-tblOrdenes[[#This Row],[fecha_inicio]])</f>
        <v/>
      </c>
      <c r="AB6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0">
        <f>IF(tblOrdenes[[#This Row],[orden]]="","",_xlfn.XLOOKUP(tblOrdenes[[#This Row],[id_operacion]],tblEjecucion[id_operacion],tblEjecucion[precio],0))</f>
        <v/>
      </c>
      <c r="AJ649" s="10">
        <f>IF(tblOrdenes[[#This Row],[orden]]="","",MAX(0,_xlfn.XLOOKUP(tblOrdenes[[#This Row],[id_operacion]],tblEjecucion[id_operacion],tblEjecucion[costo_plan_total],0)-tblOrdenes[[#This Row],[costo_servicio]]))</f>
        <v/>
      </c>
      <c r="AK649" s="10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2">
        <f>IF(tblOrdenes[[#This Row],[fecha_inicio]]="","",TODAY()-tblOrdenes[[#This Row],[fecha_inicio]])</f>
        <v/>
      </c>
      <c r="AB6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0">
        <f>IF(tblOrdenes[[#This Row],[orden]]="","",_xlfn.XLOOKUP(tblOrdenes[[#This Row],[id_operacion]],tblEjecucion[id_operacion],tblEjecucion[precio],0))</f>
        <v/>
      </c>
      <c r="AJ650" s="10">
        <f>IF(tblOrdenes[[#This Row],[orden]]="","",MAX(0,_xlfn.XLOOKUP(tblOrdenes[[#This Row],[id_operacion]],tblEjecucion[id_operacion],tblEjecucion[costo_plan_total],0)-tblOrdenes[[#This Row],[costo_servicio]]))</f>
        <v/>
      </c>
      <c r="AK650" s="10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2">
        <f>IF(tblOrdenes[[#This Row],[fecha_inicio]]="","",TODAY()-tblOrdenes[[#This Row],[fecha_inicio]])</f>
        <v/>
      </c>
      <c r="AB6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0">
        <f>IF(tblOrdenes[[#This Row],[orden]]="","",_xlfn.XLOOKUP(tblOrdenes[[#This Row],[id_operacion]],tblEjecucion[id_operacion],tblEjecucion[precio],0))</f>
        <v/>
      </c>
      <c r="AJ651" s="10">
        <f>IF(tblOrdenes[[#This Row],[orden]]="","",MAX(0,_xlfn.XLOOKUP(tblOrdenes[[#This Row],[id_operacion]],tblEjecucion[id_operacion],tblEjecucion[costo_plan_total],0)-tblOrdenes[[#This Row],[costo_servicio]]))</f>
        <v/>
      </c>
      <c r="AK651" s="10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2">
        <f>IF(tblOrdenes[[#This Row],[fecha_inicio]]="","",TODAY()-tblOrdenes[[#This Row],[fecha_inicio]])</f>
        <v/>
      </c>
      <c r="AB6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0">
        <f>IF(tblOrdenes[[#This Row],[orden]]="","",_xlfn.XLOOKUP(tblOrdenes[[#This Row],[id_operacion]],tblEjecucion[id_operacion],tblEjecucion[precio],0))</f>
        <v/>
      </c>
      <c r="AJ652" s="10">
        <f>IF(tblOrdenes[[#This Row],[orden]]="","",MAX(0,_xlfn.XLOOKUP(tblOrdenes[[#This Row],[id_operacion]],tblEjecucion[id_operacion],tblEjecucion[costo_plan_total],0)-tblOrdenes[[#This Row],[costo_servicio]]))</f>
        <v/>
      </c>
      <c r="AK652" s="10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2">
        <f>IF(tblOrdenes[[#This Row],[fecha_inicio]]="","",TODAY()-tblOrdenes[[#This Row],[fecha_inicio]])</f>
        <v/>
      </c>
      <c r="AB6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0">
        <f>IF(tblOrdenes[[#This Row],[orden]]="","",_xlfn.XLOOKUP(tblOrdenes[[#This Row],[id_operacion]],tblEjecucion[id_operacion],tblEjecucion[precio],0))</f>
        <v/>
      </c>
      <c r="AJ653" s="10">
        <f>IF(tblOrdenes[[#This Row],[orden]]="","",MAX(0,_xlfn.XLOOKUP(tblOrdenes[[#This Row],[id_operacion]],tblEjecucion[id_operacion],tblEjecucion[costo_plan_total],0)-tblOrdenes[[#This Row],[costo_servicio]]))</f>
        <v/>
      </c>
      <c r="AK653" s="10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2">
        <f>IF(tblOrdenes[[#This Row],[fecha_inicio]]="","",TODAY()-tblOrdenes[[#This Row],[fecha_inicio]])</f>
        <v/>
      </c>
      <c r="AB6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0">
        <f>IF(tblOrdenes[[#This Row],[orden]]="","",_xlfn.XLOOKUP(tblOrdenes[[#This Row],[id_operacion]],tblEjecucion[id_operacion],tblEjecucion[precio],0))</f>
        <v/>
      </c>
      <c r="AJ654" s="10">
        <f>IF(tblOrdenes[[#This Row],[orden]]="","",MAX(0,_xlfn.XLOOKUP(tblOrdenes[[#This Row],[id_operacion]],tblEjecucion[id_operacion],tblEjecucion[costo_plan_total],0)-tblOrdenes[[#This Row],[costo_servicio]]))</f>
        <v/>
      </c>
      <c r="AK654" s="10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2">
        <f>IF(tblOrdenes[[#This Row],[fecha_inicio]]="","",TODAY()-tblOrdenes[[#This Row],[fecha_inicio]])</f>
        <v/>
      </c>
      <c r="AB6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0">
        <f>IF(tblOrdenes[[#This Row],[orden]]="","",_xlfn.XLOOKUP(tblOrdenes[[#This Row],[id_operacion]],tblEjecucion[id_operacion],tblEjecucion[precio],0))</f>
        <v/>
      </c>
      <c r="AJ655" s="10">
        <f>IF(tblOrdenes[[#This Row],[orden]]="","",MAX(0,_xlfn.XLOOKUP(tblOrdenes[[#This Row],[id_operacion]],tblEjecucion[id_operacion],tblEjecucion[costo_plan_total],0)-tblOrdenes[[#This Row],[costo_servicio]]))</f>
        <v/>
      </c>
      <c r="AK655" s="10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2">
        <f>IF(tblOrdenes[[#This Row],[fecha_inicio]]="","",TODAY()-tblOrdenes[[#This Row],[fecha_inicio]])</f>
        <v/>
      </c>
      <c r="AB6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0">
        <f>IF(tblOrdenes[[#This Row],[orden]]="","",_xlfn.XLOOKUP(tblOrdenes[[#This Row],[id_operacion]],tblEjecucion[id_operacion],tblEjecucion[precio],0))</f>
        <v/>
      </c>
      <c r="AJ656" s="10">
        <f>IF(tblOrdenes[[#This Row],[orden]]="","",MAX(0,_xlfn.XLOOKUP(tblOrdenes[[#This Row],[id_operacion]],tblEjecucion[id_operacion],tblEjecucion[costo_plan_total],0)-tblOrdenes[[#This Row],[costo_servicio]]))</f>
        <v/>
      </c>
      <c r="AK656" s="10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2">
        <f>IF(tblOrdenes[[#This Row],[fecha_inicio]]="","",TODAY()-tblOrdenes[[#This Row],[fecha_inicio]])</f>
        <v/>
      </c>
      <c r="AB6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0">
        <f>IF(tblOrdenes[[#This Row],[orden]]="","",_xlfn.XLOOKUP(tblOrdenes[[#This Row],[id_operacion]],tblEjecucion[id_operacion],tblEjecucion[precio],0))</f>
        <v/>
      </c>
      <c r="AJ657" s="10">
        <f>IF(tblOrdenes[[#This Row],[orden]]="","",MAX(0,_xlfn.XLOOKUP(tblOrdenes[[#This Row],[id_operacion]],tblEjecucion[id_operacion],tblEjecucion[costo_plan_total],0)-tblOrdenes[[#This Row],[costo_servicio]]))</f>
        <v/>
      </c>
      <c r="AK657" s="10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2">
        <f>IF(tblOrdenes[[#This Row],[fecha_inicio]]="","",TODAY()-tblOrdenes[[#This Row],[fecha_inicio]])</f>
        <v/>
      </c>
      <c r="AB6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0">
        <f>IF(tblOrdenes[[#This Row],[orden]]="","",_xlfn.XLOOKUP(tblOrdenes[[#This Row],[id_operacion]],tblEjecucion[id_operacion],tblEjecucion[precio],0))</f>
        <v/>
      </c>
      <c r="AJ658" s="10">
        <f>IF(tblOrdenes[[#This Row],[orden]]="","",MAX(0,_xlfn.XLOOKUP(tblOrdenes[[#This Row],[id_operacion]],tblEjecucion[id_operacion],tblEjecucion[costo_plan_total],0)-tblOrdenes[[#This Row],[costo_servicio]]))</f>
        <v/>
      </c>
      <c r="AK658" s="10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2">
        <f>IF(tblOrdenes[[#This Row],[fecha_inicio]]="","",TODAY()-tblOrdenes[[#This Row],[fecha_inicio]])</f>
        <v/>
      </c>
      <c r="AB6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0">
        <f>IF(tblOrdenes[[#This Row],[orden]]="","",_xlfn.XLOOKUP(tblOrdenes[[#This Row],[id_operacion]],tblEjecucion[id_operacion],tblEjecucion[precio],0))</f>
        <v/>
      </c>
      <c r="AJ659" s="10">
        <f>IF(tblOrdenes[[#This Row],[orden]]="","",MAX(0,_xlfn.XLOOKUP(tblOrdenes[[#This Row],[id_operacion]],tblEjecucion[id_operacion],tblEjecucion[costo_plan_total],0)-tblOrdenes[[#This Row],[costo_servicio]]))</f>
        <v/>
      </c>
      <c r="AK659" s="10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2">
        <f>IF(tblOrdenes[[#This Row],[fecha_inicio]]="","",TODAY()-tblOrdenes[[#This Row],[fecha_inicio]])</f>
        <v/>
      </c>
      <c r="AB6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0">
        <f>IF(tblOrdenes[[#This Row],[orden]]="","",_xlfn.XLOOKUP(tblOrdenes[[#This Row],[id_operacion]],tblEjecucion[id_operacion],tblEjecucion[precio],0))</f>
        <v/>
      </c>
      <c r="AJ660" s="10">
        <f>IF(tblOrdenes[[#This Row],[orden]]="","",MAX(0,_xlfn.XLOOKUP(tblOrdenes[[#This Row],[id_operacion]],tblEjecucion[id_operacion],tblEjecucion[costo_plan_total],0)-tblOrdenes[[#This Row],[costo_servicio]]))</f>
        <v/>
      </c>
      <c r="AK660" s="10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2">
        <f>IF(tblOrdenes[[#This Row],[fecha_inicio]]="","",TODAY()-tblOrdenes[[#This Row],[fecha_inicio]])</f>
        <v/>
      </c>
      <c r="AB6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0">
        <f>IF(tblOrdenes[[#This Row],[orden]]="","",_xlfn.XLOOKUP(tblOrdenes[[#This Row],[id_operacion]],tblEjecucion[id_operacion],tblEjecucion[precio],0))</f>
        <v/>
      </c>
      <c r="AJ661" s="10">
        <f>IF(tblOrdenes[[#This Row],[orden]]="","",MAX(0,_xlfn.XLOOKUP(tblOrdenes[[#This Row],[id_operacion]],tblEjecucion[id_operacion],tblEjecucion[costo_plan_total],0)-tblOrdenes[[#This Row],[costo_servicio]]))</f>
        <v/>
      </c>
      <c r="AK661" s="10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2">
        <f>IF(tblOrdenes[[#This Row],[fecha_inicio]]="","",TODAY()-tblOrdenes[[#This Row],[fecha_inicio]])</f>
        <v/>
      </c>
      <c r="AB6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0">
        <f>IF(tblOrdenes[[#This Row],[orden]]="","",_xlfn.XLOOKUP(tblOrdenes[[#This Row],[id_operacion]],tblEjecucion[id_operacion],tblEjecucion[precio],0))</f>
        <v/>
      </c>
      <c r="AJ662" s="10">
        <f>IF(tblOrdenes[[#This Row],[orden]]="","",MAX(0,_xlfn.XLOOKUP(tblOrdenes[[#This Row],[id_operacion]],tblEjecucion[id_operacion],tblEjecucion[costo_plan_total],0)-tblOrdenes[[#This Row],[costo_servicio]]))</f>
        <v/>
      </c>
      <c r="AK662" s="10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2">
        <f>IF(tblOrdenes[[#This Row],[fecha_inicio]]="","",TODAY()-tblOrdenes[[#This Row],[fecha_inicio]])</f>
        <v/>
      </c>
      <c r="AB6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0">
        <f>IF(tblOrdenes[[#This Row],[orden]]="","",_xlfn.XLOOKUP(tblOrdenes[[#This Row],[id_operacion]],tblEjecucion[id_operacion],tblEjecucion[precio],0))</f>
        <v/>
      </c>
      <c r="AJ663" s="10">
        <f>IF(tblOrdenes[[#This Row],[orden]]="","",MAX(0,_xlfn.XLOOKUP(tblOrdenes[[#This Row],[id_operacion]],tblEjecucion[id_operacion],tblEjecucion[costo_plan_total],0)-tblOrdenes[[#This Row],[costo_servicio]]))</f>
        <v/>
      </c>
      <c r="AK663" s="10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2">
        <f>IF(tblOrdenes[[#This Row],[fecha_inicio]]="","",TODAY()-tblOrdenes[[#This Row],[fecha_inicio]])</f>
        <v/>
      </c>
      <c r="AB6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0">
        <f>IF(tblOrdenes[[#This Row],[orden]]="","",_xlfn.XLOOKUP(tblOrdenes[[#This Row],[id_operacion]],tblEjecucion[id_operacion],tblEjecucion[precio],0))</f>
        <v/>
      </c>
      <c r="AJ664" s="10">
        <f>IF(tblOrdenes[[#This Row],[orden]]="","",MAX(0,_xlfn.XLOOKUP(tblOrdenes[[#This Row],[id_operacion]],tblEjecucion[id_operacion],tblEjecucion[costo_plan_total],0)-tblOrdenes[[#This Row],[costo_servicio]]))</f>
        <v/>
      </c>
      <c r="AK664" s="10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2">
        <f>IF(tblOrdenes[[#This Row],[fecha_inicio]]="","",TODAY()-tblOrdenes[[#This Row],[fecha_inicio]])</f>
        <v/>
      </c>
      <c r="AB6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0">
        <f>IF(tblOrdenes[[#This Row],[orden]]="","",_xlfn.XLOOKUP(tblOrdenes[[#This Row],[id_operacion]],tblEjecucion[id_operacion],tblEjecucion[precio],0))</f>
        <v/>
      </c>
      <c r="AJ665" s="10">
        <f>IF(tblOrdenes[[#This Row],[orden]]="","",MAX(0,_xlfn.XLOOKUP(tblOrdenes[[#This Row],[id_operacion]],tblEjecucion[id_operacion],tblEjecucion[costo_plan_total],0)-tblOrdenes[[#This Row],[costo_servicio]]))</f>
        <v/>
      </c>
      <c r="AK665" s="10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2">
        <f>IF(tblOrdenes[[#This Row],[fecha_inicio]]="","",TODAY()-tblOrdenes[[#This Row],[fecha_inicio]])</f>
        <v/>
      </c>
      <c r="AB6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0">
        <f>IF(tblOrdenes[[#This Row],[orden]]="","",_xlfn.XLOOKUP(tblOrdenes[[#This Row],[id_operacion]],tblEjecucion[id_operacion],tblEjecucion[precio],0))</f>
        <v/>
      </c>
      <c r="AJ666" s="10">
        <f>IF(tblOrdenes[[#This Row],[orden]]="","",MAX(0,_xlfn.XLOOKUP(tblOrdenes[[#This Row],[id_operacion]],tblEjecucion[id_operacion],tblEjecucion[costo_plan_total],0)-tblOrdenes[[#This Row],[costo_servicio]]))</f>
        <v/>
      </c>
      <c r="AK666" s="10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2">
        <f>IF(tblOrdenes[[#This Row],[fecha_inicio]]="","",TODAY()-tblOrdenes[[#This Row],[fecha_inicio]])</f>
        <v/>
      </c>
      <c r="AB6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0">
        <f>IF(tblOrdenes[[#This Row],[orden]]="","",_xlfn.XLOOKUP(tblOrdenes[[#This Row],[id_operacion]],tblEjecucion[id_operacion],tblEjecucion[precio],0))</f>
        <v/>
      </c>
      <c r="AJ667" s="10">
        <f>IF(tblOrdenes[[#This Row],[orden]]="","",MAX(0,_xlfn.XLOOKUP(tblOrdenes[[#This Row],[id_operacion]],tblEjecucion[id_operacion],tblEjecucion[costo_plan_total],0)-tblOrdenes[[#This Row],[costo_servicio]]))</f>
        <v/>
      </c>
      <c r="AK667" s="10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2">
        <f>IF(tblOrdenes[[#This Row],[fecha_inicio]]="","",TODAY()-tblOrdenes[[#This Row],[fecha_inicio]])</f>
        <v/>
      </c>
      <c r="AB6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0">
        <f>IF(tblOrdenes[[#This Row],[orden]]="","",_xlfn.XLOOKUP(tblOrdenes[[#This Row],[id_operacion]],tblEjecucion[id_operacion],tblEjecucion[precio],0))</f>
        <v/>
      </c>
      <c r="AJ668" s="10">
        <f>IF(tblOrdenes[[#This Row],[orden]]="","",MAX(0,_xlfn.XLOOKUP(tblOrdenes[[#This Row],[id_operacion]],tblEjecucion[id_operacion],tblEjecucion[costo_plan_total],0)-tblOrdenes[[#This Row],[costo_servicio]]))</f>
        <v/>
      </c>
      <c r="AK668" s="10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2">
        <f>IF(tblOrdenes[[#This Row],[fecha_inicio]]="","",TODAY()-tblOrdenes[[#This Row],[fecha_inicio]])</f>
        <v/>
      </c>
      <c r="AB6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0">
        <f>IF(tblOrdenes[[#This Row],[orden]]="","",_xlfn.XLOOKUP(tblOrdenes[[#This Row],[id_operacion]],tblEjecucion[id_operacion],tblEjecucion[precio],0))</f>
        <v/>
      </c>
      <c r="AJ669" s="10">
        <f>IF(tblOrdenes[[#This Row],[orden]]="","",MAX(0,_xlfn.XLOOKUP(tblOrdenes[[#This Row],[id_operacion]],tblEjecucion[id_operacion],tblEjecucion[costo_plan_total],0)-tblOrdenes[[#This Row],[costo_servicio]]))</f>
        <v/>
      </c>
      <c r="AK669" s="10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2">
        <f>IF(tblOrdenes[[#This Row],[fecha_inicio]]="","",TODAY()-tblOrdenes[[#This Row],[fecha_inicio]])</f>
        <v/>
      </c>
      <c r="AB6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0">
        <f>IF(tblOrdenes[[#This Row],[orden]]="","",_xlfn.XLOOKUP(tblOrdenes[[#This Row],[id_operacion]],tblEjecucion[id_operacion],tblEjecucion[precio],0))</f>
        <v/>
      </c>
      <c r="AJ670" s="10">
        <f>IF(tblOrdenes[[#This Row],[orden]]="","",MAX(0,_xlfn.XLOOKUP(tblOrdenes[[#This Row],[id_operacion]],tblEjecucion[id_operacion],tblEjecucion[costo_plan_total],0)-tblOrdenes[[#This Row],[costo_servicio]]))</f>
        <v/>
      </c>
      <c r="AK670" s="10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2">
        <f>IF(tblOrdenes[[#This Row],[fecha_inicio]]="","",TODAY()-tblOrdenes[[#This Row],[fecha_inicio]])</f>
        <v/>
      </c>
      <c r="AB6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0">
        <f>IF(tblOrdenes[[#This Row],[orden]]="","",_xlfn.XLOOKUP(tblOrdenes[[#This Row],[id_operacion]],tblEjecucion[id_operacion],tblEjecucion[precio],0))</f>
        <v/>
      </c>
      <c r="AJ671" s="10">
        <f>IF(tblOrdenes[[#This Row],[orden]]="","",MAX(0,_xlfn.XLOOKUP(tblOrdenes[[#This Row],[id_operacion]],tblEjecucion[id_operacion],tblEjecucion[costo_plan_total],0)-tblOrdenes[[#This Row],[costo_servicio]]))</f>
        <v/>
      </c>
      <c r="AK671" s="10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2">
        <f>IF(tblOrdenes[[#This Row],[fecha_inicio]]="","",TODAY()-tblOrdenes[[#This Row],[fecha_inicio]])</f>
        <v/>
      </c>
      <c r="AB6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0">
        <f>IF(tblOrdenes[[#This Row],[orden]]="","",_xlfn.XLOOKUP(tblOrdenes[[#This Row],[id_operacion]],tblEjecucion[id_operacion],tblEjecucion[precio],0))</f>
        <v/>
      </c>
      <c r="AJ672" s="10">
        <f>IF(tblOrdenes[[#This Row],[orden]]="","",MAX(0,_xlfn.XLOOKUP(tblOrdenes[[#This Row],[id_operacion]],tblEjecucion[id_operacion],tblEjecucion[costo_plan_total],0)-tblOrdenes[[#This Row],[costo_servicio]]))</f>
        <v/>
      </c>
      <c r="AK672" s="10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2">
        <f>IF(tblOrdenes[[#This Row],[fecha_inicio]]="","",TODAY()-tblOrdenes[[#This Row],[fecha_inicio]])</f>
        <v/>
      </c>
      <c r="AB6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0">
        <f>IF(tblOrdenes[[#This Row],[orden]]="","",_xlfn.XLOOKUP(tblOrdenes[[#This Row],[id_operacion]],tblEjecucion[id_operacion],tblEjecucion[precio],0))</f>
        <v/>
      </c>
      <c r="AJ673" s="10">
        <f>IF(tblOrdenes[[#This Row],[orden]]="","",MAX(0,_xlfn.XLOOKUP(tblOrdenes[[#This Row],[id_operacion]],tblEjecucion[id_operacion],tblEjecucion[costo_plan_total],0)-tblOrdenes[[#This Row],[costo_servicio]]))</f>
        <v/>
      </c>
      <c r="AK673" s="10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2">
        <f>IF(tblOrdenes[[#This Row],[fecha_inicio]]="","",TODAY()-tblOrdenes[[#This Row],[fecha_inicio]])</f>
        <v/>
      </c>
      <c r="AB6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0">
        <f>IF(tblOrdenes[[#This Row],[orden]]="","",_xlfn.XLOOKUP(tblOrdenes[[#This Row],[id_operacion]],tblEjecucion[id_operacion],tblEjecucion[precio],0))</f>
        <v/>
      </c>
      <c r="AJ674" s="10">
        <f>IF(tblOrdenes[[#This Row],[orden]]="","",MAX(0,_xlfn.XLOOKUP(tblOrdenes[[#This Row],[id_operacion]],tblEjecucion[id_operacion],tblEjecucion[costo_plan_total],0)-tblOrdenes[[#This Row],[costo_servicio]]))</f>
        <v/>
      </c>
      <c r="AK674" s="10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2">
        <f>IF(tblOrdenes[[#This Row],[fecha_inicio]]="","",TODAY()-tblOrdenes[[#This Row],[fecha_inicio]])</f>
        <v/>
      </c>
      <c r="AB6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0">
        <f>IF(tblOrdenes[[#This Row],[orden]]="","",_xlfn.XLOOKUP(tblOrdenes[[#This Row],[id_operacion]],tblEjecucion[id_operacion],tblEjecucion[precio],0))</f>
        <v/>
      </c>
      <c r="AJ675" s="10">
        <f>IF(tblOrdenes[[#This Row],[orden]]="","",MAX(0,_xlfn.XLOOKUP(tblOrdenes[[#This Row],[id_operacion]],tblEjecucion[id_operacion],tblEjecucion[costo_plan_total],0)-tblOrdenes[[#This Row],[costo_servicio]]))</f>
        <v/>
      </c>
      <c r="AK675" s="10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2">
        <f>IF(tblOrdenes[[#This Row],[fecha_inicio]]="","",TODAY()-tblOrdenes[[#This Row],[fecha_inicio]])</f>
        <v/>
      </c>
      <c r="AB6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0">
        <f>IF(tblOrdenes[[#This Row],[orden]]="","",_xlfn.XLOOKUP(tblOrdenes[[#This Row],[id_operacion]],tblEjecucion[id_operacion],tblEjecucion[precio],0))</f>
        <v/>
      </c>
      <c r="AJ676" s="10">
        <f>IF(tblOrdenes[[#This Row],[orden]]="","",MAX(0,_xlfn.XLOOKUP(tblOrdenes[[#This Row],[id_operacion]],tblEjecucion[id_operacion],tblEjecucion[costo_plan_total],0)-tblOrdenes[[#This Row],[costo_servicio]]))</f>
        <v/>
      </c>
      <c r="AK676" s="10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2">
        <f>IF(tblOrdenes[[#This Row],[fecha_inicio]]="","",TODAY()-tblOrdenes[[#This Row],[fecha_inicio]])</f>
        <v/>
      </c>
      <c r="AB6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0">
        <f>IF(tblOrdenes[[#This Row],[orden]]="","",_xlfn.XLOOKUP(tblOrdenes[[#This Row],[id_operacion]],tblEjecucion[id_operacion],tblEjecucion[precio],0))</f>
        <v/>
      </c>
      <c r="AJ677" s="10">
        <f>IF(tblOrdenes[[#This Row],[orden]]="","",MAX(0,_xlfn.XLOOKUP(tblOrdenes[[#This Row],[id_operacion]],tblEjecucion[id_operacion],tblEjecucion[costo_plan_total],0)-tblOrdenes[[#This Row],[costo_servicio]]))</f>
        <v/>
      </c>
      <c r="AK677" s="10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2">
        <f>IF(tblOrdenes[[#This Row],[fecha_inicio]]="","",TODAY()-tblOrdenes[[#This Row],[fecha_inicio]])</f>
        <v/>
      </c>
      <c r="AB6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0">
        <f>IF(tblOrdenes[[#This Row],[orden]]="","",_xlfn.XLOOKUP(tblOrdenes[[#This Row],[id_operacion]],tblEjecucion[id_operacion],tblEjecucion[precio],0))</f>
        <v/>
      </c>
      <c r="AJ678" s="10">
        <f>IF(tblOrdenes[[#This Row],[orden]]="","",MAX(0,_xlfn.XLOOKUP(tblOrdenes[[#This Row],[id_operacion]],tblEjecucion[id_operacion],tblEjecucion[costo_plan_total],0)-tblOrdenes[[#This Row],[costo_servicio]]))</f>
        <v/>
      </c>
      <c r="AK678" s="10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2">
        <f>IF(tblOrdenes[[#This Row],[fecha_inicio]]="","",TODAY()-tblOrdenes[[#This Row],[fecha_inicio]])</f>
        <v/>
      </c>
      <c r="AB6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0">
        <f>IF(tblOrdenes[[#This Row],[orden]]="","",_xlfn.XLOOKUP(tblOrdenes[[#This Row],[id_operacion]],tblEjecucion[id_operacion],tblEjecucion[precio],0))</f>
        <v/>
      </c>
      <c r="AJ679" s="10">
        <f>IF(tblOrdenes[[#This Row],[orden]]="","",MAX(0,_xlfn.XLOOKUP(tblOrdenes[[#This Row],[id_operacion]],tblEjecucion[id_operacion],tblEjecucion[costo_plan_total],0)-tblOrdenes[[#This Row],[costo_servicio]]))</f>
        <v/>
      </c>
      <c r="AK679" s="10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2">
        <f>IF(tblOrdenes[[#This Row],[fecha_inicio]]="","",TODAY()-tblOrdenes[[#This Row],[fecha_inicio]])</f>
        <v/>
      </c>
      <c r="AB6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0">
        <f>IF(tblOrdenes[[#This Row],[orden]]="","",_xlfn.XLOOKUP(tblOrdenes[[#This Row],[id_operacion]],tblEjecucion[id_operacion],tblEjecucion[precio],0))</f>
        <v/>
      </c>
      <c r="AJ680" s="10">
        <f>IF(tblOrdenes[[#This Row],[orden]]="","",MAX(0,_xlfn.XLOOKUP(tblOrdenes[[#This Row],[id_operacion]],tblEjecucion[id_operacion],tblEjecucion[costo_plan_total],0)-tblOrdenes[[#This Row],[costo_servicio]]))</f>
        <v/>
      </c>
      <c r="AK680" s="10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2">
        <f>IF(tblOrdenes[[#This Row],[fecha_inicio]]="","",TODAY()-tblOrdenes[[#This Row],[fecha_inicio]])</f>
        <v/>
      </c>
      <c r="AB6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0">
        <f>IF(tblOrdenes[[#This Row],[orden]]="","",_xlfn.XLOOKUP(tblOrdenes[[#This Row],[id_operacion]],tblEjecucion[id_operacion],tblEjecucion[precio],0))</f>
        <v/>
      </c>
      <c r="AJ681" s="10">
        <f>IF(tblOrdenes[[#This Row],[orden]]="","",MAX(0,_xlfn.XLOOKUP(tblOrdenes[[#This Row],[id_operacion]],tblEjecucion[id_operacion],tblEjecucion[costo_plan_total],0)-tblOrdenes[[#This Row],[costo_servicio]]))</f>
        <v/>
      </c>
      <c r="AK681" s="10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2">
        <f>IF(tblOrdenes[[#This Row],[fecha_inicio]]="","",TODAY()-tblOrdenes[[#This Row],[fecha_inicio]])</f>
        <v/>
      </c>
      <c r="AB6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0">
        <f>IF(tblOrdenes[[#This Row],[orden]]="","",_xlfn.XLOOKUP(tblOrdenes[[#This Row],[id_operacion]],tblEjecucion[id_operacion],tblEjecucion[precio],0))</f>
        <v/>
      </c>
      <c r="AJ682" s="10">
        <f>IF(tblOrdenes[[#This Row],[orden]]="","",MAX(0,_xlfn.XLOOKUP(tblOrdenes[[#This Row],[id_operacion]],tblEjecucion[id_operacion],tblEjecucion[costo_plan_total],0)-tblOrdenes[[#This Row],[costo_servicio]]))</f>
        <v/>
      </c>
      <c r="AK682" s="10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2">
        <f>IF(tblOrdenes[[#This Row],[fecha_inicio]]="","",TODAY()-tblOrdenes[[#This Row],[fecha_inicio]])</f>
        <v/>
      </c>
      <c r="AB6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0">
        <f>IF(tblOrdenes[[#This Row],[orden]]="","",_xlfn.XLOOKUP(tblOrdenes[[#This Row],[id_operacion]],tblEjecucion[id_operacion],tblEjecucion[precio],0))</f>
        <v/>
      </c>
      <c r="AJ683" s="10">
        <f>IF(tblOrdenes[[#This Row],[orden]]="","",MAX(0,_xlfn.XLOOKUP(tblOrdenes[[#This Row],[id_operacion]],tblEjecucion[id_operacion],tblEjecucion[costo_plan_total],0)-tblOrdenes[[#This Row],[costo_servicio]]))</f>
        <v/>
      </c>
      <c r="AK683" s="10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2">
        <f>IF(tblOrdenes[[#This Row],[fecha_inicio]]="","",TODAY()-tblOrdenes[[#This Row],[fecha_inicio]])</f>
        <v/>
      </c>
      <c r="AB6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0">
        <f>IF(tblOrdenes[[#This Row],[orden]]="","",_xlfn.XLOOKUP(tblOrdenes[[#This Row],[id_operacion]],tblEjecucion[id_operacion],tblEjecucion[precio],0))</f>
        <v/>
      </c>
      <c r="AJ684" s="10">
        <f>IF(tblOrdenes[[#This Row],[orden]]="","",MAX(0,_xlfn.XLOOKUP(tblOrdenes[[#This Row],[id_operacion]],tblEjecucion[id_operacion],tblEjecucion[costo_plan_total],0)-tblOrdenes[[#This Row],[costo_servicio]]))</f>
        <v/>
      </c>
      <c r="AK684" s="10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2">
        <f>IF(tblOrdenes[[#This Row],[fecha_inicio]]="","",TODAY()-tblOrdenes[[#This Row],[fecha_inicio]])</f>
        <v/>
      </c>
      <c r="AB6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0">
        <f>IF(tblOrdenes[[#This Row],[orden]]="","",_xlfn.XLOOKUP(tblOrdenes[[#This Row],[id_operacion]],tblEjecucion[id_operacion],tblEjecucion[precio],0))</f>
        <v/>
      </c>
      <c r="AJ685" s="10">
        <f>IF(tblOrdenes[[#This Row],[orden]]="","",MAX(0,_xlfn.XLOOKUP(tblOrdenes[[#This Row],[id_operacion]],tblEjecucion[id_operacion],tblEjecucion[costo_plan_total],0)-tblOrdenes[[#This Row],[costo_servicio]]))</f>
        <v/>
      </c>
      <c r="AK685" s="10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2">
        <f>IF(tblOrdenes[[#This Row],[fecha_inicio]]="","",TODAY()-tblOrdenes[[#This Row],[fecha_inicio]])</f>
        <v/>
      </c>
      <c r="AB6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0">
        <f>IF(tblOrdenes[[#This Row],[orden]]="","",_xlfn.XLOOKUP(tblOrdenes[[#This Row],[id_operacion]],tblEjecucion[id_operacion],tblEjecucion[precio],0))</f>
        <v/>
      </c>
      <c r="AJ686" s="10">
        <f>IF(tblOrdenes[[#This Row],[orden]]="","",MAX(0,_xlfn.XLOOKUP(tblOrdenes[[#This Row],[id_operacion]],tblEjecucion[id_operacion],tblEjecucion[costo_plan_total],0)-tblOrdenes[[#This Row],[costo_servicio]]))</f>
        <v/>
      </c>
      <c r="AK686" s="10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2">
        <f>IF(tblOrdenes[[#This Row],[fecha_inicio]]="","",TODAY()-tblOrdenes[[#This Row],[fecha_inicio]])</f>
        <v/>
      </c>
      <c r="AB6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0">
        <f>IF(tblOrdenes[[#This Row],[orden]]="","",_xlfn.XLOOKUP(tblOrdenes[[#This Row],[id_operacion]],tblEjecucion[id_operacion],tblEjecucion[precio],0))</f>
        <v/>
      </c>
      <c r="AJ687" s="10">
        <f>IF(tblOrdenes[[#This Row],[orden]]="","",MAX(0,_xlfn.XLOOKUP(tblOrdenes[[#This Row],[id_operacion]],tblEjecucion[id_operacion],tblEjecucion[costo_plan_total],0)-tblOrdenes[[#This Row],[costo_servicio]]))</f>
        <v/>
      </c>
      <c r="AK687" s="10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2">
        <f>IF(tblOrdenes[[#This Row],[fecha_inicio]]="","",TODAY()-tblOrdenes[[#This Row],[fecha_inicio]])</f>
        <v/>
      </c>
      <c r="AB6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0">
        <f>IF(tblOrdenes[[#This Row],[orden]]="","",_xlfn.XLOOKUP(tblOrdenes[[#This Row],[id_operacion]],tblEjecucion[id_operacion],tblEjecucion[precio],0))</f>
        <v/>
      </c>
      <c r="AJ688" s="10">
        <f>IF(tblOrdenes[[#This Row],[orden]]="","",MAX(0,_xlfn.XLOOKUP(tblOrdenes[[#This Row],[id_operacion]],tblEjecucion[id_operacion],tblEjecucion[costo_plan_total],0)-tblOrdenes[[#This Row],[costo_servicio]]))</f>
        <v/>
      </c>
      <c r="AK688" s="10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2">
        <f>IF(tblOrdenes[[#This Row],[fecha_inicio]]="","",TODAY()-tblOrdenes[[#This Row],[fecha_inicio]])</f>
        <v/>
      </c>
      <c r="AB6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0">
        <f>IF(tblOrdenes[[#This Row],[orden]]="","",_xlfn.XLOOKUP(tblOrdenes[[#This Row],[id_operacion]],tblEjecucion[id_operacion],tblEjecucion[precio],0))</f>
        <v/>
      </c>
      <c r="AJ689" s="10">
        <f>IF(tblOrdenes[[#This Row],[orden]]="","",MAX(0,_xlfn.XLOOKUP(tblOrdenes[[#This Row],[id_operacion]],tblEjecucion[id_operacion],tblEjecucion[costo_plan_total],0)-tblOrdenes[[#This Row],[costo_servicio]]))</f>
        <v/>
      </c>
      <c r="AK689" s="10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2">
        <f>IF(tblOrdenes[[#This Row],[fecha_inicio]]="","",TODAY()-tblOrdenes[[#This Row],[fecha_inicio]])</f>
        <v/>
      </c>
      <c r="AB6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0">
        <f>IF(tblOrdenes[[#This Row],[orden]]="","",_xlfn.XLOOKUP(tblOrdenes[[#This Row],[id_operacion]],tblEjecucion[id_operacion],tblEjecucion[precio],0))</f>
        <v/>
      </c>
      <c r="AJ690" s="10">
        <f>IF(tblOrdenes[[#This Row],[orden]]="","",MAX(0,_xlfn.XLOOKUP(tblOrdenes[[#This Row],[id_operacion]],tblEjecucion[id_operacion],tblEjecucion[costo_plan_total],0)-tblOrdenes[[#This Row],[costo_servicio]]))</f>
        <v/>
      </c>
      <c r="AK690" s="10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2">
        <f>IF(tblOrdenes[[#This Row],[fecha_inicio]]="","",TODAY()-tblOrdenes[[#This Row],[fecha_inicio]])</f>
        <v/>
      </c>
      <c r="AB6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0">
        <f>IF(tblOrdenes[[#This Row],[orden]]="","",_xlfn.XLOOKUP(tblOrdenes[[#This Row],[id_operacion]],tblEjecucion[id_operacion],tblEjecucion[precio],0))</f>
        <v/>
      </c>
      <c r="AJ691" s="10">
        <f>IF(tblOrdenes[[#This Row],[orden]]="","",MAX(0,_xlfn.XLOOKUP(tblOrdenes[[#This Row],[id_operacion]],tblEjecucion[id_operacion],tblEjecucion[costo_plan_total],0)-tblOrdenes[[#This Row],[costo_servicio]]))</f>
        <v/>
      </c>
      <c r="AK691" s="10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2">
        <f>IF(tblOrdenes[[#This Row],[fecha_inicio]]="","",TODAY()-tblOrdenes[[#This Row],[fecha_inicio]])</f>
        <v/>
      </c>
      <c r="AB6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0">
        <f>IF(tblOrdenes[[#This Row],[orden]]="","",_xlfn.XLOOKUP(tblOrdenes[[#This Row],[id_operacion]],tblEjecucion[id_operacion],tblEjecucion[precio],0))</f>
        <v/>
      </c>
      <c r="AJ692" s="10">
        <f>IF(tblOrdenes[[#This Row],[orden]]="","",MAX(0,_xlfn.XLOOKUP(tblOrdenes[[#This Row],[id_operacion]],tblEjecucion[id_operacion],tblEjecucion[costo_plan_total],0)-tblOrdenes[[#This Row],[costo_servicio]]))</f>
        <v/>
      </c>
      <c r="AK692" s="10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2">
        <f>IF(tblOrdenes[[#This Row],[fecha_inicio]]="","",TODAY()-tblOrdenes[[#This Row],[fecha_inicio]])</f>
        <v/>
      </c>
      <c r="AB6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0">
        <f>IF(tblOrdenes[[#This Row],[orden]]="","",_xlfn.XLOOKUP(tblOrdenes[[#This Row],[id_operacion]],tblEjecucion[id_operacion],tblEjecucion[precio],0))</f>
        <v/>
      </c>
      <c r="AJ693" s="10">
        <f>IF(tblOrdenes[[#This Row],[orden]]="","",MAX(0,_xlfn.XLOOKUP(tblOrdenes[[#This Row],[id_operacion]],tblEjecucion[id_operacion],tblEjecucion[costo_plan_total],0)-tblOrdenes[[#This Row],[costo_servicio]]))</f>
        <v/>
      </c>
      <c r="AK693" s="10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2">
        <f>IF(tblOrdenes[[#This Row],[fecha_inicio]]="","",TODAY()-tblOrdenes[[#This Row],[fecha_inicio]])</f>
        <v/>
      </c>
      <c r="AB6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0">
        <f>IF(tblOrdenes[[#This Row],[orden]]="","",_xlfn.XLOOKUP(tblOrdenes[[#This Row],[id_operacion]],tblEjecucion[id_operacion],tblEjecucion[precio],0))</f>
        <v/>
      </c>
      <c r="AJ694" s="10">
        <f>IF(tblOrdenes[[#This Row],[orden]]="","",MAX(0,_xlfn.XLOOKUP(tblOrdenes[[#This Row],[id_operacion]],tblEjecucion[id_operacion],tblEjecucion[costo_plan_total],0)-tblOrdenes[[#This Row],[costo_servicio]]))</f>
        <v/>
      </c>
      <c r="AK694" s="10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2">
        <f>IF(tblOrdenes[[#This Row],[fecha_inicio]]="","",TODAY()-tblOrdenes[[#This Row],[fecha_inicio]])</f>
        <v/>
      </c>
      <c r="AB6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0">
        <f>IF(tblOrdenes[[#This Row],[orden]]="","",_xlfn.XLOOKUP(tblOrdenes[[#This Row],[id_operacion]],tblEjecucion[id_operacion],tblEjecucion[precio],0))</f>
        <v/>
      </c>
      <c r="AJ695" s="10">
        <f>IF(tblOrdenes[[#This Row],[orden]]="","",MAX(0,_xlfn.XLOOKUP(tblOrdenes[[#This Row],[id_operacion]],tblEjecucion[id_operacion],tblEjecucion[costo_plan_total],0)-tblOrdenes[[#This Row],[costo_servicio]]))</f>
        <v/>
      </c>
      <c r="AK695" s="10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2">
        <f>IF(tblOrdenes[[#This Row],[fecha_inicio]]="","",TODAY()-tblOrdenes[[#This Row],[fecha_inicio]])</f>
        <v/>
      </c>
      <c r="AB6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0">
        <f>IF(tblOrdenes[[#This Row],[orden]]="","",_xlfn.XLOOKUP(tblOrdenes[[#This Row],[id_operacion]],tblEjecucion[id_operacion],tblEjecucion[precio],0))</f>
        <v/>
      </c>
      <c r="AJ696" s="10">
        <f>IF(tblOrdenes[[#This Row],[orden]]="","",MAX(0,_xlfn.XLOOKUP(tblOrdenes[[#This Row],[id_operacion]],tblEjecucion[id_operacion],tblEjecucion[costo_plan_total],0)-tblOrdenes[[#This Row],[costo_servicio]]))</f>
        <v/>
      </c>
      <c r="AK696" s="10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2">
        <f>IF(tblOrdenes[[#This Row],[fecha_inicio]]="","",TODAY()-tblOrdenes[[#This Row],[fecha_inicio]])</f>
        <v/>
      </c>
      <c r="AB6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0">
        <f>IF(tblOrdenes[[#This Row],[orden]]="","",_xlfn.XLOOKUP(tblOrdenes[[#This Row],[id_operacion]],tblEjecucion[id_operacion],tblEjecucion[precio],0))</f>
        <v/>
      </c>
      <c r="AJ697" s="10">
        <f>IF(tblOrdenes[[#This Row],[orden]]="","",MAX(0,_xlfn.XLOOKUP(tblOrdenes[[#This Row],[id_operacion]],tblEjecucion[id_operacion],tblEjecucion[costo_plan_total],0)-tblOrdenes[[#This Row],[costo_servicio]]))</f>
        <v/>
      </c>
      <c r="AK697" s="10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2">
        <f>IF(tblOrdenes[[#This Row],[fecha_inicio]]="","",TODAY()-tblOrdenes[[#This Row],[fecha_inicio]])</f>
        <v/>
      </c>
      <c r="AB6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0">
        <f>IF(tblOrdenes[[#This Row],[orden]]="","",_xlfn.XLOOKUP(tblOrdenes[[#This Row],[id_operacion]],tblEjecucion[id_operacion],tblEjecucion[precio],0))</f>
        <v/>
      </c>
      <c r="AJ698" s="10">
        <f>IF(tblOrdenes[[#This Row],[orden]]="","",MAX(0,_xlfn.XLOOKUP(tblOrdenes[[#This Row],[id_operacion]],tblEjecucion[id_operacion],tblEjecucion[costo_plan_total],0)-tblOrdenes[[#This Row],[costo_servicio]]))</f>
        <v/>
      </c>
      <c r="AK698" s="10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2">
        <f>IF(tblOrdenes[[#This Row],[fecha_inicio]]="","",TODAY()-tblOrdenes[[#This Row],[fecha_inicio]])</f>
        <v/>
      </c>
      <c r="AB6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0">
        <f>IF(tblOrdenes[[#This Row],[orden]]="","",_xlfn.XLOOKUP(tblOrdenes[[#This Row],[id_operacion]],tblEjecucion[id_operacion],tblEjecucion[precio],0))</f>
        <v/>
      </c>
      <c r="AJ699" s="10">
        <f>IF(tblOrdenes[[#This Row],[orden]]="","",MAX(0,_xlfn.XLOOKUP(tblOrdenes[[#This Row],[id_operacion]],tblEjecucion[id_operacion],tblEjecucion[costo_plan_total],0)-tblOrdenes[[#This Row],[costo_servicio]]))</f>
        <v/>
      </c>
      <c r="AK699" s="10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2">
        <f>IF(tblOrdenes[[#This Row],[fecha_inicio]]="","",TODAY()-tblOrdenes[[#This Row],[fecha_inicio]])</f>
        <v/>
      </c>
      <c r="AB7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0">
        <f>IF(tblOrdenes[[#This Row],[orden]]="","",_xlfn.XLOOKUP(tblOrdenes[[#This Row],[id_operacion]],tblEjecucion[id_operacion],tblEjecucion[precio],0))</f>
        <v/>
      </c>
      <c r="AJ700" s="10">
        <f>IF(tblOrdenes[[#This Row],[orden]]="","",MAX(0,_xlfn.XLOOKUP(tblOrdenes[[#This Row],[id_operacion]],tblEjecucion[id_operacion],tblEjecucion[costo_plan_total],0)-tblOrdenes[[#This Row],[costo_servicio]]))</f>
        <v/>
      </c>
      <c r="AK700" s="10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2">
        <f>IF(tblOrdenes[[#This Row],[fecha_inicio]]="","",TODAY()-tblOrdenes[[#This Row],[fecha_inicio]])</f>
        <v/>
      </c>
      <c r="AB7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0">
        <f>IF(tblOrdenes[[#This Row],[orden]]="","",_xlfn.XLOOKUP(tblOrdenes[[#This Row],[id_operacion]],tblEjecucion[id_operacion],tblEjecucion[precio],0))</f>
        <v/>
      </c>
      <c r="AJ701" s="10">
        <f>IF(tblOrdenes[[#This Row],[orden]]="","",MAX(0,_xlfn.XLOOKUP(tblOrdenes[[#This Row],[id_operacion]],tblEjecucion[id_operacion],tblEjecucion[costo_plan_total],0)-tblOrdenes[[#This Row],[costo_servicio]]))</f>
        <v/>
      </c>
      <c r="AK701" s="10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2">
        <f>IF(tblOrdenes[[#This Row],[fecha_inicio]]="","",TODAY()-tblOrdenes[[#This Row],[fecha_inicio]])</f>
        <v/>
      </c>
      <c r="AB7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0">
        <f>IF(tblOrdenes[[#This Row],[orden]]="","",_xlfn.XLOOKUP(tblOrdenes[[#This Row],[id_operacion]],tblEjecucion[id_operacion],tblEjecucion[precio],0))</f>
        <v/>
      </c>
      <c r="AJ702" s="10">
        <f>IF(tblOrdenes[[#This Row],[orden]]="","",MAX(0,_xlfn.XLOOKUP(tblOrdenes[[#This Row],[id_operacion]],tblEjecucion[id_operacion],tblEjecucion[costo_plan_total],0)-tblOrdenes[[#This Row],[costo_servicio]]))</f>
        <v/>
      </c>
      <c r="AK702" s="10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2">
        <f>IF(tblOrdenes[[#This Row],[fecha_inicio]]="","",TODAY()-tblOrdenes[[#This Row],[fecha_inicio]])</f>
        <v/>
      </c>
      <c r="AB7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0">
        <f>IF(tblOrdenes[[#This Row],[orden]]="","",_xlfn.XLOOKUP(tblOrdenes[[#This Row],[id_operacion]],tblEjecucion[id_operacion],tblEjecucion[precio],0))</f>
        <v/>
      </c>
      <c r="AJ703" s="10">
        <f>IF(tblOrdenes[[#This Row],[orden]]="","",MAX(0,_xlfn.XLOOKUP(tblOrdenes[[#This Row],[id_operacion]],tblEjecucion[id_operacion],tblEjecucion[costo_plan_total],0)-tblOrdenes[[#This Row],[costo_servicio]]))</f>
        <v/>
      </c>
      <c r="AK703" s="10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2">
        <f>IF(tblOrdenes[[#This Row],[fecha_inicio]]="","",TODAY()-tblOrdenes[[#This Row],[fecha_inicio]])</f>
        <v/>
      </c>
      <c r="AB7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0">
        <f>IF(tblOrdenes[[#This Row],[orden]]="","",_xlfn.XLOOKUP(tblOrdenes[[#This Row],[id_operacion]],tblEjecucion[id_operacion],tblEjecucion[precio],0))</f>
        <v/>
      </c>
      <c r="AJ704" s="10">
        <f>IF(tblOrdenes[[#This Row],[orden]]="","",MAX(0,_xlfn.XLOOKUP(tblOrdenes[[#This Row],[id_operacion]],tblEjecucion[id_operacion],tblEjecucion[costo_plan_total],0)-tblOrdenes[[#This Row],[costo_servicio]]))</f>
        <v/>
      </c>
      <c r="AK704" s="10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2">
        <f>IF(tblOrdenes[[#This Row],[fecha_inicio]]="","",TODAY()-tblOrdenes[[#This Row],[fecha_inicio]])</f>
        <v/>
      </c>
      <c r="AB7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0">
        <f>IF(tblOrdenes[[#This Row],[orden]]="","",_xlfn.XLOOKUP(tblOrdenes[[#This Row],[id_operacion]],tblEjecucion[id_operacion],tblEjecucion[precio],0))</f>
        <v/>
      </c>
      <c r="AJ705" s="10">
        <f>IF(tblOrdenes[[#This Row],[orden]]="","",MAX(0,_xlfn.XLOOKUP(tblOrdenes[[#This Row],[id_operacion]],tblEjecucion[id_operacion],tblEjecucion[costo_plan_total],0)-tblOrdenes[[#This Row],[costo_servicio]]))</f>
        <v/>
      </c>
      <c r="AK705" s="10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2">
        <f>IF(tblOrdenes[[#This Row],[fecha_inicio]]="","",TODAY()-tblOrdenes[[#This Row],[fecha_inicio]])</f>
        <v/>
      </c>
      <c r="AB7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0">
        <f>IF(tblOrdenes[[#This Row],[orden]]="","",_xlfn.XLOOKUP(tblOrdenes[[#This Row],[id_operacion]],tblEjecucion[id_operacion],tblEjecucion[precio],0))</f>
        <v/>
      </c>
      <c r="AJ706" s="10">
        <f>IF(tblOrdenes[[#This Row],[orden]]="","",MAX(0,_xlfn.XLOOKUP(tblOrdenes[[#This Row],[id_operacion]],tblEjecucion[id_operacion],tblEjecucion[costo_plan_total],0)-tblOrdenes[[#This Row],[costo_servicio]]))</f>
        <v/>
      </c>
      <c r="AK706" s="10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2">
        <f>IF(tblOrdenes[[#This Row],[fecha_inicio]]="","",TODAY()-tblOrdenes[[#This Row],[fecha_inicio]])</f>
        <v/>
      </c>
      <c r="AB7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0">
        <f>IF(tblOrdenes[[#This Row],[orden]]="","",_xlfn.XLOOKUP(tblOrdenes[[#This Row],[id_operacion]],tblEjecucion[id_operacion],tblEjecucion[precio],0))</f>
        <v/>
      </c>
      <c r="AJ707" s="10">
        <f>IF(tblOrdenes[[#This Row],[orden]]="","",MAX(0,_xlfn.XLOOKUP(tblOrdenes[[#This Row],[id_operacion]],tblEjecucion[id_operacion],tblEjecucion[costo_plan_total],0)-tblOrdenes[[#This Row],[costo_servicio]]))</f>
        <v/>
      </c>
      <c r="AK707" s="10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2">
        <f>IF(tblOrdenes[[#This Row],[fecha_inicio]]="","",TODAY()-tblOrdenes[[#This Row],[fecha_inicio]])</f>
        <v/>
      </c>
      <c r="AB7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0">
        <f>IF(tblOrdenes[[#This Row],[orden]]="","",_xlfn.XLOOKUP(tblOrdenes[[#This Row],[id_operacion]],tblEjecucion[id_operacion],tblEjecucion[precio],0))</f>
        <v/>
      </c>
      <c r="AJ708" s="10">
        <f>IF(tblOrdenes[[#This Row],[orden]]="","",MAX(0,_xlfn.XLOOKUP(tblOrdenes[[#This Row],[id_operacion]],tblEjecucion[id_operacion],tblEjecucion[costo_plan_total],0)-tblOrdenes[[#This Row],[costo_servicio]]))</f>
        <v/>
      </c>
      <c r="AK708" s="10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2">
        <f>IF(tblOrdenes[[#This Row],[fecha_inicio]]="","",TODAY()-tblOrdenes[[#This Row],[fecha_inicio]])</f>
        <v/>
      </c>
      <c r="AB7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0">
        <f>IF(tblOrdenes[[#This Row],[orden]]="","",_xlfn.XLOOKUP(tblOrdenes[[#This Row],[id_operacion]],tblEjecucion[id_operacion],tblEjecucion[precio],0))</f>
        <v/>
      </c>
      <c r="AJ709" s="10">
        <f>IF(tblOrdenes[[#This Row],[orden]]="","",MAX(0,_xlfn.XLOOKUP(tblOrdenes[[#This Row],[id_operacion]],tblEjecucion[id_operacion],tblEjecucion[costo_plan_total],0)-tblOrdenes[[#This Row],[costo_servicio]]))</f>
        <v/>
      </c>
      <c r="AK709" s="10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2">
        <f>IF(tblOrdenes[[#This Row],[fecha_inicio]]="","",TODAY()-tblOrdenes[[#This Row],[fecha_inicio]])</f>
        <v/>
      </c>
      <c r="AB7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0">
        <f>IF(tblOrdenes[[#This Row],[orden]]="","",_xlfn.XLOOKUP(tblOrdenes[[#This Row],[id_operacion]],tblEjecucion[id_operacion],tblEjecucion[precio],0))</f>
        <v/>
      </c>
      <c r="AJ710" s="10">
        <f>IF(tblOrdenes[[#This Row],[orden]]="","",MAX(0,_xlfn.XLOOKUP(tblOrdenes[[#This Row],[id_operacion]],tblEjecucion[id_operacion],tblEjecucion[costo_plan_total],0)-tblOrdenes[[#This Row],[costo_servicio]]))</f>
        <v/>
      </c>
      <c r="AK710" s="10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2">
        <f>IF(tblOrdenes[[#This Row],[fecha_inicio]]="","",TODAY()-tblOrdenes[[#This Row],[fecha_inicio]])</f>
        <v/>
      </c>
      <c r="AB7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0">
        <f>IF(tblOrdenes[[#This Row],[orden]]="","",_xlfn.XLOOKUP(tblOrdenes[[#This Row],[id_operacion]],tblEjecucion[id_operacion],tblEjecucion[precio],0))</f>
        <v/>
      </c>
      <c r="AJ711" s="10">
        <f>IF(tblOrdenes[[#This Row],[orden]]="","",MAX(0,_xlfn.XLOOKUP(tblOrdenes[[#This Row],[id_operacion]],tblEjecucion[id_operacion],tblEjecucion[costo_plan_total],0)-tblOrdenes[[#This Row],[costo_servicio]]))</f>
        <v/>
      </c>
      <c r="AK711" s="10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2">
        <f>IF(tblOrdenes[[#This Row],[fecha_inicio]]="","",TODAY()-tblOrdenes[[#This Row],[fecha_inicio]])</f>
        <v/>
      </c>
      <c r="AB7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0">
        <f>IF(tblOrdenes[[#This Row],[orden]]="","",_xlfn.XLOOKUP(tblOrdenes[[#This Row],[id_operacion]],tblEjecucion[id_operacion],tblEjecucion[precio],0))</f>
        <v/>
      </c>
      <c r="AJ712" s="10">
        <f>IF(tblOrdenes[[#This Row],[orden]]="","",MAX(0,_xlfn.XLOOKUP(tblOrdenes[[#This Row],[id_operacion]],tblEjecucion[id_operacion],tblEjecucion[costo_plan_total],0)-tblOrdenes[[#This Row],[costo_servicio]]))</f>
        <v/>
      </c>
      <c r="AK712" s="10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2">
        <f>IF(tblOrdenes[[#This Row],[fecha_inicio]]="","",TODAY()-tblOrdenes[[#This Row],[fecha_inicio]])</f>
        <v/>
      </c>
      <c r="AB7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0">
        <f>IF(tblOrdenes[[#This Row],[orden]]="","",_xlfn.XLOOKUP(tblOrdenes[[#This Row],[id_operacion]],tblEjecucion[id_operacion],tblEjecucion[precio],0))</f>
        <v/>
      </c>
      <c r="AJ713" s="10">
        <f>IF(tblOrdenes[[#This Row],[orden]]="","",MAX(0,_xlfn.XLOOKUP(tblOrdenes[[#This Row],[id_operacion]],tblEjecucion[id_operacion],tblEjecucion[costo_plan_total],0)-tblOrdenes[[#This Row],[costo_servicio]]))</f>
        <v/>
      </c>
      <c r="AK713" s="10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2">
        <f>IF(tblOrdenes[[#This Row],[fecha_inicio]]="","",TODAY()-tblOrdenes[[#This Row],[fecha_inicio]])</f>
        <v/>
      </c>
      <c r="AB7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0">
        <f>IF(tblOrdenes[[#This Row],[orden]]="","",_xlfn.XLOOKUP(tblOrdenes[[#This Row],[id_operacion]],tblEjecucion[id_operacion],tblEjecucion[precio],0))</f>
        <v/>
      </c>
      <c r="AJ714" s="10">
        <f>IF(tblOrdenes[[#This Row],[orden]]="","",MAX(0,_xlfn.XLOOKUP(tblOrdenes[[#This Row],[id_operacion]],tblEjecucion[id_operacion],tblEjecucion[costo_plan_total],0)-tblOrdenes[[#This Row],[costo_servicio]]))</f>
        <v/>
      </c>
      <c r="AK714" s="10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2">
        <f>IF(tblOrdenes[[#This Row],[fecha_inicio]]="","",TODAY()-tblOrdenes[[#This Row],[fecha_inicio]])</f>
        <v/>
      </c>
      <c r="AB7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0">
        <f>IF(tblOrdenes[[#This Row],[orden]]="","",_xlfn.XLOOKUP(tblOrdenes[[#This Row],[id_operacion]],tblEjecucion[id_operacion],tblEjecucion[precio],0))</f>
        <v/>
      </c>
      <c r="AJ715" s="10">
        <f>IF(tblOrdenes[[#This Row],[orden]]="","",MAX(0,_xlfn.XLOOKUP(tblOrdenes[[#This Row],[id_operacion]],tblEjecucion[id_operacion],tblEjecucion[costo_plan_total],0)-tblOrdenes[[#This Row],[costo_servicio]]))</f>
        <v/>
      </c>
      <c r="AK715" s="10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2">
        <f>IF(tblOrdenes[[#This Row],[fecha_inicio]]="","",TODAY()-tblOrdenes[[#This Row],[fecha_inicio]])</f>
        <v/>
      </c>
      <c r="AB7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0">
        <f>IF(tblOrdenes[[#This Row],[orden]]="","",_xlfn.XLOOKUP(tblOrdenes[[#This Row],[id_operacion]],tblEjecucion[id_operacion],tblEjecucion[precio],0))</f>
        <v/>
      </c>
      <c r="AJ716" s="10">
        <f>IF(tblOrdenes[[#This Row],[orden]]="","",MAX(0,_xlfn.XLOOKUP(tblOrdenes[[#This Row],[id_operacion]],tblEjecucion[id_operacion],tblEjecucion[costo_plan_total],0)-tblOrdenes[[#This Row],[costo_servicio]]))</f>
        <v/>
      </c>
      <c r="AK716" s="10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2">
        <f>IF(tblOrdenes[[#This Row],[fecha_inicio]]="","",TODAY()-tblOrdenes[[#This Row],[fecha_inicio]])</f>
        <v/>
      </c>
      <c r="AB7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0">
        <f>IF(tblOrdenes[[#This Row],[orden]]="","",_xlfn.XLOOKUP(tblOrdenes[[#This Row],[id_operacion]],tblEjecucion[id_operacion],tblEjecucion[precio],0))</f>
        <v/>
      </c>
      <c r="AJ717" s="10">
        <f>IF(tblOrdenes[[#This Row],[orden]]="","",MAX(0,_xlfn.XLOOKUP(tblOrdenes[[#This Row],[id_operacion]],tblEjecucion[id_operacion],tblEjecucion[costo_plan_total],0)-tblOrdenes[[#This Row],[costo_servicio]]))</f>
        <v/>
      </c>
      <c r="AK717" s="10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2">
        <f>IF(tblOrdenes[[#This Row],[fecha_inicio]]="","",TODAY()-tblOrdenes[[#This Row],[fecha_inicio]])</f>
        <v/>
      </c>
      <c r="AB7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0">
        <f>IF(tblOrdenes[[#This Row],[orden]]="","",_xlfn.XLOOKUP(tblOrdenes[[#This Row],[id_operacion]],tblEjecucion[id_operacion],tblEjecucion[precio],0))</f>
        <v/>
      </c>
      <c r="AJ718" s="10">
        <f>IF(tblOrdenes[[#This Row],[orden]]="","",MAX(0,_xlfn.XLOOKUP(tblOrdenes[[#This Row],[id_operacion]],tblEjecucion[id_operacion],tblEjecucion[costo_plan_total],0)-tblOrdenes[[#This Row],[costo_servicio]]))</f>
        <v/>
      </c>
      <c r="AK718" s="10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2">
        <f>IF(tblOrdenes[[#This Row],[fecha_inicio]]="","",TODAY()-tblOrdenes[[#This Row],[fecha_inicio]])</f>
        <v/>
      </c>
      <c r="AB7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0">
        <f>IF(tblOrdenes[[#This Row],[orden]]="","",_xlfn.XLOOKUP(tblOrdenes[[#This Row],[id_operacion]],tblEjecucion[id_operacion],tblEjecucion[precio],0))</f>
        <v/>
      </c>
      <c r="AJ719" s="10">
        <f>IF(tblOrdenes[[#This Row],[orden]]="","",MAX(0,_xlfn.XLOOKUP(tblOrdenes[[#This Row],[id_operacion]],tblEjecucion[id_operacion],tblEjecucion[costo_plan_total],0)-tblOrdenes[[#This Row],[costo_servicio]]))</f>
        <v/>
      </c>
      <c r="AK719" s="10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2">
        <f>IF(tblOrdenes[[#This Row],[fecha_inicio]]="","",TODAY()-tblOrdenes[[#This Row],[fecha_inicio]])</f>
        <v/>
      </c>
      <c r="AB7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0">
        <f>IF(tblOrdenes[[#This Row],[orden]]="","",_xlfn.XLOOKUP(tblOrdenes[[#This Row],[id_operacion]],tblEjecucion[id_operacion],tblEjecucion[precio],0))</f>
        <v/>
      </c>
      <c r="AJ720" s="10">
        <f>IF(tblOrdenes[[#This Row],[orden]]="","",MAX(0,_xlfn.XLOOKUP(tblOrdenes[[#This Row],[id_operacion]],tblEjecucion[id_operacion],tblEjecucion[costo_plan_total],0)-tblOrdenes[[#This Row],[costo_servicio]]))</f>
        <v/>
      </c>
      <c r="AK720" s="10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2">
        <f>IF(tblOrdenes[[#This Row],[fecha_inicio]]="","",TODAY()-tblOrdenes[[#This Row],[fecha_inicio]])</f>
        <v/>
      </c>
      <c r="AB7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0">
        <f>IF(tblOrdenes[[#This Row],[orden]]="","",_xlfn.XLOOKUP(tblOrdenes[[#This Row],[id_operacion]],tblEjecucion[id_operacion],tblEjecucion[precio],0))</f>
        <v/>
      </c>
      <c r="AJ721" s="10">
        <f>IF(tblOrdenes[[#This Row],[orden]]="","",MAX(0,_xlfn.XLOOKUP(tblOrdenes[[#This Row],[id_operacion]],tblEjecucion[id_operacion],tblEjecucion[costo_plan_total],0)-tblOrdenes[[#This Row],[costo_servicio]]))</f>
        <v/>
      </c>
      <c r="AK721" s="10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2">
        <f>IF(tblOrdenes[[#This Row],[fecha_inicio]]="","",TODAY()-tblOrdenes[[#This Row],[fecha_inicio]])</f>
        <v/>
      </c>
      <c r="AB7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0">
        <f>IF(tblOrdenes[[#This Row],[orden]]="","",_xlfn.XLOOKUP(tblOrdenes[[#This Row],[id_operacion]],tblEjecucion[id_operacion],tblEjecucion[precio],0))</f>
        <v/>
      </c>
      <c r="AJ722" s="10">
        <f>IF(tblOrdenes[[#This Row],[orden]]="","",MAX(0,_xlfn.XLOOKUP(tblOrdenes[[#This Row],[id_operacion]],tblEjecucion[id_operacion],tblEjecucion[costo_plan_total],0)-tblOrdenes[[#This Row],[costo_servicio]]))</f>
        <v/>
      </c>
      <c r="AK722" s="10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2">
        <f>IF(tblOrdenes[[#This Row],[fecha_inicio]]="","",TODAY()-tblOrdenes[[#This Row],[fecha_inicio]])</f>
        <v/>
      </c>
      <c r="AB7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0">
        <f>IF(tblOrdenes[[#This Row],[orden]]="","",_xlfn.XLOOKUP(tblOrdenes[[#This Row],[id_operacion]],tblEjecucion[id_operacion],tblEjecucion[precio],0))</f>
        <v/>
      </c>
      <c r="AJ723" s="10">
        <f>IF(tblOrdenes[[#This Row],[orden]]="","",MAX(0,_xlfn.XLOOKUP(tblOrdenes[[#This Row],[id_operacion]],tblEjecucion[id_operacion],tblEjecucion[costo_plan_total],0)-tblOrdenes[[#This Row],[costo_servicio]]))</f>
        <v/>
      </c>
      <c r="AK723" s="10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2">
        <f>IF(tblOrdenes[[#This Row],[fecha_inicio]]="","",TODAY()-tblOrdenes[[#This Row],[fecha_inicio]])</f>
        <v/>
      </c>
      <c r="AB7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0">
        <f>IF(tblOrdenes[[#This Row],[orden]]="","",_xlfn.XLOOKUP(tblOrdenes[[#This Row],[id_operacion]],tblEjecucion[id_operacion],tblEjecucion[precio],0))</f>
        <v/>
      </c>
      <c r="AJ724" s="10">
        <f>IF(tblOrdenes[[#This Row],[orden]]="","",MAX(0,_xlfn.XLOOKUP(tblOrdenes[[#This Row],[id_operacion]],tblEjecucion[id_operacion],tblEjecucion[costo_plan_total],0)-tblOrdenes[[#This Row],[costo_servicio]]))</f>
        <v/>
      </c>
      <c r="AK724" s="10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2">
        <f>IF(tblOrdenes[[#This Row],[fecha_inicio]]="","",TODAY()-tblOrdenes[[#This Row],[fecha_inicio]])</f>
        <v/>
      </c>
      <c r="AB7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0">
        <f>IF(tblOrdenes[[#This Row],[orden]]="","",_xlfn.XLOOKUP(tblOrdenes[[#This Row],[id_operacion]],tblEjecucion[id_operacion],tblEjecucion[precio],0))</f>
        <v/>
      </c>
      <c r="AJ725" s="10">
        <f>IF(tblOrdenes[[#This Row],[orden]]="","",MAX(0,_xlfn.XLOOKUP(tblOrdenes[[#This Row],[id_operacion]],tblEjecucion[id_operacion],tblEjecucion[costo_plan_total],0)-tblOrdenes[[#This Row],[costo_servicio]]))</f>
        <v/>
      </c>
      <c r="AK725" s="10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2">
        <f>IF(tblOrdenes[[#This Row],[fecha_inicio]]="","",TODAY()-tblOrdenes[[#This Row],[fecha_inicio]])</f>
        <v/>
      </c>
      <c r="AB7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0">
        <f>IF(tblOrdenes[[#This Row],[orden]]="","",_xlfn.XLOOKUP(tblOrdenes[[#This Row],[id_operacion]],tblEjecucion[id_operacion],tblEjecucion[precio],0))</f>
        <v/>
      </c>
      <c r="AJ726" s="10">
        <f>IF(tblOrdenes[[#This Row],[orden]]="","",MAX(0,_xlfn.XLOOKUP(tblOrdenes[[#This Row],[id_operacion]],tblEjecucion[id_operacion],tblEjecucion[costo_plan_total],0)-tblOrdenes[[#This Row],[costo_servicio]]))</f>
        <v/>
      </c>
      <c r="AK726" s="10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2">
        <f>IF(tblOrdenes[[#This Row],[fecha_inicio]]="","",TODAY()-tblOrdenes[[#This Row],[fecha_inicio]])</f>
        <v/>
      </c>
      <c r="AB7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0">
        <f>IF(tblOrdenes[[#This Row],[orden]]="","",_xlfn.XLOOKUP(tblOrdenes[[#This Row],[id_operacion]],tblEjecucion[id_operacion],tblEjecucion[precio],0))</f>
        <v/>
      </c>
      <c r="AJ727" s="10">
        <f>IF(tblOrdenes[[#This Row],[orden]]="","",MAX(0,_xlfn.XLOOKUP(tblOrdenes[[#This Row],[id_operacion]],tblEjecucion[id_operacion],tblEjecucion[costo_plan_total],0)-tblOrdenes[[#This Row],[costo_servicio]]))</f>
        <v/>
      </c>
      <c r="AK727" s="10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2">
        <f>IF(tblOrdenes[[#This Row],[fecha_inicio]]="","",TODAY()-tblOrdenes[[#This Row],[fecha_inicio]])</f>
        <v/>
      </c>
      <c r="AB7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0">
        <f>IF(tblOrdenes[[#This Row],[orden]]="","",_xlfn.XLOOKUP(tblOrdenes[[#This Row],[id_operacion]],tblEjecucion[id_operacion],tblEjecucion[precio],0))</f>
        <v/>
      </c>
      <c r="AJ728" s="10">
        <f>IF(tblOrdenes[[#This Row],[orden]]="","",MAX(0,_xlfn.XLOOKUP(tblOrdenes[[#This Row],[id_operacion]],tblEjecucion[id_operacion],tblEjecucion[costo_plan_total],0)-tblOrdenes[[#This Row],[costo_servicio]]))</f>
        <v/>
      </c>
      <c r="AK728" s="10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2">
        <f>IF(tblOrdenes[[#This Row],[fecha_inicio]]="","",TODAY()-tblOrdenes[[#This Row],[fecha_inicio]])</f>
        <v/>
      </c>
      <c r="AB7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0">
        <f>IF(tblOrdenes[[#This Row],[orden]]="","",_xlfn.XLOOKUP(tblOrdenes[[#This Row],[id_operacion]],tblEjecucion[id_operacion],tblEjecucion[precio],0))</f>
        <v/>
      </c>
      <c r="AJ729" s="10">
        <f>IF(tblOrdenes[[#This Row],[orden]]="","",MAX(0,_xlfn.XLOOKUP(tblOrdenes[[#This Row],[id_operacion]],tblEjecucion[id_operacion],tblEjecucion[costo_plan_total],0)-tblOrdenes[[#This Row],[costo_servicio]]))</f>
        <v/>
      </c>
      <c r="AK729" s="10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2">
        <f>IF(tblOrdenes[[#This Row],[fecha_inicio]]="","",TODAY()-tblOrdenes[[#This Row],[fecha_inicio]])</f>
        <v/>
      </c>
      <c r="AB7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0">
        <f>IF(tblOrdenes[[#This Row],[orden]]="","",_xlfn.XLOOKUP(tblOrdenes[[#This Row],[id_operacion]],tblEjecucion[id_operacion],tblEjecucion[precio],0))</f>
        <v/>
      </c>
      <c r="AJ730" s="10">
        <f>IF(tblOrdenes[[#This Row],[orden]]="","",MAX(0,_xlfn.XLOOKUP(tblOrdenes[[#This Row],[id_operacion]],tblEjecucion[id_operacion],tblEjecucion[costo_plan_total],0)-tblOrdenes[[#This Row],[costo_servicio]]))</f>
        <v/>
      </c>
      <c r="AK730" s="10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2">
        <f>IF(tblOrdenes[[#This Row],[fecha_inicio]]="","",TODAY()-tblOrdenes[[#This Row],[fecha_inicio]])</f>
        <v/>
      </c>
      <c r="AB7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0">
        <f>IF(tblOrdenes[[#This Row],[orden]]="","",_xlfn.XLOOKUP(tblOrdenes[[#This Row],[id_operacion]],tblEjecucion[id_operacion],tblEjecucion[precio],0))</f>
        <v/>
      </c>
      <c r="AJ731" s="10">
        <f>IF(tblOrdenes[[#This Row],[orden]]="","",MAX(0,_xlfn.XLOOKUP(tblOrdenes[[#This Row],[id_operacion]],tblEjecucion[id_operacion],tblEjecucion[costo_plan_total],0)-tblOrdenes[[#This Row],[costo_servicio]]))</f>
        <v/>
      </c>
      <c r="AK731" s="10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2">
        <f>IF(tblOrdenes[[#This Row],[fecha_inicio]]="","",TODAY()-tblOrdenes[[#This Row],[fecha_inicio]])</f>
        <v/>
      </c>
      <c r="AB7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0">
        <f>IF(tblOrdenes[[#This Row],[orden]]="","",_xlfn.XLOOKUP(tblOrdenes[[#This Row],[id_operacion]],tblEjecucion[id_operacion],tblEjecucion[precio],0))</f>
        <v/>
      </c>
      <c r="AJ732" s="10">
        <f>IF(tblOrdenes[[#This Row],[orden]]="","",MAX(0,_xlfn.XLOOKUP(tblOrdenes[[#This Row],[id_operacion]],tblEjecucion[id_operacion],tblEjecucion[costo_plan_total],0)-tblOrdenes[[#This Row],[costo_servicio]]))</f>
        <v/>
      </c>
      <c r="AK732" s="10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2">
        <f>IF(tblOrdenes[[#This Row],[fecha_inicio]]="","",TODAY()-tblOrdenes[[#This Row],[fecha_inicio]])</f>
        <v/>
      </c>
      <c r="AB7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0">
        <f>IF(tblOrdenes[[#This Row],[orden]]="","",_xlfn.XLOOKUP(tblOrdenes[[#This Row],[id_operacion]],tblEjecucion[id_operacion],tblEjecucion[precio],0))</f>
        <v/>
      </c>
      <c r="AJ733" s="10">
        <f>IF(tblOrdenes[[#This Row],[orden]]="","",MAX(0,_xlfn.XLOOKUP(tblOrdenes[[#This Row],[id_operacion]],tblEjecucion[id_operacion],tblEjecucion[costo_plan_total],0)-tblOrdenes[[#This Row],[costo_servicio]]))</f>
        <v/>
      </c>
      <c r="AK733" s="10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2">
        <f>IF(tblOrdenes[[#This Row],[fecha_inicio]]="","",TODAY()-tblOrdenes[[#This Row],[fecha_inicio]])</f>
        <v/>
      </c>
      <c r="AB7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0">
        <f>IF(tblOrdenes[[#This Row],[orden]]="","",_xlfn.XLOOKUP(tblOrdenes[[#This Row],[id_operacion]],tblEjecucion[id_operacion],tblEjecucion[precio],0))</f>
        <v/>
      </c>
      <c r="AJ734" s="10">
        <f>IF(tblOrdenes[[#This Row],[orden]]="","",MAX(0,_xlfn.XLOOKUP(tblOrdenes[[#This Row],[id_operacion]],tblEjecucion[id_operacion],tblEjecucion[costo_plan_total],0)-tblOrdenes[[#This Row],[costo_servicio]]))</f>
        <v/>
      </c>
      <c r="AK734" s="10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2">
        <f>IF(tblOrdenes[[#This Row],[fecha_inicio]]="","",TODAY()-tblOrdenes[[#This Row],[fecha_inicio]])</f>
        <v/>
      </c>
      <c r="AB7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0">
        <f>IF(tblOrdenes[[#This Row],[orden]]="","",_xlfn.XLOOKUP(tblOrdenes[[#This Row],[id_operacion]],tblEjecucion[id_operacion],tblEjecucion[precio],0))</f>
        <v/>
      </c>
      <c r="AJ735" s="10">
        <f>IF(tblOrdenes[[#This Row],[orden]]="","",MAX(0,_xlfn.XLOOKUP(tblOrdenes[[#This Row],[id_operacion]],tblEjecucion[id_operacion],tblEjecucion[costo_plan_total],0)-tblOrdenes[[#This Row],[costo_servicio]]))</f>
        <v/>
      </c>
      <c r="AK735" s="10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2">
        <f>IF(tblOrdenes[[#This Row],[fecha_inicio]]="","",TODAY()-tblOrdenes[[#This Row],[fecha_inicio]])</f>
        <v/>
      </c>
      <c r="AB7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0">
        <f>IF(tblOrdenes[[#This Row],[orden]]="","",_xlfn.XLOOKUP(tblOrdenes[[#This Row],[id_operacion]],tblEjecucion[id_operacion],tblEjecucion[precio],0))</f>
        <v/>
      </c>
      <c r="AJ736" s="10">
        <f>IF(tblOrdenes[[#This Row],[orden]]="","",MAX(0,_xlfn.XLOOKUP(tblOrdenes[[#This Row],[id_operacion]],tblEjecucion[id_operacion],tblEjecucion[costo_plan_total],0)-tblOrdenes[[#This Row],[costo_servicio]]))</f>
        <v/>
      </c>
      <c r="AK736" s="10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2">
        <f>IF(tblOrdenes[[#This Row],[fecha_inicio]]="","",TODAY()-tblOrdenes[[#This Row],[fecha_inicio]])</f>
        <v/>
      </c>
      <c r="AB7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0">
        <f>IF(tblOrdenes[[#This Row],[orden]]="","",_xlfn.XLOOKUP(tblOrdenes[[#This Row],[id_operacion]],tblEjecucion[id_operacion],tblEjecucion[precio],0))</f>
        <v/>
      </c>
      <c r="AJ737" s="10">
        <f>IF(tblOrdenes[[#This Row],[orden]]="","",MAX(0,_xlfn.XLOOKUP(tblOrdenes[[#This Row],[id_operacion]],tblEjecucion[id_operacion],tblEjecucion[costo_plan_total],0)-tblOrdenes[[#This Row],[costo_servicio]]))</f>
        <v/>
      </c>
      <c r="AK737" s="10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2">
        <f>IF(tblOrdenes[[#This Row],[fecha_inicio]]="","",TODAY()-tblOrdenes[[#This Row],[fecha_inicio]])</f>
        <v/>
      </c>
      <c r="AB7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0">
        <f>IF(tblOrdenes[[#This Row],[orden]]="","",_xlfn.XLOOKUP(tblOrdenes[[#This Row],[id_operacion]],tblEjecucion[id_operacion],tblEjecucion[precio],0))</f>
        <v/>
      </c>
      <c r="AJ738" s="10">
        <f>IF(tblOrdenes[[#This Row],[orden]]="","",MAX(0,_xlfn.XLOOKUP(tblOrdenes[[#This Row],[id_operacion]],tblEjecucion[id_operacion],tblEjecucion[costo_plan_total],0)-tblOrdenes[[#This Row],[costo_servicio]]))</f>
        <v/>
      </c>
      <c r="AK738" s="10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2">
        <f>IF(tblOrdenes[[#This Row],[fecha_inicio]]="","",TODAY()-tblOrdenes[[#This Row],[fecha_inicio]])</f>
        <v/>
      </c>
      <c r="AB7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0">
        <f>IF(tblOrdenes[[#This Row],[orden]]="","",_xlfn.XLOOKUP(tblOrdenes[[#This Row],[id_operacion]],tblEjecucion[id_operacion],tblEjecucion[precio],0))</f>
        <v/>
      </c>
      <c r="AJ739" s="10">
        <f>IF(tblOrdenes[[#This Row],[orden]]="","",MAX(0,_xlfn.XLOOKUP(tblOrdenes[[#This Row],[id_operacion]],tblEjecucion[id_operacion],tblEjecucion[costo_plan_total],0)-tblOrdenes[[#This Row],[costo_servicio]]))</f>
        <v/>
      </c>
      <c r="AK739" s="10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2">
        <f>IF(tblOrdenes[[#This Row],[fecha_inicio]]="","",TODAY()-tblOrdenes[[#This Row],[fecha_inicio]])</f>
        <v/>
      </c>
      <c r="AB7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0">
        <f>IF(tblOrdenes[[#This Row],[orden]]="","",_xlfn.XLOOKUP(tblOrdenes[[#This Row],[id_operacion]],tblEjecucion[id_operacion],tblEjecucion[precio],0))</f>
        <v/>
      </c>
      <c r="AJ740" s="10">
        <f>IF(tblOrdenes[[#This Row],[orden]]="","",MAX(0,_xlfn.XLOOKUP(tblOrdenes[[#This Row],[id_operacion]],tblEjecucion[id_operacion],tblEjecucion[costo_plan_total],0)-tblOrdenes[[#This Row],[costo_servicio]]))</f>
        <v/>
      </c>
      <c r="AK740" s="10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2">
        <f>IF(tblOrdenes[[#This Row],[fecha_inicio]]="","",TODAY()-tblOrdenes[[#This Row],[fecha_inicio]])</f>
        <v/>
      </c>
      <c r="AB7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0">
        <f>IF(tblOrdenes[[#This Row],[orden]]="","",_xlfn.XLOOKUP(tblOrdenes[[#This Row],[id_operacion]],tblEjecucion[id_operacion],tblEjecucion[precio],0))</f>
        <v/>
      </c>
      <c r="AJ741" s="10">
        <f>IF(tblOrdenes[[#This Row],[orden]]="","",MAX(0,_xlfn.XLOOKUP(tblOrdenes[[#This Row],[id_operacion]],tblEjecucion[id_operacion],tblEjecucion[costo_plan_total],0)-tblOrdenes[[#This Row],[costo_servicio]]))</f>
        <v/>
      </c>
      <c r="AK741" s="10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2">
        <f>IF(tblOrdenes[[#This Row],[fecha_inicio]]="","",TODAY()-tblOrdenes[[#This Row],[fecha_inicio]])</f>
        <v/>
      </c>
      <c r="AB7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0">
        <f>IF(tblOrdenes[[#This Row],[orden]]="","",_xlfn.XLOOKUP(tblOrdenes[[#This Row],[id_operacion]],tblEjecucion[id_operacion],tblEjecucion[precio],0))</f>
        <v/>
      </c>
      <c r="AJ742" s="10">
        <f>IF(tblOrdenes[[#This Row],[orden]]="","",MAX(0,_xlfn.XLOOKUP(tblOrdenes[[#This Row],[id_operacion]],tblEjecucion[id_operacion],tblEjecucion[costo_plan_total],0)-tblOrdenes[[#This Row],[costo_servicio]]))</f>
        <v/>
      </c>
      <c r="AK742" s="10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2">
        <f>IF(tblOrdenes[[#This Row],[fecha_inicio]]="","",TODAY()-tblOrdenes[[#This Row],[fecha_inicio]])</f>
        <v/>
      </c>
      <c r="AB7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0">
        <f>IF(tblOrdenes[[#This Row],[orden]]="","",_xlfn.XLOOKUP(tblOrdenes[[#This Row],[id_operacion]],tblEjecucion[id_operacion],tblEjecucion[precio],0))</f>
        <v/>
      </c>
      <c r="AJ743" s="10">
        <f>IF(tblOrdenes[[#This Row],[orden]]="","",MAX(0,_xlfn.XLOOKUP(tblOrdenes[[#This Row],[id_operacion]],tblEjecucion[id_operacion],tblEjecucion[costo_plan_total],0)-tblOrdenes[[#This Row],[costo_servicio]]))</f>
        <v/>
      </c>
      <c r="AK743" s="10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2">
        <f>IF(tblOrdenes[[#This Row],[fecha_inicio]]="","",TODAY()-tblOrdenes[[#This Row],[fecha_inicio]])</f>
        <v/>
      </c>
      <c r="AB7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0">
        <f>IF(tblOrdenes[[#This Row],[orden]]="","",_xlfn.XLOOKUP(tblOrdenes[[#This Row],[id_operacion]],tblEjecucion[id_operacion],tblEjecucion[precio],0))</f>
        <v/>
      </c>
      <c r="AJ744" s="10">
        <f>IF(tblOrdenes[[#This Row],[orden]]="","",MAX(0,_xlfn.XLOOKUP(tblOrdenes[[#This Row],[id_operacion]],tblEjecucion[id_operacion],tblEjecucion[costo_plan_total],0)-tblOrdenes[[#This Row],[costo_servicio]]))</f>
        <v/>
      </c>
      <c r="AK744" s="10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2">
        <f>IF(tblOrdenes[[#This Row],[fecha_inicio]]="","",TODAY()-tblOrdenes[[#This Row],[fecha_inicio]])</f>
        <v/>
      </c>
      <c r="AB7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0">
        <f>IF(tblOrdenes[[#This Row],[orden]]="","",_xlfn.XLOOKUP(tblOrdenes[[#This Row],[id_operacion]],tblEjecucion[id_operacion],tblEjecucion[precio],0))</f>
        <v/>
      </c>
      <c r="AJ745" s="10">
        <f>IF(tblOrdenes[[#This Row],[orden]]="","",MAX(0,_xlfn.XLOOKUP(tblOrdenes[[#This Row],[id_operacion]],tblEjecucion[id_operacion],tblEjecucion[costo_plan_total],0)-tblOrdenes[[#This Row],[costo_servicio]]))</f>
        <v/>
      </c>
      <c r="AK745" s="10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2">
        <f>IF(tblOrdenes[[#This Row],[fecha_inicio]]="","",TODAY()-tblOrdenes[[#This Row],[fecha_inicio]])</f>
        <v/>
      </c>
      <c r="AB7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0">
        <f>IF(tblOrdenes[[#This Row],[orden]]="","",_xlfn.XLOOKUP(tblOrdenes[[#This Row],[id_operacion]],tblEjecucion[id_operacion],tblEjecucion[precio],0))</f>
        <v/>
      </c>
      <c r="AJ746" s="10">
        <f>IF(tblOrdenes[[#This Row],[orden]]="","",MAX(0,_xlfn.XLOOKUP(tblOrdenes[[#This Row],[id_operacion]],tblEjecucion[id_operacion],tblEjecucion[costo_plan_total],0)-tblOrdenes[[#This Row],[costo_servicio]]))</f>
        <v/>
      </c>
      <c r="AK746" s="10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2">
        <f>IF(tblOrdenes[[#This Row],[fecha_inicio]]="","",TODAY()-tblOrdenes[[#This Row],[fecha_inicio]])</f>
        <v/>
      </c>
      <c r="AB7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0">
        <f>IF(tblOrdenes[[#This Row],[orden]]="","",_xlfn.XLOOKUP(tblOrdenes[[#This Row],[id_operacion]],tblEjecucion[id_operacion],tblEjecucion[precio],0))</f>
        <v/>
      </c>
      <c r="AJ747" s="10">
        <f>IF(tblOrdenes[[#This Row],[orden]]="","",MAX(0,_xlfn.XLOOKUP(tblOrdenes[[#This Row],[id_operacion]],tblEjecucion[id_operacion],tblEjecucion[costo_plan_total],0)-tblOrdenes[[#This Row],[costo_servicio]]))</f>
        <v/>
      </c>
      <c r="AK747" s="10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2">
        <f>IF(tblOrdenes[[#This Row],[fecha_inicio]]="","",TODAY()-tblOrdenes[[#This Row],[fecha_inicio]])</f>
        <v/>
      </c>
      <c r="AB7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0">
        <f>IF(tblOrdenes[[#This Row],[orden]]="","",_xlfn.XLOOKUP(tblOrdenes[[#This Row],[id_operacion]],tblEjecucion[id_operacion],tblEjecucion[precio],0))</f>
        <v/>
      </c>
      <c r="AJ748" s="10">
        <f>IF(tblOrdenes[[#This Row],[orden]]="","",MAX(0,_xlfn.XLOOKUP(tblOrdenes[[#This Row],[id_operacion]],tblEjecucion[id_operacion],tblEjecucion[costo_plan_total],0)-tblOrdenes[[#This Row],[costo_servicio]]))</f>
        <v/>
      </c>
      <c r="AK748" s="10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2">
        <f>IF(tblOrdenes[[#This Row],[fecha_inicio]]="","",TODAY()-tblOrdenes[[#This Row],[fecha_inicio]])</f>
        <v/>
      </c>
      <c r="AB7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0">
        <f>IF(tblOrdenes[[#This Row],[orden]]="","",_xlfn.XLOOKUP(tblOrdenes[[#This Row],[id_operacion]],tblEjecucion[id_operacion],tblEjecucion[precio],0))</f>
        <v/>
      </c>
      <c r="AJ749" s="10">
        <f>IF(tblOrdenes[[#This Row],[orden]]="","",MAX(0,_xlfn.XLOOKUP(tblOrdenes[[#This Row],[id_operacion]],tblEjecucion[id_operacion],tblEjecucion[costo_plan_total],0)-tblOrdenes[[#This Row],[costo_servicio]]))</f>
        <v/>
      </c>
      <c r="AK749" s="10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2">
        <f>IF(tblOrdenes[[#This Row],[fecha_inicio]]="","",TODAY()-tblOrdenes[[#This Row],[fecha_inicio]])</f>
        <v/>
      </c>
      <c r="AB7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0">
        <f>IF(tblOrdenes[[#This Row],[orden]]="","",_xlfn.XLOOKUP(tblOrdenes[[#This Row],[id_operacion]],tblEjecucion[id_operacion],tblEjecucion[precio],0))</f>
        <v/>
      </c>
      <c r="AJ750" s="10">
        <f>IF(tblOrdenes[[#This Row],[orden]]="","",MAX(0,_xlfn.XLOOKUP(tblOrdenes[[#This Row],[id_operacion]],tblEjecucion[id_operacion],tblEjecucion[costo_plan_total],0)-tblOrdenes[[#This Row],[costo_servicio]]))</f>
        <v/>
      </c>
      <c r="AK750" s="10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2">
        <f>IF(tblOrdenes[[#This Row],[fecha_inicio]]="","",TODAY()-tblOrdenes[[#This Row],[fecha_inicio]])</f>
        <v/>
      </c>
      <c r="AB7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0">
        <f>IF(tblOrdenes[[#This Row],[orden]]="","",_xlfn.XLOOKUP(tblOrdenes[[#This Row],[id_operacion]],tblEjecucion[id_operacion],tblEjecucion[precio],0))</f>
        <v/>
      </c>
      <c r="AJ751" s="10">
        <f>IF(tblOrdenes[[#This Row],[orden]]="","",MAX(0,_xlfn.XLOOKUP(tblOrdenes[[#This Row],[id_operacion]],tblEjecucion[id_operacion],tblEjecucion[costo_plan_total],0)-tblOrdenes[[#This Row],[costo_servicio]]))</f>
        <v/>
      </c>
      <c r="AK751" s="10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2">
        <f>IF(tblOrdenes[[#This Row],[fecha_inicio]]="","",TODAY()-tblOrdenes[[#This Row],[fecha_inicio]])</f>
        <v/>
      </c>
      <c r="AB7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0">
        <f>IF(tblOrdenes[[#This Row],[orden]]="","",_xlfn.XLOOKUP(tblOrdenes[[#This Row],[id_operacion]],tblEjecucion[id_operacion],tblEjecucion[precio],0))</f>
        <v/>
      </c>
      <c r="AJ752" s="10">
        <f>IF(tblOrdenes[[#This Row],[orden]]="","",MAX(0,_xlfn.XLOOKUP(tblOrdenes[[#This Row],[id_operacion]],tblEjecucion[id_operacion],tblEjecucion[costo_plan_total],0)-tblOrdenes[[#This Row],[costo_servicio]]))</f>
        <v/>
      </c>
      <c r="AK752" s="10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2">
        <f>IF(tblOrdenes[[#This Row],[fecha_inicio]]="","",TODAY()-tblOrdenes[[#This Row],[fecha_inicio]])</f>
        <v/>
      </c>
      <c r="AB7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0">
        <f>IF(tblOrdenes[[#This Row],[orden]]="","",_xlfn.XLOOKUP(tblOrdenes[[#This Row],[id_operacion]],tblEjecucion[id_operacion],tblEjecucion[precio],0))</f>
        <v/>
      </c>
      <c r="AJ753" s="10">
        <f>IF(tblOrdenes[[#This Row],[orden]]="","",MAX(0,_xlfn.XLOOKUP(tblOrdenes[[#This Row],[id_operacion]],tblEjecucion[id_operacion],tblEjecucion[costo_plan_total],0)-tblOrdenes[[#This Row],[costo_servicio]]))</f>
        <v/>
      </c>
      <c r="AK753" s="10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2">
        <f>IF(tblOrdenes[[#This Row],[fecha_inicio]]="","",TODAY()-tblOrdenes[[#This Row],[fecha_inicio]])</f>
        <v/>
      </c>
      <c r="AB7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0">
        <f>IF(tblOrdenes[[#This Row],[orden]]="","",_xlfn.XLOOKUP(tblOrdenes[[#This Row],[id_operacion]],tblEjecucion[id_operacion],tblEjecucion[precio],0))</f>
        <v/>
      </c>
      <c r="AJ754" s="10">
        <f>IF(tblOrdenes[[#This Row],[orden]]="","",MAX(0,_xlfn.XLOOKUP(tblOrdenes[[#This Row],[id_operacion]],tblEjecucion[id_operacion],tblEjecucion[costo_plan_total],0)-tblOrdenes[[#This Row],[costo_servicio]]))</f>
        <v/>
      </c>
      <c r="AK754" s="10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2">
        <f>IF(tblOrdenes[[#This Row],[fecha_inicio]]="","",TODAY()-tblOrdenes[[#This Row],[fecha_inicio]])</f>
        <v/>
      </c>
      <c r="AB7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0">
        <f>IF(tblOrdenes[[#This Row],[orden]]="","",_xlfn.XLOOKUP(tblOrdenes[[#This Row],[id_operacion]],tblEjecucion[id_operacion],tblEjecucion[precio],0))</f>
        <v/>
      </c>
      <c r="AJ755" s="10">
        <f>IF(tblOrdenes[[#This Row],[orden]]="","",MAX(0,_xlfn.XLOOKUP(tblOrdenes[[#This Row],[id_operacion]],tblEjecucion[id_operacion],tblEjecucion[costo_plan_total],0)-tblOrdenes[[#This Row],[costo_servicio]]))</f>
        <v/>
      </c>
      <c r="AK755" s="10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2">
        <f>IF(tblOrdenes[[#This Row],[fecha_inicio]]="","",TODAY()-tblOrdenes[[#This Row],[fecha_inicio]])</f>
        <v/>
      </c>
      <c r="AB7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0">
        <f>IF(tblOrdenes[[#This Row],[orden]]="","",_xlfn.XLOOKUP(tblOrdenes[[#This Row],[id_operacion]],tblEjecucion[id_operacion],tblEjecucion[precio],0))</f>
        <v/>
      </c>
      <c r="AJ756" s="10">
        <f>IF(tblOrdenes[[#This Row],[orden]]="","",MAX(0,_xlfn.XLOOKUP(tblOrdenes[[#This Row],[id_operacion]],tblEjecucion[id_operacion],tblEjecucion[costo_plan_total],0)-tblOrdenes[[#This Row],[costo_servicio]]))</f>
        <v/>
      </c>
      <c r="AK756" s="10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2">
        <f>IF(tblOrdenes[[#This Row],[fecha_inicio]]="","",TODAY()-tblOrdenes[[#This Row],[fecha_inicio]])</f>
        <v/>
      </c>
      <c r="AB7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0">
        <f>IF(tblOrdenes[[#This Row],[orden]]="","",_xlfn.XLOOKUP(tblOrdenes[[#This Row],[id_operacion]],tblEjecucion[id_operacion],tblEjecucion[precio],0))</f>
        <v/>
      </c>
      <c r="AJ757" s="10">
        <f>IF(tblOrdenes[[#This Row],[orden]]="","",MAX(0,_xlfn.XLOOKUP(tblOrdenes[[#This Row],[id_operacion]],tblEjecucion[id_operacion],tblEjecucion[costo_plan_total],0)-tblOrdenes[[#This Row],[costo_servicio]]))</f>
        <v/>
      </c>
      <c r="AK757" s="10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2">
        <f>IF(tblOrdenes[[#This Row],[fecha_inicio]]="","",TODAY()-tblOrdenes[[#This Row],[fecha_inicio]])</f>
        <v/>
      </c>
      <c r="AB7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0">
        <f>IF(tblOrdenes[[#This Row],[orden]]="","",_xlfn.XLOOKUP(tblOrdenes[[#This Row],[id_operacion]],tblEjecucion[id_operacion],tblEjecucion[precio],0))</f>
        <v/>
      </c>
      <c r="AJ758" s="10">
        <f>IF(tblOrdenes[[#This Row],[orden]]="","",MAX(0,_xlfn.XLOOKUP(tblOrdenes[[#This Row],[id_operacion]],tblEjecucion[id_operacion],tblEjecucion[costo_plan_total],0)-tblOrdenes[[#This Row],[costo_servicio]]))</f>
        <v/>
      </c>
      <c r="AK758" s="10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2">
        <f>IF(tblOrdenes[[#This Row],[fecha_inicio]]="","",TODAY()-tblOrdenes[[#This Row],[fecha_inicio]])</f>
        <v/>
      </c>
      <c r="AB7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0">
        <f>IF(tblOrdenes[[#This Row],[orden]]="","",_xlfn.XLOOKUP(tblOrdenes[[#This Row],[id_operacion]],tblEjecucion[id_operacion],tblEjecucion[precio],0))</f>
        <v/>
      </c>
      <c r="AJ759" s="10">
        <f>IF(tblOrdenes[[#This Row],[orden]]="","",MAX(0,_xlfn.XLOOKUP(tblOrdenes[[#This Row],[id_operacion]],tblEjecucion[id_operacion],tblEjecucion[costo_plan_total],0)-tblOrdenes[[#This Row],[costo_servicio]]))</f>
        <v/>
      </c>
      <c r="AK759" s="10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2">
        <f>IF(tblOrdenes[[#This Row],[fecha_inicio]]="","",TODAY()-tblOrdenes[[#This Row],[fecha_inicio]])</f>
        <v/>
      </c>
      <c r="AB7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0">
        <f>IF(tblOrdenes[[#This Row],[orden]]="","",_xlfn.XLOOKUP(tblOrdenes[[#This Row],[id_operacion]],tblEjecucion[id_operacion],tblEjecucion[precio],0))</f>
        <v/>
      </c>
      <c r="AJ760" s="10">
        <f>IF(tblOrdenes[[#This Row],[orden]]="","",MAX(0,_xlfn.XLOOKUP(tblOrdenes[[#This Row],[id_operacion]],tblEjecucion[id_operacion],tblEjecucion[costo_plan_total],0)-tblOrdenes[[#This Row],[costo_servicio]]))</f>
        <v/>
      </c>
      <c r="AK760" s="10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2">
        <f>IF(tblOrdenes[[#This Row],[fecha_inicio]]="","",TODAY()-tblOrdenes[[#This Row],[fecha_inicio]])</f>
        <v/>
      </c>
      <c r="AB7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0">
        <f>IF(tblOrdenes[[#This Row],[orden]]="","",_xlfn.XLOOKUP(tblOrdenes[[#This Row],[id_operacion]],tblEjecucion[id_operacion],tblEjecucion[precio],0))</f>
        <v/>
      </c>
      <c r="AJ761" s="10">
        <f>IF(tblOrdenes[[#This Row],[orden]]="","",MAX(0,_xlfn.XLOOKUP(tblOrdenes[[#This Row],[id_operacion]],tblEjecucion[id_operacion],tblEjecucion[costo_plan_total],0)-tblOrdenes[[#This Row],[costo_servicio]]))</f>
        <v/>
      </c>
      <c r="AK761" s="10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2">
        <f>IF(tblOrdenes[[#This Row],[fecha_inicio]]="","",TODAY()-tblOrdenes[[#This Row],[fecha_inicio]])</f>
        <v/>
      </c>
      <c r="AB7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0">
        <f>IF(tblOrdenes[[#This Row],[orden]]="","",_xlfn.XLOOKUP(tblOrdenes[[#This Row],[id_operacion]],tblEjecucion[id_operacion],tblEjecucion[precio],0))</f>
        <v/>
      </c>
      <c r="AJ762" s="10">
        <f>IF(tblOrdenes[[#This Row],[orden]]="","",MAX(0,_xlfn.XLOOKUP(tblOrdenes[[#This Row],[id_operacion]],tblEjecucion[id_operacion],tblEjecucion[costo_plan_total],0)-tblOrdenes[[#This Row],[costo_servicio]]))</f>
        <v/>
      </c>
      <c r="AK762" s="10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2">
        <f>IF(tblOrdenes[[#This Row],[fecha_inicio]]="","",TODAY()-tblOrdenes[[#This Row],[fecha_inicio]])</f>
        <v/>
      </c>
      <c r="AB7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0">
        <f>IF(tblOrdenes[[#This Row],[orden]]="","",_xlfn.XLOOKUP(tblOrdenes[[#This Row],[id_operacion]],tblEjecucion[id_operacion],tblEjecucion[precio],0))</f>
        <v/>
      </c>
      <c r="AJ763" s="10">
        <f>IF(tblOrdenes[[#This Row],[orden]]="","",MAX(0,_xlfn.XLOOKUP(tblOrdenes[[#This Row],[id_operacion]],tblEjecucion[id_operacion],tblEjecucion[costo_plan_total],0)-tblOrdenes[[#This Row],[costo_servicio]]))</f>
        <v/>
      </c>
      <c r="AK763" s="10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2">
        <f>IF(tblOrdenes[[#This Row],[fecha_inicio]]="","",TODAY()-tblOrdenes[[#This Row],[fecha_inicio]])</f>
        <v/>
      </c>
      <c r="AB7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0">
        <f>IF(tblOrdenes[[#This Row],[orden]]="","",_xlfn.XLOOKUP(tblOrdenes[[#This Row],[id_operacion]],tblEjecucion[id_operacion],tblEjecucion[precio],0))</f>
        <v/>
      </c>
      <c r="AJ764" s="10">
        <f>IF(tblOrdenes[[#This Row],[orden]]="","",MAX(0,_xlfn.XLOOKUP(tblOrdenes[[#This Row],[id_operacion]],tblEjecucion[id_operacion],tblEjecucion[costo_plan_total],0)-tblOrdenes[[#This Row],[costo_servicio]]))</f>
        <v/>
      </c>
      <c r="AK764" s="10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2">
        <f>IF(tblOrdenes[[#This Row],[fecha_inicio]]="","",TODAY()-tblOrdenes[[#This Row],[fecha_inicio]])</f>
        <v/>
      </c>
      <c r="AB7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0">
        <f>IF(tblOrdenes[[#This Row],[orden]]="","",_xlfn.XLOOKUP(tblOrdenes[[#This Row],[id_operacion]],tblEjecucion[id_operacion],tblEjecucion[precio],0))</f>
        <v/>
      </c>
      <c r="AJ765" s="10">
        <f>IF(tblOrdenes[[#This Row],[orden]]="","",MAX(0,_xlfn.XLOOKUP(tblOrdenes[[#This Row],[id_operacion]],tblEjecucion[id_operacion],tblEjecucion[costo_plan_total],0)-tblOrdenes[[#This Row],[costo_servicio]]))</f>
        <v/>
      </c>
      <c r="AK765" s="10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2">
        <f>IF(tblOrdenes[[#This Row],[fecha_inicio]]="","",TODAY()-tblOrdenes[[#This Row],[fecha_inicio]])</f>
        <v/>
      </c>
      <c r="AB7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0">
        <f>IF(tblOrdenes[[#This Row],[orden]]="","",_xlfn.XLOOKUP(tblOrdenes[[#This Row],[id_operacion]],tblEjecucion[id_operacion],tblEjecucion[precio],0))</f>
        <v/>
      </c>
      <c r="AJ766" s="10">
        <f>IF(tblOrdenes[[#This Row],[orden]]="","",MAX(0,_xlfn.XLOOKUP(tblOrdenes[[#This Row],[id_operacion]],tblEjecucion[id_operacion],tblEjecucion[costo_plan_total],0)-tblOrdenes[[#This Row],[costo_servicio]]))</f>
        <v/>
      </c>
      <c r="AK766" s="10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2">
        <f>IF(tblOrdenes[[#This Row],[fecha_inicio]]="","",TODAY()-tblOrdenes[[#This Row],[fecha_inicio]])</f>
        <v/>
      </c>
      <c r="AB7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0">
        <f>IF(tblOrdenes[[#This Row],[orden]]="","",_xlfn.XLOOKUP(tblOrdenes[[#This Row],[id_operacion]],tblEjecucion[id_operacion],tblEjecucion[precio],0))</f>
        <v/>
      </c>
      <c r="AJ767" s="10">
        <f>IF(tblOrdenes[[#This Row],[orden]]="","",MAX(0,_xlfn.XLOOKUP(tblOrdenes[[#This Row],[id_operacion]],tblEjecucion[id_operacion],tblEjecucion[costo_plan_total],0)-tblOrdenes[[#This Row],[costo_servicio]]))</f>
        <v/>
      </c>
      <c r="AK767" s="10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2">
        <f>IF(tblOrdenes[[#This Row],[fecha_inicio]]="","",TODAY()-tblOrdenes[[#This Row],[fecha_inicio]])</f>
        <v/>
      </c>
      <c r="AB7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0">
        <f>IF(tblOrdenes[[#This Row],[orden]]="","",_xlfn.XLOOKUP(tblOrdenes[[#This Row],[id_operacion]],tblEjecucion[id_operacion],tblEjecucion[precio],0))</f>
        <v/>
      </c>
      <c r="AJ768" s="10">
        <f>IF(tblOrdenes[[#This Row],[orden]]="","",MAX(0,_xlfn.XLOOKUP(tblOrdenes[[#This Row],[id_operacion]],tblEjecucion[id_operacion],tblEjecucion[costo_plan_total],0)-tblOrdenes[[#This Row],[costo_servicio]]))</f>
        <v/>
      </c>
      <c r="AK768" s="10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2">
        <f>IF(tblOrdenes[[#This Row],[fecha_inicio]]="","",TODAY()-tblOrdenes[[#This Row],[fecha_inicio]])</f>
        <v/>
      </c>
      <c r="AB7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0">
        <f>IF(tblOrdenes[[#This Row],[orden]]="","",_xlfn.XLOOKUP(tblOrdenes[[#This Row],[id_operacion]],tblEjecucion[id_operacion],tblEjecucion[precio],0))</f>
        <v/>
      </c>
      <c r="AJ769" s="10">
        <f>IF(tblOrdenes[[#This Row],[orden]]="","",MAX(0,_xlfn.XLOOKUP(tblOrdenes[[#This Row],[id_operacion]],tblEjecucion[id_operacion],tblEjecucion[costo_plan_total],0)-tblOrdenes[[#This Row],[costo_servicio]]))</f>
        <v/>
      </c>
      <c r="AK769" s="10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2">
        <f>IF(tblOrdenes[[#This Row],[fecha_inicio]]="","",TODAY()-tblOrdenes[[#This Row],[fecha_inicio]])</f>
        <v/>
      </c>
      <c r="AB7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0">
        <f>IF(tblOrdenes[[#This Row],[orden]]="","",_xlfn.XLOOKUP(tblOrdenes[[#This Row],[id_operacion]],tblEjecucion[id_operacion],tblEjecucion[precio],0))</f>
        <v/>
      </c>
      <c r="AJ770" s="10">
        <f>IF(tblOrdenes[[#This Row],[orden]]="","",MAX(0,_xlfn.XLOOKUP(tblOrdenes[[#This Row],[id_operacion]],tblEjecucion[id_operacion],tblEjecucion[costo_plan_total],0)-tblOrdenes[[#This Row],[costo_servicio]]))</f>
        <v/>
      </c>
      <c r="AK770" s="10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2">
        <f>IF(tblOrdenes[[#This Row],[fecha_inicio]]="","",TODAY()-tblOrdenes[[#This Row],[fecha_inicio]])</f>
        <v/>
      </c>
      <c r="AB7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0">
        <f>IF(tblOrdenes[[#This Row],[orden]]="","",_xlfn.XLOOKUP(tblOrdenes[[#This Row],[id_operacion]],tblEjecucion[id_operacion],tblEjecucion[precio],0))</f>
        <v/>
      </c>
      <c r="AJ771" s="10">
        <f>IF(tblOrdenes[[#This Row],[orden]]="","",MAX(0,_xlfn.XLOOKUP(tblOrdenes[[#This Row],[id_operacion]],tblEjecucion[id_operacion],tblEjecucion[costo_plan_total],0)-tblOrdenes[[#This Row],[costo_servicio]]))</f>
        <v/>
      </c>
      <c r="AK771" s="10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2">
        <f>IF(tblOrdenes[[#This Row],[fecha_inicio]]="","",TODAY()-tblOrdenes[[#This Row],[fecha_inicio]])</f>
        <v/>
      </c>
      <c r="AB7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0">
        <f>IF(tblOrdenes[[#This Row],[orden]]="","",_xlfn.XLOOKUP(tblOrdenes[[#This Row],[id_operacion]],tblEjecucion[id_operacion],tblEjecucion[precio],0))</f>
        <v/>
      </c>
      <c r="AJ772" s="10">
        <f>IF(tblOrdenes[[#This Row],[orden]]="","",MAX(0,_xlfn.XLOOKUP(tblOrdenes[[#This Row],[id_operacion]],tblEjecucion[id_operacion],tblEjecucion[costo_plan_total],0)-tblOrdenes[[#This Row],[costo_servicio]]))</f>
        <v/>
      </c>
      <c r="AK772" s="10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2">
        <f>IF(tblOrdenes[[#This Row],[fecha_inicio]]="","",TODAY()-tblOrdenes[[#This Row],[fecha_inicio]])</f>
        <v/>
      </c>
      <c r="AB7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0">
        <f>IF(tblOrdenes[[#This Row],[orden]]="","",_xlfn.XLOOKUP(tblOrdenes[[#This Row],[id_operacion]],tblEjecucion[id_operacion],tblEjecucion[precio],0))</f>
        <v/>
      </c>
      <c r="AJ773" s="10">
        <f>IF(tblOrdenes[[#This Row],[orden]]="","",MAX(0,_xlfn.XLOOKUP(tblOrdenes[[#This Row],[id_operacion]],tblEjecucion[id_operacion],tblEjecucion[costo_plan_total],0)-tblOrdenes[[#This Row],[costo_servicio]]))</f>
        <v/>
      </c>
      <c r="AK773" s="10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2">
        <f>IF(tblOrdenes[[#This Row],[fecha_inicio]]="","",TODAY()-tblOrdenes[[#This Row],[fecha_inicio]])</f>
        <v/>
      </c>
      <c r="AB7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0">
        <f>IF(tblOrdenes[[#This Row],[orden]]="","",_xlfn.XLOOKUP(tblOrdenes[[#This Row],[id_operacion]],tblEjecucion[id_operacion],tblEjecucion[precio],0))</f>
        <v/>
      </c>
      <c r="AJ774" s="10">
        <f>IF(tblOrdenes[[#This Row],[orden]]="","",MAX(0,_xlfn.XLOOKUP(tblOrdenes[[#This Row],[id_operacion]],tblEjecucion[id_operacion],tblEjecucion[costo_plan_total],0)-tblOrdenes[[#This Row],[costo_servicio]]))</f>
        <v/>
      </c>
      <c r="AK774" s="10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2">
        <f>IF(tblOrdenes[[#This Row],[fecha_inicio]]="","",TODAY()-tblOrdenes[[#This Row],[fecha_inicio]])</f>
        <v/>
      </c>
      <c r="AB7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0">
        <f>IF(tblOrdenes[[#This Row],[orden]]="","",_xlfn.XLOOKUP(tblOrdenes[[#This Row],[id_operacion]],tblEjecucion[id_operacion],tblEjecucion[precio],0))</f>
        <v/>
      </c>
      <c r="AJ775" s="10">
        <f>IF(tblOrdenes[[#This Row],[orden]]="","",MAX(0,_xlfn.XLOOKUP(tblOrdenes[[#This Row],[id_operacion]],tblEjecucion[id_operacion],tblEjecucion[costo_plan_total],0)-tblOrdenes[[#This Row],[costo_servicio]]))</f>
        <v/>
      </c>
      <c r="AK775" s="10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2">
        <f>IF(tblOrdenes[[#This Row],[fecha_inicio]]="","",TODAY()-tblOrdenes[[#This Row],[fecha_inicio]])</f>
        <v/>
      </c>
      <c r="AB7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0">
        <f>IF(tblOrdenes[[#This Row],[orden]]="","",_xlfn.XLOOKUP(tblOrdenes[[#This Row],[id_operacion]],tblEjecucion[id_operacion],tblEjecucion[precio],0))</f>
        <v/>
      </c>
      <c r="AJ776" s="10">
        <f>IF(tblOrdenes[[#This Row],[orden]]="","",MAX(0,_xlfn.XLOOKUP(tblOrdenes[[#This Row],[id_operacion]],tblEjecucion[id_operacion],tblEjecucion[costo_plan_total],0)-tblOrdenes[[#This Row],[costo_servicio]]))</f>
        <v/>
      </c>
      <c r="AK776" s="10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2">
        <f>IF(tblOrdenes[[#This Row],[fecha_inicio]]="","",TODAY()-tblOrdenes[[#This Row],[fecha_inicio]])</f>
        <v/>
      </c>
      <c r="AB7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0">
        <f>IF(tblOrdenes[[#This Row],[orden]]="","",_xlfn.XLOOKUP(tblOrdenes[[#This Row],[id_operacion]],tblEjecucion[id_operacion],tblEjecucion[precio],0))</f>
        <v/>
      </c>
      <c r="AJ777" s="10">
        <f>IF(tblOrdenes[[#This Row],[orden]]="","",MAX(0,_xlfn.XLOOKUP(tblOrdenes[[#This Row],[id_operacion]],tblEjecucion[id_operacion],tblEjecucion[costo_plan_total],0)-tblOrdenes[[#This Row],[costo_servicio]]))</f>
        <v/>
      </c>
      <c r="AK777" s="10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2">
        <f>IF(tblOrdenes[[#This Row],[fecha_inicio]]="","",TODAY()-tblOrdenes[[#This Row],[fecha_inicio]])</f>
        <v/>
      </c>
      <c r="AB7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0">
        <f>IF(tblOrdenes[[#This Row],[orden]]="","",_xlfn.XLOOKUP(tblOrdenes[[#This Row],[id_operacion]],tblEjecucion[id_operacion],tblEjecucion[precio],0))</f>
        <v/>
      </c>
      <c r="AJ778" s="10">
        <f>IF(tblOrdenes[[#This Row],[orden]]="","",MAX(0,_xlfn.XLOOKUP(tblOrdenes[[#This Row],[id_operacion]],tblEjecucion[id_operacion],tblEjecucion[costo_plan_total],0)-tblOrdenes[[#This Row],[costo_servicio]]))</f>
        <v/>
      </c>
      <c r="AK778" s="10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2">
        <f>IF(tblOrdenes[[#This Row],[fecha_inicio]]="","",TODAY()-tblOrdenes[[#This Row],[fecha_inicio]])</f>
        <v/>
      </c>
      <c r="AB7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0">
        <f>IF(tblOrdenes[[#This Row],[orden]]="","",_xlfn.XLOOKUP(tblOrdenes[[#This Row],[id_operacion]],tblEjecucion[id_operacion],tblEjecucion[precio],0))</f>
        <v/>
      </c>
      <c r="AJ779" s="10">
        <f>IF(tblOrdenes[[#This Row],[orden]]="","",MAX(0,_xlfn.XLOOKUP(tblOrdenes[[#This Row],[id_operacion]],tblEjecucion[id_operacion],tblEjecucion[costo_plan_total],0)-tblOrdenes[[#This Row],[costo_servicio]]))</f>
        <v/>
      </c>
      <c r="AK779" s="10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2">
        <f>IF(tblOrdenes[[#This Row],[fecha_inicio]]="","",TODAY()-tblOrdenes[[#This Row],[fecha_inicio]])</f>
        <v/>
      </c>
      <c r="AB7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0">
        <f>IF(tblOrdenes[[#This Row],[orden]]="","",_xlfn.XLOOKUP(tblOrdenes[[#This Row],[id_operacion]],tblEjecucion[id_operacion],tblEjecucion[precio],0))</f>
        <v/>
      </c>
      <c r="AJ780" s="10">
        <f>IF(tblOrdenes[[#This Row],[orden]]="","",MAX(0,_xlfn.XLOOKUP(tblOrdenes[[#This Row],[id_operacion]],tblEjecucion[id_operacion],tblEjecucion[costo_plan_total],0)-tblOrdenes[[#This Row],[costo_servicio]]))</f>
        <v/>
      </c>
      <c r="AK780" s="10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2">
        <f>IF(tblOrdenes[[#This Row],[fecha_inicio]]="","",TODAY()-tblOrdenes[[#This Row],[fecha_inicio]])</f>
        <v/>
      </c>
      <c r="AB7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0">
        <f>IF(tblOrdenes[[#This Row],[orden]]="","",_xlfn.XLOOKUP(tblOrdenes[[#This Row],[id_operacion]],tblEjecucion[id_operacion],tblEjecucion[precio],0))</f>
        <v/>
      </c>
      <c r="AJ781" s="10">
        <f>IF(tblOrdenes[[#This Row],[orden]]="","",MAX(0,_xlfn.XLOOKUP(tblOrdenes[[#This Row],[id_operacion]],tblEjecucion[id_operacion],tblEjecucion[costo_plan_total],0)-tblOrdenes[[#This Row],[costo_servicio]]))</f>
        <v/>
      </c>
      <c r="AK781" s="10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2">
        <f>IF(tblOrdenes[[#This Row],[fecha_inicio]]="","",TODAY()-tblOrdenes[[#This Row],[fecha_inicio]])</f>
        <v/>
      </c>
      <c r="AB7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0">
        <f>IF(tblOrdenes[[#This Row],[orden]]="","",_xlfn.XLOOKUP(tblOrdenes[[#This Row],[id_operacion]],tblEjecucion[id_operacion],tblEjecucion[precio],0))</f>
        <v/>
      </c>
      <c r="AJ782" s="10">
        <f>IF(tblOrdenes[[#This Row],[orden]]="","",MAX(0,_xlfn.XLOOKUP(tblOrdenes[[#This Row],[id_operacion]],tblEjecucion[id_operacion],tblEjecucion[costo_plan_total],0)-tblOrdenes[[#This Row],[costo_servicio]]))</f>
        <v/>
      </c>
      <c r="AK782" s="10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2">
        <f>IF(tblOrdenes[[#This Row],[fecha_inicio]]="","",TODAY()-tblOrdenes[[#This Row],[fecha_inicio]])</f>
        <v/>
      </c>
      <c r="AB7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0">
        <f>IF(tblOrdenes[[#This Row],[orden]]="","",_xlfn.XLOOKUP(tblOrdenes[[#This Row],[id_operacion]],tblEjecucion[id_operacion],tblEjecucion[precio],0))</f>
        <v/>
      </c>
      <c r="AJ783" s="10">
        <f>IF(tblOrdenes[[#This Row],[orden]]="","",MAX(0,_xlfn.XLOOKUP(tblOrdenes[[#This Row],[id_operacion]],tblEjecucion[id_operacion],tblEjecucion[costo_plan_total],0)-tblOrdenes[[#This Row],[costo_servicio]]))</f>
        <v/>
      </c>
      <c r="AK783" s="10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2">
        <f>IF(tblOrdenes[[#This Row],[fecha_inicio]]="","",TODAY()-tblOrdenes[[#This Row],[fecha_inicio]])</f>
        <v/>
      </c>
      <c r="AB7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0">
        <f>IF(tblOrdenes[[#This Row],[orden]]="","",_xlfn.XLOOKUP(tblOrdenes[[#This Row],[id_operacion]],tblEjecucion[id_operacion],tblEjecucion[precio],0))</f>
        <v/>
      </c>
      <c r="AJ784" s="10">
        <f>IF(tblOrdenes[[#This Row],[orden]]="","",MAX(0,_xlfn.XLOOKUP(tblOrdenes[[#This Row],[id_operacion]],tblEjecucion[id_operacion],tblEjecucion[costo_plan_total],0)-tblOrdenes[[#This Row],[costo_servicio]]))</f>
        <v/>
      </c>
      <c r="AK784" s="10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2">
        <f>IF(tblOrdenes[[#This Row],[fecha_inicio]]="","",TODAY()-tblOrdenes[[#This Row],[fecha_inicio]])</f>
        <v/>
      </c>
      <c r="AB7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0">
        <f>IF(tblOrdenes[[#This Row],[orden]]="","",_xlfn.XLOOKUP(tblOrdenes[[#This Row],[id_operacion]],tblEjecucion[id_operacion],tblEjecucion[precio],0))</f>
        <v/>
      </c>
      <c r="AJ785" s="10">
        <f>IF(tblOrdenes[[#This Row],[orden]]="","",MAX(0,_xlfn.XLOOKUP(tblOrdenes[[#This Row],[id_operacion]],tblEjecucion[id_operacion],tblEjecucion[costo_plan_total],0)-tblOrdenes[[#This Row],[costo_servicio]]))</f>
        <v/>
      </c>
      <c r="AK785" s="10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2">
        <f>IF(tblOrdenes[[#This Row],[fecha_inicio]]="","",TODAY()-tblOrdenes[[#This Row],[fecha_inicio]])</f>
        <v/>
      </c>
      <c r="AB7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0">
        <f>IF(tblOrdenes[[#This Row],[orden]]="","",_xlfn.XLOOKUP(tblOrdenes[[#This Row],[id_operacion]],tblEjecucion[id_operacion],tblEjecucion[precio],0))</f>
        <v/>
      </c>
      <c r="AJ786" s="10">
        <f>IF(tblOrdenes[[#This Row],[orden]]="","",MAX(0,_xlfn.XLOOKUP(tblOrdenes[[#This Row],[id_operacion]],tblEjecucion[id_operacion],tblEjecucion[costo_plan_total],0)-tblOrdenes[[#This Row],[costo_servicio]]))</f>
        <v/>
      </c>
      <c r="AK786" s="10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2">
        <f>IF(tblOrdenes[[#This Row],[fecha_inicio]]="","",TODAY()-tblOrdenes[[#This Row],[fecha_inicio]])</f>
        <v/>
      </c>
      <c r="AB7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0">
        <f>IF(tblOrdenes[[#This Row],[orden]]="","",_xlfn.XLOOKUP(tblOrdenes[[#This Row],[id_operacion]],tblEjecucion[id_operacion],tblEjecucion[precio],0))</f>
        <v/>
      </c>
      <c r="AJ787" s="10">
        <f>IF(tblOrdenes[[#This Row],[orden]]="","",MAX(0,_xlfn.XLOOKUP(tblOrdenes[[#This Row],[id_operacion]],tblEjecucion[id_operacion],tblEjecucion[costo_plan_total],0)-tblOrdenes[[#This Row],[costo_servicio]]))</f>
        <v/>
      </c>
      <c r="AK787" s="10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2">
        <f>IF(tblOrdenes[[#This Row],[fecha_inicio]]="","",TODAY()-tblOrdenes[[#This Row],[fecha_inicio]])</f>
        <v/>
      </c>
      <c r="AB7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0">
        <f>IF(tblOrdenes[[#This Row],[orden]]="","",_xlfn.XLOOKUP(tblOrdenes[[#This Row],[id_operacion]],tblEjecucion[id_operacion],tblEjecucion[precio],0))</f>
        <v/>
      </c>
      <c r="AJ788" s="10">
        <f>IF(tblOrdenes[[#This Row],[orden]]="","",MAX(0,_xlfn.XLOOKUP(tblOrdenes[[#This Row],[id_operacion]],tblEjecucion[id_operacion],tblEjecucion[costo_plan_total],0)-tblOrdenes[[#This Row],[costo_servicio]]))</f>
        <v/>
      </c>
      <c r="AK788" s="10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2">
        <f>IF(tblOrdenes[[#This Row],[fecha_inicio]]="","",TODAY()-tblOrdenes[[#This Row],[fecha_inicio]])</f>
        <v/>
      </c>
      <c r="AB7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0">
        <f>IF(tblOrdenes[[#This Row],[orden]]="","",_xlfn.XLOOKUP(tblOrdenes[[#This Row],[id_operacion]],tblEjecucion[id_operacion],tblEjecucion[precio],0))</f>
        <v/>
      </c>
      <c r="AJ789" s="10">
        <f>IF(tblOrdenes[[#This Row],[orden]]="","",MAX(0,_xlfn.XLOOKUP(tblOrdenes[[#This Row],[id_operacion]],tblEjecucion[id_operacion],tblEjecucion[costo_plan_total],0)-tblOrdenes[[#This Row],[costo_servicio]]))</f>
        <v/>
      </c>
      <c r="AK789" s="10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2">
        <f>IF(tblOrdenes[[#This Row],[fecha_inicio]]="","",TODAY()-tblOrdenes[[#This Row],[fecha_inicio]])</f>
        <v/>
      </c>
      <c r="AB7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0">
        <f>IF(tblOrdenes[[#This Row],[orden]]="","",_xlfn.XLOOKUP(tblOrdenes[[#This Row],[id_operacion]],tblEjecucion[id_operacion],tblEjecucion[precio],0))</f>
        <v/>
      </c>
      <c r="AJ790" s="10">
        <f>IF(tblOrdenes[[#This Row],[orden]]="","",MAX(0,_xlfn.XLOOKUP(tblOrdenes[[#This Row],[id_operacion]],tblEjecucion[id_operacion],tblEjecucion[costo_plan_total],0)-tblOrdenes[[#This Row],[costo_servicio]]))</f>
        <v/>
      </c>
      <c r="AK790" s="10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2">
        <f>IF(tblOrdenes[[#This Row],[fecha_inicio]]="","",TODAY()-tblOrdenes[[#This Row],[fecha_inicio]])</f>
        <v/>
      </c>
      <c r="AB7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0">
        <f>IF(tblOrdenes[[#This Row],[orden]]="","",_xlfn.XLOOKUP(tblOrdenes[[#This Row],[id_operacion]],tblEjecucion[id_operacion],tblEjecucion[precio],0))</f>
        <v/>
      </c>
      <c r="AJ791" s="10">
        <f>IF(tblOrdenes[[#This Row],[orden]]="","",MAX(0,_xlfn.XLOOKUP(tblOrdenes[[#This Row],[id_operacion]],tblEjecucion[id_operacion],tblEjecucion[costo_plan_total],0)-tblOrdenes[[#This Row],[costo_servicio]]))</f>
        <v/>
      </c>
      <c r="AK791" s="10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2">
        <f>IF(tblOrdenes[[#This Row],[fecha_inicio]]="","",TODAY()-tblOrdenes[[#This Row],[fecha_inicio]])</f>
        <v/>
      </c>
      <c r="AB7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0">
        <f>IF(tblOrdenes[[#This Row],[orden]]="","",_xlfn.XLOOKUP(tblOrdenes[[#This Row],[id_operacion]],tblEjecucion[id_operacion],tblEjecucion[precio],0))</f>
        <v/>
      </c>
      <c r="AJ792" s="10">
        <f>IF(tblOrdenes[[#This Row],[orden]]="","",MAX(0,_xlfn.XLOOKUP(tblOrdenes[[#This Row],[id_operacion]],tblEjecucion[id_operacion],tblEjecucion[costo_plan_total],0)-tblOrdenes[[#This Row],[costo_servicio]]))</f>
        <v/>
      </c>
      <c r="AK792" s="10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2">
        <f>IF(tblOrdenes[[#This Row],[fecha_inicio]]="","",TODAY()-tblOrdenes[[#This Row],[fecha_inicio]])</f>
        <v/>
      </c>
      <c r="AB7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0">
        <f>IF(tblOrdenes[[#This Row],[orden]]="","",_xlfn.XLOOKUP(tblOrdenes[[#This Row],[id_operacion]],tblEjecucion[id_operacion],tblEjecucion[precio],0))</f>
        <v/>
      </c>
      <c r="AJ793" s="10">
        <f>IF(tblOrdenes[[#This Row],[orden]]="","",MAX(0,_xlfn.XLOOKUP(tblOrdenes[[#This Row],[id_operacion]],tblEjecucion[id_operacion],tblEjecucion[costo_plan_total],0)-tblOrdenes[[#This Row],[costo_servicio]]))</f>
        <v/>
      </c>
      <c r="AK793" s="10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2">
        <f>IF(tblOrdenes[[#This Row],[fecha_inicio]]="","",TODAY()-tblOrdenes[[#This Row],[fecha_inicio]])</f>
        <v/>
      </c>
      <c r="AB7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0">
        <f>IF(tblOrdenes[[#This Row],[orden]]="","",_xlfn.XLOOKUP(tblOrdenes[[#This Row],[id_operacion]],tblEjecucion[id_operacion],tblEjecucion[precio],0))</f>
        <v/>
      </c>
      <c r="AJ794" s="10">
        <f>IF(tblOrdenes[[#This Row],[orden]]="","",MAX(0,_xlfn.XLOOKUP(tblOrdenes[[#This Row],[id_operacion]],tblEjecucion[id_operacion],tblEjecucion[costo_plan_total],0)-tblOrdenes[[#This Row],[costo_servicio]]))</f>
        <v/>
      </c>
      <c r="AK794" s="10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2">
        <f>IF(tblOrdenes[[#This Row],[fecha_inicio]]="","",TODAY()-tblOrdenes[[#This Row],[fecha_inicio]])</f>
        <v/>
      </c>
      <c r="AB7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0">
        <f>IF(tblOrdenes[[#This Row],[orden]]="","",_xlfn.XLOOKUP(tblOrdenes[[#This Row],[id_operacion]],tblEjecucion[id_operacion],tblEjecucion[precio],0))</f>
        <v/>
      </c>
      <c r="AJ795" s="10">
        <f>IF(tblOrdenes[[#This Row],[orden]]="","",MAX(0,_xlfn.XLOOKUP(tblOrdenes[[#This Row],[id_operacion]],tblEjecucion[id_operacion],tblEjecucion[costo_plan_total],0)-tblOrdenes[[#This Row],[costo_servicio]]))</f>
        <v/>
      </c>
      <c r="AK795" s="10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2">
        <f>IF(tblOrdenes[[#This Row],[fecha_inicio]]="","",TODAY()-tblOrdenes[[#This Row],[fecha_inicio]])</f>
        <v/>
      </c>
      <c r="AB7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0">
        <f>IF(tblOrdenes[[#This Row],[orden]]="","",_xlfn.XLOOKUP(tblOrdenes[[#This Row],[id_operacion]],tblEjecucion[id_operacion],tblEjecucion[precio],0))</f>
        <v/>
      </c>
      <c r="AJ796" s="10">
        <f>IF(tblOrdenes[[#This Row],[orden]]="","",MAX(0,_xlfn.XLOOKUP(tblOrdenes[[#This Row],[id_operacion]],tblEjecucion[id_operacion],tblEjecucion[costo_plan_total],0)-tblOrdenes[[#This Row],[costo_servicio]]))</f>
        <v/>
      </c>
      <c r="AK796" s="10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2">
        <f>IF(tblOrdenes[[#This Row],[fecha_inicio]]="","",TODAY()-tblOrdenes[[#This Row],[fecha_inicio]])</f>
        <v/>
      </c>
      <c r="AB7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0">
        <f>IF(tblOrdenes[[#This Row],[orden]]="","",_xlfn.XLOOKUP(tblOrdenes[[#This Row],[id_operacion]],tblEjecucion[id_operacion],tblEjecucion[precio],0))</f>
        <v/>
      </c>
      <c r="AJ797" s="10">
        <f>IF(tblOrdenes[[#This Row],[orden]]="","",MAX(0,_xlfn.XLOOKUP(tblOrdenes[[#This Row],[id_operacion]],tblEjecucion[id_operacion],tblEjecucion[costo_plan_total],0)-tblOrdenes[[#This Row],[costo_servicio]]))</f>
        <v/>
      </c>
      <c r="AK797" s="10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2">
        <f>IF(tblOrdenes[[#This Row],[fecha_inicio]]="","",TODAY()-tblOrdenes[[#This Row],[fecha_inicio]])</f>
        <v/>
      </c>
      <c r="AB7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0">
        <f>IF(tblOrdenes[[#This Row],[orden]]="","",_xlfn.XLOOKUP(tblOrdenes[[#This Row],[id_operacion]],tblEjecucion[id_operacion],tblEjecucion[precio],0))</f>
        <v/>
      </c>
      <c r="AJ798" s="10">
        <f>IF(tblOrdenes[[#This Row],[orden]]="","",MAX(0,_xlfn.XLOOKUP(tblOrdenes[[#This Row],[id_operacion]],tblEjecucion[id_operacion],tblEjecucion[costo_plan_total],0)-tblOrdenes[[#This Row],[costo_servicio]]))</f>
        <v/>
      </c>
      <c r="AK798" s="10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2">
        <f>IF(tblOrdenes[[#This Row],[fecha_inicio]]="","",TODAY()-tblOrdenes[[#This Row],[fecha_inicio]])</f>
        <v/>
      </c>
      <c r="AB7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0">
        <f>IF(tblOrdenes[[#This Row],[orden]]="","",_xlfn.XLOOKUP(tblOrdenes[[#This Row],[id_operacion]],tblEjecucion[id_operacion],tblEjecucion[precio],0))</f>
        <v/>
      </c>
      <c r="AJ799" s="10">
        <f>IF(tblOrdenes[[#This Row],[orden]]="","",MAX(0,_xlfn.XLOOKUP(tblOrdenes[[#This Row],[id_operacion]],tblEjecucion[id_operacion],tblEjecucion[costo_plan_total],0)-tblOrdenes[[#This Row],[costo_servicio]]))</f>
        <v/>
      </c>
      <c r="AK799" s="10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2">
        <f>IF(tblOrdenes[[#This Row],[fecha_inicio]]="","",TODAY()-tblOrdenes[[#This Row],[fecha_inicio]])</f>
        <v/>
      </c>
      <c r="AB8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0">
        <f>IF(tblOrdenes[[#This Row],[orden]]="","",_xlfn.XLOOKUP(tblOrdenes[[#This Row],[id_operacion]],tblEjecucion[id_operacion],tblEjecucion[precio],0))</f>
        <v/>
      </c>
      <c r="AJ800" s="10">
        <f>IF(tblOrdenes[[#This Row],[orden]]="","",MAX(0,_xlfn.XLOOKUP(tblOrdenes[[#This Row],[id_operacion]],tblEjecucion[id_operacion],tblEjecucion[costo_plan_total],0)-tblOrdenes[[#This Row],[costo_servicio]]))</f>
        <v/>
      </c>
      <c r="AK800" s="10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2">
        <f>IF(tblOrdenes[[#This Row],[fecha_inicio]]="","",TODAY()-tblOrdenes[[#This Row],[fecha_inicio]])</f>
        <v/>
      </c>
      <c r="AB8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0">
        <f>IF(tblOrdenes[[#This Row],[orden]]="","",_xlfn.XLOOKUP(tblOrdenes[[#This Row],[id_operacion]],tblEjecucion[id_operacion],tblEjecucion[precio],0))</f>
        <v/>
      </c>
      <c r="AJ801" s="10">
        <f>IF(tblOrdenes[[#This Row],[orden]]="","",MAX(0,_xlfn.XLOOKUP(tblOrdenes[[#This Row],[id_operacion]],tblEjecucion[id_operacion],tblEjecucion[costo_plan_total],0)-tblOrdenes[[#This Row],[costo_servicio]]))</f>
        <v/>
      </c>
      <c r="AK801" s="10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2">
        <f>IF(tblOrdenes[[#This Row],[fecha_inicio]]="","",TODAY()-tblOrdenes[[#This Row],[fecha_inicio]])</f>
        <v/>
      </c>
      <c r="AB8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0">
        <f>IF(tblOrdenes[[#This Row],[orden]]="","",_xlfn.XLOOKUP(tblOrdenes[[#This Row],[id_operacion]],tblEjecucion[id_operacion],tblEjecucion[precio],0))</f>
        <v/>
      </c>
      <c r="AJ802" s="10">
        <f>IF(tblOrdenes[[#This Row],[orden]]="","",MAX(0,_xlfn.XLOOKUP(tblOrdenes[[#This Row],[id_operacion]],tblEjecucion[id_operacion],tblEjecucion[costo_plan_total],0)-tblOrdenes[[#This Row],[costo_servicio]]))</f>
        <v/>
      </c>
      <c r="AK802" s="10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2">
        <f>IF(tblOrdenes[[#This Row],[fecha_inicio]]="","",TODAY()-tblOrdenes[[#This Row],[fecha_inicio]])</f>
        <v/>
      </c>
      <c r="AB8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0">
        <f>IF(tblOrdenes[[#This Row],[orden]]="","",_xlfn.XLOOKUP(tblOrdenes[[#This Row],[id_operacion]],tblEjecucion[id_operacion],tblEjecucion[precio],0))</f>
        <v/>
      </c>
      <c r="AJ803" s="10">
        <f>IF(tblOrdenes[[#This Row],[orden]]="","",MAX(0,_xlfn.XLOOKUP(tblOrdenes[[#This Row],[id_operacion]],tblEjecucion[id_operacion],tblEjecucion[costo_plan_total],0)-tblOrdenes[[#This Row],[costo_servicio]]))</f>
        <v/>
      </c>
      <c r="AK803" s="10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2">
        <f>IF(tblOrdenes[[#This Row],[fecha_inicio]]="","",TODAY()-tblOrdenes[[#This Row],[fecha_inicio]])</f>
        <v/>
      </c>
      <c r="AB8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0">
        <f>IF(tblOrdenes[[#This Row],[orden]]="","",_xlfn.XLOOKUP(tblOrdenes[[#This Row],[id_operacion]],tblEjecucion[id_operacion],tblEjecucion[precio],0))</f>
        <v/>
      </c>
      <c r="AJ804" s="10">
        <f>IF(tblOrdenes[[#This Row],[orden]]="","",MAX(0,_xlfn.XLOOKUP(tblOrdenes[[#This Row],[id_operacion]],tblEjecucion[id_operacion],tblEjecucion[costo_plan_total],0)-tblOrdenes[[#This Row],[costo_servicio]]))</f>
        <v/>
      </c>
      <c r="AK804" s="10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2">
        <f>IF(tblOrdenes[[#This Row],[fecha_inicio]]="","",TODAY()-tblOrdenes[[#This Row],[fecha_inicio]])</f>
        <v/>
      </c>
      <c r="AB8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0">
        <f>IF(tblOrdenes[[#This Row],[orden]]="","",_xlfn.XLOOKUP(tblOrdenes[[#This Row],[id_operacion]],tblEjecucion[id_operacion],tblEjecucion[precio],0))</f>
        <v/>
      </c>
      <c r="AJ805" s="10">
        <f>IF(tblOrdenes[[#This Row],[orden]]="","",MAX(0,_xlfn.XLOOKUP(tblOrdenes[[#This Row],[id_operacion]],tblEjecucion[id_operacion],tblEjecucion[costo_plan_total],0)-tblOrdenes[[#This Row],[costo_servicio]]))</f>
        <v/>
      </c>
      <c r="AK805" s="10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2">
        <f>IF(tblOrdenes[[#This Row],[fecha_inicio]]="","",TODAY()-tblOrdenes[[#This Row],[fecha_inicio]])</f>
        <v/>
      </c>
      <c r="AB8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0">
        <f>IF(tblOrdenes[[#This Row],[orden]]="","",_xlfn.XLOOKUP(tblOrdenes[[#This Row],[id_operacion]],tblEjecucion[id_operacion],tblEjecucion[precio],0))</f>
        <v/>
      </c>
      <c r="AJ806" s="10">
        <f>IF(tblOrdenes[[#This Row],[orden]]="","",MAX(0,_xlfn.XLOOKUP(tblOrdenes[[#This Row],[id_operacion]],tblEjecucion[id_operacion],tblEjecucion[costo_plan_total],0)-tblOrdenes[[#This Row],[costo_servicio]]))</f>
        <v/>
      </c>
      <c r="AK806" s="10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2">
        <f>IF(tblOrdenes[[#This Row],[fecha_inicio]]="","",TODAY()-tblOrdenes[[#This Row],[fecha_inicio]])</f>
        <v/>
      </c>
      <c r="AB8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0">
        <f>IF(tblOrdenes[[#This Row],[orden]]="","",_xlfn.XLOOKUP(tblOrdenes[[#This Row],[id_operacion]],tblEjecucion[id_operacion],tblEjecucion[precio],0))</f>
        <v/>
      </c>
      <c r="AJ807" s="10">
        <f>IF(tblOrdenes[[#This Row],[orden]]="","",MAX(0,_xlfn.XLOOKUP(tblOrdenes[[#This Row],[id_operacion]],tblEjecucion[id_operacion],tblEjecucion[costo_plan_total],0)-tblOrdenes[[#This Row],[costo_servicio]]))</f>
        <v/>
      </c>
      <c r="AK807" s="10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2">
        <f>IF(tblOrdenes[[#This Row],[fecha_inicio]]="","",TODAY()-tblOrdenes[[#This Row],[fecha_inicio]])</f>
        <v/>
      </c>
      <c r="AB8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0">
        <f>IF(tblOrdenes[[#This Row],[orden]]="","",_xlfn.XLOOKUP(tblOrdenes[[#This Row],[id_operacion]],tblEjecucion[id_operacion],tblEjecucion[precio],0))</f>
        <v/>
      </c>
      <c r="AJ808" s="10">
        <f>IF(tblOrdenes[[#This Row],[orden]]="","",MAX(0,_xlfn.XLOOKUP(tblOrdenes[[#This Row],[id_operacion]],tblEjecucion[id_operacion],tblEjecucion[costo_plan_total],0)-tblOrdenes[[#This Row],[costo_servicio]]))</f>
        <v/>
      </c>
      <c r="AK808" s="10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2">
        <f>IF(tblOrdenes[[#This Row],[fecha_inicio]]="","",TODAY()-tblOrdenes[[#This Row],[fecha_inicio]])</f>
        <v/>
      </c>
      <c r="AB8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0">
        <f>IF(tblOrdenes[[#This Row],[orden]]="","",_xlfn.XLOOKUP(tblOrdenes[[#This Row],[id_operacion]],tblEjecucion[id_operacion],tblEjecucion[precio],0))</f>
        <v/>
      </c>
      <c r="AJ809" s="10">
        <f>IF(tblOrdenes[[#This Row],[orden]]="","",MAX(0,_xlfn.XLOOKUP(tblOrdenes[[#This Row],[id_operacion]],tblEjecucion[id_operacion],tblEjecucion[costo_plan_total],0)-tblOrdenes[[#This Row],[costo_servicio]]))</f>
        <v/>
      </c>
      <c r="AK809" s="10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2">
        <f>IF(tblOrdenes[[#This Row],[fecha_inicio]]="","",TODAY()-tblOrdenes[[#This Row],[fecha_inicio]])</f>
        <v/>
      </c>
      <c r="AB8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0">
        <f>IF(tblOrdenes[[#This Row],[orden]]="","",_xlfn.XLOOKUP(tblOrdenes[[#This Row],[id_operacion]],tblEjecucion[id_operacion],tblEjecucion[precio],0))</f>
        <v/>
      </c>
      <c r="AJ810" s="10">
        <f>IF(tblOrdenes[[#This Row],[orden]]="","",MAX(0,_xlfn.XLOOKUP(tblOrdenes[[#This Row],[id_operacion]],tblEjecucion[id_operacion],tblEjecucion[costo_plan_total],0)-tblOrdenes[[#This Row],[costo_servicio]]))</f>
        <v/>
      </c>
      <c r="AK810" s="10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2">
        <f>IF(tblOrdenes[[#This Row],[fecha_inicio]]="","",TODAY()-tblOrdenes[[#This Row],[fecha_inicio]])</f>
        <v/>
      </c>
      <c r="AB8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0">
        <f>IF(tblOrdenes[[#This Row],[orden]]="","",_xlfn.XLOOKUP(tblOrdenes[[#This Row],[id_operacion]],tblEjecucion[id_operacion],tblEjecucion[precio],0))</f>
        <v/>
      </c>
      <c r="AJ811" s="10">
        <f>IF(tblOrdenes[[#This Row],[orden]]="","",MAX(0,_xlfn.XLOOKUP(tblOrdenes[[#This Row],[id_operacion]],tblEjecucion[id_operacion],tblEjecucion[costo_plan_total],0)-tblOrdenes[[#This Row],[costo_servicio]]))</f>
        <v/>
      </c>
      <c r="AK811" s="10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2">
        <f>IF(tblOrdenes[[#This Row],[fecha_inicio]]="","",TODAY()-tblOrdenes[[#This Row],[fecha_inicio]])</f>
        <v/>
      </c>
      <c r="AB8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0">
        <f>IF(tblOrdenes[[#This Row],[orden]]="","",_xlfn.XLOOKUP(tblOrdenes[[#This Row],[id_operacion]],tblEjecucion[id_operacion],tblEjecucion[precio],0))</f>
        <v/>
      </c>
      <c r="AJ812" s="10">
        <f>IF(tblOrdenes[[#This Row],[orden]]="","",MAX(0,_xlfn.XLOOKUP(tblOrdenes[[#This Row],[id_operacion]],tblEjecucion[id_operacion],tblEjecucion[costo_plan_total],0)-tblOrdenes[[#This Row],[costo_servicio]]))</f>
        <v/>
      </c>
      <c r="AK812" s="10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2">
        <f>IF(tblOrdenes[[#This Row],[fecha_inicio]]="","",TODAY()-tblOrdenes[[#This Row],[fecha_inicio]])</f>
        <v/>
      </c>
      <c r="AB8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0">
        <f>IF(tblOrdenes[[#This Row],[orden]]="","",_xlfn.XLOOKUP(tblOrdenes[[#This Row],[id_operacion]],tblEjecucion[id_operacion],tblEjecucion[precio],0))</f>
        <v/>
      </c>
      <c r="AJ813" s="10">
        <f>IF(tblOrdenes[[#This Row],[orden]]="","",MAX(0,_xlfn.XLOOKUP(tblOrdenes[[#This Row],[id_operacion]],tblEjecucion[id_operacion],tblEjecucion[costo_plan_total],0)-tblOrdenes[[#This Row],[costo_servicio]]))</f>
        <v/>
      </c>
      <c r="AK813" s="10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2">
        <f>IF(tblOrdenes[[#This Row],[fecha_inicio]]="","",TODAY()-tblOrdenes[[#This Row],[fecha_inicio]])</f>
        <v/>
      </c>
      <c r="AB8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0">
        <f>IF(tblOrdenes[[#This Row],[orden]]="","",_xlfn.XLOOKUP(tblOrdenes[[#This Row],[id_operacion]],tblEjecucion[id_operacion],tblEjecucion[precio],0))</f>
        <v/>
      </c>
      <c r="AJ814" s="10">
        <f>IF(tblOrdenes[[#This Row],[orden]]="","",MAX(0,_xlfn.XLOOKUP(tblOrdenes[[#This Row],[id_operacion]],tblEjecucion[id_operacion],tblEjecucion[costo_plan_total],0)-tblOrdenes[[#This Row],[costo_servicio]]))</f>
        <v/>
      </c>
      <c r="AK814" s="10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2">
        <f>IF(tblOrdenes[[#This Row],[fecha_inicio]]="","",TODAY()-tblOrdenes[[#This Row],[fecha_inicio]])</f>
        <v/>
      </c>
      <c r="AB8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0">
        <f>IF(tblOrdenes[[#This Row],[orden]]="","",_xlfn.XLOOKUP(tblOrdenes[[#This Row],[id_operacion]],tblEjecucion[id_operacion],tblEjecucion[precio],0))</f>
        <v/>
      </c>
      <c r="AJ815" s="10">
        <f>IF(tblOrdenes[[#This Row],[orden]]="","",MAX(0,_xlfn.XLOOKUP(tblOrdenes[[#This Row],[id_operacion]],tblEjecucion[id_operacion],tblEjecucion[costo_plan_total],0)-tblOrdenes[[#This Row],[costo_servicio]]))</f>
        <v/>
      </c>
      <c r="AK815" s="10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2">
        <f>IF(tblOrdenes[[#This Row],[fecha_inicio]]="","",TODAY()-tblOrdenes[[#This Row],[fecha_inicio]])</f>
        <v/>
      </c>
      <c r="AB8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0">
        <f>IF(tblOrdenes[[#This Row],[orden]]="","",_xlfn.XLOOKUP(tblOrdenes[[#This Row],[id_operacion]],tblEjecucion[id_operacion],tblEjecucion[precio],0))</f>
        <v/>
      </c>
      <c r="AJ816" s="10">
        <f>IF(tblOrdenes[[#This Row],[orden]]="","",MAX(0,_xlfn.XLOOKUP(tblOrdenes[[#This Row],[id_operacion]],tblEjecucion[id_operacion],tblEjecucion[costo_plan_total],0)-tblOrdenes[[#This Row],[costo_servicio]]))</f>
        <v/>
      </c>
      <c r="AK816" s="10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2">
        <f>IF(tblOrdenes[[#This Row],[fecha_inicio]]="","",TODAY()-tblOrdenes[[#This Row],[fecha_inicio]])</f>
        <v/>
      </c>
      <c r="AB8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0">
        <f>IF(tblOrdenes[[#This Row],[orden]]="","",_xlfn.XLOOKUP(tblOrdenes[[#This Row],[id_operacion]],tblEjecucion[id_operacion],tblEjecucion[precio],0))</f>
        <v/>
      </c>
      <c r="AJ817" s="10">
        <f>IF(tblOrdenes[[#This Row],[orden]]="","",MAX(0,_xlfn.XLOOKUP(tblOrdenes[[#This Row],[id_operacion]],tblEjecucion[id_operacion],tblEjecucion[costo_plan_total],0)-tblOrdenes[[#This Row],[costo_servicio]]))</f>
        <v/>
      </c>
      <c r="AK817" s="10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2">
        <f>IF(tblOrdenes[[#This Row],[fecha_inicio]]="","",TODAY()-tblOrdenes[[#This Row],[fecha_inicio]])</f>
        <v/>
      </c>
      <c r="AB8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0">
        <f>IF(tblOrdenes[[#This Row],[orden]]="","",_xlfn.XLOOKUP(tblOrdenes[[#This Row],[id_operacion]],tblEjecucion[id_operacion],tblEjecucion[precio],0))</f>
        <v/>
      </c>
      <c r="AJ818" s="10">
        <f>IF(tblOrdenes[[#This Row],[orden]]="","",MAX(0,_xlfn.XLOOKUP(tblOrdenes[[#This Row],[id_operacion]],tblEjecucion[id_operacion],tblEjecucion[costo_plan_total],0)-tblOrdenes[[#This Row],[costo_servicio]]))</f>
        <v/>
      </c>
      <c r="AK818" s="10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2">
        <f>IF(tblOrdenes[[#This Row],[fecha_inicio]]="","",TODAY()-tblOrdenes[[#This Row],[fecha_inicio]])</f>
        <v/>
      </c>
      <c r="AB8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0">
        <f>IF(tblOrdenes[[#This Row],[orden]]="","",_xlfn.XLOOKUP(tblOrdenes[[#This Row],[id_operacion]],tblEjecucion[id_operacion],tblEjecucion[precio],0))</f>
        <v/>
      </c>
      <c r="AJ819" s="10">
        <f>IF(tblOrdenes[[#This Row],[orden]]="","",MAX(0,_xlfn.XLOOKUP(tblOrdenes[[#This Row],[id_operacion]],tblEjecucion[id_operacion],tblEjecucion[costo_plan_total],0)-tblOrdenes[[#This Row],[costo_servicio]]))</f>
        <v/>
      </c>
      <c r="AK819" s="10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2">
        <f>IF(tblOrdenes[[#This Row],[fecha_inicio]]="","",TODAY()-tblOrdenes[[#This Row],[fecha_inicio]])</f>
        <v/>
      </c>
      <c r="AB8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0">
        <f>IF(tblOrdenes[[#This Row],[orden]]="","",_xlfn.XLOOKUP(tblOrdenes[[#This Row],[id_operacion]],tblEjecucion[id_operacion],tblEjecucion[precio],0))</f>
        <v/>
      </c>
      <c r="AJ820" s="10">
        <f>IF(tblOrdenes[[#This Row],[orden]]="","",MAX(0,_xlfn.XLOOKUP(tblOrdenes[[#This Row],[id_operacion]],tblEjecucion[id_operacion],tblEjecucion[costo_plan_total],0)-tblOrdenes[[#This Row],[costo_servicio]]))</f>
        <v/>
      </c>
      <c r="AK820" s="10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2">
        <f>IF(tblOrdenes[[#This Row],[fecha_inicio]]="","",TODAY()-tblOrdenes[[#This Row],[fecha_inicio]])</f>
        <v/>
      </c>
      <c r="AB8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0">
        <f>IF(tblOrdenes[[#This Row],[orden]]="","",_xlfn.XLOOKUP(tblOrdenes[[#This Row],[id_operacion]],tblEjecucion[id_operacion],tblEjecucion[precio],0))</f>
        <v/>
      </c>
      <c r="AJ821" s="10">
        <f>IF(tblOrdenes[[#This Row],[orden]]="","",MAX(0,_xlfn.XLOOKUP(tblOrdenes[[#This Row],[id_operacion]],tblEjecucion[id_operacion],tblEjecucion[costo_plan_total],0)-tblOrdenes[[#This Row],[costo_servicio]]))</f>
        <v/>
      </c>
      <c r="AK821" s="10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2">
        <f>IF(tblOrdenes[[#This Row],[fecha_inicio]]="","",TODAY()-tblOrdenes[[#This Row],[fecha_inicio]])</f>
        <v/>
      </c>
      <c r="AB8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0">
        <f>IF(tblOrdenes[[#This Row],[orden]]="","",_xlfn.XLOOKUP(tblOrdenes[[#This Row],[id_operacion]],tblEjecucion[id_operacion],tblEjecucion[precio],0))</f>
        <v/>
      </c>
      <c r="AJ822" s="10">
        <f>IF(tblOrdenes[[#This Row],[orden]]="","",MAX(0,_xlfn.XLOOKUP(tblOrdenes[[#This Row],[id_operacion]],tblEjecucion[id_operacion],tblEjecucion[costo_plan_total],0)-tblOrdenes[[#This Row],[costo_servicio]]))</f>
        <v/>
      </c>
      <c r="AK822" s="10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2">
        <f>IF(tblOrdenes[[#This Row],[fecha_inicio]]="","",TODAY()-tblOrdenes[[#This Row],[fecha_inicio]])</f>
        <v/>
      </c>
      <c r="AB8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0">
        <f>IF(tblOrdenes[[#This Row],[orden]]="","",_xlfn.XLOOKUP(tblOrdenes[[#This Row],[id_operacion]],tblEjecucion[id_operacion],tblEjecucion[precio],0))</f>
        <v/>
      </c>
      <c r="AJ823" s="10">
        <f>IF(tblOrdenes[[#This Row],[orden]]="","",MAX(0,_xlfn.XLOOKUP(tblOrdenes[[#This Row],[id_operacion]],tblEjecucion[id_operacion],tblEjecucion[costo_plan_total],0)-tblOrdenes[[#This Row],[costo_servicio]]))</f>
        <v/>
      </c>
      <c r="AK823" s="10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2">
        <f>IF(tblOrdenes[[#This Row],[fecha_inicio]]="","",TODAY()-tblOrdenes[[#This Row],[fecha_inicio]])</f>
        <v/>
      </c>
      <c r="AB8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0">
        <f>IF(tblOrdenes[[#This Row],[orden]]="","",_xlfn.XLOOKUP(tblOrdenes[[#This Row],[id_operacion]],tblEjecucion[id_operacion],tblEjecucion[precio],0))</f>
        <v/>
      </c>
      <c r="AJ824" s="10">
        <f>IF(tblOrdenes[[#This Row],[orden]]="","",MAX(0,_xlfn.XLOOKUP(tblOrdenes[[#This Row],[id_operacion]],tblEjecucion[id_operacion],tblEjecucion[costo_plan_total],0)-tblOrdenes[[#This Row],[costo_servicio]]))</f>
        <v/>
      </c>
      <c r="AK824" s="10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2">
        <f>IF(tblOrdenes[[#This Row],[fecha_inicio]]="","",TODAY()-tblOrdenes[[#This Row],[fecha_inicio]])</f>
        <v/>
      </c>
      <c r="AB8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0">
        <f>IF(tblOrdenes[[#This Row],[orden]]="","",_xlfn.XLOOKUP(tblOrdenes[[#This Row],[id_operacion]],tblEjecucion[id_operacion],tblEjecucion[precio],0))</f>
        <v/>
      </c>
      <c r="AJ825" s="10">
        <f>IF(tblOrdenes[[#This Row],[orden]]="","",MAX(0,_xlfn.XLOOKUP(tblOrdenes[[#This Row],[id_operacion]],tblEjecucion[id_operacion],tblEjecucion[costo_plan_total],0)-tblOrdenes[[#This Row],[costo_servicio]]))</f>
        <v/>
      </c>
      <c r="AK825" s="10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2">
        <f>IF(tblOrdenes[[#This Row],[fecha_inicio]]="","",TODAY()-tblOrdenes[[#This Row],[fecha_inicio]])</f>
        <v/>
      </c>
      <c r="AB8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0">
        <f>IF(tblOrdenes[[#This Row],[orden]]="","",_xlfn.XLOOKUP(tblOrdenes[[#This Row],[id_operacion]],tblEjecucion[id_operacion],tblEjecucion[precio],0))</f>
        <v/>
      </c>
      <c r="AJ826" s="10">
        <f>IF(tblOrdenes[[#This Row],[orden]]="","",MAX(0,_xlfn.XLOOKUP(tblOrdenes[[#This Row],[id_operacion]],tblEjecucion[id_operacion],tblEjecucion[costo_plan_total],0)-tblOrdenes[[#This Row],[costo_servicio]]))</f>
        <v/>
      </c>
      <c r="AK826" s="10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2">
        <f>IF(tblOrdenes[[#This Row],[fecha_inicio]]="","",TODAY()-tblOrdenes[[#This Row],[fecha_inicio]])</f>
        <v/>
      </c>
      <c r="AB8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0">
        <f>IF(tblOrdenes[[#This Row],[orden]]="","",_xlfn.XLOOKUP(tblOrdenes[[#This Row],[id_operacion]],tblEjecucion[id_operacion],tblEjecucion[precio],0))</f>
        <v/>
      </c>
      <c r="AJ827" s="10">
        <f>IF(tblOrdenes[[#This Row],[orden]]="","",MAX(0,_xlfn.XLOOKUP(tblOrdenes[[#This Row],[id_operacion]],tblEjecucion[id_operacion],tblEjecucion[costo_plan_total],0)-tblOrdenes[[#This Row],[costo_servicio]]))</f>
        <v/>
      </c>
      <c r="AK827" s="10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2">
        <f>IF(tblOrdenes[[#This Row],[fecha_inicio]]="","",TODAY()-tblOrdenes[[#This Row],[fecha_inicio]])</f>
        <v/>
      </c>
      <c r="AB8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0">
        <f>IF(tblOrdenes[[#This Row],[orden]]="","",_xlfn.XLOOKUP(tblOrdenes[[#This Row],[id_operacion]],tblEjecucion[id_operacion],tblEjecucion[precio],0))</f>
        <v/>
      </c>
      <c r="AJ828" s="10">
        <f>IF(tblOrdenes[[#This Row],[orden]]="","",MAX(0,_xlfn.XLOOKUP(tblOrdenes[[#This Row],[id_operacion]],tblEjecucion[id_operacion],tblEjecucion[costo_plan_total],0)-tblOrdenes[[#This Row],[costo_servicio]]))</f>
        <v/>
      </c>
      <c r="AK828" s="10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2">
        <f>IF(tblOrdenes[[#This Row],[fecha_inicio]]="","",TODAY()-tblOrdenes[[#This Row],[fecha_inicio]])</f>
        <v/>
      </c>
      <c r="AB8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0">
        <f>IF(tblOrdenes[[#This Row],[orden]]="","",_xlfn.XLOOKUP(tblOrdenes[[#This Row],[id_operacion]],tblEjecucion[id_operacion],tblEjecucion[precio],0))</f>
        <v/>
      </c>
      <c r="AJ829" s="10">
        <f>IF(tblOrdenes[[#This Row],[orden]]="","",MAX(0,_xlfn.XLOOKUP(tblOrdenes[[#This Row],[id_operacion]],tblEjecucion[id_operacion],tblEjecucion[costo_plan_total],0)-tblOrdenes[[#This Row],[costo_servicio]]))</f>
        <v/>
      </c>
      <c r="AK829" s="10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2">
        <f>IF(tblOrdenes[[#This Row],[fecha_inicio]]="","",TODAY()-tblOrdenes[[#This Row],[fecha_inicio]])</f>
        <v/>
      </c>
      <c r="AB8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0">
        <f>IF(tblOrdenes[[#This Row],[orden]]="","",_xlfn.XLOOKUP(tblOrdenes[[#This Row],[id_operacion]],tblEjecucion[id_operacion],tblEjecucion[precio],0))</f>
        <v/>
      </c>
      <c r="AJ830" s="10">
        <f>IF(tblOrdenes[[#This Row],[orden]]="","",MAX(0,_xlfn.XLOOKUP(tblOrdenes[[#This Row],[id_operacion]],tblEjecucion[id_operacion],tblEjecucion[costo_plan_total],0)-tblOrdenes[[#This Row],[costo_servicio]]))</f>
        <v/>
      </c>
      <c r="AK830" s="10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2">
        <f>IF(tblOrdenes[[#This Row],[fecha_inicio]]="","",TODAY()-tblOrdenes[[#This Row],[fecha_inicio]])</f>
        <v/>
      </c>
      <c r="AB8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0">
        <f>IF(tblOrdenes[[#This Row],[orden]]="","",_xlfn.XLOOKUP(tblOrdenes[[#This Row],[id_operacion]],tblEjecucion[id_operacion],tblEjecucion[precio],0))</f>
        <v/>
      </c>
      <c r="AJ831" s="10">
        <f>IF(tblOrdenes[[#This Row],[orden]]="","",MAX(0,_xlfn.XLOOKUP(tblOrdenes[[#This Row],[id_operacion]],tblEjecucion[id_operacion],tblEjecucion[costo_plan_total],0)-tblOrdenes[[#This Row],[costo_servicio]]))</f>
        <v/>
      </c>
      <c r="AK831" s="10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2">
        <f>IF(tblOrdenes[[#This Row],[fecha_inicio]]="","",TODAY()-tblOrdenes[[#This Row],[fecha_inicio]])</f>
        <v/>
      </c>
      <c r="AB8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0">
        <f>IF(tblOrdenes[[#This Row],[orden]]="","",_xlfn.XLOOKUP(tblOrdenes[[#This Row],[id_operacion]],tblEjecucion[id_operacion],tblEjecucion[precio],0))</f>
        <v/>
      </c>
      <c r="AJ832" s="10">
        <f>IF(tblOrdenes[[#This Row],[orden]]="","",MAX(0,_xlfn.XLOOKUP(tblOrdenes[[#This Row],[id_operacion]],tblEjecucion[id_operacion],tblEjecucion[costo_plan_total],0)-tblOrdenes[[#This Row],[costo_servicio]]))</f>
        <v/>
      </c>
      <c r="AK832" s="10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2">
        <f>IF(tblOrdenes[[#This Row],[fecha_inicio]]="","",TODAY()-tblOrdenes[[#This Row],[fecha_inicio]])</f>
        <v/>
      </c>
      <c r="AB8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0">
        <f>IF(tblOrdenes[[#This Row],[orden]]="","",_xlfn.XLOOKUP(tblOrdenes[[#This Row],[id_operacion]],tblEjecucion[id_operacion],tblEjecucion[precio],0))</f>
        <v/>
      </c>
      <c r="AJ833" s="10">
        <f>IF(tblOrdenes[[#This Row],[orden]]="","",MAX(0,_xlfn.XLOOKUP(tblOrdenes[[#This Row],[id_operacion]],tblEjecucion[id_operacion],tblEjecucion[costo_plan_total],0)-tblOrdenes[[#This Row],[costo_servicio]]))</f>
        <v/>
      </c>
      <c r="AK833" s="10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2">
        <f>IF(tblOrdenes[[#This Row],[fecha_inicio]]="","",TODAY()-tblOrdenes[[#This Row],[fecha_inicio]])</f>
        <v/>
      </c>
      <c r="AB8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0">
        <f>IF(tblOrdenes[[#This Row],[orden]]="","",_xlfn.XLOOKUP(tblOrdenes[[#This Row],[id_operacion]],tblEjecucion[id_operacion],tblEjecucion[precio],0))</f>
        <v/>
      </c>
      <c r="AJ834" s="10">
        <f>IF(tblOrdenes[[#This Row],[orden]]="","",MAX(0,_xlfn.XLOOKUP(tblOrdenes[[#This Row],[id_operacion]],tblEjecucion[id_operacion],tblEjecucion[costo_plan_total],0)-tblOrdenes[[#This Row],[costo_servicio]]))</f>
        <v/>
      </c>
      <c r="AK834" s="10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2">
        <f>IF(tblOrdenes[[#This Row],[fecha_inicio]]="","",TODAY()-tblOrdenes[[#This Row],[fecha_inicio]])</f>
        <v/>
      </c>
      <c r="AB8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0">
        <f>IF(tblOrdenes[[#This Row],[orden]]="","",_xlfn.XLOOKUP(tblOrdenes[[#This Row],[id_operacion]],tblEjecucion[id_operacion],tblEjecucion[precio],0))</f>
        <v/>
      </c>
      <c r="AJ835" s="10">
        <f>IF(tblOrdenes[[#This Row],[orden]]="","",MAX(0,_xlfn.XLOOKUP(tblOrdenes[[#This Row],[id_operacion]],tblEjecucion[id_operacion],tblEjecucion[costo_plan_total],0)-tblOrdenes[[#This Row],[costo_servicio]]))</f>
        <v/>
      </c>
      <c r="AK835" s="10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2">
        <f>IF(tblOrdenes[[#This Row],[fecha_inicio]]="","",TODAY()-tblOrdenes[[#This Row],[fecha_inicio]])</f>
        <v/>
      </c>
      <c r="AB8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0">
        <f>IF(tblOrdenes[[#This Row],[orden]]="","",_xlfn.XLOOKUP(tblOrdenes[[#This Row],[id_operacion]],tblEjecucion[id_operacion],tblEjecucion[precio],0))</f>
        <v/>
      </c>
      <c r="AJ836" s="10">
        <f>IF(tblOrdenes[[#This Row],[orden]]="","",MAX(0,_xlfn.XLOOKUP(tblOrdenes[[#This Row],[id_operacion]],tblEjecucion[id_operacion],tblEjecucion[costo_plan_total],0)-tblOrdenes[[#This Row],[costo_servicio]]))</f>
        <v/>
      </c>
      <c r="AK836" s="10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2">
        <f>IF(tblOrdenes[[#This Row],[fecha_inicio]]="","",TODAY()-tblOrdenes[[#This Row],[fecha_inicio]])</f>
        <v/>
      </c>
      <c r="AB8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0">
        <f>IF(tblOrdenes[[#This Row],[orden]]="","",_xlfn.XLOOKUP(tblOrdenes[[#This Row],[id_operacion]],tblEjecucion[id_operacion],tblEjecucion[precio],0))</f>
        <v/>
      </c>
      <c r="AJ837" s="10">
        <f>IF(tblOrdenes[[#This Row],[orden]]="","",MAX(0,_xlfn.XLOOKUP(tblOrdenes[[#This Row],[id_operacion]],tblEjecucion[id_operacion],tblEjecucion[costo_plan_total],0)-tblOrdenes[[#This Row],[costo_servicio]]))</f>
        <v/>
      </c>
      <c r="AK837" s="10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2">
        <f>IF(tblOrdenes[[#This Row],[fecha_inicio]]="","",TODAY()-tblOrdenes[[#This Row],[fecha_inicio]])</f>
        <v/>
      </c>
      <c r="AB8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0">
        <f>IF(tblOrdenes[[#This Row],[orden]]="","",_xlfn.XLOOKUP(tblOrdenes[[#This Row],[id_operacion]],tblEjecucion[id_operacion],tblEjecucion[precio],0))</f>
        <v/>
      </c>
      <c r="AJ838" s="10">
        <f>IF(tblOrdenes[[#This Row],[orden]]="","",MAX(0,_xlfn.XLOOKUP(tblOrdenes[[#This Row],[id_operacion]],tblEjecucion[id_operacion],tblEjecucion[costo_plan_total],0)-tblOrdenes[[#This Row],[costo_servicio]]))</f>
        <v/>
      </c>
      <c r="AK838" s="10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2">
        <f>IF(tblOrdenes[[#This Row],[fecha_inicio]]="","",TODAY()-tblOrdenes[[#This Row],[fecha_inicio]])</f>
        <v/>
      </c>
      <c r="AB8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0">
        <f>IF(tblOrdenes[[#This Row],[orden]]="","",_xlfn.XLOOKUP(tblOrdenes[[#This Row],[id_operacion]],tblEjecucion[id_operacion],tblEjecucion[precio],0))</f>
        <v/>
      </c>
      <c r="AJ839" s="10">
        <f>IF(tblOrdenes[[#This Row],[orden]]="","",MAX(0,_xlfn.XLOOKUP(tblOrdenes[[#This Row],[id_operacion]],tblEjecucion[id_operacion],tblEjecucion[costo_plan_total],0)-tblOrdenes[[#This Row],[costo_servicio]]))</f>
        <v/>
      </c>
      <c r="AK839" s="10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2">
        <f>IF(tblOrdenes[[#This Row],[fecha_inicio]]="","",TODAY()-tblOrdenes[[#This Row],[fecha_inicio]])</f>
        <v/>
      </c>
      <c r="AB8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0">
        <f>IF(tblOrdenes[[#This Row],[orden]]="","",_xlfn.XLOOKUP(tblOrdenes[[#This Row],[id_operacion]],tblEjecucion[id_operacion],tblEjecucion[precio],0))</f>
        <v/>
      </c>
      <c r="AJ840" s="10">
        <f>IF(tblOrdenes[[#This Row],[orden]]="","",MAX(0,_xlfn.XLOOKUP(tblOrdenes[[#This Row],[id_operacion]],tblEjecucion[id_operacion],tblEjecucion[costo_plan_total],0)-tblOrdenes[[#This Row],[costo_servicio]]))</f>
        <v/>
      </c>
      <c r="AK840" s="10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2">
        <f>IF(tblOrdenes[[#This Row],[fecha_inicio]]="","",TODAY()-tblOrdenes[[#This Row],[fecha_inicio]])</f>
        <v/>
      </c>
      <c r="AB8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0">
        <f>IF(tblOrdenes[[#This Row],[orden]]="","",_xlfn.XLOOKUP(tblOrdenes[[#This Row],[id_operacion]],tblEjecucion[id_operacion],tblEjecucion[precio],0))</f>
        <v/>
      </c>
      <c r="AJ841" s="10">
        <f>IF(tblOrdenes[[#This Row],[orden]]="","",MAX(0,_xlfn.XLOOKUP(tblOrdenes[[#This Row],[id_operacion]],tblEjecucion[id_operacion],tblEjecucion[costo_plan_total],0)-tblOrdenes[[#This Row],[costo_servicio]]))</f>
        <v/>
      </c>
      <c r="AK841" s="10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2">
        <f>IF(tblOrdenes[[#This Row],[fecha_inicio]]="","",TODAY()-tblOrdenes[[#This Row],[fecha_inicio]])</f>
        <v/>
      </c>
      <c r="AB8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0">
        <f>IF(tblOrdenes[[#This Row],[orden]]="","",_xlfn.XLOOKUP(tblOrdenes[[#This Row],[id_operacion]],tblEjecucion[id_operacion],tblEjecucion[precio],0))</f>
        <v/>
      </c>
      <c r="AJ842" s="10">
        <f>IF(tblOrdenes[[#This Row],[orden]]="","",MAX(0,_xlfn.XLOOKUP(tblOrdenes[[#This Row],[id_operacion]],tblEjecucion[id_operacion],tblEjecucion[costo_plan_total],0)-tblOrdenes[[#This Row],[costo_servicio]]))</f>
        <v/>
      </c>
      <c r="AK842" s="10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2">
        <f>IF(tblOrdenes[[#This Row],[fecha_inicio]]="","",TODAY()-tblOrdenes[[#This Row],[fecha_inicio]])</f>
        <v/>
      </c>
      <c r="AB8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0">
        <f>IF(tblOrdenes[[#This Row],[orden]]="","",_xlfn.XLOOKUP(tblOrdenes[[#This Row],[id_operacion]],tblEjecucion[id_operacion],tblEjecucion[precio],0))</f>
        <v/>
      </c>
      <c r="AJ843" s="10">
        <f>IF(tblOrdenes[[#This Row],[orden]]="","",MAX(0,_xlfn.XLOOKUP(tblOrdenes[[#This Row],[id_operacion]],tblEjecucion[id_operacion],tblEjecucion[costo_plan_total],0)-tblOrdenes[[#This Row],[costo_servicio]]))</f>
        <v/>
      </c>
      <c r="AK843" s="10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2">
        <f>IF(tblOrdenes[[#This Row],[fecha_inicio]]="","",TODAY()-tblOrdenes[[#This Row],[fecha_inicio]])</f>
        <v/>
      </c>
      <c r="AB8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0">
        <f>IF(tblOrdenes[[#This Row],[orden]]="","",_xlfn.XLOOKUP(tblOrdenes[[#This Row],[id_operacion]],tblEjecucion[id_operacion],tblEjecucion[precio],0))</f>
        <v/>
      </c>
      <c r="AJ844" s="10">
        <f>IF(tblOrdenes[[#This Row],[orden]]="","",MAX(0,_xlfn.XLOOKUP(tblOrdenes[[#This Row],[id_operacion]],tblEjecucion[id_operacion],tblEjecucion[costo_plan_total],0)-tblOrdenes[[#This Row],[costo_servicio]]))</f>
        <v/>
      </c>
      <c r="AK844" s="10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2">
        <f>IF(tblOrdenes[[#This Row],[fecha_inicio]]="","",TODAY()-tblOrdenes[[#This Row],[fecha_inicio]])</f>
        <v/>
      </c>
      <c r="AB8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0">
        <f>IF(tblOrdenes[[#This Row],[orden]]="","",_xlfn.XLOOKUP(tblOrdenes[[#This Row],[id_operacion]],tblEjecucion[id_operacion],tblEjecucion[precio],0))</f>
        <v/>
      </c>
      <c r="AJ845" s="10">
        <f>IF(tblOrdenes[[#This Row],[orden]]="","",MAX(0,_xlfn.XLOOKUP(tblOrdenes[[#This Row],[id_operacion]],tblEjecucion[id_operacion],tblEjecucion[costo_plan_total],0)-tblOrdenes[[#This Row],[costo_servicio]]))</f>
        <v/>
      </c>
      <c r="AK845" s="10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2">
        <f>IF(tblOrdenes[[#This Row],[fecha_inicio]]="","",TODAY()-tblOrdenes[[#This Row],[fecha_inicio]])</f>
        <v/>
      </c>
      <c r="AB8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0">
        <f>IF(tblOrdenes[[#This Row],[orden]]="","",_xlfn.XLOOKUP(tblOrdenes[[#This Row],[id_operacion]],tblEjecucion[id_operacion],tblEjecucion[precio],0))</f>
        <v/>
      </c>
      <c r="AJ846" s="10">
        <f>IF(tblOrdenes[[#This Row],[orden]]="","",MAX(0,_xlfn.XLOOKUP(tblOrdenes[[#This Row],[id_operacion]],tblEjecucion[id_operacion],tblEjecucion[costo_plan_total],0)-tblOrdenes[[#This Row],[costo_servicio]]))</f>
        <v/>
      </c>
      <c r="AK846" s="10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2">
        <f>IF(tblOrdenes[[#This Row],[fecha_inicio]]="","",TODAY()-tblOrdenes[[#This Row],[fecha_inicio]])</f>
        <v/>
      </c>
      <c r="AB8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0">
        <f>IF(tblOrdenes[[#This Row],[orden]]="","",_xlfn.XLOOKUP(tblOrdenes[[#This Row],[id_operacion]],tblEjecucion[id_operacion],tblEjecucion[precio],0))</f>
        <v/>
      </c>
      <c r="AJ847" s="10">
        <f>IF(tblOrdenes[[#This Row],[orden]]="","",MAX(0,_xlfn.XLOOKUP(tblOrdenes[[#This Row],[id_operacion]],tblEjecucion[id_operacion],tblEjecucion[costo_plan_total],0)-tblOrdenes[[#This Row],[costo_servicio]]))</f>
        <v/>
      </c>
      <c r="AK847" s="10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2">
        <f>IF(tblOrdenes[[#This Row],[fecha_inicio]]="","",TODAY()-tblOrdenes[[#This Row],[fecha_inicio]])</f>
        <v/>
      </c>
      <c r="AB8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0">
        <f>IF(tblOrdenes[[#This Row],[orden]]="","",_xlfn.XLOOKUP(tblOrdenes[[#This Row],[id_operacion]],tblEjecucion[id_operacion],tblEjecucion[precio],0))</f>
        <v/>
      </c>
      <c r="AJ848" s="10">
        <f>IF(tblOrdenes[[#This Row],[orden]]="","",MAX(0,_xlfn.XLOOKUP(tblOrdenes[[#This Row],[id_operacion]],tblEjecucion[id_operacion],tblEjecucion[costo_plan_total],0)-tblOrdenes[[#This Row],[costo_servicio]]))</f>
        <v/>
      </c>
      <c r="AK848" s="10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2">
        <f>IF(tblOrdenes[[#This Row],[fecha_inicio]]="","",TODAY()-tblOrdenes[[#This Row],[fecha_inicio]])</f>
        <v/>
      </c>
      <c r="AB8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0">
        <f>IF(tblOrdenes[[#This Row],[orden]]="","",_xlfn.XLOOKUP(tblOrdenes[[#This Row],[id_operacion]],tblEjecucion[id_operacion],tblEjecucion[precio],0))</f>
        <v/>
      </c>
      <c r="AJ849" s="10">
        <f>IF(tblOrdenes[[#This Row],[orden]]="","",MAX(0,_xlfn.XLOOKUP(tblOrdenes[[#This Row],[id_operacion]],tblEjecucion[id_operacion],tblEjecucion[costo_plan_total],0)-tblOrdenes[[#This Row],[costo_servicio]]))</f>
        <v/>
      </c>
      <c r="AK849" s="10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2">
        <f>IF(tblOrdenes[[#This Row],[fecha_inicio]]="","",TODAY()-tblOrdenes[[#This Row],[fecha_inicio]])</f>
        <v/>
      </c>
      <c r="AB8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0">
        <f>IF(tblOrdenes[[#This Row],[orden]]="","",_xlfn.XLOOKUP(tblOrdenes[[#This Row],[id_operacion]],tblEjecucion[id_operacion],tblEjecucion[precio],0))</f>
        <v/>
      </c>
      <c r="AJ850" s="10">
        <f>IF(tblOrdenes[[#This Row],[orden]]="","",MAX(0,_xlfn.XLOOKUP(tblOrdenes[[#This Row],[id_operacion]],tblEjecucion[id_operacion],tblEjecucion[costo_plan_total],0)-tblOrdenes[[#This Row],[costo_servicio]]))</f>
        <v/>
      </c>
      <c r="AK850" s="10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2">
        <f>IF(tblOrdenes[[#This Row],[fecha_inicio]]="","",TODAY()-tblOrdenes[[#This Row],[fecha_inicio]])</f>
        <v/>
      </c>
      <c r="AB8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0">
        <f>IF(tblOrdenes[[#This Row],[orden]]="","",_xlfn.XLOOKUP(tblOrdenes[[#This Row],[id_operacion]],tblEjecucion[id_operacion],tblEjecucion[precio],0))</f>
        <v/>
      </c>
      <c r="AJ851" s="10">
        <f>IF(tblOrdenes[[#This Row],[orden]]="","",MAX(0,_xlfn.XLOOKUP(tblOrdenes[[#This Row],[id_operacion]],tblEjecucion[id_operacion],tblEjecucion[costo_plan_total],0)-tblOrdenes[[#This Row],[costo_servicio]]))</f>
        <v/>
      </c>
      <c r="AK851" s="10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2">
        <f>IF(tblOrdenes[[#This Row],[fecha_inicio]]="","",TODAY()-tblOrdenes[[#This Row],[fecha_inicio]])</f>
        <v/>
      </c>
      <c r="AB8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0">
        <f>IF(tblOrdenes[[#This Row],[orden]]="","",_xlfn.XLOOKUP(tblOrdenes[[#This Row],[id_operacion]],tblEjecucion[id_operacion],tblEjecucion[precio],0))</f>
        <v/>
      </c>
      <c r="AJ852" s="10">
        <f>IF(tblOrdenes[[#This Row],[orden]]="","",MAX(0,_xlfn.XLOOKUP(tblOrdenes[[#This Row],[id_operacion]],tblEjecucion[id_operacion],tblEjecucion[costo_plan_total],0)-tblOrdenes[[#This Row],[costo_servicio]]))</f>
        <v/>
      </c>
      <c r="AK852" s="10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2">
        <f>IF(tblOrdenes[[#This Row],[fecha_inicio]]="","",TODAY()-tblOrdenes[[#This Row],[fecha_inicio]])</f>
        <v/>
      </c>
      <c r="AB8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0">
        <f>IF(tblOrdenes[[#This Row],[orden]]="","",_xlfn.XLOOKUP(tblOrdenes[[#This Row],[id_operacion]],tblEjecucion[id_operacion],tblEjecucion[precio],0))</f>
        <v/>
      </c>
      <c r="AJ853" s="10">
        <f>IF(tblOrdenes[[#This Row],[orden]]="","",MAX(0,_xlfn.XLOOKUP(tblOrdenes[[#This Row],[id_operacion]],tblEjecucion[id_operacion],tblEjecucion[costo_plan_total],0)-tblOrdenes[[#This Row],[costo_servicio]]))</f>
        <v/>
      </c>
      <c r="AK853" s="10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2">
        <f>IF(tblOrdenes[[#This Row],[fecha_inicio]]="","",TODAY()-tblOrdenes[[#This Row],[fecha_inicio]])</f>
        <v/>
      </c>
      <c r="AB8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0">
        <f>IF(tblOrdenes[[#This Row],[orden]]="","",_xlfn.XLOOKUP(tblOrdenes[[#This Row],[id_operacion]],tblEjecucion[id_operacion],tblEjecucion[precio],0))</f>
        <v/>
      </c>
      <c r="AJ854" s="10">
        <f>IF(tblOrdenes[[#This Row],[orden]]="","",MAX(0,_xlfn.XLOOKUP(tblOrdenes[[#This Row],[id_operacion]],tblEjecucion[id_operacion],tblEjecucion[costo_plan_total],0)-tblOrdenes[[#This Row],[costo_servicio]]))</f>
        <v/>
      </c>
      <c r="AK854" s="10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2">
        <f>IF(tblOrdenes[[#This Row],[fecha_inicio]]="","",TODAY()-tblOrdenes[[#This Row],[fecha_inicio]])</f>
        <v/>
      </c>
      <c r="AB8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0">
        <f>IF(tblOrdenes[[#This Row],[orden]]="","",_xlfn.XLOOKUP(tblOrdenes[[#This Row],[id_operacion]],tblEjecucion[id_operacion],tblEjecucion[precio],0))</f>
        <v/>
      </c>
      <c r="AJ855" s="10">
        <f>IF(tblOrdenes[[#This Row],[orden]]="","",MAX(0,_xlfn.XLOOKUP(tblOrdenes[[#This Row],[id_operacion]],tblEjecucion[id_operacion],tblEjecucion[costo_plan_total],0)-tblOrdenes[[#This Row],[costo_servicio]]))</f>
        <v/>
      </c>
      <c r="AK855" s="10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2">
        <f>IF(tblOrdenes[[#This Row],[fecha_inicio]]="","",TODAY()-tblOrdenes[[#This Row],[fecha_inicio]])</f>
        <v/>
      </c>
      <c r="AB8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0">
        <f>IF(tblOrdenes[[#This Row],[orden]]="","",_xlfn.XLOOKUP(tblOrdenes[[#This Row],[id_operacion]],tblEjecucion[id_operacion],tblEjecucion[precio],0))</f>
        <v/>
      </c>
      <c r="AJ856" s="10">
        <f>IF(tblOrdenes[[#This Row],[orden]]="","",MAX(0,_xlfn.XLOOKUP(tblOrdenes[[#This Row],[id_operacion]],tblEjecucion[id_operacion],tblEjecucion[costo_plan_total],0)-tblOrdenes[[#This Row],[costo_servicio]]))</f>
        <v/>
      </c>
      <c r="AK856" s="10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2">
        <f>IF(tblOrdenes[[#This Row],[fecha_inicio]]="","",TODAY()-tblOrdenes[[#This Row],[fecha_inicio]])</f>
        <v/>
      </c>
      <c r="AB8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0">
        <f>IF(tblOrdenes[[#This Row],[orden]]="","",_xlfn.XLOOKUP(tblOrdenes[[#This Row],[id_operacion]],tblEjecucion[id_operacion],tblEjecucion[precio],0))</f>
        <v/>
      </c>
      <c r="AJ857" s="10">
        <f>IF(tblOrdenes[[#This Row],[orden]]="","",MAX(0,_xlfn.XLOOKUP(tblOrdenes[[#This Row],[id_operacion]],tblEjecucion[id_operacion],tblEjecucion[costo_plan_total],0)-tblOrdenes[[#This Row],[costo_servicio]]))</f>
        <v/>
      </c>
      <c r="AK857" s="10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2">
        <f>IF(tblOrdenes[[#This Row],[fecha_inicio]]="","",TODAY()-tblOrdenes[[#This Row],[fecha_inicio]])</f>
        <v/>
      </c>
      <c r="AB8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0">
        <f>IF(tblOrdenes[[#This Row],[orden]]="","",_xlfn.XLOOKUP(tblOrdenes[[#This Row],[id_operacion]],tblEjecucion[id_operacion],tblEjecucion[precio],0))</f>
        <v/>
      </c>
      <c r="AJ858" s="10">
        <f>IF(tblOrdenes[[#This Row],[orden]]="","",MAX(0,_xlfn.XLOOKUP(tblOrdenes[[#This Row],[id_operacion]],tblEjecucion[id_operacion],tblEjecucion[costo_plan_total],0)-tblOrdenes[[#This Row],[costo_servicio]]))</f>
        <v/>
      </c>
      <c r="AK858" s="10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2">
        <f>IF(tblOrdenes[[#This Row],[fecha_inicio]]="","",TODAY()-tblOrdenes[[#This Row],[fecha_inicio]])</f>
        <v/>
      </c>
      <c r="AB8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0">
        <f>IF(tblOrdenes[[#This Row],[orden]]="","",_xlfn.XLOOKUP(tblOrdenes[[#This Row],[id_operacion]],tblEjecucion[id_operacion],tblEjecucion[precio],0))</f>
        <v/>
      </c>
      <c r="AJ859" s="10">
        <f>IF(tblOrdenes[[#This Row],[orden]]="","",MAX(0,_xlfn.XLOOKUP(tblOrdenes[[#This Row],[id_operacion]],tblEjecucion[id_operacion],tblEjecucion[costo_plan_total],0)-tblOrdenes[[#This Row],[costo_servicio]]))</f>
        <v/>
      </c>
      <c r="AK859" s="10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2">
        <f>IF(tblOrdenes[[#This Row],[fecha_inicio]]="","",TODAY()-tblOrdenes[[#This Row],[fecha_inicio]])</f>
        <v/>
      </c>
      <c r="AB8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0">
        <f>IF(tblOrdenes[[#This Row],[orden]]="","",_xlfn.XLOOKUP(tblOrdenes[[#This Row],[id_operacion]],tblEjecucion[id_operacion],tblEjecucion[precio],0))</f>
        <v/>
      </c>
      <c r="AJ860" s="10">
        <f>IF(tblOrdenes[[#This Row],[orden]]="","",MAX(0,_xlfn.XLOOKUP(tblOrdenes[[#This Row],[id_operacion]],tblEjecucion[id_operacion],tblEjecucion[costo_plan_total],0)-tblOrdenes[[#This Row],[costo_servicio]]))</f>
        <v/>
      </c>
      <c r="AK860" s="10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2">
        <f>IF(tblOrdenes[[#This Row],[fecha_inicio]]="","",TODAY()-tblOrdenes[[#This Row],[fecha_inicio]])</f>
        <v/>
      </c>
      <c r="AB8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0">
        <f>IF(tblOrdenes[[#This Row],[orden]]="","",_xlfn.XLOOKUP(tblOrdenes[[#This Row],[id_operacion]],tblEjecucion[id_operacion],tblEjecucion[precio],0))</f>
        <v/>
      </c>
      <c r="AJ861" s="10">
        <f>IF(tblOrdenes[[#This Row],[orden]]="","",MAX(0,_xlfn.XLOOKUP(tblOrdenes[[#This Row],[id_operacion]],tblEjecucion[id_operacion],tblEjecucion[costo_plan_total],0)-tblOrdenes[[#This Row],[costo_servicio]]))</f>
        <v/>
      </c>
      <c r="AK861" s="10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2">
        <f>IF(tblOrdenes[[#This Row],[fecha_inicio]]="","",TODAY()-tblOrdenes[[#This Row],[fecha_inicio]])</f>
        <v/>
      </c>
      <c r="AB8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0">
        <f>IF(tblOrdenes[[#This Row],[orden]]="","",_xlfn.XLOOKUP(tblOrdenes[[#This Row],[id_operacion]],tblEjecucion[id_operacion],tblEjecucion[precio],0))</f>
        <v/>
      </c>
      <c r="AJ862" s="10">
        <f>IF(tblOrdenes[[#This Row],[orden]]="","",MAX(0,_xlfn.XLOOKUP(tblOrdenes[[#This Row],[id_operacion]],tblEjecucion[id_operacion],tblEjecucion[costo_plan_total],0)-tblOrdenes[[#This Row],[costo_servicio]]))</f>
        <v/>
      </c>
      <c r="AK862" s="10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2">
        <f>IF(tblOrdenes[[#This Row],[fecha_inicio]]="","",TODAY()-tblOrdenes[[#This Row],[fecha_inicio]])</f>
        <v/>
      </c>
      <c r="AB8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0">
        <f>IF(tblOrdenes[[#This Row],[orden]]="","",_xlfn.XLOOKUP(tblOrdenes[[#This Row],[id_operacion]],tblEjecucion[id_operacion],tblEjecucion[precio],0))</f>
        <v/>
      </c>
      <c r="AJ863" s="10">
        <f>IF(tblOrdenes[[#This Row],[orden]]="","",MAX(0,_xlfn.XLOOKUP(tblOrdenes[[#This Row],[id_operacion]],tblEjecucion[id_operacion],tblEjecucion[costo_plan_total],0)-tblOrdenes[[#This Row],[costo_servicio]]))</f>
        <v/>
      </c>
      <c r="AK863" s="10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2">
        <f>IF(tblOrdenes[[#This Row],[fecha_inicio]]="","",TODAY()-tblOrdenes[[#This Row],[fecha_inicio]])</f>
        <v/>
      </c>
      <c r="AB8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0">
        <f>IF(tblOrdenes[[#This Row],[orden]]="","",_xlfn.XLOOKUP(tblOrdenes[[#This Row],[id_operacion]],tblEjecucion[id_operacion],tblEjecucion[precio],0))</f>
        <v/>
      </c>
      <c r="AJ864" s="10">
        <f>IF(tblOrdenes[[#This Row],[orden]]="","",MAX(0,_xlfn.XLOOKUP(tblOrdenes[[#This Row],[id_operacion]],tblEjecucion[id_operacion],tblEjecucion[costo_plan_total],0)-tblOrdenes[[#This Row],[costo_servicio]]))</f>
        <v/>
      </c>
      <c r="AK864" s="10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2">
        <f>IF(tblOrdenes[[#This Row],[fecha_inicio]]="","",TODAY()-tblOrdenes[[#This Row],[fecha_inicio]])</f>
        <v/>
      </c>
      <c r="AB8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0">
        <f>IF(tblOrdenes[[#This Row],[orden]]="","",_xlfn.XLOOKUP(tblOrdenes[[#This Row],[id_operacion]],tblEjecucion[id_operacion],tblEjecucion[precio],0))</f>
        <v/>
      </c>
      <c r="AJ865" s="10">
        <f>IF(tblOrdenes[[#This Row],[orden]]="","",MAX(0,_xlfn.XLOOKUP(tblOrdenes[[#This Row],[id_operacion]],tblEjecucion[id_operacion],tblEjecucion[costo_plan_total],0)-tblOrdenes[[#This Row],[costo_servicio]]))</f>
        <v/>
      </c>
      <c r="AK865" s="10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2">
        <f>IF(tblOrdenes[[#This Row],[fecha_inicio]]="","",TODAY()-tblOrdenes[[#This Row],[fecha_inicio]])</f>
        <v/>
      </c>
      <c r="AB8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0">
        <f>IF(tblOrdenes[[#This Row],[orden]]="","",_xlfn.XLOOKUP(tblOrdenes[[#This Row],[id_operacion]],tblEjecucion[id_operacion],tblEjecucion[precio],0))</f>
        <v/>
      </c>
      <c r="AJ866" s="10">
        <f>IF(tblOrdenes[[#This Row],[orden]]="","",MAX(0,_xlfn.XLOOKUP(tblOrdenes[[#This Row],[id_operacion]],tblEjecucion[id_operacion],tblEjecucion[costo_plan_total],0)-tblOrdenes[[#This Row],[costo_servicio]]))</f>
        <v/>
      </c>
      <c r="AK866" s="10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2">
        <f>IF(tblOrdenes[[#This Row],[fecha_inicio]]="","",TODAY()-tblOrdenes[[#This Row],[fecha_inicio]])</f>
        <v/>
      </c>
      <c r="AB8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0">
        <f>IF(tblOrdenes[[#This Row],[orden]]="","",_xlfn.XLOOKUP(tblOrdenes[[#This Row],[id_operacion]],tblEjecucion[id_operacion],tblEjecucion[precio],0))</f>
        <v/>
      </c>
      <c r="AJ867" s="10">
        <f>IF(tblOrdenes[[#This Row],[orden]]="","",MAX(0,_xlfn.XLOOKUP(tblOrdenes[[#This Row],[id_operacion]],tblEjecucion[id_operacion],tblEjecucion[costo_plan_total],0)-tblOrdenes[[#This Row],[costo_servicio]]))</f>
        <v/>
      </c>
      <c r="AK867" s="10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2">
        <f>IF(tblOrdenes[[#This Row],[fecha_inicio]]="","",TODAY()-tblOrdenes[[#This Row],[fecha_inicio]])</f>
        <v/>
      </c>
      <c r="AB8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0">
        <f>IF(tblOrdenes[[#This Row],[orden]]="","",_xlfn.XLOOKUP(tblOrdenes[[#This Row],[id_operacion]],tblEjecucion[id_operacion],tblEjecucion[precio],0))</f>
        <v/>
      </c>
      <c r="AJ868" s="10">
        <f>IF(tblOrdenes[[#This Row],[orden]]="","",MAX(0,_xlfn.XLOOKUP(tblOrdenes[[#This Row],[id_operacion]],tblEjecucion[id_operacion],tblEjecucion[costo_plan_total],0)-tblOrdenes[[#This Row],[costo_servicio]]))</f>
        <v/>
      </c>
      <c r="AK868" s="10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2">
        <f>IF(tblOrdenes[[#This Row],[fecha_inicio]]="","",TODAY()-tblOrdenes[[#This Row],[fecha_inicio]])</f>
        <v/>
      </c>
      <c r="AB8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0">
        <f>IF(tblOrdenes[[#This Row],[orden]]="","",_xlfn.XLOOKUP(tblOrdenes[[#This Row],[id_operacion]],tblEjecucion[id_operacion],tblEjecucion[precio],0))</f>
        <v/>
      </c>
      <c r="AJ869" s="10">
        <f>IF(tblOrdenes[[#This Row],[orden]]="","",MAX(0,_xlfn.XLOOKUP(tblOrdenes[[#This Row],[id_operacion]],tblEjecucion[id_operacion],tblEjecucion[costo_plan_total],0)-tblOrdenes[[#This Row],[costo_servicio]]))</f>
        <v/>
      </c>
      <c r="AK869" s="10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2">
        <f>IF(tblOrdenes[[#This Row],[fecha_inicio]]="","",TODAY()-tblOrdenes[[#This Row],[fecha_inicio]])</f>
        <v/>
      </c>
      <c r="AB8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0">
        <f>IF(tblOrdenes[[#This Row],[orden]]="","",_xlfn.XLOOKUP(tblOrdenes[[#This Row],[id_operacion]],tblEjecucion[id_operacion],tblEjecucion[precio],0))</f>
        <v/>
      </c>
      <c r="AJ870" s="10">
        <f>IF(tblOrdenes[[#This Row],[orden]]="","",MAX(0,_xlfn.XLOOKUP(tblOrdenes[[#This Row],[id_operacion]],tblEjecucion[id_operacion],tblEjecucion[costo_plan_total],0)-tblOrdenes[[#This Row],[costo_servicio]]))</f>
        <v/>
      </c>
      <c r="AK870" s="10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2">
        <f>IF(tblOrdenes[[#This Row],[fecha_inicio]]="","",TODAY()-tblOrdenes[[#This Row],[fecha_inicio]])</f>
        <v/>
      </c>
      <c r="AB8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0">
        <f>IF(tblOrdenes[[#This Row],[orden]]="","",_xlfn.XLOOKUP(tblOrdenes[[#This Row],[id_operacion]],tblEjecucion[id_operacion],tblEjecucion[precio],0))</f>
        <v/>
      </c>
      <c r="AJ871" s="10">
        <f>IF(tblOrdenes[[#This Row],[orden]]="","",MAX(0,_xlfn.XLOOKUP(tblOrdenes[[#This Row],[id_operacion]],tblEjecucion[id_operacion],tblEjecucion[costo_plan_total],0)-tblOrdenes[[#This Row],[costo_servicio]]))</f>
        <v/>
      </c>
      <c r="AK871" s="10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2">
        <f>IF(tblOrdenes[[#This Row],[fecha_inicio]]="","",TODAY()-tblOrdenes[[#This Row],[fecha_inicio]])</f>
        <v/>
      </c>
      <c r="AB8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0">
        <f>IF(tblOrdenes[[#This Row],[orden]]="","",_xlfn.XLOOKUP(tblOrdenes[[#This Row],[id_operacion]],tblEjecucion[id_operacion],tblEjecucion[precio],0))</f>
        <v/>
      </c>
      <c r="AJ872" s="10">
        <f>IF(tblOrdenes[[#This Row],[orden]]="","",MAX(0,_xlfn.XLOOKUP(tblOrdenes[[#This Row],[id_operacion]],tblEjecucion[id_operacion],tblEjecucion[costo_plan_total],0)-tblOrdenes[[#This Row],[costo_servicio]]))</f>
        <v/>
      </c>
      <c r="AK872" s="10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2">
        <f>IF(tblOrdenes[[#This Row],[fecha_inicio]]="","",TODAY()-tblOrdenes[[#This Row],[fecha_inicio]])</f>
        <v/>
      </c>
      <c r="AB8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0">
        <f>IF(tblOrdenes[[#This Row],[orden]]="","",_xlfn.XLOOKUP(tblOrdenes[[#This Row],[id_operacion]],tblEjecucion[id_operacion],tblEjecucion[precio],0))</f>
        <v/>
      </c>
      <c r="AJ873" s="10">
        <f>IF(tblOrdenes[[#This Row],[orden]]="","",MAX(0,_xlfn.XLOOKUP(tblOrdenes[[#This Row],[id_operacion]],tblEjecucion[id_operacion],tblEjecucion[costo_plan_total],0)-tblOrdenes[[#This Row],[costo_servicio]]))</f>
        <v/>
      </c>
      <c r="AK873" s="10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2">
        <f>IF(tblOrdenes[[#This Row],[fecha_inicio]]="","",TODAY()-tblOrdenes[[#This Row],[fecha_inicio]])</f>
        <v/>
      </c>
      <c r="AB8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0">
        <f>IF(tblOrdenes[[#This Row],[orden]]="","",_xlfn.XLOOKUP(tblOrdenes[[#This Row],[id_operacion]],tblEjecucion[id_operacion],tblEjecucion[precio],0))</f>
        <v/>
      </c>
      <c r="AJ874" s="10">
        <f>IF(tblOrdenes[[#This Row],[orden]]="","",MAX(0,_xlfn.XLOOKUP(tblOrdenes[[#This Row],[id_operacion]],tblEjecucion[id_operacion],tblEjecucion[costo_plan_total],0)-tblOrdenes[[#This Row],[costo_servicio]]))</f>
        <v/>
      </c>
      <c r="AK874" s="10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2">
        <f>IF(tblOrdenes[[#This Row],[fecha_inicio]]="","",TODAY()-tblOrdenes[[#This Row],[fecha_inicio]])</f>
        <v/>
      </c>
      <c r="AB8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0">
        <f>IF(tblOrdenes[[#This Row],[orden]]="","",_xlfn.XLOOKUP(tblOrdenes[[#This Row],[id_operacion]],tblEjecucion[id_operacion],tblEjecucion[precio],0))</f>
        <v/>
      </c>
      <c r="AJ875" s="10">
        <f>IF(tblOrdenes[[#This Row],[orden]]="","",MAX(0,_xlfn.XLOOKUP(tblOrdenes[[#This Row],[id_operacion]],tblEjecucion[id_operacion],tblEjecucion[costo_plan_total],0)-tblOrdenes[[#This Row],[costo_servicio]]))</f>
        <v/>
      </c>
      <c r="AK875" s="10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2">
        <f>IF(tblOrdenes[[#This Row],[fecha_inicio]]="","",TODAY()-tblOrdenes[[#This Row],[fecha_inicio]])</f>
        <v/>
      </c>
      <c r="AB8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0">
        <f>IF(tblOrdenes[[#This Row],[orden]]="","",_xlfn.XLOOKUP(tblOrdenes[[#This Row],[id_operacion]],tblEjecucion[id_operacion],tblEjecucion[precio],0))</f>
        <v/>
      </c>
      <c r="AJ876" s="10">
        <f>IF(tblOrdenes[[#This Row],[orden]]="","",MAX(0,_xlfn.XLOOKUP(tblOrdenes[[#This Row],[id_operacion]],tblEjecucion[id_operacion],tblEjecucion[costo_plan_total],0)-tblOrdenes[[#This Row],[costo_servicio]]))</f>
        <v/>
      </c>
      <c r="AK876" s="10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2">
        <f>IF(tblOrdenes[[#This Row],[fecha_inicio]]="","",TODAY()-tblOrdenes[[#This Row],[fecha_inicio]])</f>
        <v/>
      </c>
      <c r="AB8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0">
        <f>IF(tblOrdenes[[#This Row],[orden]]="","",_xlfn.XLOOKUP(tblOrdenes[[#This Row],[id_operacion]],tblEjecucion[id_operacion],tblEjecucion[precio],0))</f>
        <v/>
      </c>
      <c r="AJ877" s="10">
        <f>IF(tblOrdenes[[#This Row],[orden]]="","",MAX(0,_xlfn.XLOOKUP(tblOrdenes[[#This Row],[id_operacion]],tblEjecucion[id_operacion],tblEjecucion[costo_plan_total],0)-tblOrdenes[[#This Row],[costo_servicio]]))</f>
        <v/>
      </c>
      <c r="AK877" s="10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2">
        <f>IF(tblOrdenes[[#This Row],[fecha_inicio]]="","",TODAY()-tblOrdenes[[#This Row],[fecha_inicio]])</f>
        <v/>
      </c>
      <c r="AB8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0">
        <f>IF(tblOrdenes[[#This Row],[orden]]="","",_xlfn.XLOOKUP(tblOrdenes[[#This Row],[id_operacion]],tblEjecucion[id_operacion],tblEjecucion[precio],0))</f>
        <v/>
      </c>
      <c r="AJ878" s="10">
        <f>IF(tblOrdenes[[#This Row],[orden]]="","",MAX(0,_xlfn.XLOOKUP(tblOrdenes[[#This Row],[id_operacion]],tblEjecucion[id_operacion],tblEjecucion[costo_plan_total],0)-tblOrdenes[[#This Row],[costo_servicio]]))</f>
        <v/>
      </c>
      <c r="AK878" s="10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2">
        <f>IF(tblOrdenes[[#This Row],[fecha_inicio]]="","",TODAY()-tblOrdenes[[#This Row],[fecha_inicio]])</f>
        <v/>
      </c>
      <c r="AB8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0">
        <f>IF(tblOrdenes[[#This Row],[orden]]="","",_xlfn.XLOOKUP(tblOrdenes[[#This Row],[id_operacion]],tblEjecucion[id_operacion],tblEjecucion[precio],0))</f>
        <v/>
      </c>
      <c r="AJ879" s="10">
        <f>IF(tblOrdenes[[#This Row],[orden]]="","",MAX(0,_xlfn.XLOOKUP(tblOrdenes[[#This Row],[id_operacion]],tblEjecucion[id_operacion],tblEjecucion[costo_plan_total],0)-tblOrdenes[[#This Row],[costo_servicio]]))</f>
        <v/>
      </c>
      <c r="AK879" s="10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2">
        <f>IF(tblOrdenes[[#This Row],[fecha_inicio]]="","",TODAY()-tblOrdenes[[#This Row],[fecha_inicio]])</f>
        <v/>
      </c>
      <c r="AB8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0">
        <f>IF(tblOrdenes[[#This Row],[orden]]="","",_xlfn.XLOOKUP(tblOrdenes[[#This Row],[id_operacion]],tblEjecucion[id_operacion],tblEjecucion[precio],0))</f>
        <v/>
      </c>
      <c r="AJ880" s="10">
        <f>IF(tblOrdenes[[#This Row],[orden]]="","",MAX(0,_xlfn.XLOOKUP(tblOrdenes[[#This Row],[id_operacion]],tblEjecucion[id_operacion],tblEjecucion[costo_plan_total],0)-tblOrdenes[[#This Row],[costo_servicio]]))</f>
        <v/>
      </c>
      <c r="AK880" s="10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2">
        <f>IF(tblOrdenes[[#This Row],[fecha_inicio]]="","",TODAY()-tblOrdenes[[#This Row],[fecha_inicio]])</f>
        <v/>
      </c>
      <c r="AB8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0">
        <f>IF(tblOrdenes[[#This Row],[orden]]="","",_xlfn.XLOOKUP(tblOrdenes[[#This Row],[id_operacion]],tblEjecucion[id_operacion],tblEjecucion[precio],0))</f>
        <v/>
      </c>
      <c r="AJ881" s="10">
        <f>IF(tblOrdenes[[#This Row],[orden]]="","",MAX(0,_xlfn.XLOOKUP(tblOrdenes[[#This Row],[id_operacion]],tblEjecucion[id_operacion],tblEjecucion[costo_plan_total],0)-tblOrdenes[[#This Row],[costo_servicio]]))</f>
        <v/>
      </c>
      <c r="AK881" s="10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2">
        <f>IF(tblOrdenes[[#This Row],[fecha_inicio]]="","",TODAY()-tblOrdenes[[#This Row],[fecha_inicio]])</f>
        <v/>
      </c>
      <c r="AB8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0">
        <f>IF(tblOrdenes[[#This Row],[orden]]="","",_xlfn.XLOOKUP(tblOrdenes[[#This Row],[id_operacion]],tblEjecucion[id_operacion],tblEjecucion[precio],0))</f>
        <v/>
      </c>
      <c r="AJ882" s="10">
        <f>IF(tblOrdenes[[#This Row],[orden]]="","",MAX(0,_xlfn.XLOOKUP(tblOrdenes[[#This Row],[id_operacion]],tblEjecucion[id_operacion],tblEjecucion[costo_plan_total],0)-tblOrdenes[[#This Row],[costo_servicio]]))</f>
        <v/>
      </c>
      <c r="AK882" s="10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2">
        <f>IF(tblOrdenes[[#This Row],[fecha_inicio]]="","",TODAY()-tblOrdenes[[#This Row],[fecha_inicio]])</f>
        <v/>
      </c>
      <c r="AB8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0">
        <f>IF(tblOrdenes[[#This Row],[orden]]="","",_xlfn.XLOOKUP(tblOrdenes[[#This Row],[id_operacion]],tblEjecucion[id_operacion],tblEjecucion[precio],0))</f>
        <v/>
      </c>
      <c r="AJ883" s="10">
        <f>IF(tblOrdenes[[#This Row],[orden]]="","",MAX(0,_xlfn.XLOOKUP(tblOrdenes[[#This Row],[id_operacion]],tblEjecucion[id_operacion],tblEjecucion[costo_plan_total],0)-tblOrdenes[[#This Row],[costo_servicio]]))</f>
        <v/>
      </c>
      <c r="AK883" s="10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2">
        <f>IF(tblOrdenes[[#This Row],[fecha_inicio]]="","",TODAY()-tblOrdenes[[#This Row],[fecha_inicio]])</f>
        <v/>
      </c>
      <c r="AB8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0">
        <f>IF(tblOrdenes[[#This Row],[orden]]="","",_xlfn.XLOOKUP(tblOrdenes[[#This Row],[id_operacion]],tblEjecucion[id_operacion],tblEjecucion[precio],0))</f>
        <v/>
      </c>
      <c r="AJ884" s="10">
        <f>IF(tblOrdenes[[#This Row],[orden]]="","",MAX(0,_xlfn.XLOOKUP(tblOrdenes[[#This Row],[id_operacion]],tblEjecucion[id_operacion],tblEjecucion[costo_plan_total],0)-tblOrdenes[[#This Row],[costo_servicio]]))</f>
        <v/>
      </c>
      <c r="AK884" s="10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2">
        <f>IF(tblOrdenes[[#This Row],[fecha_inicio]]="","",TODAY()-tblOrdenes[[#This Row],[fecha_inicio]])</f>
        <v/>
      </c>
      <c r="AB8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0">
        <f>IF(tblOrdenes[[#This Row],[orden]]="","",_xlfn.XLOOKUP(tblOrdenes[[#This Row],[id_operacion]],tblEjecucion[id_operacion],tblEjecucion[precio],0))</f>
        <v/>
      </c>
      <c r="AJ885" s="10">
        <f>IF(tblOrdenes[[#This Row],[orden]]="","",MAX(0,_xlfn.XLOOKUP(tblOrdenes[[#This Row],[id_operacion]],tblEjecucion[id_operacion],tblEjecucion[costo_plan_total],0)-tblOrdenes[[#This Row],[costo_servicio]]))</f>
        <v/>
      </c>
      <c r="AK885" s="10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2">
        <f>IF(tblOrdenes[[#This Row],[fecha_inicio]]="","",TODAY()-tblOrdenes[[#This Row],[fecha_inicio]])</f>
        <v/>
      </c>
      <c r="AB8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0">
        <f>IF(tblOrdenes[[#This Row],[orden]]="","",_xlfn.XLOOKUP(tblOrdenes[[#This Row],[id_operacion]],tblEjecucion[id_operacion],tblEjecucion[precio],0))</f>
        <v/>
      </c>
      <c r="AJ886" s="10">
        <f>IF(tblOrdenes[[#This Row],[orden]]="","",MAX(0,_xlfn.XLOOKUP(tblOrdenes[[#This Row],[id_operacion]],tblEjecucion[id_operacion],tblEjecucion[costo_plan_total],0)-tblOrdenes[[#This Row],[costo_servicio]]))</f>
        <v/>
      </c>
      <c r="AK886" s="10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2">
        <f>IF(tblOrdenes[[#This Row],[fecha_inicio]]="","",TODAY()-tblOrdenes[[#This Row],[fecha_inicio]])</f>
        <v/>
      </c>
      <c r="AB8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0">
        <f>IF(tblOrdenes[[#This Row],[orden]]="","",_xlfn.XLOOKUP(tblOrdenes[[#This Row],[id_operacion]],tblEjecucion[id_operacion],tblEjecucion[precio],0))</f>
        <v/>
      </c>
      <c r="AJ887" s="10">
        <f>IF(tblOrdenes[[#This Row],[orden]]="","",MAX(0,_xlfn.XLOOKUP(tblOrdenes[[#This Row],[id_operacion]],tblEjecucion[id_operacion],tblEjecucion[costo_plan_total],0)-tblOrdenes[[#This Row],[costo_servicio]]))</f>
        <v/>
      </c>
      <c r="AK887" s="10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2">
        <f>IF(tblOrdenes[[#This Row],[fecha_inicio]]="","",TODAY()-tblOrdenes[[#This Row],[fecha_inicio]])</f>
        <v/>
      </c>
      <c r="AB8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0">
        <f>IF(tblOrdenes[[#This Row],[orden]]="","",_xlfn.XLOOKUP(tblOrdenes[[#This Row],[id_operacion]],tblEjecucion[id_operacion],tblEjecucion[precio],0))</f>
        <v/>
      </c>
      <c r="AJ888" s="10">
        <f>IF(tblOrdenes[[#This Row],[orden]]="","",MAX(0,_xlfn.XLOOKUP(tblOrdenes[[#This Row],[id_operacion]],tblEjecucion[id_operacion],tblEjecucion[costo_plan_total],0)-tblOrdenes[[#This Row],[costo_servicio]]))</f>
        <v/>
      </c>
      <c r="AK888" s="10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2">
        <f>IF(tblOrdenes[[#This Row],[fecha_inicio]]="","",TODAY()-tblOrdenes[[#This Row],[fecha_inicio]])</f>
        <v/>
      </c>
      <c r="AB8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0">
        <f>IF(tblOrdenes[[#This Row],[orden]]="","",_xlfn.XLOOKUP(tblOrdenes[[#This Row],[id_operacion]],tblEjecucion[id_operacion],tblEjecucion[precio],0))</f>
        <v/>
      </c>
      <c r="AJ889" s="10">
        <f>IF(tblOrdenes[[#This Row],[orden]]="","",MAX(0,_xlfn.XLOOKUP(tblOrdenes[[#This Row],[id_operacion]],tblEjecucion[id_operacion],tblEjecucion[costo_plan_total],0)-tblOrdenes[[#This Row],[costo_servicio]]))</f>
        <v/>
      </c>
      <c r="AK889" s="10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2">
        <f>IF(tblOrdenes[[#This Row],[fecha_inicio]]="","",TODAY()-tblOrdenes[[#This Row],[fecha_inicio]])</f>
        <v/>
      </c>
      <c r="AB8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0">
        <f>IF(tblOrdenes[[#This Row],[orden]]="","",_xlfn.XLOOKUP(tblOrdenes[[#This Row],[id_operacion]],tblEjecucion[id_operacion],tblEjecucion[precio],0))</f>
        <v/>
      </c>
      <c r="AJ890" s="10">
        <f>IF(tblOrdenes[[#This Row],[orden]]="","",MAX(0,_xlfn.XLOOKUP(tblOrdenes[[#This Row],[id_operacion]],tblEjecucion[id_operacion],tblEjecucion[costo_plan_total],0)-tblOrdenes[[#This Row],[costo_servicio]]))</f>
        <v/>
      </c>
      <c r="AK890" s="10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2">
        <f>IF(tblOrdenes[[#This Row],[fecha_inicio]]="","",TODAY()-tblOrdenes[[#This Row],[fecha_inicio]])</f>
        <v/>
      </c>
      <c r="AB8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0">
        <f>IF(tblOrdenes[[#This Row],[orden]]="","",_xlfn.XLOOKUP(tblOrdenes[[#This Row],[id_operacion]],tblEjecucion[id_operacion],tblEjecucion[precio],0))</f>
        <v/>
      </c>
      <c r="AJ891" s="10">
        <f>IF(tblOrdenes[[#This Row],[orden]]="","",MAX(0,_xlfn.XLOOKUP(tblOrdenes[[#This Row],[id_operacion]],tblEjecucion[id_operacion],tblEjecucion[costo_plan_total],0)-tblOrdenes[[#This Row],[costo_servicio]]))</f>
        <v/>
      </c>
      <c r="AK891" s="10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2">
        <f>IF(tblOrdenes[[#This Row],[fecha_inicio]]="","",TODAY()-tblOrdenes[[#This Row],[fecha_inicio]])</f>
        <v/>
      </c>
      <c r="AB8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0">
        <f>IF(tblOrdenes[[#This Row],[orden]]="","",_xlfn.XLOOKUP(tblOrdenes[[#This Row],[id_operacion]],tblEjecucion[id_operacion],tblEjecucion[precio],0))</f>
        <v/>
      </c>
      <c r="AJ892" s="10">
        <f>IF(tblOrdenes[[#This Row],[orden]]="","",MAX(0,_xlfn.XLOOKUP(tblOrdenes[[#This Row],[id_operacion]],tblEjecucion[id_operacion],tblEjecucion[costo_plan_total],0)-tblOrdenes[[#This Row],[costo_servicio]]))</f>
        <v/>
      </c>
      <c r="AK892" s="10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2">
        <f>IF(tblOrdenes[[#This Row],[fecha_inicio]]="","",TODAY()-tblOrdenes[[#This Row],[fecha_inicio]])</f>
        <v/>
      </c>
      <c r="AB8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0">
        <f>IF(tblOrdenes[[#This Row],[orden]]="","",_xlfn.XLOOKUP(tblOrdenes[[#This Row],[id_operacion]],tblEjecucion[id_operacion],tblEjecucion[precio],0))</f>
        <v/>
      </c>
      <c r="AJ893" s="10">
        <f>IF(tblOrdenes[[#This Row],[orden]]="","",MAX(0,_xlfn.XLOOKUP(tblOrdenes[[#This Row],[id_operacion]],tblEjecucion[id_operacion],tblEjecucion[costo_plan_total],0)-tblOrdenes[[#This Row],[costo_servicio]]))</f>
        <v/>
      </c>
      <c r="AK893" s="10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2">
        <f>IF(tblOrdenes[[#This Row],[fecha_inicio]]="","",TODAY()-tblOrdenes[[#This Row],[fecha_inicio]])</f>
        <v/>
      </c>
      <c r="AB8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0">
        <f>IF(tblOrdenes[[#This Row],[orden]]="","",_xlfn.XLOOKUP(tblOrdenes[[#This Row],[id_operacion]],tblEjecucion[id_operacion],tblEjecucion[precio],0))</f>
        <v/>
      </c>
      <c r="AJ894" s="10">
        <f>IF(tblOrdenes[[#This Row],[orden]]="","",MAX(0,_xlfn.XLOOKUP(tblOrdenes[[#This Row],[id_operacion]],tblEjecucion[id_operacion],tblEjecucion[costo_plan_total],0)-tblOrdenes[[#This Row],[costo_servicio]]))</f>
        <v/>
      </c>
      <c r="AK894" s="10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2">
        <f>IF(tblOrdenes[[#This Row],[fecha_inicio]]="","",TODAY()-tblOrdenes[[#This Row],[fecha_inicio]])</f>
        <v/>
      </c>
      <c r="AB8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0">
        <f>IF(tblOrdenes[[#This Row],[orden]]="","",_xlfn.XLOOKUP(tblOrdenes[[#This Row],[id_operacion]],tblEjecucion[id_operacion],tblEjecucion[precio],0))</f>
        <v/>
      </c>
      <c r="AJ895" s="10">
        <f>IF(tblOrdenes[[#This Row],[orden]]="","",MAX(0,_xlfn.XLOOKUP(tblOrdenes[[#This Row],[id_operacion]],tblEjecucion[id_operacion],tblEjecucion[costo_plan_total],0)-tblOrdenes[[#This Row],[costo_servicio]]))</f>
        <v/>
      </c>
      <c r="AK895" s="10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2">
        <f>IF(tblOrdenes[[#This Row],[fecha_inicio]]="","",TODAY()-tblOrdenes[[#This Row],[fecha_inicio]])</f>
        <v/>
      </c>
      <c r="AB8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0">
        <f>IF(tblOrdenes[[#This Row],[orden]]="","",_xlfn.XLOOKUP(tblOrdenes[[#This Row],[id_operacion]],tblEjecucion[id_operacion],tblEjecucion[precio],0))</f>
        <v/>
      </c>
      <c r="AJ896" s="10">
        <f>IF(tblOrdenes[[#This Row],[orden]]="","",MAX(0,_xlfn.XLOOKUP(tblOrdenes[[#This Row],[id_operacion]],tblEjecucion[id_operacion],tblEjecucion[costo_plan_total],0)-tblOrdenes[[#This Row],[costo_servicio]]))</f>
        <v/>
      </c>
      <c r="AK896" s="10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2">
        <f>IF(tblOrdenes[[#This Row],[fecha_inicio]]="","",TODAY()-tblOrdenes[[#This Row],[fecha_inicio]])</f>
        <v/>
      </c>
      <c r="AB8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0">
        <f>IF(tblOrdenes[[#This Row],[orden]]="","",_xlfn.XLOOKUP(tblOrdenes[[#This Row],[id_operacion]],tblEjecucion[id_operacion],tblEjecucion[precio],0))</f>
        <v/>
      </c>
      <c r="AJ897" s="10">
        <f>IF(tblOrdenes[[#This Row],[orden]]="","",MAX(0,_xlfn.XLOOKUP(tblOrdenes[[#This Row],[id_operacion]],tblEjecucion[id_operacion],tblEjecucion[costo_plan_total],0)-tblOrdenes[[#This Row],[costo_servicio]]))</f>
        <v/>
      </c>
      <c r="AK897" s="10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2">
        <f>IF(tblOrdenes[[#This Row],[fecha_inicio]]="","",TODAY()-tblOrdenes[[#This Row],[fecha_inicio]])</f>
        <v/>
      </c>
      <c r="AB8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0">
        <f>IF(tblOrdenes[[#This Row],[orden]]="","",_xlfn.XLOOKUP(tblOrdenes[[#This Row],[id_operacion]],tblEjecucion[id_operacion],tblEjecucion[precio],0))</f>
        <v/>
      </c>
      <c r="AJ898" s="10">
        <f>IF(tblOrdenes[[#This Row],[orden]]="","",MAX(0,_xlfn.XLOOKUP(tblOrdenes[[#This Row],[id_operacion]],tblEjecucion[id_operacion],tblEjecucion[costo_plan_total],0)-tblOrdenes[[#This Row],[costo_servicio]]))</f>
        <v/>
      </c>
      <c r="AK898" s="10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2">
        <f>IF(tblOrdenes[[#This Row],[fecha_inicio]]="","",TODAY()-tblOrdenes[[#This Row],[fecha_inicio]])</f>
        <v/>
      </c>
      <c r="AB8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0">
        <f>IF(tblOrdenes[[#This Row],[orden]]="","",_xlfn.XLOOKUP(tblOrdenes[[#This Row],[id_operacion]],tblEjecucion[id_operacion],tblEjecucion[precio],0))</f>
        <v/>
      </c>
      <c r="AJ899" s="10">
        <f>IF(tblOrdenes[[#This Row],[orden]]="","",MAX(0,_xlfn.XLOOKUP(tblOrdenes[[#This Row],[id_operacion]],tblEjecucion[id_operacion],tblEjecucion[costo_plan_total],0)-tblOrdenes[[#This Row],[costo_servicio]]))</f>
        <v/>
      </c>
      <c r="AK899" s="10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2">
        <f>IF(tblOrdenes[[#This Row],[fecha_inicio]]="","",TODAY()-tblOrdenes[[#This Row],[fecha_inicio]])</f>
        <v/>
      </c>
      <c r="AB9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0">
        <f>IF(tblOrdenes[[#This Row],[orden]]="","",_xlfn.XLOOKUP(tblOrdenes[[#This Row],[id_operacion]],tblEjecucion[id_operacion],tblEjecucion[precio],0))</f>
        <v/>
      </c>
      <c r="AJ900" s="10">
        <f>IF(tblOrdenes[[#This Row],[orden]]="","",MAX(0,_xlfn.XLOOKUP(tblOrdenes[[#This Row],[id_operacion]],tblEjecucion[id_operacion],tblEjecucion[costo_plan_total],0)-tblOrdenes[[#This Row],[costo_servicio]]))</f>
        <v/>
      </c>
      <c r="AK900" s="10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2">
        <f>IF(tblOrdenes[[#This Row],[fecha_inicio]]="","",TODAY()-tblOrdenes[[#This Row],[fecha_inicio]])</f>
        <v/>
      </c>
      <c r="AB9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0">
        <f>IF(tblOrdenes[[#This Row],[orden]]="","",_xlfn.XLOOKUP(tblOrdenes[[#This Row],[id_operacion]],tblEjecucion[id_operacion],tblEjecucion[precio],0))</f>
        <v/>
      </c>
      <c r="AJ901" s="10">
        <f>IF(tblOrdenes[[#This Row],[orden]]="","",MAX(0,_xlfn.XLOOKUP(tblOrdenes[[#This Row],[id_operacion]],tblEjecucion[id_operacion],tblEjecucion[costo_plan_total],0)-tblOrdenes[[#This Row],[costo_servicio]]))</f>
        <v/>
      </c>
      <c r="AK901" s="10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2">
        <f>IF(tblOrdenes[[#This Row],[fecha_inicio]]="","",TODAY()-tblOrdenes[[#This Row],[fecha_inicio]])</f>
        <v/>
      </c>
      <c r="AB9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0">
        <f>IF(tblOrdenes[[#This Row],[orden]]="","",_xlfn.XLOOKUP(tblOrdenes[[#This Row],[id_operacion]],tblEjecucion[id_operacion],tblEjecucion[precio],0))</f>
        <v/>
      </c>
      <c r="AJ902" s="10">
        <f>IF(tblOrdenes[[#This Row],[orden]]="","",MAX(0,_xlfn.XLOOKUP(tblOrdenes[[#This Row],[id_operacion]],tblEjecucion[id_operacion],tblEjecucion[costo_plan_total],0)-tblOrdenes[[#This Row],[costo_servicio]]))</f>
        <v/>
      </c>
      <c r="AK902" s="10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2">
        <f>IF(tblOrdenes[[#This Row],[fecha_inicio]]="","",TODAY()-tblOrdenes[[#This Row],[fecha_inicio]])</f>
        <v/>
      </c>
      <c r="AB9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0">
        <f>IF(tblOrdenes[[#This Row],[orden]]="","",_xlfn.XLOOKUP(tblOrdenes[[#This Row],[id_operacion]],tblEjecucion[id_operacion],tblEjecucion[precio],0))</f>
        <v/>
      </c>
      <c r="AJ903" s="10">
        <f>IF(tblOrdenes[[#This Row],[orden]]="","",MAX(0,_xlfn.XLOOKUP(tblOrdenes[[#This Row],[id_operacion]],tblEjecucion[id_operacion],tblEjecucion[costo_plan_total],0)-tblOrdenes[[#This Row],[costo_servicio]]))</f>
        <v/>
      </c>
      <c r="AK903" s="10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2">
        <f>IF(tblOrdenes[[#This Row],[fecha_inicio]]="","",TODAY()-tblOrdenes[[#This Row],[fecha_inicio]])</f>
        <v/>
      </c>
      <c r="AB9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0">
        <f>IF(tblOrdenes[[#This Row],[orden]]="","",_xlfn.XLOOKUP(tblOrdenes[[#This Row],[id_operacion]],tblEjecucion[id_operacion],tblEjecucion[precio],0))</f>
        <v/>
      </c>
      <c r="AJ904" s="10">
        <f>IF(tblOrdenes[[#This Row],[orden]]="","",MAX(0,_xlfn.XLOOKUP(tblOrdenes[[#This Row],[id_operacion]],tblEjecucion[id_operacion],tblEjecucion[costo_plan_total],0)-tblOrdenes[[#This Row],[costo_servicio]]))</f>
        <v/>
      </c>
      <c r="AK904" s="10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2">
        <f>IF(tblOrdenes[[#This Row],[fecha_inicio]]="","",TODAY()-tblOrdenes[[#This Row],[fecha_inicio]])</f>
        <v/>
      </c>
      <c r="AB9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0">
        <f>IF(tblOrdenes[[#This Row],[orden]]="","",_xlfn.XLOOKUP(tblOrdenes[[#This Row],[id_operacion]],tblEjecucion[id_operacion],tblEjecucion[precio],0))</f>
        <v/>
      </c>
      <c r="AJ905" s="10">
        <f>IF(tblOrdenes[[#This Row],[orden]]="","",MAX(0,_xlfn.XLOOKUP(tblOrdenes[[#This Row],[id_operacion]],tblEjecucion[id_operacion],tblEjecucion[costo_plan_total],0)-tblOrdenes[[#This Row],[costo_servicio]]))</f>
        <v/>
      </c>
      <c r="AK905" s="10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2">
        <f>IF(tblOrdenes[[#This Row],[fecha_inicio]]="","",TODAY()-tblOrdenes[[#This Row],[fecha_inicio]])</f>
        <v/>
      </c>
      <c r="AB9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0">
        <f>IF(tblOrdenes[[#This Row],[orden]]="","",_xlfn.XLOOKUP(tblOrdenes[[#This Row],[id_operacion]],tblEjecucion[id_operacion],tblEjecucion[precio],0))</f>
        <v/>
      </c>
      <c r="AJ906" s="10">
        <f>IF(tblOrdenes[[#This Row],[orden]]="","",MAX(0,_xlfn.XLOOKUP(tblOrdenes[[#This Row],[id_operacion]],tblEjecucion[id_operacion],tblEjecucion[costo_plan_total],0)-tblOrdenes[[#This Row],[costo_servicio]]))</f>
        <v/>
      </c>
      <c r="AK906" s="10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2">
        <f>IF(tblOrdenes[[#This Row],[fecha_inicio]]="","",TODAY()-tblOrdenes[[#This Row],[fecha_inicio]])</f>
        <v/>
      </c>
      <c r="AB9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0">
        <f>IF(tblOrdenes[[#This Row],[orden]]="","",_xlfn.XLOOKUP(tblOrdenes[[#This Row],[id_operacion]],tblEjecucion[id_operacion],tblEjecucion[precio],0))</f>
        <v/>
      </c>
      <c r="AJ907" s="10">
        <f>IF(tblOrdenes[[#This Row],[orden]]="","",MAX(0,_xlfn.XLOOKUP(tblOrdenes[[#This Row],[id_operacion]],tblEjecucion[id_operacion],tblEjecucion[costo_plan_total],0)-tblOrdenes[[#This Row],[costo_servicio]]))</f>
        <v/>
      </c>
      <c r="AK907" s="10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2">
        <f>IF(tblOrdenes[[#This Row],[fecha_inicio]]="","",TODAY()-tblOrdenes[[#This Row],[fecha_inicio]])</f>
        <v/>
      </c>
      <c r="AB9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0">
        <f>IF(tblOrdenes[[#This Row],[orden]]="","",_xlfn.XLOOKUP(tblOrdenes[[#This Row],[id_operacion]],tblEjecucion[id_operacion],tblEjecucion[precio],0))</f>
        <v/>
      </c>
      <c r="AJ908" s="10">
        <f>IF(tblOrdenes[[#This Row],[orden]]="","",MAX(0,_xlfn.XLOOKUP(tblOrdenes[[#This Row],[id_operacion]],tblEjecucion[id_operacion],tblEjecucion[costo_plan_total],0)-tblOrdenes[[#This Row],[costo_servicio]]))</f>
        <v/>
      </c>
      <c r="AK908" s="10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2">
        <f>IF(tblOrdenes[[#This Row],[fecha_inicio]]="","",TODAY()-tblOrdenes[[#This Row],[fecha_inicio]])</f>
        <v/>
      </c>
      <c r="AB9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0">
        <f>IF(tblOrdenes[[#This Row],[orden]]="","",_xlfn.XLOOKUP(tblOrdenes[[#This Row],[id_operacion]],tblEjecucion[id_operacion],tblEjecucion[precio],0))</f>
        <v/>
      </c>
      <c r="AJ909" s="10">
        <f>IF(tblOrdenes[[#This Row],[orden]]="","",MAX(0,_xlfn.XLOOKUP(tblOrdenes[[#This Row],[id_operacion]],tblEjecucion[id_operacion],tblEjecucion[costo_plan_total],0)-tblOrdenes[[#This Row],[costo_servicio]]))</f>
        <v/>
      </c>
      <c r="AK909" s="10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2">
        <f>IF(tblOrdenes[[#This Row],[fecha_inicio]]="","",TODAY()-tblOrdenes[[#This Row],[fecha_inicio]])</f>
        <v/>
      </c>
      <c r="AB9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0">
        <f>IF(tblOrdenes[[#This Row],[orden]]="","",_xlfn.XLOOKUP(tblOrdenes[[#This Row],[id_operacion]],tblEjecucion[id_operacion],tblEjecucion[precio],0))</f>
        <v/>
      </c>
      <c r="AJ910" s="10">
        <f>IF(tblOrdenes[[#This Row],[orden]]="","",MAX(0,_xlfn.XLOOKUP(tblOrdenes[[#This Row],[id_operacion]],tblEjecucion[id_operacion],tblEjecucion[costo_plan_total],0)-tblOrdenes[[#This Row],[costo_servicio]]))</f>
        <v/>
      </c>
      <c r="AK910" s="10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2">
        <f>IF(tblOrdenes[[#This Row],[fecha_inicio]]="","",TODAY()-tblOrdenes[[#This Row],[fecha_inicio]])</f>
        <v/>
      </c>
      <c r="AB9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0">
        <f>IF(tblOrdenes[[#This Row],[orden]]="","",_xlfn.XLOOKUP(tblOrdenes[[#This Row],[id_operacion]],tblEjecucion[id_operacion],tblEjecucion[precio],0))</f>
        <v/>
      </c>
      <c r="AJ911" s="10">
        <f>IF(tblOrdenes[[#This Row],[orden]]="","",MAX(0,_xlfn.XLOOKUP(tblOrdenes[[#This Row],[id_operacion]],tblEjecucion[id_operacion],tblEjecucion[costo_plan_total],0)-tblOrdenes[[#This Row],[costo_servicio]]))</f>
        <v/>
      </c>
      <c r="AK911" s="10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2">
        <f>IF(tblOrdenes[[#This Row],[fecha_inicio]]="","",TODAY()-tblOrdenes[[#This Row],[fecha_inicio]])</f>
        <v/>
      </c>
      <c r="AB9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0">
        <f>IF(tblOrdenes[[#This Row],[orden]]="","",_xlfn.XLOOKUP(tblOrdenes[[#This Row],[id_operacion]],tblEjecucion[id_operacion],tblEjecucion[precio],0))</f>
        <v/>
      </c>
      <c r="AJ912" s="10">
        <f>IF(tblOrdenes[[#This Row],[orden]]="","",MAX(0,_xlfn.XLOOKUP(tblOrdenes[[#This Row],[id_operacion]],tblEjecucion[id_operacion],tblEjecucion[costo_plan_total],0)-tblOrdenes[[#This Row],[costo_servicio]]))</f>
        <v/>
      </c>
      <c r="AK912" s="10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2">
        <f>IF(tblOrdenes[[#This Row],[fecha_inicio]]="","",TODAY()-tblOrdenes[[#This Row],[fecha_inicio]])</f>
        <v/>
      </c>
      <c r="AB9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0">
        <f>IF(tblOrdenes[[#This Row],[orden]]="","",_xlfn.XLOOKUP(tblOrdenes[[#This Row],[id_operacion]],tblEjecucion[id_operacion],tblEjecucion[precio],0))</f>
        <v/>
      </c>
      <c r="AJ913" s="10">
        <f>IF(tblOrdenes[[#This Row],[orden]]="","",MAX(0,_xlfn.XLOOKUP(tblOrdenes[[#This Row],[id_operacion]],tblEjecucion[id_operacion],tblEjecucion[costo_plan_total],0)-tblOrdenes[[#This Row],[costo_servicio]]))</f>
        <v/>
      </c>
      <c r="AK913" s="10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2">
        <f>IF(tblOrdenes[[#This Row],[fecha_inicio]]="","",TODAY()-tblOrdenes[[#This Row],[fecha_inicio]])</f>
        <v/>
      </c>
      <c r="AB9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0">
        <f>IF(tblOrdenes[[#This Row],[orden]]="","",_xlfn.XLOOKUP(tblOrdenes[[#This Row],[id_operacion]],tblEjecucion[id_operacion],tblEjecucion[precio],0))</f>
        <v/>
      </c>
      <c r="AJ914" s="10">
        <f>IF(tblOrdenes[[#This Row],[orden]]="","",MAX(0,_xlfn.XLOOKUP(tblOrdenes[[#This Row],[id_operacion]],tblEjecucion[id_operacion],tblEjecucion[costo_plan_total],0)-tblOrdenes[[#This Row],[costo_servicio]]))</f>
        <v/>
      </c>
      <c r="AK914" s="10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2">
        <f>IF(tblOrdenes[[#This Row],[fecha_inicio]]="","",TODAY()-tblOrdenes[[#This Row],[fecha_inicio]])</f>
        <v/>
      </c>
      <c r="AB9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0">
        <f>IF(tblOrdenes[[#This Row],[orden]]="","",_xlfn.XLOOKUP(tblOrdenes[[#This Row],[id_operacion]],tblEjecucion[id_operacion],tblEjecucion[precio],0))</f>
        <v/>
      </c>
      <c r="AJ915" s="10">
        <f>IF(tblOrdenes[[#This Row],[orden]]="","",MAX(0,_xlfn.XLOOKUP(tblOrdenes[[#This Row],[id_operacion]],tblEjecucion[id_operacion],tblEjecucion[costo_plan_total],0)-tblOrdenes[[#This Row],[costo_servicio]]))</f>
        <v/>
      </c>
      <c r="AK915" s="10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2">
        <f>IF(tblOrdenes[[#This Row],[fecha_inicio]]="","",TODAY()-tblOrdenes[[#This Row],[fecha_inicio]])</f>
        <v/>
      </c>
      <c r="AB9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0">
        <f>IF(tblOrdenes[[#This Row],[orden]]="","",_xlfn.XLOOKUP(tblOrdenes[[#This Row],[id_operacion]],tblEjecucion[id_operacion],tblEjecucion[precio],0))</f>
        <v/>
      </c>
      <c r="AJ916" s="10">
        <f>IF(tblOrdenes[[#This Row],[orden]]="","",MAX(0,_xlfn.XLOOKUP(tblOrdenes[[#This Row],[id_operacion]],tblEjecucion[id_operacion],tblEjecucion[costo_plan_total],0)-tblOrdenes[[#This Row],[costo_servicio]]))</f>
        <v/>
      </c>
      <c r="AK916" s="10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2">
        <f>IF(tblOrdenes[[#This Row],[fecha_inicio]]="","",TODAY()-tblOrdenes[[#This Row],[fecha_inicio]])</f>
        <v/>
      </c>
      <c r="AB9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0">
        <f>IF(tblOrdenes[[#This Row],[orden]]="","",_xlfn.XLOOKUP(tblOrdenes[[#This Row],[id_operacion]],tblEjecucion[id_operacion],tblEjecucion[precio],0))</f>
        <v/>
      </c>
      <c r="AJ917" s="10">
        <f>IF(tblOrdenes[[#This Row],[orden]]="","",MAX(0,_xlfn.XLOOKUP(tblOrdenes[[#This Row],[id_operacion]],tblEjecucion[id_operacion],tblEjecucion[costo_plan_total],0)-tblOrdenes[[#This Row],[costo_servicio]]))</f>
        <v/>
      </c>
      <c r="AK917" s="10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2">
        <f>IF(tblOrdenes[[#This Row],[fecha_inicio]]="","",TODAY()-tblOrdenes[[#This Row],[fecha_inicio]])</f>
        <v/>
      </c>
      <c r="AB9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0">
        <f>IF(tblOrdenes[[#This Row],[orden]]="","",_xlfn.XLOOKUP(tblOrdenes[[#This Row],[id_operacion]],tblEjecucion[id_operacion],tblEjecucion[precio],0))</f>
        <v/>
      </c>
      <c r="AJ918" s="10">
        <f>IF(tblOrdenes[[#This Row],[orden]]="","",MAX(0,_xlfn.XLOOKUP(tblOrdenes[[#This Row],[id_operacion]],tblEjecucion[id_operacion],tblEjecucion[costo_plan_total],0)-tblOrdenes[[#This Row],[costo_servicio]]))</f>
        <v/>
      </c>
      <c r="AK918" s="10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2">
        <f>IF(tblOrdenes[[#This Row],[fecha_inicio]]="","",TODAY()-tblOrdenes[[#This Row],[fecha_inicio]])</f>
        <v/>
      </c>
      <c r="AB9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0">
        <f>IF(tblOrdenes[[#This Row],[orden]]="","",_xlfn.XLOOKUP(tblOrdenes[[#This Row],[id_operacion]],tblEjecucion[id_operacion],tblEjecucion[precio],0))</f>
        <v/>
      </c>
      <c r="AJ919" s="10">
        <f>IF(tblOrdenes[[#This Row],[orden]]="","",MAX(0,_xlfn.XLOOKUP(tblOrdenes[[#This Row],[id_operacion]],tblEjecucion[id_operacion],tblEjecucion[costo_plan_total],0)-tblOrdenes[[#This Row],[costo_servicio]]))</f>
        <v/>
      </c>
      <c r="AK919" s="10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2">
        <f>IF(tblOrdenes[[#This Row],[fecha_inicio]]="","",TODAY()-tblOrdenes[[#This Row],[fecha_inicio]])</f>
        <v/>
      </c>
      <c r="AB9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0">
        <f>IF(tblOrdenes[[#This Row],[orden]]="","",_xlfn.XLOOKUP(tblOrdenes[[#This Row],[id_operacion]],tblEjecucion[id_operacion],tblEjecucion[precio],0))</f>
        <v/>
      </c>
      <c r="AJ920" s="10">
        <f>IF(tblOrdenes[[#This Row],[orden]]="","",MAX(0,_xlfn.XLOOKUP(tblOrdenes[[#This Row],[id_operacion]],tblEjecucion[id_operacion],tblEjecucion[costo_plan_total],0)-tblOrdenes[[#This Row],[costo_servicio]]))</f>
        <v/>
      </c>
      <c r="AK920" s="10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2">
        <f>IF(tblOrdenes[[#This Row],[fecha_inicio]]="","",TODAY()-tblOrdenes[[#This Row],[fecha_inicio]])</f>
        <v/>
      </c>
      <c r="AB9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0">
        <f>IF(tblOrdenes[[#This Row],[orden]]="","",_xlfn.XLOOKUP(tblOrdenes[[#This Row],[id_operacion]],tblEjecucion[id_operacion],tblEjecucion[precio],0))</f>
        <v/>
      </c>
      <c r="AJ921" s="10">
        <f>IF(tblOrdenes[[#This Row],[orden]]="","",MAX(0,_xlfn.XLOOKUP(tblOrdenes[[#This Row],[id_operacion]],tblEjecucion[id_operacion],tblEjecucion[costo_plan_total],0)-tblOrdenes[[#This Row],[costo_servicio]]))</f>
        <v/>
      </c>
      <c r="AK921" s="10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2">
        <f>IF(tblOrdenes[[#This Row],[fecha_inicio]]="","",TODAY()-tblOrdenes[[#This Row],[fecha_inicio]])</f>
        <v/>
      </c>
      <c r="AB9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0">
        <f>IF(tblOrdenes[[#This Row],[orden]]="","",_xlfn.XLOOKUP(tblOrdenes[[#This Row],[id_operacion]],tblEjecucion[id_operacion],tblEjecucion[precio],0))</f>
        <v/>
      </c>
      <c r="AJ922" s="10">
        <f>IF(tblOrdenes[[#This Row],[orden]]="","",MAX(0,_xlfn.XLOOKUP(tblOrdenes[[#This Row],[id_operacion]],tblEjecucion[id_operacion],tblEjecucion[costo_plan_total],0)-tblOrdenes[[#This Row],[costo_servicio]]))</f>
        <v/>
      </c>
      <c r="AK922" s="10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2">
        <f>IF(tblOrdenes[[#This Row],[fecha_inicio]]="","",TODAY()-tblOrdenes[[#This Row],[fecha_inicio]])</f>
        <v/>
      </c>
      <c r="AB9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0">
        <f>IF(tblOrdenes[[#This Row],[orden]]="","",_xlfn.XLOOKUP(tblOrdenes[[#This Row],[id_operacion]],tblEjecucion[id_operacion],tblEjecucion[precio],0))</f>
        <v/>
      </c>
      <c r="AJ923" s="10">
        <f>IF(tblOrdenes[[#This Row],[orden]]="","",MAX(0,_xlfn.XLOOKUP(tblOrdenes[[#This Row],[id_operacion]],tblEjecucion[id_operacion],tblEjecucion[costo_plan_total],0)-tblOrdenes[[#This Row],[costo_servicio]]))</f>
        <v/>
      </c>
      <c r="AK923" s="10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2">
        <f>IF(tblOrdenes[[#This Row],[fecha_inicio]]="","",TODAY()-tblOrdenes[[#This Row],[fecha_inicio]])</f>
        <v/>
      </c>
      <c r="AB9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0">
        <f>IF(tblOrdenes[[#This Row],[orden]]="","",_xlfn.XLOOKUP(tblOrdenes[[#This Row],[id_operacion]],tblEjecucion[id_operacion],tblEjecucion[precio],0))</f>
        <v/>
      </c>
      <c r="AJ924" s="10">
        <f>IF(tblOrdenes[[#This Row],[orden]]="","",MAX(0,_xlfn.XLOOKUP(tblOrdenes[[#This Row],[id_operacion]],tblEjecucion[id_operacion],tblEjecucion[costo_plan_total],0)-tblOrdenes[[#This Row],[costo_servicio]]))</f>
        <v/>
      </c>
      <c r="AK924" s="10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2">
        <f>IF(tblOrdenes[[#This Row],[fecha_inicio]]="","",TODAY()-tblOrdenes[[#This Row],[fecha_inicio]])</f>
        <v/>
      </c>
      <c r="AB9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0">
        <f>IF(tblOrdenes[[#This Row],[orden]]="","",_xlfn.XLOOKUP(tblOrdenes[[#This Row],[id_operacion]],tblEjecucion[id_operacion],tblEjecucion[precio],0))</f>
        <v/>
      </c>
      <c r="AJ925" s="10">
        <f>IF(tblOrdenes[[#This Row],[orden]]="","",MAX(0,_xlfn.XLOOKUP(tblOrdenes[[#This Row],[id_operacion]],tblEjecucion[id_operacion],tblEjecucion[costo_plan_total],0)-tblOrdenes[[#This Row],[costo_servicio]]))</f>
        <v/>
      </c>
      <c r="AK925" s="10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2">
        <f>IF(tblOrdenes[[#This Row],[fecha_inicio]]="","",TODAY()-tblOrdenes[[#This Row],[fecha_inicio]])</f>
        <v/>
      </c>
      <c r="AB9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0">
        <f>IF(tblOrdenes[[#This Row],[orden]]="","",_xlfn.XLOOKUP(tblOrdenes[[#This Row],[id_operacion]],tblEjecucion[id_operacion],tblEjecucion[precio],0))</f>
        <v/>
      </c>
      <c r="AJ926" s="10">
        <f>IF(tblOrdenes[[#This Row],[orden]]="","",MAX(0,_xlfn.XLOOKUP(tblOrdenes[[#This Row],[id_operacion]],tblEjecucion[id_operacion],tblEjecucion[costo_plan_total],0)-tblOrdenes[[#This Row],[costo_servicio]]))</f>
        <v/>
      </c>
      <c r="AK926" s="10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2">
        <f>IF(tblOrdenes[[#This Row],[fecha_inicio]]="","",TODAY()-tblOrdenes[[#This Row],[fecha_inicio]])</f>
        <v/>
      </c>
      <c r="AB9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0">
        <f>IF(tblOrdenes[[#This Row],[orden]]="","",_xlfn.XLOOKUP(tblOrdenes[[#This Row],[id_operacion]],tblEjecucion[id_operacion],tblEjecucion[precio],0))</f>
        <v/>
      </c>
      <c r="AJ927" s="10">
        <f>IF(tblOrdenes[[#This Row],[orden]]="","",MAX(0,_xlfn.XLOOKUP(tblOrdenes[[#This Row],[id_operacion]],tblEjecucion[id_operacion],tblEjecucion[costo_plan_total],0)-tblOrdenes[[#This Row],[costo_servicio]]))</f>
        <v/>
      </c>
      <c r="AK927" s="10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2">
        <f>IF(tblOrdenes[[#This Row],[fecha_inicio]]="","",TODAY()-tblOrdenes[[#This Row],[fecha_inicio]])</f>
        <v/>
      </c>
      <c r="AB9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0">
        <f>IF(tblOrdenes[[#This Row],[orden]]="","",_xlfn.XLOOKUP(tblOrdenes[[#This Row],[id_operacion]],tblEjecucion[id_operacion],tblEjecucion[precio],0))</f>
        <v/>
      </c>
      <c r="AJ928" s="10">
        <f>IF(tblOrdenes[[#This Row],[orden]]="","",MAX(0,_xlfn.XLOOKUP(tblOrdenes[[#This Row],[id_operacion]],tblEjecucion[id_operacion],tblEjecucion[costo_plan_total],0)-tblOrdenes[[#This Row],[costo_servicio]]))</f>
        <v/>
      </c>
      <c r="AK928" s="10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2">
        <f>IF(tblOrdenes[[#This Row],[fecha_inicio]]="","",TODAY()-tblOrdenes[[#This Row],[fecha_inicio]])</f>
        <v/>
      </c>
      <c r="AB9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0">
        <f>IF(tblOrdenes[[#This Row],[orden]]="","",_xlfn.XLOOKUP(tblOrdenes[[#This Row],[id_operacion]],tblEjecucion[id_operacion],tblEjecucion[precio],0))</f>
        <v/>
      </c>
      <c r="AJ929" s="10">
        <f>IF(tblOrdenes[[#This Row],[orden]]="","",MAX(0,_xlfn.XLOOKUP(tblOrdenes[[#This Row],[id_operacion]],tblEjecucion[id_operacion],tblEjecucion[costo_plan_total],0)-tblOrdenes[[#This Row],[costo_servicio]]))</f>
        <v/>
      </c>
      <c r="AK929" s="10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2">
        <f>IF(tblOrdenes[[#This Row],[fecha_inicio]]="","",TODAY()-tblOrdenes[[#This Row],[fecha_inicio]])</f>
        <v/>
      </c>
      <c r="AB9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0">
        <f>IF(tblOrdenes[[#This Row],[orden]]="","",_xlfn.XLOOKUP(tblOrdenes[[#This Row],[id_operacion]],tblEjecucion[id_operacion],tblEjecucion[precio],0))</f>
        <v/>
      </c>
      <c r="AJ930" s="10">
        <f>IF(tblOrdenes[[#This Row],[orden]]="","",MAX(0,_xlfn.XLOOKUP(tblOrdenes[[#This Row],[id_operacion]],tblEjecucion[id_operacion],tblEjecucion[costo_plan_total],0)-tblOrdenes[[#This Row],[costo_servicio]]))</f>
        <v/>
      </c>
      <c r="AK930" s="10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2">
        <f>IF(tblOrdenes[[#This Row],[fecha_inicio]]="","",TODAY()-tblOrdenes[[#This Row],[fecha_inicio]])</f>
        <v/>
      </c>
      <c r="AB9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0">
        <f>IF(tblOrdenes[[#This Row],[orden]]="","",_xlfn.XLOOKUP(tblOrdenes[[#This Row],[id_operacion]],tblEjecucion[id_operacion],tblEjecucion[precio],0))</f>
        <v/>
      </c>
      <c r="AJ931" s="10">
        <f>IF(tblOrdenes[[#This Row],[orden]]="","",MAX(0,_xlfn.XLOOKUP(tblOrdenes[[#This Row],[id_operacion]],tblEjecucion[id_operacion],tblEjecucion[costo_plan_total],0)-tblOrdenes[[#This Row],[costo_servicio]]))</f>
        <v/>
      </c>
      <c r="AK931" s="10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2">
        <f>IF(tblOrdenes[[#This Row],[fecha_inicio]]="","",TODAY()-tblOrdenes[[#This Row],[fecha_inicio]])</f>
        <v/>
      </c>
      <c r="AB9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0">
        <f>IF(tblOrdenes[[#This Row],[orden]]="","",_xlfn.XLOOKUP(tblOrdenes[[#This Row],[id_operacion]],tblEjecucion[id_operacion],tblEjecucion[precio],0))</f>
        <v/>
      </c>
      <c r="AJ932" s="10">
        <f>IF(tblOrdenes[[#This Row],[orden]]="","",MAX(0,_xlfn.XLOOKUP(tblOrdenes[[#This Row],[id_operacion]],tblEjecucion[id_operacion],tblEjecucion[costo_plan_total],0)-tblOrdenes[[#This Row],[costo_servicio]]))</f>
        <v/>
      </c>
      <c r="AK932" s="10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2">
        <f>IF(tblOrdenes[[#This Row],[fecha_inicio]]="","",TODAY()-tblOrdenes[[#This Row],[fecha_inicio]])</f>
        <v/>
      </c>
      <c r="AB9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0">
        <f>IF(tblOrdenes[[#This Row],[orden]]="","",_xlfn.XLOOKUP(tblOrdenes[[#This Row],[id_operacion]],tblEjecucion[id_operacion],tblEjecucion[precio],0))</f>
        <v/>
      </c>
      <c r="AJ933" s="10">
        <f>IF(tblOrdenes[[#This Row],[orden]]="","",MAX(0,_xlfn.XLOOKUP(tblOrdenes[[#This Row],[id_operacion]],tblEjecucion[id_operacion],tblEjecucion[costo_plan_total],0)-tblOrdenes[[#This Row],[costo_servicio]]))</f>
        <v/>
      </c>
      <c r="AK933" s="10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2">
        <f>IF(tblOrdenes[[#This Row],[fecha_inicio]]="","",TODAY()-tblOrdenes[[#This Row],[fecha_inicio]])</f>
        <v/>
      </c>
      <c r="AB9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0">
        <f>IF(tblOrdenes[[#This Row],[orden]]="","",_xlfn.XLOOKUP(tblOrdenes[[#This Row],[id_operacion]],tblEjecucion[id_operacion],tblEjecucion[precio],0))</f>
        <v/>
      </c>
      <c r="AJ934" s="10">
        <f>IF(tblOrdenes[[#This Row],[orden]]="","",MAX(0,_xlfn.XLOOKUP(tblOrdenes[[#This Row],[id_operacion]],tblEjecucion[id_operacion],tblEjecucion[costo_plan_total],0)-tblOrdenes[[#This Row],[costo_servicio]]))</f>
        <v/>
      </c>
      <c r="AK934" s="10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2">
        <f>IF(tblOrdenes[[#This Row],[fecha_inicio]]="","",TODAY()-tblOrdenes[[#This Row],[fecha_inicio]])</f>
        <v/>
      </c>
      <c r="AB9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0">
        <f>IF(tblOrdenes[[#This Row],[orden]]="","",_xlfn.XLOOKUP(tblOrdenes[[#This Row],[id_operacion]],tblEjecucion[id_operacion],tblEjecucion[precio],0))</f>
        <v/>
      </c>
      <c r="AJ935" s="10">
        <f>IF(tblOrdenes[[#This Row],[orden]]="","",MAX(0,_xlfn.XLOOKUP(tblOrdenes[[#This Row],[id_operacion]],tblEjecucion[id_operacion],tblEjecucion[costo_plan_total],0)-tblOrdenes[[#This Row],[costo_servicio]]))</f>
        <v/>
      </c>
      <c r="AK935" s="10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2">
        <f>IF(tblOrdenes[[#This Row],[fecha_inicio]]="","",TODAY()-tblOrdenes[[#This Row],[fecha_inicio]])</f>
        <v/>
      </c>
      <c r="AB9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0">
        <f>IF(tblOrdenes[[#This Row],[orden]]="","",_xlfn.XLOOKUP(tblOrdenes[[#This Row],[id_operacion]],tblEjecucion[id_operacion],tblEjecucion[precio],0))</f>
        <v/>
      </c>
      <c r="AJ936" s="10">
        <f>IF(tblOrdenes[[#This Row],[orden]]="","",MAX(0,_xlfn.XLOOKUP(tblOrdenes[[#This Row],[id_operacion]],tblEjecucion[id_operacion],tblEjecucion[costo_plan_total],0)-tblOrdenes[[#This Row],[costo_servicio]]))</f>
        <v/>
      </c>
      <c r="AK936" s="10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2">
        <f>IF(tblOrdenes[[#This Row],[fecha_inicio]]="","",TODAY()-tblOrdenes[[#This Row],[fecha_inicio]])</f>
        <v/>
      </c>
      <c r="AB9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0">
        <f>IF(tblOrdenes[[#This Row],[orden]]="","",_xlfn.XLOOKUP(tblOrdenes[[#This Row],[id_operacion]],tblEjecucion[id_operacion],tblEjecucion[precio],0))</f>
        <v/>
      </c>
      <c r="AJ937" s="10">
        <f>IF(tblOrdenes[[#This Row],[orden]]="","",MAX(0,_xlfn.XLOOKUP(tblOrdenes[[#This Row],[id_operacion]],tblEjecucion[id_operacion],tblEjecucion[costo_plan_total],0)-tblOrdenes[[#This Row],[costo_servicio]]))</f>
        <v/>
      </c>
      <c r="AK937" s="10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2">
        <f>IF(tblOrdenes[[#This Row],[fecha_inicio]]="","",TODAY()-tblOrdenes[[#This Row],[fecha_inicio]])</f>
        <v/>
      </c>
      <c r="AB9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0">
        <f>IF(tblOrdenes[[#This Row],[orden]]="","",_xlfn.XLOOKUP(tblOrdenes[[#This Row],[id_operacion]],tblEjecucion[id_operacion],tblEjecucion[precio],0))</f>
        <v/>
      </c>
      <c r="AJ938" s="10">
        <f>IF(tblOrdenes[[#This Row],[orden]]="","",MAX(0,_xlfn.XLOOKUP(tblOrdenes[[#This Row],[id_operacion]],tblEjecucion[id_operacion],tblEjecucion[costo_plan_total],0)-tblOrdenes[[#This Row],[costo_servicio]]))</f>
        <v/>
      </c>
      <c r="AK938" s="10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2">
        <f>IF(tblOrdenes[[#This Row],[fecha_inicio]]="","",TODAY()-tblOrdenes[[#This Row],[fecha_inicio]])</f>
        <v/>
      </c>
      <c r="AB9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0">
        <f>IF(tblOrdenes[[#This Row],[orden]]="","",_xlfn.XLOOKUP(tblOrdenes[[#This Row],[id_operacion]],tblEjecucion[id_operacion],tblEjecucion[precio],0))</f>
        <v/>
      </c>
      <c r="AJ939" s="10">
        <f>IF(tblOrdenes[[#This Row],[orden]]="","",MAX(0,_xlfn.XLOOKUP(tblOrdenes[[#This Row],[id_operacion]],tblEjecucion[id_operacion],tblEjecucion[costo_plan_total],0)-tblOrdenes[[#This Row],[costo_servicio]]))</f>
        <v/>
      </c>
      <c r="AK939" s="10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2">
        <f>IF(tblOrdenes[[#This Row],[fecha_inicio]]="","",TODAY()-tblOrdenes[[#This Row],[fecha_inicio]])</f>
        <v/>
      </c>
      <c r="AB9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0">
        <f>IF(tblOrdenes[[#This Row],[orden]]="","",_xlfn.XLOOKUP(tblOrdenes[[#This Row],[id_operacion]],tblEjecucion[id_operacion],tblEjecucion[precio],0))</f>
        <v/>
      </c>
      <c r="AJ940" s="10">
        <f>IF(tblOrdenes[[#This Row],[orden]]="","",MAX(0,_xlfn.XLOOKUP(tblOrdenes[[#This Row],[id_operacion]],tblEjecucion[id_operacion],tblEjecucion[costo_plan_total],0)-tblOrdenes[[#This Row],[costo_servicio]]))</f>
        <v/>
      </c>
      <c r="AK940" s="10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2">
        <f>IF(tblOrdenes[[#This Row],[fecha_inicio]]="","",TODAY()-tblOrdenes[[#This Row],[fecha_inicio]])</f>
        <v/>
      </c>
      <c r="AB9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0">
        <f>IF(tblOrdenes[[#This Row],[orden]]="","",_xlfn.XLOOKUP(tblOrdenes[[#This Row],[id_operacion]],tblEjecucion[id_operacion],tblEjecucion[precio],0))</f>
        <v/>
      </c>
      <c r="AJ941" s="10">
        <f>IF(tblOrdenes[[#This Row],[orden]]="","",MAX(0,_xlfn.XLOOKUP(tblOrdenes[[#This Row],[id_operacion]],tblEjecucion[id_operacion],tblEjecucion[costo_plan_total],0)-tblOrdenes[[#This Row],[costo_servicio]]))</f>
        <v/>
      </c>
      <c r="AK941" s="10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2">
        <f>IF(tblOrdenes[[#This Row],[fecha_inicio]]="","",TODAY()-tblOrdenes[[#This Row],[fecha_inicio]])</f>
        <v/>
      </c>
      <c r="AB9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0">
        <f>IF(tblOrdenes[[#This Row],[orden]]="","",_xlfn.XLOOKUP(tblOrdenes[[#This Row],[id_operacion]],tblEjecucion[id_operacion],tblEjecucion[precio],0))</f>
        <v/>
      </c>
      <c r="AJ942" s="10">
        <f>IF(tblOrdenes[[#This Row],[orden]]="","",MAX(0,_xlfn.XLOOKUP(tblOrdenes[[#This Row],[id_operacion]],tblEjecucion[id_operacion],tblEjecucion[costo_plan_total],0)-tblOrdenes[[#This Row],[costo_servicio]]))</f>
        <v/>
      </c>
      <c r="AK942" s="10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2">
        <f>IF(tblOrdenes[[#This Row],[fecha_inicio]]="","",TODAY()-tblOrdenes[[#This Row],[fecha_inicio]])</f>
        <v/>
      </c>
      <c r="AB9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0">
        <f>IF(tblOrdenes[[#This Row],[orden]]="","",_xlfn.XLOOKUP(tblOrdenes[[#This Row],[id_operacion]],tblEjecucion[id_operacion],tblEjecucion[precio],0))</f>
        <v/>
      </c>
      <c r="AJ943" s="10">
        <f>IF(tblOrdenes[[#This Row],[orden]]="","",MAX(0,_xlfn.XLOOKUP(tblOrdenes[[#This Row],[id_operacion]],tblEjecucion[id_operacion],tblEjecucion[costo_plan_total],0)-tblOrdenes[[#This Row],[costo_servicio]]))</f>
        <v/>
      </c>
      <c r="AK943" s="10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2">
        <f>IF(tblOrdenes[[#This Row],[fecha_inicio]]="","",TODAY()-tblOrdenes[[#This Row],[fecha_inicio]])</f>
        <v/>
      </c>
      <c r="AB9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0">
        <f>IF(tblOrdenes[[#This Row],[orden]]="","",_xlfn.XLOOKUP(tblOrdenes[[#This Row],[id_operacion]],tblEjecucion[id_operacion],tblEjecucion[precio],0))</f>
        <v/>
      </c>
      <c r="AJ944" s="10">
        <f>IF(tblOrdenes[[#This Row],[orden]]="","",MAX(0,_xlfn.XLOOKUP(tblOrdenes[[#This Row],[id_operacion]],tblEjecucion[id_operacion],tblEjecucion[costo_plan_total],0)-tblOrdenes[[#This Row],[costo_servicio]]))</f>
        <v/>
      </c>
      <c r="AK944" s="10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2">
        <f>IF(tblOrdenes[[#This Row],[fecha_inicio]]="","",TODAY()-tblOrdenes[[#This Row],[fecha_inicio]])</f>
        <v/>
      </c>
      <c r="AB9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0">
        <f>IF(tblOrdenes[[#This Row],[orden]]="","",_xlfn.XLOOKUP(tblOrdenes[[#This Row],[id_operacion]],tblEjecucion[id_operacion],tblEjecucion[precio],0))</f>
        <v/>
      </c>
      <c r="AJ945" s="10">
        <f>IF(tblOrdenes[[#This Row],[orden]]="","",MAX(0,_xlfn.XLOOKUP(tblOrdenes[[#This Row],[id_operacion]],tblEjecucion[id_operacion],tblEjecucion[costo_plan_total],0)-tblOrdenes[[#This Row],[costo_servicio]]))</f>
        <v/>
      </c>
      <c r="AK945" s="10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2">
        <f>IF(tblOrdenes[[#This Row],[fecha_inicio]]="","",TODAY()-tblOrdenes[[#This Row],[fecha_inicio]])</f>
        <v/>
      </c>
      <c r="AB9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0">
        <f>IF(tblOrdenes[[#This Row],[orden]]="","",_xlfn.XLOOKUP(tblOrdenes[[#This Row],[id_operacion]],tblEjecucion[id_operacion],tblEjecucion[precio],0))</f>
        <v/>
      </c>
      <c r="AJ946" s="10">
        <f>IF(tblOrdenes[[#This Row],[orden]]="","",MAX(0,_xlfn.XLOOKUP(tblOrdenes[[#This Row],[id_operacion]],tblEjecucion[id_operacion],tblEjecucion[costo_plan_total],0)-tblOrdenes[[#This Row],[costo_servicio]]))</f>
        <v/>
      </c>
      <c r="AK946" s="10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2">
        <f>IF(tblOrdenes[[#This Row],[fecha_inicio]]="","",TODAY()-tblOrdenes[[#This Row],[fecha_inicio]])</f>
        <v/>
      </c>
      <c r="AB9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0">
        <f>IF(tblOrdenes[[#This Row],[orden]]="","",_xlfn.XLOOKUP(tblOrdenes[[#This Row],[id_operacion]],tblEjecucion[id_operacion],tblEjecucion[precio],0))</f>
        <v/>
      </c>
      <c r="AJ947" s="10">
        <f>IF(tblOrdenes[[#This Row],[orden]]="","",MAX(0,_xlfn.XLOOKUP(tblOrdenes[[#This Row],[id_operacion]],tblEjecucion[id_operacion],tblEjecucion[costo_plan_total],0)-tblOrdenes[[#This Row],[costo_servicio]]))</f>
        <v/>
      </c>
      <c r="AK947" s="10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2">
        <f>IF(tblOrdenes[[#This Row],[fecha_inicio]]="","",TODAY()-tblOrdenes[[#This Row],[fecha_inicio]])</f>
        <v/>
      </c>
      <c r="AB9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0">
        <f>IF(tblOrdenes[[#This Row],[orden]]="","",_xlfn.XLOOKUP(tblOrdenes[[#This Row],[id_operacion]],tblEjecucion[id_operacion],tblEjecucion[precio],0))</f>
        <v/>
      </c>
      <c r="AJ948" s="10">
        <f>IF(tblOrdenes[[#This Row],[orden]]="","",MAX(0,_xlfn.XLOOKUP(tblOrdenes[[#This Row],[id_operacion]],tblEjecucion[id_operacion],tblEjecucion[costo_plan_total],0)-tblOrdenes[[#This Row],[costo_servicio]]))</f>
        <v/>
      </c>
      <c r="AK948" s="10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2">
        <f>IF(tblOrdenes[[#This Row],[fecha_inicio]]="","",TODAY()-tblOrdenes[[#This Row],[fecha_inicio]])</f>
        <v/>
      </c>
      <c r="AB9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0">
        <f>IF(tblOrdenes[[#This Row],[orden]]="","",_xlfn.XLOOKUP(tblOrdenes[[#This Row],[id_operacion]],tblEjecucion[id_operacion],tblEjecucion[precio],0))</f>
        <v/>
      </c>
      <c r="AJ949" s="10">
        <f>IF(tblOrdenes[[#This Row],[orden]]="","",MAX(0,_xlfn.XLOOKUP(tblOrdenes[[#This Row],[id_operacion]],tblEjecucion[id_operacion],tblEjecucion[costo_plan_total],0)-tblOrdenes[[#This Row],[costo_servicio]]))</f>
        <v/>
      </c>
      <c r="AK949" s="10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2">
        <f>IF(tblOrdenes[[#This Row],[fecha_inicio]]="","",TODAY()-tblOrdenes[[#This Row],[fecha_inicio]])</f>
        <v/>
      </c>
      <c r="AB9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0">
        <f>IF(tblOrdenes[[#This Row],[orden]]="","",_xlfn.XLOOKUP(tblOrdenes[[#This Row],[id_operacion]],tblEjecucion[id_operacion],tblEjecucion[precio],0))</f>
        <v/>
      </c>
      <c r="AJ950" s="10">
        <f>IF(tblOrdenes[[#This Row],[orden]]="","",MAX(0,_xlfn.XLOOKUP(tblOrdenes[[#This Row],[id_operacion]],tblEjecucion[id_operacion],tblEjecucion[costo_plan_total],0)-tblOrdenes[[#This Row],[costo_servicio]]))</f>
        <v/>
      </c>
      <c r="AK950" s="10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2">
        <f>IF(tblOrdenes[[#This Row],[fecha_inicio]]="","",TODAY()-tblOrdenes[[#This Row],[fecha_inicio]])</f>
        <v/>
      </c>
      <c r="AB9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0">
        <f>IF(tblOrdenes[[#This Row],[orden]]="","",_xlfn.XLOOKUP(tblOrdenes[[#This Row],[id_operacion]],tblEjecucion[id_operacion],tblEjecucion[precio],0))</f>
        <v/>
      </c>
      <c r="AJ951" s="10">
        <f>IF(tblOrdenes[[#This Row],[orden]]="","",MAX(0,_xlfn.XLOOKUP(tblOrdenes[[#This Row],[id_operacion]],tblEjecucion[id_operacion],tblEjecucion[costo_plan_total],0)-tblOrdenes[[#This Row],[costo_servicio]]))</f>
        <v/>
      </c>
      <c r="AK951" s="10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2">
        <f>IF(tblOrdenes[[#This Row],[fecha_inicio]]="","",TODAY()-tblOrdenes[[#This Row],[fecha_inicio]])</f>
        <v/>
      </c>
      <c r="AB9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0">
        <f>IF(tblOrdenes[[#This Row],[orden]]="","",_xlfn.XLOOKUP(tblOrdenes[[#This Row],[id_operacion]],tblEjecucion[id_operacion],tblEjecucion[precio],0))</f>
        <v/>
      </c>
      <c r="AJ952" s="10">
        <f>IF(tblOrdenes[[#This Row],[orden]]="","",MAX(0,_xlfn.XLOOKUP(tblOrdenes[[#This Row],[id_operacion]],tblEjecucion[id_operacion],tblEjecucion[costo_plan_total],0)-tblOrdenes[[#This Row],[costo_servicio]]))</f>
        <v/>
      </c>
      <c r="AK952" s="10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2">
        <f>IF(tblOrdenes[[#This Row],[fecha_inicio]]="","",TODAY()-tblOrdenes[[#This Row],[fecha_inicio]])</f>
        <v/>
      </c>
      <c r="AB9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0">
        <f>IF(tblOrdenes[[#This Row],[orden]]="","",_xlfn.XLOOKUP(tblOrdenes[[#This Row],[id_operacion]],tblEjecucion[id_operacion],tblEjecucion[precio],0))</f>
        <v/>
      </c>
      <c r="AJ953" s="10">
        <f>IF(tblOrdenes[[#This Row],[orden]]="","",MAX(0,_xlfn.XLOOKUP(tblOrdenes[[#This Row],[id_operacion]],tblEjecucion[id_operacion],tblEjecucion[costo_plan_total],0)-tblOrdenes[[#This Row],[costo_servicio]]))</f>
        <v/>
      </c>
      <c r="AK953" s="10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2">
        <f>IF(tblOrdenes[[#This Row],[fecha_inicio]]="","",TODAY()-tblOrdenes[[#This Row],[fecha_inicio]])</f>
        <v/>
      </c>
      <c r="AB9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0">
        <f>IF(tblOrdenes[[#This Row],[orden]]="","",_xlfn.XLOOKUP(tblOrdenes[[#This Row],[id_operacion]],tblEjecucion[id_operacion],tblEjecucion[precio],0))</f>
        <v/>
      </c>
      <c r="AJ954" s="10">
        <f>IF(tblOrdenes[[#This Row],[orden]]="","",MAX(0,_xlfn.XLOOKUP(tblOrdenes[[#This Row],[id_operacion]],tblEjecucion[id_operacion],tblEjecucion[costo_plan_total],0)-tblOrdenes[[#This Row],[costo_servicio]]))</f>
        <v/>
      </c>
      <c r="AK954" s="10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2">
        <f>IF(tblOrdenes[[#This Row],[fecha_inicio]]="","",TODAY()-tblOrdenes[[#This Row],[fecha_inicio]])</f>
        <v/>
      </c>
      <c r="AB9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0">
        <f>IF(tblOrdenes[[#This Row],[orden]]="","",_xlfn.XLOOKUP(tblOrdenes[[#This Row],[id_operacion]],tblEjecucion[id_operacion],tblEjecucion[precio],0))</f>
        <v/>
      </c>
      <c r="AJ955" s="10">
        <f>IF(tblOrdenes[[#This Row],[orden]]="","",MAX(0,_xlfn.XLOOKUP(tblOrdenes[[#This Row],[id_operacion]],tblEjecucion[id_operacion],tblEjecucion[costo_plan_total],0)-tblOrdenes[[#This Row],[costo_servicio]]))</f>
        <v/>
      </c>
      <c r="AK955" s="10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2">
        <f>IF(tblOrdenes[[#This Row],[fecha_inicio]]="","",TODAY()-tblOrdenes[[#This Row],[fecha_inicio]])</f>
        <v/>
      </c>
      <c r="AB9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0">
        <f>IF(tblOrdenes[[#This Row],[orden]]="","",_xlfn.XLOOKUP(tblOrdenes[[#This Row],[id_operacion]],tblEjecucion[id_operacion],tblEjecucion[precio],0))</f>
        <v/>
      </c>
      <c r="AJ956" s="10">
        <f>IF(tblOrdenes[[#This Row],[orden]]="","",MAX(0,_xlfn.XLOOKUP(tblOrdenes[[#This Row],[id_operacion]],tblEjecucion[id_operacion],tblEjecucion[costo_plan_total],0)-tblOrdenes[[#This Row],[costo_servicio]]))</f>
        <v/>
      </c>
      <c r="AK956" s="10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2">
        <f>IF(tblOrdenes[[#This Row],[fecha_inicio]]="","",TODAY()-tblOrdenes[[#This Row],[fecha_inicio]])</f>
        <v/>
      </c>
      <c r="AB9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0">
        <f>IF(tblOrdenes[[#This Row],[orden]]="","",_xlfn.XLOOKUP(tblOrdenes[[#This Row],[id_operacion]],tblEjecucion[id_operacion],tblEjecucion[precio],0))</f>
        <v/>
      </c>
      <c r="AJ957" s="10">
        <f>IF(tblOrdenes[[#This Row],[orden]]="","",MAX(0,_xlfn.XLOOKUP(tblOrdenes[[#This Row],[id_operacion]],tblEjecucion[id_operacion],tblEjecucion[costo_plan_total],0)-tblOrdenes[[#This Row],[costo_servicio]]))</f>
        <v/>
      </c>
      <c r="AK957" s="10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2">
        <f>IF(tblOrdenes[[#This Row],[fecha_inicio]]="","",TODAY()-tblOrdenes[[#This Row],[fecha_inicio]])</f>
        <v/>
      </c>
      <c r="AB9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0">
        <f>IF(tblOrdenes[[#This Row],[orden]]="","",_xlfn.XLOOKUP(tblOrdenes[[#This Row],[id_operacion]],tblEjecucion[id_operacion],tblEjecucion[precio],0))</f>
        <v/>
      </c>
      <c r="AJ958" s="10">
        <f>IF(tblOrdenes[[#This Row],[orden]]="","",MAX(0,_xlfn.XLOOKUP(tblOrdenes[[#This Row],[id_operacion]],tblEjecucion[id_operacion],tblEjecucion[costo_plan_total],0)-tblOrdenes[[#This Row],[costo_servicio]]))</f>
        <v/>
      </c>
      <c r="AK958" s="10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2">
        <f>IF(tblOrdenes[[#This Row],[fecha_inicio]]="","",TODAY()-tblOrdenes[[#This Row],[fecha_inicio]])</f>
        <v/>
      </c>
      <c r="AB9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0">
        <f>IF(tblOrdenes[[#This Row],[orden]]="","",_xlfn.XLOOKUP(tblOrdenes[[#This Row],[id_operacion]],tblEjecucion[id_operacion],tblEjecucion[precio],0))</f>
        <v/>
      </c>
      <c r="AJ959" s="10">
        <f>IF(tblOrdenes[[#This Row],[orden]]="","",MAX(0,_xlfn.XLOOKUP(tblOrdenes[[#This Row],[id_operacion]],tblEjecucion[id_operacion],tblEjecucion[costo_plan_total],0)-tblOrdenes[[#This Row],[costo_servicio]]))</f>
        <v/>
      </c>
      <c r="AK959" s="10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2">
        <f>IF(tblOrdenes[[#This Row],[fecha_inicio]]="","",TODAY()-tblOrdenes[[#This Row],[fecha_inicio]])</f>
        <v/>
      </c>
      <c r="AB9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0">
        <f>IF(tblOrdenes[[#This Row],[orden]]="","",_xlfn.XLOOKUP(tblOrdenes[[#This Row],[id_operacion]],tblEjecucion[id_operacion],tblEjecucion[precio],0))</f>
        <v/>
      </c>
      <c r="AJ960" s="10">
        <f>IF(tblOrdenes[[#This Row],[orden]]="","",MAX(0,_xlfn.XLOOKUP(tblOrdenes[[#This Row],[id_operacion]],tblEjecucion[id_operacion],tblEjecucion[costo_plan_total],0)-tblOrdenes[[#This Row],[costo_servicio]]))</f>
        <v/>
      </c>
      <c r="AK960" s="10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2">
        <f>IF(tblOrdenes[[#This Row],[fecha_inicio]]="","",TODAY()-tblOrdenes[[#This Row],[fecha_inicio]])</f>
        <v/>
      </c>
      <c r="AB9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0">
        <f>IF(tblOrdenes[[#This Row],[orden]]="","",_xlfn.XLOOKUP(tblOrdenes[[#This Row],[id_operacion]],tblEjecucion[id_operacion],tblEjecucion[precio],0))</f>
        <v/>
      </c>
      <c r="AJ961" s="10">
        <f>IF(tblOrdenes[[#This Row],[orden]]="","",MAX(0,_xlfn.XLOOKUP(tblOrdenes[[#This Row],[id_operacion]],tblEjecucion[id_operacion],tblEjecucion[costo_plan_total],0)-tblOrdenes[[#This Row],[costo_servicio]]))</f>
        <v/>
      </c>
      <c r="AK961" s="10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2">
        <f>IF(tblOrdenes[[#This Row],[fecha_inicio]]="","",TODAY()-tblOrdenes[[#This Row],[fecha_inicio]])</f>
        <v/>
      </c>
      <c r="AB9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0">
        <f>IF(tblOrdenes[[#This Row],[orden]]="","",_xlfn.XLOOKUP(tblOrdenes[[#This Row],[id_operacion]],tblEjecucion[id_operacion],tblEjecucion[precio],0))</f>
        <v/>
      </c>
      <c r="AJ962" s="10">
        <f>IF(tblOrdenes[[#This Row],[orden]]="","",MAX(0,_xlfn.XLOOKUP(tblOrdenes[[#This Row],[id_operacion]],tblEjecucion[id_operacion],tblEjecucion[costo_plan_total],0)-tblOrdenes[[#This Row],[costo_servicio]]))</f>
        <v/>
      </c>
      <c r="AK962" s="10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2">
        <f>IF(tblOrdenes[[#This Row],[fecha_inicio]]="","",TODAY()-tblOrdenes[[#This Row],[fecha_inicio]])</f>
        <v/>
      </c>
      <c r="AB9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0">
        <f>IF(tblOrdenes[[#This Row],[orden]]="","",_xlfn.XLOOKUP(tblOrdenes[[#This Row],[id_operacion]],tblEjecucion[id_operacion],tblEjecucion[precio],0))</f>
        <v/>
      </c>
      <c r="AJ963" s="10">
        <f>IF(tblOrdenes[[#This Row],[orden]]="","",MAX(0,_xlfn.XLOOKUP(tblOrdenes[[#This Row],[id_operacion]],tblEjecucion[id_operacion],tblEjecucion[costo_plan_total],0)-tblOrdenes[[#This Row],[costo_servicio]]))</f>
        <v/>
      </c>
      <c r="AK963" s="10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2">
        <f>IF(tblOrdenes[[#This Row],[fecha_inicio]]="","",TODAY()-tblOrdenes[[#This Row],[fecha_inicio]])</f>
        <v/>
      </c>
      <c r="AB9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0">
        <f>IF(tblOrdenes[[#This Row],[orden]]="","",_xlfn.XLOOKUP(tblOrdenes[[#This Row],[id_operacion]],tblEjecucion[id_operacion],tblEjecucion[precio],0))</f>
        <v/>
      </c>
      <c r="AJ964" s="10">
        <f>IF(tblOrdenes[[#This Row],[orden]]="","",MAX(0,_xlfn.XLOOKUP(tblOrdenes[[#This Row],[id_operacion]],tblEjecucion[id_operacion],tblEjecucion[costo_plan_total],0)-tblOrdenes[[#This Row],[costo_servicio]]))</f>
        <v/>
      </c>
      <c r="AK964" s="10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2">
        <f>IF(tblOrdenes[[#This Row],[fecha_inicio]]="","",TODAY()-tblOrdenes[[#This Row],[fecha_inicio]])</f>
        <v/>
      </c>
      <c r="AB9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0">
        <f>IF(tblOrdenes[[#This Row],[orden]]="","",_xlfn.XLOOKUP(tblOrdenes[[#This Row],[id_operacion]],tblEjecucion[id_operacion],tblEjecucion[precio],0))</f>
        <v/>
      </c>
      <c r="AJ965" s="10">
        <f>IF(tblOrdenes[[#This Row],[orden]]="","",MAX(0,_xlfn.XLOOKUP(tblOrdenes[[#This Row],[id_operacion]],tblEjecucion[id_operacion],tblEjecucion[costo_plan_total],0)-tblOrdenes[[#This Row],[costo_servicio]]))</f>
        <v/>
      </c>
      <c r="AK965" s="10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2">
        <f>IF(tblOrdenes[[#This Row],[fecha_inicio]]="","",TODAY()-tblOrdenes[[#This Row],[fecha_inicio]])</f>
        <v/>
      </c>
      <c r="AB9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0">
        <f>IF(tblOrdenes[[#This Row],[orden]]="","",_xlfn.XLOOKUP(tblOrdenes[[#This Row],[id_operacion]],tblEjecucion[id_operacion],tblEjecucion[precio],0))</f>
        <v/>
      </c>
      <c r="AJ966" s="10">
        <f>IF(tblOrdenes[[#This Row],[orden]]="","",MAX(0,_xlfn.XLOOKUP(tblOrdenes[[#This Row],[id_operacion]],tblEjecucion[id_operacion],tblEjecucion[costo_plan_total],0)-tblOrdenes[[#This Row],[costo_servicio]]))</f>
        <v/>
      </c>
      <c r="AK966" s="10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2">
        <f>IF(tblOrdenes[[#This Row],[fecha_inicio]]="","",TODAY()-tblOrdenes[[#This Row],[fecha_inicio]])</f>
        <v/>
      </c>
      <c r="AB9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0">
        <f>IF(tblOrdenes[[#This Row],[orden]]="","",_xlfn.XLOOKUP(tblOrdenes[[#This Row],[id_operacion]],tblEjecucion[id_operacion],tblEjecucion[precio],0))</f>
        <v/>
      </c>
      <c r="AJ967" s="10">
        <f>IF(tblOrdenes[[#This Row],[orden]]="","",MAX(0,_xlfn.XLOOKUP(tblOrdenes[[#This Row],[id_operacion]],tblEjecucion[id_operacion],tblEjecucion[costo_plan_total],0)-tblOrdenes[[#This Row],[costo_servicio]]))</f>
        <v/>
      </c>
      <c r="AK967" s="10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2">
        <f>IF(tblOrdenes[[#This Row],[fecha_inicio]]="","",TODAY()-tblOrdenes[[#This Row],[fecha_inicio]])</f>
        <v/>
      </c>
      <c r="AB9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0">
        <f>IF(tblOrdenes[[#This Row],[orden]]="","",_xlfn.XLOOKUP(tblOrdenes[[#This Row],[id_operacion]],tblEjecucion[id_operacion],tblEjecucion[precio],0))</f>
        <v/>
      </c>
      <c r="AJ968" s="10">
        <f>IF(tblOrdenes[[#This Row],[orden]]="","",MAX(0,_xlfn.XLOOKUP(tblOrdenes[[#This Row],[id_operacion]],tblEjecucion[id_operacion],tblEjecucion[costo_plan_total],0)-tblOrdenes[[#This Row],[costo_servicio]]))</f>
        <v/>
      </c>
      <c r="AK968" s="10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2">
        <f>IF(tblOrdenes[[#This Row],[fecha_inicio]]="","",TODAY()-tblOrdenes[[#This Row],[fecha_inicio]])</f>
        <v/>
      </c>
      <c r="AB9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0">
        <f>IF(tblOrdenes[[#This Row],[orden]]="","",_xlfn.XLOOKUP(tblOrdenes[[#This Row],[id_operacion]],tblEjecucion[id_operacion],tblEjecucion[precio],0))</f>
        <v/>
      </c>
      <c r="AJ969" s="10">
        <f>IF(tblOrdenes[[#This Row],[orden]]="","",MAX(0,_xlfn.XLOOKUP(tblOrdenes[[#This Row],[id_operacion]],tblEjecucion[id_operacion],tblEjecucion[costo_plan_total],0)-tblOrdenes[[#This Row],[costo_servicio]]))</f>
        <v/>
      </c>
      <c r="AK969" s="10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2">
        <f>IF(tblOrdenes[[#This Row],[fecha_inicio]]="","",TODAY()-tblOrdenes[[#This Row],[fecha_inicio]])</f>
        <v/>
      </c>
      <c r="AB9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0">
        <f>IF(tblOrdenes[[#This Row],[orden]]="","",_xlfn.XLOOKUP(tblOrdenes[[#This Row],[id_operacion]],tblEjecucion[id_operacion],tblEjecucion[precio],0))</f>
        <v/>
      </c>
      <c r="AJ970" s="10">
        <f>IF(tblOrdenes[[#This Row],[orden]]="","",MAX(0,_xlfn.XLOOKUP(tblOrdenes[[#This Row],[id_operacion]],tblEjecucion[id_operacion],tblEjecucion[costo_plan_total],0)-tblOrdenes[[#This Row],[costo_servicio]]))</f>
        <v/>
      </c>
      <c r="AK970" s="10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2">
        <f>IF(tblOrdenes[[#This Row],[fecha_inicio]]="","",TODAY()-tblOrdenes[[#This Row],[fecha_inicio]])</f>
        <v/>
      </c>
      <c r="AB9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0">
        <f>IF(tblOrdenes[[#This Row],[orden]]="","",_xlfn.XLOOKUP(tblOrdenes[[#This Row],[id_operacion]],tblEjecucion[id_operacion],tblEjecucion[precio],0))</f>
        <v/>
      </c>
      <c r="AJ971" s="10">
        <f>IF(tblOrdenes[[#This Row],[orden]]="","",MAX(0,_xlfn.XLOOKUP(tblOrdenes[[#This Row],[id_operacion]],tblEjecucion[id_operacion],tblEjecucion[costo_plan_total],0)-tblOrdenes[[#This Row],[costo_servicio]]))</f>
        <v/>
      </c>
      <c r="AK971" s="10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2">
        <f>IF(tblOrdenes[[#This Row],[fecha_inicio]]="","",TODAY()-tblOrdenes[[#This Row],[fecha_inicio]])</f>
        <v/>
      </c>
      <c r="AB9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0">
        <f>IF(tblOrdenes[[#This Row],[orden]]="","",_xlfn.XLOOKUP(tblOrdenes[[#This Row],[id_operacion]],tblEjecucion[id_operacion],tblEjecucion[precio],0))</f>
        <v/>
      </c>
      <c r="AJ972" s="10">
        <f>IF(tblOrdenes[[#This Row],[orden]]="","",MAX(0,_xlfn.XLOOKUP(tblOrdenes[[#This Row],[id_operacion]],tblEjecucion[id_operacion],tblEjecucion[costo_plan_total],0)-tblOrdenes[[#This Row],[costo_servicio]]))</f>
        <v/>
      </c>
      <c r="AK972" s="10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2">
        <f>IF(tblOrdenes[[#This Row],[fecha_inicio]]="","",TODAY()-tblOrdenes[[#This Row],[fecha_inicio]])</f>
        <v/>
      </c>
      <c r="AB9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0">
        <f>IF(tblOrdenes[[#This Row],[orden]]="","",_xlfn.XLOOKUP(tblOrdenes[[#This Row],[id_operacion]],tblEjecucion[id_operacion],tblEjecucion[precio],0))</f>
        <v/>
      </c>
      <c r="AJ973" s="10">
        <f>IF(tblOrdenes[[#This Row],[orden]]="","",MAX(0,_xlfn.XLOOKUP(tblOrdenes[[#This Row],[id_operacion]],tblEjecucion[id_operacion],tblEjecucion[costo_plan_total],0)-tblOrdenes[[#This Row],[costo_servicio]]))</f>
        <v/>
      </c>
      <c r="AK973" s="10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2">
        <f>IF(tblOrdenes[[#This Row],[fecha_inicio]]="","",TODAY()-tblOrdenes[[#This Row],[fecha_inicio]])</f>
        <v/>
      </c>
      <c r="AB9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0">
        <f>IF(tblOrdenes[[#This Row],[orden]]="","",_xlfn.XLOOKUP(tblOrdenes[[#This Row],[id_operacion]],tblEjecucion[id_operacion],tblEjecucion[precio],0))</f>
        <v/>
      </c>
      <c r="AJ974" s="10">
        <f>IF(tblOrdenes[[#This Row],[orden]]="","",MAX(0,_xlfn.XLOOKUP(tblOrdenes[[#This Row],[id_operacion]],tblEjecucion[id_operacion],tblEjecucion[costo_plan_total],0)-tblOrdenes[[#This Row],[costo_servicio]]))</f>
        <v/>
      </c>
      <c r="AK974" s="10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2">
        <f>IF(tblOrdenes[[#This Row],[fecha_inicio]]="","",TODAY()-tblOrdenes[[#This Row],[fecha_inicio]])</f>
        <v/>
      </c>
      <c r="AB9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0">
        <f>IF(tblOrdenes[[#This Row],[orden]]="","",_xlfn.XLOOKUP(tblOrdenes[[#This Row],[id_operacion]],tblEjecucion[id_operacion],tblEjecucion[precio],0))</f>
        <v/>
      </c>
      <c r="AJ975" s="10">
        <f>IF(tblOrdenes[[#This Row],[orden]]="","",MAX(0,_xlfn.XLOOKUP(tblOrdenes[[#This Row],[id_operacion]],tblEjecucion[id_operacion],tblEjecucion[costo_plan_total],0)-tblOrdenes[[#This Row],[costo_servicio]]))</f>
        <v/>
      </c>
      <c r="AK975" s="10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2">
        <f>IF(tblOrdenes[[#This Row],[fecha_inicio]]="","",TODAY()-tblOrdenes[[#This Row],[fecha_inicio]])</f>
        <v/>
      </c>
      <c r="AB9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0">
        <f>IF(tblOrdenes[[#This Row],[orden]]="","",_xlfn.XLOOKUP(tblOrdenes[[#This Row],[id_operacion]],tblEjecucion[id_operacion],tblEjecucion[precio],0))</f>
        <v/>
      </c>
      <c r="AJ976" s="10">
        <f>IF(tblOrdenes[[#This Row],[orden]]="","",MAX(0,_xlfn.XLOOKUP(tblOrdenes[[#This Row],[id_operacion]],tblEjecucion[id_operacion],tblEjecucion[costo_plan_total],0)-tblOrdenes[[#This Row],[costo_servicio]]))</f>
        <v/>
      </c>
      <c r="AK976" s="10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2">
        <f>IF(tblOrdenes[[#This Row],[fecha_inicio]]="","",TODAY()-tblOrdenes[[#This Row],[fecha_inicio]])</f>
        <v/>
      </c>
      <c r="AB9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0">
        <f>IF(tblOrdenes[[#This Row],[orden]]="","",_xlfn.XLOOKUP(tblOrdenes[[#This Row],[id_operacion]],tblEjecucion[id_operacion],tblEjecucion[precio],0))</f>
        <v/>
      </c>
      <c r="AJ977" s="10">
        <f>IF(tblOrdenes[[#This Row],[orden]]="","",MAX(0,_xlfn.XLOOKUP(tblOrdenes[[#This Row],[id_operacion]],tblEjecucion[id_operacion],tblEjecucion[costo_plan_total],0)-tblOrdenes[[#This Row],[costo_servicio]]))</f>
        <v/>
      </c>
      <c r="AK977" s="10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2">
        <f>IF(tblOrdenes[[#This Row],[fecha_inicio]]="","",TODAY()-tblOrdenes[[#This Row],[fecha_inicio]])</f>
        <v/>
      </c>
      <c r="AB9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0">
        <f>IF(tblOrdenes[[#This Row],[orden]]="","",_xlfn.XLOOKUP(tblOrdenes[[#This Row],[id_operacion]],tblEjecucion[id_operacion],tblEjecucion[precio],0))</f>
        <v/>
      </c>
      <c r="AJ978" s="10">
        <f>IF(tblOrdenes[[#This Row],[orden]]="","",MAX(0,_xlfn.XLOOKUP(tblOrdenes[[#This Row],[id_operacion]],tblEjecucion[id_operacion],tblEjecucion[costo_plan_total],0)-tblOrdenes[[#This Row],[costo_servicio]]))</f>
        <v/>
      </c>
      <c r="AK978" s="10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2">
        <f>IF(tblOrdenes[[#This Row],[fecha_inicio]]="","",TODAY()-tblOrdenes[[#This Row],[fecha_inicio]])</f>
        <v/>
      </c>
      <c r="AB9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0">
        <f>IF(tblOrdenes[[#This Row],[orden]]="","",_xlfn.XLOOKUP(tblOrdenes[[#This Row],[id_operacion]],tblEjecucion[id_operacion],tblEjecucion[precio],0))</f>
        <v/>
      </c>
      <c r="AJ979" s="10">
        <f>IF(tblOrdenes[[#This Row],[orden]]="","",MAX(0,_xlfn.XLOOKUP(tblOrdenes[[#This Row],[id_operacion]],tblEjecucion[id_operacion],tblEjecucion[costo_plan_total],0)-tblOrdenes[[#This Row],[costo_servicio]]))</f>
        <v/>
      </c>
      <c r="AK979" s="10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2">
        <f>IF(tblOrdenes[[#This Row],[fecha_inicio]]="","",TODAY()-tblOrdenes[[#This Row],[fecha_inicio]])</f>
        <v/>
      </c>
      <c r="AB9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0">
        <f>IF(tblOrdenes[[#This Row],[orden]]="","",_xlfn.XLOOKUP(tblOrdenes[[#This Row],[id_operacion]],tblEjecucion[id_operacion],tblEjecucion[precio],0))</f>
        <v/>
      </c>
      <c r="AJ980" s="10">
        <f>IF(tblOrdenes[[#This Row],[orden]]="","",MAX(0,_xlfn.XLOOKUP(tblOrdenes[[#This Row],[id_operacion]],tblEjecucion[id_operacion],tblEjecucion[costo_plan_total],0)-tblOrdenes[[#This Row],[costo_servicio]]))</f>
        <v/>
      </c>
      <c r="AK980" s="10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2">
        <f>IF(tblOrdenes[[#This Row],[fecha_inicio]]="","",TODAY()-tblOrdenes[[#This Row],[fecha_inicio]])</f>
        <v/>
      </c>
      <c r="AB9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0">
        <f>IF(tblOrdenes[[#This Row],[orden]]="","",_xlfn.XLOOKUP(tblOrdenes[[#This Row],[id_operacion]],tblEjecucion[id_operacion],tblEjecucion[precio],0))</f>
        <v/>
      </c>
      <c r="AJ981" s="10">
        <f>IF(tblOrdenes[[#This Row],[orden]]="","",MAX(0,_xlfn.XLOOKUP(tblOrdenes[[#This Row],[id_operacion]],tblEjecucion[id_operacion],tblEjecucion[costo_plan_total],0)-tblOrdenes[[#This Row],[costo_servicio]]))</f>
        <v/>
      </c>
      <c r="AK981" s="10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2">
        <f>IF(tblOrdenes[[#This Row],[fecha_inicio]]="","",TODAY()-tblOrdenes[[#This Row],[fecha_inicio]])</f>
        <v/>
      </c>
      <c r="AB9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0">
        <f>IF(tblOrdenes[[#This Row],[orden]]="","",_xlfn.XLOOKUP(tblOrdenes[[#This Row],[id_operacion]],tblEjecucion[id_operacion],tblEjecucion[precio],0))</f>
        <v/>
      </c>
      <c r="AJ982" s="10">
        <f>IF(tblOrdenes[[#This Row],[orden]]="","",MAX(0,_xlfn.XLOOKUP(tblOrdenes[[#This Row],[id_operacion]],tblEjecucion[id_operacion],tblEjecucion[costo_plan_total],0)-tblOrdenes[[#This Row],[costo_servicio]]))</f>
        <v/>
      </c>
      <c r="AK982" s="10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2">
        <f>IF(tblOrdenes[[#This Row],[fecha_inicio]]="","",TODAY()-tblOrdenes[[#This Row],[fecha_inicio]])</f>
        <v/>
      </c>
      <c r="AB9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0">
        <f>IF(tblOrdenes[[#This Row],[orden]]="","",_xlfn.XLOOKUP(tblOrdenes[[#This Row],[id_operacion]],tblEjecucion[id_operacion],tblEjecucion[precio],0))</f>
        <v/>
      </c>
      <c r="AJ983" s="10">
        <f>IF(tblOrdenes[[#This Row],[orden]]="","",MAX(0,_xlfn.XLOOKUP(tblOrdenes[[#This Row],[id_operacion]],tblEjecucion[id_operacion],tblEjecucion[costo_plan_total],0)-tblOrdenes[[#This Row],[costo_servicio]]))</f>
        <v/>
      </c>
      <c r="AK983" s="10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2">
        <f>IF(tblOrdenes[[#This Row],[fecha_inicio]]="","",TODAY()-tblOrdenes[[#This Row],[fecha_inicio]])</f>
        <v/>
      </c>
      <c r="AB9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0">
        <f>IF(tblOrdenes[[#This Row],[orden]]="","",_xlfn.XLOOKUP(tblOrdenes[[#This Row],[id_operacion]],tblEjecucion[id_operacion],tblEjecucion[precio],0))</f>
        <v/>
      </c>
      <c r="AJ984" s="10">
        <f>IF(tblOrdenes[[#This Row],[orden]]="","",MAX(0,_xlfn.XLOOKUP(tblOrdenes[[#This Row],[id_operacion]],tblEjecucion[id_operacion],tblEjecucion[costo_plan_total],0)-tblOrdenes[[#This Row],[costo_servicio]]))</f>
        <v/>
      </c>
      <c r="AK984" s="10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2">
        <f>IF(tblOrdenes[[#This Row],[fecha_inicio]]="","",TODAY()-tblOrdenes[[#This Row],[fecha_inicio]])</f>
        <v/>
      </c>
      <c r="AB9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0">
        <f>IF(tblOrdenes[[#This Row],[orden]]="","",_xlfn.XLOOKUP(tblOrdenes[[#This Row],[id_operacion]],tblEjecucion[id_operacion],tblEjecucion[precio],0))</f>
        <v/>
      </c>
      <c r="AJ985" s="10">
        <f>IF(tblOrdenes[[#This Row],[orden]]="","",MAX(0,_xlfn.XLOOKUP(tblOrdenes[[#This Row],[id_operacion]],tblEjecucion[id_operacion],tblEjecucion[costo_plan_total],0)-tblOrdenes[[#This Row],[costo_servicio]]))</f>
        <v/>
      </c>
      <c r="AK985" s="10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2">
        <f>IF(tblOrdenes[[#This Row],[fecha_inicio]]="","",TODAY()-tblOrdenes[[#This Row],[fecha_inicio]])</f>
        <v/>
      </c>
      <c r="AB9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0">
        <f>IF(tblOrdenes[[#This Row],[orden]]="","",_xlfn.XLOOKUP(tblOrdenes[[#This Row],[id_operacion]],tblEjecucion[id_operacion],tblEjecucion[precio],0))</f>
        <v/>
      </c>
      <c r="AJ986" s="10">
        <f>IF(tblOrdenes[[#This Row],[orden]]="","",MAX(0,_xlfn.XLOOKUP(tblOrdenes[[#This Row],[id_operacion]],tblEjecucion[id_operacion],tblEjecucion[costo_plan_total],0)-tblOrdenes[[#This Row],[costo_servicio]]))</f>
        <v/>
      </c>
      <c r="AK986" s="10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2">
        <f>IF(tblOrdenes[[#This Row],[fecha_inicio]]="","",TODAY()-tblOrdenes[[#This Row],[fecha_inicio]])</f>
        <v/>
      </c>
      <c r="AB9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0">
        <f>IF(tblOrdenes[[#This Row],[orden]]="","",_xlfn.XLOOKUP(tblOrdenes[[#This Row],[id_operacion]],tblEjecucion[id_operacion],tblEjecucion[precio],0))</f>
        <v/>
      </c>
      <c r="AJ987" s="10">
        <f>IF(tblOrdenes[[#This Row],[orden]]="","",MAX(0,_xlfn.XLOOKUP(tblOrdenes[[#This Row],[id_operacion]],tblEjecucion[id_operacion],tblEjecucion[costo_plan_total],0)-tblOrdenes[[#This Row],[costo_servicio]]))</f>
        <v/>
      </c>
      <c r="AK987" s="10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2">
        <f>IF(tblOrdenes[[#This Row],[fecha_inicio]]="","",TODAY()-tblOrdenes[[#This Row],[fecha_inicio]])</f>
        <v/>
      </c>
      <c r="AB9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0">
        <f>IF(tblOrdenes[[#This Row],[orden]]="","",_xlfn.XLOOKUP(tblOrdenes[[#This Row],[id_operacion]],tblEjecucion[id_operacion],tblEjecucion[precio],0))</f>
        <v/>
      </c>
      <c r="AJ988" s="10">
        <f>IF(tblOrdenes[[#This Row],[orden]]="","",MAX(0,_xlfn.XLOOKUP(tblOrdenes[[#This Row],[id_operacion]],tblEjecucion[id_operacion],tblEjecucion[costo_plan_total],0)-tblOrdenes[[#This Row],[costo_servicio]]))</f>
        <v/>
      </c>
      <c r="AK988" s="10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2">
        <f>IF(tblOrdenes[[#This Row],[fecha_inicio]]="","",TODAY()-tblOrdenes[[#This Row],[fecha_inicio]])</f>
        <v/>
      </c>
      <c r="AB9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0">
        <f>IF(tblOrdenes[[#This Row],[orden]]="","",_xlfn.XLOOKUP(tblOrdenes[[#This Row],[id_operacion]],tblEjecucion[id_operacion],tblEjecucion[precio],0))</f>
        <v/>
      </c>
      <c r="AJ989" s="10">
        <f>IF(tblOrdenes[[#This Row],[orden]]="","",MAX(0,_xlfn.XLOOKUP(tblOrdenes[[#This Row],[id_operacion]],tblEjecucion[id_operacion],tblEjecucion[costo_plan_total],0)-tblOrdenes[[#This Row],[costo_servicio]]))</f>
        <v/>
      </c>
      <c r="AK989" s="10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2">
        <f>IF(tblOrdenes[[#This Row],[fecha_inicio]]="","",TODAY()-tblOrdenes[[#This Row],[fecha_inicio]])</f>
        <v/>
      </c>
      <c r="AB9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0">
        <f>IF(tblOrdenes[[#This Row],[orden]]="","",_xlfn.XLOOKUP(tblOrdenes[[#This Row],[id_operacion]],tblEjecucion[id_operacion],tblEjecucion[precio],0))</f>
        <v/>
      </c>
      <c r="AJ990" s="10">
        <f>IF(tblOrdenes[[#This Row],[orden]]="","",MAX(0,_xlfn.XLOOKUP(tblOrdenes[[#This Row],[id_operacion]],tblEjecucion[id_operacion],tblEjecucion[costo_plan_total],0)-tblOrdenes[[#This Row],[costo_servicio]]))</f>
        <v/>
      </c>
      <c r="AK990" s="10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2">
        <f>IF(tblOrdenes[[#This Row],[fecha_inicio]]="","",TODAY()-tblOrdenes[[#This Row],[fecha_inicio]])</f>
        <v/>
      </c>
      <c r="AB9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0">
        <f>IF(tblOrdenes[[#This Row],[orden]]="","",_xlfn.XLOOKUP(tblOrdenes[[#This Row],[id_operacion]],tblEjecucion[id_operacion],tblEjecucion[precio],0))</f>
        <v/>
      </c>
      <c r="AJ991" s="10">
        <f>IF(tblOrdenes[[#This Row],[orden]]="","",MAX(0,_xlfn.XLOOKUP(tblOrdenes[[#This Row],[id_operacion]],tblEjecucion[id_operacion],tblEjecucion[costo_plan_total],0)-tblOrdenes[[#This Row],[costo_servicio]]))</f>
        <v/>
      </c>
      <c r="AK991" s="10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2">
        <f>IF(tblOrdenes[[#This Row],[fecha_inicio]]="","",TODAY()-tblOrdenes[[#This Row],[fecha_inicio]])</f>
        <v/>
      </c>
      <c r="AB9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0">
        <f>IF(tblOrdenes[[#This Row],[orden]]="","",_xlfn.XLOOKUP(tblOrdenes[[#This Row],[id_operacion]],tblEjecucion[id_operacion],tblEjecucion[precio],0))</f>
        <v/>
      </c>
      <c r="AJ992" s="10">
        <f>IF(tblOrdenes[[#This Row],[orden]]="","",MAX(0,_xlfn.XLOOKUP(tblOrdenes[[#This Row],[id_operacion]],tblEjecucion[id_operacion],tblEjecucion[costo_plan_total],0)-tblOrdenes[[#This Row],[costo_servicio]]))</f>
        <v/>
      </c>
      <c r="AK992" s="10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2">
        <f>IF(tblOrdenes[[#This Row],[fecha_inicio]]="","",TODAY()-tblOrdenes[[#This Row],[fecha_inicio]])</f>
        <v/>
      </c>
      <c r="AB9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0">
        <f>IF(tblOrdenes[[#This Row],[orden]]="","",_xlfn.XLOOKUP(tblOrdenes[[#This Row],[id_operacion]],tblEjecucion[id_operacion],tblEjecucion[precio],0))</f>
        <v/>
      </c>
      <c r="AJ993" s="10">
        <f>IF(tblOrdenes[[#This Row],[orden]]="","",MAX(0,_xlfn.XLOOKUP(tblOrdenes[[#This Row],[id_operacion]],tblEjecucion[id_operacion],tblEjecucion[costo_plan_total],0)-tblOrdenes[[#This Row],[costo_servicio]]))</f>
        <v/>
      </c>
      <c r="AK993" s="10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2">
        <f>IF(tblOrdenes[[#This Row],[fecha_inicio]]="","",TODAY()-tblOrdenes[[#This Row],[fecha_inicio]])</f>
        <v/>
      </c>
      <c r="AB9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0">
        <f>IF(tblOrdenes[[#This Row],[orden]]="","",_xlfn.XLOOKUP(tblOrdenes[[#This Row],[id_operacion]],tblEjecucion[id_operacion],tblEjecucion[precio],0))</f>
        <v/>
      </c>
      <c r="AJ994" s="10">
        <f>IF(tblOrdenes[[#This Row],[orden]]="","",MAX(0,_xlfn.XLOOKUP(tblOrdenes[[#This Row],[id_operacion]],tblEjecucion[id_operacion],tblEjecucion[costo_plan_total],0)-tblOrdenes[[#This Row],[costo_servicio]]))</f>
        <v/>
      </c>
      <c r="AK994" s="10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2">
        <f>IF(tblOrdenes[[#This Row],[fecha_inicio]]="","",TODAY()-tblOrdenes[[#This Row],[fecha_inicio]])</f>
        <v/>
      </c>
      <c r="AB9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0">
        <f>IF(tblOrdenes[[#This Row],[orden]]="","",_xlfn.XLOOKUP(tblOrdenes[[#This Row],[id_operacion]],tblEjecucion[id_operacion],tblEjecucion[precio],0))</f>
        <v/>
      </c>
      <c r="AJ995" s="10">
        <f>IF(tblOrdenes[[#This Row],[orden]]="","",MAX(0,_xlfn.XLOOKUP(tblOrdenes[[#This Row],[id_operacion]],tblEjecucion[id_operacion],tblEjecucion[costo_plan_total],0)-tblOrdenes[[#This Row],[costo_servicio]]))</f>
        <v/>
      </c>
      <c r="AK995" s="10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2">
        <f>IF(tblOrdenes[[#This Row],[fecha_inicio]]="","",TODAY()-tblOrdenes[[#This Row],[fecha_inicio]])</f>
        <v/>
      </c>
      <c r="AB9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0">
        <f>IF(tblOrdenes[[#This Row],[orden]]="","",_xlfn.XLOOKUP(tblOrdenes[[#This Row],[id_operacion]],tblEjecucion[id_operacion],tblEjecucion[precio],0))</f>
        <v/>
      </c>
      <c r="AJ996" s="10">
        <f>IF(tblOrdenes[[#This Row],[orden]]="","",MAX(0,_xlfn.XLOOKUP(tblOrdenes[[#This Row],[id_operacion]],tblEjecucion[id_operacion],tblEjecucion[costo_plan_total],0)-tblOrdenes[[#This Row],[costo_servicio]]))</f>
        <v/>
      </c>
      <c r="AK996" s="10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2">
        <f>IF(tblOrdenes[[#This Row],[fecha_inicio]]="","",TODAY()-tblOrdenes[[#This Row],[fecha_inicio]])</f>
        <v/>
      </c>
      <c r="AB9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0">
        <f>IF(tblOrdenes[[#This Row],[orden]]="","",_xlfn.XLOOKUP(tblOrdenes[[#This Row],[id_operacion]],tblEjecucion[id_operacion],tblEjecucion[precio],0))</f>
        <v/>
      </c>
      <c r="AJ997" s="10">
        <f>IF(tblOrdenes[[#This Row],[orden]]="","",MAX(0,_xlfn.XLOOKUP(tblOrdenes[[#This Row],[id_operacion]],tblEjecucion[id_operacion],tblEjecucion[costo_plan_total],0)-tblOrdenes[[#This Row],[costo_servicio]]))</f>
        <v/>
      </c>
      <c r="AK997" s="10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2">
        <f>IF(tblOrdenes[[#This Row],[fecha_inicio]]="","",TODAY()-tblOrdenes[[#This Row],[fecha_inicio]])</f>
        <v/>
      </c>
      <c r="AB9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0">
        <f>IF(tblOrdenes[[#This Row],[orden]]="","",_xlfn.XLOOKUP(tblOrdenes[[#This Row],[id_operacion]],tblEjecucion[id_operacion],tblEjecucion[precio],0))</f>
        <v/>
      </c>
      <c r="AJ998" s="10">
        <f>IF(tblOrdenes[[#This Row],[orden]]="","",MAX(0,_xlfn.XLOOKUP(tblOrdenes[[#This Row],[id_operacion]],tblEjecucion[id_operacion],tblEjecucion[costo_plan_total],0)-tblOrdenes[[#This Row],[costo_servicio]]))</f>
        <v/>
      </c>
      <c r="AK998" s="10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2">
        <f>IF(tblOrdenes[[#This Row],[fecha_inicio]]="","",TODAY()-tblOrdenes[[#This Row],[fecha_inicio]])</f>
        <v/>
      </c>
      <c r="AB9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0">
        <f>IF(tblOrdenes[[#This Row],[orden]]="","",_xlfn.XLOOKUP(tblOrdenes[[#This Row],[id_operacion]],tblEjecucion[id_operacion],tblEjecucion[precio],0))</f>
        <v/>
      </c>
      <c r="AJ999" s="10">
        <f>IF(tblOrdenes[[#This Row],[orden]]="","",MAX(0,_xlfn.XLOOKUP(tblOrdenes[[#This Row],[id_operacion]],tblEjecucion[id_operacion],tblEjecucion[costo_plan_total],0)-tblOrdenes[[#This Row],[costo_servicio]]))</f>
        <v/>
      </c>
      <c r="AK999" s="10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2">
        <f>IF(tblOrdenes[[#This Row],[fecha_inicio]]="","",TODAY()-tblOrdenes[[#This Row],[fecha_inicio]])</f>
        <v/>
      </c>
      <c r="AB10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0">
        <f>IF(tblOrdenes[[#This Row],[orden]]="","",_xlfn.XLOOKUP(tblOrdenes[[#This Row],[id_operacion]],tblEjecucion[id_operacion],tblEjecucion[precio],0))</f>
        <v/>
      </c>
      <c r="AJ1000" s="10">
        <f>IF(tblOrdenes[[#This Row],[orden]]="","",MAX(0,_xlfn.XLOOKUP(tblOrdenes[[#This Row],[id_operacion]],tblEjecucion[id_operacion],tblEjecucion[costo_plan_total],0)-tblOrdenes[[#This Row],[costo_servicio]]))</f>
        <v/>
      </c>
      <c r="AK1000" s="10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2">
        <f>IF(tblOrdenes[[#This Row],[fecha_inicio]]="","",TODAY()-tblOrdenes[[#This Row],[fecha_inicio]])</f>
        <v/>
      </c>
      <c r="AB10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0">
        <f>IF(tblOrdenes[[#This Row],[orden]]="","",_xlfn.XLOOKUP(tblOrdenes[[#This Row],[id_operacion]],tblEjecucion[id_operacion],tblEjecucion[precio],0))</f>
        <v/>
      </c>
      <c r="AJ1001" s="10">
        <f>IF(tblOrdenes[[#This Row],[orden]]="","",MAX(0,_xlfn.XLOOKUP(tblOrdenes[[#This Row],[id_operacion]],tblEjecucion[id_operacion],tblEjecucion[costo_plan_total],0)-tblOrdenes[[#This Row],[costo_servicio]]))</f>
        <v/>
      </c>
      <c r="AK1001" s="10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2">
        <f>IF(tblOrdenes[[#This Row],[fecha_inicio]]="","",TODAY()-tblOrdenes[[#This Row],[fecha_inicio]])</f>
        <v/>
      </c>
      <c r="AB10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0">
        <f>IF(tblOrdenes[[#This Row],[orden]]="","",_xlfn.XLOOKUP(tblOrdenes[[#This Row],[id_operacion]],tblEjecucion[id_operacion],tblEjecucion[precio],0))</f>
        <v/>
      </c>
      <c r="AJ1002" s="10">
        <f>IF(tblOrdenes[[#This Row],[orden]]="","",MAX(0,_xlfn.XLOOKUP(tblOrdenes[[#This Row],[id_operacion]],tblEjecucion[id_operacion],tblEjecucion[costo_plan_total],0)-tblOrdenes[[#This Row],[costo_servicio]]))</f>
        <v/>
      </c>
      <c r="AK1002" s="10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2">
        <f>IF(tblOrdenes[[#This Row],[fecha_inicio]]="","",TODAY()-tblOrdenes[[#This Row],[fecha_inicio]])</f>
        <v/>
      </c>
      <c r="AB10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0">
        <f>IF(tblOrdenes[[#This Row],[orden]]="","",_xlfn.XLOOKUP(tblOrdenes[[#This Row],[id_operacion]],tblEjecucion[id_operacion],tblEjecucion[precio],0))</f>
        <v/>
      </c>
      <c r="AJ1003" s="10">
        <f>IF(tblOrdenes[[#This Row],[orden]]="","",MAX(0,_xlfn.XLOOKUP(tblOrdenes[[#This Row],[id_operacion]],tblEjecucion[id_operacion],tblEjecucion[costo_plan_total],0)-tblOrdenes[[#This Row],[costo_servicio]]))</f>
        <v/>
      </c>
      <c r="AK1003" s="10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2">
        <f>IF(tblOrdenes[[#This Row],[fecha_inicio]]="","",TODAY()-tblOrdenes[[#This Row],[fecha_inicio]])</f>
        <v/>
      </c>
      <c r="AB10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0">
        <f>IF(tblOrdenes[[#This Row],[orden]]="","",_xlfn.XLOOKUP(tblOrdenes[[#This Row],[id_operacion]],tblEjecucion[id_operacion],tblEjecucion[precio],0))</f>
        <v/>
      </c>
      <c r="AJ1004" s="10">
        <f>IF(tblOrdenes[[#This Row],[orden]]="","",MAX(0,_xlfn.XLOOKUP(tblOrdenes[[#This Row],[id_operacion]],tblEjecucion[id_operacion],tblEjecucion[costo_plan_total],0)-tblOrdenes[[#This Row],[costo_servicio]]))</f>
        <v/>
      </c>
      <c r="AK1004" s="10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2">
        <f>IF(tblOrdenes[[#This Row],[fecha_inicio]]="","",TODAY()-tblOrdenes[[#This Row],[fecha_inicio]])</f>
        <v/>
      </c>
      <c r="AB10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0">
        <f>IF(tblOrdenes[[#This Row],[orden]]="","",_xlfn.XLOOKUP(tblOrdenes[[#This Row],[id_operacion]],tblEjecucion[id_operacion],tblEjecucion[precio],0))</f>
        <v/>
      </c>
      <c r="AJ1005" s="10">
        <f>IF(tblOrdenes[[#This Row],[orden]]="","",MAX(0,_xlfn.XLOOKUP(tblOrdenes[[#This Row],[id_operacion]],tblEjecucion[id_operacion],tblEjecucion[costo_plan_total],0)-tblOrdenes[[#This Row],[costo_servicio]]))</f>
        <v/>
      </c>
      <c r="AK1005" s="10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2">
        <f>IF(tblOrdenes[[#This Row],[fecha_inicio]]="","",TODAY()-tblOrdenes[[#This Row],[fecha_inicio]])</f>
        <v/>
      </c>
      <c r="AB10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0">
        <f>IF(tblOrdenes[[#This Row],[orden]]="","",_xlfn.XLOOKUP(tblOrdenes[[#This Row],[id_operacion]],tblEjecucion[id_operacion],tblEjecucion[precio],0))</f>
        <v/>
      </c>
      <c r="AJ1006" s="10">
        <f>IF(tblOrdenes[[#This Row],[orden]]="","",MAX(0,_xlfn.XLOOKUP(tblOrdenes[[#This Row],[id_operacion]],tblEjecucion[id_operacion],tblEjecucion[costo_plan_total],0)-tblOrdenes[[#This Row],[costo_servicio]]))</f>
        <v/>
      </c>
      <c r="AK1006" s="10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2">
        <f>IF(tblOrdenes[[#This Row],[fecha_inicio]]="","",TODAY()-tblOrdenes[[#This Row],[fecha_inicio]])</f>
        <v/>
      </c>
      <c r="AB10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0">
        <f>IF(tblOrdenes[[#This Row],[orden]]="","",_xlfn.XLOOKUP(tblOrdenes[[#This Row],[id_operacion]],tblEjecucion[id_operacion],tblEjecucion[precio],0))</f>
        <v/>
      </c>
      <c r="AJ1007" s="10">
        <f>IF(tblOrdenes[[#This Row],[orden]]="","",MAX(0,_xlfn.XLOOKUP(tblOrdenes[[#This Row],[id_operacion]],tblEjecucion[id_operacion],tblEjecucion[costo_plan_total],0)-tblOrdenes[[#This Row],[costo_servicio]]))</f>
        <v/>
      </c>
      <c r="AK1007" s="10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2">
        <f>IF(tblOrdenes[[#This Row],[fecha_inicio]]="","",TODAY()-tblOrdenes[[#This Row],[fecha_inicio]])</f>
        <v/>
      </c>
      <c r="AB10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0">
        <f>IF(tblOrdenes[[#This Row],[orden]]="","",_xlfn.XLOOKUP(tblOrdenes[[#This Row],[id_operacion]],tblEjecucion[id_operacion],tblEjecucion[precio],0))</f>
        <v/>
      </c>
      <c r="AJ1008" s="10">
        <f>IF(tblOrdenes[[#This Row],[orden]]="","",MAX(0,_xlfn.XLOOKUP(tblOrdenes[[#This Row],[id_operacion]],tblEjecucion[id_operacion],tblEjecucion[costo_plan_total],0)-tblOrdenes[[#This Row],[costo_servicio]]))</f>
        <v/>
      </c>
      <c r="AK1008" s="10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2">
        <f>IF(tblOrdenes[[#This Row],[fecha_inicio]]="","",TODAY()-tblOrdenes[[#This Row],[fecha_inicio]])</f>
        <v/>
      </c>
      <c r="AB10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0">
        <f>IF(tblOrdenes[[#This Row],[orden]]="","",_xlfn.XLOOKUP(tblOrdenes[[#This Row],[id_operacion]],tblEjecucion[id_operacion],tblEjecucion[precio],0))</f>
        <v/>
      </c>
      <c r="AJ1009" s="10">
        <f>IF(tblOrdenes[[#This Row],[orden]]="","",MAX(0,_xlfn.XLOOKUP(tblOrdenes[[#This Row],[id_operacion]],tblEjecucion[id_operacion],tblEjecucion[costo_plan_total],0)-tblOrdenes[[#This Row],[costo_servicio]]))</f>
        <v/>
      </c>
      <c r="AK1009" s="10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2">
        <f>IF(tblOrdenes[[#This Row],[fecha_inicio]]="","",TODAY()-tblOrdenes[[#This Row],[fecha_inicio]])</f>
        <v/>
      </c>
      <c r="AB10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0">
        <f>IF(tblOrdenes[[#This Row],[orden]]="","",_xlfn.XLOOKUP(tblOrdenes[[#This Row],[id_operacion]],tblEjecucion[id_operacion],tblEjecucion[precio],0))</f>
        <v/>
      </c>
      <c r="AJ1010" s="10">
        <f>IF(tblOrdenes[[#This Row],[orden]]="","",MAX(0,_xlfn.XLOOKUP(tblOrdenes[[#This Row],[id_operacion]],tblEjecucion[id_operacion],tblEjecucion[costo_plan_total],0)-tblOrdenes[[#This Row],[costo_servicio]]))</f>
        <v/>
      </c>
      <c r="AK1010" s="10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2">
        <f>IF(tblOrdenes[[#This Row],[fecha_inicio]]="","",TODAY()-tblOrdenes[[#This Row],[fecha_inicio]])</f>
        <v/>
      </c>
      <c r="AB10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0">
        <f>IF(tblOrdenes[[#This Row],[orden]]="","",_xlfn.XLOOKUP(tblOrdenes[[#This Row],[id_operacion]],tblEjecucion[id_operacion],tblEjecucion[precio],0))</f>
        <v/>
      </c>
      <c r="AJ1011" s="10">
        <f>IF(tblOrdenes[[#This Row],[orden]]="","",MAX(0,_xlfn.XLOOKUP(tblOrdenes[[#This Row],[id_operacion]],tblEjecucion[id_operacion],tblEjecucion[costo_plan_total],0)-tblOrdenes[[#This Row],[costo_servicio]]))</f>
        <v/>
      </c>
      <c r="AK1011" s="10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2">
        <f>IF(tblOrdenes[[#This Row],[fecha_inicio]]="","",TODAY()-tblOrdenes[[#This Row],[fecha_inicio]])</f>
        <v/>
      </c>
      <c r="AB10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0">
        <f>IF(tblOrdenes[[#This Row],[orden]]="","",_xlfn.XLOOKUP(tblOrdenes[[#This Row],[id_operacion]],tblEjecucion[id_operacion],tblEjecucion[precio],0))</f>
        <v/>
      </c>
      <c r="AJ1012" s="10">
        <f>IF(tblOrdenes[[#This Row],[orden]]="","",MAX(0,_xlfn.XLOOKUP(tblOrdenes[[#This Row],[id_operacion]],tblEjecucion[id_operacion],tblEjecucion[costo_plan_total],0)-tblOrdenes[[#This Row],[costo_servicio]]))</f>
        <v/>
      </c>
      <c r="AK1012" s="10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2">
        <f>IF(tblOrdenes[[#This Row],[fecha_inicio]]="","",TODAY()-tblOrdenes[[#This Row],[fecha_inicio]])</f>
        <v/>
      </c>
      <c r="AB10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0">
        <f>IF(tblOrdenes[[#This Row],[orden]]="","",_xlfn.XLOOKUP(tblOrdenes[[#This Row],[id_operacion]],tblEjecucion[id_operacion],tblEjecucion[precio],0))</f>
        <v/>
      </c>
      <c r="AJ1013" s="10">
        <f>IF(tblOrdenes[[#This Row],[orden]]="","",MAX(0,_xlfn.XLOOKUP(tblOrdenes[[#This Row],[id_operacion]],tblEjecucion[id_operacion],tblEjecucion[costo_plan_total],0)-tblOrdenes[[#This Row],[costo_servicio]]))</f>
        <v/>
      </c>
      <c r="AK1013" s="10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2">
        <f>IF(tblOrdenes[[#This Row],[fecha_inicio]]="","",TODAY()-tblOrdenes[[#This Row],[fecha_inicio]])</f>
        <v/>
      </c>
      <c r="AB10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0">
        <f>IF(tblOrdenes[[#This Row],[orden]]="","",_xlfn.XLOOKUP(tblOrdenes[[#This Row],[id_operacion]],tblEjecucion[id_operacion],tblEjecucion[precio],0))</f>
        <v/>
      </c>
      <c r="AJ1014" s="10">
        <f>IF(tblOrdenes[[#This Row],[orden]]="","",MAX(0,_xlfn.XLOOKUP(tblOrdenes[[#This Row],[id_operacion]],tblEjecucion[id_operacion],tblEjecucion[costo_plan_total],0)-tblOrdenes[[#This Row],[costo_servicio]]))</f>
        <v/>
      </c>
      <c r="AK1014" s="10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2">
        <f>IF(tblOrdenes[[#This Row],[fecha_inicio]]="","",TODAY()-tblOrdenes[[#This Row],[fecha_inicio]])</f>
        <v/>
      </c>
      <c r="AB10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0">
        <f>IF(tblOrdenes[[#This Row],[orden]]="","",_xlfn.XLOOKUP(tblOrdenes[[#This Row],[id_operacion]],tblEjecucion[id_operacion],tblEjecucion[precio],0))</f>
        <v/>
      </c>
      <c r="AJ1015" s="10">
        <f>IF(tblOrdenes[[#This Row],[orden]]="","",MAX(0,_xlfn.XLOOKUP(tblOrdenes[[#This Row],[id_operacion]],tblEjecucion[id_operacion],tblEjecucion[costo_plan_total],0)-tblOrdenes[[#This Row],[costo_servicio]]))</f>
        <v/>
      </c>
      <c r="AK1015" s="10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2">
        <f>IF(tblOrdenes[[#This Row],[fecha_inicio]]="","",TODAY()-tblOrdenes[[#This Row],[fecha_inicio]])</f>
        <v/>
      </c>
      <c r="AB10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0">
        <f>IF(tblOrdenes[[#This Row],[orden]]="","",_xlfn.XLOOKUP(tblOrdenes[[#This Row],[id_operacion]],tblEjecucion[id_operacion],tblEjecucion[precio],0))</f>
        <v/>
      </c>
      <c r="AJ1016" s="10">
        <f>IF(tblOrdenes[[#This Row],[orden]]="","",MAX(0,_xlfn.XLOOKUP(tblOrdenes[[#This Row],[id_operacion]],tblEjecucion[id_operacion],tblEjecucion[costo_plan_total],0)-tblOrdenes[[#This Row],[costo_servicio]]))</f>
        <v/>
      </c>
      <c r="AK1016" s="10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2">
        <f>IF(tblOrdenes[[#This Row],[fecha_inicio]]="","",TODAY()-tblOrdenes[[#This Row],[fecha_inicio]])</f>
        <v/>
      </c>
      <c r="AB10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0">
        <f>IF(tblOrdenes[[#This Row],[orden]]="","",_xlfn.XLOOKUP(tblOrdenes[[#This Row],[id_operacion]],tblEjecucion[id_operacion],tblEjecucion[precio],0))</f>
        <v/>
      </c>
      <c r="AJ1017" s="10">
        <f>IF(tblOrdenes[[#This Row],[orden]]="","",MAX(0,_xlfn.XLOOKUP(tblOrdenes[[#This Row],[id_operacion]],tblEjecucion[id_operacion],tblEjecucion[costo_plan_total],0)-tblOrdenes[[#This Row],[costo_servicio]]))</f>
        <v/>
      </c>
      <c r="AK1017" s="10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2">
        <f>IF(tblOrdenes[[#This Row],[fecha_inicio]]="","",TODAY()-tblOrdenes[[#This Row],[fecha_inicio]])</f>
        <v/>
      </c>
      <c r="AB10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0">
        <f>IF(tblOrdenes[[#This Row],[orden]]="","",_xlfn.XLOOKUP(tblOrdenes[[#This Row],[id_operacion]],tblEjecucion[id_operacion],tblEjecucion[precio],0))</f>
        <v/>
      </c>
      <c r="AJ1018" s="10">
        <f>IF(tblOrdenes[[#This Row],[orden]]="","",MAX(0,_xlfn.XLOOKUP(tblOrdenes[[#This Row],[id_operacion]],tblEjecucion[id_operacion],tblEjecucion[costo_plan_total],0)-tblOrdenes[[#This Row],[costo_servicio]]))</f>
        <v/>
      </c>
      <c r="AK1018" s="10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2">
        <f>IF(tblOrdenes[[#This Row],[fecha_inicio]]="","",TODAY()-tblOrdenes[[#This Row],[fecha_inicio]])</f>
        <v/>
      </c>
      <c r="AB10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0">
        <f>IF(tblOrdenes[[#This Row],[orden]]="","",_xlfn.XLOOKUP(tblOrdenes[[#This Row],[id_operacion]],tblEjecucion[id_operacion],tblEjecucion[precio],0))</f>
        <v/>
      </c>
      <c r="AJ1019" s="10">
        <f>IF(tblOrdenes[[#This Row],[orden]]="","",MAX(0,_xlfn.XLOOKUP(tblOrdenes[[#This Row],[id_operacion]],tblEjecucion[id_operacion],tblEjecucion[costo_plan_total],0)-tblOrdenes[[#This Row],[costo_servicio]]))</f>
        <v/>
      </c>
      <c r="AK1019" s="10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2">
        <f>IF(tblOrdenes[[#This Row],[fecha_inicio]]="","",TODAY()-tblOrdenes[[#This Row],[fecha_inicio]])</f>
        <v/>
      </c>
      <c r="AB10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0">
        <f>IF(tblOrdenes[[#This Row],[orden]]="","",_xlfn.XLOOKUP(tblOrdenes[[#This Row],[id_operacion]],tblEjecucion[id_operacion],tblEjecucion[precio],0))</f>
        <v/>
      </c>
      <c r="AJ1020" s="10">
        <f>IF(tblOrdenes[[#This Row],[orden]]="","",MAX(0,_xlfn.XLOOKUP(tblOrdenes[[#This Row],[id_operacion]],tblEjecucion[id_operacion],tblEjecucion[costo_plan_total],0)-tblOrdenes[[#This Row],[costo_servicio]]))</f>
        <v/>
      </c>
      <c r="AK1020" s="10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2">
        <f>IF(tblOrdenes[[#This Row],[fecha_inicio]]="","",TODAY()-tblOrdenes[[#This Row],[fecha_inicio]])</f>
        <v/>
      </c>
      <c r="AB10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0">
        <f>IF(tblOrdenes[[#This Row],[orden]]="","",_xlfn.XLOOKUP(tblOrdenes[[#This Row],[id_operacion]],tblEjecucion[id_operacion],tblEjecucion[precio],0))</f>
        <v/>
      </c>
      <c r="AJ1021" s="10">
        <f>IF(tblOrdenes[[#This Row],[orden]]="","",MAX(0,_xlfn.XLOOKUP(tblOrdenes[[#This Row],[id_operacion]],tblEjecucion[id_operacion],tblEjecucion[costo_plan_total],0)-tblOrdenes[[#This Row],[costo_servicio]]))</f>
        <v/>
      </c>
      <c r="AK1021" s="10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2">
        <f>IF(tblOrdenes[[#This Row],[fecha_inicio]]="","",TODAY()-tblOrdenes[[#This Row],[fecha_inicio]])</f>
        <v/>
      </c>
      <c r="AB10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0">
        <f>IF(tblOrdenes[[#This Row],[orden]]="","",_xlfn.XLOOKUP(tblOrdenes[[#This Row],[id_operacion]],tblEjecucion[id_operacion],tblEjecucion[precio],0))</f>
        <v/>
      </c>
      <c r="AJ1022" s="10">
        <f>IF(tblOrdenes[[#This Row],[orden]]="","",MAX(0,_xlfn.XLOOKUP(tblOrdenes[[#This Row],[id_operacion]],tblEjecucion[id_operacion],tblEjecucion[costo_plan_total],0)-tblOrdenes[[#This Row],[costo_servicio]]))</f>
        <v/>
      </c>
      <c r="AK1022" s="10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2">
        <f>IF(tblOrdenes[[#This Row],[fecha_inicio]]="","",TODAY()-tblOrdenes[[#This Row],[fecha_inicio]])</f>
        <v/>
      </c>
      <c r="AB10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0">
        <f>IF(tblOrdenes[[#This Row],[orden]]="","",_xlfn.XLOOKUP(tblOrdenes[[#This Row],[id_operacion]],tblEjecucion[id_operacion],tblEjecucion[precio],0))</f>
        <v/>
      </c>
      <c r="AJ1023" s="10">
        <f>IF(tblOrdenes[[#This Row],[orden]]="","",MAX(0,_xlfn.XLOOKUP(tblOrdenes[[#This Row],[id_operacion]],tblEjecucion[id_operacion],tblEjecucion[costo_plan_total],0)-tblOrdenes[[#This Row],[costo_servicio]]))</f>
        <v/>
      </c>
      <c r="AK1023" s="10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2">
        <f>IF(tblOrdenes[[#This Row],[fecha_inicio]]="","",TODAY()-tblOrdenes[[#This Row],[fecha_inicio]])</f>
        <v/>
      </c>
      <c r="AB10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0">
        <f>IF(tblOrdenes[[#This Row],[orden]]="","",_xlfn.XLOOKUP(tblOrdenes[[#This Row],[id_operacion]],tblEjecucion[id_operacion],tblEjecucion[precio],0))</f>
        <v/>
      </c>
      <c r="AJ1024" s="10">
        <f>IF(tblOrdenes[[#This Row],[orden]]="","",MAX(0,_xlfn.XLOOKUP(tblOrdenes[[#This Row],[id_operacion]],tblEjecucion[id_operacion],tblEjecucion[costo_plan_total],0)-tblOrdenes[[#This Row],[costo_servicio]]))</f>
        <v/>
      </c>
      <c r="AK1024" s="10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2">
        <f>IF(tblOrdenes[[#This Row],[fecha_inicio]]="","",TODAY()-tblOrdenes[[#This Row],[fecha_inicio]])</f>
        <v/>
      </c>
      <c r="AB10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0">
        <f>IF(tblOrdenes[[#This Row],[orden]]="","",_xlfn.XLOOKUP(tblOrdenes[[#This Row],[id_operacion]],tblEjecucion[id_operacion],tblEjecucion[precio],0))</f>
        <v/>
      </c>
      <c r="AJ1025" s="10">
        <f>IF(tblOrdenes[[#This Row],[orden]]="","",MAX(0,_xlfn.XLOOKUP(tblOrdenes[[#This Row],[id_operacion]],tblEjecucion[id_operacion],tblEjecucion[costo_plan_total],0)-tblOrdenes[[#This Row],[costo_servicio]]))</f>
        <v/>
      </c>
      <c r="AK1025" s="10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2">
        <f>IF(tblOrdenes[[#This Row],[fecha_inicio]]="","",TODAY()-tblOrdenes[[#This Row],[fecha_inicio]])</f>
        <v/>
      </c>
      <c r="AB10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0">
        <f>IF(tblOrdenes[[#This Row],[orden]]="","",_xlfn.XLOOKUP(tblOrdenes[[#This Row],[id_operacion]],tblEjecucion[id_operacion],tblEjecucion[precio],0))</f>
        <v/>
      </c>
      <c r="AJ1026" s="10">
        <f>IF(tblOrdenes[[#This Row],[orden]]="","",MAX(0,_xlfn.XLOOKUP(tblOrdenes[[#This Row],[id_operacion]],tblEjecucion[id_operacion],tblEjecucion[costo_plan_total],0)-tblOrdenes[[#This Row],[costo_servicio]]))</f>
        <v/>
      </c>
      <c r="AK1026" s="10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2">
        <f>IF(tblOrdenes[[#This Row],[fecha_inicio]]="","",TODAY()-tblOrdenes[[#This Row],[fecha_inicio]])</f>
        <v/>
      </c>
      <c r="AB10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0">
        <f>IF(tblOrdenes[[#This Row],[orden]]="","",_xlfn.XLOOKUP(tblOrdenes[[#This Row],[id_operacion]],tblEjecucion[id_operacion],tblEjecucion[precio],0))</f>
        <v/>
      </c>
      <c r="AJ1027" s="10">
        <f>IF(tblOrdenes[[#This Row],[orden]]="","",MAX(0,_xlfn.XLOOKUP(tblOrdenes[[#This Row],[id_operacion]],tblEjecucion[id_operacion],tblEjecucion[costo_plan_total],0)-tblOrdenes[[#This Row],[costo_servicio]]))</f>
        <v/>
      </c>
      <c r="AK1027" s="10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2">
        <f>IF(tblOrdenes[[#This Row],[fecha_inicio]]="","",TODAY()-tblOrdenes[[#This Row],[fecha_inicio]])</f>
        <v/>
      </c>
      <c r="AB10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0">
        <f>IF(tblOrdenes[[#This Row],[orden]]="","",_xlfn.XLOOKUP(tblOrdenes[[#This Row],[id_operacion]],tblEjecucion[id_operacion],tblEjecucion[precio],0))</f>
        <v/>
      </c>
      <c r="AJ1028" s="10">
        <f>IF(tblOrdenes[[#This Row],[orden]]="","",MAX(0,_xlfn.XLOOKUP(tblOrdenes[[#This Row],[id_operacion]],tblEjecucion[id_operacion],tblEjecucion[costo_plan_total],0)-tblOrdenes[[#This Row],[costo_servicio]]))</f>
        <v/>
      </c>
      <c r="AK1028" s="10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2">
        <f>IF(tblOrdenes[[#This Row],[fecha_inicio]]="","",TODAY()-tblOrdenes[[#This Row],[fecha_inicio]])</f>
        <v/>
      </c>
      <c r="AB10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0">
        <f>IF(tblOrdenes[[#This Row],[orden]]="","",_xlfn.XLOOKUP(tblOrdenes[[#This Row],[id_operacion]],tblEjecucion[id_operacion],tblEjecucion[precio],0))</f>
        <v/>
      </c>
      <c r="AJ1029" s="10">
        <f>IF(tblOrdenes[[#This Row],[orden]]="","",MAX(0,_xlfn.XLOOKUP(tblOrdenes[[#This Row],[id_operacion]],tblEjecucion[id_operacion],tblEjecucion[costo_plan_total],0)-tblOrdenes[[#This Row],[costo_servicio]]))</f>
        <v/>
      </c>
      <c r="AK1029" s="10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2">
        <f>IF(tblOrdenes[[#This Row],[fecha_inicio]]="","",TODAY()-tblOrdenes[[#This Row],[fecha_inicio]])</f>
        <v/>
      </c>
      <c r="AB10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0">
        <f>IF(tblOrdenes[[#This Row],[orden]]="","",_xlfn.XLOOKUP(tblOrdenes[[#This Row],[id_operacion]],tblEjecucion[id_operacion],tblEjecucion[precio],0))</f>
        <v/>
      </c>
      <c r="AJ1030" s="10">
        <f>IF(tblOrdenes[[#This Row],[orden]]="","",MAX(0,_xlfn.XLOOKUP(tblOrdenes[[#This Row],[id_operacion]],tblEjecucion[id_operacion],tblEjecucion[costo_plan_total],0)-tblOrdenes[[#This Row],[costo_servicio]]))</f>
        <v/>
      </c>
      <c r="AK1030" s="10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2">
        <f>IF(tblOrdenes[[#This Row],[fecha_inicio]]="","",TODAY()-tblOrdenes[[#This Row],[fecha_inicio]])</f>
        <v/>
      </c>
      <c r="AB10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0">
        <f>IF(tblOrdenes[[#This Row],[orden]]="","",_xlfn.XLOOKUP(tblOrdenes[[#This Row],[id_operacion]],tblEjecucion[id_operacion],tblEjecucion[precio],0))</f>
        <v/>
      </c>
      <c r="AJ1031" s="10">
        <f>IF(tblOrdenes[[#This Row],[orden]]="","",MAX(0,_xlfn.XLOOKUP(tblOrdenes[[#This Row],[id_operacion]],tblEjecucion[id_operacion],tblEjecucion[costo_plan_total],0)-tblOrdenes[[#This Row],[costo_servicio]]))</f>
        <v/>
      </c>
      <c r="AK1031" s="10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2">
        <f>IF(tblOrdenes[[#This Row],[fecha_inicio]]="","",TODAY()-tblOrdenes[[#This Row],[fecha_inicio]])</f>
        <v/>
      </c>
      <c r="AB10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0">
        <f>IF(tblOrdenes[[#This Row],[orden]]="","",_xlfn.XLOOKUP(tblOrdenes[[#This Row],[id_operacion]],tblEjecucion[id_operacion],tblEjecucion[precio],0))</f>
        <v/>
      </c>
      <c r="AJ1032" s="10">
        <f>IF(tblOrdenes[[#This Row],[orden]]="","",MAX(0,_xlfn.XLOOKUP(tblOrdenes[[#This Row],[id_operacion]],tblEjecucion[id_operacion],tblEjecucion[costo_plan_total],0)-tblOrdenes[[#This Row],[costo_servicio]]))</f>
        <v/>
      </c>
      <c r="AK1032" s="10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2">
        <f>IF(tblOrdenes[[#This Row],[fecha_inicio]]="","",TODAY()-tblOrdenes[[#This Row],[fecha_inicio]])</f>
        <v/>
      </c>
      <c r="AB10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0">
        <f>IF(tblOrdenes[[#This Row],[orden]]="","",_xlfn.XLOOKUP(tblOrdenes[[#This Row],[id_operacion]],tblEjecucion[id_operacion],tblEjecucion[precio],0))</f>
        <v/>
      </c>
      <c r="AJ1033" s="10">
        <f>IF(tblOrdenes[[#This Row],[orden]]="","",MAX(0,_xlfn.XLOOKUP(tblOrdenes[[#This Row],[id_operacion]],tblEjecucion[id_operacion],tblEjecucion[costo_plan_total],0)-tblOrdenes[[#This Row],[costo_servicio]]))</f>
        <v/>
      </c>
      <c r="AK1033" s="10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2">
        <f>IF(tblOrdenes[[#This Row],[fecha_inicio]]="","",TODAY()-tblOrdenes[[#This Row],[fecha_inicio]])</f>
        <v/>
      </c>
      <c r="AB10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0">
        <f>IF(tblOrdenes[[#This Row],[orden]]="","",_xlfn.XLOOKUP(tblOrdenes[[#This Row],[id_operacion]],tblEjecucion[id_operacion],tblEjecucion[precio],0))</f>
        <v/>
      </c>
      <c r="AJ1034" s="10">
        <f>IF(tblOrdenes[[#This Row],[orden]]="","",MAX(0,_xlfn.XLOOKUP(tblOrdenes[[#This Row],[id_operacion]],tblEjecucion[id_operacion],tblEjecucion[costo_plan_total],0)-tblOrdenes[[#This Row],[costo_servicio]]))</f>
        <v/>
      </c>
      <c r="AK1034" s="10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2">
        <f>IF(tblOrdenes[[#This Row],[fecha_inicio]]="","",TODAY()-tblOrdenes[[#This Row],[fecha_inicio]])</f>
        <v/>
      </c>
      <c r="AB10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0">
        <f>IF(tblOrdenes[[#This Row],[orden]]="","",_xlfn.XLOOKUP(tblOrdenes[[#This Row],[id_operacion]],tblEjecucion[id_operacion],tblEjecucion[precio],0))</f>
        <v/>
      </c>
      <c r="AJ1035" s="10">
        <f>IF(tblOrdenes[[#This Row],[orden]]="","",MAX(0,_xlfn.XLOOKUP(tblOrdenes[[#This Row],[id_operacion]],tblEjecucion[id_operacion],tblEjecucion[costo_plan_total],0)-tblOrdenes[[#This Row],[costo_servicio]]))</f>
        <v/>
      </c>
      <c r="AK1035" s="10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2">
        <f>IF(tblOrdenes[[#This Row],[fecha_inicio]]="","",TODAY()-tblOrdenes[[#This Row],[fecha_inicio]])</f>
        <v/>
      </c>
      <c r="AB10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0">
        <f>IF(tblOrdenes[[#This Row],[orden]]="","",_xlfn.XLOOKUP(tblOrdenes[[#This Row],[id_operacion]],tblEjecucion[id_operacion],tblEjecucion[precio],0))</f>
        <v/>
      </c>
      <c r="AJ1036" s="10">
        <f>IF(tblOrdenes[[#This Row],[orden]]="","",MAX(0,_xlfn.XLOOKUP(tblOrdenes[[#This Row],[id_operacion]],tblEjecucion[id_operacion],tblEjecucion[costo_plan_total],0)-tblOrdenes[[#This Row],[costo_servicio]]))</f>
        <v/>
      </c>
      <c r="AK1036" s="10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2">
        <f>IF(tblOrdenes[[#This Row],[fecha_inicio]]="","",TODAY()-tblOrdenes[[#This Row],[fecha_inicio]])</f>
        <v/>
      </c>
      <c r="AB10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0">
        <f>IF(tblOrdenes[[#This Row],[orden]]="","",_xlfn.XLOOKUP(tblOrdenes[[#This Row],[id_operacion]],tblEjecucion[id_operacion],tblEjecucion[precio],0))</f>
        <v/>
      </c>
      <c r="AJ1037" s="10">
        <f>IF(tblOrdenes[[#This Row],[orden]]="","",MAX(0,_xlfn.XLOOKUP(tblOrdenes[[#This Row],[id_operacion]],tblEjecucion[id_operacion],tblEjecucion[costo_plan_total],0)-tblOrdenes[[#This Row],[costo_servicio]]))</f>
        <v/>
      </c>
      <c r="AK1037" s="10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2">
        <f>IF(tblOrdenes[[#This Row],[fecha_inicio]]="","",TODAY()-tblOrdenes[[#This Row],[fecha_inicio]])</f>
        <v/>
      </c>
      <c r="AB10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0">
        <f>IF(tblOrdenes[[#This Row],[orden]]="","",_xlfn.XLOOKUP(tblOrdenes[[#This Row],[id_operacion]],tblEjecucion[id_operacion],tblEjecucion[precio],0))</f>
        <v/>
      </c>
      <c r="AJ1038" s="10">
        <f>IF(tblOrdenes[[#This Row],[orden]]="","",MAX(0,_xlfn.XLOOKUP(tblOrdenes[[#This Row],[id_operacion]],tblEjecucion[id_operacion],tblEjecucion[costo_plan_total],0)-tblOrdenes[[#This Row],[costo_servicio]]))</f>
        <v/>
      </c>
      <c r="AK1038" s="10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2">
        <f>IF(tblOrdenes[[#This Row],[fecha_inicio]]="","",TODAY()-tblOrdenes[[#This Row],[fecha_inicio]])</f>
        <v/>
      </c>
      <c r="AB10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0">
        <f>IF(tblOrdenes[[#This Row],[orden]]="","",_xlfn.XLOOKUP(tblOrdenes[[#This Row],[id_operacion]],tblEjecucion[id_operacion],tblEjecucion[precio],0))</f>
        <v/>
      </c>
      <c r="AJ1039" s="10">
        <f>IF(tblOrdenes[[#This Row],[orden]]="","",MAX(0,_xlfn.XLOOKUP(tblOrdenes[[#This Row],[id_operacion]],tblEjecucion[id_operacion],tblEjecucion[costo_plan_total],0)-tblOrdenes[[#This Row],[costo_servicio]]))</f>
        <v/>
      </c>
      <c r="AK1039" s="10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2">
        <f>IF(tblOrdenes[[#This Row],[fecha_inicio]]="","",TODAY()-tblOrdenes[[#This Row],[fecha_inicio]])</f>
        <v/>
      </c>
      <c r="AB10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0">
        <f>IF(tblOrdenes[[#This Row],[orden]]="","",_xlfn.XLOOKUP(tblOrdenes[[#This Row],[id_operacion]],tblEjecucion[id_operacion],tblEjecucion[precio],0))</f>
        <v/>
      </c>
      <c r="AJ1040" s="10">
        <f>IF(tblOrdenes[[#This Row],[orden]]="","",MAX(0,_xlfn.XLOOKUP(tblOrdenes[[#This Row],[id_operacion]],tblEjecucion[id_operacion],tblEjecucion[costo_plan_total],0)-tblOrdenes[[#This Row],[costo_servicio]]))</f>
        <v/>
      </c>
      <c r="AK1040" s="10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2">
        <f>IF(tblOrdenes[[#This Row],[fecha_inicio]]="","",TODAY()-tblOrdenes[[#This Row],[fecha_inicio]])</f>
        <v/>
      </c>
      <c r="AB10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0">
        <f>IF(tblOrdenes[[#This Row],[orden]]="","",_xlfn.XLOOKUP(tblOrdenes[[#This Row],[id_operacion]],tblEjecucion[id_operacion],tblEjecucion[precio],0))</f>
        <v/>
      </c>
      <c r="AJ1041" s="10">
        <f>IF(tblOrdenes[[#This Row],[orden]]="","",MAX(0,_xlfn.XLOOKUP(tblOrdenes[[#This Row],[id_operacion]],tblEjecucion[id_operacion],tblEjecucion[costo_plan_total],0)-tblOrdenes[[#This Row],[costo_servicio]]))</f>
        <v/>
      </c>
      <c r="AK1041" s="10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2">
        <f>IF(tblOrdenes[[#This Row],[fecha_inicio]]="","",TODAY()-tblOrdenes[[#This Row],[fecha_inicio]])</f>
        <v/>
      </c>
      <c r="AB10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0">
        <f>IF(tblOrdenes[[#This Row],[orden]]="","",_xlfn.XLOOKUP(tblOrdenes[[#This Row],[id_operacion]],tblEjecucion[id_operacion],tblEjecucion[precio],0))</f>
        <v/>
      </c>
      <c r="AJ1042" s="10">
        <f>IF(tblOrdenes[[#This Row],[orden]]="","",MAX(0,_xlfn.XLOOKUP(tblOrdenes[[#This Row],[id_operacion]],tblEjecucion[id_operacion],tblEjecucion[costo_plan_total],0)-tblOrdenes[[#This Row],[costo_servicio]]))</f>
        <v/>
      </c>
      <c r="AK1042" s="10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2">
        <f>IF(tblOrdenes[[#This Row],[fecha_inicio]]="","",TODAY()-tblOrdenes[[#This Row],[fecha_inicio]])</f>
        <v/>
      </c>
      <c r="AB10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0">
        <f>IF(tblOrdenes[[#This Row],[orden]]="","",_xlfn.XLOOKUP(tblOrdenes[[#This Row],[id_operacion]],tblEjecucion[id_operacion],tblEjecucion[precio],0))</f>
        <v/>
      </c>
      <c r="AJ1043" s="10">
        <f>IF(tblOrdenes[[#This Row],[orden]]="","",MAX(0,_xlfn.XLOOKUP(tblOrdenes[[#This Row],[id_operacion]],tblEjecucion[id_operacion],tblEjecucion[costo_plan_total],0)-tblOrdenes[[#This Row],[costo_servicio]]))</f>
        <v/>
      </c>
      <c r="AK1043" s="10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2">
        <f>IF(tblOrdenes[[#This Row],[fecha_inicio]]="","",TODAY()-tblOrdenes[[#This Row],[fecha_inicio]])</f>
        <v/>
      </c>
      <c r="AB10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0">
        <f>IF(tblOrdenes[[#This Row],[orden]]="","",_xlfn.XLOOKUP(tblOrdenes[[#This Row],[id_operacion]],tblEjecucion[id_operacion],tblEjecucion[precio],0))</f>
        <v/>
      </c>
      <c r="AJ1044" s="10">
        <f>IF(tblOrdenes[[#This Row],[orden]]="","",MAX(0,_xlfn.XLOOKUP(tblOrdenes[[#This Row],[id_operacion]],tblEjecucion[id_operacion],tblEjecucion[costo_plan_total],0)-tblOrdenes[[#This Row],[costo_servicio]]))</f>
        <v/>
      </c>
      <c r="AK1044" s="10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2">
        <f>IF(tblOrdenes[[#This Row],[fecha_inicio]]="","",TODAY()-tblOrdenes[[#This Row],[fecha_inicio]])</f>
        <v/>
      </c>
      <c r="AB10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0">
        <f>IF(tblOrdenes[[#This Row],[orden]]="","",_xlfn.XLOOKUP(tblOrdenes[[#This Row],[id_operacion]],tblEjecucion[id_operacion],tblEjecucion[precio],0))</f>
        <v/>
      </c>
      <c r="AJ1045" s="10">
        <f>IF(tblOrdenes[[#This Row],[orden]]="","",MAX(0,_xlfn.XLOOKUP(tblOrdenes[[#This Row],[id_operacion]],tblEjecucion[id_operacion],tblEjecucion[costo_plan_total],0)-tblOrdenes[[#This Row],[costo_servicio]]))</f>
        <v/>
      </c>
      <c r="AK1045" s="10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2">
        <f>IF(tblOrdenes[[#This Row],[fecha_inicio]]="","",TODAY()-tblOrdenes[[#This Row],[fecha_inicio]])</f>
        <v/>
      </c>
      <c r="AB10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0">
        <f>IF(tblOrdenes[[#This Row],[orden]]="","",_xlfn.XLOOKUP(tblOrdenes[[#This Row],[id_operacion]],tblEjecucion[id_operacion],tblEjecucion[precio],0))</f>
        <v/>
      </c>
      <c r="AJ1046" s="10">
        <f>IF(tblOrdenes[[#This Row],[orden]]="","",MAX(0,_xlfn.XLOOKUP(tblOrdenes[[#This Row],[id_operacion]],tblEjecucion[id_operacion],tblEjecucion[costo_plan_total],0)-tblOrdenes[[#This Row],[costo_servicio]]))</f>
        <v/>
      </c>
      <c r="AK1046" s="10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2">
        <f>IF(tblOrdenes[[#This Row],[fecha_inicio]]="","",TODAY()-tblOrdenes[[#This Row],[fecha_inicio]])</f>
        <v/>
      </c>
      <c r="AB10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0">
        <f>IF(tblOrdenes[[#This Row],[orden]]="","",_xlfn.XLOOKUP(tblOrdenes[[#This Row],[id_operacion]],tblEjecucion[id_operacion],tblEjecucion[precio],0))</f>
        <v/>
      </c>
      <c r="AJ1047" s="10">
        <f>IF(tblOrdenes[[#This Row],[orden]]="","",MAX(0,_xlfn.XLOOKUP(tblOrdenes[[#This Row],[id_operacion]],tblEjecucion[id_operacion],tblEjecucion[costo_plan_total],0)-tblOrdenes[[#This Row],[costo_servicio]]))</f>
        <v/>
      </c>
      <c r="AK1047" s="10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2">
        <f>IF(tblOrdenes[[#This Row],[fecha_inicio]]="","",TODAY()-tblOrdenes[[#This Row],[fecha_inicio]])</f>
        <v/>
      </c>
      <c r="AB10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0">
        <f>IF(tblOrdenes[[#This Row],[orden]]="","",_xlfn.XLOOKUP(tblOrdenes[[#This Row],[id_operacion]],tblEjecucion[id_operacion],tblEjecucion[precio],0))</f>
        <v/>
      </c>
      <c r="AJ1048" s="10">
        <f>IF(tblOrdenes[[#This Row],[orden]]="","",MAX(0,_xlfn.XLOOKUP(tblOrdenes[[#This Row],[id_operacion]],tblEjecucion[id_operacion],tblEjecucion[costo_plan_total],0)-tblOrdenes[[#This Row],[costo_servicio]]))</f>
        <v/>
      </c>
      <c r="AK1048" s="10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2">
        <f>IF(tblOrdenes[[#This Row],[fecha_inicio]]="","",TODAY()-tblOrdenes[[#This Row],[fecha_inicio]])</f>
        <v/>
      </c>
      <c r="AB10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0">
        <f>IF(tblOrdenes[[#This Row],[orden]]="","",_xlfn.XLOOKUP(tblOrdenes[[#This Row],[id_operacion]],tblEjecucion[id_operacion],tblEjecucion[precio],0))</f>
        <v/>
      </c>
      <c r="AJ1049" s="10">
        <f>IF(tblOrdenes[[#This Row],[orden]]="","",MAX(0,_xlfn.XLOOKUP(tblOrdenes[[#This Row],[id_operacion]],tblEjecucion[id_operacion],tblEjecucion[costo_plan_total],0)-tblOrdenes[[#This Row],[costo_servicio]]))</f>
        <v/>
      </c>
      <c r="AK1049" s="10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2">
        <f>IF(tblOrdenes[[#This Row],[fecha_inicio]]="","",TODAY()-tblOrdenes[[#This Row],[fecha_inicio]])</f>
        <v/>
      </c>
      <c r="AB10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0">
        <f>IF(tblOrdenes[[#This Row],[orden]]="","",_xlfn.XLOOKUP(tblOrdenes[[#This Row],[id_operacion]],tblEjecucion[id_operacion],tblEjecucion[precio],0))</f>
        <v/>
      </c>
      <c r="AJ1050" s="10">
        <f>IF(tblOrdenes[[#This Row],[orden]]="","",MAX(0,_xlfn.XLOOKUP(tblOrdenes[[#This Row],[id_operacion]],tblEjecucion[id_operacion],tblEjecucion[costo_plan_total],0)-tblOrdenes[[#This Row],[costo_servicio]]))</f>
        <v/>
      </c>
      <c r="AK1050" s="10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2">
        <f>IF(tblOrdenes[[#This Row],[fecha_inicio]]="","",TODAY()-tblOrdenes[[#This Row],[fecha_inicio]])</f>
        <v/>
      </c>
      <c r="AB10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0">
        <f>IF(tblOrdenes[[#This Row],[orden]]="","",_xlfn.XLOOKUP(tblOrdenes[[#This Row],[id_operacion]],tblEjecucion[id_operacion],tblEjecucion[precio],0))</f>
        <v/>
      </c>
      <c r="AJ1051" s="10">
        <f>IF(tblOrdenes[[#This Row],[orden]]="","",MAX(0,_xlfn.XLOOKUP(tblOrdenes[[#This Row],[id_operacion]],tblEjecucion[id_operacion],tblEjecucion[costo_plan_total],0)-tblOrdenes[[#This Row],[costo_servicio]]))</f>
        <v/>
      </c>
      <c r="AK1051" s="10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2">
        <f>IF(tblOrdenes[[#This Row],[fecha_inicio]]="","",TODAY()-tblOrdenes[[#This Row],[fecha_inicio]])</f>
        <v/>
      </c>
      <c r="AB10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0">
        <f>IF(tblOrdenes[[#This Row],[orden]]="","",_xlfn.XLOOKUP(tblOrdenes[[#This Row],[id_operacion]],tblEjecucion[id_operacion],tblEjecucion[precio],0))</f>
        <v/>
      </c>
      <c r="AJ1052" s="10">
        <f>IF(tblOrdenes[[#This Row],[orden]]="","",MAX(0,_xlfn.XLOOKUP(tblOrdenes[[#This Row],[id_operacion]],tblEjecucion[id_operacion],tblEjecucion[costo_plan_total],0)-tblOrdenes[[#This Row],[costo_servicio]]))</f>
        <v/>
      </c>
      <c r="AK1052" s="10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2">
        <f>IF(tblOrdenes[[#This Row],[fecha_inicio]]="","",TODAY()-tblOrdenes[[#This Row],[fecha_inicio]])</f>
        <v/>
      </c>
      <c r="AB10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0">
        <f>IF(tblOrdenes[[#This Row],[orden]]="","",_xlfn.XLOOKUP(tblOrdenes[[#This Row],[id_operacion]],tblEjecucion[id_operacion],tblEjecucion[precio],0))</f>
        <v/>
      </c>
      <c r="AJ1053" s="10">
        <f>IF(tblOrdenes[[#This Row],[orden]]="","",MAX(0,_xlfn.XLOOKUP(tblOrdenes[[#This Row],[id_operacion]],tblEjecucion[id_operacion],tblEjecucion[costo_plan_total],0)-tblOrdenes[[#This Row],[costo_servicio]]))</f>
        <v/>
      </c>
      <c r="AK1053" s="10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2">
        <f>IF(tblOrdenes[[#This Row],[fecha_inicio]]="","",TODAY()-tblOrdenes[[#This Row],[fecha_inicio]])</f>
        <v/>
      </c>
      <c r="AB10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0">
        <f>IF(tblOrdenes[[#This Row],[orden]]="","",_xlfn.XLOOKUP(tblOrdenes[[#This Row],[id_operacion]],tblEjecucion[id_operacion],tblEjecucion[precio],0))</f>
        <v/>
      </c>
      <c r="AJ1054" s="10">
        <f>IF(tblOrdenes[[#This Row],[orden]]="","",MAX(0,_xlfn.XLOOKUP(tblOrdenes[[#This Row],[id_operacion]],tblEjecucion[id_operacion],tblEjecucion[costo_plan_total],0)-tblOrdenes[[#This Row],[costo_servicio]]))</f>
        <v/>
      </c>
      <c r="AK1054" s="10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2">
        <f>IF(tblOrdenes[[#This Row],[fecha_inicio]]="","",TODAY()-tblOrdenes[[#This Row],[fecha_inicio]])</f>
        <v/>
      </c>
      <c r="AB10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0">
        <f>IF(tblOrdenes[[#This Row],[orden]]="","",_xlfn.XLOOKUP(tblOrdenes[[#This Row],[id_operacion]],tblEjecucion[id_operacion],tblEjecucion[precio],0))</f>
        <v/>
      </c>
      <c r="AJ1055" s="10">
        <f>IF(tblOrdenes[[#This Row],[orden]]="","",MAX(0,_xlfn.XLOOKUP(tblOrdenes[[#This Row],[id_operacion]],tblEjecucion[id_operacion],tblEjecucion[costo_plan_total],0)-tblOrdenes[[#This Row],[costo_servicio]]))</f>
        <v/>
      </c>
      <c r="AK1055" s="10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2">
        <f>IF(tblOrdenes[[#This Row],[fecha_inicio]]="","",TODAY()-tblOrdenes[[#This Row],[fecha_inicio]])</f>
        <v/>
      </c>
      <c r="AB10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0">
        <f>IF(tblOrdenes[[#This Row],[orden]]="","",_xlfn.XLOOKUP(tblOrdenes[[#This Row],[id_operacion]],tblEjecucion[id_operacion],tblEjecucion[precio],0))</f>
        <v/>
      </c>
      <c r="AJ1056" s="10">
        <f>IF(tblOrdenes[[#This Row],[orden]]="","",MAX(0,_xlfn.XLOOKUP(tblOrdenes[[#This Row],[id_operacion]],tblEjecucion[id_operacion],tblEjecucion[costo_plan_total],0)-tblOrdenes[[#This Row],[costo_servicio]]))</f>
        <v/>
      </c>
      <c r="AK1056" s="10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2">
        <f>IF(tblOrdenes[[#This Row],[fecha_inicio]]="","",TODAY()-tblOrdenes[[#This Row],[fecha_inicio]])</f>
        <v/>
      </c>
      <c r="AB10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0">
        <f>IF(tblOrdenes[[#This Row],[orden]]="","",_xlfn.XLOOKUP(tblOrdenes[[#This Row],[id_operacion]],tblEjecucion[id_operacion],tblEjecucion[precio],0))</f>
        <v/>
      </c>
      <c r="AJ1057" s="10">
        <f>IF(tblOrdenes[[#This Row],[orden]]="","",MAX(0,_xlfn.XLOOKUP(tblOrdenes[[#This Row],[id_operacion]],tblEjecucion[id_operacion],tblEjecucion[costo_plan_total],0)-tblOrdenes[[#This Row],[costo_servicio]]))</f>
        <v/>
      </c>
      <c r="AK1057" s="10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2">
        <f>IF(tblOrdenes[[#This Row],[fecha_inicio]]="","",TODAY()-tblOrdenes[[#This Row],[fecha_inicio]])</f>
        <v/>
      </c>
      <c r="AB10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0">
        <f>IF(tblOrdenes[[#This Row],[orden]]="","",_xlfn.XLOOKUP(tblOrdenes[[#This Row],[id_operacion]],tblEjecucion[id_operacion],tblEjecucion[precio],0))</f>
        <v/>
      </c>
      <c r="AJ1058" s="10">
        <f>IF(tblOrdenes[[#This Row],[orden]]="","",MAX(0,_xlfn.XLOOKUP(tblOrdenes[[#This Row],[id_operacion]],tblEjecucion[id_operacion],tblEjecucion[costo_plan_total],0)-tblOrdenes[[#This Row],[costo_servicio]]))</f>
        <v/>
      </c>
      <c r="AK1058" s="10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2">
        <f>IF(tblOrdenes[[#This Row],[fecha_inicio]]="","",TODAY()-tblOrdenes[[#This Row],[fecha_inicio]])</f>
        <v/>
      </c>
      <c r="AB10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0">
        <f>IF(tblOrdenes[[#This Row],[orden]]="","",_xlfn.XLOOKUP(tblOrdenes[[#This Row],[id_operacion]],tblEjecucion[id_operacion],tblEjecucion[precio],0))</f>
        <v/>
      </c>
      <c r="AJ1059" s="10">
        <f>IF(tblOrdenes[[#This Row],[orden]]="","",MAX(0,_xlfn.XLOOKUP(tblOrdenes[[#This Row],[id_operacion]],tblEjecucion[id_operacion],tblEjecucion[costo_plan_total],0)-tblOrdenes[[#This Row],[costo_servicio]]))</f>
        <v/>
      </c>
      <c r="AK1059" s="10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2">
        <f>IF(tblOrdenes[[#This Row],[fecha_inicio]]="","",TODAY()-tblOrdenes[[#This Row],[fecha_inicio]])</f>
        <v/>
      </c>
      <c r="AB10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0">
        <f>IF(tblOrdenes[[#This Row],[orden]]="","",_xlfn.XLOOKUP(tblOrdenes[[#This Row],[id_operacion]],tblEjecucion[id_operacion],tblEjecucion[precio],0))</f>
        <v/>
      </c>
      <c r="AJ1060" s="10">
        <f>IF(tblOrdenes[[#This Row],[orden]]="","",MAX(0,_xlfn.XLOOKUP(tblOrdenes[[#This Row],[id_operacion]],tblEjecucion[id_operacion],tblEjecucion[costo_plan_total],0)-tblOrdenes[[#This Row],[costo_servicio]]))</f>
        <v/>
      </c>
      <c r="AK1060" s="10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2">
        <f>IF(tblOrdenes[[#This Row],[fecha_inicio]]="","",TODAY()-tblOrdenes[[#This Row],[fecha_inicio]])</f>
        <v/>
      </c>
      <c r="AB10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0">
        <f>IF(tblOrdenes[[#This Row],[orden]]="","",_xlfn.XLOOKUP(tblOrdenes[[#This Row],[id_operacion]],tblEjecucion[id_operacion],tblEjecucion[precio],0))</f>
        <v/>
      </c>
      <c r="AJ1061" s="10">
        <f>IF(tblOrdenes[[#This Row],[orden]]="","",MAX(0,_xlfn.XLOOKUP(tblOrdenes[[#This Row],[id_operacion]],tblEjecucion[id_operacion],tblEjecucion[costo_plan_total],0)-tblOrdenes[[#This Row],[costo_servicio]]))</f>
        <v/>
      </c>
      <c r="AK1061" s="10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2">
        <f>IF(tblOrdenes[[#This Row],[fecha_inicio]]="","",TODAY()-tblOrdenes[[#This Row],[fecha_inicio]])</f>
        <v/>
      </c>
      <c r="AB10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0">
        <f>IF(tblOrdenes[[#This Row],[orden]]="","",_xlfn.XLOOKUP(tblOrdenes[[#This Row],[id_operacion]],tblEjecucion[id_operacion],tblEjecucion[precio],0))</f>
        <v/>
      </c>
      <c r="AJ1062" s="10">
        <f>IF(tblOrdenes[[#This Row],[orden]]="","",MAX(0,_xlfn.XLOOKUP(tblOrdenes[[#This Row],[id_operacion]],tblEjecucion[id_operacion],tblEjecucion[costo_plan_total],0)-tblOrdenes[[#This Row],[costo_servicio]]))</f>
        <v/>
      </c>
      <c r="AK1062" s="10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2">
        <f>IF(tblOrdenes[[#This Row],[fecha_inicio]]="","",TODAY()-tblOrdenes[[#This Row],[fecha_inicio]])</f>
        <v/>
      </c>
      <c r="AB10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0">
        <f>IF(tblOrdenes[[#This Row],[orden]]="","",_xlfn.XLOOKUP(tblOrdenes[[#This Row],[id_operacion]],tblEjecucion[id_operacion],tblEjecucion[precio],0))</f>
        <v/>
      </c>
      <c r="AJ1063" s="10">
        <f>IF(tblOrdenes[[#This Row],[orden]]="","",MAX(0,_xlfn.XLOOKUP(tblOrdenes[[#This Row],[id_operacion]],tblEjecucion[id_operacion],tblEjecucion[costo_plan_total],0)-tblOrdenes[[#This Row],[costo_servicio]]))</f>
        <v/>
      </c>
      <c r="AK1063" s="10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2">
        <f>IF(tblOrdenes[[#This Row],[fecha_inicio]]="","",TODAY()-tblOrdenes[[#This Row],[fecha_inicio]])</f>
        <v/>
      </c>
      <c r="AB10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0">
        <f>IF(tblOrdenes[[#This Row],[orden]]="","",_xlfn.XLOOKUP(tblOrdenes[[#This Row],[id_operacion]],tblEjecucion[id_operacion],tblEjecucion[precio],0))</f>
        <v/>
      </c>
      <c r="AJ1064" s="10">
        <f>IF(tblOrdenes[[#This Row],[orden]]="","",MAX(0,_xlfn.XLOOKUP(tblOrdenes[[#This Row],[id_operacion]],tblEjecucion[id_operacion],tblEjecucion[costo_plan_total],0)-tblOrdenes[[#This Row],[costo_servicio]]))</f>
        <v/>
      </c>
      <c r="AK1064" s="10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2">
        <f>IF(tblOrdenes[[#This Row],[fecha_inicio]]="","",TODAY()-tblOrdenes[[#This Row],[fecha_inicio]])</f>
        <v/>
      </c>
      <c r="AB10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0">
        <f>IF(tblOrdenes[[#This Row],[orden]]="","",_xlfn.XLOOKUP(tblOrdenes[[#This Row],[id_operacion]],tblEjecucion[id_operacion],tblEjecucion[precio],0))</f>
        <v/>
      </c>
      <c r="AJ1065" s="10">
        <f>IF(tblOrdenes[[#This Row],[orden]]="","",MAX(0,_xlfn.XLOOKUP(tblOrdenes[[#This Row],[id_operacion]],tblEjecucion[id_operacion],tblEjecucion[costo_plan_total],0)-tblOrdenes[[#This Row],[costo_servicio]]))</f>
        <v/>
      </c>
      <c r="AK1065" s="10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2">
        <f>IF(tblOrdenes[[#This Row],[fecha_inicio]]="","",TODAY()-tblOrdenes[[#This Row],[fecha_inicio]])</f>
        <v/>
      </c>
      <c r="AB10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0">
        <f>IF(tblOrdenes[[#This Row],[orden]]="","",_xlfn.XLOOKUP(tblOrdenes[[#This Row],[id_operacion]],tblEjecucion[id_operacion],tblEjecucion[precio],0))</f>
        <v/>
      </c>
      <c r="AJ1066" s="10">
        <f>IF(tblOrdenes[[#This Row],[orden]]="","",MAX(0,_xlfn.XLOOKUP(tblOrdenes[[#This Row],[id_operacion]],tblEjecucion[id_operacion],tblEjecucion[costo_plan_total],0)-tblOrdenes[[#This Row],[costo_servicio]]))</f>
        <v/>
      </c>
      <c r="AK1066" s="10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2">
        <f>IF(tblOrdenes[[#This Row],[fecha_inicio]]="","",TODAY()-tblOrdenes[[#This Row],[fecha_inicio]])</f>
        <v/>
      </c>
      <c r="AB10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0">
        <f>IF(tblOrdenes[[#This Row],[orden]]="","",_xlfn.XLOOKUP(tblOrdenes[[#This Row],[id_operacion]],tblEjecucion[id_operacion],tblEjecucion[precio],0))</f>
        <v/>
      </c>
      <c r="AJ1067" s="10">
        <f>IF(tblOrdenes[[#This Row],[orden]]="","",MAX(0,_xlfn.XLOOKUP(tblOrdenes[[#This Row],[id_operacion]],tblEjecucion[id_operacion],tblEjecucion[costo_plan_total],0)-tblOrdenes[[#This Row],[costo_servicio]]))</f>
        <v/>
      </c>
      <c r="AK1067" s="10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2">
        <f>IF(tblOrdenes[[#This Row],[fecha_inicio]]="","",TODAY()-tblOrdenes[[#This Row],[fecha_inicio]])</f>
        <v/>
      </c>
      <c r="AB10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0">
        <f>IF(tblOrdenes[[#This Row],[orden]]="","",_xlfn.XLOOKUP(tblOrdenes[[#This Row],[id_operacion]],tblEjecucion[id_operacion],tblEjecucion[precio],0))</f>
        <v/>
      </c>
      <c r="AJ1068" s="10">
        <f>IF(tblOrdenes[[#This Row],[orden]]="","",MAX(0,_xlfn.XLOOKUP(tblOrdenes[[#This Row],[id_operacion]],tblEjecucion[id_operacion],tblEjecucion[costo_plan_total],0)-tblOrdenes[[#This Row],[costo_servicio]]))</f>
        <v/>
      </c>
      <c r="AK1068" s="10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2">
        <f>IF(tblOrdenes[[#This Row],[fecha_inicio]]="","",TODAY()-tblOrdenes[[#This Row],[fecha_inicio]])</f>
        <v/>
      </c>
      <c r="AB10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0">
        <f>IF(tblOrdenes[[#This Row],[orden]]="","",_xlfn.XLOOKUP(tblOrdenes[[#This Row],[id_operacion]],tblEjecucion[id_operacion],tblEjecucion[precio],0))</f>
        <v/>
      </c>
      <c r="AJ1069" s="10">
        <f>IF(tblOrdenes[[#This Row],[orden]]="","",MAX(0,_xlfn.XLOOKUP(tblOrdenes[[#This Row],[id_operacion]],tblEjecucion[id_operacion],tblEjecucion[costo_plan_total],0)-tblOrdenes[[#This Row],[costo_servicio]]))</f>
        <v/>
      </c>
      <c r="AK1069" s="10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2">
        <f>IF(tblOrdenes[[#This Row],[fecha_inicio]]="","",TODAY()-tblOrdenes[[#This Row],[fecha_inicio]])</f>
        <v/>
      </c>
      <c r="AB10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0">
        <f>IF(tblOrdenes[[#This Row],[orden]]="","",_xlfn.XLOOKUP(tblOrdenes[[#This Row],[id_operacion]],tblEjecucion[id_operacion],tblEjecucion[precio],0))</f>
        <v/>
      </c>
      <c r="AJ1070" s="10">
        <f>IF(tblOrdenes[[#This Row],[orden]]="","",MAX(0,_xlfn.XLOOKUP(tblOrdenes[[#This Row],[id_operacion]],tblEjecucion[id_operacion],tblEjecucion[costo_plan_total],0)-tblOrdenes[[#This Row],[costo_servicio]]))</f>
        <v/>
      </c>
      <c r="AK1070" s="10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2">
        <f>IF(tblOrdenes[[#This Row],[fecha_inicio]]="","",TODAY()-tblOrdenes[[#This Row],[fecha_inicio]])</f>
        <v/>
      </c>
      <c r="AB10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0">
        <f>IF(tblOrdenes[[#This Row],[orden]]="","",_xlfn.XLOOKUP(tblOrdenes[[#This Row],[id_operacion]],tblEjecucion[id_operacion],tblEjecucion[precio],0))</f>
        <v/>
      </c>
      <c r="AJ1071" s="10">
        <f>IF(tblOrdenes[[#This Row],[orden]]="","",MAX(0,_xlfn.XLOOKUP(tblOrdenes[[#This Row],[id_operacion]],tblEjecucion[id_operacion],tblEjecucion[costo_plan_total],0)-tblOrdenes[[#This Row],[costo_servicio]]))</f>
        <v/>
      </c>
      <c r="AK1071" s="10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2">
        <f>IF(tblOrdenes[[#This Row],[fecha_inicio]]="","",TODAY()-tblOrdenes[[#This Row],[fecha_inicio]])</f>
        <v/>
      </c>
      <c r="AB10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0">
        <f>IF(tblOrdenes[[#This Row],[orden]]="","",_xlfn.XLOOKUP(tblOrdenes[[#This Row],[id_operacion]],tblEjecucion[id_operacion],tblEjecucion[precio],0))</f>
        <v/>
      </c>
      <c r="AJ1072" s="10">
        <f>IF(tblOrdenes[[#This Row],[orden]]="","",MAX(0,_xlfn.XLOOKUP(tblOrdenes[[#This Row],[id_operacion]],tblEjecucion[id_operacion],tblEjecucion[costo_plan_total],0)-tblOrdenes[[#This Row],[costo_servicio]]))</f>
        <v/>
      </c>
      <c r="AK1072" s="10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2">
        <f>IF(tblOrdenes[[#This Row],[fecha_inicio]]="","",TODAY()-tblOrdenes[[#This Row],[fecha_inicio]])</f>
        <v/>
      </c>
      <c r="AB10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0">
        <f>IF(tblOrdenes[[#This Row],[orden]]="","",_xlfn.XLOOKUP(tblOrdenes[[#This Row],[id_operacion]],tblEjecucion[id_operacion],tblEjecucion[precio],0))</f>
        <v/>
      </c>
      <c r="AJ1073" s="10">
        <f>IF(tblOrdenes[[#This Row],[orden]]="","",MAX(0,_xlfn.XLOOKUP(tblOrdenes[[#This Row],[id_operacion]],tblEjecucion[id_operacion],tblEjecucion[costo_plan_total],0)-tblOrdenes[[#This Row],[costo_servicio]]))</f>
        <v/>
      </c>
      <c r="AK1073" s="10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2">
        <f>IF(tblOrdenes[[#This Row],[fecha_inicio]]="","",TODAY()-tblOrdenes[[#This Row],[fecha_inicio]])</f>
        <v/>
      </c>
      <c r="AB10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0">
        <f>IF(tblOrdenes[[#This Row],[orden]]="","",_xlfn.XLOOKUP(tblOrdenes[[#This Row],[id_operacion]],tblEjecucion[id_operacion],tblEjecucion[precio],0))</f>
        <v/>
      </c>
      <c r="AJ1074" s="10">
        <f>IF(tblOrdenes[[#This Row],[orden]]="","",MAX(0,_xlfn.XLOOKUP(tblOrdenes[[#This Row],[id_operacion]],tblEjecucion[id_operacion],tblEjecucion[costo_plan_total],0)-tblOrdenes[[#This Row],[costo_servicio]]))</f>
        <v/>
      </c>
      <c r="AK1074" s="10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2">
        <f>IF(tblOrdenes[[#This Row],[fecha_inicio]]="","",TODAY()-tblOrdenes[[#This Row],[fecha_inicio]])</f>
        <v/>
      </c>
      <c r="AB10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0">
        <f>IF(tblOrdenes[[#This Row],[orden]]="","",_xlfn.XLOOKUP(tblOrdenes[[#This Row],[id_operacion]],tblEjecucion[id_operacion],tblEjecucion[precio],0))</f>
        <v/>
      </c>
      <c r="AJ1075" s="10">
        <f>IF(tblOrdenes[[#This Row],[orden]]="","",MAX(0,_xlfn.XLOOKUP(tblOrdenes[[#This Row],[id_operacion]],tblEjecucion[id_operacion],tblEjecucion[costo_plan_total],0)-tblOrdenes[[#This Row],[costo_servicio]]))</f>
        <v/>
      </c>
      <c r="AK1075" s="10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2">
        <f>IF(tblOrdenes[[#This Row],[fecha_inicio]]="","",TODAY()-tblOrdenes[[#This Row],[fecha_inicio]])</f>
        <v/>
      </c>
      <c r="AB10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0">
        <f>IF(tblOrdenes[[#This Row],[orden]]="","",_xlfn.XLOOKUP(tblOrdenes[[#This Row],[id_operacion]],tblEjecucion[id_operacion],tblEjecucion[precio],0))</f>
        <v/>
      </c>
      <c r="AJ1076" s="10">
        <f>IF(tblOrdenes[[#This Row],[orden]]="","",MAX(0,_xlfn.XLOOKUP(tblOrdenes[[#This Row],[id_operacion]],tblEjecucion[id_operacion],tblEjecucion[costo_plan_total],0)-tblOrdenes[[#This Row],[costo_servicio]]))</f>
        <v/>
      </c>
      <c r="AK1076" s="10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2">
        <f>IF(tblOrdenes[[#This Row],[fecha_inicio]]="","",TODAY()-tblOrdenes[[#This Row],[fecha_inicio]])</f>
        <v/>
      </c>
      <c r="AB10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0">
        <f>IF(tblOrdenes[[#This Row],[orden]]="","",_xlfn.XLOOKUP(tblOrdenes[[#This Row],[id_operacion]],tblEjecucion[id_operacion],tblEjecucion[precio],0))</f>
        <v/>
      </c>
      <c r="AJ1077" s="10">
        <f>IF(tblOrdenes[[#This Row],[orden]]="","",MAX(0,_xlfn.XLOOKUP(tblOrdenes[[#This Row],[id_operacion]],tblEjecucion[id_operacion],tblEjecucion[costo_plan_total],0)-tblOrdenes[[#This Row],[costo_servicio]]))</f>
        <v/>
      </c>
      <c r="AK1077" s="10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2">
        <f>IF(tblOrdenes[[#This Row],[fecha_inicio]]="","",TODAY()-tblOrdenes[[#This Row],[fecha_inicio]])</f>
        <v/>
      </c>
      <c r="AB10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0">
        <f>IF(tblOrdenes[[#This Row],[orden]]="","",_xlfn.XLOOKUP(tblOrdenes[[#This Row],[id_operacion]],tblEjecucion[id_operacion],tblEjecucion[precio],0))</f>
        <v/>
      </c>
      <c r="AJ1078" s="10">
        <f>IF(tblOrdenes[[#This Row],[orden]]="","",MAX(0,_xlfn.XLOOKUP(tblOrdenes[[#This Row],[id_operacion]],tblEjecucion[id_operacion],tblEjecucion[costo_plan_total],0)-tblOrdenes[[#This Row],[costo_servicio]]))</f>
        <v/>
      </c>
      <c r="AK1078" s="10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2">
        <f>IF(tblOrdenes[[#This Row],[fecha_inicio]]="","",TODAY()-tblOrdenes[[#This Row],[fecha_inicio]])</f>
        <v/>
      </c>
      <c r="AB10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0">
        <f>IF(tblOrdenes[[#This Row],[orden]]="","",_xlfn.XLOOKUP(tblOrdenes[[#This Row],[id_operacion]],tblEjecucion[id_operacion],tblEjecucion[precio],0))</f>
        <v/>
      </c>
      <c r="AJ1079" s="10">
        <f>IF(tblOrdenes[[#This Row],[orden]]="","",MAX(0,_xlfn.XLOOKUP(tblOrdenes[[#This Row],[id_operacion]],tblEjecucion[id_operacion],tblEjecucion[costo_plan_total],0)-tblOrdenes[[#This Row],[costo_servicio]]))</f>
        <v/>
      </c>
      <c r="AK1079" s="10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2">
        <f>IF(tblOrdenes[[#This Row],[fecha_inicio]]="","",TODAY()-tblOrdenes[[#This Row],[fecha_inicio]])</f>
        <v/>
      </c>
      <c r="AB10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0">
        <f>IF(tblOrdenes[[#This Row],[orden]]="","",_xlfn.XLOOKUP(tblOrdenes[[#This Row],[id_operacion]],tblEjecucion[id_operacion],tblEjecucion[precio],0))</f>
        <v/>
      </c>
      <c r="AJ1080" s="10">
        <f>IF(tblOrdenes[[#This Row],[orden]]="","",MAX(0,_xlfn.XLOOKUP(tblOrdenes[[#This Row],[id_operacion]],tblEjecucion[id_operacion],tblEjecucion[costo_plan_total],0)-tblOrdenes[[#This Row],[costo_servicio]]))</f>
        <v/>
      </c>
      <c r="AK1080" s="10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2">
        <f>IF(tblOrdenes[[#This Row],[fecha_inicio]]="","",TODAY()-tblOrdenes[[#This Row],[fecha_inicio]])</f>
        <v/>
      </c>
      <c r="AB10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0">
        <f>IF(tblOrdenes[[#This Row],[orden]]="","",_xlfn.XLOOKUP(tblOrdenes[[#This Row],[id_operacion]],tblEjecucion[id_operacion],tblEjecucion[precio],0))</f>
        <v/>
      </c>
      <c r="AJ1081" s="10">
        <f>IF(tblOrdenes[[#This Row],[orden]]="","",MAX(0,_xlfn.XLOOKUP(tblOrdenes[[#This Row],[id_operacion]],tblEjecucion[id_operacion],tblEjecucion[costo_plan_total],0)-tblOrdenes[[#This Row],[costo_servicio]]))</f>
        <v/>
      </c>
      <c r="AK1081" s="10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2">
        <f>IF(tblOrdenes[[#This Row],[fecha_inicio]]="","",TODAY()-tblOrdenes[[#This Row],[fecha_inicio]])</f>
        <v/>
      </c>
      <c r="AB10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0">
        <f>IF(tblOrdenes[[#This Row],[orden]]="","",_xlfn.XLOOKUP(tblOrdenes[[#This Row],[id_operacion]],tblEjecucion[id_operacion],tblEjecucion[precio],0))</f>
        <v/>
      </c>
      <c r="AJ1082" s="10">
        <f>IF(tblOrdenes[[#This Row],[orden]]="","",MAX(0,_xlfn.XLOOKUP(tblOrdenes[[#This Row],[id_operacion]],tblEjecucion[id_operacion],tblEjecucion[costo_plan_total],0)-tblOrdenes[[#This Row],[costo_servicio]]))</f>
        <v/>
      </c>
      <c r="AK1082" s="10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2">
        <f>IF(tblOrdenes[[#This Row],[fecha_inicio]]="","",TODAY()-tblOrdenes[[#This Row],[fecha_inicio]])</f>
        <v/>
      </c>
      <c r="AB10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0">
        <f>IF(tblOrdenes[[#This Row],[orden]]="","",_xlfn.XLOOKUP(tblOrdenes[[#This Row],[id_operacion]],tblEjecucion[id_operacion],tblEjecucion[precio],0))</f>
        <v/>
      </c>
      <c r="AJ1083" s="10">
        <f>IF(tblOrdenes[[#This Row],[orden]]="","",MAX(0,_xlfn.XLOOKUP(tblOrdenes[[#This Row],[id_operacion]],tblEjecucion[id_operacion],tblEjecucion[costo_plan_total],0)-tblOrdenes[[#This Row],[costo_servicio]]))</f>
        <v/>
      </c>
      <c r="AK1083" s="10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2">
        <f>IF(tblOrdenes[[#This Row],[fecha_inicio]]="","",TODAY()-tblOrdenes[[#This Row],[fecha_inicio]])</f>
        <v/>
      </c>
      <c r="AB10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0">
        <f>IF(tblOrdenes[[#This Row],[orden]]="","",_xlfn.XLOOKUP(tblOrdenes[[#This Row],[id_operacion]],tblEjecucion[id_operacion],tblEjecucion[precio],0))</f>
        <v/>
      </c>
      <c r="AJ1084" s="10">
        <f>IF(tblOrdenes[[#This Row],[orden]]="","",MAX(0,_xlfn.XLOOKUP(tblOrdenes[[#This Row],[id_operacion]],tblEjecucion[id_operacion],tblEjecucion[costo_plan_total],0)-tblOrdenes[[#This Row],[costo_servicio]]))</f>
        <v/>
      </c>
      <c r="AK1084" s="10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2">
        <f>IF(tblOrdenes[[#This Row],[fecha_inicio]]="","",TODAY()-tblOrdenes[[#This Row],[fecha_inicio]])</f>
        <v/>
      </c>
      <c r="AB10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0">
        <f>IF(tblOrdenes[[#This Row],[orden]]="","",_xlfn.XLOOKUP(tblOrdenes[[#This Row],[id_operacion]],tblEjecucion[id_operacion],tblEjecucion[precio],0))</f>
        <v/>
      </c>
      <c r="AJ1085" s="10">
        <f>IF(tblOrdenes[[#This Row],[orden]]="","",MAX(0,_xlfn.XLOOKUP(tblOrdenes[[#This Row],[id_operacion]],tblEjecucion[id_operacion],tblEjecucion[costo_plan_total],0)-tblOrdenes[[#This Row],[costo_servicio]]))</f>
        <v/>
      </c>
      <c r="AK1085" s="10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2">
        <f>IF(tblOrdenes[[#This Row],[fecha_inicio]]="","",TODAY()-tblOrdenes[[#This Row],[fecha_inicio]])</f>
        <v/>
      </c>
      <c r="AB10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0">
        <f>IF(tblOrdenes[[#This Row],[orden]]="","",_xlfn.XLOOKUP(tblOrdenes[[#This Row],[id_operacion]],tblEjecucion[id_operacion],tblEjecucion[precio],0))</f>
        <v/>
      </c>
      <c r="AJ1086" s="10">
        <f>IF(tblOrdenes[[#This Row],[orden]]="","",MAX(0,_xlfn.XLOOKUP(tblOrdenes[[#This Row],[id_operacion]],tblEjecucion[id_operacion],tblEjecucion[costo_plan_total],0)-tblOrdenes[[#This Row],[costo_servicio]]))</f>
        <v/>
      </c>
      <c r="AK1086" s="10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2">
        <f>IF(tblOrdenes[[#This Row],[fecha_inicio]]="","",TODAY()-tblOrdenes[[#This Row],[fecha_inicio]])</f>
        <v/>
      </c>
      <c r="AB10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0">
        <f>IF(tblOrdenes[[#This Row],[orden]]="","",_xlfn.XLOOKUP(tblOrdenes[[#This Row],[id_operacion]],tblEjecucion[id_operacion],tblEjecucion[precio],0))</f>
        <v/>
      </c>
      <c r="AJ1087" s="10">
        <f>IF(tblOrdenes[[#This Row],[orden]]="","",MAX(0,_xlfn.XLOOKUP(tblOrdenes[[#This Row],[id_operacion]],tblEjecucion[id_operacion],tblEjecucion[costo_plan_total],0)-tblOrdenes[[#This Row],[costo_servicio]]))</f>
        <v/>
      </c>
      <c r="AK1087" s="10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2">
        <f>IF(tblOrdenes[[#This Row],[fecha_inicio]]="","",TODAY()-tblOrdenes[[#This Row],[fecha_inicio]])</f>
        <v/>
      </c>
      <c r="AB10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0">
        <f>IF(tblOrdenes[[#This Row],[orden]]="","",_xlfn.XLOOKUP(tblOrdenes[[#This Row],[id_operacion]],tblEjecucion[id_operacion],tblEjecucion[precio],0))</f>
        <v/>
      </c>
      <c r="AJ1088" s="10">
        <f>IF(tblOrdenes[[#This Row],[orden]]="","",MAX(0,_xlfn.XLOOKUP(tblOrdenes[[#This Row],[id_operacion]],tblEjecucion[id_operacion],tblEjecucion[costo_plan_total],0)-tblOrdenes[[#This Row],[costo_servicio]]))</f>
        <v/>
      </c>
      <c r="AK1088" s="10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2">
        <f>IF(tblOrdenes[[#This Row],[fecha_inicio]]="","",TODAY()-tblOrdenes[[#This Row],[fecha_inicio]])</f>
        <v/>
      </c>
      <c r="AB10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0">
        <f>IF(tblOrdenes[[#This Row],[orden]]="","",_xlfn.XLOOKUP(tblOrdenes[[#This Row],[id_operacion]],tblEjecucion[id_operacion],tblEjecucion[precio],0))</f>
        <v/>
      </c>
      <c r="AJ1089" s="10">
        <f>IF(tblOrdenes[[#This Row],[orden]]="","",MAX(0,_xlfn.XLOOKUP(tblOrdenes[[#This Row],[id_operacion]],tblEjecucion[id_operacion],tblEjecucion[costo_plan_total],0)-tblOrdenes[[#This Row],[costo_servicio]]))</f>
        <v/>
      </c>
      <c r="AK1089" s="10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2">
        <f>IF(tblOrdenes[[#This Row],[fecha_inicio]]="","",TODAY()-tblOrdenes[[#This Row],[fecha_inicio]])</f>
        <v/>
      </c>
      <c r="AB10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0">
        <f>IF(tblOrdenes[[#This Row],[orden]]="","",_xlfn.XLOOKUP(tblOrdenes[[#This Row],[id_operacion]],tblEjecucion[id_operacion],tblEjecucion[precio],0))</f>
        <v/>
      </c>
      <c r="AJ1090" s="10">
        <f>IF(tblOrdenes[[#This Row],[orden]]="","",MAX(0,_xlfn.XLOOKUP(tblOrdenes[[#This Row],[id_operacion]],tblEjecucion[id_operacion],tblEjecucion[costo_plan_total],0)-tblOrdenes[[#This Row],[costo_servicio]]))</f>
        <v/>
      </c>
      <c r="AK1090" s="10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2">
        <f>IF(tblOrdenes[[#This Row],[fecha_inicio]]="","",TODAY()-tblOrdenes[[#This Row],[fecha_inicio]])</f>
        <v/>
      </c>
      <c r="AB10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0">
        <f>IF(tblOrdenes[[#This Row],[orden]]="","",_xlfn.XLOOKUP(tblOrdenes[[#This Row],[id_operacion]],tblEjecucion[id_operacion],tblEjecucion[precio],0))</f>
        <v/>
      </c>
      <c r="AJ1091" s="10">
        <f>IF(tblOrdenes[[#This Row],[orden]]="","",MAX(0,_xlfn.XLOOKUP(tblOrdenes[[#This Row],[id_operacion]],tblEjecucion[id_operacion],tblEjecucion[costo_plan_total],0)-tblOrdenes[[#This Row],[costo_servicio]]))</f>
        <v/>
      </c>
      <c r="AK1091" s="10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2">
        <f>IF(tblOrdenes[[#This Row],[fecha_inicio]]="","",TODAY()-tblOrdenes[[#This Row],[fecha_inicio]])</f>
        <v/>
      </c>
      <c r="AB10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0">
        <f>IF(tblOrdenes[[#This Row],[orden]]="","",_xlfn.XLOOKUP(tblOrdenes[[#This Row],[id_operacion]],tblEjecucion[id_operacion],tblEjecucion[precio],0))</f>
        <v/>
      </c>
      <c r="AJ1092" s="10">
        <f>IF(tblOrdenes[[#This Row],[orden]]="","",MAX(0,_xlfn.XLOOKUP(tblOrdenes[[#This Row],[id_operacion]],tblEjecucion[id_operacion],tblEjecucion[costo_plan_total],0)-tblOrdenes[[#This Row],[costo_servicio]]))</f>
        <v/>
      </c>
      <c r="AK1092" s="10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2">
        <f>IF(tblOrdenes[[#This Row],[fecha_inicio]]="","",TODAY()-tblOrdenes[[#This Row],[fecha_inicio]])</f>
        <v/>
      </c>
      <c r="AB10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0">
        <f>IF(tblOrdenes[[#This Row],[orden]]="","",_xlfn.XLOOKUP(tblOrdenes[[#This Row],[id_operacion]],tblEjecucion[id_operacion],tblEjecucion[precio],0))</f>
        <v/>
      </c>
      <c r="AJ1093" s="10">
        <f>IF(tblOrdenes[[#This Row],[orden]]="","",MAX(0,_xlfn.XLOOKUP(tblOrdenes[[#This Row],[id_operacion]],tblEjecucion[id_operacion],tblEjecucion[costo_plan_total],0)-tblOrdenes[[#This Row],[costo_servicio]]))</f>
        <v/>
      </c>
      <c r="AK1093" s="10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2">
        <f>IF(tblOrdenes[[#This Row],[fecha_inicio]]="","",TODAY()-tblOrdenes[[#This Row],[fecha_inicio]])</f>
        <v/>
      </c>
      <c r="AB10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0">
        <f>IF(tblOrdenes[[#This Row],[orden]]="","",_xlfn.XLOOKUP(tblOrdenes[[#This Row],[id_operacion]],tblEjecucion[id_operacion],tblEjecucion[precio],0))</f>
        <v/>
      </c>
      <c r="AJ1094" s="10">
        <f>IF(tblOrdenes[[#This Row],[orden]]="","",MAX(0,_xlfn.XLOOKUP(tblOrdenes[[#This Row],[id_operacion]],tblEjecucion[id_operacion],tblEjecucion[costo_plan_total],0)-tblOrdenes[[#This Row],[costo_servicio]]))</f>
        <v/>
      </c>
      <c r="AK1094" s="10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2">
        <f>IF(tblOrdenes[[#This Row],[fecha_inicio]]="","",TODAY()-tblOrdenes[[#This Row],[fecha_inicio]])</f>
        <v/>
      </c>
      <c r="AB10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0">
        <f>IF(tblOrdenes[[#This Row],[orden]]="","",_xlfn.XLOOKUP(tblOrdenes[[#This Row],[id_operacion]],tblEjecucion[id_operacion],tblEjecucion[precio],0))</f>
        <v/>
      </c>
      <c r="AJ1095" s="10">
        <f>IF(tblOrdenes[[#This Row],[orden]]="","",MAX(0,_xlfn.XLOOKUP(tblOrdenes[[#This Row],[id_operacion]],tblEjecucion[id_operacion],tblEjecucion[costo_plan_total],0)-tblOrdenes[[#This Row],[costo_servicio]]))</f>
        <v/>
      </c>
      <c r="AK1095" s="10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2">
        <f>IF(tblOrdenes[[#This Row],[fecha_inicio]]="","",TODAY()-tblOrdenes[[#This Row],[fecha_inicio]])</f>
        <v/>
      </c>
      <c r="AB10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0">
        <f>IF(tblOrdenes[[#This Row],[orden]]="","",_xlfn.XLOOKUP(tblOrdenes[[#This Row],[id_operacion]],tblEjecucion[id_operacion],tblEjecucion[precio],0))</f>
        <v/>
      </c>
      <c r="AJ1096" s="10">
        <f>IF(tblOrdenes[[#This Row],[orden]]="","",MAX(0,_xlfn.XLOOKUP(tblOrdenes[[#This Row],[id_operacion]],tblEjecucion[id_operacion],tblEjecucion[costo_plan_total],0)-tblOrdenes[[#This Row],[costo_servicio]]))</f>
        <v/>
      </c>
      <c r="AK1096" s="10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2">
        <f>IF(tblOrdenes[[#This Row],[fecha_inicio]]="","",TODAY()-tblOrdenes[[#This Row],[fecha_inicio]])</f>
        <v/>
      </c>
      <c r="AB10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0">
        <f>IF(tblOrdenes[[#This Row],[orden]]="","",_xlfn.XLOOKUP(tblOrdenes[[#This Row],[id_operacion]],tblEjecucion[id_operacion],tblEjecucion[precio],0))</f>
        <v/>
      </c>
      <c r="AJ1097" s="10">
        <f>IF(tblOrdenes[[#This Row],[orden]]="","",MAX(0,_xlfn.XLOOKUP(tblOrdenes[[#This Row],[id_operacion]],tblEjecucion[id_operacion],tblEjecucion[costo_plan_total],0)-tblOrdenes[[#This Row],[costo_servicio]]))</f>
        <v/>
      </c>
      <c r="AK1097" s="10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2">
        <f>IF(tblOrdenes[[#This Row],[fecha_inicio]]="","",TODAY()-tblOrdenes[[#This Row],[fecha_inicio]])</f>
        <v/>
      </c>
      <c r="AB10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0">
        <f>IF(tblOrdenes[[#This Row],[orden]]="","",_xlfn.XLOOKUP(tblOrdenes[[#This Row],[id_operacion]],tblEjecucion[id_operacion],tblEjecucion[precio],0))</f>
        <v/>
      </c>
      <c r="AJ1098" s="10">
        <f>IF(tblOrdenes[[#This Row],[orden]]="","",MAX(0,_xlfn.XLOOKUP(tblOrdenes[[#This Row],[id_operacion]],tblEjecucion[id_operacion],tblEjecucion[costo_plan_total],0)-tblOrdenes[[#This Row],[costo_servicio]]))</f>
        <v/>
      </c>
      <c r="AK1098" s="10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2">
        <f>IF(tblOrdenes[[#This Row],[fecha_inicio]]="","",TODAY()-tblOrdenes[[#This Row],[fecha_inicio]])</f>
        <v/>
      </c>
      <c r="AB10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0">
        <f>IF(tblOrdenes[[#This Row],[orden]]="","",_xlfn.XLOOKUP(tblOrdenes[[#This Row],[id_operacion]],tblEjecucion[id_operacion],tblEjecucion[precio],0))</f>
        <v/>
      </c>
      <c r="AJ1099" s="10">
        <f>IF(tblOrdenes[[#This Row],[orden]]="","",MAX(0,_xlfn.XLOOKUP(tblOrdenes[[#This Row],[id_operacion]],tblEjecucion[id_operacion],tblEjecucion[costo_plan_total],0)-tblOrdenes[[#This Row],[costo_servicio]]))</f>
        <v/>
      </c>
      <c r="AK1099" s="10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2">
        <f>IF(tblOrdenes[[#This Row],[fecha_inicio]]="","",TODAY()-tblOrdenes[[#This Row],[fecha_inicio]])</f>
        <v/>
      </c>
      <c r="AB11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0">
        <f>IF(tblOrdenes[[#This Row],[orden]]="","",_xlfn.XLOOKUP(tblOrdenes[[#This Row],[id_operacion]],tblEjecucion[id_operacion],tblEjecucion[precio],0))</f>
        <v/>
      </c>
      <c r="AJ1100" s="10">
        <f>IF(tblOrdenes[[#This Row],[orden]]="","",MAX(0,_xlfn.XLOOKUP(tblOrdenes[[#This Row],[id_operacion]],tblEjecucion[id_operacion],tblEjecucion[costo_plan_total],0)-tblOrdenes[[#This Row],[costo_servicio]]))</f>
        <v/>
      </c>
      <c r="AK1100" s="10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2">
        <f>IF(tblOrdenes[[#This Row],[fecha_inicio]]="","",TODAY()-tblOrdenes[[#This Row],[fecha_inicio]])</f>
        <v/>
      </c>
      <c r="AB11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0">
        <f>IF(tblOrdenes[[#This Row],[orden]]="","",_xlfn.XLOOKUP(tblOrdenes[[#This Row],[id_operacion]],tblEjecucion[id_operacion],tblEjecucion[precio],0))</f>
        <v/>
      </c>
      <c r="AJ1101" s="10">
        <f>IF(tblOrdenes[[#This Row],[orden]]="","",MAX(0,_xlfn.XLOOKUP(tblOrdenes[[#This Row],[id_operacion]],tblEjecucion[id_operacion],tblEjecucion[costo_plan_total],0)-tblOrdenes[[#This Row],[costo_servicio]]))</f>
        <v/>
      </c>
      <c r="AK1101" s="10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2">
        <f>IF(tblOrdenes[[#This Row],[fecha_inicio]]="","",TODAY()-tblOrdenes[[#This Row],[fecha_inicio]])</f>
        <v/>
      </c>
      <c r="AB11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0">
        <f>IF(tblOrdenes[[#This Row],[orden]]="","",_xlfn.XLOOKUP(tblOrdenes[[#This Row],[id_operacion]],tblEjecucion[id_operacion],tblEjecucion[precio],0))</f>
        <v/>
      </c>
      <c r="AJ1102" s="10">
        <f>IF(tblOrdenes[[#This Row],[orden]]="","",MAX(0,_xlfn.XLOOKUP(tblOrdenes[[#This Row],[id_operacion]],tblEjecucion[id_operacion],tblEjecucion[costo_plan_total],0)-tblOrdenes[[#This Row],[costo_servicio]]))</f>
        <v/>
      </c>
      <c r="AK1102" s="10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2">
        <f>IF(tblOrdenes[[#This Row],[fecha_inicio]]="","",TODAY()-tblOrdenes[[#This Row],[fecha_inicio]])</f>
        <v/>
      </c>
      <c r="AB11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0">
        <f>IF(tblOrdenes[[#This Row],[orden]]="","",_xlfn.XLOOKUP(tblOrdenes[[#This Row],[id_operacion]],tblEjecucion[id_operacion],tblEjecucion[precio],0))</f>
        <v/>
      </c>
      <c r="AJ1103" s="10">
        <f>IF(tblOrdenes[[#This Row],[orden]]="","",MAX(0,_xlfn.XLOOKUP(tblOrdenes[[#This Row],[id_operacion]],tblEjecucion[id_operacion],tblEjecucion[costo_plan_total],0)-tblOrdenes[[#This Row],[costo_servicio]]))</f>
        <v/>
      </c>
      <c r="AK1103" s="10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2">
        <f>IF(tblOrdenes[[#This Row],[fecha_inicio]]="","",TODAY()-tblOrdenes[[#This Row],[fecha_inicio]])</f>
        <v/>
      </c>
      <c r="AB11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0">
        <f>IF(tblOrdenes[[#This Row],[orden]]="","",_xlfn.XLOOKUP(tblOrdenes[[#This Row],[id_operacion]],tblEjecucion[id_operacion],tblEjecucion[precio],0))</f>
        <v/>
      </c>
      <c r="AJ1104" s="10">
        <f>IF(tblOrdenes[[#This Row],[orden]]="","",MAX(0,_xlfn.XLOOKUP(tblOrdenes[[#This Row],[id_operacion]],tblEjecucion[id_operacion],tblEjecucion[costo_plan_total],0)-tblOrdenes[[#This Row],[costo_servicio]]))</f>
        <v/>
      </c>
      <c r="AK1104" s="10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2">
        <f>IF(tblOrdenes[[#This Row],[fecha_inicio]]="","",TODAY()-tblOrdenes[[#This Row],[fecha_inicio]])</f>
        <v/>
      </c>
      <c r="AB11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0">
        <f>IF(tblOrdenes[[#This Row],[orden]]="","",_xlfn.XLOOKUP(tblOrdenes[[#This Row],[id_operacion]],tblEjecucion[id_operacion],tblEjecucion[precio],0))</f>
        <v/>
      </c>
      <c r="AJ1105" s="10">
        <f>IF(tblOrdenes[[#This Row],[orden]]="","",MAX(0,_xlfn.XLOOKUP(tblOrdenes[[#This Row],[id_operacion]],tblEjecucion[id_operacion],tblEjecucion[costo_plan_total],0)-tblOrdenes[[#This Row],[costo_servicio]]))</f>
        <v/>
      </c>
      <c r="AK1105" s="10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2">
        <f>IF(tblOrdenes[[#This Row],[fecha_inicio]]="","",TODAY()-tblOrdenes[[#This Row],[fecha_inicio]])</f>
        <v/>
      </c>
      <c r="AB11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0">
        <f>IF(tblOrdenes[[#This Row],[orden]]="","",_xlfn.XLOOKUP(tblOrdenes[[#This Row],[id_operacion]],tblEjecucion[id_operacion],tblEjecucion[precio],0))</f>
        <v/>
      </c>
      <c r="AJ1106" s="10">
        <f>IF(tblOrdenes[[#This Row],[orden]]="","",MAX(0,_xlfn.XLOOKUP(tblOrdenes[[#This Row],[id_operacion]],tblEjecucion[id_operacion],tblEjecucion[costo_plan_total],0)-tblOrdenes[[#This Row],[costo_servicio]]))</f>
        <v/>
      </c>
      <c r="AK1106" s="10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2">
        <f>IF(tblOrdenes[[#This Row],[fecha_inicio]]="","",TODAY()-tblOrdenes[[#This Row],[fecha_inicio]])</f>
        <v/>
      </c>
      <c r="AB11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0">
        <f>IF(tblOrdenes[[#This Row],[orden]]="","",_xlfn.XLOOKUP(tblOrdenes[[#This Row],[id_operacion]],tblEjecucion[id_operacion],tblEjecucion[precio],0))</f>
        <v/>
      </c>
      <c r="AJ1107" s="10">
        <f>IF(tblOrdenes[[#This Row],[orden]]="","",MAX(0,_xlfn.XLOOKUP(tblOrdenes[[#This Row],[id_operacion]],tblEjecucion[id_operacion],tblEjecucion[costo_plan_total],0)-tblOrdenes[[#This Row],[costo_servicio]]))</f>
        <v/>
      </c>
      <c r="AK1107" s="10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2">
        <f>IF(tblOrdenes[[#This Row],[fecha_inicio]]="","",TODAY()-tblOrdenes[[#This Row],[fecha_inicio]])</f>
        <v/>
      </c>
      <c r="AB11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0">
        <f>IF(tblOrdenes[[#This Row],[orden]]="","",_xlfn.XLOOKUP(tblOrdenes[[#This Row],[id_operacion]],tblEjecucion[id_operacion],tblEjecucion[precio],0))</f>
        <v/>
      </c>
      <c r="AJ1108" s="10">
        <f>IF(tblOrdenes[[#This Row],[orden]]="","",MAX(0,_xlfn.XLOOKUP(tblOrdenes[[#This Row],[id_operacion]],tblEjecucion[id_operacion],tblEjecucion[costo_plan_total],0)-tblOrdenes[[#This Row],[costo_servicio]]))</f>
        <v/>
      </c>
      <c r="AK1108" s="10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2">
        <f>IF(tblOrdenes[[#This Row],[fecha_inicio]]="","",TODAY()-tblOrdenes[[#This Row],[fecha_inicio]])</f>
        <v/>
      </c>
      <c r="AB11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0">
        <f>IF(tblOrdenes[[#This Row],[orden]]="","",_xlfn.XLOOKUP(tblOrdenes[[#This Row],[id_operacion]],tblEjecucion[id_operacion],tblEjecucion[precio],0))</f>
        <v/>
      </c>
      <c r="AJ1109" s="10">
        <f>IF(tblOrdenes[[#This Row],[orden]]="","",MAX(0,_xlfn.XLOOKUP(tblOrdenes[[#This Row],[id_operacion]],tblEjecucion[id_operacion],tblEjecucion[costo_plan_total],0)-tblOrdenes[[#This Row],[costo_servicio]]))</f>
        <v/>
      </c>
      <c r="AK1109" s="10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2">
        <f>IF(tblOrdenes[[#This Row],[fecha_inicio]]="","",TODAY()-tblOrdenes[[#This Row],[fecha_inicio]])</f>
        <v/>
      </c>
      <c r="AB11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0">
        <f>IF(tblOrdenes[[#This Row],[orden]]="","",_xlfn.XLOOKUP(tblOrdenes[[#This Row],[id_operacion]],tblEjecucion[id_operacion],tblEjecucion[precio],0))</f>
        <v/>
      </c>
      <c r="AJ1110" s="10">
        <f>IF(tblOrdenes[[#This Row],[orden]]="","",MAX(0,_xlfn.XLOOKUP(tblOrdenes[[#This Row],[id_operacion]],tblEjecucion[id_operacion],tblEjecucion[costo_plan_total],0)-tblOrdenes[[#This Row],[costo_servicio]]))</f>
        <v/>
      </c>
      <c r="AK1110" s="10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2">
        <f>IF(tblOrdenes[[#This Row],[fecha_inicio]]="","",TODAY()-tblOrdenes[[#This Row],[fecha_inicio]])</f>
        <v/>
      </c>
      <c r="AB11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0">
        <f>IF(tblOrdenes[[#This Row],[orden]]="","",_xlfn.XLOOKUP(tblOrdenes[[#This Row],[id_operacion]],tblEjecucion[id_operacion],tblEjecucion[precio],0))</f>
        <v/>
      </c>
      <c r="AJ1111" s="10">
        <f>IF(tblOrdenes[[#This Row],[orden]]="","",MAX(0,_xlfn.XLOOKUP(tblOrdenes[[#This Row],[id_operacion]],tblEjecucion[id_operacion],tblEjecucion[costo_plan_total],0)-tblOrdenes[[#This Row],[costo_servicio]]))</f>
        <v/>
      </c>
      <c r="AK1111" s="10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2">
        <f>IF(tblOrdenes[[#This Row],[fecha_inicio]]="","",TODAY()-tblOrdenes[[#This Row],[fecha_inicio]])</f>
        <v/>
      </c>
      <c r="AB11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0">
        <f>IF(tblOrdenes[[#This Row],[orden]]="","",_xlfn.XLOOKUP(tblOrdenes[[#This Row],[id_operacion]],tblEjecucion[id_operacion],tblEjecucion[precio],0))</f>
        <v/>
      </c>
      <c r="AJ1112" s="10">
        <f>IF(tblOrdenes[[#This Row],[orden]]="","",MAX(0,_xlfn.XLOOKUP(tblOrdenes[[#This Row],[id_operacion]],tblEjecucion[id_operacion],tblEjecucion[costo_plan_total],0)-tblOrdenes[[#This Row],[costo_servicio]]))</f>
        <v/>
      </c>
      <c r="AK1112" s="10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2">
        <f>IF(tblOrdenes[[#This Row],[fecha_inicio]]="","",TODAY()-tblOrdenes[[#This Row],[fecha_inicio]])</f>
        <v/>
      </c>
      <c r="AB11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0">
        <f>IF(tblOrdenes[[#This Row],[orden]]="","",_xlfn.XLOOKUP(tblOrdenes[[#This Row],[id_operacion]],tblEjecucion[id_operacion],tblEjecucion[precio],0))</f>
        <v/>
      </c>
      <c r="AJ1113" s="10">
        <f>IF(tblOrdenes[[#This Row],[orden]]="","",MAX(0,_xlfn.XLOOKUP(tblOrdenes[[#This Row],[id_operacion]],tblEjecucion[id_operacion],tblEjecucion[costo_plan_total],0)-tblOrdenes[[#This Row],[costo_servicio]]))</f>
        <v/>
      </c>
      <c r="AK1113" s="10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2">
        <f>IF(tblOrdenes[[#This Row],[fecha_inicio]]="","",TODAY()-tblOrdenes[[#This Row],[fecha_inicio]])</f>
        <v/>
      </c>
      <c r="AB11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0">
        <f>IF(tblOrdenes[[#This Row],[orden]]="","",_xlfn.XLOOKUP(tblOrdenes[[#This Row],[id_operacion]],tblEjecucion[id_operacion],tblEjecucion[precio],0))</f>
        <v/>
      </c>
      <c r="AJ1114" s="10">
        <f>IF(tblOrdenes[[#This Row],[orden]]="","",MAX(0,_xlfn.XLOOKUP(tblOrdenes[[#This Row],[id_operacion]],tblEjecucion[id_operacion],tblEjecucion[costo_plan_total],0)-tblOrdenes[[#This Row],[costo_servicio]]))</f>
        <v/>
      </c>
      <c r="AK1114" s="10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2">
        <f>IF(tblOrdenes[[#This Row],[fecha_inicio]]="","",TODAY()-tblOrdenes[[#This Row],[fecha_inicio]])</f>
        <v/>
      </c>
      <c r="AB11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0">
        <f>IF(tblOrdenes[[#This Row],[orden]]="","",_xlfn.XLOOKUP(tblOrdenes[[#This Row],[id_operacion]],tblEjecucion[id_operacion],tblEjecucion[precio],0))</f>
        <v/>
      </c>
      <c r="AJ1115" s="10">
        <f>IF(tblOrdenes[[#This Row],[orden]]="","",MAX(0,_xlfn.XLOOKUP(tblOrdenes[[#This Row],[id_operacion]],tblEjecucion[id_operacion],tblEjecucion[costo_plan_total],0)-tblOrdenes[[#This Row],[costo_servicio]]))</f>
        <v/>
      </c>
      <c r="AK1115" s="10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2">
        <f>IF(tblOrdenes[[#This Row],[fecha_inicio]]="","",TODAY()-tblOrdenes[[#This Row],[fecha_inicio]])</f>
        <v/>
      </c>
      <c r="AB11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0">
        <f>IF(tblOrdenes[[#This Row],[orden]]="","",_xlfn.XLOOKUP(tblOrdenes[[#This Row],[id_operacion]],tblEjecucion[id_operacion],tblEjecucion[precio],0))</f>
        <v/>
      </c>
      <c r="AJ1116" s="10">
        <f>IF(tblOrdenes[[#This Row],[orden]]="","",MAX(0,_xlfn.XLOOKUP(tblOrdenes[[#This Row],[id_operacion]],tblEjecucion[id_operacion],tblEjecucion[costo_plan_total],0)-tblOrdenes[[#This Row],[costo_servicio]]))</f>
        <v/>
      </c>
      <c r="AK1116" s="10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2">
        <f>IF(tblOrdenes[[#This Row],[fecha_inicio]]="","",TODAY()-tblOrdenes[[#This Row],[fecha_inicio]])</f>
        <v/>
      </c>
      <c r="AB11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0">
        <f>IF(tblOrdenes[[#This Row],[orden]]="","",_xlfn.XLOOKUP(tblOrdenes[[#This Row],[id_operacion]],tblEjecucion[id_operacion],tblEjecucion[precio],0))</f>
        <v/>
      </c>
      <c r="AJ1117" s="10">
        <f>IF(tblOrdenes[[#This Row],[orden]]="","",MAX(0,_xlfn.XLOOKUP(tblOrdenes[[#This Row],[id_operacion]],tblEjecucion[id_operacion],tblEjecucion[costo_plan_total],0)-tblOrdenes[[#This Row],[costo_servicio]]))</f>
        <v/>
      </c>
      <c r="AK1117" s="10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2">
        <f>IF(tblOrdenes[[#This Row],[fecha_inicio]]="","",TODAY()-tblOrdenes[[#This Row],[fecha_inicio]])</f>
        <v/>
      </c>
      <c r="AB11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0">
        <f>IF(tblOrdenes[[#This Row],[orden]]="","",_xlfn.XLOOKUP(tblOrdenes[[#This Row],[id_operacion]],tblEjecucion[id_operacion],tblEjecucion[precio],0))</f>
        <v/>
      </c>
      <c r="AJ1118" s="10">
        <f>IF(tblOrdenes[[#This Row],[orden]]="","",MAX(0,_xlfn.XLOOKUP(tblOrdenes[[#This Row],[id_operacion]],tblEjecucion[id_operacion],tblEjecucion[costo_plan_total],0)-tblOrdenes[[#This Row],[costo_servicio]]))</f>
        <v/>
      </c>
      <c r="AK1118" s="10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2">
        <f>IF(tblOrdenes[[#This Row],[fecha_inicio]]="","",TODAY()-tblOrdenes[[#This Row],[fecha_inicio]])</f>
        <v/>
      </c>
      <c r="AB11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0">
        <f>IF(tblOrdenes[[#This Row],[orden]]="","",_xlfn.XLOOKUP(tblOrdenes[[#This Row],[id_operacion]],tblEjecucion[id_operacion],tblEjecucion[precio],0))</f>
        <v/>
      </c>
      <c r="AJ1119" s="10">
        <f>IF(tblOrdenes[[#This Row],[orden]]="","",MAX(0,_xlfn.XLOOKUP(tblOrdenes[[#This Row],[id_operacion]],tblEjecucion[id_operacion],tblEjecucion[costo_plan_total],0)-tblOrdenes[[#This Row],[costo_servicio]]))</f>
        <v/>
      </c>
      <c r="AK1119" s="10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2">
        <f>IF(tblOrdenes[[#This Row],[fecha_inicio]]="","",TODAY()-tblOrdenes[[#This Row],[fecha_inicio]])</f>
        <v/>
      </c>
      <c r="AB11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0">
        <f>IF(tblOrdenes[[#This Row],[orden]]="","",_xlfn.XLOOKUP(tblOrdenes[[#This Row],[id_operacion]],tblEjecucion[id_operacion],tblEjecucion[precio],0))</f>
        <v/>
      </c>
      <c r="AJ1120" s="10">
        <f>IF(tblOrdenes[[#This Row],[orden]]="","",MAX(0,_xlfn.XLOOKUP(tblOrdenes[[#This Row],[id_operacion]],tblEjecucion[id_operacion],tblEjecucion[costo_plan_total],0)-tblOrdenes[[#This Row],[costo_servicio]]))</f>
        <v/>
      </c>
      <c r="AK1120" s="10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2">
        <f>IF(tblOrdenes[[#This Row],[fecha_inicio]]="","",TODAY()-tblOrdenes[[#This Row],[fecha_inicio]])</f>
        <v/>
      </c>
      <c r="AB11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0">
        <f>IF(tblOrdenes[[#This Row],[orden]]="","",_xlfn.XLOOKUP(tblOrdenes[[#This Row],[id_operacion]],tblEjecucion[id_operacion],tblEjecucion[precio],0))</f>
        <v/>
      </c>
      <c r="AJ1121" s="10">
        <f>IF(tblOrdenes[[#This Row],[orden]]="","",MAX(0,_xlfn.XLOOKUP(tblOrdenes[[#This Row],[id_operacion]],tblEjecucion[id_operacion],tblEjecucion[costo_plan_total],0)-tblOrdenes[[#This Row],[costo_servicio]]))</f>
        <v/>
      </c>
      <c r="AK1121" s="10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2">
        <f>IF(tblOrdenes[[#This Row],[fecha_inicio]]="","",TODAY()-tblOrdenes[[#This Row],[fecha_inicio]])</f>
        <v/>
      </c>
      <c r="AB11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0">
        <f>IF(tblOrdenes[[#This Row],[orden]]="","",_xlfn.XLOOKUP(tblOrdenes[[#This Row],[id_operacion]],tblEjecucion[id_operacion],tblEjecucion[precio],0))</f>
        <v/>
      </c>
      <c r="AJ1122" s="10">
        <f>IF(tblOrdenes[[#This Row],[orden]]="","",MAX(0,_xlfn.XLOOKUP(tblOrdenes[[#This Row],[id_operacion]],tblEjecucion[id_operacion],tblEjecucion[costo_plan_total],0)-tblOrdenes[[#This Row],[costo_servicio]]))</f>
        <v/>
      </c>
      <c r="AK1122" s="10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2">
        <f>IF(tblOrdenes[[#This Row],[fecha_inicio]]="","",TODAY()-tblOrdenes[[#This Row],[fecha_inicio]])</f>
        <v/>
      </c>
      <c r="AB11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0">
        <f>IF(tblOrdenes[[#This Row],[orden]]="","",_xlfn.XLOOKUP(tblOrdenes[[#This Row],[id_operacion]],tblEjecucion[id_operacion],tblEjecucion[precio],0))</f>
        <v/>
      </c>
      <c r="AJ1123" s="10">
        <f>IF(tblOrdenes[[#This Row],[orden]]="","",MAX(0,_xlfn.XLOOKUP(tblOrdenes[[#This Row],[id_operacion]],tblEjecucion[id_operacion],tblEjecucion[costo_plan_total],0)-tblOrdenes[[#This Row],[costo_servicio]]))</f>
        <v/>
      </c>
      <c r="AK1123" s="10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2">
        <f>IF(tblOrdenes[[#This Row],[fecha_inicio]]="","",TODAY()-tblOrdenes[[#This Row],[fecha_inicio]])</f>
        <v/>
      </c>
      <c r="AB11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0">
        <f>IF(tblOrdenes[[#This Row],[orden]]="","",_xlfn.XLOOKUP(tblOrdenes[[#This Row],[id_operacion]],tblEjecucion[id_operacion],tblEjecucion[precio],0))</f>
        <v/>
      </c>
      <c r="AJ1124" s="10">
        <f>IF(tblOrdenes[[#This Row],[orden]]="","",MAX(0,_xlfn.XLOOKUP(tblOrdenes[[#This Row],[id_operacion]],tblEjecucion[id_operacion],tblEjecucion[costo_plan_total],0)-tblOrdenes[[#This Row],[costo_servicio]]))</f>
        <v/>
      </c>
      <c r="AK1124" s="10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2">
        <f>IF(tblOrdenes[[#This Row],[fecha_inicio]]="","",TODAY()-tblOrdenes[[#This Row],[fecha_inicio]])</f>
        <v/>
      </c>
      <c r="AB11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0">
        <f>IF(tblOrdenes[[#This Row],[orden]]="","",_xlfn.XLOOKUP(tblOrdenes[[#This Row],[id_operacion]],tblEjecucion[id_operacion],tblEjecucion[precio],0))</f>
        <v/>
      </c>
      <c r="AJ1125" s="10">
        <f>IF(tblOrdenes[[#This Row],[orden]]="","",MAX(0,_xlfn.XLOOKUP(tblOrdenes[[#This Row],[id_operacion]],tblEjecucion[id_operacion],tblEjecucion[costo_plan_total],0)-tblOrdenes[[#This Row],[costo_servicio]]))</f>
        <v/>
      </c>
      <c r="AK1125" s="10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2">
        <f>IF(tblOrdenes[[#This Row],[fecha_inicio]]="","",TODAY()-tblOrdenes[[#This Row],[fecha_inicio]])</f>
        <v/>
      </c>
      <c r="AB11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0">
        <f>IF(tblOrdenes[[#This Row],[orden]]="","",_xlfn.XLOOKUP(tblOrdenes[[#This Row],[id_operacion]],tblEjecucion[id_operacion],tblEjecucion[precio],0))</f>
        <v/>
      </c>
      <c r="AJ1126" s="10">
        <f>IF(tblOrdenes[[#This Row],[orden]]="","",MAX(0,_xlfn.XLOOKUP(tblOrdenes[[#This Row],[id_operacion]],tblEjecucion[id_operacion],tblEjecucion[costo_plan_total],0)-tblOrdenes[[#This Row],[costo_servicio]]))</f>
        <v/>
      </c>
      <c r="AK1126" s="10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2">
        <f>IF(tblOrdenes[[#This Row],[fecha_inicio]]="","",TODAY()-tblOrdenes[[#This Row],[fecha_inicio]])</f>
        <v/>
      </c>
      <c r="AB11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0">
        <f>IF(tblOrdenes[[#This Row],[orden]]="","",_xlfn.XLOOKUP(tblOrdenes[[#This Row],[id_operacion]],tblEjecucion[id_operacion],tblEjecucion[precio],0))</f>
        <v/>
      </c>
      <c r="AJ1127" s="10">
        <f>IF(tblOrdenes[[#This Row],[orden]]="","",MAX(0,_xlfn.XLOOKUP(tblOrdenes[[#This Row],[id_operacion]],tblEjecucion[id_operacion],tblEjecucion[costo_plan_total],0)-tblOrdenes[[#This Row],[costo_servicio]]))</f>
        <v/>
      </c>
      <c r="AK1127" s="10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2">
        <f>IF(tblOrdenes[[#This Row],[fecha_inicio]]="","",TODAY()-tblOrdenes[[#This Row],[fecha_inicio]])</f>
        <v/>
      </c>
      <c r="AB11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0">
        <f>IF(tblOrdenes[[#This Row],[orden]]="","",_xlfn.XLOOKUP(tblOrdenes[[#This Row],[id_operacion]],tblEjecucion[id_operacion],tblEjecucion[precio],0))</f>
        <v/>
      </c>
      <c r="AJ1128" s="10">
        <f>IF(tblOrdenes[[#This Row],[orden]]="","",MAX(0,_xlfn.XLOOKUP(tblOrdenes[[#This Row],[id_operacion]],tblEjecucion[id_operacion],tblEjecucion[costo_plan_total],0)-tblOrdenes[[#This Row],[costo_servicio]]))</f>
        <v/>
      </c>
      <c r="AK1128" s="10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2">
        <f>IF(tblOrdenes[[#This Row],[fecha_inicio]]="","",TODAY()-tblOrdenes[[#This Row],[fecha_inicio]])</f>
        <v/>
      </c>
      <c r="AB11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0">
        <f>IF(tblOrdenes[[#This Row],[orden]]="","",_xlfn.XLOOKUP(tblOrdenes[[#This Row],[id_operacion]],tblEjecucion[id_operacion],tblEjecucion[precio],0))</f>
        <v/>
      </c>
      <c r="AJ1129" s="10">
        <f>IF(tblOrdenes[[#This Row],[orden]]="","",MAX(0,_xlfn.XLOOKUP(tblOrdenes[[#This Row],[id_operacion]],tblEjecucion[id_operacion],tblEjecucion[costo_plan_total],0)-tblOrdenes[[#This Row],[costo_servicio]]))</f>
        <v/>
      </c>
      <c r="AK1129" s="10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2">
        <f>IF(tblOrdenes[[#This Row],[fecha_inicio]]="","",TODAY()-tblOrdenes[[#This Row],[fecha_inicio]])</f>
        <v/>
      </c>
      <c r="AB11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0">
        <f>IF(tblOrdenes[[#This Row],[orden]]="","",_xlfn.XLOOKUP(tblOrdenes[[#This Row],[id_operacion]],tblEjecucion[id_operacion],tblEjecucion[precio],0))</f>
        <v/>
      </c>
      <c r="AJ1130" s="10">
        <f>IF(tblOrdenes[[#This Row],[orden]]="","",MAX(0,_xlfn.XLOOKUP(tblOrdenes[[#This Row],[id_operacion]],tblEjecucion[id_operacion],tblEjecucion[costo_plan_total],0)-tblOrdenes[[#This Row],[costo_servicio]]))</f>
        <v/>
      </c>
      <c r="AK1130" s="10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2">
        <f>IF(tblOrdenes[[#This Row],[fecha_inicio]]="","",TODAY()-tblOrdenes[[#This Row],[fecha_inicio]])</f>
        <v/>
      </c>
      <c r="AB11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0">
        <f>IF(tblOrdenes[[#This Row],[orden]]="","",_xlfn.XLOOKUP(tblOrdenes[[#This Row],[id_operacion]],tblEjecucion[id_operacion],tblEjecucion[precio],0))</f>
        <v/>
      </c>
      <c r="AJ1131" s="10">
        <f>IF(tblOrdenes[[#This Row],[orden]]="","",MAX(0,_xlfn.XLOOKUP(tblOrdenes[[#This Row],[id_operacion]],tblEjecucion[id_operacion],tblEjecucion[costo_plan_total],0)-tblOrdenes[[#This Row],[costo_servicio]]))</f>
        <v/>
      </c>
      <c r="AK1131" s="10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2">
        <f>IF(tblOrdenes[[#This Row],[fecha_inicio]]="","",TODAY()-tblOrdenes[[#This Row],[fecha_inicio]])</f>
        <v/>
      </c>
      <c r="AB11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0">
        <f>IF(tblOrdenes[[#This Row],[orden]]="","",_xlfn.XLOOKUP(tblOrdenes[[#This Row],[id_operacion]],tblEjecucion[id_operacion],tblEjecucion[precio],0))</f>
        <v/>
      </c>
      <c r="AJ1132" s="10">
        <f>IF(tblOrdenes[[#This Row],[orden]]="","",MAX(0,_xlfn.XLOOKUP(tblOrdenes[[#This Row],[id_operacion]],tblEjecucion[id_operacion],tblEjecucion[costo_plan_total],0)-tblOrdenes[[#This Row],[costo_servicio]]))</f>
        <v/>
      </c>
      <c r="AK1132" s="10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2">
        <f>IF(tblOrdenes[[#This Row],[fecha_inicio]]="","",TODAY()-tblOrdenes[[#This Row],[fecha_inicio]])</f>
        <v/>
      </c>
      <c r="AB11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0">
        <f>IF(tblOrdenes[[#This Row],[orden]]="","",_xlfn.XLOOKUP(tblOrdenes[[#This Row],[id_operacion]],tblEjecucion[id_operacion],tblEjecucion[precio],0))</f>
        <v/>
      </c>
      <c r="AJ1133" s="10">
        <f>IF(tblOrdenes[[#This Row],[orden]]="","",MAX(0,_xlfn.XLOOKUP(tblOrdenes[[#This Row],[id_operacion]],tblEjecucion[id_operacion],tblEjecucion[costo_plan_total],0)-tblOrdenes[[#This Row],[costo_servicio]]))</f>
        <v/>
      </c>
      <c r="AK1133" s="10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2">
        <f>IF(tblOrdenes[[#This Row],[fecha_inicio]]="","",TODAY()-tblOrdenes[[#This Row],[fecha_inicio]])</f>
        <v/>
      </c>
      <c r="AB11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0">
        <f>IF(tblOrdenes[[#This Row],[orden]]="","",_xlfn.XLOOKUP(tblOrdenes[[#This Row],[id_operacion]],tblEjecucion[id_operacion],tblEjecucion[precio],0))</f>
        <v/>
      </c>
      <c r="AJ1134" s="10">
        <f>IF(tblOrdenes[[#This Row],[orden]]="","",MAX(0,_xlfn.XLOOKUP(tblOrdenes[[#This Row],[id_operacion]],tblEjecucion[id_operacion],tblEjecucion[costo_plan_total],0)-tblOrdenes[[#This Row],[costo_servicio]]))</f>
        <v/>
      </c>
      <c r="AK1134" s="10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2">
        <f>IF(tblOrdenes[[#This Row],[fecha_inicio]]="","",TODAY()-tblOrdenes[[#This Row],[fecha_inicio]])</f>
        <v/>
      </c>
      <c r="AB11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0">
        <f>IF(tblOrdenes[[#This Row],[orden]]="","",_xlfn.XLOOKUP(tblOrdenes[[#This Row],[id_operacion]],tblEjecucion[id_operacion],tblEjecucion[precio],0))</f>
        <v/>
      </c>
      <c r="AJ1135" s="10">
        <f>IF(tblOrdenes[[#This Row],[orden]]="","",MAX(0,_xlfn.XLOOKUP(tblOrdenes[[#This Row],[id_operacion]],tblEjecucion[id_operacion],tblEjecucion[costo_plan_total],0)-tblOrdenes[[#This Row],[costo_servicio]]))</f>
        <v/>
      </c>
      <c r="AK1135" s="10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2">
        <f>IF(tblOrdenes[[#This Row],[fecha_inicio]]="","",TODAY()-tblOrdenes[[#This Row],[fecha_inicio]])</f>
        <v/>
      </c>
      <c r="AB11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0">
        <f>IF(tblOrdenes[[#This Row],[orden]]="","",_xlfn.XLOOKUP(tblOrdenes[[#This Row],[id_operacion]],tblEjecucion[id_operacion],tblEjecucion[precio],0))</f>
        <v/>
      </c>
      <c r="AJ1136" s="10">
        <f>IF(tblOrdenes[[#This Row],[orden]]="","",MAX(0,_xlfn.XLOOKUP(tblOrdenes[[#This Row],[id_operacion]],tblEjecucion[id_operacion],tblEjecucion[costo_plan_total],0)-tblOrdenes[[#This Row],[costo_servicio]]))</f>
        <v/>
      </c>
      <c r="AK1136" s="10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2">
        <f>IF(tblOrdenes[[#This Row],[fecha_inicio]]="","",TODAY()-tblOrdenes[[#This Row],[fecha_inicio]])</f>
        <v/>
      </c>
      <c r="AB11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0">
        <f>IF(tblOrdenes[[#This Row],[orden]]="","",_xlfn.XLOOKUP(tblOrdenes[[#This Row],[id_operacion]],tblEjecucion[id_operacion],tblEjecucion[precio],0))</f>
        <v/>
      </c>
      <c r="AJ1137" s="10">
        <f>IF(tblOrdenes[[#This Row],[orden]]="","",MAX(0,_xlfn.XLOOKUP(tblOrdenes[[#This Row],[id_operacion]],tblEjecucion[id_operacion],tblEjecucion[costo_plan_total],0)-tblOrdenes[[#This Row],[costo_servicio]]))</f>
        <v/>
      </c>
      <c r="AK1137" s="10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2">
        <f>IF(tblOrdenes[[#This Row],[fecha_inicio]]="","",TODAY()-tblOrdenes[[#This Row],[fecha_inicio]])</f>
        <v/>
      </c>
      <c r="AB11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0">
        <f>IF(tblOrdenes[[#This Row],[orden]]="","",_xlfn.XLOOKUP(tblOrdenes[[#This Row],[id_operacion]],tblEjecucion[id_operacion],tblEjecucion[precio],0))</f>
        <v/>
      </c>
      <c r="AJ1138" s="10">
        <f>IF(tblOrdenes[[#This Row],[orden]]="","",MAX(0,_xlfn.XLOOKUP(tblOrdenes[[#This Row],[id_operacion]],tblEjecucion[id_operacion],tblEjecucion[costo_plan_total],0)-tblOrdenes[[#This Row],[costo_servicio]]))</f>
        <v/>
      </c>
      <c r="AK1138" s="10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2">
        <f>IF(tblOrdenes[[#This Row],[fecha_inicio]]="","",TODAY()-tblOrdenes[[#This Row],[fecha_inicio]])</f>
        <v/>
      </c>
      <c r="AB11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0">
        <f>IF(tblOrdenes[[#This Row],[orden]]="","",_xlfn.XLOOKUP(tblOrdenes[[#This Row],[id_operacion]],tblEjecucion[id_operacion],tblEjecucion[precio],0))</f>
        <v/>
      </c>
      <c r="AJ1139" s="10">
        <f>IF(tblOrdenes[[#This Row],[orden]]="","",MAX(0,_xlfn.XLOOKUP(tblOrdenes[[#This Row],[id_operacion]],tblEjecucion[id_operacion],tblEjecucion[costo_plan_total],0)-tblOrdenes[[#This Row],[costo_servicio]]))</f>
        <v/>
      </c>
      <c r="AK1139" s="10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2">
        <f>IF(tblOrdenes[[#This Row],[fecha_inicio]]="","",TODAY()-tblOrdenes[[#This Row],[fecha_inicio]])</f>
        <v/>
      </c>
      <c r="AB11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0">
        <f>IF(tblOrdenes[[#This Row],[orden]]="","",_xlfn.XLOOKUP(tblOrdenes[[#This Row],[id_operacion]],tblEjecucion[id_operacion],tblEjecucion[precio],0))</f>
        <v/>
      </c>
      <c r="AJ1140" s="10">
        <f>IF(tblOrdenes[[#This Row],[orden]]="","",MAX(0,_xlfn.XLOOKUP(tblOrdenes[[#This Row],[id_operacion]],tblEjecucion[id_operacion],tblEjecucion[costo_plan_total],0)-tblOrdenes[[#This Row],[costo_servicio]]))</f>
        <v/>
      </c>
      <c r="AK1140" s="10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2">
        <f>IF(tblOrdenes[[#This Row],[fecha_inicio]]="","",TODAY()-tblOrdenes[[#This Row],[fecha_inicio]])</f>
        <v/>
      </c>
      <c r="AB11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0">
        <f>IF(tblOrdenes[[#This Row],[orden]]="","",_xlfn.XLOOKUP(tblOrdenes[[#This Row],[id_operacion]],tblEjecucion[id_operacion],tblEjecucion[precio],0))</f>
        <v/>
      </c>
      <c r="AJ1141" s="10">
        <f>IF(tblOrdenes[[#This Row],[orden]]="","",MAX(0,_xlfn.XLOOKUP(tblOrdenes[[#This Row],[id_operacion]],tblEjecucion[id_operacion],tblEjecucion[costo_plan_total],0)-tblOrdenes[[#This Row],[costo_servicio]]))</f>
        <v/>
      </c>
      <c r="AK1141" s="10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2">
        <f>IF(tblOrdenes[[#This Row],[fecha_inicio]]="","",TODAY()-tblOrdenes[[#This Row],[fecha_inicio]])</f>
        <v/>
      </c>
      <c r="AB11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0">
        <f>IF(tblOrdenes[[#This Row],[orden]]="","",_xlfn.XLOOKUP(tblOrdenes[[#This Row],[id_operacion]],tblEjecucion[id_operacion],tblEjecucion[precio],0))</f>
        <v/>
      </c>
      <c r="AJ1142" s="10">
        <f>IF(tblOrdenes[[#This Row],[orden]]="","",MAX(0,_xlfn.XLOOKUP(tblOrdenes[[#This Row],[id_operacion]],tblEjecucion[id_operacion],tblEjecucion[costo_plan_total],0)-tblOrdenes[[#This Row],[costo_servicio]]))</f>
        <v/>
      </c>
      <c r="AK1142" s="10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2">
        <f>IF(tblOrdenes[[#This Row],[fecha_inicio]]="","",TODAY()-tblOrdenes[[#This Row],[fecha_inicio]])</f>
        <v/>
      </c>
      <c r="AB11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0">
        <f>IF(tblOrdenes[[#This Row],[orden]]="","",_xlfn.XLOOKUP(tblOrdenes[[#This Row],[id_operacion]],tblEjecucion[id_operacion],tblEjecucion[precio],0))</f>
        <v/>
      </c>
      <c r="AJ1143" s="10">
        <f>IF(tblOrdenes[[#This Row],[orden]]="","",MAX(0,_xlfn.XLOOKUP(tblOrdenes[[#This Row],[id_operacion]],tblEjecucion[id_operacion],tblEjecucion[costo_plan_total],0)-tblOrdenes[[#This Row],[costo_servicio]]))</f>
        <v/>
      </c>
      <c r="AK1143" s="10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2">
        <f>IF(tblOrdenes[[#This Row],[fecha_inicio]]="","",TODAY()-tblOrdenes[[#This Row],[fecha_inicio]])</f>
        <v/>
      </c>
      <c r="AB11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0">
        <f>IF(tblOrdenes[[#This Row],[orden]]="","",_xlfn.XLOOKUP(tblOrdenes[[#This Row],[id_operacion]],tblEjecucion[id_operacion],tblEjecucion[precio],0))</f>
        <v/>
      </c>
      <c r="AJ1144" s="10">
        <f>IF(tblOrdenes[[#This Row],[orden]]="","",MAX(0,_xlfn.XLOOKUP(tblOrdenes[[#This Row],[id_operacion]],tblEjecucion[id_operacion],tblEjecucion[costo_plan_total],0)-tblOrdenes[[#This Row],[costo_servicio]]))</f>
        <v/>
      </c>
      <c r="AK1144" s="10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2">
        <f>IF(tblOrdenes[[#This Row],[fecha_inicio]]="","",TODAY()-tblOrdenes[[#This Row],[fecha_inicio]])</f>
        <v/>
      </c>
      <c r="AB11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0">
        <f>IF(tblOrdenes[[#This Row],[orden]]="","",_xlfn.XLOOKUP(tblOrdenes[[#This Row],[id_operacion]],tblEjecucion[id_operacion],tblEjecucion[precio],0))</f>
        <v/>
      </c>
      <c r="AJ1145" s="10">
        <f>IF(tblOrdenes[[#This Row],[orden]]="","",MAX(0,_xlfn.XLOOKUP(tblOrdenes[[#This Row],[id_operacion]],tblEjecucion[id_operacion],tblEjecucion[costo_plan_total],0)-tblOrdenes[[#This Row],[costo_servicio]]))</f>
        <v/>
      </c>
      <c r="AK1145" s="10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2">
        <f>IF(tblOrdenes[[#This Row],[fecha_inicio]]="","",TODAY()-tblOrdenes[[#This Row],[fecha_inicio]])</f>
        <v/>
      </c>
      <c r="AB11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0">
        <f>IF(tblOrdenes[[#This Row],[orden]]="","",_xlfn.XLOOKUP(tblOrdenes[[#This Row],[id_operacion]],tblEjecucion[id_operacion],tblEjecucion[precio],0))</f>
        <v/>
      </c>
      <c r="AJ1146" s="10">
        <f>IF(tblOrdenes[[#This Row],[orden]]="","",MAX(0,_xlfn.XLOOKUP(tblOrdenes[[#This Row],[id_operacion]],tblEjecucion[id_operacion],tblEjecucion[costo_plan_total],0)-tblOrdenes[[#This Row],[costo_servicio]]))</f>
        <v/>
      </c>
      <c r="AK1146" s="10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2">
        <f>IF(tblOrdenes[[#This Row],[fecha_inicio]]="","",TODAY()-tblOrdenes[[#This Row],[fecha_inicio]])</f>
        <v/>
      </c>
      <c r="AB11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0">
        <f>IF(tblOrdenes[[#This Row],[orden]]="","",_xlfn.XLOOKUP(tblOrdenes[[#This Row],[id_operacion]],tblEjecucion[id_operacion],tblEjecucion[precio],0))</f>
        <v/>
      </c>
      <c r="AJ1147" s="10">
        <f>IF(tblOrdenes[[#This Row],[orden]]="","",MAX(0,_xlfn.XLOOKUP(tblOrdenes[[#This Row],[id_operacion]],tblEjecucion[id_operacion],tblEjecucion[costo_plan_total],0)-tblOrdenes[[#This Row],[costo_servicio]]))</f>
        <v/>
      </c>
      <c r="AK1147" s="10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2">
        <f>IF(tblOrdenes[[#This Row],[fecha_inicio]]="","",TODAY()-tblOrdenes[[#This Row],[fecha_inicio]])</f>
        <v/>
      </c>
      <c r="AB11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0">
        <f>IF(tblOrdenes[[#This Row],[orden]]="","",_xlfn.XLOOKUP(tblOrdenes[[#This Row],[id_operacion]],tblEjecucion[id_operacion],tblEjecucion[precio],0))</f>
        <v/>
      </c>
      <c r="AJ1148" s="10">
        <f>IF(tblOrdenes[[#This Row],[orden]]="","",MAX(0,_xlfn.XLOOKUP(tblOrdenes[[#This Row],[id_operacion]],tblEjecucion[id_operacion],tblEjecucion[costo_plan_total],0)-tblOrdenes[[#This Row],[costo_servicio]]))</f>
        <v/>
      </c>
      <c r="AK1148" s="10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2">
        <f>IF(tblOrdenes[[#This Row],[fecha_inicio]]="","",TODAY()-tblOrdenes[[#This Row],[fecha_inicio]])</f>
        <v/>
      </c>
      <c r="AB11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0">
        <f>IF(tblOrdenes[[#This Row],[orden]]="","",_xlfn.XLOOKUP(tblOrdenes[[#This Row],[id_operacion]],tblEjecucion[id_operacion],tblEjecucion[precio],0))</f>
        <v/>
      </c>
      <c r="AJ1149" s="10">
        <f>IF(tblOrdenes[[#This Row],[orden]]="","",MAX(0,_xlfn.XLOOKUP(tblOrdenes[[#This Row],[id_operacion]],tblEjecucion[id_operacion],tblEjecucion[costo_plan_total],0)-tblOrdenes[[#This Row],[costo_servicio]]))</f>
        <v/>
      </c>
      <c r="AK1149" s="10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2">
        <f>IF(tblOrdenes[[#This Row],[fecha_inicio]]="","",TODAY()-tblOrdenes[[#This Row],[fecha_inicio]])</f>
        <v/>
      </c>
      <c r="AB11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0">
        <f>IF(tblOrdenes[[#This Row],[orden]]="","",_xlfn.XLOOKUP(tblOrdenes[[#This Row],[id_operacion]],tblEjecucion[id_operacion],tblEjecucion[precio],0))</f>
        <v/>
      </c>
      <c r="AJ1150" s="10">
        <f>IF(tblOrdenes[[#This Row],[orden]]="","",MAX(0,_xlfn.XLOOKUP(tblOrdenes[[#This Row],[id_operacion]],tblEjecucion[id_operacion],tblEjecucion[costo_plan_total],0)-tblOrdenes[[#This Row],[costo_servicio]]))</f>
        <v/>
      </c>
      <c r="AK1150" s="10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2">
        <f>IF(tblOrdenes[[#This Row],[fecha_inicio]]="","",TODAY()-tblOrdenes[[#This Row],[fecha_inicio]])</f>
        <v/>
      </c>
      <c r="AB11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0">
        <f>IF(tblOrdenes[[#This Row],[orden]]="","",_xlfn.XLOOKUP(tblOrdenes[[#This Row],[id_operacion]],tblEjecucion[id_operacion],tblEjecucion[precio],0))</f>
        <v/>
      </c>
      <c r="AJ1151" s="10">
        <f>IF(tblOrdenes[[#This Row],[orden]]="","",MAX(0,_xlfn.XLOOKUP(tblOrdenes[[#This Row],[id_operacion]],tblEjecucion[id_operacion],tblEjecucion[costo_plan_total],0)-tblOrdenes[[#This Row],[costo_servicio]]))</f>
        <v/>
      </c>
      <c r="AK1151" s="10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2">
        <f>IF(tblOrdenes[[#This Row],[fecha_inicio]]="","",TODAY()-tblOrdenes[[#This Row],[fecha_inicio]])</f>
        <v/>
      </c>
      <c r="AB11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0">
        <f>IF(tblOrdenes[[#This Row],[orden]]="","",_xlfn.XLOOKUP(tblOrdenes[[#This Row],[id_operacion]],tblEjecucion[id_operacion],tblEjecucion[precio],0))</f>
        <v/>
      </c>
      <c r="AJ1152" s="10">
        <f>IF(tblOrdenes[[#This Row],[orden]]="","",MAX(0,_xlfn.XLOOKUP(tblOrdenes[[#This Row],[id_operacion]],tblEjecucion[id_operacion],tblEjecucion[costo_plan_total],0)-tblOrdenes[[#This Row],[costo_servicio]]))</f>
        <v/>
      </c>
      <c r="AK1152" s="10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2">
        <f>IF(tblOrdenes[[#This Row],[fecha_inicio]]="","",TODAY()-tblOrdenes[[#This Row],[fecha_inicio]])</f>
        <v/>
      </c>
      <c r="AB11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0">
        <f>IF(tblOrdenes[[#This Row],[orden]]="","",_xlfn.XLOOKUP(tblOrdenes[[#This Row],[id_operacion]],tblEjecucion[id_operacion],tblEjecucion[precio],0))</f>
        <v/>
      </c>
      <c r="AJ1153" s="10">
        <f>IF(tblOrdenes[[#This Row],[orden]]="","",MAX(0,_xlfn.XLOOKUP(tblOrdenes[[#This Row],[id_operacion]],tblEjecucion[id_operacion],tblEjecucion[costo_plan_total],0)-tblOrdenes[[#This Row],[costo_servicio]]))</f>
        <v/>
      </c>
      <c r="AK1153" s="10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2">
        <f>IF(tblOrdenes[[#This Row],[fecha_inicio]]="","",TODAY()-tblOrdenes[[#This Row],[fecha_inicio]])</f>
        <v/>
      </c>
      <c r="AB11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0">
        <f>IF(tblOrdenes[[#This Row],[orden]]="","",_xlfn.XLOOKUP(tblOrdenes[[#This Row],[id_operacion]],tblEjecucion[id_operacion],tblEjecucion[precio],0))</f>
        <v/>
      </c>
      <c r="AJ1154" s="10">
        <f>IF(tblOrdenes[[#This Row],[orden]]="","",MAX(0,_xlfn.XLOOKUP(tblOrdenes[[#This Row],[id_operacion]],tblEjecucion[id_operacion],tblEjecucion[costo_plan_total],0)-tblOrdenes[[#This Row],[costo_servicio]]))</f>
        <v/>
      </c>
      <c r="AK1154" s="10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2">
        <f>IF(tblOrdenes[[#This Row],[fecha_inicio]]="","",TODAY()-tblOrdenes[[#This Row],[fecha_inicio]])</f>
        <v/>
      </c>
      <c r="AB11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0">
        <f>IF(tblOrdenes[[#This Row],[orden]]="","",_xlfn.XLOOKUP(tblOrdenes[[#This Row],[id_operacion]],tblEjecucion[id_operacion],tblEjecucion[precio],0))</f>
        <v/>
      </c>
      <c r="AJ1155" s="10">
        <f>IF(tblOrdenes[[#This Row],[orden]]="","",MAX(0,_xlfn.XLOOKUP(tblOrdenes[[#This Row],[id_operacion]],tblEjecucion[id_operacion],tblEjecucion[costo_plan_total],0)-tblOrdenes[[#This Row],[costo_servicio]]))</f>
        <v/>
      </c>
      <c r="AK1155" s="10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2">
        <f>IF(tblOrdenes[[#This Row],[fecha_inicio]]="","",TODAY()-tblOrdenes[[#This Row],[fecha_inicio]])</f>
        <v/>
      </c>
      <c r="AB11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0">
        <f>IF(tblOrdenes[[#This Row],[orden]]="","",_xlfn.XLOOKUP(tblOrdenes[[#This Row],[id_operacion]],tblEjecucion[id_operacion],tblEjecucion[precio],0))</f>
        <v/>
      </c>
      <c r="AJ1156" s="10">
        <f>IF(tblOrdenes[[#This Row],[orden]]="","",MAX(0,_xlfn.XLOOKUP(tblOrdenes[[#This Row],[id_operacion]],tblEjecucion[id_operacion],tblEjecucion[costo_plan_total],0)-tblOrdenes[[#This Row],[costo_servicio]]))</f>
        <v/>
      </c>
      <c r="AK1156" s="10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2">
        <f>IF(tblOrdenes[[#This Row],[fecha_inicio]]="","",TODAY()-tblOrdenes[[#This Row],[fecha_inicio]])</f>
        <v/>
      </c>
      <c r="AB11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0">
        <f>IF(tblOrdenes[[#This Row],[orden]]="","",_xlfn.XLOOKUP(tblOrdenes[[#This Row],[id_operacion]],tblEjecucion[id_operacion],tblEjecucion[precio],0))</f>
        <v/>
      </c>
      <c r="AJ1157" s="10">
        <f>IF(tblOrdenes[[#This Row],[orden]]="","",MAX(0,_xlfn.XLOOKUP(tblOrdenes[[#This Row],[id_operacion]],tblEjecucion[id_operacion],tblEjecucion[costo_plan_total],0)-tblOrdenes[[#This Row],[costo_servicio]]))</f>
        <v/>
      </c>
      <c r="AK1157" s="10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2">
        <f>IF(tblOrdenes[[#This Row],[fecha_inicio]]="","",TODAY()-tblOrdenes[[#This Row],[fecha_inicio]])</f>
        <v/>
      </c>
      <c r="AB11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0">
        <f>IF(tblOrdenes[[#This Row],[orden]]="","",_xlfn.XLOOKUP(tblOrdenes[[#This Row],[id_operacion]],tblEjecucion[id_operacion],tblEjecucion[precio],0))</f>
        <v/>
      </c>
      <c r="AJ1158" s="10">
        <f>IF(tblOrdenes[[#This Row],[orden]]="","",MAX(0,_xlfn.XLOOKUP(tblOrdenes[[#This Row],[id_operacion]],tblEjecucion[id_operacion],tblEjecucion[costo_plan_total],0)-tblOrdenes[[#This Row],[costo_servicio]]))</f>
        <v/>
      </c>
      <c r="AK1158" s="10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2">
        <f>IF(tblOrdenes[[#This Row],[fecha_inicio]]="","",TODAY()-tblOrdenes[[#This Row],[fecha_inicio]])</f>
        <v/>
      </c>
      <c r="AB11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0">
        <f>IF(tblOrdenes[[#This Row],[orden]]="","",_xlfn.XLOOKUP(tblOrdenes[[#This Row],[id_operacion]],tblEjecucion[id_operacion],tblEjecucion[precio],0))</f>
        <v/>
      </c>
      <c r="AJ1159" s="10">
        <f>IF(tblOrdenes[[#This Row],[orden]]="","",MAX(0,_xlfn.XLOOKUP(tblOrdenes[[#This Row],[id_operacion]],tblEjecucion[id_operacion],tblEjecucion[costo_plan_total],0)-tblOrdenes[[#This Row],[costo_servicio]]))</f>
        <v/>
      </c>
      <c r="AK1159" s="10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2">
        <f>IF(tblOrdenes[[#This Row],[fecha_inicio]]="","",TODAY()-tblOrdenes[[#This Row],[fecha_inicio]])</f>
        <v/>
      </c>
      <c r="AB11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0">
        <f>IF(tblOrdenes[[#This Row],[orden]]="","",_xlfn.XLOOKUP(tblOrdenes[[#This Row],[id_operacion]],tblEjecucion[id_operacion],tblEjecucion[precio],0))</f>
        <v/>
      </c>
      <c r="AJ1160" s="10">
        <f>IF(tblOrdenes[[#This Row],[orden]]="","",MAX(0,_xlfn.XLOOKUP(tblOrdenes[[#This Row],[id_operacion]],tblEjecucion[id_operacion],tblEjecucion[costo_plan_total],0)-tblOrdenes[[#This Row],[costo_servicio]]))</f>
        <v/>
      </c>
      <c r="AK1160" s="10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2">
        <f>IF(tblOrdenes[[#This Row],[fecha_inicio]]="","",TODAY()-tblOrdenes[[#This Row],[fecha_inicio]])</f>
        <v/>
      </c>
      <c r="AB11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0">
        <f>IF(tblOrdenes[[#This Row],[orden]]="","",_xlfn.XLOOKUP(tblOrdenes[[#This Row],[id_operacion]],tblEjecucion[id_operacion],tblEjecucion[precio],0))</f>
        <v/>
      </c>
      <c r="AJ1161" s="10">
        <f>IF(tblOrdenes[[#This Row],[orden]]="","",MAX(0,_xlfn.XLOOKUP(tblOrdenes[[#This Row],[id_operacion]],tblEjecucion[id_operacion],tblEjecucion[costo_plan_total],0)-tblOrdenes[[#This Row],[costo_servicio]]))</f>
        <v/>
      </c>
      <c r="AK1161" s="10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2">
        <f>IF(tblOrdenes[[#This Row],[fecha_inicio]]="","",TODAY()-tblOrdenes[[#This Row],[fecha_inicio]])</f>
        <v/>
      </c>
      <c r="AB11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0">
        <f>IF(tblOrdenes[[#This Row],[orden]]="","",_xlfn.XLOOKUP(tblOrdenes[[#This Row],[id_operacion]],tblEjecucion[id_operacion],tblEjecucion[precio],0))</f>
        <v/>
      </c>
      <c r="AJ1162" s="10">
        <f>IF(tblOrdenes[[#This Row],[orden]]="","",MAX(0,_xlfn.XLOOKUP(tblOrdenes[[#This Row],[id_operacion]],tblEjecucion[id_operacion],tblEjecucion[costo_plan_total],0)-tblOrdenes[[#This Row],[costo_servicio]]))</f>
        <v/>
      </c>
      <c r="AK1162" s="10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2">
        <f>IF(tblOrdenes[[#This Row],[fecha_inicio]]="","",TODAY()-tblOrdenes[[#This Row],[fecha_inicio]])</f>
        <v/>
      </c>
      <c r="AB11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0">
        <f>IF(tblOrdenes[[#This Row],[orden]]="","",_xlfn.XLOOKUP(tblOrdenes[[#This Row],[id_operacion]],tblEjecucion[id_operacion],tblEjecucion[precio],0))</f>
        <v/>
      </c>
      <c r="AJ1163" s="10">
        <f>IF(tblOrdenes[[#This Row],[orden]]="","",MAX(0,_xlfn.XLOOKUP(tblOrdenes[[#This Row],[id_operacion]],tblEjecucion[id_operacion],tblEjecucion[costo_plan_total],0)-tblOrdenes[[#This Row],[costo_servicio]]))</f>
        <v/>
      </c>
      <c r="AK1163" s="10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2">
        <f>IF(tblOrdenes[[#This Row],[fecha_inicio]]="","",TODAY()-tblOrdenes[[#This Row],[fecha_inicio]])</f>
        <v/>
      </c>
      <c r="AB11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0">
        <f>IF(tblOrdenes[[#This Row],[orden]]="","",_xlfn.XLOOKUP(tblOrdenes[[#This Row],[id_operacion]],tblEjecucion[id_operacion],tblEjecucion[precio],0))</f>
        <v/>
      </c>
      <c r="AJ1164" s="10">
        <f>IF(tblOrdenes[[#This Row],[orden]]="","",MAX(0,_xlfn.XLOOKUP(tblOrdenes[[#This Row],[id_operacion]],tblEjecucion[id_operacion],tblEjecucion[costo_plan_total],0)-tblOrdenes[[#This Row],[costo_servicio]]))</f>
        <v/>
      </c>
      <c r="AK1164" s="10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2">
        <f>IF(tblOrdenes[[#This Row],[fecha_inicio]]="","",TODAY()-tblOrdenes[[#This Row],[fecha_inicio]])</f>
        <v/>
      </c>
      <c r="AB11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0">
        <f>IF(tblOrdenes[[#This Row],[orden]]="","",_xlfn.XLOOKUP(tblOrdenes[[#This Row],[id_operacion]],tblEjecucion[id_operacion],tblEjecucion[precio],0))</f>
        <v/>
      </c>
      <c r="AJ1165" s="10">
        <f>IF(tblOrdenes[[#This Row],[orden]]="","",MAX(0,_xlfn.XLOOKUP(tblOrdenes[[#This Row],[id_operacion]],tblEjecucion[id_operacion],tblEjecucion[costo_plan_total],0)-tblOrdenes[[#This Row],[costo_servicio]]))</f>
        <v/>
      </c>
      <c r="AK1165" s="10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2">
        <f>IF(tblOrdenes[[#This Row],[fecha_inicio]]="","",TODAY()-tblOrdenes[[#This Row],[fecha_inicio]])</f>
        <v/>
      </c>
      <c r="AB11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0">
        <f>IF(tblOrdenes[[#This Row],[orden]]="","",_xlfn.XLOOKUP(tblOrdenes[[#This Row],[id_operacion]],tblEjecucion[id_operacion],tblEjecucion[precio],0))</f>
        <v/>
      </c>
      <c r="AJ1166" s="10">
        <f>IF(tblOrdenes[[#This Row],[orden]]="","",MAX(0,_xlfn.XLOOKUP(tblOrdenes[[#This Row],[id_operacion]],tblEjecucion[id_operacion],tblEjecucion[costo_plan_total],0)-tblOrdenes[[#This Row],[costo_servicio]]))</f>
        <v/>
      </c>
      <c r="AK1166" s="10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2">
        <f>IF(tblOrdenes[[#This Row],[fecha_inicio]]="","",TODAY()-tblOrdenes[[#This Row],[fecha_inicio]])</f>
        <v/>
      </c>
      <c r="AB11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0">
        <f>IF(tblOrdenes[[#This Row],[orden]]="","",_xlfn.XLOOKUP(tblOrdenes[[#This Row],[id_operacion]],tblEjecucion[id_operacion],tblEjecucion[precio],0))</f>
        <v/>
      </c>
      <c r="AJ1167" s="10">
        <f>IF(tblOrdenes[[#This Row],[orden]]="","",MAX(0,_xlfn.XLOOKUP(tblOrdenes[[#This Row],[id_operacion]],tblEjecucion[id_operacion],tblEjecucion[costo_plan_total],0)-tblOrdenes[[#This Row],[costo_servicio]]))</f>
        <v/>
      </c>
      <c r="AK1167" s="10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2">
        <f>IF(tblOrdenes[[#This Row],[fecha_inicio]]="","",TODAY()-tblOrdenes[[#This Row],[fecha_inicio]])</f>
        <v/>
      </c>
      <c r="AB11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0">
        <f>IF(tblOrdenes[[#This Row],[orden]]="","",_xlfn.XLOOKUP(tblOrdenes[[#This Row],[id_operacion]],tblEjecucion[id_operacion],tblEjecucion[precio],0))</f>
        <v/>
      </c>
      <c r="AJ1168" s="10">
        <f>IF(tblOrdenes[[#This Row],[orden]]="","",MAX(0,_xlfn.XLOOKUP(tblOrdenes[[#This Row],[id_operacion]],tblEjecucion[id_operacion],tblEjecucion[costo_plan_total],0)-tblOrdenes[[#This Row],[costo_servicio]]))</f>
        <v/>
      </c>
      <c r="AK1168" s="10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2">
        <f>IF(tblOrdenes[[#This Row],[fecha_inicio]]="","",TODAY()-tblOrdenes[[#This Row],[fecha_inicio]])</f>
        <v/>
      </c>
      <c r="AB11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0">
        <f>IF(tblOrdenes[[#This Row],[orden]]="","",_xlfn.XLOOKUP(tblOrdenes[[#This Row],[id_operacion]],tblEjecucion[id_operacion],tblEjecucion[precio],0))</f>
        <v/>
      </c>
      <c r="AJ1169" s="10">
        <f>IF(tblOrdenes[[#This Row],[orden]]="","",MAX(0,_xlfn.XLOOKUP(tblOrdenes[[#This Row],[id_operacion]],tblEjecucion[id_operacion],tblEjecucion[costo_plan_total],0)-tblOrdenes[[#This Row],[costo_servicio]]))</f>
        <v/>
      </c>
      <c r="AK1169" s="10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2">
        <f>IF(tblOrdenes[[#This Row],[fecha_inicio]]="","",TODAY()-tblOrdenes[[#This Row],[fecha_inicio]])</f>
        <v/>
      </c>
      <c r="AB11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0">
        <f>IF(tblOrdenes[[#This Row],[orden]]="","",_xlfn.XLOOKUP(tblOrdenes[[#This Row],[id_operacion]],tblEjecucion[id_operacion],tblEjecucion[precio],0))</f>
        <v/>
      </c>
      <c r="AJ1170" s="10">
        <f>IF(tblOrdenes[[#This Row],[orden]]="","",MAX(0,_xlfn.XLOOKUP(tblOrdenes[[#This Row],[id_operacion]],tblEjecucion[id_operacion],tblEjecucion[costo_plan_total],0)-tblOrdenes[[#This Row],[costo_servicio]]))</f>
        <v/>
      </c>
      <c r="AK1170" s="10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2">
        <f>IF(tblOrdenes[[#This Row],[fecha_inicio]]="","",TODAY()-tblOrdenes[[#This Row],[fecha_inicio]])</f>
        <v/>
      </c>
      <c r="AB11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0">
        <f>IF(tblOrdenes[[#This Row],[orden]]="","",_xlfn.XLOOKUP(tblOrdenes[[#This Row],[id_operacion]],tblEjecucion[id_operacion],tblEjecucion[precio],0))</f>
        <v/>
      </c>
      <c r="AJ1171" s="10">
        <f>IF(tblOrdenes[[#This Row],[orden]]="","",MAX(0,_xlfn.XLOOKUP(tblOrdenes[[#This Row],[id_operacion]],tblEjecucion[id_operacion],tblEjecucion[costo_plan_total],0)-tblOrdenes[[#This Row],[costo_servicio]]))</f>
        <v/>
      </c>
      <c r="AK1171" s="10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2">
        <f>IF(tblOrdenes[[#This Row],[fecha_inicio]]="","",TODAY()-tblOrdenes[[#This Row],[fecha_inicio]])</f>
        <v/>
      </c>
      <c r="AB11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0">
        <f>IF(tblOrdenes[[#This Row],[orden]]="","",_xlfn.XLOOKUP(tblOrdenes[[#This Row],[id_operacion]],tblEjecucion[id_operacion],tblEjecucion[precio],0))</f>
        <v/>
      </c>
      <c r="AJ1172" s="10">
        <f>IF(tblOrdenes[[#This Row],[orden]]="","",MAX(0,_xlfn.XLOOKUP(tblOrdenes[[#This Row],[id_operacion]],tblEjecucion[id_operacion],tblEjecucion[costo_plan_total],0)-tblOrdenes[[#This Row],[costo_servicio]]))</f>
        <v/>
      </c>
      <c r="AK1172" s="10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2">
        <f>IF(tblOrdenes[[#This Row],[fecha_inicio]]="","",TODAY()-tblOrdenes[[#This Row],[fecha_inicio]])</f>
        <v/>
      </c>
      <c r="AB11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0">
        <f>IF(tblOrdenes[[#This Row],[orden]]="","",_xlfn.XLOOKUP(tblOrdenes[[#This Row],[id_operacion]],tblEjecucion[id_operacion],tblEjecucion[precio],0))</f>
        <v/>
      </c>
      <c r="AJ1173" s="10">
        <f>IF(tblOrdenes[[#This Row],[orden]]="","",MAX(0,_xlfn.XLOOKUP(tblOrdenes[[#This Row],[id_operacion]],tblEjecucion[id_operacion],tblEjecucion[costo_plan_total],0)-tblOrdenes[[#This Row],[costo_servicio]]))</f>
        <v/>
      </c>
      <c r="AK1173" s="10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2">
        <f>IF(tblOrdenes[[#This Row],[fecha_inicio]]="","",TODAY()-tblOrdenes[[#This Row],[fecha_inicio]])</f>
        <v/>
      </c>
      <c r="AB11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0">
        <f>IF(tblOrdenes[[#This Row],[orden]]="","",_xlfn.XLOOKUP(tblOrdenes[[#This Row],[id_operacion]],tblEjecucion[id_operacion],tblEjecucion[precio],0))</f>
        <v/>
      </c>
      <c r="AJ1174" s="10">
        <f>IF(tblOrdenes[[#This Row],[orden]]="","",MAX(0,_xlfn.XLOOKUP(tblOrdenes[[#This Row],[id_operacion]],tblEjecucion[id_operacion],tblEjecucion[costo_plan_total],0)-tblOrdenes[[#This Row],[costo_servicio]]))</f>
        <v/>
      </c>
      <c r="AK1174" s="10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2">
        <f>IF(tblOrdenes[[#This Row],[fecha_inicio]]="","",TODAY()-tblOrdenes[[#This Row],[fecha_inicio]])</f>
        <v/>
      </c>
      <c r="AB11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0">
        <f>IF(tblOrdenes[[#This Row],[orden]]="","",_xlfn.XLOOKUP(tblOrdenes[[#This Row],[id_operacion]],tblEjecucion[id_operacion],tblEjecucion[precio],0))</f>
        <v/>
      </c>
      <c r="AJ1175" s="10">
        <f>IF(tblOrdenes[[#This Row],[orden]]="","",MAX(0,_xlfn.XLOOKUP(tblOrdenes[[#This Row],[id_operacion]],tblEjecucion[id_operacion],tblEjecucion[costo_plan_total],0)-tblOrdenes[[#This Row],[costo_servicio]]))</f>
        <v/>
      </c>
      <c r="AK1175" s="10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2">
        <f>IF(tblOrdenes[[#This Row],[fecha_inicio]]="","",TODAY()-tblOrdenes[[#This Row],[fecha_inicio]])</f>
        <v/>
      </c>
      <c r="AB11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0">
        <f>IF(tblOrdenes[[#This Row],[orden]]="","",_xlfn.XLOOKUP(tblOrdenes[[#This Row],[id_operacion]],tblEjecucion[id_operacion],tblEjecucion[precio],0))</f>
        <v/>
      </c>
      <c r="AJ1176" s="10">
        <f>IF(tblOrdenes[[#This Row],[orden]]="","",MAX(0,_xlfn.XLOOKUP(tblOrdenes[[#This Row],[id_operacion]],tblEjecucion[id_operacion],tblEjecucion[costo_plan_total],0)-tblOrdenes[[#This Row],[costo_servicio]]))</f>
        <v/>
      </c>
      <c r="AK1176" s="10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2">
        <f>IF(tblOrdenes[[#This Row],[fecha_inicio]]="","",TODAY()-tblOrdenes[[#This Row],[fecha_inicio]])</f>
        <v/>
      </c>
      <c r="AB11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0">
        <f>IF(tblOrdenes[[#This Row],[orden]]="","",_xlfn.XLOOKUP(tblOrdenes[[#This Row],[id_operacion]],tblEjecucion[id_operacion],tblEjecucion[precio],0))</f>
        <v/>
      </c>
      <c r="AJ1177" s="10">
        <f>IF(tblOrdenes[[#This Row],[orden]]="","",MAX(0,_xlfn.XLOOKUP(tblOrdenes[[#This Row],[id_operacion]],tblEjecucion[id_operacion],tblEjecucion[costo_plan_total],0)-tblOrdenes[[#This Row],[costo_servicio]]))</f>
        <v/>
      </c>
      <c r="AK1177" s="10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2">
        <f>IF(tblOrdenes[[#This Row],[fecha_inicio]]="","",TODAY()-tblOrdenes[[#This Row],[fecha_inicio]])</f>
        <v/>
      </c>
      <c r="AB11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0">
        <f>IF(tblOrdenes[[#This Row],[orden]]="","",_xlfn.XLOOKUP(tblOrdenes[[#This Row],[id_operacion]],tblEjecucion[id_operacion],tblEjecucion[precio],0))</f>
        <v/>
      </c>
      <c r="AJ1178" s="10">
        <f>IF(tblOrdenes[[#This Row],[orden]]="","",MAX(0,_xlfn.XLOOKUP(tblOrdenes[[#This Row],[id_operacion]],tblEjecucion[id_operacion],tblEjecucion[costo_plan_total],0)-tblOrdenes[[#This Row],[costo_servicio]]))</f>
        <v/>
      </c>
      <c r="AK1178" s="10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2">
        <f>IF(tblOrdenes[[#This Row],[fecha_inicio]]="","",TODAY()-tblOrdenes[[#This Row],[fecha_inicio]])</f>
        <v/>
      </c>
      <c r="AB11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0">
        <f>IF(tblOrdenes[[#This Row],[orden]]="","",_xlfn.XLOOKUP(tblOrdenes[[#This Row],[id_operacion]],tblEjecucion[id_operacion],tblEjecucion[precio],0))</f>
        <v/>
      </c>
      <c r="AJ1179" s="10">
        <f>IF(tblOrdenes[[#This Row],[orden]]="","",MAX(0,_xlfn.XLOOKUP(tblOrdenes[[#This Row],[id_operacion]],tblEjecucion[id_operacion],tblEjecucion[costo_plan_total],0)-tblOrdenes[[#This Row],[costo_servicio]]))</f>
        <v/>
      </c>
      <c r="AK1179" s="10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2">
        <f>IF(tblOrdenes[[#This Row],[fecha_inicio]]="","",TODAY()-tblOrdenes[[#This Row],[fecha_inicio]])</f>
        <v/>
      </c>
      <c r="AB11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0">
        <f>IF(tblOrdenes[[#This Row],[orden]]="","",_xlfn.XLOOKUP(tblOrdenes[[#This Row],[id_operacion]],tblEjecucion[id_operacion],tblEjecucion[precio],0))</f>
        <v/>
      </c>
      <c r="AJ1180" s="10">
        <f>IF(tblOrdenes[[#This Row],[orden]]="","",MAX(0,_xlfn.XLOOKUP(tblOrdenes[[#This Row],[id_operacion]],tblEjecucion[id_operacion],tblEjecucion[costo_plan_total],0)-tblOrdenes[[#This Row],[costo_servicio]]))</f>
        <v/>
      </c>
      <c r="AK1180" s="10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2">
        <f>IF(tblOrdenes[[#This Row],[fecha_inicio]]="","",TODAY()-tblOrdenes[[#This Row],[fecha_inicio]])</f>
        <v/>
      </c>
      <c r="AB11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0">
        <f>IF(tblOrdenes[[#This Row],[orden]]="","",_xlfn.XLOOKUP(tblOrdenes[[#This Row],[id_operacion]],tblEjecucion[id_operacion],tblEjecucion[precio],0))</f>
        <v/>
      </c>
      <c r="AJ1181" s="10">
        <f>IF(tblOrdenes[[#This Row],[orden]]="","",MAX(0,_xlfn.XLOOKUP(tblOrdenes[[#This Row],[id_operacion]],tblEjecucion[id_operacion],tblEjecucion[costo_plan_total],0)-tblOrdenes[[#This Row],[costo_servicio]]))</f>
        <v/>
      </c>
      <c r="AK1181" s="10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2">
        <f>IF(tblOrdenes[[#This Row],[fecha_inicio]]="","",TODAY()-tblOrdenes[[#This Row],[fecha_inicio]])</f>
        <v/>
      </c>
      <c r="AB11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0">
        <f>IF(tblOrdenes[[#This Row],[orden]]="","",_xlfn.XLOOKUP(tblOrdenes[[#This Row],[id_operacion]],tblEjecucion[id_operacion],tblEjecucion[precio],0))</f>
        <v/>
      </c>
      <c r="AJ1182" s="10">
        <f>IF(tblOrdenes[[#This Row],[orden]]="","",MAX(0,_xlfn.XLOOKUP(tblOrdenes[[#This Row],[id_operacion]],tblEjecucion[id_operacion],tblEjecucion[costo_plan_total],0)-tblOrdenes[[#This Row],[costo_servicio]]))</f>
        <v/>
      </c>
      <c r="AK1182" s="10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2">
        <f>IF(tblOrdenes[[#This Row],[fecha_inicio]]="","",TODAY()-tblOrdenes[[#This Row],[fecha_inicio]])</f>
        <v/>
      </c>
      <c r="AB11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0">
        <f>IF(tblOrdenes[[#This Row],[orden]]="","",_xlfn.XLOOKUP(tblOrdenes[[#This Row],[id_operacion]],tblEjecucion[id_operacion],tblEjecucion[precio],0))</f>
        <v/>
      </c>
      <c r="AJ1183" s="10">
        <f>IF(tblOrdenes[[#This Row],[orden]]="","",MAX(0,_xlfn.XLOOKUP(tblOrdenes[[#This Row],[id_operacion]],tblEjecucion[id_operacion],tblEjecucion[costo_plan_total],0)-tblOrdenes[[#This Row],[costo_servicio]]))</f>
        <v/>
      </c>
      <c r="AK1183" s="10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2">
        <f>IF(tblOrdenes[[#This Row],[fecha_inicio]]="","",TODAY()-tblOrdenes[[#This Row],[fecha_inicio]])</f>
        <v/>
      </c>
      <c r="AB11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0">
        <f>IF(tblOrdenes[[#This Row],[orden]]="","",_xlfn.XLOOKUP(tblOrdenes[[#This Row],[id_operacion]],tblEjecucion[id_operacion],tblEjecucion[precio],0))</f>
        <v/>
      </c>
      <c r="AJ1184" s="10">
        <f>IF(tblOrdenes[[#This Row],[orden]]="","",MAX(0,_xlfn.XLOOKUP(tblOrdenes[[#This Row],[id_operacion]],tblEjecucion[id_operacion],tblEjecucion[costo_plan_total],0)-tblOrdenes[[#This Row],[costo_servicio]]))</f>
        <v/>
      </c>
      <c r="AK1184" s="10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2">
        <f>IF(tblOrdenes[[#This Row],[fecha_inicio]]="","",TODAY()-tblOrdenes[[#This Row],[fecha_inicio]])</f>
        <v/>
      </c>
      <c r="AB11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0">
        <f>IF(tblOrdenes[[#This Row],[orden]]="","",_xlfn.XLOOKUP(tblOrdenes[[#This Row],[id_operacion]],tblEjecucion[id_operacion],tblEjecucion[precio],0))</f>
        <v/>
      </c>
      <c r="AJ1185" s="10">
        <f>IF(tblOrdenes[[#This Row],[orden]]="","",MAX(0,_xlfn.XLOOKUP(tblOrdenes[[#This Row],[id_operacion]],tblEjecucion[id_operacion],tblEjecucion[costo_plan_total],0)-tblOrdenes[[#This Row],[costo_servicio]]))</f>
        <v/>
      </c>
      <c r="AK1185" s="10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2">
        <f>IF(tblOrdenes[[#This Row],[fecha_inicio]]="","",TODAY()-tblOrdenes[[#This Row],[fecha_inicio]])</f>
        <v/>
      </c>
      <c r="AB11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0">
        <f>IF(tblOrdenes[[#This Row],[orden]]="","",_xlfn.XLOOKUP(tblOrdenes[[#This Row],[id_operacion]],tblEjecucion[id_operacion],tblEjecucion[precio],0))</f>
        <v/>
      </c>
      <c r="AJ1186" s="10">
        <f>IF(tblOrdenes[[#This Row],[orden]]="","",MAX(0,_xlfn.XLOOKUP(tblOrdenes[[#This Row],[id_operacion]],tblEjecucion[id_operacion],tblEjecucion[costo_plan_total],0)-tblOrdenes[[#This Row],[costo_servicio]]))</f>
        <v/>
      </c>
      <c r="AK1186" s="10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2">
        <f>IF(tblOrdenes[[#This Row],[fecha_inicio]]="","",TODAY()-tblOrdenes[[#This Row],[fecha_inicio]])</f>
        <v/>
      </c>
      <c r="AB11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0">
        <f>IF(tblOrdenes[[#This Row],[orden]]="","",_xlfn.XLOOKUP(tblOrdenes[[#This Row],[id_operacion]],tblEjecucion[id_operacion],tblEjecucion[precio],0))</f>
        <v/>
      </c>
      <c r="AJ1187" s="10">
        <f>IF(tblOrdenes[[#This Row],[orden]]="","",MAX(0,_xlfn.XLOOKUP(tblOrdenes[[#This Row],[id_operacion]],tblEjecucion[id_operacion],tblEjecucion[costo_plan_total],0)-tblOrdenes[[#This Row],[costo_servicio]]))</f>
        <v/>
      </c>
      <c r="AK1187" s="10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2">
        <f>IF(tblOrdenes[[#This Row],[fecha_inicio]]="","",TODAY()-tblOrdenes[[#This Row],[fecha_inicio]])</f>
        <v/>
      </c>
      <c r="AB11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0">
        <f>IF(tblOrdenes[[#This Row],[orden]]="","",_xlfn.XLOOKUP(tblOrdenes[[#This Row],[id_operacion]],tblEjecucion[id_operacion],tblEjecucion[precio],0))</f>
        <v/>
      </c>
      <c r="AJ1188" s="10">
        <f>IF(tblOrdenes[[#This Row],[orden]]="","",MAX(0,_xlfn.XLOOKUP(tblOrdenes[[#This Row],[id_operacion]],tblEjecucion[id_operacion],tblEjecucion[costo_plan_total],0)-tblOrdenes[[#This Row],[costo_servicio]]))</f>
        <v/>
      </c>
      <c r="AK1188" s="10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2">
        <f>IF(tblOrdenes[[#This Row],[fecha_inicio]]="","",TODAY()-tblOrdenes[[#This Row],[fecha_inicio]])</f>
        <v/>
      </c>
      <c r="AB11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0">
        <f>IF(tblOrdenes[[#This Row],[orden]]="","",_xlfn.XLOOKUP(tblOrdenes[[#This Row],[id_operacion]],tblEjecucion[id_operacion],tblEjecucion[precio],0))</f>
        <v/>
      </c>
      <c r="AJ1189" s="10">
        <f>IF(tblOrdenes[[#This Row],[orden]]="","",MAX(0,_xlfn.XLOOKUP(tblOrdenes[[#This Row],[id_operacion]],tblEjecucion[id_operacion],tblEjecucion[costo_plan_total],0)-tblOrdenes[[#This Row],[costo_servicio]]))</f>
        <v/>
      </c>
      <c r="AK1189" s="10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2">
        <f>IF(tblOrdenes[[#This Row],[fecha_inicio]]="","",TODAY()-tblOrdenes[[#This Row],[fecha_inicio]])</f>
        <v/>
      </c>
      <c r="AB11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0">
        <f>IF(tblOrdenes[[#This Row],[orden]]="","",_xlfn.XLOOKUP(tblOrdenes[[#This Row],[id_operacion]],tblEjecucion[id_operacion],tblEjecucion[precio],0))</f>
        <v/>
      </c>
      <c r="AJ1190" s="10">
        <f>IF(tblOrdenes[[#This Row],[orden]]="","",MAX(0,_xlfn.XLOOKUP(tblOrdenes[[#This Row],[id_operacion]],tblEjecucion[id_operacion],tblEjecucion[costo_plan_total],0)-tblOrdenes[[#This Row],[costo_servicio]]))</f>
        <v/>
      </c>
      <c r="AK1190" s="10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2">
        <f>IF(tblOrdenes[[#This Row],[fecha_inicio]]="","",TODAY()-tblOrdenes[[#This Row],[fecha_inicio]])</f>
        <v/>
      </c>
      <c r="AB11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0">
        <f>IF(tblOrdenes[[#This Row],[orden]]="","",_xlfn.XLOOKUP(tblOrdenes[[#This Row],[id_operacion]],tblEjecucion[id_operacion],tblEjecucion[precio],0))</f>
        <v/>
      </c>
      <c r="AJ1191" s="10">
        <f>IF(tblOrdenes[[#This Row],[orden]]="","",MAX(0,_xlfn.XLOOKUP(tblOrdenes[[#This Row],[id_operacion]],tblEjecucion[id_operacion],tblEjecucion[costo_plan_total],0)-tblOrdenes[[#This Row],[costo_servicio]]))</f>
        <v/>
      </c>
      <c r="AK1191" s="10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2">
        <f>IF(tblOrdenes[[#This Row],[fecha_inicio]]="","",TODAY()-tblOrdenes[[#This Row],[fecha_inicio]])</f>
        <v/>
      </c>
      <c r="AB11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0">
        <f>IF(tblOrdenes[[#This Row],[orden]]="","",_xlfn.XLOOKUP(tblOrdenes[[#This Row],[id_operacion]],tblEjecucion[id_operacion],tblEjecucion[precio],0))</f>
        <v/>
      </c>
      <c r="AJ1192" s="10">
        <f>IF(tblOrdenes[[#This Row],[orden]]="","",MAX(0,_xlfn.XLOOKUP(tblOrdenes[[#This Row],[id_operacion]],tblEjecucion[id_operacion],tblEjecucion[costo_plan_total],0)-tblOrdenes[[#This Row],[costo_servicio]]))</f>
        <v/>
      </c>
      <c r="AK1192" s="10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2">
        <f>IF(tblOrdenes[[#This Row],[fecha_inicio]]="","",TODAY()-tblOrdenes[[#This Row],[fecha_inicio]])</f>
        <v/>
      </c>
      <c r="AB11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0">
        <f>IF(tblOrdenes[[#This Row],[orden]]="","",_xlfn.XLOOKUP(tblOrdenes[[#This Row],[id_operacion]],tblEjecucion[id_operacion],tblEjecucion[precio],0))</f>
        <v/>
      </c>
      <c r="AJ1193" s="10">
        <f>IF(tblOrdenes[[#This Row],[orden]]="","",MAX(0,_xlfn.XLOOKUP(tblOrdenes[[#This Row],[id_operacion]],tblEjecucion[id_operacion],tblEjecucion[costo_plan_total],0)-tblOrdenes[[#This Row],[costo_servicio]]))</f>
        <v/>
      </c>
      <c r="AK1193" s="10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2">
        <f>IF(tblOrdenes[[#This Row],[fecha_inicio]]="","",TODAY()-tblOrdenes[[#This Row],[fecha_inicio]])</f>
        <v/>
      </c>
      <c r="AB11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0">
        <f>IF(tblOrdenes[[#This Row],[orden]]="","",_xlfn.XLOOKUP(tblOrdenes[[#This Row],[id_operacion]],tblEjecucion[id_operacion],tblEjecucion[precio],0))</f>
        <v/>
      </c>
      <c r="AJ1194" s="10">
        <f>IF(tblOrdenes[[#This Row],[orden]]="","",MAX(0,_xlfn.XLOOKUP(tblOrdenes[[#This Row],[id_operacion]],tblEjecucion[id_operacion],tblEjecucion[costo_plan_total],0)-tblOrdenes[[#This Row],[costo_servicio]]))</f>
        <v/>
      </c>
      <c r="AK1194" s="10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2">
        <f>IF(tblOrdenes[[#This Row],[fecha_inicio]]="","",TODAY()-tblOrdenes[[#This Row],[fecha_inicio]])</f>
        <v/>
      </c>
      <c r="AB11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0">
        <f>IF(tblOrdenes[[#This Row],[orden]]="","",_xlfn.XLOOKUP(tblOrdenes[[#This Row],[id_operacion]],tblEjecucion[id_operacion],tblEjecucion[precio],0))</f>
        <v/>
      </c>
      <c r="AJ1195" s="10">
        <f>IF(tblOrdenes[[#This Row],[orden]]="","",MAX(0,_xlfn.XLOOKUP(tblOrdenes[[#This Row],[id_operacion]],tblEjecucion[id_operacion],tblEjecucion[costo_plan_total],0)-tblOrdenes[[#This Row],[costo_servicio]]))</f>
        <v/>
      </c>
      <c r="AK1195" s="10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2">
        <f>IF(tblOrdenes[[#This Row],[fecha_inicio]]="","",TODAY()-tblOrdenes[[#This Row],[fecha_inicio]])</f>
        <v/>
      </c>
      <c r="AB11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0">
        <f>IF(tblOrdenes[[#This Row],[orden]]="","",_xlfn.XLOOKUP(tblOrdenes[[#This Row],[id_operacion]],tblEjecucion[id_operacion],tblEjecucion[precio],0))</f>
        <v/>
      </c>
      <c r="AJ1196" s="10">
        <f>IF(tblOrdenes[[#This Row],[orden]]="","",MAX(0,_xlfn.XLOOKUP(tblOrdenes[[#This Row],[id_operacion]],tblEjecucion[id_operacion],tblEjecucion[costo_plan_total],0)-tblOrdenes[[#This Row],[costo_servicio]]))</f>
        <v/>
      </c>
      <c r="AK1196" s="10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2">
        <f>IF(tblOrdenes[[#This Row],[fecha_inicio]]="","",TODAY()-tblOrdenes[[#This Row],[fecha_inicio]])</f>
        <v/>
      </c>
      <c r="AB11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0">
        <f>IF(tblOrdenes[[#This Row],[orden]]="","",_xlfn.XLOOKUP(tblOrdenes[[#This Row],[id_operacion]],tblEjecucion[id_operacion],tblEjecucion[precio],0))</f>
        <v/>
      </c>
      <c r="AJ1197" s="10">
        <f>IF(tblOrdenes[[#This Row],[orden]]="","",MAX(0,_xlfn.XLOOKUP(tblOrdenes[[#This Row],[id_operacion]],tblEjecucion[id_operacion],tblEjecucion[costo_plan_total],0)-tblOrdenes[[#This Row],[costo_servicio]]))</f>
        <v/>
      </c>
      <c r="AK1197" s="10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2">
        <f>IF(tblOrdenes[[#This Row],[fecha_inicio]]="","",TODAY()-tblOrdenes[[#This Row],[fecha_inicio]])</f>
        <v/>
      </c>
      <c r="AB11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0">
        <f>IF(tblOrdenes[[#This Row],[orden]]="","",_xlfn.XLOOKUP(tblOrdenes[[#This Row],[id_operacion]],tblEjecucion[id_operacion],tblEjecucion[precio],0))</f>
        <v/>
      </c>
      <c r="AJ1198" s="10">
        <f>IF(tblOrdenes[[#This Row],[orden]]="","",MAX(0,_xlfn.XLOOKUP(tblOrdenes[[#This Row],[id_operacion]],tblEjecucion[id_operacion],tblEjecucion[costo_plan_total],0)-tblOrdenes[[#This Row],[costo_servicio]]))</f>
        <v/>
      </c>
      <c r="AK1198" s="10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2">
        <f>IF(tblOrdenes[[#This Row],[fecha_inicio]]="","",TODAY()-tblOrdenes[[#This Row],[fecha_inicio]])</f>
        <v/>
      </c>
      <c r="AB11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0">
        <f>IF(tblOrdenes[[#This Row],[orden]]="","",_xlfn.XLOOKUP(tblOrdenes[[#This Row],[id_operacion]],tblEjecucion[id_operacion],tblEjecucion[precio],0))</f>
        <v/>
      </c>
      <c r="AJ1199" s="10">
        <f>IF(tblOrdenes[[#This Row],[orden]]="","",MAX(0,_xlfn.XLOOKUP(tblOrdenes[[#This Row],[id_operacion]],tblEjecucion[id_operacion],tblEjecucion[costo_plan_total],0)-tblOrdenes[[#This Row],[costo_servicio]]))</f>
        <v/>
      </c>
      <c r="AK1199" s="10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2">
        <f>IF(tblOrdenes[[#This Row],[fecha_inicio]]="","",TODAY()-tblOrdenes[[#This Row],[fecha_inicio]])</f>
        <v/>
      </c>
      <c r="AB12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0">
        <f>IF(tblOrdenes[[#This Row],[orden]]="","",_xlfn.XLOOKUP(tblOrdenes[[#This Row],[id_operacion]],tblEjecucion[id_operacion],tblEjecucion[precio],0))</f>
        <v/>
      </c>
      <c r="AJ1200" s="10">
        <f>IF(tblOrdenes[[#This Row],[orden]]="","",MAX(0,_xlfn.XLOOKUP(tblOrdenes[[#This Row],[id_operacion]],tblEjecucion[id_operacion],tblEjecucion[costo_plan_total],0)-tblOrdenes[[#This Row],[costo_servicio]]))</f>
        <v/>
      </c>
      <c r="AK1200" s="10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2">
        <f>IF(tblOrdenes[[#This Row],[fecha_inicio]]="","",TODAY()-tblOrdenes[[#This Row],[fecha_inicio]])</f>
        <v/>
      </c>
      <c r="AB12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0">
        <f>IF(tblOrdenes[[#This Row],[orden]]="","",_xlfn.XLOOKUP(tblOrdenes[[#This Row],[id_operacion]],tblEjecucion[id_operacion],tblEjecucion[precio],0))</f>
        <v/>
      </c>
      <c r="AJ1201" s="10">
        <f>IF(tblOrdenes[[#This Row],[orden]]="","",MAX(0,_xlfn.XLOOKUP(tblOrdenes[[#This Row],[id_operacion]],tblEjecucion[id_operacion],tblEjecucion[costo_plan_total],0)-tblOrdenes[[#This Row],[costo_servicio]]))</f>
        <v/>
      </c>
      <c r="AK1201" s="10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2">
        <f>IF(tblOrdenes[[#This Row],[fecha_inicio]]="","",TODAY()-tblOrdenes[[#This Row],[fecha_inicio]])</f>
        <v/>
      </c>
      <c r="AB12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0">
        <f>IF(tblOrdenes[[#This Row],[orden]]="","",_xlfn.XLOOKUP(tblOrdenes[[#This Row],[id_operacion]],tblEjecucion[id_operacion],tblEjecucion[precio],0))</f>
        <v/>
      </c>
      <c r="AJ1202" s="10">
        <f>IF(tblOrdenes[[#This Row],[orden]]="","",MAX(0,_xlfn.XLOOKUP(tblOrdenes[[#This Row],[id_operacion]],tblEjecucion[id_operacion],tblEjecucion[costo_plan_total],0)-tblOrdenes[[#This Row],[costo_servicio]]))</f>
        <v/>
      </c>
      <c r="AK1202" s="10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2">
        <f>IF(tblOrdenes[[#This Row],[fecha_inicio]]="","",TODAY()-tblOrdenes[[#This Row],[fecha_inicio]])</f>
        <v/>
      </c>
      <c r="AB12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0">
        <f>IF(tblOrdenes[[#This Row],[orden]]="","",_xlfn.XLOOKUP(tblOrdenes[[#This Row],[id_operacion]],tblEjecucion[id_operacion],tblEjecucion[precio],0))</f>
        <v/>
      </c>
      <c r="AJ1203" s="10">
        <f>IF(tblOrdenes[[#This Row],[orden]]="","",MAX(0,_xlfn.XLOOKUP(tblOrdenes[[#This Row],[id_operacion]],tblEjecucion[id_operacion],tblEjecucion[costo_plan_total],0)-tblOrdenes[[#This Row],[costo_servicio]]))</f>
        <v/>
      </c>
      <c r="AK1203" s="10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J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2" customWidth="1" min="8" max="8"/>
    <col width="16" customWidth="1" min="9" max="9"/>
    <col width="26" customWidth="1" min="10" max="10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fecha</t>
        </is>
      </c>
      <c r="I3" s="5" t="inlineStr">
        <is>
          <t>horas_disponibles</t>
        </is>
      </c>
      <c r="J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" s="3">
        <f>tblAsignaciones[[#This Row],[semana]]&amp;"|"&amp;tblAsignaciones[[#This Row],[dia]]&amp;"|"&amp;tblAsignaciones[[#This Row],[tecnico]]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" s="3">
        <f>tblAsignaciones[[#This Row],[semana]]&amp;"|"&amp;tblAsignaciones[[#This Row],[dia]]&amp;"|"&amp;tblAsignaciones[[#This Row],[tecnico]]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" s="3">
        <f>tblAsignaciones[[#This Row],[semana]]&amp;"|"&amp;tblAsignaciones[[#This Row],[dia]]&amp;"|"&amp;tblAsignaciones[[#This Row],[tecnico]]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" s="3">
        <f>tblAsignaciones[[#This Row],[semana]]&amp;"|"&amp;tblAsignaciones[[#This Row],[dia]]&amp;"|"&amp;tblAsignaciones[[#This Row],[tecnico]]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" s="3">
        <f>tblAsignaciones[[#This Row],[semana]]&amp;"|"&amp;tblAsignaciones[[#This Row],[dia]]&amp;"|"&amp;tblAsignaciones[[#This Row],[tecnico]]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" s="3">
        <f>tblAsignaciones[[#This Row],[semana]]&amp;"|"&amp;tblAsignaciones[[#This Row],[dia]]&amp;"|"&amp;tblAsignaciones[[#This Row],[tecnico]]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" s="3">
        <f>tblAsignaciones[[#This Row],[semana]]&amp;"|"&amp;tblAsignaciones[[#This Row],[dia]]&amp;"|"&amp;tblAsignaciones[[#This Row],[tecnico]]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" s="3">
        <f>tblAsignaciones[[#This Row],[semana]]&amp;"|"&amp;tblAsignaciones[[#This Row],[dia]]&amp;"|"&amp;tblAsignaciones[[#This Row],[tecnico]]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" s="3">
        <f>tblAsignaciones[[#This Row],[semana]]&amp;"|"&amp;tblAsignaciones[[#This Row],[dia]]&amp;"|"&amp;tblAsignaciones[[#This Row],[tecnico]]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" s="3">
        <f>tblAsignaciones[[#This Row],[semana]]&amp;"|"&amp;tblAsignaciones[[#This Row],[dia]]&amp;"|"&amp;tblAsignaciones[[#This Row],[tecnico]]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" s="3">
        <f>tblAsignaciones[[#This Row],[semana]]&amp;"|"&amp;tblAsignaciones[[#This Row],[dia]]&amp;"|"&amp;tblAsignaciones[[#This Row],[tecnico]]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" s="3">
        <f>tblAsignaciones[[#This Row],[semana]]&amp;"|"&amp;tblAsignaciones[[#This Row],[dia]]&amp;"|"&amp;tblAsignaciones[[#This Row],[tecnico]]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" s="3">
        <f>tblAsignaciones[[#This Row],[semana]]&amp;"|"&amp;tblAsignaciones[[#This Row],[dia]]&amp;"|"&amp;tblAsignaciones[[#This Row],[tecnico]]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" s="3">
        <f>tblAsignaciones[[#This Row],[semana]]&amp;"|"&amp;tblAsignaciones[[#This Row],[dia]]&amp;"|"&amp;tblAsignaciones[[#This Row],[tecnico]]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" s="3">
        <f>tblAsignaciones[[#This Row],[semana]]&amp;"|"&amp;tblAsignaciones[[#This Row],[dia]]&amp;"|"&amp;tblAsignaciones[[#This Row],[tecnico]]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" s="3">
        <f>tblAsignaciones[[#This Row],[semana]]&amp;"|"&amp;tblAsignaciones[[#This Row],[dia]]&amp;"|"&amp;tblAsignaciones[[#This Row],[tecnico]]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" s="3">
        <f>tblAsignaciones[[#This Row],[semana]]&amp;"|"&amp;tblAsignaciones[[#This Row],[dia]]&amp;"|"&amp;tblAsignaciones[[#This Row],[tecnico]]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" s="3">
        <f>tblAsignaciones[[#This Row],[semana]]&amp;"|"&amp;tblAsignaciones[[#This Row],[dia]]&amp;"|"&amp;tblAsignaciones[[#This Row],[tecnico]]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" s="3">
        <f>tblAsignaciones[[#This Row],[semana]]&amp;"|"&amp;tblAsignaciones[[#This Row],[dia]]&amp;"|"&amp;tblAsignaciones[[#This Row],[tecnico]]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" s="3">
        <f>tblAsignaciones[[#This Row],[semana]]&amp;"|"&amp;tblAsignaciones[[#This Row],[dia]]&amp;"|"&amp;tblAsignaciones[[#This Row],[tecnico]]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" s="3">
        <f>tblAsignaciones[[#This Row],[semana]]&amp;"|"&amp;tblAsignaciones[[#This Row],[dia]]&amp;"|"&amp;tblAsignaciones[[#This Row],[tecnico]]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" s="3">
        <f>tblAsignaciones[[#This Row],[semana]]&amp;"|"&amp;tblAsignaciones[[#This Row],[dia]]&amp;"|"&amp;tblAsignaciones[[#This Row],[tecnico]]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" s="3">
        <f>tblAsignaciones[[#This Row],[semana]]&amp;"|"&amp;tblAsignaciones[[#This Row],[dia]]&amp;"|"&amp;tblAsignaciones[[#This Row],[tecnico]]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" s="3">
        <f>tblAsignaciones[[#This Row],[semana]]&amp;"|"&amp;tblAsignaciones[[#This Row],[dia]]&amp;"|"&amp;tblAsignaciones[[#This Row],[tecnico]]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" s="3">
        <f>tblAsignaciones[[#This Row],[semana]]&amp;"|"&amp;tblAsignaciones[[#This Row],[dia]]&amp;"|"&amp;tblAsignaciones[[#This Row],[tecnico]]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" s="3">
        <f>tblAsignaciones[[#This Row],[semana]]&amp;"|"&amp;tblAsignaciones[[#This Row],[dia]]&amp;"|"&amp;tblAsignaciones[[#This Row],[tecnico]]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" s="3">
        <f>tblAsignaciones[[#This Row],[semana]]&amp;"|"&amp;tblAsignaciones[[#This Row],[dia]]&amp;"|"&amp;tblAsignaciones[[#This Row],[tecnico]]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" s="3">
        <f>tblAsignaciones[[#This Row],[semana]]&amp;"|"&amp;tblAsignaciones[[#This Row],[dia]]&amp;"|"&amp;tblAsignaciones[[#This Row],[tecnico]]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" s="3">
        <f>tblAsignaciones[[#This Row],[semana]]&amp;"|"&amp;tblAsignaciones[[#This Row],[dia]]&amp;"|"&amp;tblAsignaciones[[#This Row],[tecnico]]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" s="3">
        <f>tblAsignaciones[[#This Row],[semana]]&amp;"|"&amp;tblAsignaciones[[#This Row],[dia]]&amp;"|"&amp;tblAsignaciones[[#This Row],[tecnico]]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4" s="3">
        <f>tblAsignaciones[[#This Row],[semana]]&amp;"|"&amp;tblAsignaciones[[#This Row],[dia]]&amp;"|"&amp;tblAsignaciones[[#This Row],[tecnico]]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5" s="3">
        <f>tblAsignaciones[[#This Row],[semana]]&amp;"|"&amp;tblAsignaciones[[#This Row],[dia]]&amp;"|"&amp;tblAsignaciones[[#This Row],[tecnico]]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6" s="3">
        <f>tblAsignaciones[[#This Row],[semana]]&amp;"|"&amp;tblAsignaciones[[#This Row],[dia]]&amp;"|"&amp;tblAsignaciones[[#This Row],[tecnico]]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7" s="3">
        <f>tblAsignaciones[[#This Row],[semana]]&amp;"|"&amp;tblAsignaciones[[#This Row],[dia]]&amp;"|"&amp;tblAsignaciones[[#This Row],[tecnico]]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8" s="3">
        <f>tblAsignaciones[[#This Row],[semana]]&amp;"|"&amp;tblAsignaciones[[#This Row],[dia]]&amp;"|"&amp;tblAsignaciones[[#This Row],[tecnico]]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9" s="3">
        <f>tblAsignaciones[[#This Row],[semana]]&amp;"|"&amp;tblAsignaciones[[#This Row],[dia]]&amp;"|"&amp;tblAsignaciones[[#This Row],[tecnico]]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0" s="3">
        <f>tblAsignaciones[[#This Row],[semana]]&amp;"|"&amp;tblAsignaciones[[#This Row],[dia]]&amp;"|"&amp;tblAsignaciones[[#This Row],[tecnico]]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1" s="3">
        <f>tblAsignaciones[[#This Row],[semana]]&amp;"|"&amp;tblAsignaciones[[#This Row],[dia]]&amp;"|"&amp;tblAsignaciones[[#This Row],[tecnico]]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2" s="3">
        <f>tblAsignaciones[[#This Row],[semana]]&amp;"|"&amp;tblAsignaciones[[#This Row],[dia]]&amp;"|"&amp;tblAsignaciones[[#This Row],[tecnico]]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3" s="3">
        <f>tblAsignaciones[[#This Row],[semana]]&amp;"|"&amp;tblAsignaciones[[#This Row],[dia]]&amp;"|"&amp;tblAsignaciones[[#This Row],[tecnico]]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4" s="3">
        <f>tblAsignaciones[[#This Row],[semana]]&amp;"|"&amp;tblAsignaciones[[#This Row],[dia]]&amp;"|"&amp;tblAsignaciones[[#This Row],[tecnico]]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5" s="3">
        <f>tblAsignaciones[[#This Row],[semana]]&amp;"|"&amp;tblAsignaciones[[#This Row],[dia]]&amp;"|"&amp;tblAsignaciones[[#This Row],[tecnico]]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6" s="3">
        <f>tblAsignaciones[[#This Row],[semana]]&amp;"|"&amp;tblAsignaciones[[#This Row],[dia]]&amp;"|"&amp;tblAsignaciones[[#This Row],[tecnico]]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7" s="3">
        <f>tblAsignaciones[[#This Row],[semana]]&amp;"|"&amp;tblAsignaciones[[#This Row],[dia]]&amp;"|"&amp;tblAsignaciones[[#This Row],[tecnico]]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8" s="3">
        <f>tblAsignaciones[[#This Row],[semana]]&amp;"|"&amp;tblAsignaciones[[#This Row],[dia]]&amp;"|"&amp;tblAsignaciones[[#This Row],[tecnico]]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9" s="3">
        <f>tblAsignaciones[[#This Row],[semana]]&amp;"|"&amp;tblAsignaciones[[#This Row],[dia]]&amp;"|"&amp;tblAsignaciones[[#This Row],[tecnico]]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0" s="3">
        <f>tblAsignaciones[[#This Row],[semana]]&amp;"|"&amp;tblAsignaciones[[#This Row],[dia]]&amp;"|"&amp;tblAsignaciones[[#This Row],[tecnico]]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1" s="3">
        <f>tblAsignaciones[[#This Row],[semana]]&amp;"|"&amp;tblAsignaciones[[#This Row],[dia]]&amp;"|"&amp;tblAsignaciones[[#This Row],[tecnico]]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2" s="3">
        <f>tblAsignaciones[[#This Row],[semana]]&amp;"|"&amp;tblAsignaciones[[#This Row],[dia]]&amp;"|"&amp;tblAsignaciones[[#This Row],[tecnico]]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3" s="3">
        <f>tblAsignaciones[[#This Row],[semana]]&amp;"|"&amp;tblAsignaciones[[#This Row],[dia]]&amp;"|"&amp;tblAsignaciones[[#This Row],[tecnico]]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4" s="3">
        <f>tblAsignaciones[[#This Row],[semana]]&amp;"|"&amp;tblAsignaciones[[#This Row],[dia]]&amp;"|"&amp;tblAsignaciones[[#This Row],[tecnico]]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5" s="3">
        <f>tblAsignaciones[[#This Row],[semana]]&amp;"|"&amp;tblAsignaciones[[#This Row],[dia]]&amp;"|"&amp;tblAsignaciones[[#This Row],[tecnico]]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6" s="3">
        <f>tblAsignaciones[[#This Row],[semana]]&amp;"|"&amp;tblAsignaciones[[#This Row],[dia]]&amp;"|"&amp;tblAsignaciones[[#This Row],[tecnico]]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7" s="3">
        <f>tblAsignaciones[[#This Row],[semana]]&amp;"|"&amp;tblAsignaciones[[#This Row],[dia]]&amp;"|"&amp;tblAsignaciones[[#This Row],[tecnico]]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8" s="3">
        <f>tblAsignaciones[[#This Row],[semana]]&amp;"|"&amp;tblAsignaciones[[#This Row],[dia]]&amp;"|"&amp;tblAsignaciones[[#This Row],[tecnico]]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9" s="3">
        <f>tblAsignaciones[[#This Row],[semana]]&amp;"|"&amp;tblAsignaciones[[#This Row],[dia]]&amp;"|"&amp;tblAsignaciones[[#This Row],[tecnico]]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0" s="3">
        <f>tblAsignaciones[[#This Row],[semana]]&amp;"|"&amp;tblAsignaciones[[#This Row],[dia]]&amp;"|"&amp;tblAsignaciones[[#This Row],[tecnico]]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1" s="3">
        <f>tblAsignaciones[[#This Row],[semana]]&amp;"|"&amp;tblAsignaciones[[#This Row],[dia]]&amp;"|"&amp;tblAsignaciones[[#This Row],[tecnico]]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2" s="3">
        <f>tblAsignaciones[[#This Row],[semana]]&amp;"|"&amp;tblAsignaciones[[#This Row],[dia]]&amp;"|"&amp;tblAsignaciones[[#This Row],[tecnico]]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3" s="3">
        <f>tblAsignaciones[[#This Row],[semana]]&amp;"|"&amp;tblAsignaciones[[#This Row],[dia]]&amp;"|"&amp;tblAsignaciones[[#This Row],[tecnico]]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4" s="3">
        <f>tblAsignaciones[[#This Row],[semana]]&amp;"|"&amp;tblAsignaciones[[#This Row],[dia]]&amp;"|"&amp;tblAsignaciones[[#This Row],[tecnico]]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5" s="3">
        <f>tblAsignaciones[[#This Row],[semana]]&amp;"|"&amp;tblAsignaciones[[#This Row],[dia]]&amp;"|"&amp;tblAsignaciones[[#This Row],[tecnico]]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6" s="3">
        <f>tblAsignaciones[[#This Row],[semana]]&amp;"|"&amp;tblAsignaciones[[#This Row],[dia]]&amp;"|"&amp;tblAsignaciones[[#This Row],[tecnico]]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7" s="3">
        <f>tblAsignaciones[[#This Row],[semana]]&amp;"|"&amp;tblAsignaciones[[#This Row],[dia]]&amp;"|"&amp;tblAsignaciones[[#This Row],[tecnico]]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8" s="3">
        <f>tblAsignaciones[[#This Row],[semana]]&amp;"|"&amp;tblAsignaciones[[#This Row],[dia]]&amp;"|"&amp;tblAsignaciones[[#This Row],[tecnico]]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9" s="3">
        <f>tblAsignaciones[[#This Row],[semana]]&amp;"|"&amp;tblAsignaciones[[#This Row],[dia]]&amp;"|"&amp;tblAsignaciones[[#This Row],[tecnico]]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0" s="3">
        <f>tblAsignaciones[[#This Row],[semana]]&amp;"|"&amp;tblAsignaciones[[#This Row],[dia]]&amp;"|"&amp;tblAsignaciones[[#This Row],[tecnico]]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1" s="3">
        <f>tblAsignaciones[[#This Row],[semana]]&amp;"|"&amp;tblAsignaciones[[#This Row],[dia]]&amp;"|"&amp;tblAsignaciones[[#This Row],[tecnico]]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2" s="3">
        <f>tblAsignaciones[[#This Row],[semana]]&amp;"|"&amp;tblAsignaciones[[#This Row],[dia]]&amp;"|"&amp;tblAsignaciones[[#This Row],[tecnico]]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3" s="3">
        <f>tblAsignaciones[[#This Row],[semana]]&amp;"|"&amp;tblAsignaciones[[#This Row],[dia]]&amp;"|"&amp;tblAsignaciones[[#This Row],[tecnico]]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4" s="3">
        <f>tblAsignaciones[[#This Row],[semana]]&amp;"|"&amp;tblAsignaciones[[#This Row],[dia]]&amp;"|"&amp;tblAsignaciones[[#This Row],[tecnico]]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5" s="3">
        <f>tblAsignaciones[[#This Row],[semana]]&amp;"|"&amp;tblAsignaciones[[#This Row],[dia]]&amp;"|"&amp;tblAsignaciones[[#This Row],[tecnico]]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6" s="3">
        <f>tblAsignaciones[[#This Row],[semana]]&amp;"|"&amp;tblAsignaciones[[#This Row],[dia]]&amp;"|"&amp;tblAsignaciones[[#This Row],[tecnico]]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7" s="3">
        <f>tblAsignaciones[[#This Row],[semana]]&amp;"|"&amp;tblAsignaciones[[#This Row],[dia]]&amp;"|"&amp;tblAsignaciones[[#This Row],[tecnico]]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8" s="3">
        <f>tblAsignaciones[[#This Row],[semana]]&amp;"|"&amp;tblAsignaciones[[#This Row],[dia]]&amp;"|"&amp;tblAsignaciones[[#This Row],[tecnico]]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9" s="3">
        <f>tblAsignaciones[[#This Row],[semana]]&amp;"|"&amp;tblAsignaciones[[#This Row],[dia]]&amp;"|"&amp;tblAsignaciones[[#This Row],[tecnico]]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0" s="3">
        <f>tblAsignaciones[[#This Row],[semana]]&amp;"|"&amp;tblAsignaciones[[#This Row],[dia]]&amp;"|"&amp;tblAsignaciones[[#This Row],[tecnico]]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1" s="3">
        <f>tblAsignaciones[[#This Row],[semana]]&amp;"|"&amp;tblAsignaciones[[#This Row],[dia]]&amp;"|"&amp;tblAsignaciones[[#This Row],[tecnico]]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2" s="3">
        <f>tblAsignaciones[[#This Row],[semana]]&amp;"|"&amp;tblAsignaciones[[#This Row],[dia]]&amp;"|"&amp;tblAsignaciones[[#This Row],[tecnico]]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3" s="3">
        <f>tblAsignaciones[[#This Row],[semana]]&amp;"|"&amp;tblAsignaciones[[#This Row],[dia]]&amp;"|"&amp;tblAsignaciones[[#This Row],[tecnico]]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4" s="3">
        <f>tblAsignaciones[[#This Row],[semana]]&amp;"|"&amp;tblAsignaciones[[#This Row],[dia]]&amp;"|"&amp;tblAsignaciones[[#This Row],[tecnico]]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5" s="3">
        <f>tblAsignaciones[[#This Row],[semana]]&amp;"|"&amp;tblAsignaciones[[#This Row],[dia]]&amp;"|"&amp;tblAsignaciones[[#This Row],[tecnico]]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6" s="3">
        <f>tblAsignaciones[[#This Row],[semana]]&amp;"|"&amp;tblAsignaciones[[#This Row],[dia]]&amp;"|"&amp;tblAsignaciones[[#This Row],[tecnico]]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7" s="3">
        <f>tblAsignaciones[[#This Row],[semana]]&amp;"|"&amp;tblAsignaciones[[#This Row],[dia]]&amp;"|"&amp;tblAsignaciones[[#This Row],[tecnico]]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8" s="3">
        <f>tblAsignaciones[[#This Row],[semana]]&amp;"|"&amp;tblAsignaciones[[#This Row],[dia]]&amp;"|"&amp;tblAsignaciones[[#This Row],[tecnico]]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9" s="3">
        <f>tblAsignaciones[[#This Row],[semana]]&amp;"|"&amp;tblAsignaciones[[#This Row],[dia]]&amp;"|"&amp;tblAsignaciones[[#This Row],[tecnico]]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0" s="3">
        <f>tblAsignaciones[[#This Row],[semana]]&amp;"|"&amp;tblAsignaciones[[#This Row],[dia]]&amp;"|"&amp;tblAsignaciones[[#This Row],[tecnico]]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1" s="3">
        <f>tblAsignaciones[[#This Row],[semana]]&amp;"|"&amp;tblAsignaciones[[#This Row],[dia]]&amp;"|"&amp;tblAsignaciones[[#This Row],[tecnico]]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2" s="3">
        <f>tblAsignaciones[[#This Row],[semana]]&amp;"|"&amp;tblAsignaciones[[#This Row],[dia]]&amp;"|"&amp;tblAsignaciones[[#This Row],[tecnico]]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3" s="3">
        <f>tblAsignaciones[[#This Row],[semana]]&amp;"|"&amp;tblAsignaciones[[#This Row],[dia]]&amp;"|"&amp;tblAsignaciones[[#This Row],[tecnico]]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4" s="3">
        <f>tblAsignaciones[[#This Row],[semana]]&amp;"|"&amp;tblAsignaciones[[#This Row],[dia]]&amp;"|"&amp;tblAsignaciones[[#This Row],[tecnico]]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5" s="3">
        <f>tblAsignaciones[[#This Row],[semana]]&amp;"|"&amp;tblAsignaciones[[#This Row],[dia]]&amp;"|"&amp;tblAsignaciones[[#This Row],[tecnico]]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6" s="3">
        <f>tblAsignaciones[[#This Row],[semana]]&amp;"|"&amp;tblAsignaciones[[#This Row],[dia]]&amp;"|"&amp;tblAsignaciones[[#This Row],[tecnico]]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7" s="3">
        <f>tblAsignaciones[[#This Row],[semana]]&amp;"|"&amp;tblAsignaciones[[#This Row],[dia]]&amp;"|"&amp;tblAsignaciones[[#This Row],[tecnico]]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8" s="3">
        <f>tblAsignaciones[[#This Row],[semana]]&amp;"|"&amp;tblAsignaciones[[#This Row],[dia]]&amp;"|"&amp;tblAsignaciones[[#This Row],[tecnico]]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>
        <is>
          <t>T1</t>
        </is>
      </c>
      <c r="G255" s="3">
        <f>_xlfn.XLOOKUP(tblAsignaciones[[#This Row],[tecnico]],tblTecnicos[nombre],tblTecnicos[coordinador],"")</f>
        <v/>
      </c>
      <c r="H2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46224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46224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46224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46224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4" t="n"/>
      <c r="C8" s="6" t="n"/>
      <c r="D8" s="15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4" t="n"/>
      <c r="C9" s="6" t="n"/>
      <c r="D9" s="15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4" t="n"/>
      <c r="C10" s="6" t="n"/>
      <c r="D10" s="15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4" t="n"/>
      <c r="C11" s="6" t="n"/>
      <c r="D11" s="15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4" t="n"/>
      <c r="C12" s="6" t="n"/>
      <c r="D12" s="15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4" t="n"/>
      <c r="C13" s="6" t="n"/>
      <c r="D13" s="15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4" t="n"/>
      <c r="C14" s="6" t="n"/>
      <c r="D14" s="15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4" t="n"/>
      <c r="C15" s="6" t="n"/>
      <c r="D15" s="15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4" t="n"/>
      <c r="C16" s="6" t="n"/>
      <c r="D16" s="15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4" t="n"/>
      <c r="C17" s="6" t="n"/>
      <c r="D17" s="15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4" t="n"/>
      <c r="C18" s="6" t="n"/>
      <c r="D18" s="15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4" t="n"/>
      <c r="C19" s="6" t="n"/>
      <c r="D19" s="15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4" t="n"/>
      <c r="C20" s="6" t="n"/>
      <c r="D20" s="15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4" t="n"/>
      <c r="C21" s="6" t="n"/>
      <c r="D21" s="15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4" t="n"/>
      <c r="C22" s="6" t="n"/>
      <c r="D22" s="15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4" t="n"/>
      <c r="C23" s="6" t="n"/>
      <c r="D23" s="15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4" t="n"/>
      <c r="C24" s="6" t="n"/>
      <c r="D24" s="15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4" t="n"/>
      <c r="C25" s="6" t="n"/>
      <c r="D25" s="15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4" t="n"/>
      <c r="C26" s="6" t="n"/>
      <c r="D26" s="15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4" t="n"/>
      <c r="C27" s="6" t="n"/>
      <c r="D27" s="15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4" t="n"/>
      <c r="C28" s="6" t="n"/>
      <c r="D28" s="15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4" t="n"/>
      <c r="C29" s="6" t="n"/>
      <c r="D29" s="15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4" t="n"/>
      <c r="C30" s="6" t="n"/>
      <c r="D30" s="15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4" t="n"/>
      <c r="C31" s="6" t="n"/>
      <c r="D31" s="15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4" t="n"/>
      <c r="C32" s="6" t="n"/>
      <c r="D32" s="15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4" t="n"/>
      <c r="C33" s="6" t="n"/>
      <c r="D33" s="15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4" t="n"/>
      <c r="C34" s="6" t="n"/>
      <c r="D34" s="15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4" t="n"/>
      <c r="C35" s="6" t="n"/>
      <c r="D35" s="15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4" t="n"/>
      <c r="C36" s="6" t="n"/>
      <c r="D36" s="15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4" t="n"/>
      <c r="C37" s="6" t="n"/>
      <c r="D37" s="15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4" t="n"/>
      <c r="C38" s="6" t="n"/>
      <c r="D38" s="15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4" t="n"/>
      <c r="C39" s="6" t="n"/>
      <c r="D39" s="15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4" t="n"/>
      <c r="C40" s="6" t="n"/>
      <c r="D40" s="15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4" t="n"/>
      <c r="C41" s="6" t="n"/>
      <c r="D41" s="15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4" t="n"/>
      <c r="C42" s="6" t="n"/>
      <c r="D42" s="15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4" t="n"/>
      <c r="C43" s="6" t="n"/>
      <c r="D43" s="15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4" t="n"/>
      <c r="C44" s="6" t="n"/>
      <c r="D44" s="15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4" t="n"/>
      <c r="C45" s="6" t="n"/>
      <c r="D45" s="15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4" t="n"/>
      <c r="C46" s="6" t="n"/>
      <c r="D46" s="15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4" t="n"/>
      <c r="C47" s="6" t="n"/>
      <c r="D47" s="15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4" t="n"/>
      <c r="C48" s="6" t="n"/>
      <c r="D48" s="15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4" t="n"/>
      <c r="C49" s="6" t="n"/>
      <c r="D49" s="15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4" t="n"/>
      <c r="C50" s="6" t="n"/>
      <c r="D50" s="15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4" t="n"/>
      <c r="C51" s="6" t="n"/>
      <c r="D51" s="15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4" t="n"/>
      <c r="C52" s="6" t="n"/>
      <c r="D52" s="15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4" t="n"/>
      <c r="C53" s="6" t="n"/>
      <c r="D53" s="15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4" t="n"/>
      <c r="C54" s="6" t="n"/>
      <c r="D54" s="15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4" t="n"/>
      <c r="C55" s="6" t="n"/>
      <c r="D55" s="15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4" t="n"/>
      <c r="C56" s="6" t="n"/>
      <c r="D56" s="15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4" t="n"/>
      <c r="C57" s="6" t="n"/>
      <c r="D57" s="15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4" t="n"/>
      <c r="C58" s="6" t="n"/>
      <c r="D58" s="15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4" t="n"/>
      <c r="C59" s="6" t="n"/>
      <c r="D59" s="15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4" t="n"/>
      <c r="C60" s="6" t="n"/>
      <c r="D60" s="15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4" t="n"/>
      <c r="C61" s="6" t="n"/>
      <c r="D61" s="15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4" t="n"/>
      <c r="C62" s="6" t="n"/>
      <c r="D62" s="15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4" t="n"/>
      <c r="C63" s="6" t="n"/>
      <c r="D63" s="15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4" t="n"/>
      <c r="C64" s="6" t="n"/>
      <c r="D64" s="15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4" t="n"/>
      <c r="C65" s="6" t="n"/>
      <c r="D65" s="15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4" t="n"/>
      <c r="C66" s="6" t="n"/>
      <c r="D66" s="15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4" t="n"/>
      <c r="C67" s="6" t="n"/>
      <c r="D67" s="15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4" t="n"/>
      <c r="C68" s="6" t="n"/>
      <c r="D68" s="15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4" t="n"/>
      <c r="C69" s="6" t="n"/>
      <c r="D69" s="15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4" t="n"/>
      <c r="C70" s="6" t="n"/>
      <c r="D70" s="15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4" t="n"/>
      <c r="C71" s="6" t="n"/>
      <c r="D71" s="15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4" t="n"/>
      <c r="C72" s="6" t="n"/>
      <c r="D72" s="15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4" t="n"/>
      <c r="C73" s="6" t="n"/>
      <c r="D73" s="15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4" t="n"/>
      <c r="C74" s="6" t="n"/>
      <c r="D74" s="15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4" t="n"/>
      <c r="C75" s="6" t="n"/>
      <c r="D75" s="15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4" t="n"/>
      <c r="C76" s="6" t="n"/>
      <c r="D76" s="15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4" t="n"/>
      <c r="C77" s="6" t="n"/>
      <c r="D77" s="15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4" t="n"/>
      <c r="C78" s="6" t="n"/>
      <c r="D78" s="15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4" t="n"/>
      <c r="C79" s="6" t="n"/>
      <c r="D79" s="15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4" t="n"/>
      <c r="C80" s="6" t="n"/>
      <c r="D80" s="15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4" t="n"/>
      <c r="C81" s="6" t="n"/>
      <c r="D81" s="15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4" t="n"/>
      <c r="C82" s="6" t="n"/>
      <c r="D82" s="15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4" t="n"/>
      <c r="C83" s="6" t="n"/>
      <c r="D83" s="15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4" t="n"/>
      <c r="C84" s="6" t="n"/>
      <c r="D84" s="15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4" t="n"/>
      <c r="C85" s="6" t="n"/>
      <c r="D85" s="15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4" t="n"/>
      <c r="C86" s="6" t="n"/>
      <c r="D86" s="15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4" t="n"/>
      <c r="C87" s="6" t="n"/>
      <c r="D87" s="15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4" t="n"/>
      <c r="C88" s="6" t="n"/>
      <c r="D88" s="15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4" t="n"/>
      <c r="C89" s="6" t="n"/>
      <c r="D89" s="15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4" t="n"/>
      <c r="C90" s="6" t="n"/>
      <c r="D90" s="15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4" t="n"/>
      <c r="C91" s="6" t="n"/>
      <c r="D91" s="15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4" t="n"/>
      <c r="C92" s="6" t="n"/>
      <c r="D92" s="15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4" t="n"/>
      <c r="C93" s="6" t="n"/>
      <c r="D93" s="15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4" t="n"/>
      <c r="C94" s="6" t="n"/>
      <c r="D94" s="15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4" t="n"/>
      <c r="C95" s="6" t="n"/>
      <c r="D95" s="15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4" t="n"/>
      <c r="C96" s="6" t="n"/>
      <c r="D96" s="15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4" t="n"/>
      <c r="C97" s="6" t="n"/>
      <c r="D97" s="15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4" t="n"/>
      <c r="C98" s="6" t="n"/>
      <c r="D98" s="15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4" t="n"/>
      <c r="C99" s="6" t="n"/>
      <c r="D99" s="15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4" t="n"/>
      <c r="C100" s="6" t="n"/>
      <c r="D100" s="15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4" t="n"/>
      <c r="C101" s="6" t="n"/>
      <c r="D101" s="15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4" t="n"/>
      <c r="C102" s="6" t="n"/>
      <c r="D102" s="15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4" t="n"/>
      <c r="C103" s="6" t="n"/>
      <c r="D103" s="15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4" t="n"/>
      <c r="C104" s="6" t="n"/>
      <c r="D104" s="15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4" t="n"/>
      <c r="C105" s="6" t="n"/>
      <c r="D105" s="15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4" t="n"/>
      <c r="C106" s="6" t="n"/>
      <c r="D106" s="15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4" t="n"/>
      <c r="C107" s="6" t="n"/>
      <c r="D107" s="15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4" t="n"/>
      <c r="C108" s="6" t="n"/>
      <c r="D108" s="15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4" t="n"/>
      <c r="C109" s="6" t="n"/>
      <c r="D109" s="15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4" t="n"/>
      <c r="C110" s="6" t="n"/>
      <c r="D110" s="15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4" t="n"/>
      <c r="C111" s="6" t="n"/>
      <c r="D111" s="15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4" t="n"/>
      <c r="C112" s="6" t="n"/>
      <c r="D112" s="15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4" t="n"/>
      <c r="C113" s="6" t="n"/>
      <c r="D113" s="15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4" t="n"/>
      <c r="C114" s="6" t="n"/>
      <c r="D114" s="15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4" t="n"/>
      <c r="C115" s="6" t="n"/>
      <c r="D115" s="15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4" t="n"/>
      <c r="C116" s="6" t="n"/>
      <c r="D116" s="15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4" t="n"/>
      <c r="C117" s="6" t="n"/>
      <c r="D117" s="15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4" t="n"/>
      <c r="C118" s="6" t="n"/>
      <c r="D118" s="15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4" t="n"/>
      <c r="C119" s="6" t="n"/>
      <c r="D119" s="15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4" t="n"/>
      <c r="C120" s="6" t="n"/>
      <c r="D120" s="15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4" t="n"/>
      <c r="C121" s="6" t="n"/>
      <c r="D121" s="15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4" t="n"/>
      <c r="C122" s="6" t="n"/>
      <c r="D122" s="15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4" t="n"/>
      <c r="C123" s="6" t="n"/>
      <c r="D123" s="15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4" t="n"/>
      <c r="C124" s="6" t="n"/>
      <c r="D124" s="15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4" t="n"/>
      <c r="C125" s="6" t="n"/>
      <c r="D125" s="15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4" t="n"/>
      <c r="C126" s="6" t="n"/>
      <c r="D126" s="15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4" t="n"/>
      <c r="C127" s="6" t="n"/>
      <c r="D127" s="15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4" t="n"/>
      <c r="C128" s="6" t="n"/>
      <c r="D128" s="15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4" t="n"/>
      <c r="C129" s="6" t="n"/>
      <c r="D129" s="15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4" t="n"/>
      <c r="C130" s="6" t="n"/>
      <c r="D130" s="15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4" t="n"/>
      <c r="C131" s="6" t="n"/>
      <c r="D131" s="15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4" t="n"/>
      <c r="C132" s="6" t="n"/>
      <c r="D132" s="15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4" t="n"/>
      <c r="C133" s="6" t="n"/>
      <c r="D133" s="15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4" t="n"/>
      <c r="C134" s="6" t="n"/>
      <c r="D134" s="15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4" t="n"/>
      <c r="C135" s="6" t="n"/>
      <c r="D135" s="15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4" t="n"/>
      <c r="C136" s="6" t="n"/>
      <c r="D136" s="15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4" t="n"/>
      <c r="C137" s="6" t="n"/>
      <c r="D137" s="15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4" t="n"/>
      <c r="C138" s="6" t="n"/>
      <c r="D138" s="15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4" t="n"/>
      <c r="C139" s="6" t="n"/>
      <c r="D139" s="15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4" t="n"/>
      <c r="C140" s="6" t="n"/>
      <c r="D140" s="15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4" t="n"/>
      <c r="C141" s="6" t="n"/>
      <c r="D141" s="15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4" t="n"/>
      <c r="C142" s="6" t="n"/>
      <c r="D142" s="15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4" t="n"/>
      <c r="C143" s="6" t="n"/>
      <c r="D143" s="15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4" t="n"/>
      <c r="C144" s="6" t="n"/>
      <c r="D144" s="15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4" t="n"/>
      <c r="C145" s="6" t="n"/>
      <c r="D145" s="15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4" t="n"/>
      <c r="C146" s="6" t="n"/>
      <c r="D146" s="15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4" t="n"/>
      <c r="C147" s="6" t="n"/>
      <c r="D147" s="15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4" t="n"/>
      <c r="C148" s="6" t="n"/>
      <c r="D148" s="15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4" t="n"/>
      <c r="C149" s="6" t="n"/>
      <c r="D149" s="15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4" t="n"/>
      <c r="C150" s="6" t="n"/>
      <c r="D150" s="15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4" t="n"/>
      <c r="C151" s="6" t="n"/>
      <c r="D151" s="15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4" t="n"/>
      <c r="C152" s="6" t="n"/>
      <c r="D152" s="15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4" t="n"/>
      <c r="C153" s="6" t="n"/>
      <c r="D153" s="15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4" t="n"/>
      <c r="C154" s="6" t="n"/>
      <c r="D154" s="15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4" t="n"/>
      <c r="C155" s="6" t="n"/>
      <c r="D155" s="15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4" t="n"/>
      <c r="C156" s="6" t="n"/>
      <c r="D156" s="15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4" t="n"/>
      <c r="C157" s="6" t="n"/>
      <c r="D157" s="15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4" t="n"/>
      <c r="C158" s="6" t="n"/>
      <c r="D158" s="15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4" t="n"/>
      <c r="C159" s="6" t="n"/>
      <c r="D159" s="15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4" t="n"/>
      <c r="C160" s="6" t="n"/>
      <c r="D160" s="15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4" t="n"/>
      <c r="C161" s="6" t="n"/>
      <c r="D161" s="15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4" t="n"/>
      <c r="C162" s="6" t="n"/>
      <c r="D162" s="15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4" t="n"/>
      <c r="C163" s="6" t="n"/>
      <c r="D163" s="15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4" t="n"/>
      <c r="C164" s="6" t="n"/>
      <c r="D164" s="15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4" t="n"/>
      <c r="C165" s="6" t="n"/>
      <c r="D165" s="15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4" t="n"/>
      <c r="C166" s="6" t="n"/>
      <c r="D166" s="15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4" t="n"/>
      <c r="C167" s="6" t="n"/>
      <c r="D167" s="15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4" t="n"/>
      <c r="C168" s="6" t="n"/>
      <c r="D168" s="15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4" t="n"/>
      <c r="C169" s="6" t="n"/>
      <c r="D169" s="15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4" t="n"/>
      <c r="C170" s="6" t="n"/>
      <c r="D170" s="15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4" t="n"/>
      <c r="C171" s="6" t="n"/>
      <c r="D171" s="15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4" t="n"/>
      <c r="C172" s="6" t="n"/>
      <c r="D172" s="15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4" t="n"/>
      <c r="C173" s="6" t="n"/>
      <c r="D173" s="15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4" t="n"/>
      <c r="C174" s="6" t="n"/>
      <c r="D174" s="15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4" t="n"/>
      <c r="C175" s="6" t="n"/>
      <c r="D175" s="15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4" t="n"/>
      <c r="C176" s="6" t="n"/>
      <c r="D176" s="15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4" t="n"/>
      <c r="C177" s="6" t="n"/>
      <c r="D177" s="15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4" t="n"/>
      <c r="C178" s="6" t="n"/>
      <c r="D178" s="15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4" t="n"/>
      <c r="C179" s="6" t="n"/>
      <c r="D179" s="15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4" t="n"/>
      <c r="C180" s="6" t="n"/>
      <c r="D180" s="15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4" t="n"/>
      <c r="C181" s="6" t="n"/>
      <c r="D181" s="15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4" t="n"/>
      <c r="C182" s="6" t="n"/>
      <c r="D182" s="15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4" t="n"/>
      <c r="C183" s="6" t="n"/>
      <c r="D183" s="15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4" t="n"/>
      <c r="C184" s="6" t="n"/>
      <c r="D184" s="15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4" t="n"/>
      <c r="C185" s="6" t="n"/>
      <c r="D185" s="15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4" t="n"/>
      <c r="C186" s="6" t="n"/>
      <c r="D186" s="15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4" t="n"/>
      <c r="C187" s="6" t="n"/>
      <c r="D187" s="15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4" t="n"/>
      <c r="C188" s="6" t="n"/>
      <c r="D188" s="15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4" t="n"/>
      <c r="C189" s="6" t="n"/>
      <c r="D189" s="15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4" t="n"/>
      <c r="C190" s="6" t="n"/>
      <c r="D190" s="15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4" t="n"/>
      <c r="C191" s="6" t="n"/>
      <c r="D191" s="15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4" t="n"/>
      <c r="C192" s="6" t="n"/>
      <c r="D192" s="15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4" t="n"/>
      <c r="C193" s="6" t="n"/>
      <c r="D193" s="15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4" t="n"/>
      <c r="C194" s="6" t="n"/>
      <c r="D194" s="15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4" t="n"/>
      <c r="C195" s="6" t="n"/>
      <c r="D195" s="15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4" t="n"/>
      <c r="C196" s="6" t="n"/>
      <c r="D196" s="15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4" t="n"/>
      <c r="C197" s="6" t="n"/>
      <c r="D197" s="15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4" t="n"/>
      <c r="C198" s="6" t="n"/>
      <c r="D198" s="15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4" t="n"/>
      <c r="C199" s="6" t="n"/>
      <c r="D199" s="15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4" t="n"/>
      <c r="C200" s="6" t="n"/>
      <c r="D200" s="15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4" t="n"/>
      <c r="C201" s="6" t="n"/>
      <c r="D201" s="15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4" t="n"/>
      <c r="C202" s="6" t="n"/>
      <c r="D202" s="15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4" t="n"/>
      <c r="C203" s="6" t="n"/>
      <c r="D203" s="15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4" t="n"/>
      <c r="C204" s="6" t="n"/>
      <c r="D204" s="15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4" t="n"/>
      <c r="C205" s="6" t="n"/>
      <c r="D205" s="15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4" t="n"/>
      <c r="C206" s="6" t="n"/>
      <c r="D206" s="15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4" t="n"/>
      <c r="C207" s="6" t="n"/>
      <c r="D207" s="15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4" t="n"/>
      <c r="C208" s="6" t="n"/>
      <c r="D208" s="15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4" t="n"/>
      <c r="C209" s="6" t="n"/>
      <c r="D209" s="15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4" t="n"/>
      <c r="C210" s="6" t="n"/>
      <c r="D210" s="15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4" t="n"/>
      <c r="C211" s="6" t="n"/>
      <c r="D211" s="15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4" t="n"/>
      <c r="C212" s="6" t="n"/>
      <c r="D212" s="15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4" t="n"/>
      <c r="C213" s="6" t="n"/>
      <c r="D213" s="15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4" t="n"/>
      <c r="C214" s="6" t="n"/>
      <c r="D214" s="15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4" t="n"/>
      <c r="C215" s="6" t="n"/>
      <c r="D215" s="15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4" t="n"/>
      <c r="C216" s="6" t="n"/>
      <c r="D216" s="15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4" t="n"/>
      <c r="C217" s="6" t="n"/>
      <c r="D217" s="15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4" t="n"/>
      <c r="C218" s="6" t="n"/>
      <c r="D218" s="15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4" t="n"/>
      <c r="C219" s="6" t="n"/>
      <c r="D219" s="15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4" t="n"/>
      <c r="C220" s="6" t="n"/>
      <c r="D220" s="15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4" t="n"/>
      <c r="C221" s="6" t="n"/>
      <c r="D221" s="15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4" t="n"/>
      <c r="C222" s="6" t="n"/>
      <c r="D222" s="15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4" t="n"/>
      <c r="C223" s="6" t="n"/>
      <c r="D223" s="15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4" t="n"/>
      <c r="C224" s="6" t="n"/>
      <c r="D224" s="15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4" t="n"/>
      <c r="C225" s="6" t="n"/>
      <c r="D225" s="15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4" t="n"/>
      <c r="C226" s="6" t="n"/>
      <c r="D226" s="15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4" t="n"/>
      <c r="C227" s="6" t="n"/>
      <c r="D227" s="15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4" t="n"/>
      <c r="C228" s="6" t="n"/>
      <c r="D228" s="15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4" t="n"/>
      <c r="C229" s="6" t="n"/>
      <c r="D229" s="15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4" t="n"/>
      <c r="C230" s="6" t="n"/>
      <c r="D230" s="15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4" t="n"/>
      <c r="C231" s="6" t="n"/>
      <c r="D231" s="15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4" t="n"/>
      <c r="C232" s="6" t="n"/>
      <c r="D232" s="15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4" t="n"/>
      <c r="C233" s="6" t="n"/>
      <c r="D233" s="15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4" t="n"/>
      <c r="C234" s="6" t="n"/>
      <c r="D234" s="15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4" t="n"/>
      <c r="C235" s="6" t="n"/>
      <c r="D235" s="15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4" t="n"/>
      <c r="C236" s="6" t="n"/>
      <c r="D236" s="15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4" t="n"/>
      <c r="C237" s="6" t="n"/>
      <c r="D237" s="15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4" t="n"/>
      <c r="C238" s="6" t="n"/>
      <c r="D238" s="15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4" t="n"/>
      <c r="C239" s="6" t="n"/>
      <c r="D239" s="15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4" t="n"/>
      <c r="C240" s="6" t="n"/>
      <c r="D240" s="15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4" t="n"/>
      <c r="C241" s="6" t="n"/>
      <c r="D241" s="15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4" t="n"/>
      <c r="C242" s="6" t="n"/>
      <c r="D242" s="15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4" t="n"/>
      <c r="C243" s="6" t="n"/>
      <c r="D243" s="15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4" t="n"/>
      <c r="C244" s="6" t="n"/>
      <c r="D244" s="15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4" t="n"/>
      <c r="C245" s="6" t="n"/>
      <c r="D245" s="15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4" t="n"/>
      <c r="C246" s="6" t="n"/>
      <c r="D246" s="15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4" t="n"/>
      <c r="C247" s="6" t="n"/>
      <c r="D247" s="15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4" t="n"/>
      <c r="C248" s="6" t="n"/>
      <c r="D248" s="15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4" t="n"/>
      <c r="C249" s="6" t="n"/>
      <c r="D249" s="15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4" t="n"/>
      <c r="C250" s="6" t="n"/>
      <c r="D250" s="15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4" t="n"/>
      <c r="C251" s="6" t="n"/>
      <c r="D251" s="15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4" t="n"/>
      <c r="C252" s="6" t="n"/>
      <c r="D252" s="15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4" t="n"/>
      <c r="C253" s="6" t="n"/>
      <c r="D253" s="15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4" t="n"/>
      <c r="C254" s="6" t="n"/>
      <c r="D254" s="15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4" t="n"/>
      <c r="C255" s="6" t="n"/>
      <c r="D255" s="15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4" t="n"/>
      <c r="C256" s="6" t="n"/>
      <c r="D256" s="15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4" t="n"/>
      <c r="C257" s="6" t="n"/>
      <c r="D257" s="15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4" t="n"/>
      <c r="C258" s="6" t="n"/>
      <c r="D258" s="15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4" t="n"/>
      <c r="C259" s="6" t="n"/>
      <c r="D259" s="15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4" t="n"/>
      <c r="C260" s="6" t="n"/>
      <c r="D260" s="15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4" t="n"/>
      <c r="C261" s="6" t="n"/>
      <c r="D261" s="15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4" t="n"/>
      <c r="C262" s="6" t="n"/>
      <c r="D262" s="15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4" t="n"/>
      <c r="C263" s="6" t="n"/>
      <c r="D263" s="15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4" t="n"/>
      <c r="C264" s="6" t="n"/>
      <c r="D264" s="15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4" t="n"/>
      <c r="C265" s="6" t="n"/>
      <c r="D265" s="15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4" t="n"/>
      <c r="C266" s="6" t="n"/>
      <c r="D266" s="15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4" t="n"/>
      <c r="C267" s="6" t="n"/>
      <c r="D267" s="15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4" t="n"/>
      <c r="C268" s="6" t="n"/>
      <c r="D268" s="15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4" t="n"/>
      <c r="C269" s="6" t="n"/>
      <c r="D269" s="15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4" t="n"/>
      <c r="C270" s="6" t="n"/>
      <c r="D270" s="15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4" t="n"/>
      <c r="C271" s="6" t="n"/>
      <c r="D271" s="15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4" t="n"/>
      <c r="C272" s="6" t="n"/>
      <c r="D272" s="15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4" t="n"/>
      <c r="C273" s="6" t="n"/>
      <c r="D273" s="15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4" t="n"/>
      <c r="C274" s="6" t="n"/>
      <c r="D274" s="15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4" t="n"/>
      <c r="C275" s="6" t="n"/>
      <c r="D275" s="15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4" t="n"/>
      <c r="C276" s="6" t="n"/>
      <c r="D276" s="15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4" t="n"/>
      <c r="C277" s="6" t="n"/>
      <c r="D277" s="15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4" t="n"/>
      <c r="C278" s="6" t="n"/>
      <c r="D278" s="15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4" t="n"/>
      <c r="C279" s="6" t="n"/>
      <c r="D279" s="15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4" t="n"/>
      <c r="C280" s="6" t="n"/>
      <c r="D280" s="15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4" t="n"/>
      <c r="C281" s="6" t="n"/>
      <c r="D281" s="15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4" t="n"/>
      <c r="C282" s="6" t="n"/>
      <c r="D282" s="15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4" t="n"/>
      <c r="C283" s="6" t="n"/>
      <c r="D283" s="15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4" t="n"/>
      <c r="C284" s="6" t="n"/>
      <c r="D284" s="15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4" t="n"/>
      <c r="C285" s="6" t="n"/>
      <c r="D285" s="15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4" t="n"/>
      <c r="C286" s="6" t="n"/>
      <c r="D286" s="15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4" t="n"/>
      <c r="C287" s="6" t="n"/>
      <c r="D287" s="15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4" t="n"/>
      <c r="C288" s="6" t="n"/>
      <c r="D288" s="15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4" t="n"/>
      <c r="C289" s="6" t="n"/>
      <c r="D289" s="15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4" t="n"/>
      <c r="C290" s="6" t="n"/>
      <c r="D290" s="15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4" t="n"/>
      <c r="C291" s="6" t="n"/>
      <c r="D291" s="15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4" t="n"/>
      <c r="C292" s="6" t="n"/>
      <c r="D292" s="15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4" t="n"/>
      <c r="C293" s="6" t="n"/>
      <c r="D293" s="15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4" t="n"/>
      <c r="C294" s="6" t="n"/>
      <c r="D294" s="15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4" t="n"/>
      <c r="C295" s="6" t="n"/>
      <c r="D295" s="15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4" t="n"/>
      <c r="C296" s="6" t="n"/>
      <c r="D296" s="15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4" t="n"/>
      <c r="C297" s="6" t="n"/>
      <c r="D297" s="15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4" t="n"/>
      <c r="C298" s="6" t="n"/>
      <c r="D298" s="15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4" t="n"/>
      <c r="C299" s="6" t="n"/>
      <c r="D299" s="15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4" t="n"/>
      <c r="C300" s="6" t="n"/>
      <c r="D300" s="15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4" t="n"/>
      <c r="C301" s="6" t="n"/>
      <c r="D301" s="15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4" t="n"/>
      <c r="C302" s="6" t="n"/>
      <c r="D302" s="15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4" t="n"/>
      <c r="C303" s="6" t="n"/>
      <c r="D303" s="15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1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1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1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1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1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no</t>
        </is>
      </c>
      <c r="I10" s="11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1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1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1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15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1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15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1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15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1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15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1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15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1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15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1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15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1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15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1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15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1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15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1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15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1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15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1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15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1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15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1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15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1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15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1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15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1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15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1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15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1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15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1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15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1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15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1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15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1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15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1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15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1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15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1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15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1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15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1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15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1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15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1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15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1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15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1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15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1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15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1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15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1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15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1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15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1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15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1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15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1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15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1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15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1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15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1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15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1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15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1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15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1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15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1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15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1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15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1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15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1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15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1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15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1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15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1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15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1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15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1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15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1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15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1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15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1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15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1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15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1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15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1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15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1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15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1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15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1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15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1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15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1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15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1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15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1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15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1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15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1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15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1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15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1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15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1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15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1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15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1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15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1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15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1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15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1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15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1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15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1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15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1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15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1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15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1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15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1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15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1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15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1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15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1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15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1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15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1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15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1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15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1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15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1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15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1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15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1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15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1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15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1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15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1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15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1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15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1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15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1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15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1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15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1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15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1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15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1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15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1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15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1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15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1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15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1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15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1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15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1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15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1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15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1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15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1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15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1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15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1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15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1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15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1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15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1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15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1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15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1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15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1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15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1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15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1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15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1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15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1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15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1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15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1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15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1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15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1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15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1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15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1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15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1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15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1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15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1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15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1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15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1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15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1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15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1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15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1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15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1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15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1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15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1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15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1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15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1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15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1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15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1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15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1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15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1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15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1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15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1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15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1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15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1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15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1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15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1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15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1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15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1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15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1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15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1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15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1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15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1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15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1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15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1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15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1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15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1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15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1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15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1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15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1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15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1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15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1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15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1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15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1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15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1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15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1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15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1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15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1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15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1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15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1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15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1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15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1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15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1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15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1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15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1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15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1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15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1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15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1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15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1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15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1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15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1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15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1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15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1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15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1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15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1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15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1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15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1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15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1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15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1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15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1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15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1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15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1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15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1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15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1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1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1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1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1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1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1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1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1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1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1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1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1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1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1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1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1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1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1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1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1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1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1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1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1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1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1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1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1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1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1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1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1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1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1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1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1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1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1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1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1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1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1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1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1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1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1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1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1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1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1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1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1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1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1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1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1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1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1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1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1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1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1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1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1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1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1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1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1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1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1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1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1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1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1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1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1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1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1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1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1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1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1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1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1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1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1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1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1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1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1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1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1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1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1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1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1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1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1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1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1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1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1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1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1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1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1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1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1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1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1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1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1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1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1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1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1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1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1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1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1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1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1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1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1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1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1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1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1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1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1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1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1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1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1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1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1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1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1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1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1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1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1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1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1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1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1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1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1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1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1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1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1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1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1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1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1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1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1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1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1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1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1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1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1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1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1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1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1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1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1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1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1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1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1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1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1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1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1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1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1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1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1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1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1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1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1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1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1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1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1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1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1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1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1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1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1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1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1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1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1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1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1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1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1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1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1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1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1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1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1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1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1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1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1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1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1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1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1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1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1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1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1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1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1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1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1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1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1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1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1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1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1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1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1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1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1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1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1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1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1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1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1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1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1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1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1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1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1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1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1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1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1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1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1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1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1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1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1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1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1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1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1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1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1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1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1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1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1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1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1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1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1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1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1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1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1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1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1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1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1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1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1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1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1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1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1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1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1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1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1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1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1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1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1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1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1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1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1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1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1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1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1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1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1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1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1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1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1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1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1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1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1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1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1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1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1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1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1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1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1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1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1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1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1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1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1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1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1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1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1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1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1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1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1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1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1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1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1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1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1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1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1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1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1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1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1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1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1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1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1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1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1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1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1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1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1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1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1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1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1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1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1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1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1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1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1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1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1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1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1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1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1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1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1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1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1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1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1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1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1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1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1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1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1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1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1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1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1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1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1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1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1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1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1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1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1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1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1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1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1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1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1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1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1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1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1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1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1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1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1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1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1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1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1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1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1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1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1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1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1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1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1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1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1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1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1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1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1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1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1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1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1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1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1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1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1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1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1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1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1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1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1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1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1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1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1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1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1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1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1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1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1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1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1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1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1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1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1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1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1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1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1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1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1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1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1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1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1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1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1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1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1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1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1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1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1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1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1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1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1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1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1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1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1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1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1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1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1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1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1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1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1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1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1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1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1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1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1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1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1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1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1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1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1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1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1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1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1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1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1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1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1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1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1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1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1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1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1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1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1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1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1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1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1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1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1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1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1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1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1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1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1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1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1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1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1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1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1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1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1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1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1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1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1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1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1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1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1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1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1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SUMIFS(tblAsignaciones[horas_disponibles],tblAsignaciones[especialidad],$A244,tblAsignaciones[semana],$B244)</f>
        <v/>
      </c>
      <c r="D244" s="17">
        <f>C244*p_factor_productividad</f>
        <v/>
      </c>
      <c r="E244" s="17">
        <f>SUMIFS(tblOrdenes[horas_efectivas],tblOrdenes[especialidad],$A244,tblOrdenes[semana],$B244,tblOrdenes[clasificacion],"preventiva")</f>
        <v/>
      </c>
      <c r="F244" s="17">
        <f>SUMIFS(tblOrdenes[horas_efectivas],tblOrdenes[especialidad],$A244,tblOrdenes[semana],$B244,tblOrdenes[clasificacion],"correctiva")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SUMIFS(tblAsignaciones[horas_disponibles],tblAsignaciones[especialidad],$A245,tblAsignaciones[semana],$B245)</f>
        <v/>
      </c>
      <c r="D245" s="17">
        <f>C245*p_factor_productividad</f>
        <v/>
      </c>
      <c r="E245" s="17">
        <f>SUMIFS(tblOrdenes[horas_efectivas],tblOrdenes[especialidad],$A245,tblOrdenes[semana],$B245,tblOrdenes[clasificacion],"preventiva")</f>
        <v/>
      </c>
      <c r="F245" s="17">
        <f>SUMIFS(tblOrdenes[horas_efectivas],tblOrdenes[especialidad],$A245,tblOrdenes[semana],$B245,tblOrdenes[clasificacion],"correctiva")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SUMIFS(tblAsignaciones[horas_disponibles],tblAsignaciones[especialidad],$A246,tblAsignaciones[semana],$B246)</f>
        <v/>
      </c>
      <c r="D246" s="17">
        <f>C246*p_factor_productividad</f>
        <v/>
      </c>
      <c r="E246" s="17">
        <f>SUMIFS(tblOrdenes[horas_efectivas],tblOrdenes[especialidad],$A246,tblOrdenes[semana],$B246,tblOrdenes[clasificacion],"preventiva")</f>
        <v/>
      </c>
      <c r="F246" s="17">
        <f>SUMIFS(tblOrdenes[horas_efectivas],tblOrdenes[especialidad],$A246,tblOrdenes[semana],$B246,tblOrdenes[clasificacion],"correctiva")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SUMIFS(tblAsignaciones[horas_disponibles],tblAsignaciones[especialidad],$A247,tblAsignaciones[semana],$B247)</f>
        <v/>
      </c>
      <c r="D247" s="17">
        <f>C247*p_factor_productividad</f>
        <v/>
      </c>
      <c r="E247" s="17">
        <f>SUMIFS(tblOrdenes[horas_efectivas],tblOrdenes[especialidad],$A247,tblOrdenes[semana],$B247,tblOrdenes[clasificacion],"preventiva")</f>
        <v/>
      </c>
      <c r="F247" s="17">
        <f>SUMIFS(tblOrdenes[horas_efectivas],tblOrdenes[especialidad],$A247,tblOrdenes[semana],$B247,tblOrdenes[clasificacion],"correctiva")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SUMIFS(tblAsignaciones[horas_disponibles],tblAsignaciones[especialidad],$A248,tblAsignaciones[semana],$B248)</f>
        <v/>
      </c>
      <c r="D248" s="17">
        <f>C248*p_factor_productividad</f>
        <v/>
      </c>
      <c r="E248" s="17">
        <f>SUMIFS(tblOrdenes[horas_efectivas],tblOrdenes[especialidad],$A248,tblOrdenes[semana],$B248,tblOrdenes[clasificacion],"preventiva")</f>
        <v/>
      </c>
      <c r="F248" s="17">
        <f>SUMIFS(tblOrdenes[horas_efectivas],tblOrdenes[especialidad],$A248,tblOrdenes[semana],$B248,tblOrdenes[clasificacion],"correctiva")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SUMIFS(tblAsignaciones[horas_disponibles],tblAsignaciones[especialidad],$A249,tblAsignaciones[semana],$B249)</f>
        <v/>
      </c>
      <c r="D249" s="17">
        <f>C249*p_factor_productividad</f>
        <v/>
      </c>
      <c r="E249" s="17">
        <f>SUMIFS(tblOrdenes[horas_efectivas],tblOrdenes[especialidad],$A249,tblOrdenes[semana],$B249,tblOrdenes[clasificacion],"preventiva")</f>
        <v/>
      </c>
      <c r="F249" s="17">
        <f>SUMIFS(tblOrdenes[horas_efectivas],tblOrdenes[especialidad],$A249,tblOrdenes[semana],$B249,tblOrdenes[clasificacion],"correctiva")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SUMIFS(tblAsignaciones[horas_disponibles],tblAsignaciones[especialidad],$A250,tblAsignaciones[semana],$B250)</f>
        <v/>
      </c>
      <c r="D250" s="17">
        <f>C250*p_factor_productividad</f>
        <v/>
      </c>
      <c r="E250" s="17">
        <f>SUMIFS(tblOrdenes[horas_efectivas],tblOrdenes[especialidad],$A250,tblOrdenes[semana],$B250,tblOrdenes[clasificacion],"preventiva")</f>
        <v/>
      </c>
      <c r="F250" s="17">
        <f>SUMIFS(tblOrdenes[horas_efectivas],tblOrdenes[especialidad],$A250,tblOrdenes[semana],$B250,tblOrdenes[clasificacion],"correctiva")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SUMIFS(tblAsignaciones[horas_disponibles],tblAsignaciones[especialidad],$A251,tblAsignaciones[semana],$B251)</f>
        <v/>
      </c>
      <c r="D251" s="17">
        <f>C251*p_factor_productividad</f>
        <v/>
      </c>
      <c r="E251" s="17">
        <f>SUMIFS(tblOrdenes[horas_efectivas],tblOrdenes[especialidad],$A251,tblOrdenes[semana],$B251,tblOrdenes[clasificacion],"preventiva")</f>
        <v/>
      </c>
      <c r="F251" s="17">
        <f>SUMIFS(tblOrdenes[horas_efectivas],tblOrdenes[especialidad],$A251,tblOrdenes[semana],$B251,tblOrdenes[clasificacion],"correctiva")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SUMIFS(tblAsignaciones[horas_disponibles],tblAsignaciones[especialidad],$A252,tblAsignaciones[semana],$B252)</f>
        <v/>
      </c>
      <c r="D252" s="17">
        <f>C252*p_factor_productividad</f>
        <v/>
      </c>
      <c r="E252" s="17">
        <f>SUMIFS(tblOrdenes[horas_efectivas],tblOrdenes[especialidad],$A252,tblOrdenes[semana],$B252,tblOrdenes[clasificacion],"preventiva")</f>
        <v/>
      </c>
      <c r="F252" s="17">
        <f>SUMIFS(tblOrdenes[horas_efectivas],tblOrdenes[especialidad],$A252,tblOrdenes[semana],$B252,tblOrdenes[clasificacion],"correctiva")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SUMIFS(tblAsignaciones[horas_disponibles],tblAsignaciones[especialidad],$A253,tblAsignaciones[semana],$B253)</f>
        <v/>
      </c>
      <c r="D253" s="17">
        <f>C253*p_factor_productividad</f>
        <v/>
      </c>
      <c r="E253" s="17">
        <f>SUMIFS(tblOrdenes[horas_efectivas],tblOrdenes[especialidad],$A253,tblOrdenes[semana],$B253,tblOrdenes[clasificacion],"preventiva")</f>
        <v/>
      </c>
      <c r="F253" s="17">
        <f>SUMIFS(tblOrdenes[horas_efectivas],tblOrdenes[especialidad],$A253,tblOrdenes[semana],$B253,tblOrdenes[clasificacion],"correctiva")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SUMIFS(tblAsignaciones[horas_disponibles],tblAsignaciones[especialidad],$A254,tblAsignaciones[semana],$B254)</f>
        <v/>
      </c>
      <c r="D254" s="17">
        <f>C254*p_factor_productividad</f>
        <v/>
      </c>
      <c r="E254" s="17">
        <f>SUMIFS(tblOrdenes[horas_efectivas],tblOrdenes[especialidad],$A254,tblOrdenes[semana],$B254,tblOrdenes[clasificacion],"preventiva")</f>
        <v/>
      </c>
      <c r="F254" s="17">
        <f>SUMIFS(tblOrdenes[horas_efectivas],tblOrdenes[especialidad],$A254,tblOrdenes[semana],$B254,tblOrdenes[clasificacion],"correctiva")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SUMIFS(tblAsignaciones[horas_disponibles],tblAsignaciones[especialidad],$A255,tblAsignaciones[semana],$B255)</f>
        <v/>
      </c>
      <c r="D255" s="17">
        <f>C255*p_factor_productividad</f>
        <v/>
      </c>
      <c r="E255" s="17">
        <f>SUMIFS(tblOrdenes[horas_efectivas],tblOrdenes[especialidad],$A255,tblOrdenes[semana],$B255,tblOrdenes[clasificacion],"preventiva")</f>
        <v/>
      </c>
      <c r="F255" s="17">
        <f>SUMIFS(tblOrdenes[horas_efectivas],tblOrdenes[especialidad],$A255,tblOrdenes[semana],$B255,tblOrdenes[clasificacion],"correctiva")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SUMIFS(tblAsignaciones[horas_disponibles],tblAsignaciones[especialidad],$A256,tblAsignaciones[semana],$B256)</f>
        <v/>
      </c>
      <c r="D256" s="17">
        <f>C256*p_factor_productividad</f>
        <v/>
      </c>
      <c r="E256" s="17">
        <f>SUMIFS(tblOrdenes[horas_efectivas],tblOrdenes[especialidad],$A256,tblOrdenes[semana],$B256,tblOrdenes[clasificacion],"preventiva")</f>
        <v/>
      </c>
      <c r="F256" s="17">
        <f>SUMIFS(tblOrdenes[horas_efectivas],tblOrdenes[especialidad],$A256,tblOrdenes[semana],$B256,tblOrdenes[clasificacion],"correctiva")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SUMIFS(tblAsignaciones[horas_disponibles],tblAsignaciones[especialidad],$A257,tblAsignaciones[semana],$B257)</f>
        <v/>
      </c>
      <c r="D257" s="17">
        <f>C257*p_factor_productividad</f>
        <v/>
      </c>
      <c r="E257" s="17">
        <f>SUMIFS(tblOrdenes[horas_efectivas],tblOrdenes[especialidad],$A257,tblOrdenes[semana],$B257,tblOrdenes[clasificacion],"preventiva")</f>
        <v/>
      </c>
      <c r="F257" s="17">
        <f>SUMIFS(tblOrdenes[horas_efectivas],tblOrdenes[especialidad],$A257,tblOrdenes[semana],$B257,tblOrdenes[clasificacion],"correctiva")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SUMIFS(tblAsignaciones[horas_disponibles],tblAsignaciones[especialidad],$A258,tblAsignaciones[semana],$B258)</f>
        <v/>
      </c>
      <c r="D258" s="17">
        <f>C258*p_factor_productividad</f>
        <v/>
      </c>
      <c r="E258" s="17">
        <f>SUMIFS(tblOrdenes[horas_efectivas],tblOrdenes[especialidad],$A258,tblOrdenes[semana],$B258,tblOrdenes[clasificacion],"preventiva")</f>
        <v/>
      </c>
      <c r="F258" s="17">
        <f>SUMIFS(tblOrdenes[horas_efectivas],tblOrdenes[especialidad],$A258,tblOrdenes[semana],$B258,tblOrdenes[clasificacion],"correctiva")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SUMIFS(tblAsignaciones[horas_disponibles],tblAsignaciones[especialidad],$A259,tblAsignaciones[semana],$B259)</f>
        <v/>
      </c>
      <c r="D259" s="17">
        <f>C259*p_factor_productividad</f>
        <v/>
      </c>
      <c r="E259" s="17">
        <f>SUMIFS(tblOrdenes[horas_efectivas],tblOrdenes[especialidad],$A259,tblOrdenes[semana],$B259,tblOrdenes[clasificacion],"preventiva")</f>
        <v/>
      </c>
      <c r="F259" s="17">
        <f>SUMIFS(tblOrdenes[horas_efectivas],tblOrdenes[especialidad],$A259,tblOrdenes[semana],$B259,tblOrdenes[clasificacion],"correctiva")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SUMIFS(tblAsignaciones[horas_disponibles],tblAsignaciones[especialidad],$A260,tblAsignaciones[semana],$B260)</f>
        <v/>
      </c>
      <c r="D260" s="17">
        <f>C260*p_factor_productividad</f>
        <v/>
      </c>
      <c r="E260" s="17">
        <f>SUMIFS(tblOrdenes[horas_efectivas],tblOrdenes[especialidad],$A260,tblOrdenes[semana],$B260,tblOrdenes[clasificacion],"preventiva")</f>
        <v/>
      </c>
      <c r="F260" s="17">
        <f>SUMIFS(tblOrdenes[horas_efectivas],tblOrdenes[especialidad],$A260,tblOrdenes[semana],$B260,tblOrdenes[clasificacion],"correctiva")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SUMIFS(tblAsignaciones[horas_disponibles],tblAsignaciones[especialidad],$A261,tblAsignaciones[semana],$B261)</f>
        <v/>
      </c>
      <c r="D261" s="17">
        <f>C261*p_factor_productividad</f>
        <v/>
      </c>
      <c r="E261" s="17">
        <f>SUMIFS(tblOrdenes[horas_efectivas],tblOrdenes[especialidad],$A261,tblOrdenes[semana],$B261,tblOrdenes[clasificacion],"preventiva")</f>
        <v/>
      </c>
      <c r="F261" s="17">
        <f>SUMIFS(tblOrdenes[horas_efectivas],tblOrdenes[especialidad],$A261,tblOrdenes[semana],$B261,tblOrdenes[clasificacion],"correctiva")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SUMIFS(tblAsignaciones[horas_disponibles],tblAsignaciones[especialidad],$A262,tblAsignaciones[semana],$B262)</f>
        <v/>
      </c>
      <c r="D262" s="17">
        <f>C262*p_factor_productividad</f>
        <v/>
      </c>
      <c r="E262" s="17">
        <f>SUMIFS(tblOrdenes[horas_efectivas],tblOrdenes[especialidad],$A262,tblOrdenes[semana],$B262,tblOrdenes[clasificacion],"preventiva")</f>
        <v/>
      </c>
      <c r="F262" s="17">
        <f>SUMIFS(tblOrdenes[horas_efectivas],tblOrdenes[especialidad],$A262,tblOrdenes[semana],$B262,tblOrdenes[clasificacion],"correctiva")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SUMIFS(tblAsignaciones[horas_disponibles],tblAsignaciones[especialidad],$A263,tblAsignaciones[semana],$B263)</f>
        <v/>
      </c>
      <c r="D263" s="17">
        <f>C263*p_factor_productividad</f>
        <v/>
      </c>
      <c r="E263" s="17">
        <f>SUMIFS(tblOrdenes[horas_efectivas],tblOrdenes[especialidad],$A263,tblOrdenes[semana],$B263,tblOrdenes[clasificacion],"preventiva")</f>
        <v/>
      </c>
      <c r="F263" s="17">
        <f>SUMIFS(tblOrdenes[horas_efectivas],tblOrdenes[especialidad],$A263,tblOrdenes[semana],$B263,tblOrdenes[clasificacion],"correctiva")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SUMIFS(tblAsignaciones[horas_disponibles],tblAsignaciones[especialidad],$A264,tblAsignaciones[semana],$B264)</f>
        <v/>
      </c>
      <c r="D264" s="17">
        <f>C264*p_factor_productividad</f>
        <v/>
      </c>
      <c r="E264" s="17">
        <f>SUMIFS(tblOrdenes[horas_efectivas],tblOrdenes[especialidad],$A264,tblOrdenes[semana],$B264,tblOrdenes[clasificacion],"preventiva")</f>
        <v/>
      </c>
      <c r="F264" s="17">
        <f>SUMIFS(tblOrdenes[horas_efectivas],tblOrdenes[especialidad],$A264,tblOrdenes[semana],$B264,tblOrdenes[clasificacion],"correctiva")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SUMIFS(tblAsignaciones[horas_disponibles],tblAsignaciones[especialidad],$A265,tblAsignaciones[semana],$B265)</f>
        <v/>
      </c>
      <c r="D265" s="17">
        <f>C265*p_factor_productividad</f>
        <v/>
      </c>
      <c r="E265" s="17">
        <f>SUMIFS(tblOrdenes[horas_efectivas],tblOrdenes[especialidad],$A265,tblOrdenes[semana],$B265,tblOrdenes[clasificacion],"preventiva")</f>
        <v/>
      </c>
      <c r="F265" s="17">
        <f>SUMIFS(tblOrdenes[horas_efectivas],tblOrdenes[especialidad],$A265,tblOrdenes[semana],$B265,tblOrdenes[clasificacion],"correctiva")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SUMIFS(tblAsignaciones[horas_disponibles],tblAsignaciones[especialidad],$A266,tblAsignaciones[semana],$B266)</f>
        <v/>
      </c>
      <c r="D266" s="17">
        <f>C266*p_factor_productividad</f>
        <v/>
      </c>
      <c r="E266" s="17">
        <f>SUMIFS(tblOrdenes[horas_efectivas],tblOrdenes[especialidad],$A266,tblOrdenes[semana],$B266,tblOrdenes[clasificacion],"preventiva")</f>
        <v/>
      </c>
      <c r="F266" s="17">
        <f>SUMIFS(tblOrdenes[horas_efectivas],tblOrdenes[especialidad],$A266,tblOrdenes[semana],$B266,tblOrdenes[clasificacion],"correctiva")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SUMIFS(tblAsignaciones[horas_disponibles],tblAsignaciones[especialidad],$A267,tblAsignaciones[semana],$B267)</f>
        <v/>
      </c>
      <c r="D267" s="17">
        <f>C267*p_factor_productividad</f>
        <v/>
      </c>
      <c r="E267" s="17">
        <f>SUMIFS(tblOrdenes[horas_efectivas],tblOrdenes[especialidad],$A267,tblOrdenes[semana],$B267,tblOrdenes[clasificacion],"preventiva")</f>
        <v/>
      </c>
      <c r="F267" s="17">
        <f>SUMIFS(tblOrdenes[horas_efectivas],tblOrdenes[especialidad],$A267,tblOrdenes[semana],$B267,tblOrdenes[clasificacion],"correctiva")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SUMIFS(tblAsignaciones[horas_disponibles],tblAsignaciones[especialidad],$A268,tblAsignaciones[semana],$B268)</f>
        <v/>
      </c>
      <c r="D268" s="17">
        <f>C268*p_factor_productividad</f>
        <v/>
      </c>
      <c r="E268" s="17">
        <f>SUMIFS(tblOrdenes[horas_efectivas],tblOrdenes[especialidad],$A268,tblOrdenes[semana],$B268,tblOrdenes[clasificacion],"preventiva")</f>
        <v/>
      </c>
      <c r="F268" s="17">
        <f>SUMIFS(tblOrdenes[horas_efectivas],tblOrdenes[especialidad],$A268,tblOrdenes[semana],$B268,tblOrdenes[clasificacion],"correctiva")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SUMIFS(tblAsignaciones[horas_disponibles],tblAsignaciones[especialidad],$A269,tblAsignaciones[semana],$B269)</f>
        <v/>
      </c>
      <c r="D269" s="17">
        <f>C269*p_factor_productividad</f>
        <v/>
      </c>
      <c r="E269" s="17">
        <f>SUMIFS(tblOrdenes[horas_efectivas],tblOrdenes[especialidad],$A269,tblOrdenes[semana],$B269,tblOrdenes[clasificacion],"preventiva")</f>
        <v/>
      </c>
      <c r="F269" s="17">
        <f>SUMIFS(tblOrdenes[horas_efectivas],tblOrdenes[especialidad],$A269,tblOrdenes[semana],$B269,tblOrdenes[clasificacion],"correctiva")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SUMIFS(tblAsignaciones[horas_disponibles],tblAsignaciones[especialidad],$A270,tblAsignaciones[semana],$B270)</f>
        <v/>
      </c>
      <c r="D270" s="17">
        <f>C270*p_factor_productividad</f>
        <v/>
      </c>
      <c r="E270" s="17">
        <f>SUMIFS(tblOrdenes[horas_efectivas],tblOrdenes[especialidad],$A270,tblOrdenes[semana],$B270,tblOrdenes[clasificacion],"preventiva")</f>
        <v/>
      </c>
      <c r="F270" s="17">
        <f>SUMIFS(tblOrdenes[horas_efectivas],tblOrdenes[especialidad],$A270,tblOrdenes[semana],$B270,tblOrdenes[clasificacion],"correctiva")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SUMIFS(tblAsignaciones[horas_disponibles],tblAsignaciones[especialidad],$A271,tblAsignaciones[semana],$B271)</f>
        <v/>
      </c>
      <c r="D271" s="17">
        <f>C271*p_factor_productividad</f>
        <v/>
      </c>
      <c r="E271" s="17">
        <f>SUMIFS(tblOrdenes[horas_efectivas],tblOrdenes[especialidad],$A271,tblOrdenes[semana],$B271,tblOrdenes[clasificacion],"preventiva")</f>
        <v/>
      </c>
      <c r="F271" s="17">
        <f>SUMIFS(tblOrdenes[horas_efectivas],tblOrdenes[especialidad],$A271,tblOrdenes[semana],$B271,tblOrdenes[clasificacion],"correctiva")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SUMIFS(tblAsignaciones[horas_disponibles],tblAsignaciones[especialidad],$A272,tblAsignaciones[semana],$B272)</f>
        <v/>
      </c>
      <c r="D272" s="17">
        <f>C272*p_factor_productividad</f>
        <v/>
      </c>
      <c r="E272" s="17">
        <f>SUMIFS(tblOrdenes[horas_efectivas],tblOrdenes[especialidad],$A272,tblOrdenes[semana],$B272,tblOrdenes[clasificacion],"preventiva")</f>
        <v/>
      </c>
      <c r="F272" s="17">
        <f>SUMIFS(tblOrdenes[horas_efectivas],tblOrdenes[especialidad],$A272,tblOrdenes[semana],$B272,tblOrdenes[clasificacion],"correctiva")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SUMIFS(tblAsignaciones[horas_disponibles],tblAsignaciones[especialidad],$A273,tblAsignaciones[semana],$B273)</f>
        <v/>
      </c>
      <c r="D273" s="17">
        <f>C273*p_factor_productividad</f>
        <v/>
      </c>
      <c r="E273" s="17">
        <f>SUMIFS(tblOrdenes[horas_efectivas],tblOrdenes[especialidad],$A273,tblOrdenes[semana],$B273,tblOrdenes[clasificacion],"preventiva")</f>
        <v/>
      </c>
      <c r="F273" s="17">
        <f>SUMIFS(tblOrdenes[horas_efectivas],tblOrdenes[especialidad],$A273,tblOrdenes[semana],$B273,tblOrdenes[clasificacion],"correctiva")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SUMIFS(tblAsignaciones[horas_disponibles],tblAsignaciones[especialidad],$A274,tblAsignaciones[semana],$B274)</f>
        <v/>
      </c>
      <c r="D274" s="17">
        <f>C274*p_factor_productividad</f>
        <v/>
      </c>
      <c r="E274" s="17">
        <f>SUMIFS(tblOrdenes[horas_efectivas],tblOrdenes[especialidad],$A274,tblOrdenes[semana],$B274,tblOrdenes[clasificacion],"preventiva")</f>
        <v/>
      </c>
      <c r="F274" s="17">
        <f>SUMIFS(tblOrdenes[horas_efectivas],tblOrdenes[especialidad],$A274,tblOrdenes[semana],$B274,tblOrdenes[clasificacion],"correctiva")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SUMIFS(tblAsignaciones[horas_disponibles],tblAsignaciones[especialidad],$A275,tblAsignaciones[semana],$B275)</f>
        <v/>
      </c>
      <c r="D275" s="17">
        <f>C275*p_factor_productividad</f>
        <v/>
      </c>
      <c r="E275" s="17">
        <f>SUMIFS(tblOrdenes[horas_efectivas],tblOrdenes[especialidad],$A275,tblOrdenes[semana],$B275,tblOrdenes[clasificacion],"preventiva")</f>
        <v/>
      </c>
      <c r="F275" s="17">
        <f>SUMIFS(tblOrdenes[horas_efectivas],tblOrdenes[especialidad],$A275,tblOrdenes[semana],$B275,tblOrdenes[clasificacion],"correctiva")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SUMIFS(tblAsignaciones[horas_disponibles],tblAsignaciones[especialidad],$A276,tblAsignaciones[semana],$B276)</f>
        <v/>
      </c>
      <c r="D276" s="17">
        <f>C276*p_factor_productividad</f>
        <v/>
      </c>
      <c r="E276" s="17">
        <f>SUMIFS(tblOrdenes[horas_efectivas],tblOrdenes[especialidad],$A276,tblOrdenes[semana],$B276,tblOrdenes[clasificacion],"preventiva")</f>
        <v/>
      </c>
      <c r="F276" s="17">
        <f>SUMIFS(tblOrdenes[horas_efectivas],tblOrdenes[especialidad],$A276,tblOrdenes[semana],$B276,tblOrdenes[clasificacion],"correctiva")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SUMIFS(tblAsignaciones[horas_disponibles],tblAsignaciones[especialidad],$A277,tblAsignaciones[semana],$B277)</f>
        <v/>
      </c>
      <c r="D277" s="17">
        <f>C277*p_factor_productividad</f>
        <v/>
      </c>
      <c r="E277" s="17">
        <f>SUMIFS(tblOrdenes[horas_efectivas],tblOrdenes[especialidad],$A277,tblOrdenes[semana],$B277,tblOrdenes[clasificacion],"preventiva")</f>
        <v/>
      </c>
      <c r="F277" s="17">
        <f>SUMIFS(tblOrdenes[horas_efectivas],tblOrdenes[especialidad],$A277,tblOrdenes[semana],$B277,tblOrdenes[clasificacion],"correctiva")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SUMIFS(tblAsignaciones[horas_disponibles],tblAsignaciones[especialidad],$A278,tblAsignaciones[semana],$B278)</f>
        <v/>
      </c>
      <c r="D278" s="17">
        <f>C278*p_factor_productividad</f>
        <v/>
      </c>
      <c r="E278" s="17">
        <f>SUMIFS(tblOrdenes[horas_efectivas],tblOrdenes[especialidad],$A278,tblOrdenes[semana],$B278,tblOrdenes[clasificacion],"preventiva")</f>
        <v/>
      </c>
      <c r="F278" s="17">
        <f>SUMIFS(tblOrdenes[horas_efectivas],tblOrdenes[especialidad],$A278,tblOrdenes[semana],$B278,tblOrdenes[clasificacion],"correctiva")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SUMIFS(tblAsignaciones[horas_disponibles],tblAsignaciones[especialidad],$A279,tblAsignaciones[semana],$B279)</f>
        <v/>
      </c>
      <c r="D279" s="17">
        <f>C279*p_factor_productividad</f>
        <v/>
      </c>
      <c r="E279" s="17">
        <f>SUMIFS(tblOrdenes[horas_efectivas],tblOrdenes[especialidad],$A279,tblOrdenes[semana],$B279,tblOrdenes[clasificacion],"preventiva")</f>
        <v/>
      </c>
      <c r="F279" s="17">
        <f>SUMIFS(tblOrdenes[horas_efectivas],tblOrdenes[especialidad],$A279,tblOrdenes[semana],$B279,tblOrdenes[clasificacion],"correctiva")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SUMIFS(tblAsignaciones[horas_disponibles],tblAsignaciones[especialidad],$A280,tblAsignaciones[semana],$B280)</f>
        <v/>
      </c>
      <c r="D280" s="17">
        <f>C280*p_factor_productividad</f>
        <v/>
      </c>
      <c r="E280" s="17">
        <f>SUMIFS(tblOrdenes[horas_efectivas],tblOrdenes[especialidad],$A280,tblOrdenes[semana],$B280,tblOrdenes[clasificacion],"preventiva")</f>
        <v/>
      </c>
      <c r="F280" s="17">
        <f>SUMIFS(tblOrdenes[horas_efectivas],tblOrdenes[especialidad],$A280,tblOrdenes[semana],$B280,tblOrdenes[clasificacion],"correctiva")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SUMIFS(tblAsignaciones[horas_disponibles],tblAsignaciones[especialidad],$A281,tblAsignaciones[semana],$B281)</f>
        <v/>
      </c>
      <c r="D281" s="17">
        <f>C281*p_factor_productividad</f>
        <v/>
      </c>
      <c r="E281" s="17">
        <f>SUMIFS(tblOrdenes[horas_efectivas],tblOrdenes[especialidad],$A281,tblOrdenes[semana],$B281,tblOrdenes[clasificacion],"preventiva")</f>
        <v/>
      </c>
      <c r="F281" s="17">
        <f>SUMIFS(tblOrdenes[horas_efectivas],tblOrdenes[especialidad],$A281,tblOrdenes[semana],$B281,tblOrdenes[clasificacion],"correctiva")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SUMIFS(tblAsignaciones[horas_disponibles],tblAsignaciones[especialidad],$A282,tblAsignaciones[semana],$B282)</f>
        <v/>
      </c>
      <c r="D282" s="17">
        <f>C282*p_factor_productividad</f>
        <v/>
      </c>
      <c r="E282" s="17">
        <f>SUMIFS(tblOrdenes[horas_efectivas],tblOrdenes[especialidad],$A282,tblOrdenes[semana],$B282,tblOrdenes[clasificacion],"preventiva")</f>
        <v/>
      </c>
      <c r="F282" s="17">
        <f>SUMIFS(tblOrdenes[horas_efectivas],tblOrdenes[especialidad],$A282,tblOrdenes[semana],$B282,tblOrdenes[clasificacion],"correctiva")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SUMIFS(tblAsignaciones[horas_disponibles],tblAsignaciones[especialidad],$A283,tblAsignaciones[semana],$B283)</f>
        <v/>
      </c>
      <c r="D283" s="17">
        <f>C283*p_factor_productividad</f>
        <v/>
      </c>
      <c r="E283" s="17">
        <f>SUMIFS(tblOrdenes[horas_efectivas],tblOrdenes[especialidad],$A283,tblOrdenes[semana],$B283,tblOrdenes[clasificacion],"preventiva")</f>
        <v/>
      </c>
      <c r="F283" s="17">
        <f>SUMIFS(tblOrdenes[horas_efectivas],tblOrdenes[especialidad],$A283,tblOrdenes[semana],$B283,tblOrdenes[clasificacion],"correctiva")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SUMIFS(tblAsignaciones[horas_disponibles],tblAsignaciones[especialidad],$A284,tblAsignaciones[semana],$B284)</f>
        <v/>
      </c>
      <c r="D284" s="17">
        <f>C284*p_factor_productividad</f>
        <v/>
      </c>
      <c r="E284" s="17">
        <f>SUMIFS(tblOrdenes[horas_efectivas],tblOrdenes[especialidad],$A284,tblOrdenes[semana],$B284,tblOrdenes[clasificacion],"preventiva")</f>
        <v/>
      </c>
      <c r="F284" s="17">
        <f>SUMIFS(tblOrdenes[horas_efectivas],tblOrdenes[especialidad],$A284,tblOrdenes[semana],$B284,tblOrdenes[clasificacion],"correctiva")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SUMIFS(tblAsignaciones[horas_disponibles],tblAsignaciones[especialidad],$A285,tblAsignaciones[semana],$B285)</f>
        <v/>
      </c>
      <c r="D285" s="17">
        <f>C285*p_factor_productividad</f>
        <v/>
      </c>
      <c r="E285" s="17">
        <f>SUMIFS(tblOrdenes[horas_efectivas],tblOrdenes[especialidad],$A285,tblOrdenes[semana],$B285,tblOrdenes[clasificacion],"preventiva")</f>
        <v/>
      </c>
      <c r="F285" s="17">
        <f>SUMIFS(tblOrdenes[horas_efectivas],tblOrdenes[especialidad],$A285,tblOrdenes[semana],$B285,tblOrdenes[clasificacion],"correctiva")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SUMIFS(tblAsignaciones[horas_disponibles],tblAsignaciones[especialidad],$A286,tblAsignaciones[semana],$B286)</f>
        <v/>
      </c>
      <c r="D286" s="17">
        <f>C286*p_factor_productividad</f>
        <v/>
      </c>
      <c r="E286" s="17">
        <f>SUMIFS(tblOrdenes[horas_efectivas],tblOrdenes[especialidad],$A286,tblOrdenes[semana],$B286,tblOrdenes[clasificacion],"preventiva")</f>
        <v/>
      </c>
      <c r="F286" s="17">
        <f>SUMIFS(tblOrdenes[horas_efectivas],tblOrdenes[especialidad],$A286,tblOrdenes[semana],$B286,tblOrdenes[clasificacion],"correctiva")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SUMIFS(tblAsignaciones[horas_disponibles],tblAsignaciones[especialidad],$A287,tblAsignaciones[semana],$B287)</f>
        <v/>
      </c>
      <c r="D287" s="17">
        <f>C287*p_factor_productividad</f>
        <v/>
      </c>
      <c r="E287" s="17">
        <f>SUMIFS(tblOrdenes[horas_efectivas],tblOrdenes[especialidad],$A287,tblOrdenes[semana],$B287,tblOrdenes[clasificacion],"preventiva")</f>
        <v/>
      </c>
      <c r="F287" s="17">
        <f>SUMIFS(tblOrdenes[horas_efectivas],tblOrdenes[especialidad],$A287,tblOrdenes[semana],$B287,tblOrdenes[clasificacion],"correctiva")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SUMIFS(tblAsignaciones[horas_disponibles],tblAsignaciones[especialidad],$A288,tblAsignaciones[semana],$B288)</f>
        <v/>
      </c>
      <c r="D288" s="17">
        <f>C288*p_factor_productividad</f>
        <v/>
      </c>
      <c r="E288" s="17">
        <f>SUMIFS(tblOrdenes[horas_efectivas],tblOrdenes[especialidad],$A288,tblOrdenes[semana],$B288,tblOrdenes[clasificacion],"preventiva")</f>
        <v/>
      </c>
      <c r="F288" s="17">
        <f>SUMIFS(tblOrdenes[horas_efectivas],tblOrdenes[especialidad],$A288,tblOrdenes[semana],$B288,tblOrdenes[clasificacion],"correctiva")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SUMIFS(tblAsignaciones[horas_disponibles],tblAsignaciones[especialidad],$A289,tblAsignaciones[semana],$B289)</f>
        <v/>
      </c>
      <c r="D289" s="17">
        <f>C289*p_factor_productividad</f>
        <v/>
      </c>
      <c r="E289" s="17">
        <f>SUMIFS(tblOrdenes[horas_efectivas],tblOrdenes[especialidad],$A289,tblOrdenes[semana],$B289,tblOrdenes[clasificacion],"preventiva")</f>
        <v/>
      </c>
      <c r="F289" s="17">
        <f>SUMIFS(tblOrdenes[horas_efectivas],tblOrdenes[especialidad],$A289,tblOrdenes[semana],$B289,tblOrdenes[clasificacion],"correctiva")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SUMIFS(tblAsignaciones[horas_disponibles],tblAsignaciones[especialidad],$A290,tblAsignaciones[semana],$B290)</f>
        <v/>
      </c>
      <c r="D290" s="17">
        <f>C290*p_factor_productividad</f>
        <v/>
      </c>
      <c r="E290" s="17">
        <f>SUMIFS(tblOrdenes[horas_efectivas],tblOrdenes[especialidad],$A290,tblOrdenes[semana],$B290,tblOrdenes[clasificacion],"preventiva")</f>
        <v/>
      </c>
      <c r="F290" s="17">
        <f>SUMIFS(tblOrdenes[horas_efectivas],tblOrdenes[especialidad],$A290,tblOrdenes[semana],$B290,tblOrdenes[clasificacion],"correctiva")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SUMIFS(tblAsignaciones[horas_disponibles],tblAsignaciones[especialidad],$A291,tblAsignaciones[semana],$B291)</f>
        <v/>
      </c>
      <c r="D291" s="17">
        <f>C291*p_factor_productividad</f>
        <v/>
      </c>
      <c r="E291" s="17">
        <f>SUMIFS(tblOrdenes[horas_efectivas],tblOrdenes[especialidad],$A291,tblOrdenes[semana],$B291,tblOrdenes[clasificacion],"preventiva")</f>
        <v/>
      </c>
      <c r="F291" s="17">
        <f>SUMIFS(tblOrdenes[horas_efectivas],tblOrdenes[especialidad],$A291,tblOrdenes[semana],$B291,tblOrdenes[clasificacion],"correctiva")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SUMIFS(tblAsignaciones[horas_disponibles],tblAsignaciones[especialidad],$A292,tblAsignaciones[semana],$B292)</f>
        <v/>
      </c>
      <c r="D292" s="17">
        <f>C292*p_factor_productividad</f>
        <v/>
      </c>
      <c r="E292" s="17">
        <f>SUMIFS(tblOrdenes[horas_efectivas],tblOrdenes[especialidad],$A292,tblOrdenes[semana],$B292,tblOrdenes[clasificacion],"preventiva")</f>
        <v/>
      </c>
      <c r="F292" s="17">
        <f>SUMIFS(tblOrdenes[horas_efectivas],tblOrdenes[especialidad],$A292,tblOrdenes[semana],$B292,tblOrdenes[clasificacion],"correctiva")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SUMIFS(tblAsignaciones[horas_disponibles],tblAsignaciones[especialidad],$A293,tblAsignaciones[semana],$B293)</f>
        <v/>
      </c>
      <c r="D293" s="17">
        <f>C293*p_factor_productividad</f>
        <v/>
      </c>
      <c r="E293" s="17">
        <f>SUMIFS(tblOrdenes[horas_efectivas],tblOrdenes[especialidad],$A293,tblOrdenes[semana],$B293,tblOrdenes[clasificacion],"preventiva")</f>
        <v/>
      </c>
      <c r="F293" s="17">
        <f>SUMIFS(tblOrdenes[horas_efectivas],tblOrdenes[especialidad],$A293,tblOrdenes[semana],$B293,tblOrdenes[clasificacion],"correctiva")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SUMIFS(tblAsignaciones[horas_disponibles],tblAsignaciones[especialidad],$A294,tblAsignaciones[semana],$B294)</f>
        <v/>
      </c>
      <c r="D294" s="17">
        <f>C294*p_factor_productividad</f>
        <v/>
      </c>
      <c r="E294" s="17">
        <f>SUMIFS(tblOrdenes[horas_efectivas],tblOrdenes[especialidad],$A294,tblOrdenes[semana],$B294,tblOrdenes[clasificacion],"preventiva")</f>
        <v/>
      </c>
      <c r="F294" s="17">
        <f>SUMIFS(tblOrdenes[horas_efectivas],tblOrdenes[especialidad],$A294,tblOrdenes[semana],$B294,tblOrdenes[clasificacion],"correctiva")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SUMIFS(tblAsignaciones[horas_disponibles],tblAsignaciones[especialidad],$A295,tblAsignaciones[semana],$B295)</f>
        <v/>
      </c>
      <c r="D295" s="17">
        <f>C295*p_factor_productividad</f>
        <v/>
      </c>
      <c r="E295" s="17">
        <f>SUMIFS(tblOrdenes[horas_efectivas],tblOrdenes[especialidad],$A295,tblOrdenes[semana],$B295,tblOrdenes[clasificacion],"preventiva")</f>
        <v/>
      </c>
      <c r="F295" s="17">
        <f>SUMIFS(tblOrdenes[horas_efectivas],tblOrdenes[especialidad],$A295,tblOrdenes[semana],$B295,tblOrdenes[clasificacion],"correctiva")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SUMIFS(tblAsignaciones[horas_disponibles],tblAsignaciones[especialidad],$A296,tblAsignaciones[semana],$B296)</f>
        <v/>
      </c>
      <c r="D296" s="17">
        <f>C296*p_factor_productividad</f>
        <v/>
      </c>
      <c r="E296" s="17">
        <f>SUMIFS(tblOrdenes[horas_efectivas],tblOrdenes[especialidad],$A296,tblOrdenes[semana],$B296,tblOrdenes[clasificacion],"preventiva")</f>
        <v/>
      </c>
      <c r="F296" s="17">
        <f>SUMIFS(tblOrdenes[horas_efectivas],tblOrdenes[especialidad],$A296,tblOrdenes[semana],$B296,tblOrdenes[clasificacion],"correctiva")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SUMIFS(tblAsignaciones[horas_disponibles],tblAsignaciones[especialidad],$A297,tblAsignaciones[semana],$B297)</f>
        <v/>
      </c>
      <c r="D297" s="17">
        <f>C297*p_factor_productividad</f>
        <v/>
      </c>
      <c r="E297" s="17">
        <f>SUMIFS(tblOrdenes[horas_efectivas],tblOrdenes[especialidad],$A297,tblOrdenes[semana],$B297,tblOrdenes[clasificacion],"preventiva")</f>
        <v/>
      </c>
      <c r="F297" s="17">
        <f>SUMIFS(tblOrdenes[horas_efectivas],tblOrdenes[especialidad],$A297,tblOrdenes[semana],$B297,tblOrdenes[clasificacion],"correctiva")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SUMIFS(tblAsignaciones[horas_disponibles],tblAsignaciones[especialidad],$A298,tblAsignaciones[semana],$B298)</f>
        <v/>
      </c>
      <c r="D298" s="17">
        <f>C298*p_factor_productividad</f>
        <v/>
      </c>
      <c r="E298" s="17">
        <f>SUMIFS(tblOrdenes[horas_efectivas],tblOrdenes[especialidad],$A298,tblOrdenes[semana],$B298,tblOrdenes[clasificacion],"preventiva")</f>
        <v/>
      </c>
      <c r="F298" s="17">
        <f>SUMIFS(tblOrdenes[horas_efectivas],tblOrdenes[especialidad],$A298,tblOrdenes[semana],$B298,tblOrdenes[clasificacion],"correctiva")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SUMIFS(tblAsignaciones[horas_disponibles],tblAsignaciones[especialidad],$A299,tblAsignaciones[semana],$B299)</f>
        <v/>
      </c>
      <c r="D299" s="17">
        <f>C299*p_factor_productividad</f>
        <v/>
      </c>
      <c r="E299" s="17">
        <f>SUMIFS(tblOrdenes[horas_efectivas],tblOrdenes[especialidad],$A299,tblOrdenes[semana],$B299,tblOrdenes[clasificacion],"preventiva")</f>
        <v/>
      </c>
      <c r="F299" s="17">
        <f>SUMIFS(tblOrdenes[horas_efectivas],tblOrdenes[especialidad],$A299,tblOrdenes[semana],$B299,tblOrdenes[clasificacion],"correctiva")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SUMIFS(tblAsignaciones[horas_disponibles],tblAsignaciones[especialidad],$A300,tblAsignaciones[semana],$B300)</f>
        <v/>
      </c>
      <c r="D300" s="17">
        <f>C300*p_factor_productividad</f>
        <v/>
      </c>
      <c r="E300" s="17">
        <f>SUMIFS(tblOrdenes[horas_efectivas],tblOrdenes[especialidad],$A300,tblOrdenes[semana],$B300,tblOrdenes[clasificacion],"preventiva")</f>
        <v/>
      </c>
      <c r="F300" s="17">
        <f>SUMIFS(tblOrdenes[horas_efectivas],tblOrdenes[especialidad],$A300,tblOrdenes[semana],$B300,tblOrdenes[clasificacion],"correctiva")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SUMIFS(tblAsignaciones[horas_disponibles],tblAsignaciones[especialidad],$A301,tblAsignaciones[semana],$B301)</f>
        <v/>
      </c>
      <c r="D301" s="17">
        <f>C301*p_factor_productividad</f>
        <v/>
      </c>
      <c r="E301" s="17">
        <f>SUMIFS(tblOrdenes[horas_efectivas],tblOrdenes[especialidad],$A301,tblOrdenes[semana],$B301,tblOrdenes[clasificacion],"preventiva")</f>
        <v/>
      </c>
      <c r="F301" s="17">
        <f>SUMIFS(tblOrdenes[horas_efectivas],tblOrdenes[especialidad],$A301,tblOrdenes[semana],$B301,tblOrdenes[clasificacion],"correctiva")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SUMIFS(tblAsignaciones[horas_disponibles],tblAsignaciones[especialidad],$A302,tblAsignaciones[semana],$B302)</f>
        <v/>
      </c>
      <c r="D302" s="17">
        <f>C302*p_factor_productividad</f>
        <v/>
      </c>
      <c r="E302" s="17">
        <f>SUMIFS(tblOrdenes[horas_efectivas],tblOrdenes[especialidad],$A302,tblOrdenes[semana],$B302,tblOrdenes[clasificacion],"preventiva")</f>
        <v/>
      </c>
      <c r="F302" s="17">
        <f>SUMIFS(tblOrdenes[horas_efectivas],tblOrdenes[especialidad],$A302,tblOrdenes[semana],$B302,tblOrdenes[clasificacion],"correctiva")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SUMIFS(tblAsignaciones[horas_disponibles],tblAsignaciones[especialidad],$A303,tblAsignaciones[semana],$B303)</f>
        <v/>
      </c>
      <c r="D303" s="17">
        <f>C303*p_factor_productividad</f>
        <v/>
      </c>
      <c r="E303" s="17">
        <f>SUMIFS(tblOrdenes[horas_efectivas],tblOrdenes[especialidad],$A303,tblOrdenes[semana],$B303,tblOrdenes[clasificacion],"preventiva")</f>
        <v/>
      </c>
      <c r="F303" s="17">
        <f>SUMIFS(tblOrdenes[horas_efectivas],tblOrdenes[especialidad],$A303,tblOrdenes[semana],$B303,tblOrdenes[clasificacion],"correctiva")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SUMIFS(tblOrdenes[horas_efectivas],tblOrdenes[semana],$A370,tblOrdenes[clasificacion],"preventiva")</f>
        <v/>
      </c>
      <c r="C370" s="17">
        <f>SUMIFS(tblOrdenes[horas_efectivas],tblOrdenes[semana],$A370,tblOrdenes[clasificacion],"correctiva")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SUMIFS(tblOrdenes[horas_efectivas],tblOrdenes[semana],$A371,tblOrdenes[clasificacion],"preventiva")</f>
        <v/>
      </c>
      <c r="C371" s="17">
        <f>SUMIFS(tblOrdenes[horas_efectivas],tblOrdenes[semana],$A371,tblOrdenes[clasificacion],"correctiva")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SUMIFS(tblOrdenes[horas_efectivas],tblOrdenes[semana],$A372,tblOrdenes[clasificacion],"preventiva")</f>
        <v/>
      </c>
      <c r="C372" s="17">
        <f>SUMIFS(tblOrdenes[horas_efectivas],tblOrdenes[semana],$A372,tblOrdenes[clasificacion],"correctiva")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SUMIFS(tblOrdenes[horas_efectivas],tblOrdenes[semana],$A373,tblOrdenes[clasificacion],"preventiva")</f>
        <v/>
      </c>
      <c r="C373" s="17">
        <f>SUMIFS(tblOrdenes[horas_efectivas],tblOrdenes[semana],$A373,tblOrdenes[clasificacion],"correctiva")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SUMIFS(tblOrdenes[horas_efectivas],tblOrdenes[semana],$A374,tblOrdenes[clasificacion],"preventiva")</f>
        <v/>
      </c>
      <c r="C374" s="17">
        <f>SUMIFS(tblOrdenes[horas_efectivas],tblOrdenes[semana],$A374,tblOrdenes[clasificacion],"correctiva")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SUMIFS(tblOrdenes[horas_efectivas],tblOrdenes[semana],$A375,tblOrdenes[clasificacion],"preventiva")</f>
        <v/>
      </c>
      <c r="C375" s="17">
        <f>SUMIFS(tblOrdenes[horas_efectivas],tblOrdenes[semana],$A375,tblOrdenes[clasificacion],"correctiva")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SUMIFS(tblOrdenes[horas_efectivas],tblOrdenes[semana],$A376,tblOrdenes[clasificacion],"preventiva")</f>
        <v/>
      </c>
      <c r="C376" s="17">
        <f>SUMIFS(tblOrdenes[horas_efectivas],tblOrdenes[semana],$A376,tblOrdenes[clasificacion],"correctiva")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SUMIFS(tblOrdenes[horas_efectivas],tblOrdenes[semana],$A377,tblOrdenes[clasificacion],"preventiva")</f>
        <v/>
      </c>
      <c r="C377" s="17">
        <f>SUMIFS(tblOrdenes[horas_efectivas],tblOrdenes[semana],$A377,tblOrdenes[clasificacion],"correctiva")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SUMIFS(tblOrdenes[horas_efectivas],tblOrdenes[semana],$A378,tblOrdenes[clasificacion],"preventiva")</f>
        <v/>
      </c>
      <c r="C378" s="17">
        <f>SUMIFS(tblOrdenes[horas_efectivas],tblOrdenes[semana],$A378,tblOrdenes[clasificacion],"correctiva")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SUMIFS(tblOrdenes[horas_efectivas],tblOrdenes[semana],$A379,tblOrdenes[clasificacion],"preventiva")</f>
        <v/>
      </c>
      <c r="C379" s="17">
        <f>SUMIFS(tblOrdenes[horas_efectivas],tblOrdenes[semana],$A379,tblOrdenes[clasificacion],"correctiva")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SUMIFS(tblOrdenes[horas_efectivas],tblOrdenes[semana],$A380,tblOrdenes[clasificacion],"preventiva")</f>
        <v/>
      </c>
      <c r="C380" s="17">
        <f>SUMIFS(tblOrdenes[horas_efectivas],tblOrdenes[semana],$A380,tblOrdenes[clasificacion],"correctiva")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SUMIFS(tblOrdenes[horas_efectivas],tblOrdenes[semana],$A381,tblOrdenes[clasificacion],"preventiva")</f>
        <v/>
      </c>
      <c r="C381" s="17">
        <f>SUMIFS(tblOrdenes[horas_efectivas],tblOrdenes[semana],$A381,tblOrdenes[clasificacion],"correctiva")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SUMIFS(tblOrdenes[horas_efectivas],tblOrdenes[semana],$A382,tblOrdenes[clasificacion],"preventiva")</f>
        <v/>
      </c>
      <c r="C382" s="17">
        <f>SUMIFS(tblOrdenes[horas_efectivas],tblOrdenes[semana],$A382,tblOrdenes[clasificacion],"correctiva")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SUMIFS(tblOrdenes[horas_efectivas],tblOrdenes[semana],$A383,tblOrdenes[clasificacion],"preventiva")</f>
        <v/>
      </c>
      <c r="C383" s="17">
        <f>SUMIFS(tblOrdenes[horas_efectivas],tblOrdenes[semana],$A383,tblOrdenes[clasificacion],"correctiva")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SUMIFS(tblOrdenes[horas_efectivas],tblOrdenes[semana],$A384,tblOrdenes[clasificacion],"preventiva")</f>
        <v/>
      </c>
      <c r="C384" s="17">
        <f>SUMIFS(tblOrdenes[horas_efectivas],tblOrdenes[semana],$A384,tblOrdenes[clasificacion],"correctiva")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SUMIFS(tblOrdenes[horas_efectivas],tblOrdenes[semana],$A385,tblOrdenes[clasificacion],"preventiva")</f>
        <v/>
      </c>
      <c r="C385" s="17">
        <f>SUMIFS(tblOrdenes[horas_efectivas],tblOrdenes[semana],$A385,tblOrdenes[clasificacion],"correctiva")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SUMIFS(tblOrdenes[horas_efectivas],tblOrdenes[semana],$A386,tblOrdenes[clasificacion],"preventiva")</f>
        <v/>
      </c>
      <c r="C386" s="17">
        <f>SUMIFS(tblOrdenes[horas_efectivas],tblOrdenes[semana],$A386,tblOrdenes[clasificacion],"correctiva")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SUMIFS(tblOrdenes[horas_efectivas],tblOrdenes[semana],$A387,tblOrdenes[clasificacion],"preventiva")</f>
        <v/>
      </c>
      <c r="C387" s="17">
        <f>SUMIFS(tblOrdenes[horas_efectivas],tblOrdenes[semana],$A387,tblOrdenes[clasificacion],"correctiva")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SUMIFS(tblOrdenes[horas_efectivas],tblOrdenes[semana],$A388,tblOrdenes[clasificacion],"preventiva")</f>
        <v/>
      </c>
      <c r="C388" s="17">
        <f>SUMIFS(tblOrdenes[horas_efectivas],tblOrdenes[semana],$A388,tblOrdenes[clasificacion],"correctiva")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SUMIFS(tblOrdenes[horas_efectivas],tblOrdenes[semana],$A389,tblOrdenes[clasificacion],"preventiva")</f>
        <v/>
      </c>
      <c r="C389" s="17">
        <f>SUMIFS(tblOrdenes[horas_efectivas],tblOrdenes[semana],$A389,tblOrdenes[clasificacion],"correctiva")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SUMIFS(tblOrdenes[horas_efectivas],tblOrdenes[semana],$A390,tblOrdenes[clasificacion],"preventiva")</f>
        <v/>
      </c>
      <c r="C390" s="17">
        <f>SUMIFS(tblOrdenes[horas_efectivas],tblOrdenes[semana],$A390,tblOrdenes[clasificacion],"correctiva")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SUMIFS(tblOrdenes[horas_efectivas],tblOrdenes[semana],$A391,tblOrdenes[clasificacion],"preventiva")</f>
        <v/>
      </c>
      <c r="C391" s="17">
        <f>SUMIFS(tblOrdenes[horas_efectivas],tblOrdenes[semana],$A391,tblOrdenes[clasificacion],"correctiva")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SUMIFS(tblOrdenes[horas_efectivas],tblOrdenes[semana],$A392,tblOrdenes[clasificacion],"preventiva")</f>
        <v/>
      </c>
      <c r="C392" s="17">
        <f>SUMIFS(tblOrdenes[horas_efectivas],tblOrdenes[semana],$A392,tblOrdenes[clasificacion],"correctiva")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SUMIFS(tblOrdenes[horas_efectivas],tblOrdenes[semana],$A393,tblOrdenes[clasificacion],"preventiva")</f>
        <v/>
      </c>
      <c r="C393" s="17">
        <f>SUMIFS(tblOrdenes[horas_efectivas],tblOrdenes[semana],$A393,tblOrdenes[clasificacion],"correctiva")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SUMIFS(tblOrdenes[horas_efectivas],tblOrdenes[semana],$A394,tblOrdenes[clasificacion],"preventiva")</f>
        <v/>
      </c>
      <c r="C394" s="17">
        <f>SUMIFS(tblOrdenes[horas_efectivas],tblOrdenes[semana],$A394,tblOrdenes[clasificacion],"correctiva")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SUMIFS(tblOrdenes[horas_efectivas],tblOrdenes[semana],$A395,tblOrdenes[clasificacion],"preventiva")</f>
        <v/>
      </c>
      <c r="C395" s="17">
        <f>SUMIFS(tblOrdenes[horas_efectivas],tblOrdenes[semana],$A395,tblOrdenes[clasificacion],"correctiva")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SUMIFS(tblOrdenes[horas_efectivas],tblOrdenes[semana],$A396,tblOrdenes[clasificacion],"preventiva")</f>
        <v/>
      </c>
      <c r="C396" s="17">
        <f>SUMIFS(tblOrdenes[horas_efectivas],tblOrdenes[semana],$A396,tblOrdenes[clasificacion],"correctiva")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SUMIFS(tblOrdenes[horas_efectivas],tblOrdenes[semana],$A397,tblOrdenes[clasificacion],"preventiva")</f>
        <v/>
      </c>
      <c r="C397" s="17">
        <f>SUMIFS(tblOrdenes[horas_efectivas],tblOrdenes[semana],$A397,tblOrdenes[clasificacion],"correctiva")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SUMIFS(tblOrdenes[horas_efectivas],tblOrdenes[semana],$A398,tblOrdenes[clasificacion],"preventiva")</f>
        <v/>
      </c>
      <c r="C398" s="17">
        <f>SUMIFS(tblOrdenes[horas_efectivas],tblOrdenes[semana],$A398,tblOrdenes[clasificacion],"correctiva")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SUMIFS(tblOrdenes[horas_efectivas],tblOrdenes[semana],$A399,tblOrdenes[clasificacion],"preventiva")</f>
        <v/>
      </c>
      <c r="C399" s="17">
        <f>SUMIFS(tblOrdenes[horas_efectivas],tblOrdenes[semana],$A399,tblOrdenes[clasificacion],"correctiva")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SUMIFS(tblOrdenes[horas_efectivas],tblOrdenes[semana],$A400,tblOrdenes[clasificacion],"preventiva")</f>
        <v/>
      </c>
      <c r="C400" s="17">
        <f>SUMIFS(tblOrdenes[horas_efectivas],tblOrdenes[semana],$A400,tblOrdenes[clasificacion],"correctiva")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SUMIFS(tblOrdenes[horas_efectivas],tblOrdenes[semana],$A401,tblOrdenes[clasificacion],"preventiva")</f>
        <v/>
      </c>
      <c r="C401" s="17">
        <f>SUMIFS(tblOrdenes[horas_efectivas],tblOrdenes[semana],$A401,tblOrdenes[clasificacion],"correctiva")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SUMIFS(tblOrdenes[horas_efectivas],tblOrdenes[semana],$A402,tblOrdenes[clasificacion],"preventiva")</f>
        <v/>
      </c>
      <c r="C402" s="17">
        <f>SUMIFS(tblOrdenes[horas_efectivas],tblOrdenes[semana],$A402,tblOrdenes[clasificacion],"correctiva")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SUMIFS(tblOrdenes[horas_efectivas],tblOrdenes[semana],$A403,tblOrdenes[clasificacion],"preventiva")</f>
        <v/>
      </c>
      <c r="C403" s="17">
        <f>SUMIFS(tblOrdenes[horas_efectivas],tblOrdenes[semana],$A403,tblOrdenes[clasificacion],"correctiva")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SUMIFS(tblOrdenes[horas_efectivas],tblOrdenes[semana],$A404,tblOrdenes[clasificacion],"preventiva")</f>
        <v/>
      </c>
      <c r="C404" s="17">
        <f>SUMIFS(tblOrdenes[horas_efectivas],tblOrdenes[semana],$A404,tblOrdenes[clasificacion],"correctiva")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SUMIFS(tblOrdenes[horas_efectivas],tblOrdenes[semana],$A405,tblOrdenes[clasificacion],"preventiva")</f>
        <v/>
      </c>
      <c r="C405" s="17">
        <f>SUMIFS(tblOrdenes[horas_efectivas],tblOrdenes[semana],$A405,tblOrdenes[clasificacion],"correctiva")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SUMIFS(tblOrdenes[horas_efectivas],tblOrdenes[semana],$A406,tblOrdenes[clasificacion],"preventiva")</f>
        <v/>
      </c>
      <c r="C406" s="17">
        <f>SUMIFS(tblOrdenes[horas_efectivas],tblOrdenes[semana],$A406,tblOrdenes[clasificacion],"correctiva")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SUMIFS(tblOrdenes[horas_efectivas],tblOrdenes[semana],$A407,tblOrdenes[clasificacion],"preventiva")</f>
        <v/>
      </c>
      <c r="C407" s="17">
        <f>SUMIFS(tblOrdenes[horas_efectivas],tblOrdenes[semana],$A407,tblOrdenes[clasificacion],"correctiva")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SUMIFS(tblOrdenes[horas_efectivas],tblOrdenes[semana],$A408,tblOrdenes[clasificacion],"preventiva")</f>
        <v/>
      </c>
      <c r="C408" s="17">
        <f>SUMIFS(tblOrdenes[horas_efectivas],tblOrdenes[semana],$A408,tblOrdenes[clasificacion],"correctiva")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SUMIFS(tblOrdenes[horas_efectivas],tblOrdenes[semana],$A409,tblOrdenes[clasificacion],"preventiva")</f>
        <v/>
      </c>
      <c r="C409" s="17">
        <f>SUMIFS(tblOrdenes[horas_efectivas],tblOrdenes[semana],$A409,tblOrdenes[clasificacion],"correctiva")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SUMIFS(tblOrdenes[horas_efectivas],tblOrdenes[semana],$A410,tblOrdenes[clasificacion],"preventiva")</f>
        <v/>
      </c>
      <c r="C410" s="17">
        <f>SUMIFS(tblOrdenes[horas_efectivas],tblOrdenes[semana],$A410,tblOrdenes[clasificacion],"correctiva")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SUMIFS(tblOrdenes[horas_efectivas],tblOrdenes[semana],$A411,tblOrdenes[clasificacion],"preventiva")</f>
        <v/>
      </c>
      <c r="C411" s="17">
        <f>SUMIFS(tblOrdenes[horas_efectivas],tblOrdenes[semana],$A411,tblOrdenes[clasificacion],"correctiva")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SUMIFS(tblOrdenes[horas_efectivas],tblOrdenes[semana],$A412,tblOrdenes[clasificacion],"preventiva")</f>
        <v/>
      </c>
      <c r="C412" s="17">
        <f>SUMIFS(tblOrdenes[horas_efectivas],tblOrdenes[semana],$A412,tblOrdenes[clasificacion],"correctiva")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SUMIFS(tblOrdenes[horas_efectivas],tblOrdenes[semana],$A413,tblOrdenes[clasificacion],"preventiva")</f>
        <v/>
      </c>
      <c r="C413" s="17">
        <f>SUMIFS(tblOrdenes[horas_efectivas],tblOrdenes[semana],$A413,tblOrdenes[clasificacion],"correctiva")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SUMIFS(tblOrdenes[horas_efectivas],tblOrdenes[semana],$A414,tblOrdenes[clasificacion],"preventiva")</f>
        <v/>
      </c>
      <c r="C414" s="17">
        <f>SUMIFS(tblOrdenes[horas_efectivas],tblOrdenes[semana],$A414,tblOrdenes[clasificacion],"correctiva")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SUMIFS(tblOrdenes[horas_efectivas],tblOrdenes[semana],$A415,tblOrdenes[clasificacion],"preventiva")</f>
        <v/>
      </c>
      <c r="C415" s="17">
        <f>SUMIFS(tblOrdenes[horas_efectivas],tblOrdenes[semana],$A415,tblOrdenes[clasificacion],"correctiva")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SUMIFS(tblOrdenes[horas_efectivas],tblOrdenes[semana],$A416,tblOrdenes[clasificacion],"preventiva")</f>
        <v/>
      </c>
      <c r="C416" s="17">
        <f>SUMIFS(tblOrdenes[horas_efectivas],tblOrdenes[semana],$A416,tblOrdenes[clasificacion],"correctiva")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SUMIFS(tblOrdenes[horas_efectivas],tblOrdenes[semana],$A417,tblOrdenes[clasificacion],"preventiva")</f>
        <v/>
      </c>
      <c r="C417" s="17">
        <f>SUMIFS(tblOrdenes[horas_efectivas],tblOrdenes[semana],$A417,tblOrdenes[clasificacion],"correctiva")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SUMIFS(tblOrdenes[horas_efectivas],tblOrdenes[semana],$A418,tblOrdenes[clasificacion],"preventiva")</f>
        <v/>
      </c>
      <c r="C418" s="17">
        <f>SUMIFS(tblOrdenes[horas_efectivas],tblOrdenes[semana],$A418,tblOrdenes[clasificacion],"correctiva")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SUMIFS(tblOrdenes[horas_efectivas],tblOrdenes[semana],$A419,tblOrdenes[clasificacion],"preventiva")</f>
        <v/>
      </c>
      <c r="C419" s="17">
        <f>SUMIFS(tblOrdenes[horas_efectivas],tblOrdenes[semana],$A419,tblOrdenes[clasificacion],"correctiva")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SUMIFS(tblOrdenes[horas_efectivas],tblOrdenes[semana],$A420,tblOrdenes[clasificacion],"preventiva")</f>
        <v/>
      </c>
      <c r="C420" s="17">
        <f>SUMIFS(tblOrdenes[horas_efectivas],tblOrdenes[semana],$A420,tblOrdenes[clasificacion],"correctiva")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SUMIFS(tblOrdenes[horas_efectivas],tblOrdenes[semana],$A421,tblOrdenes[clasificacion],"preventiva")</f>
        <v/>
      </c>
      <c r="C421" s="17">
        <f>SUMIFS(tblOrdenes[horas_efectivas],tblOrdenes[semana],$A421,tblOrdenes[clasificacion],"correctiva")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SUMIFS(tblOrdenes[horas_efectivas],tblOrdenes[semana],$A422,tblOrdenes[clasificacion],"preventiva")</f>
        <v/>
      </c>
      <c r="C422" s="17">
        <f>SUMIFS(tblOrdenes[horas_efectivas],tblOrdenes[semana],$A422,tblOrdenes[clasificacion],"correctiva")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SUMIFS(tblOrdenes[horas_efectivas],tblOrdenes[semana],$A423,tblOrdenes[clasificacion],"preventiva")</f>
        <v/>
      </c>
      <c r="C423" s="17">
        <f>SUMIFS(tblOrdenes[horas_efectivas],tblOrdenes[semana],$A423,tblOrdenes[clasificacion],"correctiva")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SUMIFS(tblOrdenes[horas_efectivas],tblOrdenes[semana],$A424,tblOrdenes[clasificacion],"preventiva")</f>
        <v/>
      </c>
      <c r="C424" s="17">
        <f>SUMIFS(tblOrdenes[horas_efectivas],tblOrdenes[semana],$A424,tblOrdenes[clasificacion],"correctiva")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SUMIFS(tblOrdenes[horas_efectivas],tblOrdenes[semana],$A425,tblOrdenes[clasificacion],"preventiva")</f>
        <v/>
      </c>
      <c r="C425" s="17">
        <f>SUMIFS(tblOrdenes[horas_efectivas],tblOrdenes[semana],$A425,tblOrdenes[clasificacion],"correctiva")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SUMIFS(tblOrdenes[horas_efectivas],tblOrdenes[semana],$A426,tblOrdenes[clasificacion],"preventiva")</f>
        <v/>
      </c>
      <c r="C426" s="17">
        <f>SUMIFS(tblOrdenes[horas_efectivas],tblOrdenes[semana],$A426,tblOrdenes[clasificacion],"correctiva")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SUMIFS(tblOrdenes[horas_efectivas],tblOrdenes[semana],$A427,tblOrdenes[clasificacion],"preventiva")</f>
        <v/>
      </c>
      <c r="C427" s="17">
        <f>SUMIFS(tblOrdenes[horas_efectivas],tblOrdenes[semana],$A427,tblOrdenes[clasificacion],"correctiva")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SUMIFS(tblOrdenes[horas_efectivas],tblOrdenes[semana],$A428,tblOrdenes[clasificacion],"preventiva")</f>
        <v/>
      </c>
      <c r="C428" s="17">
        <f>SUMIFS(tblOrdenes[horas_efectivas],tblOrdenes[semana],$A428,tblOrdenes[clasificacion],"correctiva")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SUMIFS(tblOrdenes[horas_efectivas],tblOrdenes[semana],$A429,tblOrdenes[clasificacion],"preventiva")</f>
        <v/>
      </c>
      <c r="C429" s="17">
        <f>SUMIFS(tblOrdenes[horas_efectivas],tblOrdenes[semana],$A429,tblOrdenes[clasificacion],"correctiva")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COUNTIFS(tblOrdenes[especialidad],$A87,tblOrdenes[es_habil],"sí")</f>
        <v/>
      </c>
      <c r="C87" s="3">
        <f>COUNTIFS(tblOrdenes[especialidad],$A87,tblOrdenes[estado],"Cerrada",tblOrdenes[es_habil],"sí")</f>
        <v/>
      </c>
      <c r="D87" s="18">
        <f>IF(B87=0,"",C87/B87)</f>
        <v/>
      </c>
      <c r="E87" s="17">
        <f>SUMIFS(tblOrdenes[horas_efectivas],tblOrdenes[especialidad],$A87,tblOrdenes[es_habil],"sí")</f>
        <v/>
      </c>
      <c r="F87" s="17">
        <f>SUMIFS(tblOrdenes[horas_efectivas],tblOrdenes[especialidad],$A87,tblOrdenes[estado],"Cerrada",tblOrdenes[es_habil],"sí")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COUNTIFS(tblOrdenes[coordinador],$A93,tblOrdenes[es_habil],"sí")</f>
        <v/>
      </c>
      <c r="C93" s="3">
        <f>COUNTIFS(tblOrdenes[coordinador],$A93,tblOrdenes[estado],"Cerrada",tblOrdenes[es_habil],"sí")</f>
        <v/>
      </c>
      <c r="D93" s="18">
        <f>IF(B93=0,"",C93/B93)</f>
        <v/>
      </c>
      <c r="E93" s="17">
        <f>SUMIFS(tblOrdenes[horas_efectivas],tblOrdenes[coordinador],$A93,tblOrdenes[es_habil],"sí")</f>
        <v/>
      </c>
      <c r="F93" s="17">
        <f>SUMIFS(tblOrdenes[horas_efectivas],tblOrdenes[coordinador],$A93,tblOrdenes[estado],"Cerrada",tblOrdenes[es_habil],"sí")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COUNTIFS(tblOrdenes[clasificacion],$A99,tblOrdenes[es_habil],"sí")</f>
        <v/>
      </c>
      <c r="C99" s="3">
        <f>COUNTIFS(tblOrdenes[clasificacion],$A99,tblOrdenes[estado],"Cerrada",tblOrdenes[es_habil],"sí")</f>
        <v/>
      </c>
      <c r="D99" s="18">
        <f>IF(B99=0,"",C99/B99)</f>
        <v/>
      </c>
      <c r="E99" s="17">
        <f>SUMIFS(tblOrdenes[horas_efectivas],tblOrdenes[clasificacion],$A99,tblOrdenes[es_habil],"sí")</f>
        <v/>
      </c>
      <c r="F99" s="17">
        <f>SUMIFS(tblOrdenes[horas_efectivas],tblOrdenes[clasificacion],$A99,tblOrdenes[estado],"Cerrada",tblOrdenes[es_habil],"sí")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SUMIFS(tblOrdenes[costo_plan],tblOrdenes[area],$A6,tblOrdenes[anio],K$4,tblOrdenes[mes],K$5)</f>
        <v/>
      </c>
      <c r="L6" s="10">
        <f>SUM(B6:K6)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SUMIFS(tblOrdenes[costo_plan],tblOrdenes[area],$A7,tblOrdenes[anio],K$4,tblOrdenes[mes],K$5)</f>
        <v/>
      </c>
      <c r="L7" s="10">
        <f>SUM(B7:K7)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SUMIFS(tblOrdenes[costo_plan],tblOrdenes[area],$A8,tblOrdenes[anio],K$4,tblOrdenes[mes],K$5)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SUMIFS(tblOrdenes[costo_total],tblOrdenes[area],$A14,tblOrdenes[anio],K$12,tblOrdenes[mes],K$13)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SUMIFS(tblOrdenes[costo_total],tblOrdenes[area],$A15,tblOrdenes[anio],K$12,tblOrdenes[mes],K$13)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SUMIFS(tblOrdenes[costo_total],tblOrdenes[area],$A16,tblOrdenes[anio],K$12,tblOrdenes[mes],K$13)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SUMIFS(tblOrdenes[costo_total],tblOrdenes[sub_area],$A28,tblOrdenes[anio],B$26,tblOrdenes[mes],B$27)</f>
        <v/>
      </c>
      <c r="C28" s="10">
        <f>SUMIFS(tblOrdenes[costo_total],tblOrdenes[sub_area],$A28,tblOrdenes[anio],C$26,tblOrdenes[mes],C$27)</f>
        <v/>
      </c>
      <c r="D28" s="10">
        <f>SUMIFS(tblOrdenes[costo_total],tblOrdenes[sub_area],$A28,tblOrdenes[anio],D$26,tblOrdenes[mes],D$27)</f>
        <v/>
      </c>
      <c r="E28" s="10">
        <f>SUMIFS(tblOrdenes[costo_total],tblOrdenes[sub_area],$A28,tblOrdenes[anio],E$26,tblOrdenes[mes],E$27)</f>
        <v/>
      </c>
      <c r="F28" s="10">
        <f>SUMIFS(tblOrdenes[costo_total],tblOrdenes[sub_area],$A28,tblOrdenes[anio],F$26,tblOrdenes[mes],F$27)</f>
        <v/>
      </c>
      <c r="G28" s="10">
        <f>SUMIFS(tblOrdenes[costo_total],tblOrdenes[sub_area],$A28,tblOrdenes[anio],G$26,tblOrdenes[mes],G$27)</f>
        <v/>
      </c>
      <c r="H28" s="10">
        <f>SUMIFS(tblOrdenes[costo_total],tblOrdenes[sub_area],$A28,tblOrdenes[anio],H$26,tblOrdenes[mes],H$27)</f>
        <v/>
      </c>
      <c r="I28" s="10">
        <f>SUMIFS(tblOrdenes[costo_total],tblOrdenes[sub_area],$A28,tblOrdenes[anio],I$26,tblOrdenes[mes],I$27)</f>
        <v/>
      </c>
      <c r="J28" s="10">
        <f>SUMIFS(tblOrdenes[costo_total],tblOrdenes[sub_area],$A28,tblOrdenes[anio],J$26,tblOrdenes[mes],J$27)</f>
        <v/>
      </c>
      <c r="K28" s="10">
        <f>SUMIFS(tblOrdenes[costo_total],tblOrdenes[sub_area],$A28,tblOrdenes[anio],K$26,tblOrdenes[mes],K$27)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SUMIFS(tblOrdenes[costo_total],tblOrdenes[sub_area],$A29,tblOrdenes[anio],B$26,tblOrdenes[mes],B$27)</f>
        <v/>
      </c>
      <c r="C29" s="10">
        <f>SUMIFS(tblOrdenes[costo_total],tblOrdenes[sub_area],$A29,tblOrdenes[anio],C$26,tblOrdenes[mes],C$27)</f>
        <v/>
      </c>
      <c r="D29" s="10">
        <f>SUMIFS(tblOrdenes[costo_total],tblOrdenes[sub_area],$A29,tblOrdenes[anio],D$26,tblOrdenes[mes],D$27)</f>
        <v/>
      </c>
      <c r="E29" s="10">
        <f>SUMIFS(tblOrdenes[costo_total],tblOrdenes[sub_area],$A29,tblOrdenes[anio],E$26,tblOrdenes[mes],E$27)</f>
        <v/>
      </c>
      <c r="F29" s="10">
        <f>SUMIFS(tblOrdenes[costo_total],tblOrdenes[sub_area],$A29,tblOrdenes[anio],F$26,tblOrdenes[mes],F$27)</f>
        <v/>
      </c>
      <c r="G29" s="10">
        <f>SUMIFS(tblOrdenes[costo_total],tblOrdenes[sub_area],$A29,tblOrdenes[anio],G$26,tblOrdenes[mes],G$27)</f>
        <v/>
      </c>
      <c r="H29" s="10">
        <f>SUMIFS(tblOrdenes[costo_total],tblOrdenes[sub_area],$A29,tblOrdenes[anio],H$26,tblOrdenes[mes],H$27)</f>
        <v/>
      </c>
      <c r="I29" s="10">
        <f>SUMIFS(tblOrdenes[costo_total],tblOrdenes[sub_area],$A29,tblOrdenes[anio],I$26,tblOrdenes[mes],I$27)</f>
        <v/>
      </c>
      <c r="J29" s="10">
        <f>SUMIFS(tblOrdenes[costo_total],tblOrdenes[sub_area],$A29,tblOrdenes[anio],J$26,tblOrdenes[mes],J$27)</f>
        <v/>
      </c>
      <c r="K29" s="10">
        <f>SUMIFS(tblOrdenes[costo_total],tblOrdenes[sub_area],$A29,tblOrdenes[anio],K$26,tblOrdenes[mes],K$27)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SUMIFS(tblOrdenes[costo_total],tblOrdenes[sub_area],$A30,tblOrdenes[anio],B$26,tblOrdenes[mes],B$27)</f>
        <v/>
      </c>
      <c r="C30" s="10">
        <f>SUMIFS(tblOrdenes[costo_total],tblOrdenes[sub_area],$A30,tblOrdenes[anio],C$26,tblOrdenes[mes],C$27)</f>
        <v/>
      </c>
      <c r="D30" s="10">
        <f>SUMIFS(tblOrdenes[costo_total],tblOrdenes[sub_area],$A30,tblOrdenes[anio],D$26,tblOrdenes[mes],D$27)</f>
        <v/>
      </c>
      <c r="E30" s="10">
        <f>SUMIFS(tblOrdenes[costo_total],tblOrdenes[sub_area],$A30,tblOrdenes[anio],E$26,tblOrdenes[mes],E$27)</f>
        <v/>
      </c>
      <c r="F30" s="10">
        <f>SUMIFS(tblOrdenes[costo_total],tblOrdenes[sub_area],$A30,tblOrdenes[anio],F$26,tblOrdenes[mes],F$27)</f>
        <v/>
      </c>
      <c r="G30" s="10">
        <f>SUMIFS(tblOrdenes[costo_total],tblOrdenes[sub_area],$A30,tblOrdenes[anio],G$26,tblOrdenes[mes],G$27)</f>
        <v/>
      </c>
      <c r="H30" s="10">
        <f>SUMIFS(tblOrdenes[costo_total],tblOrdenes[sub_area],$A30,tblOrdenes[anio],H$26,tblOrdenes[mes],H$27)</f>
        <v/>
      </c>
      <c r="I30" s="10">
        <f>SUMIFS(tblOrdenes[costo_total],tblOrdenes[sub_area],$A30,tblOrdenes[anio],I$26,tblOrdenes[mes],I$27)</f>
        <v/>
      </c>
      <c r="J30" s="10">
        <f>SUMIFS(tblOrdenes[costo_total],tblOrdenes[sub_area],$A30,tblOrdenes[anio],J$26,tblOrdenes[mes],J$27)</f>
        <v/>
      </c>
      <c r="K30" s="10">
        <f>SUMIFS(tblOrdenes[costo_total],tblOrdenes[sub_area],$A30,tblOrdenes[anio],K$26,tblOrdenes[mes],K$27)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SUMIFS(tblOrdenes[costo_total],tblOrdenes[sub_area],$A31,tblOrdenes[anio],B$26,tblOrdenes[mes],B$27)</f>
        <v/>
      </c>
      <c r="C31" s="10">
        <f>SUMIFS(tblOrdenes[costo_total],tblOrdenes[sub_area],$A31,tblOrdenes[anio],C$26,tblOrdenes[mes],C$27)</f>
        <v/>
      </c>
      <c r="D31" s="10">
        <f>SUMIFS(tblOrdenes[costo_total],tblOrdenes[sub_area],$A31,tblOrdenes[anio],D$26,tblOrdenes[mes],D$27)</f>
        <v/>
      </c>
      <c r="E31" s="10">
        <f>SUMIFS(tblOrdenes[costo_total],tblOrdenes[sub_area],$A31,tblOrdenes[anio],E$26,tblOrdenes[mes],E$27)</f>
        <v/>
      </c>
      <c r="F31" s="10">
        <f>SUMIFS(tblOrdenes[costo_total],tblOrdenes[sub_area],$A31,tblOrdenes[anio],F$26,tblOrdenes[mes],F$27)</f>
        <v/>
      </c>
      <c r="G31" s="10">
        <f>SUMIFS(tblOrdenes[costo_total],tblOrdenes[sub_area],$A31,tblOrdenes[anio],G$26,tblOrdenes[mes],G$27)</f>
        <v/>
      </c>
      <c r="H31" s="10">
        <f>SUMIFS(tblOrdenes[costo_total],tblOrdenes[sub_area],$A31,tblOrdenes[anio],H$26,tblOrdenes[mes],H$27)</f>
        <v/>
      </c>
      <c r="I31" s="10">
        <f>SUMIFS(tblOrdenes[costo_total],tblOrdenes[sub_area],$A31,tblOrdenes[anio],I$26,tblOrdenes[mes],I$27)</f>
        <v/>
      </c>
      <c r="J31" s="10">
        <f>SUMIFS(tblOrdenes[costo_total],tblOrdenes[sub_area],$A31,tblOrdenes[anio],J$26,tblOrdenes[mes],J$27)</f>
        <v/>
      </c>
      <c r="K31" s="10">
        <f>SUMIFS(tblOrdenes[costo_total],tblOrdenes[sub_area],$A31,tblOrdenes[anio],K$26,tblOrdenes[mes],K$27)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SUMIFS(tblOrdenes[costo_total],tblOrdenes[sub_area],$A32,tblOrdenes[anio],B$26,tblOrdenes[mes],B$27)</f>
        <v/>
      </c>
      <c r="C32" s="10">
        <f>SUMIFS(tblOrdenes[costo_total],tblOrdenes[sub_area],$A32,tblOrdenes[anio],C$26,tblOrdenes[mes],C$27)</f>
        <v/>
      </c>
      <c r="D32" s="10">
        <f>SUMIFS(tblOrdenes[costo_total],tblOrdenes[sub_area],$A32,tblOrdenes[anio],D$26,tblOrdenes[mes],D$27)</f>
        <v/>
      </c>
      <c r="E32" s="10">
        <f>SUMIFS(tblOrdenes[costo_total],tblOrdenes[sub_area],$A32,tblOrdenes[anio],E$26,tblOrdenes[mes],E$27)</f>
        <v/>
      </c>
      <c r="F32" s="10">
        <f>SUMIFS(tblOrdenes[costo_total],tblOrdenes[sub_area],$A32,tblOrdenes[anio],F$26,tblOrdenes[mes],F$27)</f>
        <v/>
      </c>
      <c r="G32" s="10">
        <f>SUMIFS(tblOrdenes[costo_total],tblOrdenes[sub_area],$A32,tblOrdenes[anio],G$26,tblOrdenes[mes],G$27)</f>
        <v/>
      </c>
      <c r="H32" s="10">
        <f>SUMIFS(tblOrdenes[costo_total],tblOrdenes[sub_area],$A32,tblOrdenes[anio],H$26,tblOrdenes[mes],H$27)</f>
        <v/>
      </c>
      <c r="I32" s="10">
        <f>SUMIFS(tblOrdenes[costo_total],tblOrdenes[sub_area],$A32,tblOrdenes[anio],I$26,tblOrdenes[mes],I$27)</f>
        <v/>
      </c>
      <c r="J32" s="10">
        <f>SUMIFS(tblOrdenes[costo_total],tblOrdenes[sub_area],$A32,tblOrdenes[anio],J$26,tblOrdenes[mes],J$27)</f>
        <v/>
      </c>
      <c r="K32" s="10">
        <f>SUMIFS(tblOrdenes[costo_total],tblOrdenes[sub_area],$A32,tblOrdenes[anio],K$26,tblOrdenes[mes],K$27)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SUMIFS(tblOrdenes[costo_total],tblOrdenes[sub_area],$A33,tblOrdenes[anio],B$26,tblOrdenes[mes],B$27)</f>
        <v/>
      </c>
      <c r="C33" s="10">
        <f>SUMIFS(tblOrdenes[costo_total],tblOrdenes[sub_area],$A33,tblOrdenes[anio],C$26,tblOrdenes[mes],C$27)</f>
        <v/>
      </c>
      <c r="D33" s="10">
        <f>SUMIFS(tblOrdenes[costo_total],tblOrdenes[sub_area],$A33,tblOrdenes[anio],D$26,tblOrdenes[mes],D$27)</f>
        <v/>
      </c>
      <c r="E33" s="10">
        <f>SUMIFS(tblOrdenes[costo_total],tblOrdenes[sub_area],$A33,tblOrdenes[anio],E$26,tblOrdenes[mes],E$27)</f>
        <v/>
      </c>
      <c r="F33" s="10">
        <f>SUMIFS(tblOrdenes[costo_total],tblOrdenes[sub_area],$A33,tblOrdenes[anio],F$26,tblOrdenes[mes],F$27)</f>
        <v/>
      </c>
      <c r="G33" s="10">
        <f>SUMIFS(tblOrdenes[costo_total],tblOrdenes[sub_area],$A33,tblOrdenes[anio],G$26,tblOrdenes[mes],G$27)</f>
        <v/>
      </c>
      <c r="H33" s="10">
        <f>SUMIFS(tblOrdenes[costo_total],tblOrdenes[sub_area],$A33,tblOrdenes[anio],H$26,tblOrdenes[mes],H$27)</f>
        <v/>
      </c>
      <c r="I33" s="10">
        <f>SUMIFS(tblOrdenes[costo_total],tblOrdenes[sub_area],$A33,tblOrdenes[anio],I$26,tblOrdenes[mes],I$27)</f>
        <v/>
      </c>
      <c r="J33" s="10">
        <f>SUMIFS(tblOrdenes[costo_total],tblOrdenes[sub_area],$A33,tblOrdenes[anio],J$26,tblOrdenes[mes],J$27)</f>
        <v/>
      </c>
      <c r="K33" s="10">
        <f>SUMIFS(tblOrdenes[costo_total],tblOrdenes[sub_area],$A33,tblOrdenes[anio],K$26,tblOrdenes[mes],K$27)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SUMIFS(tblOrdenes[costo_total],tblOrdenes[linea],$A39,tblOrdenes[anio],B$37,tblOrdenes[mes],B$38)</f>
        <v/>
      </c>
      <c r="C39" s="10">
        <f>SUMIFS(tblOrdenes[costo_total],tblOrdenes[linea],$A39,tblOrdenes[anio],C$37,tblOrdenes[mes],C$38)</f>
        <v/>
      </c>
      <c r="D39" s="10">
        <f>SUMIFS(tblOrdenes[costo_total],tblOrdenes[linea],$A39,tblOrdenes[anio],D$37,tblOrdenes[mes],D$38)</f>
        <v/>
      </c>
      <c r="E39" s="10">
        <f>SUMIFS(tblOrdenes[costo_total],tblOrdenes[linea],$A39,tblOrdenes[anio],E$37,tblOrdenes[mes],E$38)</f>
        <v/>
      </c>
      <c r="F39" s="10">
        <f>SUMIFS(tblOrdenes[costo_total],tblOrdenes[linea],$A39,tblOrdenes[anio],F$37,tblOrdenes[mes],F$38)</f>
        <v/>
      </c>
      <c r="G39" s="10">
        <f>SUMIFS(tblOrdenes[costo_total],tblOrdenes[linea],$A39,tblOrdenes[anio],G$37,tblOrdenes[mes],G$38)</f>
        <v/>
      </c>
      <c r="H39" s="10">
        <f>SUMIFS(tblOrdenes[costo_total],tblOrdenes[linea],$A39,tblOrdenes[anio],H$37,tblOrdenes[mes],H$38)</f>
        <v/>
      </c>
      <c r="I39" s="10">
        <f>SUMIFS(tblOrdenes[costo_total],tblOrdenes[linea],$A39,tblOrdenes[anio],I$37,tblOrdenes[mes],I$38)</f>
        <v/>
      </c>
      <c r="J39" s="10">
        <f>SUMIFS(tblOrdenes[costo_total],tblOrdenes[linea],$A39,tblOrdenes[anio],J$37,tblOrdenes[mes],J$38)</f>
        <v/>
      </c>
      <c r="K39" s="10">
        <f>SUMIFS(tblOrdenes[costo_total],tblOrdenes[linea],$A39,tblOrdenes[anio],K$37,tblOrdenes[mes],K$38)</f>
        <v/>
      </c>
      <c r="L39" s="10">
        <f>SUM(B39:K39)</f>
        <v/>
      </c>
    </row>
    <row r="40">
      <c r="A40" s="3" t="inlineStr">
        <is>
          <t>L2</t>
        </is>
      </c>
      <c r="B40" s="10">
        <f>SUMIFS(tblOrdenes[costo_total],tblOrdenes[linea],$A40,tblOrdenes[anio],B$37,tblOrdenes[mes],B$38)</f>
        <v/>
      </c>
      <c r="C40" s="10">
        <f>SUMIFS(tblOrdenes[costo_total],tblOrdenes[linea],$A40,tblOrdenes[anio],C$37,tblOrdenes[mes],C$38)</f>
        <v/>
      </c>
      <c r="D40" s="10">
        <f>SUMIFS(tblOrdenes[costo_total],tblOrdenes[linea],$A40,tblOrdenes[anio],D$37,tblOrdenes[mes],D$38)</f>
        <v/>
      </c>
      <c r="E40" s="10">
        <f>SUMIFS(tblOrdenes[costo_total],tblOrdenes[linea],$A40,tblOrdenes[anio],E$37,tblOrdenes[mes],E$38)</f>
        <v/>
      </c>
      <c r="F40" s="10">
        <f>SUMIFS(tblOrdenes[costo_total],tblOrdenes[linea],$A40,tblOrdenes[anio],F$37,tblOrdenes[mes],F$38)</f>
        <v/>
      </c>
      <c r="G40" s="10">
        <f>SUMIFS(tblOrdenes[costo_total],tblOrdenes[linea],$A40,tblOrdenes[anio],G$37,tblOrdenes[mes],G$38)</f>
        <v/>
      </c>
      <c r="H40" s="10">
        <f>SUMIFS(tblOrdenes[costo_total],tblOrdenes[linea],$A40,tblOrdenes[anio],H$37,tblOrdenes[mes],H$38)</f>
        <v/>
      </c>
      <c r="I40" s="10">
        <f>SUMIFS(tblOrdenes[costo_total],tblOrdenes[linea],$A40,tblOrdenes[anio],I$37,tblOrdenes[mes],I$38)</f>
        <v/>
      </c>
      <c r="J40" s="10">
        <f>SUMIFS(tblOrdenes[costo_total],tblOrdenes[linea],$A40,tblOrdenes[anio],J$37,tblOrdenes[mes],J$38)</f>
        <v/>
      </c>
      <c r="K40" s="10">
        <f>SUMIFS(tblOrdenes[costo_total],tblOrdenes[linea],$A40,tblOrdenes[anio],K$37,tblOrdenes[mes],K$38)</f>
        <v/>
      </c>
      <c r="L40" s="10">
        <f>SUM(B40:K40)</f>
        <v/>
      </c>
    </row>
    <row r="41">
      <c r="A41" s="3" t="inlineStr">
        <is>
          <t>L3</t>
        </is>
      </c>
      <c r="B41" s="10">
        <f>SUMIFS(tblOrdenes[costo_total],tblOrdenes[linea],$A41,tblOrdenes[anio],B$37,tblOrdenes[mes],B$38)</f>
        <v/>
      </c>
      <c r="C41" s="10">
        <f>SUMIFS(tblOrdenes[costo_total],tblOrdenes[linea],$A41,tblOrdenes[anio],C$37,tblOrdenes[mes],C$38)</f>
        <v/>
      </c>
      <c r="D41" s="10">
        <f>SUMIFS(tblOrdenes[costo_total],tblOrdenes[linea],$A41,tblOrdenes[anio],D$37,tblOrdenes[mes],D$38)</f>
        <v/>
      </c>
      <c r="E41" s="10">
        <f>SUMIFS(tblOrdenes[costo_total],tblOrdenes[linea],$A41,tblOrdenes[anio],E$37,tblOrdenes[mes],E$38)</f>
        <v/>
      </c>
      <c r="F41" s="10">
        <f>SUMIFS(tblOrdenes[costo_total],tblOrdenes[linea],$A41,tblOrdenes[anio],F$37,tblOrdenes[mes],F$38)</f>
        <v/>
      </c>
      <c r="G41" s="10">
        <f>SUMIFS(tblOrdenes[costo_total],tblOrdenes[linea],$A41,tblOrdenes[anio],G$37,tblOrdenes[mes],G$38)</f>
        <v/>
      </c>
      <c r="H41" s="10">
        <f>SUMIFS(tblOrdenes[costo_total],tblOrdenes[linea],$A41,tblOrdenes[anio],H$37,tblOrdenes[mes],H$38)</f>
        <v/>
      </c>
      <c r="I41" s="10">
        <f>SUMIFS(tblOrdenes[costo_total],tblOrdenes[linea],$A41,tblOrdenes[anio],I$37,tblOrdenes[mes],I$38)</f>
        <v/>
      </c>
      <c r="J41" s="10">
        <f>SUMIFS(tblOrdenes[costo_total],tblOrdenes[linea],$A41,tblOrdenes[anio],J$37,tblOrdenes[mes],J$38)</f>
        <v/>
      </c>
      <c r="K41" s="10">
        <f>SUMIFS(tblOrdenes[costo_total],tblOrdenes[linea],$A41,tblOrdenes[anio],K$37,tblOrdenes[mes],K$38)</f>
        <v/>
      </c>
      <c r="L41" s="10">
        <f>SUM(B41:K41)</f>
        <v/>
      </c>
    </row>
    <row r="42">
      <c r="A42" s="3" t="inlineStr">
        <is>
          <t>L4</t>
        </is>
      </c>
      <c r="B42" s="10">
        <f>SUMIFS(tblOrdenes[costo_total],tblOrdenes[linea],$A42,tblOrdenes[anio],B$37,tblOrdenes[mes],B$38)</f>
        <v/>
      </c>
      <c r="C42" s="10">
        <f>SUMIFS(tblOrdenes[costo_total],tblOrdenes[linea],$A42,tblOrdenes[anio],C$37,tblOrdenes[mes],C$38)</f>
        <v/>
      </c>
      <c r="D42" s="10">
        <f>SUMIFS(tblOrdenes[costo_total],tblOrdenes[linea],$A42,tblOrdenes[anio],D$37,tblOrdenes[mes],D$38)</f>
        <v/>
      </c>
      <c r="E42" s="10">
        <f>SUMIFS(tblOrdenes[costo_total],tblOrdenes[linea],$A42,tblOrdenes[anio],E$37,tblOrdenes[mes],E$38)</f>
        <v/>
      </c>
      <c r="F42" s="10">
        <f>SUMIFS(tblOrdenes[costo_total],tblOrdenes[linea],$A42,tblOrdenes[anio],F$37,tblOrdenes[mes],F$38)</f>
        <v/>
      </c>
      <c r="G42" s="10">
        <f>SUMIFS(tblOrdenes[costo_total],tblOrdenes[linea],$A42,tblOrdenes[anio],G$37,tblOrdenes[mes],G$38)</f>
        <v/>
      </c>
      <c r="H42" s="10">
        <f>SUMIFS(tblOrdenes[costo_total],tblOrdenes[linea],$A42,tblOrdenes[anio],H$37,tblOrdenes[mes],H$38)</f>
        <v/>
      </c>
      <c r="I42" s="10">
        <f>SUMIFS(tblOrdenes[costo_total],tblOrdenes[linea],$A42,tblOrdenes[anio],I$37,tblOrdenes[mes],I$38)</f>
        <v/>
      </c>
      <c r="J42" s="10">
        <f>SUMIFS(tblOrdenes[costo_total],tblOrdenes[linea],$A42,tblOrdenes[anio],J$37,tblOrdenes[mes],J$38)</f>
        <v/>
      </c>
      <c r="K42" s="10">
        <f>SUMIFS(tblOrdenes[costo_total],tblOrdenes[linea],$A42,tblOrdenes[anio],K$37,tblOrdenes[mes],K$38)</f>
        <v/>
      </c>
      <c r="L42" s="10">
        <f>SUM(B42:K42)</f>
        <v/>
      </c>
    </row>
    <row r="43">
      <c r="A43" s="3" t="inlineStr">
        <is>
          <t>SG</t>
        </is>
      </c>
      <c r="B43" s="10">
        <f>SUMIFS(tblOrdenes[costo_total],tblOrdenes[linea],$A43,tblOrdenes[anio],B$37,tblOrdenes[mes],B$38)</f>
        <v/>
      </c>
      <c r="C43" s="10">
        <f>SUMIFS(tblOrdenes[costo_total],tblOrdenes[linea],$A43,tblOrdenes[anio],C$37,tblOrdenes[mes],C$38)</f>
        <v/>
      </c>
      <c r="D43" s="10">
        <f>SUMIFS(tblOrdenes[costo_total],tblOrdenes[linea],$A43,tblOrdenes[anio],D$37,tblOrdenes[mes],D$38)</f>
        <v/>
      </c>
      <c r="E43" s="10">
        <f>SUMIFS(tblOrdenes[costo_total],tblOrdenes[linea],$A43,tblOrdenes[anio],E$37,tblOrdenes[mes],E$38)</f>
        <v/>
      </c>
      <c r="F43" s="10">
        <f>SUMIFS(tblOrdenes[costo_total],tblOrdenes[linea],$A43,tblOrdenes[anio],F$37,tblOrdenes[mes],F$38)</f>
        <v/>
      </c>
      <c r="G43" s="10">
        <f>SUMIFS(tblOrdenes[costo_total],tblOrdenes[linea],$A43,tblOrdenes[anio],G$37,tblOrdenes[mes],G$38)</f>
        <v/>
      </c>
      <c r="H43" s="10">
        <f>SUMIFS(tblOrdenes[costo_total],tblOrdenes[linea],$A43,tblOrdenes[anio],H$37,tblOrdenes[mes],H$38)</f>
        <v/>
      </c>
      <c r="I43" s="10">
        <f>SUMIFS(tblOrdenes[costo_total],tblOrdenes[linea],$A43,tblOrdenes[anio],I$37,tblOrdenes[mes],I$38)</f>
        <v/>
      </c>
      <c r="J43" s="10">
        <f>SUMIFS(tblOrdenes[costo_total],tblOrdenes[linea],$A43,tblOrdenes[anio],J$37,tblOrdenes[mes],J$38)</f>
        <v/>
      </c>
      <c r="K43" s="10">
        <f>SUMIFS(tblOrdenes[costo_total],tblOrdenes[linea],$A43,tblOrdenes[anio],K$37,tblOrdenes[mes],K$38)</f>
        <v/>
      </c>
      <c r="L43" s="10">
        <f>SUM(B43:K43)</f>
        <v/>
      </c>
    </row>
    <row r="44">
      <c r="A44" s="3" t="inlineStr">
        <is>
          <t>SG</t>
        </is>
      </c>
      <c r="B44" s="10">
        <f>SUMIFS(tblOrdenes[costo_total],tblOrdenes[linea],$A44,tblOrdenes[anio],B$37,tblOrdenes[mes],B$38)</f>
        <v/>
      </c>
      <c r="C44" s="10">
        <f>SUMIFS(tblOrdenes[costo_total],tblOrdenes[linea],$A44,tblOrdenes[anio],C$37,tblOrdenes[mes],C$38)</f>
        <v/>
      </c>
      <c r="D44" s="10">
        <f>SUMIFS(tblOrdenes[costo_total],tblOrdenes[linea],$A44,tblOrdenes[anio],D$37,tblOrdenes[mes],D$38)</f>
        <v/>
      </c>
      <c r="E44" s="10">
        <f>SUMIFS(tblOrdenes[costo_total],tblOrdenes[linea],$A44,tblOrdenes[anio],E$37,tblOrdenes[mes],E$38)</f>
        <v/>
      </c>
      <c r="F44" s="10">
        <f>SUMIFS(tblOrdenes[costo_total],tblOrdenes[linea],$A44,tblOrdenes[anio],F$37,tblOrdenes[mes],F$38)</f>
        <v/>
      </c>
      <c r="G44" s="10">
        <f>SUMIFS(tblOrdenes[costo_total],tblOrdenes[linea],$A44,tblOrdenes[anio],G$37,tblOrdenes[mes],G$38)</f>
        <v/>
      </c>
      <c r="H44" s="10">
        <f>SUMIFS(tblOrdenes[costo_total],tblOrdenes[linea],$A44,tblOrdenes[anio],H$37,tblOrdenes[mes],H$38)</f>
        <v/>
      </c>
      <c r="I44" s="10">
        <f>SUMIFS(tblOrdenes[costo_total],tblOrdenes[linea],$A44,tblOrdenes[anio],I$37,tblOrdenes[mes],I$38)</f>
        <v/>
      </c>
      <c r="J44" s="10">
        <f>SUMIFS(tblOrdenes[costo_total],tblOrdenes[linea],$A44,tblOrdenes[anio],J$37,tblOrdenes[mes],J$38)</f>
        <v/>
      </c>
      <c r="K44" s="10">
        <f>SUMIFS(tblOrdenes[costo_total],tblOrdenes[linea],$A44,tblOrdenes[anio],K$37,tblOrdenes[mes],K$38)</f>
        <v/>
      </c>
      <c r="L44" s="10">
        <f>SUM(B44:K44)</f>
        <v/>
      </c>
    </row>
    <row r="45">
      <c r="A45" s="3" t="inlineStr">
        <is>
          <t>TC</t>
        </is>
      </c>
      <c r="B45" s="10">
        <f>SUMIFS(tblOrdenes[costo_total],tblOrdenes[linea],$A45,tblOrdenes[anio],B$37,tblOrdenes[mes],B$38)</f>
        <v/>
      </c>
      <c r="C45" s="10">
        <f>SUMIFS(tblOrdenes[costo_total],tblOrdenes[linea],$A45,tblOrdenes[anio],C$37,tblOrdenes[mes],C$38)</f>
        <v/>
      </c>
      <c r="D45" s="10">
        <f>SUMIFS(tblOrdenes[costo_total],tblOrdenes[linea],$A45,tblOrdenes[anio],D$37,tblOrdenes[mes],D$38)</f>
        <v/>
      </c>
      <c r="E45" s="10">
        <f>SUMIFS(tblOrdenes[costo_total],tblOrdenes[linea],$A45,tblOrdenes[anio],E$37,tblOrdenes[mes],E$38)</f>
        <v/>
      </c>
      <c r="F45" s="10">
        <f>SUMIFS(tblOrdenes[costo_total],tblOrdenes[linea],$A45,tblOrdenes[anio],F$37,tblOrdenes[mes],F$38)</f>
        <v/>
      </c>
      <c r="G45" s="10">
        <f>SUMIFS(tblOrdenes[costo_total],tblOrdenes[linea],$A45,tblOrdenes[anio],G$37,tblOrdenes[mes],G$38)</f>
        <v/>
      </c>
      <c r="H45" s="10">
        <f>SUMIFS(tblOrdenes[costo_total],tblOrdenes[linea],$A45,tblOrdenes[anio],H$37,tblOrdenes[mes],H$38)</f>
        <v/>
      </c>
      <c r="I45" s="10">
        <f>SUMIFS(tblOrdenes[costo_total],tblOrdenes[linea],$A45,tblOrdenes[anio],I$37,tblOrdenes[mes],I$38)</f>
        <v/>
      </c>
      <c r="J45" s="10">
        <f>SUMIFS(tblOrdenes[costo_total],tblOrdenes[linea],$A45,tblOrdenes[anio],J$37,tblOrdenes[mes],J$38)</f>
        <v/>
      </c>
      <c r="K45" s="10">
        <f>SUMIFS(tblOrdenes[costo_total],tblOrdenes[linea],$A45,tblOrdenes[anio],K$37,tblOrdenes[mes],K$38)</f>
        <v/>
      </c>
      <c r="L45" s="10">
        <f>SUM(B45:K45)</f>
        <v/>
      </c>
    </row>
    <row r="46">
      <c r="A46" s="3" t="inlineStr">
        <is>
          <t>TC</t>
        </is>
      </c>
      <c r="B46" s="10">
        <f>SUMIFS(tblOrdenes[costo_total],tblOrdenes[linea],$A46,tblOrdenes[anio],B$37,tblOrdenes[mes],B$38)</f>
        <v/>
      </c>
      <c r="C46" s="10">
        <f>SUMIFS(tblOrdenes[costo_total],tblOrdenes[linea],$A46,tblOrdenes[anio],C$37,tblOrdenes[mes],C$38)</f>
        <v/>
      </c>
      <c r="D46" s="10">
        <f>SUMIFS(tblOrdenes[costo_total],tblOrdenes[linea],$A46,tblOrdenes[anio],D$37,tblOrdenes[mes],D$38)</f>
        <v/>
      </c>
      <c r="E46" s="10">
        <f>SUMIFS(tblOrdenes[costo_total],tblOrdenes[linea],$A46,tblOrdenes[anio],E$37,tblOrdenes[mes],E$38)</f>
        <v/>
      </c>
      <c r="F46" s="10">
        <f>SUMIFS(tblOrdenes[costo_total],tblOrdenes[linea],$A46,tblOrdenes[anio],F$37,tblOrdenes[mes],F$38)</f>
        <v/>
      </c>
      <c r="G46" s="10">
        <f>SUMIFS(tblOrdenes[costo_total],tblOrdenes[linea],$A46,tblOrdenes[anio],G$37,tblOrdenes[mes],G$38)</f>
        <v/>
      </c>
      <c r="H46" s="10">
        <f>SUMIFS(tblOrdenes[costo_total],tblOrdenes[linea],$A46,tblOrdenes[anio],H$37,tblOrdenes[mes],H$38)</f>
        <v/>
      </c>
      <c r="I46" s="10">
        <f>SUMIFS(tblOrdenes[costo_total],tblOrdenes[linea],$A46,tblOrdenes[anio],I$37,tblOrdenes[mes],I$38)</f>
        <v/>
      </c>
      <c r="J46" s="10">
        <f>SUMIFS(tblOrdenes[costo_total],tblOrdenes[linea],$A46,tblOrdenes[anio],J$37,tblOrdenes[mes],J$38)</f>
        <v/>
      </c>
      <c r="K46" s="10">
        <f>SUMIFS(tblOrdenes[costo_total],tblOrdenes[linea],$A46,tblOrdenes[anio],K$37,tblOrdenes[mes],K$38)</f>
        <v/>
      </c>
      <c r="L46" s="10">
        <f>SUM(B46:K46)</f>
        <v/>
      </c>
    </row>
    <row r="47">
      <c r="A47" s="3" t="inlineStr">
        <is>
          <t>CO</t>
        </is>
      </c>
      <c r="B47" s="10">
        <f>SUMIFS(tblOrdenes[costo_total],tblOrdenes[linea],$A47,tblOrdenes[anio],B$37,tblOrdenes[mes],B$38)</f>
        <v/>
      </c>
      <c r="C47" s="10">
        <f>SUMIFS(tblOrdenes[costo_total],tblOrdenes[linea],$A47,tblOrdenes[anio],C$37,tblOrdenes[mes],C$38)</f>
        <v/>
      </c>
      <c r="D47" s="10">
        <f>SUMIFS(tblOrdenes[costo_total],tblOrdenes[linea],$A47,tblOrdenes[anio],D$37,tblOrdenes[mes],D$38)</f>
        <v/>
      </c>
      <c r="E47" s="10">
        <f>SUMIFS(tblOrdenes[costo_total],tblOrdenes[linea],$A47,tblOrdenes[anio],E$37,tblOrdenes[mes],E$38)</f>
        <v/>
      </c>
      <c r="F47" s="10">
        <f>SUMIFS(tblOrdenes[costo_total],tblOrdenes[linea],$A47,tblOrdenes[anio],F$37,tblOrdenes[mes],F$38)</f>
        <v/>
      </c>
      <c r="G47" s="10">
        <f>SUMIFS(tblOrdenes[costo_total],tblOrdenes[linea],$A47,tblOrdenes[anio],G$37,tblOrdenes[mes],G$38)</f>
        <v/>
      </c>
      <c r="H47" s="10">
        <f>SUMIFS(tblOrdenes[costo_total],tblOrdenes[linea],$A47,tblOrdenes[anio],H$37,tblOrdenes[mes],H$38)</f>
        <v/>
      </c>
      <c r="I47" s="10">
        <f>SUMIFS(tblOrdenes[costo_total],tblOrdenes[linea],$A47,tblOrdenes[anio],I$37,tblOrdenes[mes],I$38)</f>
        <v/>
      </c>
      <c r="J47" s="10">
        <f>SUMIFS(tblOrdenes[costo_total],tblOrdenes[linea],$A47,tblOrdenes[anio],J$37,tblOrdenes[mes],J$38)</f>
        <v/>
      </c>
      <c r="K47" s="10">
        <f>SUMIFS(tblOrdenes[costo_total],tblOrdenes[linea],$A47,tblOrdenes[anio],K$37,tblOrdenes[mes],K$38)</f>
        <v/>
      </c>
      <c r="L47" s="10">
        <f>SUM(B47:K47)</f>
        <v/>
      </c>
    </row>
    <row r="48">
      <c r="A48" s="3" t="inlineStr">
        <is>
          <t>AC</t>
        </is>
      </c>
      <c r="B48" s="10">
        <f>SUMIFS(tblOrdenes[costo_total],tblOrdenes[linea],$A48,tblOrdenes[anio],B$37,tblOrdenes[mes],B$38)</f>
        <v/>
      </c>
      <c r="C48" s="10">
        <f>SUMIFS(tblOrdenes[costo_total],tblOrdenes[linea],$A48,tblOrdenes[anio],C$37,tblOrdenes[mes],C$38)</f>
        <v/>
      </c>
      <c r="D48" s="10">
        <f>SUMIFS(tblOrdenes[costo_total],tblOrdenes[linea],$A48,tblOrdenes[anio],D$37,tblOrdenes[mes],D$38)</f>
        <v/>
      </c>
      <c r="E48" s="10">
        <f>SUMIFS(tblOrdenes[costo_total],tblOrdenes[linea],$A48,tblOrdenes[anio],E$37,tblOrdenes[mes],E$38)</f>
        <v/>
      </c>
      <c r="F48" s="10">
        <f>SUMIFS(tblOrdenes[costo_total],tblOrdenes[linea],$A48,tblOrdenes[anio],F$37,tblOrdenes[mes],F$38)</f>
        <v/>
      </c>
      <c r="G48" s="10">
        <f>SUMIFS(tblOrdenes[costo_total],tblOrdenes[linea],$A48,tblOrdenes[anio],G$37,tblOrdenes[mes],G$38)</f>
        <v/>
      </c>
      <c r="H48" s="10">
        <f>SUMIFS(tblOrdenes[costo_total],tblOrdenes[linea],$A48,tblOrdenes[anio],H$37,tblOrdenes[mes],H$38)</f>
        <v/>
      </c>
      <c r="I48" s="10">
        <f>SUMIFS(tblOrdenes[costo_total],tblOrdenes[linea],$A48,tblOrdenes[anio],I$37,tblOrdenes[mes],I$38)</f>
        <v/>
      </c>
      <c r="J48" s="10">
        <f>SUMIFS(tblOrdenes[costo_total],tblOrdenes[linea],$A48,tblOrdenes[anio],J$37,tblOrdenes[mes],J$38)</f>
        <v/>
      </c>
      <c r="K48" s="10">
        <f>SUMIFS(tblOrdenes[costo_total],tblOrdenes[linea],$A48,tblOrdenes[anio],K$37,tblOrdenes[mes],K$38)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EMPAQUE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Vapor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Refrigeración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CO2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  <row r="31">
      <c r="A31" s="3" t="inlineStr">
        <is>
          <t>Aire comprimido</t>
        </is>
      </c>
      <c r="B31" s="3">
        <f>COUNTIFS(tblOrdenes[estado],"Pendiente",tblOrdenes[backlog_dias],"&gt;=0",tblOrdenes[backlog_dias],"&lt;=30",tblOrdenes[sub_area],$A31)</f>
        <v/>
      </c>
      <c r="C31" s="3">
        <f>COUNTIFS(tblOrdenes[estado],"Pendiente",tblOrdenes[backlog_dias],"&gt;=31",tblOrdenes[backlog_dias],"&lt;=60",tblOrdenes[sub_area],$A31)</f>
        <v/>
      </c>
      <c r="D31" s="3">
        <f>COUNTIFS(tblOrdenes[estado],"Pendiente",tblOrdenes[backlog_dias],"&gt;=61",tblOrdenes[backlog_dias],"&lt;=90",tblOrdenes[sub_area],$A31)</f>
        <v/>
      </c>
      <c r="E31" s="3">
        <f>COUNTIFS(tblOrdenes[estado],"Pendiente",tblOrdenes[backlog_dias],"&gt;90",tblOrdenes[sub_area],$A31)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SUMIFS(tblOrdenes[costo_total],tblOrdenes[equipo],$A5,tblOrdenes[anio],K$3,tblOrdenes[mes],K$4)</f>
        <v/>
      </c>
      <c r="L5" s="10">
        <f>SUM(B5:K5)</f>
        <v/>
      </c>
    </row>
    <row r="6">
      <c r="A6" s="3" t="inlineStr">
        <is>
          <t>EQ-106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SUMIFS(tblOrdenes[costo_total],tblOrdenes[equipo],$A6,tblOrdenes[anio],K$3,tblOrdenes[mes],K$4)</f>
        <v/>
      </c>
      <c r="L6" s="10">
        <f>SUM(B6:K6)</f>
        <v/>
      </c>
    </row>
    <row r="7">
      <c r="A7" s="3" t="inlineStr">
        <is>
          <t>EQ-103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SUMIFS(tblOrdenes[costo_total],tblOrdenes[equipo],$A7,tblOrdenes[anio],K$3,tblOrdenes[mes],K$4)</f>
        <v/>
      </c>
      <c r="L7" s="10">
        <f>SUM(B7:K7)</f>
        <v/>
      </c>
    </row>
    <row r="8">
      <c r="A8" s="3" t="inlineStr">
        <is>
          <t>EQ-102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SUMIFS(tblOrdenes[costo_total],tblOrdenes[equipo],$A8,tblOrdenes[anio],K$3,tblOrdenes[mes],K$4)</f>
        <v/>
      </c>
      <c r="L8" s="10">
        <f>SUM(B8:K8)</f>
        <v/>
      </c>
    </row>
    <row r="9">
      <c r="A9" s="3" t="inlineStr">
        <is>
          <t>EQ-105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SUMIFS(tblOrdenes[costo_total],tblOrdenes[equipo],$A9,tblOrdenes[anio],K$3,tblOrdenes[mes],K$4)</f>
        <v/>
      </c>
      <c r="L9" s="10">
        <f>SUM(B9:K9)</f>
        <v/>
      </c>
    </row>
    <row r="10">
      <c r="A10" s="3" t="inlineStr">
        <is>
          <t>EQ-108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SUMIFS(tblOrdenes[costo_total],tblOrdenes[equipo],$A10,tblOrdenes[anio],K$3,tblOrdenes[mes],K$4)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SUMIFS(tblOrdenes[costo_total],tblOrdenes[equipo],$A11,tblOrdenes[anio],K$3,tblOrdenes[mes],K$4)</f>
        <v/>
      </c>
      <c r="L11" s="10">
        <f>SUM(B11:K11)</f>
        <v/>
      </c>
    </row>
    <row r="12">
      <c r="A12" s="3" t="inlineStr">
        <is>
          <t>EQ-111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SUMIFS(tblOrdenes[costo_total],tblOrdenes[equipo],$A12,tblOrdenes[anio],K$3,tblOrdenes[mes],K$4)</f>
        <v/>
      </c>
      <c r="L12" s="10">
        <f>SUM(B12:K12)</f>
        <v/>
      </c>
    </row>
    <row r="13">
      <c r="A13" s="3" t="inlineStr">
        <is>
          <t>EQ-101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SUMIFS(tblOrdenes[costo_total],tblOrdenes[equipo],$A13,tblOrdenes[anio],K$3,tblOrdenes[mes],K$4)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SUMIFS(tblOrdenes[costo_total],tblOrdenes[equipo],$A14,tblOrdenes[anio],K$3,tblOrdenes[mes],K$4)</f>
        <v/>
      </c>
      <c r="L14" s="10">
        <f>SUM(B14:K14)</f>
        <v/>
      </c>
    </row>
    <row r="15">
      <c r="A15" s="3" t="inlineStr">
        <is>
          <t>EQ-104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SUMIFS(tblOrdenes[costo_total],tblOrdenes[equipo],$A15,tblOrdenes[anio],K$3,tblOrdenes[mes],K$4)</f>
        <v/>
      </c>
      <c r="L15" s="10">
        <f>SUM(B15:K15)</f>
        <v/>
      </c>
    </row>
    <row r="16">
      <c r="A16" s="3" t="inlineStr">
        <is>
          <t>EQ-112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SUMIFS(tblOrdenes[costo_total],tblOrdenes[equipo],$A16,tblOrdenes[anio],K$3,tblOrdenes[mes],K$4)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2026-07-21T08:05:05Z</dcterms:created>
  <dcterms:modified xsi:type="dcterms:W3CDTF">2026-07-21T08:05:06Z</dcterms:modified>
</cp:coreProperties>
</file>