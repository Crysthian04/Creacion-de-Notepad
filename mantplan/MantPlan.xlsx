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CAT_TURNOS" sheetId="22" state="visible" r:id="rId22"/>
    <sheet name="EXPORTAR" sheetId="23" state="visible" r:id="rId23"/>
    <sheet name="_COMPATIBILIDAD" sheetId="24" state="visible" r:id="rId24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L339" headerRowCount="1">
  <autoFilter ref="A3:L339"/>
  <tableColumns count="12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  <tableColumn id="11" name="hora_inicio"/>
    <tableColumn id="12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2.6.0 · generado 2026-07-22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2">
        <f>IF(tblOrdenes[[#This Row],[fecha_inicio]]="","",TODAY()-tblOrdenes[[#This Row],[fecha_inicio]])</f>
        <v/>
      </c>
      <c r="AB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0">
        <f>IF(tblOrdenes[[#This Row],[orden]]="","",_xlfn.XLOOKUP(tblOrdenes[[#This Row],[id_operacion]],tblEjecucion[id_operacion],tblEjecucion[precio],0))</f>
        <v/>
      </c>
      <c r="AJ4" s="10">
        <f>IF(tblOrdenes[[#This Row],[orden]]="","",MAX(0,_xlfn.XLOOKUP(tblOrdenes[[#This Row],[id_operacion]],tblEjecucion[id_operacion],tblEjecucion[costo_plan_total],0)-tblOrdenes[[#This Row],[costo_servicio]]))</f>
        <v/>
      </c>
      <c r="AK4" s="10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2">
        <f>IF(tblOrdenes[[#This Row],[fecha_inicio]]="","",TODAY()-tblOrdenes[[#This Row],[fecha_inicio]])</f>
        <v/>
      </c>
      <c r="AB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0">
        <f>IF(tblOrdenes[[#This Row],[orden]]="","",_xlfn.XLOOKUP(tblOrdenes[[#This Row],[id_operacion]],tblEjecucion[id_operacion],tblEjecucion[precio],0))</f>
        <v/>
      </c>
      <c r="AJ5" s="10">
        <f>IF(tblOrdenes[[#This Row],[orden]]="","",MAX(0,_xlfn.XLOOKUP(tblOrdenes[[#This Row],[id_operacion]],tblEjecucion[id_operacion],tblEjecucion[costo_plan_total],0)-tblOrdenes[[#This Row],[costo_servicio]]))</f>
        <v/>
      </c>
      <c r="AK5" s="10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2">
        <f>IF(tblOrdenes[[#This Row],[fecha_inicio]]="","",TODAY()-tblOrdenes[[#This Row],[fecha_inicio]])</f>
        <v/>
      </c>
      <c r="AB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0">
        <f>IF(tblOrdenes[[#This Row],[orden]]="","",_xlfn.XLOOKUP(tblOrdenes[[#This Row],[id_operacion]],tblEjecucion[id_operacion],tblEjecucion[precio],0))</f>
        <v/>
      </c>
      <c r="AJ6" s="10">
        <f>IF(tblOrdenes[[#This Row],[orden]]="","",MAX(0,_xlfn.XLOOKUP(tblOrdenes[[#This Row],[id_operacion]],tblEjecucion[id_operacion],tblEjecucion[costo_plan_total],0)-tblOrdenes[[#This Row],[costo_servicio]]))</f>
        <v/>
      </c>
      <c r="AK6" s="10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2">
        <f>IF(tblOrdenes[[#This Row],[fecha_inicio]]="","",TODAY()-tblOrdenes[[#This Row],[fecha_inicio]])</f>
        <v/>
      </c>
      <c r="AB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0">
        <f>IF(tblOrdenes[[#This Row],[orden]]="","",_xlfn.XLOOKUP(tblOrdenes[[#This Row],[id_operacion]],tblEjecucion[id_operacion],tblEjecucion[precio],0))</f>
        <v/>
      </c>
      <c r="AJ7" s="10">
        <f>IF(tblOrdenes[[#This Row],[orden]]="","",MAX(0,_xlfn.XLOOKUP(tblOrdenes[[#This Row],[id_operacion]],tblEjecucion[id_operacion],tblEjecucion[costo_plan_total],0)-tblOrdenes[[#This Row],[costo_servicio]]))</f>
        <v/>
      </c>
      <c r="AK7" s="10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2">
        <f>IF(tblOrdenes[[#This Row],[fecha_inicio]]="","",TODAY()-tblOrdenes[[#This Row],[fecha_inicio]])</f>
        <v/>
      </c>
      <c r="AB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01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0">
        <f>IF(tblOrdenes[[#This Row],[orden]]="","",_xlfn.XLOOKUP(tblOrdenes[[#This Row],[id_operacion]],tblEjecucion[id_operacion],tblEjecucion[precio],0))</f>
        <v/>
      </c>
      <c r="AJ8" s="10">
        <f>IF(tblOrdenes[[#This Row],[orden]]="","",MAX(0,_xlfn.XLOOKUP(tblOrdenes[[#This Row],[id_operacion]],tblEjecucion[id_operacion],tblEjecucion[costo_plan_total],0)-tblOrdenes[[#This Row],[costo_servicio]]))</f>
        <v/>
      </c>
      <c r="AK8" s="10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2">
        <f>IF(tblOrdenes[[#This Row],[fecha_inicio]]="","",TODAY()-tblOrdenes[[#This Row],[fecha_inicio]])</f>
        <v/>
      </c>
      <c r="AB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02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0">
        <f>IF(tblOrdenes[[#This Row],[orden]]="","",_xlfn.XLOOKUP(tblOrdenes[[#This Row],[id_operacion]],tblEjecucion[id_operacion],tblEjecucion[precio],0))</f>
        <v/>
      </c>
      <c r="AJ9" s="10">
        <f>IF(tblOrdenes[[#This Row],[orden]]="","",MAX(0,_xlfn.XLOOKUP(tblOrdenes[[#This Row],[id_operacion]],tblEjecucion[id_operacion],tblEjecucion[costo_plan_total],0)-tblOrdenes[[#This Row],[costo_servicio]]))</f>
        <v/>
      </c>
      <c r="AK9" s="10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2">
        <f>IF(tblOrdenes[[#This Row],[fecha_inicio]]="","",TODAY()-tblOrdenes[[#This Row],[fecha_inicio]])</f>
        <v/>
      </c>
      <c r="AB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03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0">
        <f>IF(tblOrdenes[[#This Row],[orden]]="","",_xlfn.XLOOKUP(tblOrdenes[[#This Row],[id_operacion]],tblEjecucion[id_operacion],tblEjecucion[precio],0))</f>
        <v/>
      </c>
      <c r="AJ10" s="10">
        <f>IF(tblOrdenes[[#This Row],[orden]]="","",MAX(0,_xlfn.XLOOKUP(tblOrdenes[[#This Row],[id_operacion]],tblEjecucion[id_operacion],tblEjecucion[costo_plan_total],0)-tblOrdenes[[#This Row],[costo_servicio]]))</f>
        <v/>
      </c>
      <c r="AK10" s="10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2">
        <f>IF(tblOrdenes[[#This Row],[fecha_inicio]]="","",TODAY()-tblOrdenes[[#This Row],[fecha_inicio]])</f>
        <v/>
      </c>
      <c r="AB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04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0">
        <f>IF(tblOrdenes[[#This Row],[orden]]="","",_xlfn.XLOOKUP(tblOrdenes[[#This Row],[id_operacion]],tblEjecucion[id_operacion],tblEjecucion[precio],0))</f>
        <v/>
      </c>
      <c r="AJ11" s="10">
        <f>IF(tblOrdenes[[#This Row],[orden]]="","",MAX(0,_xlfn.XLOOKUP(tblOrdenes[[#This Row],[id_operacion]],tblEjecucion[id_operacion],tblEjecucion[costo_plan_total],0)-tblOrdenes[[#This Row],[costo_servicio]]))</f>
        <v/>
      </c>
      <c r="AK11" s="10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2">
        <f>IF(tblOrdenes[[#This Row],[fecha_inicio]]="","",TODAY()-tblOrdenes[[#This Row],[fecha_inicio]])</f>
        <v/>
      </c>
      <c r="AB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01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0">
        <f>IF(tblOrdenes[[#This Row],[orden]]="","",_xlfn.XLOOKUP(tblOrdenes[[#This Row],[id_operacion]],tblEjecucion[id_operacion],tblEjecucion[precio],0))</f>
        <v/>
      </c>
      <c r="AJ12" s="10">
        <f>IF(tblOrdenes[[#This Row],[orden]]="","",MAX(0,_xlfn.XLOOKUP(tblOrdenes[[#This Row],[id_operacion]],tblEjecucion[id_operacion],tblEjecucion[costo_plan_total],0)-tblOrdenes[[#This Row],[costo_servicio]]))</f>
        <v/>
      </c>
      <c r="AK12" s="10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2">
        <f>IF(tblOrdenes[[#This Row],[fecha_inicio]]="","",TODAY()-tblOrdenes[[#This Row],[fecha_inicio]])</f>
        <v/>
      </c>
      <c r="AB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02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0">
        <f>IF(tblOrdenes[[#This Row],[orden]]="","",_xlfn.XLOOKUP(tblOrdenes[[#This Row],[id_operacion]],tblEjecucion[id_operacion],tblEjecucion[precio],0))</f>
        <v/>
      </c>
      <c r="AJ13" s="10">
        <f>IF(tblOrdenes[[#This Row],[orden]]="","",MAX(0,_xlfn.XLOOKUP(tblOrdenes[[#This Row],[id_operacion]],tblEjecucion[id_operacion],tblEjecucion[costo_plan_total],0)-tblOrdenes[[#This Row],[costo_servicio]]))</f>
        <v/>
      </c>
      <c r="AK13" s="10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2">
        <f>IF(tblOrdenes[[#This Row],[fecha_inicio]]="","",TODAY()-tblOrdenes[[#This Row],[fecha_inicio]])</f>
        <v/>
      </c>
      <c r="AB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03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0">
        <f>IF(tblOrdenes[[#This Row],[orden]]="","",_xlfn.XLOOKUP(tblOrdenes[[#This Row],[id_operacion]],tblEjecucion[id_operacion],tblEjecucion[precio],0))</f>
        <v/>
      </c>
      <c r="AJ14" s="10">
        <f>IF(tblOrdenes[[#This Row],[orden]]="","",MAX(0,_xlfn.XLOOKUP(tblOrdenes[[#This Row],[id_operacion]],tblEjecucion[id_operacion],tblEjecucion[costo_plan_total],0)-tblOrdenes[[#This Row],[costo_servicio]]))</f>
        <v/>
      </c>
      <c r="AK14" s="10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2">
        <f>IF(tblOrdenes[[#This Row],[fecha_inicio]]="","",TODAY()-tblOrdenes[[#This Row],[fecha_inicio]])</f>
        <v/>
      </c>
      <c r="AB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0">
        <f>IF(tblOrdenes[[#This Row],[orden]]="","",_xlfn.XLOOKUP(tblOrdenes[[#This Row],[id_operacion]],tblEjecucion[id_operacion],tblEjecucion[precio],0))</f>
        <v/>
      </c>
      <c r="AJ15" s="10">
        <f>IF(tblOrdenes[[#This Row],[orden]]="","",MAX(0,_xlfn.XLOOKUP(tblOrdenes[[#This Row],[id_operacion]],tblEjecucion[id_operacion],tblEjecucion[costo_plan_total],0)-tblOrdenes[[#This Row],[costo_servicio]]))</f>
        <v/>
      </c>
      <c r="AK15" s="10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2">
        <f>IF(tblOrdenes[[#This Row],[fecha_inicio]]="","",TODAY()-tblOrdenes[[#This Row],[fecha_inicio]])</f>
        <v/>
      </c>
      <c r="AB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0">
        <f>IF(tblOrdenes[[#This Row],[orden]]="","",_xlfn.XLOOKUP(tblOrdenes[[#This Row],[id_operacion]],tblEjecucion[id_operacion],tblEjecucion[precio],0))</f>
        <v/>
      </c>
      <c r="AJ16" s="10">
        <f>IF(tblOrdenes[[#This Row],[orden]]="","",MAX(0,_xlfn.XLOOKUP(tblOrdenes[[#This Row],[id_operacion]],tblEjecucion[id_operacion],tblEjecucion[costo_plan_total],0)-tblOrdenes[[#This Row],[costo_servicio]]))</f>
        <v/>
      </c>
      <c r="AK16" s="10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/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2">
        <f>IF(tblOrdenes[[#This Row],[fecha_inicio]]="","",TODAY()-tblOrdenes[[#This Row],[fecha_inicio]])</f>
        <v/>
      </c>
      <c r="AB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02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0">
        <f>IF(tblOrdenes[[#This Row],[orden]]="","",_xlfn.XLOOKUP(tblOrdenes[[#This Row],[id_operacion]],tblEjecucion[id_operacion],tblEjecucion[precio],0))</f>
        <v/>
      </c>
      <c r="AJ17" s="10">
        <f>IF(tblOrdenes[[#This Row],[orden]]="","",MAX(0,_xlfn.XLOOKUP(tblOrdenes[[#This Row],[id_operacion]],tblEjecucion[id_operacion],tblEjecucion[costo_plan_total],0)-tblOrdenes[[#This Row],[costo_servicio]]))</f>
        <v/>
      </c>
      <c r="AK17" s="10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2">
        <f>IF(tblOrdenes[[#This Row],[fecha_inicio]]="","",TODAY()-tblOrdenes[[#This Row],[fecha_inicio]])</f>
        <v/>
      </c>
      <c r="AB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03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0">
        <f>IF(tblOrdenes[[#This Row],[orden]]="","",_xlfn.XLOOKUP(tblOrdenes[[#This Row],[id_operacion]],tblEjecucion[id_operacion],tblEjecucion[precio],0))</f>
        <v/>
      </c>
      <c r="AJ18" s="10">
        <f>IF(tblOrdenes[[#This Row],[orden]]="","",MAX(0,_xlfn.XLOOKUP(tblOrdenes[[#This Row],[id_operacion]],tblEjecucion[id_operacion],tblEjecucion[costo_plan_total],0)-tblOrdenes[[#This Row],[costo_servicio]]))</f>
        <v/>
      </c>
      <c r="AK18" s="10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2">
        <f>IF(tblOrdenes[[#This Row],[fecha_inicio]]="","",TODAY()-tblOrdenes[[#This Row],[fecha_inicio]])</f>
        <v/>
      </c>
      <c r="AB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04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0">
        <f>IF(tblOrdenes[[#This Row],[orden]]="","",_xlfn.XLOOKUP(tblOrdenes[[#This Row],[id_operacion]],tblEjecucion[id_operacion],tblEjecucion[precio],0))</f>
        <v/>
      </c>
      <c r="AJ19" s="10">
        <f>IF(tblOrdenes[[#This Row],[orden]]="","",MAX(0,_xlfn.XLOOKUP(tblOrdenes[[#This Row],[id_operacion]],tblEjecucion[id_operacion],tblEjecucion[costo_plan_total],0)-tblOrdenes[[#This Row],[costo_servicio]]))</f>
        <v/>
      </c>
      <c r="AK19" s="10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2">
        <f>IF(tblOrdenes[[#This Row],[fecha_inicio]]="","",TODAY()-tblOrdenes[[#This Row],[fecha_inicio]])</f>
        <v/>
      </c>
      <c r="AB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01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0">
        <f>IF(tblOrdenes[[#This Row],[orden]]="","",_xlfn.XLOOKUP(tblOrdenes[[#This Row],[id_operacion]],tblEjecucion[id_operacion],tblEjecucion[precio],0))</f>
        <v/>
      </c>
      <c r="AJ20" s="10">
        <f>IF(tblOrdenes[[#This Row],[orden]]="","",MAX(0,_xlfn.XLOOKUP(tblOrdenes[[#This Row],[id_operacion]],tblEjecucion[id_operacion],tblEjecucion[costo_plan_total],0)-tblOrdenes[[#This Row],[costo_servicio]]))</f>
        <v/>
      </c>
      <c r="AK20" s="10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>
        <is>
          <t>Ajuste 8 → 12 h en hoja AJUSTES</t>
        </is>
      </c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2">
        <f>IF(tblOrdenes[[#This Row],[fecha_inicio]]="","",TODAY()-tblOrdenes[[#This Row],[fecha_inicio]])</f>
        <v/>
      </c>
      <c r="AB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02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0">
        <f>IF(tblOrdenes[[#This Row],[orden]]="","",_xlfn.XLOOKUP(tblOrdenes[[#This Row],[id_operacion]],tblEjecucion[id_operacion],tblEjecucion[precio],0))</f>
        <v/>
      </c>
      <c r="AJ21" s="10">
        <f>IF(tblOrdenes[[#This Row],[orden]]="","",MAX(0,_xlfn.XLOOKUP(tblOrdenes[[#This Row],[id_operacion]],tblEjecucion[id_operacion],tblEjecucion[costo_plan_total],0)-tblOrdenes[[#This Row],[costo_servicio]]))</f>
        <v/>
      </c>
      <c r="AK21" s="10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2">
        <f>IF(tblOrdenes[[#This Row],[fecha_inicio]]="","",TODAY()-tblOrdenes[[#This Row],[fecha_inicio]])</f>
        <v/>
      </c>
      <c r="AB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>
        <is>
          <t>Técnico 03</t>
        </is>
      </c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0">
        <f>IF(tblOrdenes[[#This Row],[orden]]="","",_xlfn.XLOOKUP(tblOrdenes[[#This Row],[id_operacion]],tblEjecucion[id_operacion],tblEjecucion[precio],0))</f>
        <v/>
      </c>
      <c r="AJ22" s="10">
        <f>IF(tblOrdenes[[#This Row],[orden]]="","",MAX(0,_xlfn.XLOOKUP(tblOrdenes[[#This Row],[id_operacion]],tblEjecucion[id_operacion],tblEjecucion[costo_plan_total],0)-tblOrdenes[[#This Row],[costo_servicio]]))</f>
        <v/>
      </c>
      <c r="AK22" s="10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2">
        <f>IF(tblOrdenes[[#This Row],[fecha_inicio]]="","",TODAY()-tblOrdenes[[#This Row],[fecha_inicio]])</f>
        <v/>
      </c>
      <c r="AB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04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0">
        <f>IF(tblOrdenes[[#This Row],[orden]]="","",_xlfn.XLOOKUP(tblOrdenes[[#This Row],[id_operacion]],tblEjecucion[id_operacion],tblEjecucion[precio],0))</f>
        <v/>
      </c>
      <c r="AJ23" s="10">
        <f>IF(tblOrdenes[[#This Row],[orden]]="","",MAX(0,_xlfn.XLOOKUP(tblOrdenes[[#This Row],[id_operacion]],tblEjecucion[id_operacion],tblEjecucion[costo_plan_total],0)-tblOrdenes[[#This Row],[costo_servicio]]))</f>
        <v/>
      </c>
      <c r="AK23" s="10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2">
        <f>IF(tblOrdenes[[#This Row],[fecha_inicio]]="","",TODAY()-tblOrdenes[[#This Row],[fecha_inicio]])</f>
        <v/>
      </c>
      <c r="AB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01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0">
        <f>IF(tblOrdenes[[#This Row],[orden]]="","",_xlfn.XLOOKUP(tblOrdenes[[#This Row],[id_operacion]],tblEjecucion[id_operacion],tblEjecucion[precio],0))</f>
        <v/>
      </c>
      <c r="AJ24" s="10">
        <f>IF(tblOrdenes[[#This Row],[orden]]="","",MAX(0,_xlfn.XLOOKUP(tblOrdenes[[#This Row],[id_operacion]],tblEjecucion[id_operacion],tblEjecucion[costo_plan_total],0)-tblOrdenes[[#This Row],[costo_servicio]]))</f>
        <v/>
      </c>
      <c r="AK24" s="10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2">
        <f>IF(tblOrdenes[[#This Row],[fecha_inicio]]="","",TODAY()-tblOrdenes[[#This Row],[fecha_inicio]])</f>
        <v/>
      </c>
      <c r="AB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02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0">
        <f>IF(tblOrdenes[[#This Row],[orden]]="","",_xlfn.XLOOKUP(tblOrdenes[[#This Row],[id_operacion]],tblEjecucion[id_operacion],tblEjecucion[precio],0))</f>
        <v/>
      </c>
      <c r="AJ25" s="10">
        <f>IF(tblOrdenes[[#This Row],[orden]]="","",MAX(0,_xlfn.XLOOKUP(tblOrdenes[[#This Row],[id_operacion]],tblEjecucion[id_operacion],tblEjecucion[costo_plan_total],0)-tblOrdenes[[#This Row],[costo_servicio]]))</f>
        <v/>
      </c>
      <c r="AK25" s="10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2">
        <f>IF(tblOrdenes[[#This Row],[fecha_inicio]]="","",TODAY()-tblOrdenes[[#This Row],[fecha_inicio]])</f>
        <v/>
      </c>
      <c r="AB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03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0">
        <f>IF(tblOrdenes[[#This Row],[orden]]="","",_xlfn.XLOOKUP(tblOrdenes[[#This Row],[id_operacion]],tblEjecucion[id_operacion],tblEjecucion[precio],0))</f>
        <v/>
      </c>
      <c r="AJ26" s="10">
        <f>IF(tblOrdenes[[#This Row],[orden]]="","",MAX(0,_xlfn.XLOOKUP(tblOrdenes[[#This Row],[id_operacion]],tblEjecucion[id_operacion],tblEjecucion[costo_plan_total],0)-tblOrdenes[[#This Row],[costo_servicio]]))</f>
        <v/>
      </c>
      <c r="AK26" s="10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2">
        <f>IF(tblOrdenes[[#This Row],[fecha_inicio]]="","",TODAY()-tblOrdenes[[#This Row],[fecha_inicio]])</f>
        <v/>
      </c>
      <c r="AB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0">
        <f>IF(tblOrdenes[[#This Row],[orden]]="","",_xlfn.XLOOKUP(tblOrdenes[[#This Row],[id_operacion]],tblEjecucion[id_operacion],tblEjecucion[precio],0))</f>
        <v/>
      </c>
      <c r="AJ27" s="10">
        <f>IF(tblOrdenes[[#This Row],[orden]]="","",MAX(0,_xlfn.XLOOKUP(tblOrdenes[[#This Row],[id_operacion]],tblEjecucion[id_operacion],tblEjecucion[costo_plan_total],0)-tblOrdenes[[#This Row],[costo_servicio]]))</f>
        <v/>
      </c>
      <c r="AK27" s="10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2">
        <f>IF(tblOrdenes[[#This Row],[fecha_inicio]]="","",TODAY()-tblOrdenes[[#This Row],[fecha_inicio]])</f>
        <v/>
      </c>
      <c r="AB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01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0">
        <f>IF(tblOrdenes[[#This Row],[orden]]="","",_xlfn.XLOOKUP(tblOrdenes[[#This Row],[id_operacion]],tblEjecucion[id_operacion],tblEjecucion[precio],0))</f>
        <v/>
      </c>
      <c r="AJ28" s="10">
        <f>IF(tblOrdenes[[#This Row],[orden]]="","",MAX(0,_xlfn.XLOOKUP(tblOrdenes[[#This Row],[id_operacion]],tblEjecucion[id_operacion],tblEjecucion[costo_plan_total],0)-tblOrdenes[[#This Row],[costo_servicio]]))</f>
        <v/>
      </c>
      <c r="AK28" s="10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2">
        <f>IF(tblOrdenes[[#This Row],[fecha_inicio]]="","",TODAY()-tblOrdenes[[#This Row],[fecha_inicio]])</f>
        <v/>
      </c>
      <c r="AB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04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0">
        <f>IF(tblOrdenes[[#This Row],[orden]]="","",_xlfn.XLOOKUP(tblOrdenes[[#This Row],[id_operacion]],tblEjecucion[id_operacion],tblEjecucion[precio],0))</f>
        <v/>
      </c>
      <c r="AJ29" s="10">
        <f>IF(tblOrdenes[[#This Row],[orden]]="","",MAX(0,_xlfn.XLOOKUP(tblOrdenes[[#This Row],[id_operacion]],tblEjecucion[id_operacion],tblEjecucion[costo_plan_total],0)-tblOrdenes[[#This Row],[costo_servicio]]))</f>
        <v/>
      </c>
      <c r="AK29" s="10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>
        <is>
          <t>Demo: asignada a técnico de vacaciones (HHD = −HHA)</t>
        </is>
      </c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2">
        <f>IF(tblOrdenes[[#This Row],[fecha_inicio]]="","",TODAY()-tblOrdenes[[#This Row],[fecha_inicio]])</f>
        <v/>
      </c>
      <c r="AB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0">
        <f>IF(tblOrdenes[[#This Row],[orden]]="","",_xlfn.XLOOKUP(tblOrdenes[[#This Row],[id_operacion]],tblEjecucion[id_operacion],tblEjecucion[precio],0))</f>
        <v/>
      </c>
      <c r="AJ30" s="10">
        <f>IF(tblOrdenes[[#This Row],[orden]]="","",MAX(0,_xlfn.XLOOKUP(tblOrdenes[[#This Row],[id_operacion]],tblEjecucion[id_operacion],tblEjecucion[costo_plan_total],0)-tblOrdenes[[#This Row],[costo_servicio]]))</f>
        <v/>
      </c>
      <c r="AK30" s="10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2">
        <f>IF(tblOrdenes[[#This Row],[fecha_inicio]]="","",TODAY()-tblOrdenes[[#This Row],[fecha_inicio]])</f>
        <v/>
      </c>
      <c r="AB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>
        <is>
          <t>Técnico 01</t>
        </is>
      </c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0">
        <f>IF(tblOrdenes[[#This Row],[orden]]="","",_xlfn.XLOOKUP(tblOrdenes[[#This Row],[id_operacion]],tblEjecucion[id_operacion],tblEjecucion[precio],0))</f>
        <v/>
      </c>
      <c r="AJ31" s="10">
        <f>IF(tblOrdenes[[#This Row],[orden]]="","",MAX(0,_xlfn.XLOOKUP(tblOrdenes[[#This Row],[id_operacion]],tblEjecucion[id_operacion],tblEjecucion[costo_plan_total],0)-tblOrdenes[[#This Row],[costo_servicio]]))</f>
        <v/>
      </c>
      <c r="AK31" s="10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2">
        <f>IF(tblOrdenes[[#This Row],[fecha_inicio]]="","",TODAY()-tblOrdenes[[#This Row],[fecha_inicio]])</f>
        <v/>
      </c>
      <c r="AB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02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0">
        <f>IF(tblOrdenes[[#This Row],[orden]]="","",_xlfn.XLOOKUP(tblOrdenes[[#This Row],[id_operacion]],tblEjecucion[id_operacion],tblEjecucion[precio],0))</f>
        <v/>
      </c>
      <c r="AJ32" s="10">
        <f>IF(tblOrdenes[[#This Row],[orden]]="","",MAX(0,_xlfn.XLOOKUP(tblOrdenes[[#This Row],[id_operacion]],tblEjecucion[id_operacion],tblEjecucion[costo_plan_total],0)-tblOrdenes[[#This Row],[costo_servicio]]))</f>
        <v/>
      </c>
      <c r="AK32" s="10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2">
        <f>IF(tblOrdenes[[#This Row],[fecha_inicio]]="","",TODAY()-tblOrdenes[[#This Row],[fecha_inicio]])</f>
        <v/>
      </c>
      <c r="AB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03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0">
        <f>IF(tblOrdenes[[#This Row],[orden]]="","",_xlfn.XLOOKUP(tblOrdenes[[#This Row],[id_operacion]],tblEjecucion[id_operacion],tblEjecucion[precio],0))</f>
        <v/>
      </c>
      <c r="AJ33" s="10">
        <f>IF(tblOrdenes[[#This Row],[orden]]="","",MAX(0,_xlfn.XLOOKUP(tblOrdenes[[#This Row],[id_operacion]],tblEjecucion[id_operacion],tblEjecucion[costo_plan_total],0)-tblOrdenes[[#This Row],[costo_servicio]]))</f>
        <v/>
      </c>
      <c r="AK33" s="10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2">
        <f>IF(tblOrdenes[[#This Row],[fecha_inicio]]="","",TODAY()-tblOrdenes[[#This Row],[fecha_inicio]])</f>
        <v/>
      </c>
      <c r="AB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0">
        <f>IF(tblOrdenes[[#This Row],[orden]]="","",_xlfn.XLOOKUP(tblOrdenes[[#This Row],[id_operacion]],tblEjecucion[id_operacion],tblEjecucion[precio],0))</f>
        <v/>
      </c>
      <c r="AJ34" s="10">
        <f>IF(tblOrdenes[[#This Row],[orden]]="","",MAX(0,_xlfn.XLOOKUP(tblOrdenes[[#This Row],[id_operacion]],tblEjecucion[id_operacion],tblEjecucion[costo_plan_total],0)-tblOrdenes[[#This Row],[costo_servicio]]))</f>
        <v/>
      </c>
      <c r="AK34" s="10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2">
        <f>IF(tblOrdenes[[#This Row],[fecha_inicio]]="","",TODAY()-tblOrdenes[[#This Row],[fecha_inicio]])</f>
        <v/>
      </c>
      <c r="AB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0">
        <f>IF(tblOrdenes[[#This Row],[orden]]="","",_xlfn.XLOOKUP(tblOrdenes[[#This Row],[id_operacion]],tblEjecucion[id_operacion],tblEjecucion[precio],0))</f>
        <v/>
      </c>
      <c r="AJ35" s="10">
        <f>IF(tblOrdenes[[#This Row],[orden]]="","",MAX(0,_xlfn.XLOOKUP(tblOrdenes[[#This Row],[id_operacion]],tblEjecucion[id_operacion],tblEjecucion[costo_plan_total],0)-tblOrdenes[[#This Row],[costo_servicio]]))</f>
        <v/>
      </c>
      <c r="AK35" s="10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2">
        <f>IF(tblOrdenes[[#This Row],[fecha_inicio]]="","",TODAY()-tblOrdenes[[#This Row],[fecha_inicio]])</f>
        <v/>
      </c>
      <c r="AB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0">
        <f>IF(tblOrdenes[[#This Row],[orden]]="","",_xlfn.XLOOKUP(tblOrdenes[[#This Row],[id_operacion]],tblEjecucion[id_operacion],tblEjecucion[precio],0))</f>
        <v/>
      </c>
      <c r="AJ36" s="10">
        <f>IF(tblOrdenes[[#This Row],[orden]]="","",MAX(0,_xlfn.XLOOKUP(tblOrdenes[[#This Row],[id_operacion]],tblEjecucion[id_operacion],tblEjecucion[costo_plan_total],0)-tblOrdenes[[#This Row],[costo_servicio]]))</f>
        <v/>
      </c>
      <c r="AK36" s="10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2">
        <f>IF(tblOrdenes[[#This Row],[fecha_inicio]]="","",TODAY()-tblOrdenes[[#This Row],[fecha_inicio]])</f>
        <v/>
      </c>
      <c r="AB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>
        <is>
          <t>Técnico 01</t>
        </is>
      </c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0">
        <f>IF(tblOrdenes[[#This Row],[orden]]="","",_xlfn.XLOOKUP(tblOrdenes[[#This Row],[id_operacion]],tblEjecucion[id_operacion],tblEjecucion[precio],0))</f>
        <v/>
      </c>
      <c r="AJ37" s="10">
        <f>IF(tblOrdenes[[#This Row],[orden]]="","",MAX(0,_xlfn.XLOOKUP(tblOrdenes[[#This Row],[id_operacion]],tblEjecucion[id_operacion],tblEjecucion[costo_plan_total],0)-tblOrdenes[[#This Row],[costo_servicio]]))</f>
        <v/>
      </c>
      <c r="AK37" s="10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2">
        <f>IF(tblOrdenes[[#This Row],[fecha_inicio]]="","",TODAY()-tblOrdenes[[#This Row],[fecha_inicio]])</f>
        <v/>
      </c>
      <c r="AB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02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0">
        <f>IF(tblOrdenes[[#This Row],[orden]]="","",_xlfn.XLOOKUP(tblOrdenes[[#This Row],[id_operacion]],tblEjecucion[id_operacion],tblEjecucion[precio],0))</f>
        <v/>
      </c>
      <c r="AJ38" s="10">
        <f>IF(tblOrdenes[[#This Row],[orden]]="","",MAX(0,_xlfn.XLOOKUP(tblOrdenes[[#This Row],[id_operacion]],tblEjecucion[id_operacion],tblEjecucion[costo_plan_total],0)-tblOrdenes[[#This Row],[costo_servicio]]))</f>
        <v/>
      </c>
      <c r="AK38" s="10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2">
        <f>IF(tblOrdenes[[#This Row],[fecha_inicio]]="","",TODAY()-tblOrdenes[[#This Row],[fecha_inicio]])</f>
        <v/>
      </c>
      <c r="AB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0">
        <f>IF(tblOrdenes[[#This Row],[orden]]="","",_xlfn.XLOOKUP(tblOrdenes[[#This Row],[id_operacion]],tblEjecucion[id_operacion],tblEjecucion[precio],0))</f>
        <v/>
      </c>
      <c r="AJ39" s="10">
        <f>IF(tblOrdenes[[#This Row],[orden]]="","",MAX(0,_xlfn.XLOOKUP(tblOrdenes[[#This Row],[id_operacion]],tblEjecucion[id_operacion],tblEjecucion[costo_plan_total],0)-tblOrdenes[[#This Row],[costo_servicio]]))</f>
        <v/>
      </c>
      <c r="AK39" s="10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2">
        <f>IF(tblOrdenes[[#This Row],[fecha_inicio]]="","",TODAY()-tblOrdenes[[#This Row],[fecha_inicio]])</f>
        <v/>
      </c>
      <c r="AB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0">
        <f>IF(tblOrdenes[[#This Row],[orden]]="","",_xlfn.XLOOKUP(tblOrdenes[[#This Row],[id_operacion]],tblEjecucion[id_operacion],tblEjecucion[precio],0))</f>
        <v/>
      </c>
      <c r="AJ40" s="10">
        <f>IF(tblOrdenes[[#This Row],[orden]]="","",MAX(0,_xlfn.XLOOKUP(tblOrdenes[[#This Row],[id_operacion]],tblEjecucion[id_operacion],tblEjecucion[costo_plan_total],0)-tblOrdenes[[#This Row],[costo_servicio]]))</f>
        <v/>
      </c>
      <c r="AK40" s="10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2">
        <f>IF(tblOrdenes[[#This Row],[fecha_inicio]]="","",TODAY()-tblOrdenes[[#This Row],[fecha_inicio]])</f>
        <v/>
      </c>
      <c r="AB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02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0">
        <f>IF(tblOrdenes[[#This Row],[orden]]="","",_xlfn.XLOOKUP(tblOrdenes[[#This Row],[id_operacion]],tblEjecucion[id_operacion],tblEjecucion[precio],0))</f>
        <v/>
      </c>
      <c r="AJ41" s="10">
        <f>IF(tblOrdenes[[#This Row],[orden]]="","",MAX(0,_xlfn.XLOOKUP(tblOrdenes[[#This Row],[id_operacion]],tblEjecucion[id_operacion],tblEjecucion[costo_plan_total],0)-tblOrdenes[[#This Row],[costo_servicio]]))</f>
        <v/>
      </c>
      <c r="AK41" s="10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2">
        <f>IF(tblOrdenes[[#This Row],[fecha_inicio]]="","",TODAY()-tblOrdenes[[#This Row],[fecha_inicio]])</f>
        <v/>
      </c>
      <c r="AB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03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0">
        <f>IF(tblOrdenes[[#This Row],[orden]]="","",_xlfn.XLOOKUP(tblOrdenes[[#This Row],[id_operacion]],tblEjecucion[id_operacion],tblEjecucion[precio],0))</f>
        <v/>
      </c>
      <c r="AJ42" s="10">
        <f>IF(tblOrdenes[[#This Row],[orden]]="","",MAX(0,_xlfn.XLOOKUP(tblOrdenes[[#This Row],[id_operacion]],tblEjecucion[id_operacion],tblEjecucion[costo_plan_total],0)-tblOrdenes[[#This Row],[costo_servicio]]))</f>
        <v/>
      </c>
      <c r="AK42" s="10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2">
        <f>IF(tblOrdenes[[#This Row],[fecha_inicio]]="","",TODAY()-tblOrdenes[[#This Row],[fecha_inicio]])</f>
        <v/>
      </c>
      <c r="AB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>
        <is>
          <t>Técnico 04</t>
        </is>
      </c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0">
        <f>IF(tblOrdenes[[#This Row],[orden]]="","",_xlfn.XLOOKUP(tblOrdenes[[#This Row],[id_operacion]],tblEjecucion[id_operacion],tblEjecucion[precio],0))</f>
        <v/>
      </c>
      <c r="AJ43" s="10">
        <f>IF(tblOrdenes[[#This Row],[orden]]="","",MAX(0,_xlfn.XLOOKUP(tblOrdenes[[#This Row],[id_operacion]],tblEjecucion[id_operacion],tblEjecucion[costo_plan_total],0)-tblOrdenes[[#This Row],[costo_servicio]]))</f>
        <v/>
      </c>
      <c r="AK43" s="10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2">
        <f>IF(tblOrdenes[[#This Row],[fecha_inicio]]="","",TODAY()-tblOrdenes[[#This Row],[fecha_inicio]])</f>
        <v/>
      </c>
      <c r="AB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01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0">
        <f>IF(tblOrdenes[[#This Row],[orden]]="","",_xlfn.XLOOKUP(tblOrdenes[[#This Row],[id_operacion]],tblEjecucion[id_operacion],tblEjecucion[precio],0))</f>
        <v/>
      </c>
      <c r="AJ44" s="10">
        <f>IF(tblOrdenes[[#This Row],[orden]]="","",MAX(0,_xlfn.XLOOKUP(tblOrdenes[[#This Row],[id_operacion]],tblEjecucion[id_operacion],tblEjecucion[costo_plan_total],0)-tblOrdenes[[#This Row],[costo_servicio]]))</f>
        <v/>
      </c>
      <c r="AK44" s="10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2">
        <f>IF(tblOrdenes[[#This Row],[fecha_inicio]]="","",TODAY()-tblOrdenes[[#This Row],[fecha_inicio]])</f>
        <v/>
      </c>
      <c r="AB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02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0">
        <f>IF(tblOrdenes[[#This Row],[orden]]="","",_xlfn.XLOOKUP(tblOrdenes[[#This Row],[id_operacion]],tblEjecucion[id_operacion],tblEjecucion[precio],0))</f>
        <v/>
      </c>
      <c r="AJ45" s="10">
        <f>IF(tblOrdenes[[#This Row],[orden]]="","",MAX(0,_xlfn.XLOOKUP(tblOrdenes[[#This Row],[id_operacion]],tblEjecucion[id_operacion],tblEjecucion[costo_plan_total],0)-tblOrdenes[[#This Row],[costo_servicio]]))</f>
        <v/>
      </c>
      <c r="AK45" s="10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2">
        <f>IF(tblOrdenes[[#This Row],[fecha_inicio]]="","",TODAY()-tblOrdenes[[#This Row],[fecha_inicio]])</f>
        <v/>
      </c>
      <c r="AB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03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0">
        <f>IF(tblOrdenes[[#This Row],[orden]]="","",_xlfn.XLOOKUP(tblOrdenes[[#This Row],[id_operacion]],tblEjecucion[id_operacion],tblEjecucion[precio],0))</f>
        <v/>
      </c>
      <c r="AJ46" s="10">
        <f>IF(tblOrdenes[[#This Row],[orden]]="","",MAX(0,_xlfn.XLOOKUP(tblOrdenes[[#This Row],[id_operacion]],tblEjecucion[id_operacion],tblEjecucion[costo_plan_total],0)-tblOrdenes[[#This Row],[costo_servicio]]))</f>
        <v/>
      </c>
      <c r="AK46" s="10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2">
        <f>IF(tblOrdenes[[#This Row],[fecha_inicio]]="","",TODAY()-tblOrdenes[[#This Row],[fecha_inicio]])</f>
        <v/>
      </c>
      <c r="AB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04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0">
        <f>IF(tblOrdenes[[#This Row],[orden]]="","",_xlfn.XLOOKUP(tblOrdenes[[#This Row],[id_operacion]],tblEjecucion[id_operacion],tblEjecucion[precio],0))</f>
        <v/>
      </c>
      <c r="AJ47" s="10">
        <f>IF(tblOrdenes[[#This Row],[orden]]="","",MAX(0,_xlfn.XLOOKUP(tblOrdenes[[#This Row],[id_operacion]],tblEjecucion[id_operacion],tblEjecucion[costo_plan_total],0)-tblOrdenes[[#This Row],[costo_servicio]]))</f>
        <v/>
      </c>
      <c r="AK47" s="10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2">
        <f>IF(tblOrdenes[[#This Row],[fecha_inicio]]="","",TODAY()-tblOrdenes[[#This Row],[fecha_inicio]])</f>
        <v/>
      </c>
      <c r="AB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01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0">
        <f>IF(tblOrdenes[[#This Row],[orden]]="","",_xlfn.XLOOKUP(tblOrdenes[[#This Row],[id_operacion]],tblEjecucion[id_operacion],tblEjecucion[precio],0))</f>
        <v/>
      </c>
      <c r="AJ48" s="10">
        <f>IF(tblOrdenes[[#This Row],[orden]]="","",MAX(0,_xlfn.XLOOKUP(tblOrdenes[[#This Row],[id_operacion]],tblEjecucion[id_operacion],tblEjecucion[costo_plan_total],0)-tblOrdenes[[#This Row],[costo_servicio]]))</f>
        <v/>
      </c>
      <c r="AK48" s="10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2">
        <f>IF(tblOrdenes[[#This Row],[fecha_inicio]]="","",TODAY()-tblOrdenes[[#This Row],[fecha_inicio]])</f>
        <v/>
      </c>
      <c r="AB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02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0">
        <f>IF(tblOrdenes[[#This Row],[orden]]="","",_xlfn.XLOOKUP(tblOrdenes[[#This Row],[id_operacion]],tblEjecucion[id_operacion],tblEjecucion[precio],0))</f>
        <v/>
      </c>
      <c r="AJ49" s="10">
        <f>IF(tblOrdenes[[#This Row],[orden]]="","",MAX(0,_xlfn.XLOOKUP(tblOrdenes[[#This Row],[id_operacion]],tblEjecucion[id_operacion],tblEjecucion[costo_plan_total],0)-tblOrdenes[[#This Row],[costo_servicio]]))</f>
        <v/>
      </c>
      <c r="AK49" s="10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2">
        <f>IF(tblOrdenes[[#This Row],[fecha_inicio]]="","",TODAY()-tblOrdenes[[#This Row],[fecha_inicio]])</f>
        <v/>
      </c>
      <c r="AB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>
        <is>
          <t>Técnico 03</t>
        </is>
      </c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0">
        <f>IF(tblOrdenes[[#This Row],[orden]]="","",_xlfn.XLOOKUP(tblOrdenes[[#This Row],[id_operacion]],tblEjecucion[id_operacion],tblEjecucion[precio],0))</f>
        <v/>
      </c>
      <c r="AJ50" s="10">
        <f>IF(tblOrdenes[[#This Row],[orden]]="","",MAX(0,_xlfn.XLOOKUP(tblOrdenes[[#This Row],[id_operacion]],tblEjecucion[id_operacion],tblEjecucion[costo_plan_total],0)-tblOrdenes[[#This Row],[costo_servicio]]))</f>
        <v/>
      </c>
      <c r="AK50" s="10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2">
        <f>IF(tblOrdenes[[#This Row],[fecha_inicio]]="","",TODAY()-tblOrdenes[[#This Row],[fecha_inicio]])</f>
        <v/>
      </c>
      <c r="AB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0">
        <f>IF(tblOrdenes[[#This Row],[orden]]="","",_xlfn.XLOOKUP(tblOrdenes[[#This Row],[id_operacion]],tblEjecucion[id_operacion],tblEjecucion[precio],0))</f>
        <v/>
      </c>
      <c r="AJ51" s="10">
        <f>IF(tblOrdenes[[#This Row],[orden]]="","",MAX(0,_xlfn.XLOOKUP(tblOrdenes[[#This Row],[id_operacion]],tblEjecucion[id_operacion],tblEjecucion[costo_plan_total],0)-tblOrdenes[[#This Row],[costo_servicio]]))</f>
        <v/>
      </c>
      <c r="AK51" s="10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2">
        <f>IF(tblOrdenes[[#This Row],[fecha_inicio]]="","",TODAY()-tblOrdenes[[#This Row],[fecha_inicio]])</f>
        <v/>
      </c>
      <c r="AB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05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0">
        <f>IF(tblOrdenes[[#This Row],[orden]]="","",_xlfn.XLOOKUP(tblOrdenes[[#This Row],[id_operacion]],tblEjecucion[id_operacion],tblEjecucion[precio],0))</f>
        <v/>
      </c>
      <c r="AJ52" s="10">
        <f>IF(tblOrdenes[[#This Row],[orden]]="","",MAX(0,_xlfn.XLOOKUP(tblOrdenes[[#This Row],[id_operacion]],tblEjecucion[id_operacion],tblEjecucion[costo_plan_total],0)-tblOrdenes[[#This Row],[costo_servicio]]))</f>
        <v/>
      </c>
      <c r="AK52" s="10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2">
        <f>IF(tblOrdenes[[#This Row],[fecha_inicio]]="","",TODAY()-tblOrdenes[[#This Row],[fecha_inicio]])</f>
        <v/>
      </c>
      <c r="AB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06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0">
        <f>IF(tblOrdenes[[#This Row],[orden]]="","",_xlfn.XLOOKUP(tblOrdenes[[#This Row],[id_operacion]],tblEjecucion[id_operacion],tblEjecucion[precio],0))</f>
        <v/>
      </c>
      <c r="AJ53" s="10">
        <f>IF(tblOrdenes[[#This Row],[orden]]="","",MAX(0,_xlfn.XLOOKUP(tblOrdenes[[#This Row],[id_operacion]],tblEjecucion[id_operacion],tblEjecucion[costo_plan_total],0)-tblOrdenes[[#This Row],[costo_servicio]]))</f>
        <v/>
      </c>
      <c r="AK53" s="10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2">
        <f>IF(tblOrdenes[[#This Row],[fecha_inicio]]="","",TODAY()-tblOrdenes[[#This Row],[fecha_inicio]])</f>
        <v/>
      </c>
      <c r="AB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07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0">
        <f>IF(tblOrdenes[[#This Row],[orden]]="","",_xlfn.XLOOKUP(tblOrdenes[[#This Row],[id_operacion]],tblEjecucion[id_operacion],tblEjecucion[precio],0))</f>
        <v/>
      </c>
      <c r="AJ54" s="10">
        <f>IF(tblOrdenes[[#This Row],[orden]]="","",MAX(0,_xlfn.XLOOKUP(tblOrdenes[[#This Row],[id_operacion]],tblEjecucion[id_operacion],tblEjecucion[costo_plan_total],0)-tblOrdenes[[#This Row],[costo_servicio]]))</f>
        <v/>
      </c>
      <c r="AK54" s="10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2">
        <f>IF(tblOrdenes[[#This Row],[fecha_inicio]]="","",TODAY()-tblOrdenes[[#This Row],[fecha_inicio]])</f>
        <v/>
      </c>
      <c r="AB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05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0">
        <f>IF(tblOrdenes[[#This Row],[orden]]="","",_xlfn.XLOOKUP(tblOrdenes[[#This Row],[id_operacion]],tblEjecucion[id_operacion],tblEjecucion[precio],0))</f>
        <v/>
      </c>
      <c r="AJ55" s="10">
        <f>IF(tblOrdenes[[#This Row],[orden]]="","",MAX(0,_xlfn.XLOOKUP(tblOrdenes[[#This Row],[id_operacion]],tblEjecucion[id_operacion],tblEjecucion[costo_plan_total],0)-tblOrdenes[[#This Row],[costo_servicio]]))</f>
        <v/>
      </c>
      <c r="AK55" s="10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2">
        <f>IF(tblOrdenes[[#This Row],[fecha_inicio]]="","",TODAY()-tblOrdenes[[#This Row],[fecha_inicio]])</f>
        <v/>
      </c>
      <c r="AB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06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0">
        <f>IF(tblOrdenes[[#This Row],[orden]]="","",_xlfn.XLOOKUP(tblOrdenes[[#This Row],[id_operacion]],tblEjecucion[id_operacion],tblEjecucion[precio],0))</f>
        <v/>
      </c>
      <c r="AJ56" s="10">
        <f>IF(tblOrdenes[[#This Row],[orden]]="","",MAX(0,_xlfn.XLOOKUP(tblOrdenes[[#This Row],[id_operacion]],tblEjecucion[id_operacion],tblEjecucion[costo_plan_total],0)-tblOrdenes[[#This Row],[costo_servicio]]))</f>
        <v/>
      </c>
      <c r="AK56" s="10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2">
        <f>IF(tblOrdenes[[#This Row],[fecha_inicio]]="","",TODAY()-tblOrdenes[[#This Row],[fecha_inicio]])</f>
        <v/>
      </c>
      <c r="AB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07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0">
        <f>IF(tblOrdenes[[#This Row],[orden]]="","",_xlfn.XLOOKUP(tblOrdenes[[#This Row],[id_operacion]],tblEjecucion[id_operacion],tblEjecucion[precio],0))</f>
        <v/>
      </c>
      <c r="AJ57" s="10">
        <f>IF(tblOrdenes[[#This Row],[orden]]="","",MAX(0,_xlfn.XLOOKUP(tblOrdenes[[#This Row],[id_operacion]],tblEjecucion[id_operacion],tblEjecucion[costo_plan_total],0)-tblOrdenes[[#This Row],[costo_servicio]]))</f>
        <v/>
      </c>
      <c r="AK57" s="10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2">
        <f>IF(tblOrdenes[[#This Row],[fecha_inicio]]="","",TODAY()-tblOrdenes[[#This Row],[fecha_inicio]])</f>
        <v/>
      </c>
      <c r="AB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05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0">
        <f>IF(tblOrdenes[[#This Row],[orden]]="","",_xlfn.XLOOKUP(tblOrdenes[[#This Row],[id_operacion]],tblEjecucion[id_operacion],tblEjecucion[precio],0))</f>
        <v/>
      </c>
      <c r="AJ58" s="10">
        <f>IF(tblOrdenes[[#This Row],[orden]]="","",MAX(0,_xlfn.XLOOKUP(tblOrdenes[[#This Row],[id_operacion]],tblEjecucion[id_operacion],tblEjecucion[costo_plan_total],0)-tblOrdenes[[#This Row],[costo_servicio]]))</f>
        <v/>
      </c>
      <c r="AK58" s="10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2">
        <f>IF(tblOrdenes[[#This Row],[fecha_inicio]]="","",TODAY()-tblOrdenes[[#This Row],[fecha_inicio]])</f>
        <v/>
      </c>
      <c r="AB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06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0">
        <f>IF(tblOrdenes[[#This Row],[orden]]="","",_xlfn.XLOOKUP(tblOrdenes[[#This Row],[id_operacion]],tblEjecucion[id_operacion],tblEjecucion[precio],0))</f>
        <v/>
      </c>
      <c r="AJ59" s="10">
        <f>IF(tblOrdenes[[#This Row],[orden]]="","",MAX(0,_xlfn.XLOOKUP(tblOrdenes[[#This Row],[id_operacion]],tblEjecucion[id_operacion],tblEjecucion[costo_plan_total],0)-tblOrdenes[[#This Row],[costo_servicio]]))</f>
        <v/>
      </c>
      <c r="AK59" s="10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2">
        <f>IF(tblOrdenes[[#This Row],[fecha_inicio]]="","",TODAY()-tblOrdenes[[#This Row],[fecha_inicio]])</f>
        <v/>
      </c>
      <c r="AB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07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0">
        <f>IF(tblOrdenes[[#This Row],[orden]]="","",_xlfn.XLOOKUP(tblOrdenes[[#This Row],[id_operacion]],tblEjecucion[id_operacion],tblEjecucion[precio],0))</f>
        <v/>
      </c>
      <c r="AJ60" s="10">
        <f>IF(tblOrdenes[[#This Row],[orden]]="","",MAX(0,_xlfn.XLOOKUP(tblOrdenes[[#This Row],[id_operacion]],tblEjecucion[id_operacion],tblEjecucion[costo_plan_total],0)-tblOrdenes[[#This Row],[costo_servicio]]))</f>
        <v/>
      </c>
      <c r="AK60" s="10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2">
        <f>IF(tblOrdenes[[#This Row],[fecha_inicio]]="","",TODAY()-tblOrdenes[[#This Row],[fecha_inicio]])</f>
        <v/>
      </c>
      <c r="AB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05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0">
        <f>IF(tblOrdenes[[#This Row],[orden]]="","",_xlfn.XLOOKUP(tblOrdenes[[#This Row],[id_operacion]],tblEjecucion[id_operacion],tblEjecucion[precio],0))</f>
        <v/>
      </c>
      <c r="AJ61" s="10">
        <f>IF(tblOrdenes[[#This Row],[orden]]="","",MAX(0,_xlfn.XLOOKUP(tblOrdenes[[#This Row],[id_operacion]],tblEjecucion[id_operacion],tblEjecucion[costo_plan_total],0)-tblOrdenes[[#This Row],[costo_servicio]]))</f>
        <v/>
      </c>
      <c r="AK61" s="10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2">
        <f>IF(tblOrdenes[[#This Row],[fecha_inicio]]="","",TODAY()-tblOrdenes[[#This Row],[fecha_inicio]])</f>
        <v/>
      </c>
      <c r="AB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06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0">
        <f>IF(tblOrdenes[[#This Row],[orden]]="","",_xlfn.XLOOKUP(tblOrdenes[[#This Row],[id_operacion]],tblEjecucion[id_operacion],tblEjecucion[precio],0))</f>
        <v/>
      </c>
      <c r="AJ62" s="10">
        <f>IF(tblOrdenes[[#This Row],[orden]]="","",MAX(0,_xlfn.XLOOKUP(tblOrdenes[[#This Row],[id_operacion]],tblEjecucion[id_operacion],tblEjecucion[costo_plan_total],0)-tblOrdenes[[#This Row],[costo_servicio]]))</f>
        <v/>
      </c>
      <c r="AK62" s="10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/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2">
        <f>IF(tblOrdenes[[#This Row],[fecha_inicio]]="","",TODAY()-tblOrdenes[[#This Row],[fecha_inicio]])</f>
        <v/>
      </c>
      <c r="AB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0">
        <f>IF(tblOrdenes[[#This Row],[orden]]="","",_xlfn.XLOOKUP(tblOrdenes[[#This Row],[id_operacion]],tblEjecucion[id_operacion],tblEjecucion[precio],0))</f>
        <v/>
      </c>
      <c r="AJ63" s="10">
        <f>IF(tblOrdenes[[#This Row],[orden]]="","",MAX(0,_xlfn.XLOOKUP(tblOrdenes[[#This Row],[id_operacion]],tblEjecucion[id_operacion],tblEjecucion[costo_plan_total],0)-tblOrdenes[[#This Row],[costo_servicio]]))</f>
        <v/>
      </c>
      <c r="AK63" s="10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2">
        <f>IF(tblOrdenes[[#This Row],[fecha_inicio]]="","",TODAY()-tblOrdenes[[#This Row],[fecha_inicio]])</f>
        <v/>
      </c>
      <c r="AB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05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0">
        <f>IF(tblOrdenes[[#This Row],[orden]]="","",_xlfn.XLOOKUP(tblOrdenes[[#This Row],[id_operacion]],tblEjecucion[id_operacion],tblEjecucion[precio],0))</f>
        <v/>
      </c>
      <c r="AJ64" s="10">
        <f>IF(tblOrdenes[[#This Row],[orden]]="","",MAX(0,_xlfn.XLOOKUP(tblOrdenes[[#This Row],[id_operacion]],tblEjecucion[id_operacion],tblEjecucion[costo_plan_total],0)-tblOrdenes[[#This Row],[costo_servicio]]))</f>
        <v/>
      </c>
      <c r="AK64" s="10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>
        <is>
          <t>Ajuste 6 → 4 h en hoja AJUSTES</t>
        </is>
      </c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2">
        <f>IF(tblOrdenes[[#This Row],[fecha_inicio]]="","",TODAY()-tblOrdenes[[#This Row],[fecha_inicio]])</f>
        <v/>
      </c>
      <c r="AB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06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0">
        <f>IF(tblOrdenes[[#This Row],[orden]]="","",_xlfn.XLOOKUP(tblOrdenes[[#This Row],[id_operacion]],tblEjecucion[id_operacion],tblEjecucion[precio],0))</f>
        <v/>
      </c>
      <c r="AJ65" s="10">
        <f>IF(tblOrdenes[[#This Row],[orden]]="","",MAX(0,_xlfn.XLOOKUP(tblOrdenes[[#This Row],[id_operacion]],tblEjecucion[id_operacion],tblEjecucion[costo_plan_total],0)-tblOrdenes[[#This Row],[costo_servicio]]))</f>
        <v/>
      </c>
      <c r="AK65" s="10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2">
        <f>IF(tblOrdenes[[#This Row],[fecha_inicio]]="","",TODAY()-tblOrdenes[[#This Row],[fecha_inicio]])</f>
        <v/>
      </c>
      <c r="AB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07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0">
        <f>IF(tblOrdenes[[#This Row],[orden]]="","",_xlfn.XLOOKUP(tblOrdenes[[#This Row],[id_operacion]],tblEjecucion[id_operacion],tblEjecucion[precio],0))</f>
        <v/>
      </c>
      <c r="AJ66" s="10">
        <f>IF(tblOrdenes[[#This Row],[orden]]="","",MAX(0,_xlfn.XLOOKUP(tblOrdenes[[#This Row],[id_operacion]],tblEjecucion[id_operacion],tblEjecucion[costo_plan_total],0)-tblOrdenes[[#This Row],[costo_servicio]]))</f>
        <v/>
      </c>
      <c r="AK66" s="10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2">
        <f>IF(tblOrdenes[[#This Row],[fecha_inicio]]="","",TODAY()-tblOrdenes[[#This Row],[fecha_inicio]])</f>
        <v/>
      </c>
      <c r="AB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05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0">
        <f>IF(tblOrdenes[[#This Row],[orden]]="","",_xlfn.XLOOKUP(tblOrdenes[[#This Row],[id_operacion]],tblEjecucion[id_operacion],tblEjecucion[precio],0))</f>
        <v/>
      </c>
      <c r="AJ67" s="10">
        <f>IF(tblOrdenes[[#This Row],[orden]]="","",MAX(0,_xlfn.XLOOKUP(tblOrdenes[[#This Row],[id_operacion]],tblEjecucion[id_operacion],tblEjecucion[costo_plan_total],0)-tblOrdenes[[#This Row],[costo_servicio]]))</f>
        <v/>
      </c>
      <c r="AK67" s="10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2">
        <f>IF(tblOrdenes[[#This Row],[fecha_inicio]]="","",TODAY()-tblOrdenes[[#This Row],[fecha_inicio]])</f>
        <v/>
      </c>
      <c r="AB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06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0">
        <f>IF(tblOrdenes[[#This Row],[orden]]="","",_xlfn.XLOOKUP(tblOrdenes[[#This Row],[id_operacion]],tblEjecucion[id_operacion],tblEjecucion[precio],0))</f>
        <v/>
      </c>
      <c r="AJ68" s="10">
        <f>IF(tblOrdenes[[#This Row],[orden]]="","",MAX(0,_xlfn.XLOOKUP(tblOrdenes[[#This Row],[id_operacion]],tblEjecucion[id_operacion],tblEjecucion[costo_plan_total],0)-tblOrdenes[[#This Row],[costo_servicio]]))</f>
        <v/>
      </c>
      <c r="AK68" s="10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2">
        <f>IF(tblOrdenes[[#This Row],[fecha_inicio]]="","",TODAY()-tblOrdenes[[#This Row],[fecha_inicio]])</f>
        <v/>
      </c>
      <c r="AB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07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0">
        <f>IF(tblOrdenes[[#This Row],[orden]]="","",_xlfn.XLOOKUP(tblOrdenes[[#This Row],[id_operacion]],tblEjecucion[id_operacion],tblEjecucion[precio],0))</f>
        <v/>
      </c>
      <c r="AJ69" s="10">
        <f>IF(tblOrdenes[[#This Row],[orden]]="","",MAX(0,_xlfn.XLOOKUP(tblOrdenes[[#This Row],[id_operacion]],tblEjecucion[id_operacion],tblEjecucion[costo_plan_total],0)-tblOrdenes[[#This Row],[costo_servicio]]))</f>
        <v/>
      </c>
      <c r="AK69" s="10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2">
        <f>IF(tblOrdenes[[#This Row],[fecha_inicio]]="","",TODAY()-tblOrdenes[[#This Row],[fecha_inicio]])</f>
        <v/>
      </c>
      <c r="AB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05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0">
        <f>IF(tblOrdenes[[#This Row],[orden]]="","",_xlfn.XLOOKUP(tblOrdenes[[#This Row],[id_operacion]],tblEjecucion[id_operacion],tblEjecucion[precio],0))</f>
        <v/>
      </c>
      <c r="AJ70" s="10">
        <f>IF(tblOrdenes[[#This Row],[orden]]="","",MAX(0,_xlfn.XLOOKUP(tblOrdenes[[#This Row],[id_operacion]],tblEjecucion[id_operacion],tblEjecucion[costo_plan_total],0)-tblOrdenes[[#This Row],[costo_servicio]]))</f>
        <v/>
      </c>
      <c r="AK70" s="10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2">
        <f>IF(tblOrdenes[[#This Row],[fecha_inicio]]="","",TODAY()-tblOrdenes[[#This Row],[fecha_inicio]])</f>
        <v/>
      </c>
      <c r="AB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06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0">
        <f>IF(tblOrdenes[[#This Row],[orden]]="","",_xlfn.XLOOKUP(tblOrdenes[[#This Row],[id_operacion]],tblEjecucion[id_operacion],tblEjecucion[precio],0))</f>
        <v/>
      </c>
      <c r="AJ71" s="10">
        <f>IF(tblOrdenes[[#This Row],[orden]]="","",MAX(0,_xlfn.XLOOKUP(tblOrdenes[[#This Row],[id_operacion]],tblEjecucion[id_operacion],tblEjecucion[costo_plan_total],0)-tblOrdenes[[#This Row],[costo_servicio]]))</f>
        <v/>
      </c>
      <c r="AK71" s="10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2">
        <f>IF(tblOrdenes[[#This Row],[fecha_inicio]]="","",TODAY()-tblOrdenes[[#This Row],[fecha_inicio]])</f>
        <v/>
      </c>
      <c r="AB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07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0">
        <f>IF(tblOrdenes[[#This Row],[orden]]="","",_xlfn.XLOOKUP(tblOrdenes[[#This Row],[id_operacion]],tblEjecucion[id_operacion],tblEjecucion[precio],0))</f>
        <v/>
      </c>
      <c r="AJ72" s="10">
        <f>IF(tblOrdenes[[#This Row],[orden]]="","",MAX(0,_xlfn.XLOOKUP(tblOrdenes[[#This Row],[id_operacion]],tblEjecucion[id_operacion],tblEjecucion[costo_plan_total],0)-tblOrdenes[[#This Row],[costo_servicio]]))</f>
        <v/>
      </c>
      <c r="AK72" s="10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2">
        <f>IF(tblOrdenes[[#This Row],[fecha_inicio]]="","",TODAY()-tblOrdenes[[#This Row],[fecha_inicio]])</f>
        <v/>
      </c>
      <c r="AB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05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0">
        <f>IF(tblOrdenes[[#This Row],[orden]]="","",_xlfn.XLOOKUP(tblOrdenes[[#This Row],[id_operacion]],tblEjecucion[id_operacion],tblEjecucion[precio],0))</f>
        <v/>
      </c>
      <c r="AJ73" s="10">
        <f>IF(tblOrdenes[[#This Row],[orden]]="","",MAX(0,_xlfn.XLOOKUP(tblOrdenes[[#This Row],[id_operacion]],tblEjecucion[id_operacion],tblEjecucion[costo_plan_total],0)-tblOrdenes[[#This Row],[costo_servicio]]))</f>
        <v/>
      </c>
      <c r="AK73" s="10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2">
        <f>IF(tblOrdenes[[#This Row],[fecha_inicio]]="","",TODAY()-tblOrdenes[[#This Row],[fecha_inicio]])</f>
        <v/>
      </c>
      <c r="AB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06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0">
        <f>IF(tblOrdenes[[#This Row],[orden]]="","",_xlfn.XLOOKUP(tblOrdenes[[#This Row],[id_operacion]],tblEjecucion[id_operacion],tblEjecucion[precio],0))</f>
        <v/>
      </c>
      <c r="AJ74" s="10">
        <f>IF(tblOrdenes[[#This Row],[orden]]="","",MAX(0,_xlfn.XLOOKUP(tblOrdenes[[#This Row],[id_operacion]],tblEjecucion[id_operacion],tblEjecucion[costo_plan_total],0)-tblOrdenes[[#This Row],[costo_servicio]]))</f>
        <v/>
      </c>
      <c r="AK74" s="10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2">
        <f>IF(tblOrdenes[[#This Row],[fecha_inicio]]="","",TODAY()-tblOrdenes[[#This Row],[fecha_inicio]])</f>
        <v/>
      </c>
      <c r="AB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0">
        <f>IF(tblOrdenes[[#This Row],[orden]]="","",_xlfn.XLOOKUP(tblOrdenes[[#This Row],[id_operacion]],tblEjecucion[id_operacion],tblEjecucion[precio],0))</f>
        <v/>
      </c>
      <c r="AJ75" s="10">
        <f>IF(tblOrdenes[[#This Row],[orden]]="","",MAX(0,_xlfn.XLOOKUP(tblOrdenes[[#This Row],[id_operacion]],tblEjecucion[id_operacion],tblEjecucion[costo_plan_total],0)-tblOrdenes[[#This Row],[costo_servicio]]))</f>
        <v/>
      </c>
      <c r="AK75" s="10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2">
        <f>IF(tblOrdenes[[#This Row],[fecha_inicio]]="","",TODAY()-tblOrdenes[[#This Row],[fecha_inicio]])</f>
        <v/>
      </c>
      <c r="AB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05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0">
        <f>IF(tblOrdenes[[#This Row],[orden]]="","",_xlfn.XLOOKUP(tblOrdenes[[#This Row],[id_operacion]],tblEjecucion[id_operacion],tblEjecucion[precio],0))</f>
        <v/>
      </c>
      <c r="AJ76" s="10">
        <f>IF(tblOrdenes[[#This Row],[orden]]="","",MAX(0,_xlfn.XLOOKUP(tblOrdenes[[#This Row],[id_operacion]],tblEjecucion[id_operacion],tblEjecucion[costo_plan_total],0)-tblOrdenes[[#This Row],[costo_servicio]]))</f>
        <v/>
      </c>
      <c r="AK76" s="10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2">
        <f>IF(tblOrdenes[[#This Row],[fecha_inicio]]="","",TODAY()-tblOrdenes[[#This Row],[fecha_inicio]])</f>
        <v/>
      </c>
      <c r="AB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06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0">
        <f>IF(tblOrdenes[[#This Row],[orden]]="","",_xlfn.XLOOKUP(tblOrdenes[[#This Row],[id_operacion]],tblEjecucion[id_operacion],tblEjecucion[precio],0))</f>
        <v/>
      </c>
      <c r="AJ77" s="10">
        <f>IF(tblOrdenes[[#This Row],[orden]]="","",MAX(0,_xlfn.XLOOKUP(tblOrdenes[[#This Row],[id_operacion]],tblEjecucion[id_operacion],tblEjecucion[costo_plan_total],0)-tblOrdenes[[#This Row],[costo_servicio]]))</f>
        <v/>
      </c>
      <c r="AK77" s="10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2">
        <f>IF(tblOrdenes[[#This Row],[fecha_inicio]]="","",TODAY()-tblOrdenes[[#This Row],[fecha_inicio]])</f>
        <v/>
      </c>
      <c r="AB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07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0">
        <f>IF(tblOrdenes[[#This Row],[orden]]="","",_xlfn.XLOOKUP(tblOrdenes[[#This Row],[id_operacion]],tblEjecucion[id_operacion],tblEjecucion[precio],0))</f>
        <v/>
      </c>
      <c r="AJ78" s="10">
        <f>IF(tblOrdenes[[#This Row],[orden]]="","",MAX(0,_xlfn.XLOOKUP(tblOrdenes[[#This Row],[id_operacion]],tblEjecucion[id_operacion],tblEjecucion[costo_plan_total],0)-tblOrdenes[[#This Row],[costo_servicio]]))</f>
        <v/>
      </c>
      <c r="AK78" s="10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2">
        <f>IF(tblOrdenes[[#This Row],[fecha_inicio]]="","",TODAY()-tblOrdenes[[#This Row],[fecha_inicio]])</f>
        <v/>
      </c>
      <c r="AB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05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0">
        <f>IF(tblOrdenes[[#This Row],[orden]]="","",_xlfn.XLOOKUP(tblOrdenes[[#This Row],[id_operacion]],tblEjecucion[id_operacion],tblEjecucion[precio],0))</f>
        <v/>
      </c>
      <c r="AJ79" s="10">
        <f>IF(tblOrdenes[[#This Row],[orden]]="","",MAX(0,_xlfn.XLOOKUP(tblOrdenes[[#This Row],[id_operacion]],tblEjecucion[id_operacion],tblEjecucion[costo_plan_total],0)-tblOrdenes[[#This Row],[costo_servicio]]))</f>
        <v/>
      </c>
      <c r="AK79" s="10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2">
        <f>IF(tblOrdenes[[#This Row],[fecha_inicio]]="","",TODAY()-tblOrdenes[[#This Row],[fecha_inicio]])</f>
        <v/>
      </c>
      <c r="AB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06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0">
        <f>IF(tblOrdenes[[#This Row],[orden]]="","",_xlfn.XLOOKUP(tblOrdenes[[#This Row],[id_operacion]],tblEjecucion[id_operacion],tblEjecucion[precio],0))</f>
        <v/>
      </c>
      <c r="AJ80" s="10">
        <f>IF(tblOrdenes[[#This Row],[orden]]="","",MAX(0,_xlfn.XLOOKUP(tblOrdenes[[#This Row],[id_operacion]],tblEjecucion[id_operacion],tblEjecucion[costo_plan_total],0)-tblOrdenes[[#This Row],[costo_servicio]]))</f>
        <v/>
      </c>
      <c r="AK80" s="10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2">
        <f>IF(tblOrdenes[[#This Row],[fecha_inicio]]="","",TODAY()-tblOrdenes[[#This Row],[fecha_inicio]])</f>
        <v/>
      </c>
      <c r="AB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07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0">
        <f>IF(tblOrdenes[[#This Row],[orden]]="","",_xlfn.XLOOKUP(tblOrdenes[[#This Row],[id_operacion]],tblEjecucion[id_operacion],tblEjecucion[precio],0))</f>
        <v/>
      </c>
      <c r="AJ81" s="10">
        <f>IF(tblOrdenes[[#This Row],[orden]]="","",MAX(0,_xlfn.XLOOKUP(tblOrdenes[[#This Row],[id_operacion]],tblEjecucion[id_operacion],tblEjecucion[costo_plan_total],0)-tblOrdenes[[#This Row],[costo_servicio]]))</f>
        <v/>
      </c>
      <c r="AK81" s="10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2">
        <f>IF(tblOrdenes[[#This Row],[fecha_inicio]]="","",TODAY()-tblOrdenes[[#This Row],[fecha_inicio]])</f>
        <v/>
      </c>
      <c r="AB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05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0">
        <f>IF(tblOrdenes[[#This Row],[orden]]="","",_xlfn.XLOOKUP(tblOrdenes[[#This Row],[id_operacion]],tblEjecucion[id_operacion],tblEjecucion[precio],0))</f>
        <v/>
      </c>
      <c r="AJ82" s="10">
        <f>IF(tblOrdenes[[#This Row],[orden]]="","",MAX(0,_xlfn.XLOOKUP(tblOrdenes[[#This Row],[id_operacion]],tblEjecucion[id_operacion],tblEjecucion[costo_plan_total],0)-tblOrdenes[[#This Row],[costo_servicio]]))</f>
        <v/>
      </c>
      <c r="AK82" s="10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2">
        <f>IF(tblOrdenes[[#This Row],[fecha_inicio]]="","",TODAY()-tblOrdenes[[#This Row],[fecha_inicio]])</f>
        <v/>
      </c>
      <c r="AB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06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0">
        <f>IF(tblOrdenes[[#This Row],[orden]]="","",_xlfn.XLOOKUP(tblOrdenes[[#This Row],[id_operacion]],tblEjecucion[id_operacion],tblEjecucion[precio],0))</f>
        <v/>
      </c>
      <c r="AJ83" s="10">
        <f>IF(tblOrdenes[[#This Row],[orden]]="","",MAX(0,_xlfn.XLOOKUP(tblOrdenes[[#This Row],[id_operacion]],tblEjecucion[id_operacion],tblEjecucion[costo_plan_total],0)-tblOrdenes[[#This Row],[costo_servicio]]))</f>
        <v/>
      </c>
      <c r="AK83" s="10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2">
        <f>IF(tblOrdenes[[#This Row],[fecha_inicio]]="","",TODAY()-tblOrdenes[[#This Row],[fecha_inicio]])</f>
        <v/>
      </c>
      <c r="AB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07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0">
        <f>IF(tblOrdenes[[#This Row],[orden]]="","",_xlfn.XLOOKUP(tblOrdenes[[#This Row],[id_operacion]],tblEjecucion[id_operacion],tblEjecucion[precio],0))</f>
        <v/>
      </c>
      <c r="AJ84" s="10">
        <f>IF(tblOrdenes[[#This Row],[orden]]="","",MAX(0,_xlfn.XLOOKUP(tblOrdenes[[#This Row],[id_operacion]],tblEjecucion[id_operacion],tblEjecucion[costo_plan_total],0)-tblOrdenes[[#This Row],[costo_servicio]]))</f>
        <v/>
      </c>
      <c r="AK84" s="10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2">
        <f>IF(tblOrdenes[[#This Row],[fecha_inicio]]="","",TODAY()-tblOrdenes[[#This Row],[fecha_inicio]])</f>
        <v/>
      </c>
      <c r="AB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05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0">
        <f>IF(tblOrdenes[[#This Row],[orden]]="","",_xlfn.XLOOKUP(tblOrdenes[[#This Row],[id_operacion]],tblEjecucion[id_operacion],tblEjecucion[precio],0))</f>
        <v/>
      </c>
      <c r="AJ85" s="10">
        <f>IF(tblOrdenes[[#This Row],[orden]]="","",MAX(0,_xlfn.XLOOKUP(tblOrdenes[[#This Row],[id_operacion]],tblEjecucion[id_operacion],tblEjecucion[costo_plan_total],0)-tblOrdenes[[#This Row],[costo_servicio]]))</f>
        <v/>
      </c>
      <c r="AK85" s="10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2">
        <f>IF(tblOrdenes[[#This Row],[fecha_inicio]]="","",TODAY()-tblOrdenes[[#This Row],[fecha_inicio]])</f>
        <v/>
      </c>
      <c r="AB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06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0">
        <f>IF(tblOrdenes[[#This Row],[orden]]="","",_xlfn.XLOOKUP(tblOrdenes[[#This Row],[id_operacion]],tblEjecucion[id_operacion],tblEjecucion[precio],0))</f>
        <v/>
      </c>
      <c r="AJ86" s="10">
        <f>IF(tblOrdenes[[#This Row],[orden]]="","",MAX(0,_xlfn.XLOOKUP(tblOrdenes[[#This Row],[id_operacion]],tblEjecucion[id_operacion],tblEjecucion[costo_plan_total],0)-tblOrdenes[[#This Row],[costo_servicio]]))</f>
        <v/>
      </c>
      <c r="AK86" s="10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2">
        <f>IF(tblOrdenes[[#This Row],[fecha_inicio]]="","",TODAY()-tblOrdenes[[#This Row],[fecha_inicio]])</f>
        <v/>
      </c>
      <c r="AB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0">
        <f>IF(tblOrdenes[[#This Row],[orden]]="","",_xlfn.XLOOKUP(tblOrdenes[[#This Row],[id_operacion]],tblEjecucion[id_operacion],tblEjecucion[precio],0))</f>
        <v/>
      </c>
      <c r="AJ87" s="10">
        <f>IF(tblOrdenes[[#This Row],[orden]]="","",MAX(0,_xlfn.XLOOKUP(tblOrdenes[[#This Row],[id_operacion]],tblEjecucion[id_operacion],tblEjecucion[costo_plan_total],0)-tblOrdenes[[#This Row],[costo_servicio]]))</f>
        <v/>
      </c>
      <c r="AK87" s="10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2">
        <f>IF(tblOrdenes[[#This Row],[fecha_inicio]]="","",TODAY()-tblOrdenes[[#This Row],[fecha_inicio]])</f>
        <v/>
      </c>
      <c r="AB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08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0">
        <f>IF(tblOrdenes[[#This Row],[orden]]="","",_xlfn.XLOOKUP(tblOrdenes[[#This Row],[id_operacion]],tblEjecucion[id_operacion],tblEjecucion[precio],0))</f>
        <v/>
      </c>
      <c r="AJ88" s="10">
        <f>IF(tblOrdenes[[#This Row],[orden]]="","",MAX(0,_xlfn.XLOOKUP(tblOrdenes[[#This Row],[id_operacion]],tblEjecucion[id_operacion],tblEjecucion[costo_plan_total],0)-tblOrdenes[[#This Row],[costo_servicio]]))</f>
        <v/>
      </c>
      <c r="AK88" s="10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2">
        <f>IF(tblOrdenes[[#This Row],[fecha_inicio]]="","",TODAY()-tblOrdenes[[#This Row],[fecha_inicio]])</f>
        <v/>
      </c>
      <c r="AB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09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0">
        <f>IF(tblOrdenes[[#This Row],[orden]]="","",_xlfn.XLOOKUP(tblOrdenes[[#This Row],[id_operacion]],tblEjecucion[id_operacion],tblEjecucion[precio],0))</f>
        <v/>
      </c>
      <c r="AJ89" s="10">
        <f>IF(tblOrdenes[[#This Row],[orden]]="","",MAX(0,_xlfn.XLOOKUP(tblOrdenes[[#This Row],[id_operacion]],tblEjecucion[id_operacion],tblEjecucion[costo_plan_total],0)-tblOrdenes[[#This Row],[costo_servicio]]))</f>
        <v/>
      </c>
      <c r="AK89" s="10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2">
        <f>IF(tblOrdenes[[#This Row],[fecha_inicio]]="","",TODAY()-tblOrdenes[[#This Row],[fecha_inicio]])</f>
        <v/>
      </c>
      <c r="AB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08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0">
        <f>IF(tblOrdenes[[#This Row],[orden]]="","",_xlfn.XLOOKUP(tblOrdenes[[#This Row],[id_operacion]],tblEjecucion[id_operacion],tblEjecucion[precio],0))</f>
        <v/>
      </c>
      <c r="AJ90" s="10">
        <f>IF(tblOrdenes[[#This Row],[orden]]="","",MAX(0,_xlfn.XLOOKUP(tblOrdenes[[#This Row],[id_operacion]],tblEjecucion[id_operacion],tblEjecucion[costo_plan_total],0)-tblOrdenes[[#This Row],[costo_servicio]]))</f>
        <v/>
      </c>
      <c r="AK90" s="10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2">
        <f>IF(tblOrdenes[[#This Row],[fecha_inicio]]="","",TODAY()-tblOrdenes[[#This Row],[fecha_inicio]])</f>
        <v/>
      </c>
      <c r="AB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09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0">
        <f>IF(tblOrdenes[[#This Row],[orden]]="","",_xlfn.XLOOKUP(tblOrdenes[[#This Row],[id_operacion]],tblEjecucion[id_operacion],tblEjecucion[precio],0))</f>
        <v/>
      </c>
      <c r="AJ91" s="10">
        <f>IF(tblOrdenes[[#This Row],[orden]]="","",MAX(0,_xlfn.XLOOKUP(tblOrdenes[[#This Row],[id_operacion]],tblEjecucion[id_operacion],tblEjecucion[costo_plan_total],0)-tblOrdenes[[#This Row],[costo_servicio]]))</f>
        <v/>
      </c>
      <c r="AK91" s="10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2">
        <f>IF(tblOrdenes[[#This Row],[fecha_inicio]]="","",TODAY()-tblOrdenes[[#This Row],[fecha_inicio]])</f>
        <v/>
      </c>
      <c r="AB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08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0">
        <f>IF(tblOrdenes[[#This Row],[orden]]="","",_xlfn.XLOOKUP(tblOrdenes[[#This Row],[id_operacion]],tblEjecucion[id_operacion],tblEjecucion[precio],0))</f>
        <v/>
      </c>
      <c r="AJ92" s="10">
        <f>IF(tblOrdenes[[#This Row],[orden]]="","",MAX(0,_xlfn.XLOOKUP(tblOrdenes[[#This Row],[id_operacion]],tblEjecucion[id_operacion],tblEjecucion[costo_plan_total],0)-tblOrdenes[[#This Row],[costo_servicio]]))</f>
        <v/>
      </c>
      <c r="AK92" s="10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2">
        <f>IF(tblOrdenes[[#This Row],[fecha_inicio]]="","",TODAY()-tblOrdenes[[#This Row],[fecha_inicio]])</f>
        <v/>
      </c>
      <c r="AB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09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0">
        <f>IF(tblOrdenes[[#This Row],[orden]]="","",_xlfn.XLOOKUP(tblOrdenes[[#This Row],[id_operacion]],tblEjecucion[id_operacion],tblEjecucion[precio],0))</f>
        <v/>
      </c>
      <c r="AJ93" s="10">
        <f>IF(tblOrdenes[[#This Row],[orden]]="","",MAX(0,_xlfn.XLOOKUP(tblOrdenes[[#This Row],[id_operacion]],tblEjecucion[id_operacion],tblEjecucion[costo_plan_total],0)-tblOrdenes[[#This Row],[costo_servicio]]))</f>
        <v/>
      </c>
      <c r="AK93" s="10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2">
        <f>IF(tblOrdenes[[#This Row],[fecha_inicio]]="","",TODAY()-tblOrdenes[[#This Row],[fecha_inicio]])</f>
        <v/>
      </c>
      <c r="AB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08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0">
        <f>IF(tblOrdenes[[#This Row],[orden]]="","",_xlfn.XLOOKUP(tblOrdenes[[#This Row],[id_operacion]],tblEjecucion[id_operacion],tblEjecucion[precio],0))</f>
        <v/>
      </c>
      <c r="AJ94" s="10">
        <f>IF(tblOrdenes[[#This Row],[orden]]="","",MAX(0,_xlfn.XLOOKUP(tblOrdenes[[#This Row],[id_operacion]],tblEjecucion[id_operacion],tblEjecucion[costo_plan_total],0)-tblOrdenes[[#This Row],[costo_servicio]]))</f>
        <v/>
      </c>
      <c r="AK94" s="10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2">
        <f>IF(tblOrdenes[[#This Row],[fecha_inicio]]="","",TODAY()-tblOrdenes[[#This Row],[fecha_inicio]])</f>
        <v/>
      </c>
      <c r="AB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09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0">
        <f>IF(tblOrdenes[[#This Row],[orden]]="","",_xlfn.XLOOKUP(tblOrdenes[[#This Row],[id_operacion]],tblEjecucion[id_operacion],tblEjecucion[precio],0))</f>
        <v/>
      </c>
      <c r="AJ95" s="10">
        <f>IF(tblOrdenes[[#This Row],[orden]]="","",MAX(0,_xlfn.XLOOKUP(tblOrdenes[[#This Row],[id_operacion]],tblEjecucion[id_operacion],tblEjecucion[costo_plan_total],0)-tblOrdenes[[#This Row],[costo_servicio]]))</f>
        <v/>
      </c>
      <c r="AK95" s="10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2">
        <f>IF(tblOrdenes[[#This Row],[fecha_inicio]]="","",TODAY()-tblOrdenes[[#This Row],[fecha_inicio]])</f>
        <v/>
      </c>
      <c r="AB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08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0">
        <f>IF(tblOrdenes[[#This Row],[orden]]="","",_xlfn.XLOOKUP(tblOrdenes[[#This Row],[id_operacion]],tblEjecucion[id_operacion],tblEjecucion[precio],0))</f>
        <v/>
      </c>
      <c r="AJ96" s="10">
        <f>IF(tblOrdenes[[#This Row],[orden]]="","",MAX(0,_xlfn.XLOOKUP(tblOrdenes[[#This Row],[id_operacion]],tblEjecucion[id_operacion],tblEjecucion[costo_plan_total],0)-tblOrdenes[[#This Row],[costo_servicio]]))</f>
        <v/>
      </c>
      <c r="AK96" s="10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2">
        <f>IF(tblOrdenes[[#This Row],[fecha_inicio]]="","",TODAY()-tblOrdenes[[#This Row],[fecha_inicio]])</f>
        <v/>
      </c>
      <c r="AB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09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0">
        <f>IF(tblOrdenes[[#This Row],[orden]]="","",_xlfn.XLOOKUP(tblOrdenes[[#This Row],[id_operacion]],tblEjecucion[id_operacion],tblEjecucion[precio],0))</f>
        <v/>
      </c>
      <c r="AJ97" s="10">
        <f>IF(tblOrdenes[[#This Row],[orden]]="","",MAX(0,_xlfn.XLOOKUP(tblOrdenes[[#This Row],[id_operacion]],tblEjecucion[id_operacion],tblEjecucion[costo_plan_total],0)-tblOrdenes[[#This Row],[costo_servicio]]))</f>
        <v/>
      </c>
      <c r="AK97" s="10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2">
        <f>IF(tblOrdenes[[#This Row],[fecha_inicio]]="","",TODAY()-tblOrdenes[[#This Row],[fecha_inicio]])</f>
        <v/>
      </c>
      <c r="AB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08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0">
        <f>IF(tblOrdenes[[#This Row],[orden]]="","",_xlfn.XLOOKUP(tblOrdenes[[#This Row],[id_operacion]],tblEjecucion[id_operacion],tblEjecucion[precio],0))</f>
        <v/>
      </c>
      <c r="AJ98" s="10">
        <f>IF(tblOrdenes[[#This Row],[orden]]="","",MAX(0,_xlfn.XLOOKUP(tblOrdenes[[#This Row],[id_operacion]],tblEjecucion[id_operacion],tblEjecucion[costo_plan_total],0)-tblOrdenes[[#This Row],[costo_servicio]]))</f>
        <v/>
      </c>
      <c r="AK98" s="10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2">
        <f>IF(tblOrdenes[[#This Row],[fecha_inicio]]="","",TODAY()-tblOrdenes[[#This Row],[fecha_inicio]])</f>
        <v/>
      </c>
      <c r="AB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0">
        <f>IF(tblOrdenes[[#This Row],[orden]]="","",_xlfn.XLOOKUP(tblOrdenes[[#This Row],[id_operacion]],tblEjecucion[id_operacion],tblEjecucion[precio],0))</f>
        <v/>
      </c>
      <c r="AJ99" s="10">
        <f>IF(tblOrdenes[[#This Row],[orden]]="","",MAX(0,_xlfn.XLOOKUP(tblOrdenes[[#This Row],[id_operacion]],tblEjecucion[id_operacion],tblEjecucion[costo_plan_total],0)-tblOrdenes[[#This Row],[costo_servicio]]))</f>
        <v/>
      </c>
      <c r="AK99" s="10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2">
        <f>IF(tblOrdenes[[#This Row],[fecha_inicio]]="","",TODAY()-tblOrdenes[[#This Row],[fecha_inicio]])</f>
        <v/>
      </c>
      <c r="AB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08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0">
        <f>IF(tblOrdenes[[#This Row],[orden]]="","",_xlfn.XLOOKUP(tblOrdenes[[#This Row],[id_operacion]],tblEjecucion[id_operacion],tblEjecucion[precio],0))</f>
        <v/>
      </c>
      <c r="AJ100" s="10">
        <f>IF(tblOrdenes[[#This Row],[orden]]="","",MAX(0,_xlfn.XLOOKUP(tblOrdenes[[#This Row],[id_operacion]],tblEjecucion[id_operacion],tblEjecucion[costo_plan_total],0)-tblOrdenes[[#This Row],[costo_servicio]]))</f>
        <v/>
      </c>
      <c r="AK100" s="10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2">
        <f>IF(tblOrdenes[[#This Row],[fecha_inicio]]="","",TODAY()-tblOrdenes[[#This Row],[fecha_inicio]])</f>
        <v/>
      </c>
      <c r="AB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09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0">
        <f>IF(tblOrdenes[[#This Row],[orden]]="","",_xlfn.XLOOKUP(tblOrdenes[[#This Row],[id_operacion]],tblEjecucion[id_operacion],tblEjecucion[precio],0))</f>
        <v/>
      </c>
      <c r="AJ101" s="10">
        <f>IF(tblOrdenes[[#This Row],[orden]]="","",MAX(0,_xlfn.XLOOKUP(tblOrdenes[[#This Row],[id_operacion]],tblEjecucion[id_operacion],tblEjecucion[costo_plan_total],0)-tblOrdenes[[#This Row],[costo_servicio]]))</f>
        <v/>
      </c>
      <c r="AK101" s="10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2">
        <f>IF(tblOrdenes[[#This Row],[fecha_inicio]]="","",TODAY()-tblOrdenes[[#This Row],[fecha_inicio]])</f>
        <v/>
      </c>
      <c r="AB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08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0">
        <f>IF(tblOrdenes[[#This Row],[orden]]="","",_xlfn.XLOOKUP(tblOrdenes[[#This Row],[id_operacion]],tblEjecucion[id_operacion],tblEjecucion[precio],0))</f>
        <v/>
      </c>
      <c r="AJ102" s="10">
        <f>IF(tblOrdenes[[#This Row],[orden]]="","",MAX(0,_xlfn.XLOOKUP(tblOrdenes[[#This Row],[id_operacion]],tblEjecucion[id_operacion],tblEjecucion[costo_plan_total],0)-tblOrdenes[[#This Row],[costo_servicio]]))</f>
        <v/>
      </c>
      <c r="AK102" s="10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2">
        <f>IF(tblOrdenes[[#This Row],[fecha_inicio]]="","",TODAY()-tblOrdenes[[#This Row],[fecha_inicio]])</f>
        <v/>
      </c>
      <c r="AB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09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0">
        <f>IF(tblOrdenes[[#This Row],[orden]]="","",_xlfn.XLOOKUP(tblOrdenes[[#This Row],[id_operacion]],tblEjecucion[id_operacion],tblEjecucion[precio],0))</f>
        <v/>
      </c>
      <c r="AJ103" s="10">
        <f>IF(tblOrdenes[[#This Row],[orden]]="","",MAX(0,_xlfn.XLOOKUP(tblOrdenes[[#This Row],[id_operacion]],tblEjecucion[id_operacion],tblEjecucion[costo_plan_total],0)-tblOrdenes[[#This Row],[costo_servicio]]))</f>
        <v/>
      </c>
      <c r="AK103" s="10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2">
        <f>IF(tblOrdenes[[#This Row],[fecha_inicio]]="","",TODAY()-tblOrdenes[[#This Row],[fecha_inicio]])</f>
        <v/>
      </c>
      <c r="AB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08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0">
        <f>IF(tblOrdenes[[#This Row],[orden]]="","",_xlfn.XLOOKUP(tblOrdenes[[#This Row],[id_operacion]],tblEjecucion[id_operacion],tblEjecucion[precio],0))</f>
        <v/>
      </c>
      <c r="AJ104" s="10">
        <f>IF(tblOrdenes[[#This Row],[orden]]="","",MAX(0,_xlfn.XLOOKUP(tblOrdenes[[#This Row],[id_operacion]],tblEjecucion[id_operacion],tblEjecucion[costo_plan_total],0)-tblOrdenes[[#This Row],[costo_servicio]]))</f>
        <v/>
      </c>
      <c r="AK104" s="10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2">
        <f>IF(tblOrdenes[[#This Row],[fecha_inicio]]="","",TODAY()-tblOrdenes[[#This Row],[fecha_inicio]])</f>
        <v/>
      </c>
      <c r="AB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09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0">
        <f>IF(tblOrdenes[[#This Row],[orden]]="","",_xlfn.XLOOKUP(tblOrdenes[[#This Row],[id_operacion]],tblEjecucion[id_operacion],tblEjecucion[precio],0))</f>
        <v/>
      </c>
      <c r="AJ105" s="10">
        <f>IF(tblOrdenes[[#This Row],[orden]]="","",MAX(0,_xlfn.XLOOKUP(tblOrdenes[[#This Row],[id_operacion]],tblEjecucion[id_operacion],tblEjecucion[costo_plan_total],0)-tblOrdenes[[#This Row],[costo_servicio]]))</f>
        <v/>
      </c>
      <c r="AK105" s="10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2">
        <f>IF(tblOrdenes[[#This Row],[fecha_inicio]]="","",TODAY()-tblOrdenes[[#This Row],[fecha_inicio]])</f>
        <v/>
      </c>
      <c r="AB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08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0">
        <f>IF(tblOrdenes[[#This Row],[orden]]="","",_xlfn.XLOOKUP(tblOrdenes[[#This Row],[id_operacion]],tblEjecucion[id_operacion],tblEjecucion[precio],0))</f>
        <v/>
      </c>
      <c r="AJ106" s="10">
        <f>IF(tblOrdenes[[#This Row],[orden]]="","",MAX(0,_xlfn.XLOOKUP(tblOrdenes[[#This Row],[id_operacion]],tblEjecucion[id_operacion],tblEjecucion[costo_plan_total],0)-tblOrdenes[[#This Row],[costo_servicio]]))</f>
        <v/>
      </c>
      <c r="AK106" s="10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2">
        <f>IF(tblOrdenes[[#This Row],[fecha_inicio]]="","",TODAY()-tblOrdenes[[#This Row],[fecha_inicio]])</f>
        <v/>
      </c>
      <c r="AB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09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0">
        <f>IF(tblOrdenes[[#This Row],[orden]]="","",_xlfn.XLOOKUP(tblOrdenes[[#This Row],[id_operacion]],tblEjecucion[id_operacion],tblEjecucion[precio],0))</f>
        <v/>
      </c>
      <c r="AJ107" s="10">
        <f>IF(tblOrdenes[[#This Row],[orden]]="","",MAX(0,_xlfn.XLOOKUP(tblOrdenes[[#This Row],[id_operacion]],tblEjecucion[id_operacion],tblEjecucion[costo_plan_total],0)-tblOrdenes[[#This Row],[costo_servicio]]))</f>
        <v/>
      </c>
      <c r="AK107" s="10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2">
        <f>IF(tblOrdenes[[#This Row],[fecha_inicio]]="","",TODAY()-tblOrdenes[[#This Row],[fecha_inicio]])</f>
        <v/>
      </c>
      <c r="AB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08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0">
        <f>IF(tblOrdenes[[#This Row],[orden]]="","",_xlfn.XLOOKUP(tblOrdenes[[#This Row],[id_operacion]],tblEjecucion[id_operacion],tblEjecucion[precio],0))</f>
        <v/>
      </c>
      <c r="AJ108" s="10">
        <f>IF(tblOrdenes[[#This Row],[orden]]="","",MAX(0,_xlfn.XLOOKUP(tblOrdenes[[#This Row],[id_operacion]],tblEjecucion[id_operacion],tblEjecucion[costo_plan_total],0)-tblOrdenes[[#This Row],[costo_servicio]]))</f>
        <v/>
      </c>
      <c r="AK108" s="10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2">
        <f>IF(tblOrdenes[[#This Row],[fecha_inicio]]="","",TODAY()-tblOrdenes[[#This Row],[fecha_inicio]])</f>
        <v/>
      </c>
      <c r="AB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09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0">
        <f>IF(tblOrdenes[[#This Row],[orden]]="","",_xlfn.XLOOKUP(tblOrdenes[[#This Row],[id_operacion]],tblEjecucion[id_operacion],tblEjecucion[precio],0))</f>
        <v/>
      </c>
      <c r="AJ109" s="10">
        <f>IF(tblOrdenes[[#This Row],[orden]]="","",MAX(0,_xlfn.XLOOKUP(tblOrdenes[[#This Row],[id_operacion]],tblEjecucion[id_operacion],tblEjecucion[costo_plan_total],0)-tblOrdenes[[#This Row],[costo_servicio]]))</f>
        <v/>
      </c>
      <c r="AK109" s="10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2">
        <f>IF(tblOrdenes[[#This Row],[fecha_inicio]]="","",TODAY()-tblOrdenes[[#This Row],[fecha_inicio]])</f>
        <v/>
      </c>
      <c r="AB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>
        <is>
          <t>Técnico 11</t>
        </is>
      </c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0">
        <f>IF(tblOrdenes[[#This Row],[orden]]="","",_xlfn.XLOOKUP(tblOrdenes[[#This Row],[id_operacion]],tblEjecucion[id_operacion],tblEjecucion[precio],0))</f>
        <v/>
      </c>
      <c r="AJ110" s="10">
        <f>IF(tblOrdenes[[#This Row],[orden]]="","",MAX(0,_xlfn.XLOOKUP(tblOrdenes[[#This Row],[id_operacion]],tblEjecucion[id_operacion],tblEjecucion[costo_plan_total],0)-tblOrdenes[[#This Row],[costo_servicio]]))</f>
        <v/>
      </c>
      <c r="AK110" s="10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>
        <is>
          <t>ACT-04.pdf</t>
        </is>
      </c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2">
        <f>IF(tblOrdenes[[#This Row],[fecha_inicio]]="","",TODAY()-tblOrdenes[[#This Row],[fecha_inicio]])</f>
        <v/>
      </c>
      <c r="AB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0">
        <f>IF(tblOrdenes[[#This Row],[orden]]="","",_xlfn.XLOOKUP(tblOrdenes[[#This Row],[id_operacion]],tblEjecucion[id_operacion],tblEjecucion[precio],0))</f>
        <v/>
      </c>
      <c r="AJ111" s="10">
        <f>IF(tblOrdenes[[#This Row],[orden]]="","",MAX(0,_xlfn.XLOOKUP(tblOrdenes[[#This Row],[id_operacion]],tblEjecucion[id_operacion],tblEjecucion[costo_plan_total],0)-tblOrdenes[[#This Row],[costo_servicio]]))</f>
        <v/>
      </c>
      <c r="AK111" s="10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>
        <is>
          <t>ACT-01.pdf</t>
        </is>
      </c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2">
        <f>IF(tblOrdenes[[#This Row],[fecha_inicio]]="","",TODAY()-tblOrdenes[[#This Row],[fecha_inicio]])</f>
        <v/>
      </c>
      <c r="AB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>
        <is>
          <t>Técnico 10</t>
        </is>
      </c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0">
        <f>IF(tblOrdenes[[#This Row],[orden]]="","",_xlfn.XLOOKUP(tblOrdenes[[#This Row],[id_operacion]],tblEjecucion[id_operacion],tblEjecucion[precio],0))</f>
        <v/>
      </c>
      <c r="AJ112" s="10">
        <f>IF(tblOrdenes[[#This Row],[orden]]="","",MAX(0,_xlfn.XLOOKUP(tblOrdenes[[#This Row],[id_operacion]],tblEjecucion[id_operacion],tblEjecucion[costo_plan_total],0)-tblOrdenes[[#This Row],[costo_servicio]]))</f>
        <v/>
      </c>
      <c r="AK112" s="10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>
        <is>
          <t>ACT-02.pdf</t>
        </is>
      </c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2">
        <f>IF(tblOrdenes[[#This Row],[fecha_inicio]]="","",TODAY()-tblOrdenes[[#This Row],[fecha_inicio]])</f>
        <v/>
      </c>
      <c r="AB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>
        <is>
          <t>Técnico 11</t>
        </is>
      </c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0">
        <f>IF(tblOrdenes[[#This Row],[orden]]="","",_xlfn.XLOOKUP(tblOrdenes[[#This Row],[id_operacion]],tblEjecucion[id_operacion],tblEjecucion[precio],0))</f>
        <v/>
      </c>
      <c r="AJ113" s="10">
        <f>IF(tblOrdenes[[#This Row],[orden]]="","",MAX(0,_xlfn.XLOOKUP(tblOrdenes[[#This Row],[id_operacion]],tblEjecucion[id_operacion],tblEjecucion[costo_plan_total],0)-tblOrdenes[[#This Row],[costo_servicio]]))</f>
        <v/>
      </c>
      <c r="AK113" s="10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>
        <is>
          <t>ACT-04.pdf</t>
        </is>
      </c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2">
        <f>IF(tblOrdenes[[#This Row],[fecha_inicio]]="","",TODAY()-tblOrdenes[[#This Row],[fecha_inicio]])</f>
        <v/>
      </c>
      <c r="AB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12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0">
        <f>IF(tblOrdenes[[#This Row],[orden]]="","",_xlfn.XLOOKUP(tblOrdenes[[#This Row],[id_operacion]],tblEjecucion[id_operacion],tblEjecucion[precio],0))</f>
        <v/>
      </c>
      <c r="AJ114" s="10">
        <f>IF(tblOrdenes[[#This Row],[orden]]="","",MAX(0,_xlfn.XLOOKUP(tblOrdenes[[#This Row],[id_operacion]],tblEjecucion[id_operacion],tblEjecucion[costo_plan_total],0)-tblOrdenes[[#This Row],[costo_servicio]]))</f>
        <v/>
      </c>
      <c r="AK114" s="10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2">
        <f>IF(tblOrdenes[[#This Row],[fecha_inicio]]="","",TODAY()-tblOrdenes[[#This Row],[fecha_inicio]])</f>
        <v/>
      </c>
      <c r="AB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10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0">
        <f>IF(tblOrdenes[[#This Row],[orden]]="","",_xlfn.XLOOKUP(tblOrdenes[[#This Row],[id_operacion]],tblEjecucion[id_operacion],tblEjecucion[precio],0))</f>
        <v/>
      </c>
      <c r="AJ115" s="10">
        <f>IF(tblOrdenes[[#This Row],[orden]]="","",MAX(0,_xlfn.XLOOKUP(tblOrdenes[[#This Row],[id_operacion]],tblEjecucion[id_operacion],tblEjecucion[costo_plan_total],0)-tblOrdenes[[#This Row],[costo_servicio]]))</f>
        <v/>
      </c>
      <c r="AK115" s="10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>
        <is>
          <t>ACT-02.pdf</t>
        </is>
      </c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2">
        <f>IF(tblOrdenes[[#This Row],[fecha_inicio]]="","",TODAY()-tblOrdenes[[#This Row],[fecha_inicio]])</f>
        <v/>
      </c>
      <c r="AB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>
        <is>
          <t>Técnico 11</t>
        </is>
      </c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0">
        <f>IF(tblOrdenes[[#This Row],[orden]]="","",_xlfn.XLOOKUP(tblOrdenes[[#This Row],[id_operacion]],tblEjecucion[id_operacion],tblEjecucion[precio],0))</f>
        <v/>
      </c>
      <c r="AJ116" s="10">
        <f>IF(tblOrdenes[[#This Row],[orden]]="","",MAX(0,_xlfn.XLOOKUP(tblOrdenes[[#This Row],[id_operacion]],tblEjecucion[id_operacion],tblEjecucion[costo_plan_total],0)-tblOrdenes[[#This Row],[costo_servicio]]))</f>
        <v/>
      </c>
      <c r="AK116" s="10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>
        <is>
          <t>ACT-04.pdf</t>
        </is>
      </c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2">
        <f>IF(tblOrdenes[[#This Row],[fecha_inicio]]="","",TODAY()-tblOrdenes[[#This Row],[fecha_inicio]])</f>
        <v/>
      </c>
      <c r="AB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12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0">
        <f>IF(tblOrdenes[[#This Row],[orden]]="","",_xlfn.XLOOKUP(tblOrdenes[[#This Row],[id_operacion]],tblEjecucion[id_operacion],tblEjecucion[precio],0))</f>
        <v/>
      </c>
      <c r="AJ117" s="10">
        <f>IF(tblOrdenes[[#This Row],[orden]]="","",MAX(0,_xlfn.XLOOKUP(tblOrdenes[[#This Row],[id_operacion]],tblEjecucion[id_operacion],tblEjecucion[costo_plan_total],0)-tblOrdenes[[#This Row],[costo_servicio]]))</f>
        <v/>
      </c>
      <c r="AK117" s="10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>
        <is>
          <t>ACT-01.pdf</t>
        </is>
      </c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2">
        <f>IF(tblOrdenes[[#This Row],[fecha_inicio]]="","",TODAY()-tblOrdenes[[#This Row],[fecha_inicio]])</f>
        <v/>
      </c>
      <c r="AB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10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0">
        <f>IF(tblOrdenes[[#This Row],[orden]]="","",_xlfn.XLOOKUP(tblOrdenes[[#This Row],[id_operacion]],tblEjecucion[id_operacion],tblEjecucion[precio],0))</f>
        <v/>
      </c>
      <c r="AJ118" s="10">
        <f>IF(tblOrdenes[[#This Row],[orden]]="","",MAX(0,_xlfn.XLOOKUP(tblOrdenes[[#This Row],[id_operacion]],tblEjecucion[id_operacion],tblEjecucion[costo_plan_total],0)-tblOrdenes[[#This Row],[costo_servicio]]))</f>
        <v/>
      </c>
      <c r="AK118" s="10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>
        <is>
          <t>ACT-02.pdf</t>
        </is>
      </c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2">
        <f>IF(tblOrdenes[[#This Row],[fecha_inicio]]="","",TODAY()-tblOrdenes[[#This Row],[fecha_inicio]])</f>
        <v/>
      </c>
      <c r="AB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0">
        <f>IF(tblOrdenes[[#This Row],[orden]]="","",_xlfn.XLOOKUP(tblOrdenes[[#This Row],[id_operacion]],tblEjecucion[id_operacion],tblEjecucion[precio],0))</f>
        <v/>
      </c>
      <c r="AJ119" s="10">
        <f>IF(tblOrdenes[[#This Row],[orden]]="","",MAX(0,_xlfn.XLOOKUP(tblOrdenes[[#This Row],[id_operacion]],tblEjecucion[id_operacion],tblEjecucion[costo_plan_total],0)-tblOrdenes[[#This Row],[costo_servicio]]))</f>
        <v/>
      </c>
      <c r="AK119" s="10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>
        <is>
          <t>ACT-04.pdf</t>
        </is>
      </c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2">
        <f>IF(tblOrdenes[[#This Row],[fecha_inicio]]="","",TODAY()-tblOrdenes[[#This Row],[fecha_inicio]])</f>
        <v/>
      </c>
      <c r="AB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>
        <is>
          <t>Técnico 12</t>
        </is>
      </c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0">
        <f>IF(tblOrdenes[[#This Row],[orden]]="","",_xlfn.XLOOKUP(tblOrdenes[[#This Row],[id_operacion]],tblEjecucion[id_operacion],tblEjecucion[precio],0))</f>
        <v/>
      </c>
      <c r="AJ120" s="10">
        <f>IF(tblOrdenes[[#This Row],[orden]]="","",MAX(0,_xlfn.XLOOKUP(tblOrdenes[[#This Row],[id_operacion]],tblEjecucion[id_operacion],tblEjecucion[costo_plan_total],0)-tblOrdenes[[#This Row],[costo_servicio]]))</f>
        <v/>
      </c>
      <c r="AK120" s="10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2">
        <f>IF(tblOrdenes[[#This Row],[fecha_inicio]]="","",TODAY()-tblOrdenes[[#This Row],[fecha_inicio]])</f>
        <v/>
      </c>
      <c r="AB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>
        <is>
          <t>Técnico 10</t>
        </is>
      </c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0">
        <f>IF(tblOrdenes[[#This Row],[orden]]="","",_xlfn.XLOOKUP(tblOrdenes[[#This Row],[id_operacion]],tblEjecucion[id_operacion],tblEjecucion[precio],0))</f>
        <v/>
      </c>
      <c r="AJ121" s="10">
        <f>IF(tblOrdenes[[#This Row],[orden]]="","",MAX(0,_xlfn.XLOOKUP(tblOrdenes[[#This Row],[id_operacion]],tblEjecucion[id_operacion],tblEjecucion[costo_plan_total],0)-tblOrdenes[[#This Row],[costo_servicio]]))</f>
        <v/>
      </c>
      <c r="AK121" s="10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>
        <is>
          <t>ACT-02.pdf</t>
        </is>
      </c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2">
        <f>IF(tblOrdenes[[#This Row],[fecha_inicio]]="","",TODAY()-tblOrdenes[[#This Row],[fecha_inicio]])</f>
        <v/>
      </c>
      <c r="AB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>
        <is>
          <t>Técnico 11</t>
        </is>
      </c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0">
        <f>IF(tblOrdenes[[#This Row],[orden]]="","",_xlfn.XLOOKUP(tblOrdenes[[#This Row],[id_operacion]],tblEjecucion[id_operacion],tblEjecucion[precio],0))</f>
        <v/>
      </c>
      <c r="AJ122" s="10">
        <f>IF(tblOrdenes[[#This Row],[orden]]="","",MAX(0,_xlfn.XLOOKUP(tblOrdenes[[#This Row],[id_operacion]],tblEjecucion[id_operacion],tblEjecucion[costo_plan_total],0)-tblOrdenes[[#This Row],[costo_servicio]]))</f>
        <v/>
      </c>
      <c r="AK122" s="10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>
        <is>
          <t>ACT-04.pdf</t>
        </is>
      </c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2">
        <f>IF(tblOrdenes[[#This Row],[fecha_inicio]]="","",TODAY()-tblOrdenes[[#This Row],[fecha_inicio]])</f>
        <v/>
      </c>
      <c r="AB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0">
        <f>IF(tblOrdenes[[#This Row],[orden]]="","",_xlfn.XLOOKUP(tblOrdenes[[#This Row],[id_operacion]],tblEjecucion[id_operacion],tblEjecucion[precio],0))</f>
        <v/>
      </c>
      <c r="AJ123" s="10">
        <f>IF(tblOrdenes[[#This Row],[orden]]="","",MAX(0,_xlfn.XLOOKUP(tblOrdenes[[#This Row],[id_operacion]],tblEjecucion[id_operacion],tblEjecucion[costo_plan_total],0)-tblOrdenes[[#This Row],[costo_servicio]]))</f>
        <v/>
      </c>
      <c r="AK123" s="10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>
        <is>
          <t>ACT-01.pdf</t>
        </is>
      </c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2">
        <f>IF(tblOrdenes[[#This Row],[fecha_inicio]]="","",TODAY()-tblOrdenes[[#This Row],[fecha_inicio]])</f>
        <v/>
      </c>
      <c r="AB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>
        <is>
          <t>Técnico 10</t>
        </is>
      </c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0">
        <f>IF(tblOrdenes[[#This Row],[orden]]="","",_xlfn.XLOOKUP(tblOrdenes[[#This Row],[id_operacion]],tblEjecucion[id_operacion],tblEjecucion[precio],0))</f>
        <v/>
      </c>
      <c r="AJ124" s="10">
        <f>IF(tblOrdenes[[#This Row],[orden]]="","",MAX(0,_xlfn.XLOOKUP(tblOrdenes[[#This Row],[id_operacion]],tblEjecucion[id_operacion],tblEjecucion[costo_plan_total],0)-tblOrdenes[[#This Row],[costo_servicio]]))</f>
        <v/>
      </c>
      <c r="AK124" s="10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2">
        <f>IF(tblOrdenes[[#This Row],[fecha_inicio]]="","",TODAY()-tblOrdenes[[#This Row],[fecha_inicio]])</f>
        <v/>
      </c>
      <c r="AB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>
        <is>
          <t>Técnico 11</t>
        </is>
      </c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0">
        <f>IF(tblOrdenes[[#This Row],[orden]]="","",_xlfn.XLOOKUP(tblOrdenes[[#This Row],[id_operacion]],tblEjecucion[id_operacion],tblEjecucion[precio],0))</f>
        <v/>
      </c>
      <c r="AJ125" s="10">
        <f>IF(tblOrdenes[[#This Row],[orden]]="","",MAX(0,_xlfn.XLOOKUP(tblOrdenes[[#This Row],[id_operacion]],tblEjecucion[id_operacion],tblEjecucion[costo_plan_total],0)-tblOrdenes[[#This Row],[costo_servicio]]))</f>
        <v/>
      </c>
      <c r="AK125" s="10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>
        <is>
          <t>ACT-04.pdf</t>
        </is>
      </c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2">
        <f>IF(tblOrdenes[[#This Row],[fecha_inicio]]="","",TODAY()-tblOrdenes[[#This Row],[fecha_inicio]])</f>
        <v/>
      </c>
      <c r="AB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>
        <is>
          <t>Técnico 12</t>
        </is>
      </c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0">
        <f>IF(tblOrdenes[[#This Row],[orden]]="","",_xlfn.XLOOKUP(tblOrdenes[[#This Row],[id_operacion]],tblEjecucion[id_operacion],tblEjecucion[precio],0))</f>
        <v/>
      </c>
      <c r="AJ126" s="10">
        <f>IF(tblOrdenes[[#This Row],[orden]]="","",MAX(0,_xlfn.XLOOKUP(tblOrdenes[[#This Row],[id_operacion]],tblEjecucion[id_operacion],tblEjecucion[costo_plan_total],0)-tblOrdenes[[#This Row],[costo_servicio]]))</f>
        <v/>
      </c>
      <c r="AK126" s="10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>
        <is>
          <t>ACT-01.pdf</t>
        </is>
      </c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2">
        <f>IF(tblOrdenes[[#This Row],[fecha_inicio]]="","",TODAY()-tblOrdenes[[#This Row],[fecha_inicio]])</f>
        <v/>
      </c>
      <c r="AB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>
        <is>
          <t>Técnico 10</t>
        </is>
      </c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0">
        <f>IF(tblOrdenes[[#This Row],[orden]]="","",_xlfn.XLOOKUP(tblOrdenes[[#This Row],[id_operacion]],tblEjecucion[id_operacion],tblEjecucion[precio],0))</f>
        <v/>
      </c>
      <c r="AJ127" s="10">
        <f>IF(tblOrdenes[[#This Row],[orden]]="","",MAX(0,_xlfn.XLOOKUP(tblOrdenes[[#This Row],[id_operacion]],tblEjecucion[id_operacion],tblEjecucion[costo_plan_total],0)-tblOrdenes[[#This Row],[costo_servicio]]))</f>
        <v/>
      </c>
      <c r="AK127" s="10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>
        <is>
          <t>ACT-02.pdf</t>
        </is>
      </c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2">
        <f>IF(tblOrdenes[[#This Row],[fecha_inicio]]="","",TODAY()-tblOrdenes[[#This Row],[fecha_inicio]])</f>
        <v/>
      </c>
      <c r="AB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>
        <is>
          <t>Técnico 11</t>
        </is>
      </c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0">
        <f>IF(tblOrdenes[[#This Row],[orden]]="","",_xlfn.XLOOKUP(tblOrdenes[[#This Row],[id_operacion]],tblEjecucion[id_operacion],tblEjecucion[precio],0))</f>
        <v/>
      </c>
      <c r="AJ128" s="10">
        <f>IF(tblOrdenes[[#This Row],[orden]]="","",MAX(0,_xlfn.XLOOKUP(tblOrdenes[[#This Row],[id_operacion]],tblEjecucion[id_operacion],tblEjecucion[costo_plan_total],0)-tblOrdenes[[#This Row],[costo_servicio]]))</f>
        <v/>
      </c>
      <c r="AK128" s="10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2">
        <f>IF(tblOrdenes[[#This Row],[fecha_inicio]]="","",TODAY()-tblOrdenes[[#This Row],[fecha_inicio]])</f>
        <v/>
      </c>
      <c r="AB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0">
        <f>IF(tblOrdenes[[#This Row],[orden]]="","",_xlfn.XLOOKUP(tblOrdenes[[#This Row],[id_operacion]],tblEjecucion[id_operacion],tblEjecucion[precio],0))</f>
        <v/>
      </c>
      <c r="AJ129" s="10">
        <f>IF(tblOrdenes[[#This Row],[orden]]="","",MAX(0,_xlfn.XLOOKUP(tblOrdenes[[#This Row],[id_operacion]],tblEjecucion[id_operacion],tblEjecucion[costo_plan_total],0)-tblOrdenes[[#This Row],[costo_servicio]]))</f>
        <v/>
      </c>
      <c r="AK129" s="10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2">
        <f>IF(tblOrdenes[[#This Row],[fecha_inicio]]="","",TODAY()-tblOrdenes[[#This Row],[fecha_inicio]])</f>
        <v/>
      </c>
      <c r="AB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0">
        <f>IF(tblOrdenes[[#This Row],[orden]]="","",_xlfn.XLOOKUP(tblOrdenes[[#This Row],[id_operacion]],tblEjecucion[id_operacion],tblEjecucion[precio],0))</f>
        <v/>
      </c>
      <c r="AJ130" s="10">
        <f>IF(tblOrdenes[[#This Row],[orden]]="","",MAX(0,_xlfn.XLOOKUP(tblOrdenes[[#This Row],[id_operacion]],tblEjecucion[id_operacion],tblEjecucion[costo_plan_total],0)-tblOrdenes[[#This Row],[costo_servicio]]))</f>
        <v/>
      </c>
      <c r="AK130" s="10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2">
        <f>IF(tblOrdenes[[#This Row],[fecha_inicio]]="","",TODAY()-tblOrdenes[[#This Row],[fecha_inicio]])</f>
        <v/>
      </c>
      <c r="AB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0">
        <f>IF(tblOrdenes[[#This Row],[orden]]="","",_xlfn.XLOOKUP(tblOrdenes[[#This Row],[id_operacion]],tblEjecucion[id_operacion],tblEjecucion[precio],0))</f>
        <v/>
      </c>
      <c r="AJ131" s="10">
        <f>IF(tblOrdenes[[#This Row],[orden]]="","",MAX(0,_xlfn.XLOOKUP(tblOrdenes[[#This Row],[id_operacion]],tblEjecucion[id_operacion],tblEjecucion[costo_plan_total],0)-tblOrdenes[[#This Row],[costo_servicio]]))</f>
        <v/>
      </c>
      <c r="AK131" s="10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2">
        <f>IF(tblOrdenes[[#This Row],[fecha_inicio]]="","",TODAY()-tblOrdenes[[#This Row],[fecha_inicio]])</f>
        <v/>
      </c>
      <c r="AB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0">
        <f>IF(tblOrdenes[[#This Row],[orden]]="","",_xlfn.XLOOKUP(tblOrdenes[[#This Row],[id_operacion]],tblEjecucion[id_operacion],tblEjecucion[precio],0))</f>
        <v/>
      </c>
      <c r="AJ132" s="10">
        <f>IF(tblOrdenes[[#This Row],[orden]]="","",MAX(0,_xlfn.XLOOKUP(tblOrdenes[[#This Row],[id_operacion]],tblEjecucion[id_operacion],tblEjecucion[costo_plan_total],0)-tblOrdenes[[#This Row],[costo_servicio]]))</f>
        <v/>
      </c>
      <c r="AK132" s="10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2">
        <f>IF(tblOrdenes[[#This Row],[fecha_inicio]]="","",TODAY()-tblOrdenes[[#This Row],[fecha_inicio]])</f>
        <v/>
      </c>
      <c r="AB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>
        <is>
          <t>Técnico 01</t>
        </is>
      </c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0">
        <f>IF(tblOrdenes[[#This Row],[orden]]="","",_xlfn.XLOOKUP(tblOrdenes[[#This Row],[id_operacion]],tblEjecucion[id_operacion],tblEjecucion[precio],0))</f>
        <v/>
      </c>
      <c r="AJ133" s="10">
        <f>IF(tblOrdenes[[#This Row],[orden]]="","",MAX(0,_xlfn.XLOOKUP(tblOrdenes[[#This Row],[id_operacion]],tblEjecucion[id_operacion],tblEjecucion[costo_plan_total],0)-tblOrdenes[[#This Row],[costo_servicio]]))</f>
        <v/>
      </c>
      <c r="AK133" s="10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2">
        <f>IF(tblOrdenes[[#This Row],[fecha_inicio]]="","",TODAY()-tblOrdenes[[#This Row],[fecha_inicio]])</f>
        <v/>
      </c>
      <c r="AB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>
        <is>
          <t>Técnico 05</t>
        </is>
      </c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0">
        <f>IF(tblOrdenes[[#This Row],[orden]]="","",_xlfn.XLOOKUP(tblOrdenes[[#This Row],[id_operacion]],tblEjecucion[id_operacion],tblEjecucion[precio],0))</f>
        <v/>
      </c>
      <c r="AJ134" s="10">
        <f>IF(tblOrdenes[[#This Row],[orden]]="","",MAX(0,_xlfn.XLOOKUP(tblOrdenes[[#This Row],[id_operacion]],tblEjecucion[id_operacion],tblEjecucion[costo_plan_total],0)-tblOrdenes[[#This Row],[costo_servicio]]))</f>
        <v/>
      </c>
      <c r="AK134" s="10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2">
        <f>IF(tblOrdenes[[#This Row],[fecha_inicio]]="","",TODAY()-tblOrdenes[[#This Row],[fecha_inicio]])</f>
        <v/>
      </c>
      <c r="AB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0">
        <f>IF(tblOrdenes[[#This Row],[orden]]="","",_xlfn.XLOOKUP(tblOrdenes[[#This Row],[id_operacion]],tblEjecucion[id_operacion],tblEjecucion[precio],0))</f>
        <v/>
      </c>
      <c r="AJ135" s="10">
        <f>IF(tblOrdenes[[#This Row],[orden]]="","",MAX(0,_xlfn.XLOOKUP(tblOrdenes[[#This Row],[id_operacion]],tblEjecucion[id_operacion],tblEjecucion[costo_plan_total],0)-tblOrdenes[[#This Row],[costo_servicio]]))</f>
        <v/>
      </c>
      <c r="AK135" s="10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2">
        <f>IF(tblOrdenes[[#This Row],[fecha_inicio]]="","",TODAY()-tblOrdenes[[#This Row],[fecha_inicio]])</f>
        <v/>
      </c>
      <c r="AB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>
        <is>
          <t>Técnico 12</t>
        </is>
      </c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0">
        <f>IF(tblOrdenes[[#This Row],[orden]]="","",_xlfn.XLOOKUP(tblOrdenes[[#This Row],[id_operacion]],tblEjecucion[id_operacion],tblEjecucion[precio],0))</f>
        <v/>
      </c>
      <c r="AJ136" s="10">
        <f>IF(tblOrdenes[[#This Row],[orden]]="","",MAX(0,_xlfn.XLOOKUP(tblOrdenes[[#This Row],[id_operacion]],tblEjecucion[id_operacion],tblEjecucion[costo_plan_total],0)-tblOrdenes[[#This Row],[costo_servicio]]))</f>
        <v/>
      </c>
      <c r="AK136" s="10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2">
        <f>IF(tblOrdenes[[#This Row],[fecha_inicio]]="","",TODAY()-tblOrdenes[[#This Row],[fecha_inicio]])</f>
        <v/>
      </c>
      <c r="AB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>
        <is>
          <t>Técnico 01</t>
        </is>
      </c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0">
        <f>IF(tblOrdenes[[#This Row],[orden]]="","",_xlfn.XLOOKUP(tblOrdenes[[#This Row],[id_operacion]],tblEjecucion[id_operacion],tblEjecucion[precio],0))</f>
        <v/>
      </c>
      <c r="AJ137" s="10">
        <f>IF(tblOrdenes[[#This Row],[orden]]="","",MAX(0,_xlfn.XLOOKUP(tblOrdenes[[#This Row],[id_operacion]],tblEjecucion[id_operacion],tblEjecucion[costo_plan_total],0)-tblOrdenes[[#This Row],[costo_servicio]]))</f>
        <v/>
      </c>
      <c r="AK137" s="10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2">
        <f>IF(tblOrdenes[[#This Row],[fecha_inicio]]="","",TODAY()-tblOrdenes[[#This Row],[fecha_inicio]])</f>
        <v/>
      </c>
      <c r="AB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>
        <is>
          <t>Técnico 01</t>
        </is>
      </c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0">
        <f>IF(tblOrdenes[[#This Row],[orden]]="","",_xlfn.XLOOKUP(tblOrdenes[[#This Row],[id_operacion]],tblEjecucion[id_operacion],tblEjecucion[precio],0))</f>
        <v/>
      </c>
      <c r="AJ138" s="10">
        <f>IF(tblOrdenes[[#This Row],[orden]]="","",MAX(0,_xlfn.XLOOKUP(tblOrdenes[[#This Row],[id_operacion]],tblEjecucion[id_operacion],tblEjecucion[costo_plan_total],0)-tblOrdenes[[#This Row],[costo_servicio]]))</f>
        <v/>
      </c>
      <c r="AK138" s="10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2">
        <f>IF(tblOrdenes[[#This Row],[fecha_inicio]]="","",TODAY()-tblOrdenes[[#This Row],[fecha_inicio]])</f>
        <v/>
      </c>
      <c r="AB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>
        <is>
          <t>Técnico 07</t>
        </is>
      </c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0">
        <f>IF(tblOrdenes[[#This Row],[orden]]="","",_xlfn.XLOOKUP(tblOrdenes[[#This Row],[id_operacion]],tblEjecucion[id_operacion],tblEjecucion[precio],0))</f>
        <v/>
      </c>
      <c r="AJ139" s="10">
        <f>IF(tblOrdenes[[#This Row],[orden]]="","",MAX(0,_xlfn.XLOOKUP(tblOrdenes[[#This Row],[id_operacion]],tblEjecucion[id_operacion],tblEjecucion[costo_plan_total],0)-tblOrdenes[[#This Row],[costo_servicio]]))</f>
        <v/>
      </c>
      <c r="AK139" s="10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2">
        <f>IF(tblOrdenes[[#This Row],[fecha_inicio]]="","",TODAY()-tblOrdenes[[#This Row],[fecha_inicio]])</f>
        <v/>
      </c>
      <c r="AB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>
        <is>
          <t>Técnico 10</t>
        </is>
      </c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0">
        <f>IF(tblOrdenes[[#This Row],[orden]]="","",_xlfn.XLOOKUP(tblOrdenes[[#This Row],[id_operacion]],tblEjecucion[id_operacion],tblEjecucion[precio],0))</f>
        <v/>
      </c>
      <c r="AJ140" s="10">
        <f>IF(tblOrdenes[[#This Row],[orden]]="","",MAX(0,_xlfn.XLOOKUP(tblOrdenes[[#This Row],[id_operacion]],tblEjecucion[id_operacion],tblEjecucion[costo_plan_total],0)-tblOrdenes[[#This Row],[costo_servicio]]))</f>
        <v/>
      </c>
      <c r="AK140" s="10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46180</v>
      </c>
      <c r="K141" s="3" t="n">
        <v>4</v>
      </c>
      <c r="L141" s="10" t="n">
        <v>160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2">
        <f>IF(tblOrdenes[[#This Row],[fecha_inicio]]="","",TODAY()-tblOrdenes[[#This Row],[fecha_inicio]])</f>
        <v/>
      </c>
      <c r="AB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0">
        <f>IF(tblOrdenes[[#This Row],[orden]]="","",_xlfn.XLOOKUP(tblOrdenes[[#This Row],[id_operacion]],tblEjecucion[id_operacion],tblEjecucion[precio],0))</f>
        <v/>
      </c>
      <c r="AJ141" s="10">
        <f>IF(tblOrdenes[[#This Row],[orden]]="","",MAX(0,_xlfn.XLOOKUP(tblOrdenes[[#This Row],[id_operacion]],tblEjecucion[id_operacion],tblEjecucion[costo_plan_total],0)-tblOrdenes[[#This Row],[costo_servicio]]))</f>
        <v/>
      </c>
      <c r="AK141" s="10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46180</v>
      </c>
      <c r="K142" s="3" t="n">
        <v>6</v>
      </c>
      <c r="L142" s="10" t="n">
        <v>240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2">
        <f>IF(tblOrdenes[[#This Row],[fecha_inicio]]="","",TODAY()-tblOrdenes[[#This Row],[fecha_inicio]])</f>
        <v/>
      </c>
      <c r="AB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0">
        <f>IF(tblOrdenes[[#This Row],[orden]]="","",_xlfn.XLOOKUP(tblOrdenes[[#This Row],[id_operacion]],tblEjecucion[id_operacion],tblEjecucion[precio],0))</f>
        <v/>
      </c>
      <c r="AJ142" s="10">
        <f>IF(tblOrdenes[[#This Row],[orden]]="","",MAX(0,_xlfn.XLOOKUP(tblOrdenes[[#This Row],[id_operacion]],tblEjecucion[id_operacion],tblEjecucion[costo_plan_total],0)-tblOrdenes[[#This Row],[costo_servicio]]))</f>
        <v/>
      </c>
      <c r="AK142" s="10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46180</v>
      </c>
      <c r="K143" s="3" t="n">
        <v>8</v>
      </c>
      <c r="L143" s="10" t="n">
        <v>320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2">
        <f>IF(tblOrdenes[[#This Row],[fecha_inicio]]="","",TODAY()-tblOrdenes[[#This Row],[fecha_inicio]])</f>
        <v/>
      </c>
      <c r="AB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0">
        <f>IF(tblOrdenes[[#This Row],[orden]]="","",_xlfn.XLOOKUP(tblOrdenes[[#This Row],[id_operacion]],tblEjecucion[id_operacion],tblEjecucion[precio],0))</f>
        <v/>
      </c>
      <c r="AJ143" s="10">
        <f>IF(tblOrdenes[[#This Row],[orden]]="","",MAX(0,_xlfn.XLOOKUP(tblOrdenes[[#This Row],[id_operacion]],tblEjecucion[id_operacion],tblEjecucion[costo_plan_total],0)-tblOrdenes[[#This Row],[costo_servicio]]))</f>
        <v/>
      </c>
      <c r="AK143" s="10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46180</v>
      </c>
      <c r="K144" s="3" t="n">
        <v>4</v>
      </c>
      <c r="L144" s="10" t="n">
        <v>100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2">
        <f>IF(tblOrdenes[[#This Row],[fecha_inicio]]="","",TODAY()-tblOrdenes[[#This Row],[fecha_inicio]])</f>
        <v/>
      </c>
      <c r="AB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0">
        <f>IF(tblOrdenes[[#This Row],[orden]]="","",_xlfn.XLOOKUP(tblOrdenes[[#This Row],[id_operacion]],tblEjecucion[id_operacion],tblEjecucion[precio],0))</f>
        <v/>
      </c>
      <c r="AJ144" s="10">
        <f>IF(tblOrdenes[[#This Row],[orden]]="","",MAX(0,_xlfn.XLOOKUP(tblOrdenes[[#This Row],[id_operacion]],tblEjecucion[id_operacion],tblEjecucion[costo_plan_total],0)-tblOrdenes[[#This Row],[costo_servicio]]))</f>
        <v/>
      </c>
      <c r="AK144" s="10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46180</v>
      </c>
      <c r="K145" s="3" t="n">
        <v>6</v>
      </c>
      <c r="L145" s="10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2">
        <f>IF(tblOrdenes[[#This Row],[fecha_inicio]]="","",TODAY()-tblOrdenes[[#This Row],[fecha_inicio]])</f>
        <v/>
      </c>
      <c r="AB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0">
        <f>IF(tblOrdenes[[#This Row],[orden]]="","",_xlfn.XLOOKUP(tblOrdenes[[#This Row],[id_operacion]],tblEjecucion[id_operacion],tblEjecucion[precio],0))</f>
        <v/>
      </c>
      <c r="AJ145" s="10">
        <f>IF(tblOrdenes[[#This Row],[orden]]="","",MAX(0,_xlfn.XLOOKUP(tblOrdenes[[#This Row],[id_operacion]],tblEjecucion[id_operacion],tblEjecucion[costo_plan_total],0)-tblOrdenes[[#This Row],[costo_servicio]]))</f>
        <v/>
      </c>
      <c r="AK145" s="10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46180</v>
      </c>
      <c r="K146" s="3" t="n">
        <v>8</v>
      </c>
      <c r="L146" s="10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2">
        <f>IF(tblOrdenes[[#This Row],[fecha_inicio]]="","",TODAY()-tblOrdenes[[#This Row],[fecha_inicio]])</f>
        <v/>
      </c>
      <c r="AB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0">
        <f>IF(tblOrdenes[[#This Row],[orden]]="","",_xlfn.XLOOKUP(tblOrdenes[[#This Row],[id_operacion]],tblEjecucion[id_operacion],tblEjecucion[precio],0))</f>
        <v/>
      </c>
      <c r="AJ146" s="10">
        <f>IF(tblOrdenes[[#This Row],[orden]]="","",MAX(0,_xlfn.XLOOKUP(tblOrdenes[[#This Row],[id_operacion]],tblEjecucion[id_operacion],tblEjecucion[costo_plan_total],0)-tblOrdenes[[#This Row],[costo_servicio]]))</f>
        <v/>
      </c>
      <c r="AK146" s="10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46180</v>
      </c>
      <c r="K147" s="3" t="n">
        <v>4</v>
      </c>
      <c r="L147" s="10" t="n">
        <v>160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2">
        <f>IF(tblOrdenes[[#This Row],[fecha_inicio]]="","",TODAY()-tblOrdenes[[#This Row],[fecha_inicio]])</f>
        <v/>
      </c>
      <c r="AB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0">
        <f>IF(tblOrdenes[[#This Row],[orden]]="","",_xlfn.XLOOKUP(tblOrdenes[[#This Row],[id_operacion]],tblEjecucion[id_operacion],tblEjecucion[precio],0))</f>
        <v/>
      </c>
      <c r="AJ147" s="10">
        <f>IF(tblOrdenes[[#This Row],[orden]]="","",MAX(0,_xlfn.XLOOKUP(tblOrdenes[[#This Row],[id_operacion]],tblEjecucion[id_operacion],tblEjecucion[costo_plan_total],0)-tblOrdenes[[#This Row],[costo_servicio]]))</f>
        <v/>
      </c>
      <c r="AK147" s="10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46180</v>
      </c>
      <c r="K148" s="3" t="n">
        <v>6</v>
      </c>
      <c r="L148" s="10" t="n">
        <v>150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2">
        <f>IF(tblOrdenes[[#This Row],[fecha_inicio]]="","",TODAY()-tblOrdenes[[#This Row],[fecha_inicio]])</f>
        <v/>
      </c>
      <c r="AB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0">
        <f>IF(tblOrdenes[[#This Row],[orden]]="","",_xlfn.XLOOKUP(tblOrdenes[[#This Row],[id_operacion]],tblEjecucion[id_operacion],tblEjecucion[precio],0))</f>
        <v/>
      </c>
      <c r="AJ148" s="10">
        <f>IF(tblOrdenes[[#This Row],[orden]]="","",MAX(0,_xlfn.XLOOKUP(tblOrdenes[[#This Row],[id_operacion]],tblEjecucion[id_operacion],tblEjecucion[costo_plan_total],0)-tblOrdenes[[#This Row],[costo_servicio]]))</f>
        <v/>
      </c>
      <c r="AK148" s="10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46150</v>
      </c>
      <c r="K149" s="3" t="n">
        <v>4</v>
      </c>
      <c r="L149" s="10" t="n">
        <v>160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2">
        <f>IF(tblOrdenes[[#This Row],[fecha_inicio]]="","",TODAY()-tblOrdenes[[#This Row],[fecha_inicio]])</f>
        <v/>
      </c>
      <c r="AB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0">
        <f>IF(tblOrdenes[[#This Row],[orden]]="","",_xlfn.XLOOKUP(tblOrdenes[[#This Row],[id_operacion]],tblEjecucion[id_operacion],tblEjecucion[precio],0))</f>
        <v/>
      </c>
      <c r="AJ149" s="10">
        <f>IF(tblOrdenes[[#This Row],[orden]]="","",MAX(0,_xlfn.XLOOKUP(tblOrdenes[[#This Row],[id_operacion]],tblEjecucion[id_operacion],tblEjecucion[costo_plan_total],0)-tblOrdenes[[#This Row],[costo_servicio]]))</f>
        <v/>
      </c>
      <c r="AK149" s="10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46150</v>
      </c>
      <c r="K150" s="3" t="n">
        <v>6</v>
      </c>
      <c r="L150" s="10" t="n">
        <v>240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2">
        <f>IF(tblOrdenes[[#This Row],[fecha_inicio]]="","",TODAY()-tblOrdenes[[#This Row],[fecha_inicio]])</f>
        <v/>
      </c>
      <c r="AB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0">
        <f>IF(tblOrdenes[[#This Row],[orden]]="","",_xlfn.XLOOKUP(tblOrdenes[[#This Row],[id_operacion]],tblEjecucion[id_operacion],tblEjecucion[precio],0))</f>
        <v/>
      </c>
      <c r="AJ150" s="10">
        <f>IF(tblOrdenes[[#This Row],[orden]]="","",MAX(0,_xlfn.XLOOKUP(tblOrdenes[[#This Row],[id_operacion]],tblEjecucion[id_operacion],tblEjecucion[costo_plan_total],0)-tblOrdenes[[#This Row],[costo_servicio]]))</f>
        <v/>
      </c>
      <c r="AK150" s="10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46150</v>
      </c>
      <c r="K151" s="3" t="n">
        <v>8</v>
      </c>
      <c r="L151" s="10" t="n">
        <v>320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2">
        <f>IF(tblOrdenes[[#This Row],[fecha_inicio]]="","",TODAY()-tblOrdenes[[#This Row],[fecha_inicio]])</f>
        <v/>
      </c>
      <c r="AB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0">
        <f>IF(tblOrdenes[[#This Row],[orden]]="","",_xlfn.XLOOKUP(tblOrdenes[[#This Row],[id_operacion]],tblEjecucion[id_operacion],tblEjecucion[precio],0))</f>
        <v/>
      </c>
      <c r="AJ151" s="10">
        <f>IF(tblOrdenes[[#This Row],[orden]]="","",MAX(0,_xlfn.XLOOKUP(tblOrdenes[[#This Row],[id_operacion]],tblEjecucion[id_operacion],tblEjecucion[costo_plan_total],0)-tblOrdenes[[#This Row],[costo_servicio]]))</f>
        <v/>
      </c>
      <c r="AK151" s="10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46150</v>
      </c>
      <c r="K152" s="3" t="n">
        <v>4</v>
      </c>
      <c r="L152" s="10" t="n">
        <v>100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2">
        <f>IF(tblOrdenes[[#This Row],[fecha_inicio]]="","",TODAY()-tblOrdenes[[#This Row],[fecha_inicio]])</f>
        <v/>
      </c>
      <c r="AB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0">
        <f>IF(tblOrdenes[[#This Row],[orden]]="","",_xlfn.XLOOKUP(tblOrdenes[[#This Row],[id_operacion]],tblEjecucion[id_operacion],tblEjecucion[precio],0))</f>
        <v/>
      </c>
      <c r="AJ152" s="10">
        <f>IF(tblOrdenes[[#This Row],[orden]]="","",MAX(0,_xlfn.XLOOKUP(tblOrdenes[[#This Row],[id_operacion]],tblEjecucion[id_operacion],tblEjecucion[costo_plan_total],0)-tblOrdenes[[#This Row],[costo_servicio]]))</f>
        <v/>
      </c>
      <c r="AK152" s="10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46150</v>
      </c>
      <c r="K153" s="3" t="n">
        <v>6</v>
      </c>
      <c r="L153" s="10" t="n">
        <v>240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2">
        <f>IF(tblOrdenes[[#This Row],[fecha_inicio]]="","",TODAY()-tblOrdenes[[#This Row],[fecha_inicio]])</f>
        <v/>
      </c>
      <c r="AB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0">
        <f>IF(tblOrdenes[[#This Row],[orden]]="","",_xlfn.XLOOKUP(tblOrdenes[[#This Row],[id_operacion]],tblEjecucion[id_operacion],tblEjecucion[precio],0))</f>
        <v/>
      </c>
      <c r="AJ153" s="10">
        <f>IF(tblOrdenes[[#This Row],[orden]]="","",MAX(0,_xlfn.XLOOKUP(tblOrdenes[[#This Row],[id_operacion]],tblEjecucion[id_operacion],tblEjecucion[costo_plan_total],0)-tblOrdenes[[#This Row],[costo_servicio]]))</f>
        <v/>
      </c>
      <c r="AK153" s="10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46150</v>
      </c>
      <c r="K154" s="3" t="n">
        <v>8</v>
      </c>
      <c r="L154" s="10" t="n">
        <v>320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2">
        <f>IF(tblOrdenes[[#This Row],[fecha_inicio]]="","",TODAY()-tblOrdenes[[#This Row],[fecha_inicio]])</f>
        <v/>
      </c>
      <c r="AB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0">
        <f>IF(tblOrdenes[[#This Row],[orden]]="","",_xlfn.XLOOKUP(tblOrdenes[[#This Row],[id_operacion]],tblEjecucion[id_operacion],tblEjecucion[precio],0))</f>
        <v/>
      </c>
      <c r="AJ154" s="10">
        <f>IF(tblOrdenes[[#This Row],[orden]]="","",MAX(0,_xlfn.XLOOKUP(tblOrdenes[[#This Row],[id_operacion]],tblEjecucion[id_operacion],tblEjecucion[costo_plan_total],0)-tblOrdenes[[#This Row],[costo_servicio]]))</f>
        <v/>
      </c>
      <c r="AK154" s="10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46125</v>
      </c>
      <c r="K155" s="3" t="n">
        <v>4</v>
      </c>
      <c r="L155" s="10" t="n">
        <v>160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2">
        <f>IF(tblOrdenes[[#This Row],[fecha_inicio]]="","",TODAY()-tblOrdenes[[#This Row],[fecha_inicio]])</f>
        <v/>
      </c>
      <c r="AB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0">
        <f>IF(tblOrdenes[[#This Row],[orden]]="","",_xlfn.XLOOKUP(tblOrdenes[[#This Row],[id_operacion]],tblEjecucion[id_operacion],tblEjecucion[precio],0))</f>
        <v/>
      </c>
      <c r="AJ155" s="10">
        <f>IF(tblOrdenes[[#This Row],[orden]]="","",MAX(0,_xlfn.XLOOKUP(tblOrdenes[[#This Row],[id_operacion]],tblEjecucion[id_operacion],tblEjecucion[costo_plan_total],0)-tblOrdenes[[#This Row],[costo_servicio]]))</f>
        <v/>
      </c>
      <c r="AK155" s="10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46125</v>
      </c>
      <c r="K156" s="3" t="n">
        <v>6</v>
      </c>
      <c r="L156" s="10" t="n">
        <v>240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2">
        <f>IF(tblOrdenes[[#This Row],[fecha_inicio]]="","",TODAY()-tblOrdenes[[#This Row],[fecha_inicio]])</f>
        <v/>
      </c>
      <c r="AB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0">
        <f>IF(tblOrdenes[[#This Row],[orden]]="","",_xlfn.XLOOKUP(tblOrdenes[[#This Row],[id_operacion]],tblEjecucion[id_operacion],tblEjecucion[precio],0))</f>
        <v/>
      </c>
      <c r="AJ156" s="10">
        <f>IF(tblOrdenes[[#This Row],[orden]]="","",MAX(0,_xlfn.XLOOKUP(tblOrdenes[[#This Row],[id_operacion]],tblEjecucion[id_operacion],tblEjecucion[costo_plan_total],0)-tblOrdenes[[#This Row],[costo_servicio]]))</f>
        <v/>
      </c>
      <c r="AK156" s="10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46125</v>
      </c>
      <c r="K157" s="3" t="n">
        <v>8</v>
      </c>
      <c r="L157" s="10" t="n">
        <v>320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2">
        <f>IF(tblOrdenes[[#This Row],[fecha_inicio]]="","",TODAY()-tblOrdenes[[#This Row],[fecha_inicio]])</f>
        <v/>
      </c>
      <c r="AB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0">
        <f>IF(tblOrdenes[[#This Row],[orden]]="","",_xlfn.XLOOKUP(tblOrdenes[[#This Row],[id_operacion]],tblEjecucion[id_operacion],tblEjecucion[precio],0))</f>
        <v/>
      </c>
      <c r="AJ157" s="10">
        <f>IF(tblOrdenes[[#This Row],[orden]]="","",MAX(0,_xlfn.XLOOKUP(tblOrdenes[[#This Row],[id_operacion]],tblEjecucion[id_operacion],tblEjecucion[costo_plan_total],0)-tblOrdenes[[#This Row],[costo_servicio]]))</f>
        <v/>
      </c>
      <c r="AK157" s="10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46125</v>
      </c>
      <c r="K158" s="3" t="n">
        <v>4</v>
      </c>
      <c r="L158" s="10" t="n">
        <v>100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2">
        <f>IF(tblOrdenes[[#This Row],[fecha_inicio]]="","",TODAY()-tblOrdenes[[#This Row],[fecha_inicio]])</f>
        <v/>
      </c>
      <c r="AB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0">
        <f>IF(tblOrdenes[[#This Row],[orden]]="","",_xlfn.XLOOKUP(tblOrdenes[[#This Row],[id_operacion]],tblEjecucion[id_operacion],tblEjecucion[precio],0))</f>
        <v/>
      </c>
      <c r="AJ158" s="10">
        <f>IF(tblOrdenes[[#This Row],[orden]]="","",MAX(0,_xlfn.XLOOKUP(tblOrdenes[[#This Row],[id_operacion]],tblEjecucion[id_operacion],tblEjecucion[costo_plan_total],0)-tblOrdenes[[#This Row],[costo_servicio]]))</f>
        <v/>
      </c>
      <c r="AK158" s="10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46125</v>
      </c>
      <c r="K159" s="3" t="n">
        <v>6</v>
      </c>
      <c r="L159" s="10" t="n">
        <v>240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2">
        <f>IF(tblOrdenes[[#This Row],[fecha_inicio]]="","",TODAY()-tblOrdenes[[#This Row],[fecha_inicio]])</f>
        <v/>
      </c>
      <c r="AB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0">
        <f>IF(tblOrdenes[[#This Row],[orden]]="","",_xlfn.XLOOKUP(tblOrdenes[[#This Row],[id_operacion]],tblEjecucion[id_operacion],tblEjecucion[precio],0))</f>
        <v/>
      </c>
      <c r="AJ159" s="10">
        <f>IF(tblOrdenes[[#This Row],[orden]]="","",MAX(0,_xlfn.XLOOKUP(tblOrdenes[[#This Row],[id_operacion]],tblEjecucion[id_operacion],tblEjecucion[costo_plan_total],0)-tblOrdenes[[#This Row],[costo_servicio]]))</f>
        <v/>
      </c>
      <c r="AK159" s="10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46125</v>
      </c>
      <c r="K160" s="3" t="n">
        <v>8</v>
      </c>
      <c r="L160" s="10" t="n">
        <v>320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2">
        <f>IF(tblOrdenes[[#This Row],[fecha_inicio]]="","",TODAY()-tblOrdenes[[#This Row],[fecha_inicio]])</f>
        <v/>
      </c>
      <c r="AB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0">
        <f>IF(tblOrdenes[[#This Row],[orden]]="","",_xlfn.XLOOKUP(tblOrdenes[[#This Row],[id_operacion]],tblEjecucion[id_operacion],tblEjecucion[precio],0))</f>
        <v/>
      </c>
      <c r="AJ160" s="10">
        <f>IF(tblOrdenes[[#This Row],[orden]]="","",MAX(0,_xlfn.XLOOKUP(tblOrdenes[[#This Row],[id_operacion]],tblEjecucion[id_operacion],tblEjecucion[costo_plan_total],0)-tblOrdenes[[#This Row],[costo_servicio]]))</f>
        <v/>
      </c>
      <c r="AK160" s="10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46105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2">
        <f>IF(tblOrdenes[[#This Row],[fecha_inicio]]="","",TODAY()-tblOrdenes[[#This Row],[fecha_inicio]])</f>
        <v/>
      </c>
      <c r="AB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0">
        <f>IF(tblOrdenes[[#This Row],[orden]]="","",_xlfn.XLOOKUP(tblOrdenes[[#This Row],[id_operacion]],tblEjecucion[id_operacion],tblEjecucion[precio],0))</f>
        <v/>
      </c>
      <c r="AJ161" s="10">
        <f>IF(tblOrdenes[[#This Row],[orden]]="","",MAX(0,_xlfn.XLOOKUP(tblOrdenes[[#This Row],[id_operacion]],tblEjecucion[id_operacion],tblEjecucion[costo_plan_total],0)-tblOrdenes[[#This Row],[costo_servicio]]))</f>
        <v/>
      </c>
      <c r="AK161" s="10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46105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2">
        <f>IF(tblOrdenes[[#This Row],[fecha_inicio]]="","",TODAY()-tblOrdenes[[#This Row],[fecha_inicio]])</f>
        <v/>
      </c>
      <c r="AB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0">
        <f>IF(tblOrdenes[[#This Row],[orden]]="","",_xlfn.XLOOKUP(tblOrdenes[[#This Row],[id_operacion]],tblEjecucion[id_operacion],tblEjecucion[precio],0))</f>
        <v/>
      </c>
      <c r="AJ162" s="10">
        <f>IF(tblOrdenes[[#This Row],[orden]]="","",MAX(0,_xlfn.XLOOKUP(tblOrdenes[[#This Row],[id_operacion]],tblEjecucion[id_operacion],tblEjecucion[costo_plan_total],0)-tblOrdenes[[#This Row],[costo_servicio]]))</f>
        <v/>
      </c>
      <c r="AK162" s="10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46105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2">
        <f>IF(tblOrdenes[[#This Row],[fecha_inicio]]="","",TODAY()-tblOrdenes[[#This Row],[fecha_inicio]])</f>
        <v/>
      </c>
      <c r="AB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0">
        <f>IF(tblOrdenes[[#This Row],[orden]]="","",_xlfn.XLOOKUP(tblOrdenes[[#This Row],[id_operacion]],tblEjecucion[id_operacion],tblEjecucion[precio],0))</f>
        <v/>
      </c>
      <c r="AJ163" s="10">
        <f>IF(tblOrdenes[[#This Row],[orden]]="","",MAX(0,_xlfn.XLOOKUP(tblOrdenes[[#This Row],[id_operacion]],tblEjecucion[id_operacion],tblEjecucion[costo_plan_total],0)-tblOrdenes[[#This Row],[costo_servicio]]))</f>
        <v/>
      </c>
      <c r="AK163" s="10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46105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2">
        <f>IF(tblOrdenes[[#This Row],[fecha_inicio]]="","",TODAY()-tblOrdenes[[#This Row],[fecha_inicio]])</f>
        <v/>
      </c>
      <c r="AB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0">
        <f>IF(tblOrdenes[[#This Row],[orden]]="","",_xlfn.XLOOKUP(tblOrdenes[[#This Row],[id_operacion]],tblEjecucion[id_operacion],tblEjecucion[precio],0))</f>
        <v/>
      </c>
      <c r="AJ164" s="10">
        <f>IF(tblOrdenes[[#This Row],[orden]]="","",MAX(0,_xlfn.XLOOKUP(tblOrdenes[[#This Row],[id_operacion]],tblEjecucion[id_operacion],tblEjecucion[costo_plan_total],0)-tblOrdenes[[#This Row],[costo_servicio]]))</f>
        <v/>
      </c>
      <c r="AK164" s="10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46075</v>
      </c>
      <c r="K165" s="3" t="n">
        <v>4</v>
      </c>
      <c r="L165" s="10" t="n">
        <v>160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2">
        <f>IF(tblOrdenes[[#This Row],[fecha_inicio]]="","",TODAY()-tblOrdenes[[#This Row],[fecha_inicio]])</f>
        <v/>
      </c>
      <c r="AB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0">
        <f>IF(tblOrdenes[[#This Row],[orden]]="","",_xlfn.XLOOKUP(tblOrdenes[[#This Row],[id_operacion]],tblEjecucion[id_operacion],tblEjecucion[precio],0))</f>
        <v/>
      </c>
      <c r="AJ165" s="10">
        <f>IF(tblOrdenes[[#This Row],[orden]]="","",MAX(0,_xlfn.XLOOKUP(tblOrdenes[[#This Row],[id_operacion]],tblEjecucion[id_operacion],tblEjecucion[costo_plan_total],0)-tblOrdenes[[#This Row],[costo_servicio]]))</f>
        <v/>
      </c>
      <c r="AK165" s="10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46075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2">
        <f>IF(tblOrdenes[[#This Row],[fecha_inicio]]="","",TODAY()-tblOrdenes[[#This Row],[fecha_inicio]])</f>
        <v/>
      </c>
      <c r="AB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0">
        <f>IF(tblOrdenes[[#This Row],[orden]]="","",_xlfn.XLOOKUP(tblOrdenes[[#This Row],[id_operacion]],tblEjecucion[id_operacion],tblEjecucion[precio],0))</f>
        <v/>
      </c>
      <c r="AJ166" s="10">
        <f>IF(tblOrdenes[[#This Row],[orden]]="","",MAX(0,_xlfn.XLOOKUP(tblOrdenes[[#This Row],[id_operacion]],tblEjecucion[id_operacion],tblEjecucion[costo_plan_total],0)-tblOrdenes[[#This Row],[costo_servicio]]))</f>
        <v/>
      </c>
      <c r="AK166" s="10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46075</v>
      </c>
      <c r="K167" s="3" t="n">
        <v>8</v>
      </c>
      <c r="L167" s="10" t="n">
        <v>320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2">
        <f>IF(tblOrdenes[[#This Row],[fecha_inicio]]="","",TODAY()-tblOrdenes[[#This Row],[fecha_inicio]])</f>
        <v/>
      </c>
      <c r="AB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0">
        <f>IF(tblOrdenes[[#This Row],[orden]]="","",_xlfn.XLOOKUP(tblOrdenes[[#This Row],[id_operacion]],tblEjecucion[id_operacion],tblEjecucion[precio],0))</f>
        <v/>
      </c>
      <c r="AJ167" s="10">
        <f>IF(tblOrdenes[[#This Row],[orden]]="","",MAX(0,_xlfn.XLOOKUP(tblOrdenes[[#This Row],[id_operacion]],tblEjecucion[id_operacion],tblEjecucion[costo_plan_total],0)-tblOrdenes[[#This Row],[costo_servicio]]))</f>
        <v/>
      </c>
      <c r="AK167" s="10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46075</v>
      </c>
      <c r="K168" s="3" t="n">
        <v>4</v>
      </c>
      <c r="L168" s="10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2">
        <f>IF(tblOrdenes[[#This Row],[fecha_inicio]]="","",TODAY()-tblOrdenes[[#This Row],[fecha_inicio]])</f>
        <v/>
      </c>
      <c r="AB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0">
        <f>IF(tblOrdenes[[#This Row],[orden]]="","",_xlfn.XLOOKUP(tblOrdenes[[#This Row],[id_operacion]],tblEjecucion[id_operacion],tblEjecucion[precio],0))</f>
        <v/>
      </c>
      <c r="AJ168" s="10">
        <f>IF(tblOrdenes[[#This Row],[orden]]="","",MAX(0,_xlfn.XLOOKUP(tblOrdenes[[#This Row],[id_operacion]],tblEjecucion[id_operacion],tblEjecucion[costo_plan_total],0)-tblOrdenes[[#This Row],[costo_servicio]]))</f>
        <v/>
      </c>
      <c r="AK168" s="10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46185</v>
      </c>
      <c r="K169" s="3" t="n">
        <v>4</v>
      </c>
      <c r="L169" s="10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2">
        <f>IF(tblOrdenes[[#This Row],[fecha_inicio]]="","",TODAY()-tblOrdenes[[#This Row],[fecha_inicio]])</f>
        <v/>
      </c>
      <c r="AB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0">
        <f>IF(tblOrdenes[[#This Row],[orden]]="","",_xlfn.XLOOKUP(tblOrdenes[[#This Row],[id_operacion]],tblEjecucion[id_operacion],tblEjecucion[precio],0))</f>
        <v/>
      </c>
      <c r="AJ169" s="10">
        <f>IF(tblOrdenes[[#This Row],[orden]]="","",MAX(0,_xlfn.XLOOKUP(tblOrdenes[[#This Row],[id_operacion]],tblEjecucion[id_operacion],tblEjecucion[costo_plan_total],0)-tblOrdenes[[#This Row],[costo_servicio]]))</f>
        <v/>
      </c>
      <c r="AK169" s="10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46178</v>
      </c>
      <c r="K170" s="3" t="n">
        <v>6</v>
      </c>
      <c r="L170" s="10" t="n">
        <v>240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2">
        <f>IF(tblOrdenes[[#This Row],[fecha_inicio]]="","",TODAY()-tblOrdenes[[#This Row],[fecha_inicio]])</f>
        <v/>
      </c>
      <c r="AB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0">
        <f>IF(tblOrdenes[[#This Row],[orden]]="","",_xlfn.XLOOKUP(tblOrdenes[[#This Row],[id_operacion]],tblEjecucion[id_operacion],tblEjecucion[precio],0))</f>
        <v/>
      </c>
      <c r="AJ170" s="10">
        <f>IF(tblOrdenes[[#This Row],[orden]]="","",MAX(0,_xlfn.XLOOKUP(tblOrdenes[[#This Row],[id_operacion]],tblEjecucion[id_operacion],tblEjecucion[costo_plan_total],0)-tblOrdenes[[#This Row],[costo_servicio]]))</f>
        <v/>
      </c>
      <c r="AK170" s="10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46171</v>
      </c>
      <c r="K171" s="3" t="n">
        <v>8</v>
      </c>
      <c r="L171" s="10" t="n">
        <v>200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2">
        <f>IF(tblOrdenes[[#This Row],[fecha_inicio]]="","",TODAY()-tblOrdenes[[#This Row],[fecha_inicio]])</f>
        <v/>
      </c>
      <c r="AB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0">
        <f>IF(tblOrdenes[[#This Row],[orden]]="","",_xlfn.XLOOKUP(tblOrdenes[[#This Row],[id_operacion]],tblEjecucion[id_operacion],tblEjecucion[precio],0))</f>
        <v/>
      </c>
      <c r="AJ171" s="10">
        <f>IF(tblOrdenes[[#This Row],[orden]]="","",MAX(0,_xlfn.XLOOKUP(tblOrdenes[[#This Row],[id_operacion]],tblEjecucion[id_operacion],tblEjecucion[costo_plan_total],0)-tblOrdenes[[#This Row],[costo_servicio]]))</f>
        <v/>
      </c>
      <c r="AK171" s="10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46164</v>
      </c>
      <c r="K172" s="3" t="n">
        <v>4</v>
      </c>
      <c r="L172" s="10" t="n">
        <v>160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2">
        <f>IF(tblOrdenes[[#This Row],[fecha_inicio]]="","",TODAY()-tblOrdenes[[#This Row],[fecha_inicio]])</f>
        <v/>
      </c>
      <c r="AB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0">
        <f>IF(tblOrdenes[[#This Row],[orden]]="","",_xlfn.XLOOKUP(tblOrdenes[[#This Row],[id_operacion]],tblEjecucion[id_operacion],tblEjecucion[precio],0))</f>
        <v/>
      </c>
      <c r="AJ172" s="10">
        <f>IF(tblOrdenes[[#This Row],[orden]]="","",MAX(0,_xlfn.XLOOKUP(tblOrdenes[[#This Row],[id_operacion]],tblEjecucion[id_operacion],tblEjecucion[costo_plan_total],0)-tblOrdenes[[#This Row],[costo_servicio]]))</f>
        <v/>
      </c>
      <c r="AK172" s="10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46157</v>
      </c>
      <c r="K173" s="3" t="n">
        <v>6</v>
      </c>
      <c r="L173" s="10" t="n">
        <v>150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2">
        <f>IF(tblOrdenes[[#This Row],[fecha_inicio]]="","",TODAY()-tblOrdenes[[#This Row],[fecha_inicio]])</f>
        <v/>
      </c>
      <c r="AB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0">
        <f>IF(tblOrdenes[[#This Row],[orden]]="","",_xlfn.XLOOKUP(tblOrdenes[[#This Row],[id_operacion]],tblEjecucion[id_operacion],tblEjecucion[precio],0))</f>
        <v/>
      </c>
      <c r="AJ173" s="10">
        <f>IF(tblOrdenes[[#This Row],[orden]]="","",MAX(0,_xlfn.XLOOKUP(tblOrdenes[[#This Row],[id_operacion]],tblEjecucion[id_operacion],tblEjecucion[costo_plan_total],0)-tblOrdenes[[#This Row],[costo_servicio]]))</f>
        <v/>
      </c>
      <c r="AK173" s="10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46150</v>
      </c>
      <c r="K174" s="3" t="n">
        <v>8</v>
      </c>
      <c r="L174" s="10" t="n">
        <v>320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2">
        <f>IF(tblOrdenes[[#This Row],[fecha_inicio]]="","",TODAY()-tblOrdenes[[#This Row],[fecha_inicio]])</f>
        <v/>
      </c>
      <c r="AB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0">
        <f>IF(tblOrdenes[[#This Row],[orden]]="","",_xlfn.XLOOKUP(tblOrdenes[[#This Row],[id_operacion]],tblEjecucion[id_operacion],tblEjecucion[precio],0))</f>
        <v/>
      </c>
      <c r="AJ174" s="10">
        <f>IF(tblOrdenes[[#This Row],[orden]]="","",MAX(0,_xlfn.XLOOKUP(tblOrdenes[[#This Row],[id_operacion]],tblEjecucion[id_operacion],tblEjecucion[costo_plan_total],0)-tblOrdenes[[#This Row],[costo_servicio]]))</f>
        <v/>
      </c>
      <c r="AK174" s="10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46143</v>
      </c>
      <c r="K175" s="3" t="n">
        <v>4</v>
      </c>
      <c r="L175" s="10" t="n">
        <v>100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2">
        <f>IF(tblOrdenes[[#This Row],[fecha_inicio]]="","",TODAY()-tblOrdenes[[#This Row],[fecha_inicio]])</f>
        <v/>
      </c>
      <c r="AB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0">
        <f>IF(tblOrdenes[[#This Row],[orden]]="","",_xlfn.XLOOKUP(tblOrdenes[[#This Row],[id_operacion]],tblEjecucion[id_operacion],tblEjecucion[precio],0))</f>
        <v/>
      </c>
      <c r="AJ175" s="10">
        <f>IF(tblOrdenes[[#This Row],[orden]]="","",MAX(0,_xlfn.XLOOKUP(tblOrdenes[[#This Row],[id_operacion]],tblEjecucion[id_operacion],tblEjecucion[costo_plan_total],0)-tblOrdenes[[#This Row],[costo_servicio]]))</f>
        <v/>
      </c>
      <c r="AK175" s="10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46136</v>
      </c>
      <c r="K176" s="3" t="n">
        <v>6</v>
      </c>
      <c r="L176" s="10" t="n">
        <v>240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2">
        <f>IF(tblOrdenes[[#This Row],[fecha_inicio]]="","",TODAY()-tblOrdenes[[#This Row],[fecha_inicio]])</f>
        <v/>
      </c>
      <c r="AB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0">
        <f>IF(tblOrdenes[[#This Row],[orden]]="","",_xlfn.XLOOKUP(tblOrdenes[[#This Row],[id_operacion]],tblEjecucion[id_operacion],tblEjecucion[precio],0))</f>
        <v/>
      </c>
      <c r="AJ176" s="10">
        <f>IF(tblOrdenes[[#This Row],[orden]]="","",MAX(0,_xlfn.XLOOKUP(tblOrdenes[[#This Row],[id_operacion]],tblEjecucion[id_operacion],tblEjecucion[costo_plan_total],0)-tblOrdenes[[#This Row],[costo_servicio]]))</f>
        <v/>
      </c>
      <c r="AK176" s="10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46129</v>
      </c>
      <c r="K177" s="3" t="n">
        <v>8</v>
      </c>
      <c r="L177" s="10" t="n">
        <v>200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2">
        <f>IF(tblOrdenes[[#This Row],[fecha_inicio]]="","",TODAY()-tblOrdenes[[#This Row],[fecha_inicio]])</f>
        <v/>
      </c>
      <c r="AB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0">
        <f>IF(tblOrdenes[[#This Row],[orden]]="","",_xlfn.XLOOKUP(tblOrdenes[[#This Row],[id_operacion]],tblEjecucion[id_operacion],tblEjecucion[precio],0))</f>
        <v/>
      </c>
      <c r="AJ177" s="10">
        <f>IF(tblOrdenes[[#This Row],[orden]]="","",MAX(0,_xlfn.XLOOKUP(tblOrdenes[[#This Row],[id_operacion]],tblEjecucion[id_operacion],tblEjecucion[costo_plan_total],0)-tblOrdenes[[#This Row],[costo_servicio]]))</f>
        <v/>
      </c>
      <c r="AK177" s="10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46122</v>
      </c>
      <c r="K178" s="3" t="n">
        <v>4</v>
      </c>
      <c r="L178" s="10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2">
        <f>IF(tblOrdenes[[#This Row],[fecha_inicio]]="","",TODAY()-tblOrdenes[[#This Row],[fecha_inicio]])</f>
        <v/>
      </c>
      <c r="AB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0">
        <f>IF(tblOrdenes[[#This Row],[orden]]="","",_xlfn.XLOOKUP(tblOrdenes[[#This Row],[id_operacion]],tblEjecucion[id_operacion],tblEjecucion[precio],0))</f>
        <v/>
      </c>
      <c r="AJ178" s="10">
        <f>IF(tblOrdenes[[#This Row],[orden]]="","",MAX(0,_xlfn.XLOOKUP(tblOrdenes[[#This Row],[id_operacion]],tblEjecucion[id_operacion],tblEjecucion[costo_plan_total],0)-tblOrdenes[[#This Row],[costo_servicio]]))</f>
        <v/>
      </c>
      <c r="AK178" s="10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46115</v>
      </c>
      <c r="K179" s="3" t="n">
        <v>6</v>
      </c>
      <c r="L179" s="10" t="n">
        <v>150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2">
        <f>IF(tblOrdenes[[#This Row],[fecha_inicio]]="","",TODAY()-tblOrdenes[[#This Row],[fecha_inicio]])</f>
        <v/>
      </c>
      <c r="AB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0">
        <f>IF(tblOrdenes[[#This Row],[orden]]="","",_xlfn.XLOOKUP(tblOrdenes[[#This Row],[id_operacion]],tblEjecucion[id_operacion],tblEjecucion[precio],0))</f>
        <v/>
      </c>
      <c r="AJ179" s="10">
        <f>IF(tblOrdenes[[#This Row],[orden]]="","",MAX(0,_xlfn.XLOOKUP(tblOrdenes[[#This Row],[id_operacion]],tblEjecucion[id_operacion],tblEjecucion[costo_plan_total],0)-tblOrdenes[[#This Row],[costo_servicio]]))</f>
        <v/>
      </c>
      <c r="AK179" s="10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46108</v>
      </c>
      <c r="K180" s="3" t="n">
        <v>8</v>
      </c>
      <c r="L180" s="10" t="n">
        <v>320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2">
        <f>IF(tblOrdenes[[#This Row],[fecha_inicio]]="","",TODAY()-tblOrdenes[[#This Row],[fecha_inicio]])</f>
        <v/>
      </c>
      <c r="AB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0">
        <f>IF(tblOrdenes[[#This Row],[orden]]="","",_xlfn.XLOOKUP(tblOrdenes[[#This Row],[id_operacion]],tblEjecucion[id_operacion],tblEjecucion[precio],0))</f>
        <v/>
      </c>
      <c r="AJ180" s="10">
        <f>IF(tblOrdenes[[#This Row],[orden]]="","",MAX(0,_xlfn.XLOOKUP(tblOrdenes[[#This Row],[id_operacion]],tblEjecucion[id_operacion],tblEjecucion[costo_plan_total],0)-tblOrdenes[[#This Row],[costo_servicio]]))</f>
        <v/>
      </c>
      <c r="AK180" s="10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46101</v>
      </c>
      <c r="K181" s="3" t="n">
        <v>4</v>
      </c>
      <c r="L181" s="10" t="n">
        <v>100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2">
        <f>IF(tblOrdenes[[#This Row],[fecha_inicio]]="","",TODAY()-tblOrdenes[[#This Row],[fecha_inicio]])</f>
        <v/>
      </c>
      <c r="AB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0">
        <f>IF(tblOrdenes[[#This Row],[orden]]="","",_xlfn.XLOOKUP(tblOrdenes[[#This Row],[id_operacion]],tblEjecucion[id_operacion],tblEjecucion[precio],0))</f>
        <v/>
      </c>
      <c r="AJ181" s="10">
        <f>IF(tblOrdenes[[#This Row],[orden]]="","",MAX(0,_xlfn.XLOOKUP(tblOrdenes[[#This Row],[id_operacion]],tblEjecucion[id_operacion],tblEjecucion[costo_plan_total],0)-tblOrdenes[[#This Row],[costo_servicio]]))</f>
        <v/>
      </c>
      <c r="AK181" s="10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46094</v>
      </c>
      <c r="K182" s="3" t="n">
        <v>6</v>
      </c>
      <c r="L182" s="10" t="n">
        <v>240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2">
        <f>IF(tblOrdenes[[#This Row],[fecha_inicio]]="","",TODAY()-tblOrdenes[[#This Row],[fecha_inicio]])</f>
        <v/>
      </c>
      <c r="AB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0">
        <f>IF(tblOrdenes[[#This Row],[orden]]="","",_xlfn.XLOOKUP(tblOrdenes[[#This Row],[id_operacion]],tblEjecucion[id_operacion],tblEjecucion[precio],0))</f>
        <v/>
      </c>
      <c r="AJ182" s="10">
        <f>IF(tblOrdenes[[#This Row],[orden]]="","",MAX(0,_xlfn.XLOOKUP(tblOrdenes[[#This Row],[id_operacion]],tblEjecucion[id_operacion],tblEjecucion[costo_plan_total],0)-tblOrdenes[[#This Row],[costo_servicio]]))</f>
        <v/>
      </c>
      <c r="AK182" s="10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46087</v>
      </c>
      <c r="K183" s="3" t="n">
        <v>8</v>
      </c>
      <c r="L183" s="10" t="n">
        <v>200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2">
        <f>IF(tblOrdenes[[#This Row],[fecha_inicio]]="","",TODAY()-tblOrdenes[[#This Row],[fecha_inicio]])</f>
        <v/>
      </c>
      <c r="AB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0">
        <f>IF(tblOrdenes[[#This Row],[orden]]="","",_xlfn.XLOOKUP(tblOrdenes[[#This Row],[id_operacion]],tblEjecucion[id_operacion],tblEjecucion[precio],0))</f>
        <v/>
      </c>
      <c r="AJ183" s="10">
        <f>IF(tblOrdenes[[#This Row],[orden]]="","",MAX(0,_xlfn.XLOOKUP(tblOrdenes[[#This Row],[id_operacion]],tblEjecucion[id_operacion],tblEjecucion[costo_plan_total],0)-tblOrdenes[[#This Row],[costo_servicio]]))</f>
        <v/>
      </c>
      <c r="AK183" s="10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46265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2">
        <f>IF(tblOrdenes[[#This Row],[fecha_inicio]]="","",TODAY()-tblOrdenes[[#This Row],[fecha_inicio]])</f>
        <v/>
      </c>
      <c r="AB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0">
        <f>IF(tblOrdenes[[#This Row],[orden]]="","",_xlfn.XLOOKUP(tblOrdenes[[#This Row],[id_operacion]],tblEjecucion[id_operacion],tblEjecucion[precio],0))</f>
        <v/>
      </c>
      <c r="AJ184" s="10">
        <f>IF(tblOrdenes[[#This Row],[orden]]="","",MAX(0,_xlfn.XLOOKUP(tblOrdenes[[#This Row],[id_operacion]],tblEjecucion[id_operacion],tblEjecucion[costo_plan_total],0)-tblOrdenes[[#This Row],[costo_servicio]]))</f>
        <v/>
      </c>
      <c r="AK184" s="10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46265</v>
      </c>
      <c r="K185" s="3" t="n">
        <v>6</v>
      </c>
      <c r="L185" s="10" t="n">
        <v>150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2">
        <f>IF(tblOrdenes[[#This Row],[fecha_inicio]]="","",TODAY()-tblOrdenes[[#This Row],[fecha_inicio]])</f>
        <v/>
      </c>
      <c r="AB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0">
        <f>IF(tblOrdenes[[#This Row],[orden]]="","",_xlfn.XLOOKUP(tblOrdenes[[#This Row],[id_operacion]],tblEjecucion[id_operacion],tblEjecucion[precio],0))</f>
        <v/>
      </c>
      <c r="AJ185" s="10">
        <f>IF(tblOrdenes[[#This Row],[orden]]="","",MAX(0,_xlfn.XLOOKUP(tblOrdenes[[#This Row],[id_operacion]],tblEjecucion[id_operacion],tblEjecucion[costo_plan_total],0)-tblOrdenes[[#This Row],[costo_servicio]]))</f>
        <v/>
      </c>
      <c r="AK185" s="10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46265</v>
      </c>
      <c r="K186" s="3" t="n">
        <v>6</v>
      </c>
      <c r="L186" s="10" t="n">
        <v>150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2">
        <f>IF(tblOrdenes[[#This Row],[fecha_inicio]]="","",TODAY()-tblOrdenes[[#This Row],[fecha_inicio]])</f>
        <v/>
      </c>
      <c r="AB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0">
        <f>IF(tblOrdenes[[#This Row],[orden]]="","",_xlfn.XLOOKUP(tblOrdenes[[#This Row],[id_operacion]],tblEjecucion[id_operacion],tblEjecucion[precio],0))</f>
        <v/>
      </c>
      <c r="AJ186" s="10">
        <f>IF(tblOrdenes[[#This Row],[orden]]="","",MAX(0,_xlfn.XLOOKUP(tblOrdenes[[#This Row],[id_operacion]],tblEjecucion[id_operacion],tblEjecucion[costo_plan_total],0)-tblOrdenes[[#This Row],[costo_servicio]]))</f>
        <v/>
      </c>
      <c r="AK186" s="10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46325</v>
      </c>
      <c r="K187" s="3" t="n">
        <v>6</v>
      </c>
      <c r="L187" s="10" t="n">
        <v>150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2">
        <f>IF(tblOrdenes[[#This Row],[fecha_inicio]]="","",TODAY()-tblOrdenes[[#This Row],[fecha_inicio]])</f>
        <v/>
      </c>
      <c r="AB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0">
        <f>IF(tblOrdenes[[#This Row],[orden]]="","",_xlfn.XLOOKUP(tblOrdenes[[#This Row],[id_operacion]],tblEjecucion[id_operacion],tblEjecucion[precio],0))</f>
        <v/>
      </c>
      <c r="AJ187" s="10">
        <f>IF(tblOrdenes[[#This Row],[orden]]="","",MAX(0,_xlfn.XLOOKUP(tblOrdenes[[#This Row],[id_operacion]],tblEjecucion[id_operacion],tblEjecucion[costo_plan_total],0)-tblOrdenes[[#This Row],[costo_servicio]]))</f>
        <v/>
      </c>
      <c r="AK187" s="10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46325</v>
      </c>
      <c r="K188" s="3" t="n">
        <v>6</v>
      </c>
      <c r="L188" s="10" t="n">
        <v>150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2">
        <f>IF(tblOrdenes[[#This Row],[fecha_inicio]]="","",TODAY()-tblOrdenes[[#This Row],[fecha_inicio]])</f>
        <v/>
      </c>
      <c r="AB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0">
        <f>IF(tblOrdenes[[#This Row],[orden]]="","",_xlfn.XLOOKUP(tblOrdenes[[#This Row],[id_operacion]],tblEjecucion[id_operacion],tblEjecucion[precio],0))</f>
        <v/>
      </c>
      <c r="AJ188" s="10">
        <f>IF(tblOrdenes[[#This Row],[orden]]="","",MAX(0,_xlfn.XLOOKUP(tblOrdenes[[#This Row],[id_operacion]],tblEjecucion[id_operacion],tblEjecucion[costo_plan_total],0)-tblOrdenes[[#This Row],[costo_servicio]]))</f>
        <v/>
      </c>
      <c r="AK188" s="10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2">
        <f>IF(tblOrdenes[[#This Row],[fecha_inicio]]="","",TODAY()-tblOrdenes[[#This Row],[fecha_inicio]])</f>
        <v/>
      </c>
      <c r="AB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0">
        <f>IF(tblOrdenes[[#This Row],[orden]]="","",_xlfn.XLOOKUP(tblOrdenes[[#This Row],[id_operacion]],tblEjecucion[id_operacion],tblEjecucion[precio],0))</f>
        <v/>
      </c>
      <c r="AJ189" s="10">
        <f>IF(tblOrdenes[[#This Row],[orden]]="","",MAX(0,_xlfn.XLOOKUP(tblOrdenes[[#This Row],[id_operacion]],tblEjecucion[id_operacion],tblEjecucion[costo_plan_total],0)-tblOrdenes[[#This Row],[costo_servicio]]))</f>
        <v/>
      </c>
      <c r="AK189" s="10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2">
        <f>IF(tblOrdenes[[#This Row],[fecha_inicio]]="","",TODAY()-tblOrdenes[[#This Row],[fecha_inicio]])</f>
        <v/>
      </c>
      <c r="AB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0">
        <f>IF(tblOrdenes[[#This Row],[orden]]="","",_xlfn.XLOOKUP(tblOrdenes[[#This Row],[id_operacion]],tblEjecucion[id_operacion],tblEjecucion[precio],0))</f>
        <v/>
      </c>
      <c r="AJ190" s="10">
        <f>IF(tblOrdenes[[#This Row],[orden]]="","",MAX(0,_xlfn.XLOOKUP(tblOrdenes[[#This Row],[id_operacion]],tblEjecucion[id_operacion],tblEjecucion[costo_plan_total],0)-tblOrdenes[[#This Row],[costo_servicio]]))</f>
        <v/>
      </c>
      <c r="AK190" s="10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2">
        <f>IF(tblOrdenes[[#This Row],[fecha_inicio]]="","",TODAY()-tblOrdenes[[#This Row],[fecha_inicio]])</f>
        <v/>
      </c>
      <c r="AB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0">
        <f>IF(tblOrdenes[[#This Row],[orden]]="","",_xlfn.XLOOKUP(tblOrdenes[[#This Row],[id_operacion]],tblEjecucion[id_operacion],tblEjecucion[precio],0))</f>
        <v/>
      </c>
      <c r="AJ191" s="10">
        <f>IF(tblOrdenes[[#This Row],[orden]]="","",MAX(0,_xlfn.XLOOKUP(tblOrdenes[[#This Row],[id_operacion]],tblEjecucion[id_operacion],tblEjecucion[costo_plan_total],0)-tblOrdenes[[#This Row],[costo_servicio]]))</f>
        <v/>
      </c>
      <c r="AK191" s="10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46175</v>
      </c>
      <c r="K192" s="3" t="n">
        <v>6</v>
      </c>
      <c r="L192" s="10" t="n">
        <v>240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2">
        <f>IF(tblOrdenes[[#This Row],[fecha_inicio]]="","",TODAY()-tblOrdenes[[#This Row],[fecha_inicio]])</f>
        <v/>
      </c>
      <c r="AB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0">
        <f>IF(tblOrdenes[[#This Row],[orden]]="","",_xlfn.XLOOKUP(tblOrdenes[[#This Row],[id_operacion]],tblEjecucion[id_operacion],tblEjecucion[precio],0))</f>
        <v/>
      </c>
      <c r="AJ192" s="10">
        <f>IF(tblOrdenes[[#This Row],[orden]]="","",MAX(0,_xlfn.XLOOKUP(tblOrdenes[[#This Row],[id_operacion]],tblEjecucion[id_operacion],tblEjecucion[costo_plan_total],0)-tblOrdenes[[#This Row],[costo_servicio]]))</f>
        <v/>
      </c>
      <c r="AK192" s="10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46175</v>
      </c>
      <c r="K193" s="3" t="n">
        <v>6</v>
      </c>
      <c r="L193" s="10" t="n">
        <v>240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2">
        <f>IF(tblOrdenes[[#This Row],[fecha_inicio]]="","",TODAY()-tblOrdenes[[#This Row],[fecha_inicio]])</f>
        <v/>
      </c>
      <c r="AB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0">
        <f>IF(tblOrdenes[[#This Row],[orden]]="","",_xlfn.XLOOKUP(tblOrdenes[[#This Row],[id_operacion]],tblEjecucion[id_operacion],tblEjecucion[precio],0))</f>
        <v/>
      </c>
      <c r="AJ193" s="10">
        <f>IF(tblOrdenes[[#This Row],[orden]]="","",MAX(0,_xlfn.XLOOKUP(tblOrdenes[[#This Row],[id_operacion]],tblEjecucion[id_operacion],tblEjecucion[costo_plan_total],0)-tblOrdenes[[#This Row],[costo_servicio]]))</f>
        <v/>
      </c>
      <c r="AK193" s="10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2">
        <f>IF(tblOrdenes[[#This Row],[fecha_inicio]]="","",TODAY()-tblOrdenes[[#This Row],[fecha_inicio]])</f>
        <v/>
      </c>
      <c r="AB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0">
        <f>IF(tblOrdenes[[#This Row],[orden]]="","",_xlfn.XLOOKUP(tblOrdenes[[#This Row],[id_operacion]],tblEjecucion[id_operacion],tblEjecucion[precio],0))</f>
        <v/>
      </c>
      <c r="AJ194" s="10">
        <f>IF(tblOrdenes[[#This Row],[orden]]="","",MAX(0,_xlfn.XLOOKUP(tblOrdenes[[#This Row],[id_operacion]],tblEjecucion[id_operacion],tblEjecucion[costo_plan_total],0)-tblOrdenes[[#This Row],[costo_servicio]]))</f>
        <v/>
      </c>
      <c r="AK194" s="10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2">
        <f>IF(tblOrdenes[[#This Row],[fecha_inicio]]="","",TODAY()-tblOrdenes[[#This Row],[fecha_inicio]])</f>
        <v/>
      </c>
      <c r="AB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0">
        <f>IF(tblOrdenes[[#This Row],[orden]]="","",_xlfn.XLOOKUP(tblOrdenes[[#This Row],[id_operacion]],tblEjecucion[id_operacion],tblEjecucion[precio],0))</f>
        <v/>
      </c>
      <c r="AJ195" s="10">
        <f>IF(tblOrdenes[[#This Row],[orden]]="","",MAX(0,_xlfn.XLOOKUP(tblOrdenes[[#This Row],[id_operacion]],tblEjecucion[id_operacion],tblEjecucion[costo_plan_total],0)-tblOrdenes[[#This Row],[costo_servicio]]))</f>
        <v/>
      </c>
      <c r="AK195" s="10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46170</v>
      </c>
      <c r="K196" s="3" t="n"/>
      <c r="L196" s="10" t="n">
        <v>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2">
        <f>IF(tblOrdenes[[#This Row],[fecha_inicio]]="","",TODAY()-tblOrdenes[[#This Row],[fecha_inicio]])</f>
        <v/>
      </c>
      <c r="AB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0">
        <f>IF(tblOrdenes[[#This Row],[orden]]="","",_xlfn.XLOOKUP(tblOrdenes[[#This Row],[id_operacion]],tblEjecucion[id_operacion],tblEjecucion[precio],0))</f>
        <v/>
      </c>
      <c r="AJ196" s="10">
        <f>IF(tblOrdenes[[#This Row],[orden]]="","",MAX(0,_xlfn.XLOOKUP(tblOrdenes[[#This Row],[id_operacion]],tblEjecucion[id_operacion],tblEjecucion[costo_plan_total],0)-tblOrdenes[[#This Row],[costo_servicio]]))</f>
        <v/>
      </c>
      <c r="AK196" s="10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46170</v>
      </c>
      <c r="K197" s="3" t="n"/>
      <c r="L197" s="10" t="n">
        <v>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2">
        <f>IF(tblOrdenes[[#This Row],[fecha_inicio]]="","",TODAY()-tblOrdenes[[#This Row],[fecha_inicio]])</f>
        <v/>
      </c>
      <c r="AB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0">
        <f>IF(tblOrdenes[[#This Row],[orden]]="","",_xlfn.XLOOKUP(tblOrdenes[[#This Row],[id_operacion]],tblEjecucion[id_operacion],tblEjecucion[precio],0))</f>
        <v/>
      </c>
      <c r="AJ197" s="10">
        <f>IF(tblOrdenes[[#This Row],[orden]]="","",MAX(0,_xlfn.XLOOKUP(tblOrdenes[[#This Row],[id_operacion]],tblEjecucion[id_operacion],tblEjecucion[costo_plan_total],0)-tblOrdenes[[#This Row],[costo_servicio]]))</f>
        <v/>
      </c>
      <c r="AK197" s="10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46165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2">
        <f>IF(tblOrdenes[[#This Row],[fecha_inicio]]="","",TODAY()-tblOrdenes[[#This Row],[fecha_inicio]])</f>
        <v/>
      </c>
      <c r="AB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0">
        <f>IF(tblOrdenes[[#This Row],[orden]]="","",_xlfn.XLOOKUP(tblOrdenes[[#This Row],[id_operacion]],tblEjecucion[id_operacion],tblEjecucion[precio],0))</f>
        <v/>
      </c>
      <c r="AJ198" s="10">
        <f>IF(tblOrdenes[[#This Row],[orden]]="","",MAX(0,_xlfn.XLOOKUP(tblOrdenes[[#This Row],[id_operacion]],tblEjecucion[id_operacion],tblEjecucion[costo_plan_total],0)-tblOrdenes[[#This Row],[costo_servicio]]))</f>
        <v/>
      </c>
      <c r="AK198" s="10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46165</v>
      </c>
      <c r="K199" s="3" t="n">
        <v>4</v>
      </c>
      <c r="L199" s="10" t="n">
        <v>160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2">
        <f>IF(tblOrdenes[[#This Row],[fecha_inicio]]="","",TODAY()-tblOrdenes[[#This Row],[fecha_inicio]])</f>
        <v/>
      </c>
      <c r="AB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0">
        <f>IF(tblOrdenes[[#This Row],[orden]]="","",_xlfn.XLOOKUP(tblOrdenes[[#This Row],[id_operacion]],tblEjecucion[id_operacion],tblEjecucion[precio],0))</f>
        <v/>
      </c>
      <c r="AJ199" s="10">
        <f>IF(tblOrdenes[[#This Row],[orden]]="","",MAX(0,_xlfn.XLOOKUP(tblOrdenes[[#This Row],[id_operacion]],tblEjecucion[id_operacion],tblEjecucion[costo_plan_total],0)-tblOrdenes[[#This Row],[costo_servicio]]))</f>
        <v/>
      </c>
      <c r="AK199" s="10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46163</v>
      </c>
      <c r="K200" s="3" t="n">
        <v>4</v>
      </c>
      <c r="L200" s="10" t="n">
        <v>160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2">
        <f>IF(tblOrdenes[[#This Row],[fecha_inicio]]="","",TODAY()-tblOrdenes[[#This Row],[fecha_inicio]])</f>
        <v/>
      </c>
      <c r="AB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0">
        <f>IF(tblOrdenes[[#This Row],[orden]]="","",_xlfn.XLOOKUP(tblOrdenes[[#This Row],[id_operacion]],tblEjecucion[id_operacion],tblEjecucion[precio],0))</f>
        <v/>
      </c>
      <c r="AJ200" s="10">
        <f>IF(tblOrdenes[[#This Row],[orden]]="","",MAX(0,_xlfn.XLOOKUP(tblOrdenes[[#This Row],[id_operacion]],tblEjecucion[id_operacion],tblEjecucion[costo_plan_total],0)-tblOrdenes[[#This Row],[costo_servicio]]))</f>
        <v/>
      </c>
      <c r="AK200" s="10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46163</v>
      </c>
      <c r="K201" s="3" t="n">
        <v>4</v>
      </c>
      <c r="L201" s="10" t="n">
        <v>160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2">
        <f>IF(tblOrdenes[[#This Row],[fecha_inicio]]="","",TODAY()-tblOrdenes[[#This Row],[fecha_inicio]])</f>
        <v/>
      </c>
      <c r="AB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0">
        <f>IF(tblOrdenes[[#This Row],[orden]]="","",_xlfn.XLOOKUP(tblOrdenes[[#This Row],[id_operacion]],tblEjecucion[id_operacion],tblEjecucion[precio],0))</f>
        <v/>
      </c>
      <c r="AJ201" s="10">
        <f>IF(tblOrdenes[[#This Row],[orden]]="","",MAX(0,_xlfn.XLOOKUP(tblOrdenes[[#This Row],[id_operacion]],tblEjecucion[id_operacion],tblEjecucion[costo_plan_total],0)-tblOrdenes[[#This Row],[costo_servicio]]))</f>
        <v/>
      </c>
      <c r="AK201" s="10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46161</v>
      </c>
      <c r="K202" s="3" t="n">
        <v>4</v>
      </c>
      <c r="L202" s="10" t="n">
        <v>160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2">
        <f>IF(tblOrdenes[[#This Row],[fecha_inicio]]="","",TODAY()-tblOrdenes[[#This Row],[fecha_inicio]])</f>
        <v/>
      </c>
      <c r="AB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0">
        <f>IF(tblOrdenes[[#This Row],[orden]]="","",_xlfn.XLOOKUP(tblOrdenes[[#This Row],[id_operacion]],tblEjecucion[id_operacion],tblEjecucion[precio],0))</f>
        <v/>
      </c>
      <c r="AJ202" s="10">
        <f>IF(tblOrdenes[[#This Row],[orden]]="","",MAX(0,_xlfn.XLOOKUP(tblOrdenes[[#This Row],[id_operacion]],tblEjecucion[id_operacion],tblEjecucion[costo_plan_total],0)-tblOrdenes[[#This Row],[costo_servicio]]))</f>
        <v/>
      </c>
      <c r="AK202" s="10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46190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2">
        <f>IF(tblOrdenes[[#This Row],[fecha_inicio]]="","",TODAY()-tblOrdenes[[#This Row],[fecha_inicio]])</f>
        <v/>
      </c>
      <c r="AB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0">
        <f>IF(tblOrdenes[[#This Row],[orden]]="","",_xlfn.XLOOKUP(tblOrdenes[[#This Row],[id_operacion]],tblEjecucion[id_operacion],tblEjecucion[precio],0))</f>
        <v/>
      </c>
      <c r="AJ203" s="10">
        <f>IF(tblOrdenes[[#This Row],[orden]]="","",MAX(0,_xlfn.XLOOKUP(tblOrdenes[[#This Row],[id_operacion]],tblEjecucion[id_operacion],tblEjecucion[costo_plan_total],0)-tblOrdenes[[#This Row],[costo_servicio]]))</f>
        <v/>
      </c>
      <c r="AK203" s="10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2">
        <f>IF(tblOrdenes[[#This Row],[fecha_inicio]]="","",TODAY()-tblOrdenes[[#This Row],[fecha_inicio]])</f>
        <v/>
      </c>
      <c r="AB2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0">
        <f>IF(tblOrdenes[[#This Row],[orden]]="","",_xlfn.XLOOKUP(tblOrdenes[[#This Row],[id_operacion]],tblEjecucion[id_operacion],tblEjecucion[precio],0))</f>
        <v/>
      </c>
      <c r="AJ204" s="10">
        <f>IF(tblOrdenes[[#This Row],[orden]]="","",MAX(0,_xlfn.XLOOKUP(tblOrdenes[[#This Row],[id_operacion]],tblEjecucion[id_operacion],tblEjecucion[costo_plan_total],0)-tblOrdenes[[#This Row],[costo_servicio]]))</f>
        <v/>
      </c>
      <c r="AK204" s="10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2">
        <f>IF(tblOrdenes[[#This Row],[fecha_inicio]]="","",TODAY()-tblOrdenes[[#This Row],[fecha_inicio]])</f>
        <v/>
      </c>
      <c r="AB2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0">
        <f>IF(tblOrdenes[[#This Row],[orden]]="","",_xlfn.XLOOKUP(tblOrdenes[[#This Row],[id_operacion]],tblEjecucion[id_operacion],tblEjecucion[precio],0))</f>
        <v/>
      </c>
      <c r="AJ205" s="10">
        <f>IF(tblOrdenes[[#This Row],[orden]]="","",MAX(0,_xlfn.XLOOKUP(tblOrdenes[[#This Row],[id_operacion]],tblEjecucion[id_operacion],tblEjecucion[costo_plan_total],0)-tblOrdenes[[#This Row],[costo_servicio]]))</f>
        <v/>
      </c>
      <c r="AK205" s="10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2">
        <f>IF(tblOrdenes[[#This Row],[fecha_inicio]]="","",TODAY()-tblOrdenes[[#This Row],[fecha_inicio]])</f>
        <v/>
      </c>
      <c r="AB2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0">
        <f>IF(tblOrdenes[[#This Row],[orden]]="","",_xlfn.XLOOKUP(tblOrdenes[[#This Row],[id_operacion]],tblEjecucion[id_operacion],tblEjecucion[precio],0))</f>
        <v/>
      </c>
      <c r="AJ206" s="10">
        <f>IF(tblOrdenes[[#This Row],[orden]]="","",MAX(0,_xlfn.XLOOKUP(tblOrdenes[[#This Row],[id_operacion]],tblEjecucion[id_operacion],tblEjecucion[costo_plan_total],0)-tblOrdenes[[#This Row],[costo_servicio]]))</f>
        <v/>
      </c>
      <c r="AK206" s="10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2">
        <f>IF(tblOrdenes[[#This Row],[fecha_inicio]]="","",TODAY()-tblOrdenes[[#This Row],[fecha_inicio]])</f>
        <v/>
      </c>
      <c r="AB2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0">
        <f>IF(tblOrdenes[[#This Row],[orden]]="","",_xlfn.XLOOKUP(tblOrdenes[[#This Row],[id_operacion]],tblEjecucion[id_operacion],tblEjecucion[precio],0))</f>
        <v/>
      </c>
      <c r="AJ207" s="10">
        <f>IF(tblOrdenes[[#This Row],[orden]]="","",MAX(0,_xlfn.XLOOKUP(tblOrdenes[[#This Row],[id_operacion]],tblEjecucion[id_operacion],tblEjecucion[costo_plan_total],0)-tblOrdenes[[#This Row],[costo_servicio]]))</f>
        <v/>
      </c>
      <c r="AK207" s="10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2">
        <f>IF(tblOrdenes[[#This Row],[fecha_inicio]]="","",TODAY()-tblOrdenes[[#This Row],[fecha_inicio]])</f>
        <v/>
      </c>
      <c r="AB2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0">
        <f>IF(tblOrdenes[[#This Row],[orden]]="","",_xlfn.XLOOKUP(tblOrdenes[[#This Row],[id_operacion]],tblEjecucion[id_operacion],tblEjecucion[precio],0))</f>
        <v/>
      </c>
      <c r="AJ208" s="10">
        <f>IF(tblOrdenes[[#This Row],[orden]]="","",MAX(0,_xlfn.XLOOKUP(tblOrdenes[[#This Row],[id_operacion]],tblEjecucion[id_operacion],tblEjecucion[costo_plan_total],0)-tblOrdenes[[#This Row],[costo_servicio]]))</f>
        <v/>
      </c>
      <c r="AK208" s="10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2">
        <f>IF(tblOrdenes[[#This Row],[fecha_inicio]]="","",TODAY()-tblOrdenes[[#This Row],[fecha_inicio]])</f>
        <v/>
      </c>
      <c r="AB2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0">
        <f>IF(tblOrdenes[[#This Row],[orden]]="","",_xlfn.XLOOKUP(tblOrdenes[[#This Row],[id_operacion]],tblEjecucion[id_operacion],tblEjecucion[precio],0))</f>
        <v/>
      </c>
      <c r="AJ209" s="10">
        <f>IF(tblOrdenes[[#This Row],[orden]]="","",MAX(0,_xlfn.XLOOKUP(tblOrdenes[[#This Row],[id_operacion]],tblEjecucion[id_operacion],tblEjecucion[costo_plan_total],0)-tblOrdenes[[#This Row],[costo_servicio]]))</f>
        <v/>
      </c>
      <c r="AK209" s="10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2">
        <f>IF(tblOrdenes[[#This Row],[fecha_inicio]]="","",TODAY()-tblOrdenes[[#This Row],[fecha_inicio]])</f>
        <v/>
      </c>
      <c r="AB2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0">
        <f>IF(tblOrdenes[[#This Row],[orden]]="","",_xlfn.XLOOKUP(tblOrdenes[[#This Row],[id_operacion]],tblEjecucion[id_operacion],tblEjecucion[precio],0))</f>
        <v/>
      </c>
      <c r="AJ210" s="10">
        <f>IF(tblOrdenes[[#This Row],[orden]]="","",MAX(0,_xlfn.XLOOKUP(tblOrdenes[[#This Row],[id_operacion]],tblEjecucion[id_operacion],tblEjecucion[costo_plan_total],0)-tblOrdenes[[#This Row],[costo_servicio]]))</f>
        <v/>
      </c>
      <c r="AK210" s="10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2">
        <f>IF(tblOrdenes[[#This Row],[fecha_inicio]]="","",TODAY()-tblOrdenes[[#This Row],[fecha_inicio]])</f>
        <v/>
      </c>
      <c r="AB2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0">
        <f>IF(tblOrdenes[[#This Row],[orden]]="","",_xlfn.XLOOKUP(tblOrdenes[[#This Row],[id_operacion]],tblEjecucion[id_operacion],tblEjecucion[precio],0))</f>
        <v/>
      </c>
      <c r="AJ211" s="10">
        <f>IF(tblOrdenes[[#This Row],[orden]]="","",MAX(0,_xlfn.XLOOKUP(tblOrdenes[[#This Row],[id_operacion]],tblEjecucion[id_operacion],tblEjecucion[costo_plan_total],0)-tblOrdenes[[#This Row],[costo_servicio]]))</f>
        <v/>
      </c>
      <c r="AK211" s="10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2">
        <f>IF(tblOrdenes[[#This Row],[fecha_inicio]]="","",TODAY()-tblOrdenes[[#This Row],[fecha_inicio]])</f>
        <v/>
      </c>
      <c r="AB2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0">
        <f>IF(tblOrdenes[[#This Row],[orden]]="","",_xlfn.XLOOKUP(tblOrdenes[[#This Row],[id_operacion]],tblEjecucion[id_operacion],tblEjecucion[precio],0))</f>
        <v/>
      </c>
      <c r="AJ212" s="10">
        <f>IF(tblOrdenes[[#This Row],[orden]]="","",MAX(0,_xlfn.XLOOKUP(tblOrdenes[[#This Row],[id_operacion]],tblEjecucion[id_operacion],tblEjecucion[costo_plan_total],0)-tblOrdenes[[#This Row],[costo_servicio]]))</f>
        <v/>
      </c>
      <c r="AK212" s="10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2">
        <f>IF(tblOrdenes[[#This Row],[fecha_inicio]]="","",TODAY()-tblOrdenes[[#This Row],[fecha_inicio]])</f>
        <v/>
      </c>
      <c r="AB2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0">
        <f>IF(tblOrdenes[[#This Row],[orden]]="","",_xlfn.XLOOKUP(tblOrdenes[[#This Row],[id_operacion]],tblEjecucion[id_operacion],tblEjecucion[precio],0))</f>
        <v/>
      </c>
      <c r="AJ213" s="10">
        <f>IF(tblOrdenes[[#This Row],[orden]]="","",MAX(0,_xlfn.XLOOKUP(tblOrdenes[[#This Row],[id_operacion]],tblEjecucion[id_operacion],tblEjecucion[costo_plan_total],0)-tblOrdenes[[#This Row],[costo_servicio]]))</f>
        <v/>
      </c>
      <c r="AK213" s="10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2">
        <f>IF(tblOrdenes[[#This Row],[fecha_inicio]]="","",TODAY()-tblOrdenes[[#This Row],[fecha_inicio]])</f>
        <v/>
      </c>
      <c r="AB2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0">
        <f>IF(tblOrdenes[[#This Row],[orden]]="","",_xlfn.XLOOKUP(tblOrdenes[[#This Row],[id_operacion]],tblEjecucion[id_operacion],tblEjecucion[precio],0))</f>
        <v/>
      </c>
      <c r="AJ214" s="10">
        <f>IF(tblOrdenes[[#This Row],[orden]]="","",MAX(0,_xlfn.XLOOKUP(tblOrdenes[[#This Row],[id_operacion]],tblEjecucion[id_operacion],tblEjecucion[costo_plan_total],0)-tblOrdenes[[#This Row],[costo_servicio]]))</f>
        <v/>
      </c>
      <c r="AK214" s="10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2">
        <f>IF(tblOrdenes[[#This Row],[fecha_inicio]]="","",TODAY()-tblOrdenes[[#This Row],[fecha_inicio]])</f>
        <v/>
      </c>
      <c r="AB2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0">
        <f>IF(tblOrdenes[[#This Row],[orden]]="","",_xlfn.XLOOKUP(tblOrdenes[[#This Row],[id_operacion]],tblEjecucion[id_operacion],tblEjecucion[precio],0))</f>
        <v/>
      </c>
      <c r="AJ215" s="10">
        <f>IF(tblOrdenes[[#This Row],[orden]]="","",MAX(0,_xlfn.XLOOKUP(tblOrdenes[[#This Row],[id_operacion]],tblEjecucion[id_operacion],tblEjecucion[costo_plan_total],0)-tblOrdenes[[#This Row],[costo_servicio]]))</f>
        <v/>
      </c>
      <c r="AK215" s="10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2">
        <f>IF(tblOrdenes[[#This Row],[fecha_inicio]]="","",TODAY()-tblOrdenes[[#This Row],[fecha_inicio]])</f>
        <v/>
      </c>
      <c r="AB2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0">
        <f>IF(tblOrdenes[[#This Row],[orden]]="","",_xlfn.XLOOKUP(tblOrdenes[[#This Row],[id_operacion]],tblEjecucion[id_operacion],tblEjecucion[precio],0))</f>
        <v/>
      </c>
      <c r="AJ216" s="10">
        <f>IF(tblOrdenes[[#This Row],[orden]]="","",MAX(0,_xlfn.XLOOKUP(tblOrdenes[[#This Row],[id_operacion]],tblEjecucion[id_operacion],tblEjecucion[costo_plan_total],0)-tblOrdenes[[#This Row],[costo_servicio]]))</f>
        <v/>
      </c>
      <c r="AK216" s="10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2">
        <f>IF(tblOrdenes[[#This Row],[fecha_inicio]]="","",TODAY()-tblOrdenes[[#This Row],[fecha_inicio]])</f>
        <v/>
      </c>
      <c r="AB2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0">
        <f>IF(tblOrdenes[[#This Row],[orden]]="","",_xlfn.XLOOKUP(tblOrdenes[[#This Row],[id_operacion]],tblEjecucion[id_operacion],tblEjecucion[precio],0))</f>
        <v/>
      </c>
      <c r="AJ217" s="10">
        <f>IF(tblOrdenes[[#This Row],[orden]]="","",MAX(0,_xlfn.XLOOKUP(tblOrdenes[[#This Row],[id_operacion]],tblEjecucion[id_operacion],tblEjecucion[costo_plan_total],0)-tblOrdenes[[#This Row],[costo_servicio]]))</f>
        <v/>
      </c>
      <c r="AK217" s="10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2">
        <f>IF(tblOrdenes[[#This Row],[fecha_inicio]]="","",TODAY()-tblOrdenes[[#This Row],[fecha_inicio]])</f>
        <v/>
      </c>
      <c r="AB2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0">
        <f>IF(tblOrdenes[[#This Row],[orden]]="","",_xlfn.XLOOKUP(tblOrdenes[[#This Row],[id_operacion]],tblEjecucion[id_operacion],tblEjecucion[precio],0))</f>
        <v/>
      </c>
      <c r="AJ218" s="10">
        <f>IF(tblOrdenes[[#This Row],[orden]]="","",MAX(0,_xlfn.XLOOKUP(tblOrdenes[[#This Row],[id_operacion]],tblEjecucion[id_operacion],tblEjecucion[costo_plan_total],0)-tblOrdenes[[#This Row],[costo_servicio]]))</f>
        <v/>
      </c>
      <c r="AK218" s="10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2">
        <f>IF(tblOrdenes[[#This Row],[fecha_inicio]]="","",TODAY()-tblOrdenes[[#This Row],[fecha_inicio]])</f>
        <v/>
      </c>
      <c r="AB2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0">
        <f>IF(tblOrdenes[[#This Row],[orden]]="","",_xlfn.XLOOKUP(tblOrdenes[[#This Row],[id_operacion]],tblEjecucion[id_operacion],tblEjecucion[precio],0))</f>
        <v/>
      </c>
      <c r="AJ219" s="10">
        <f>IF(tblOrdenes[[#This Row],[orden]]="","",MAX(0,_xlfn.XLOOKUP(tblOrdenes[[#This Row],[id_operacion]],tblEjecucion[id_operacion],tblEjecucion[costo_plan_total],0)-tblOrdenes[[#This Row],[costo_servicio]]))</f>
        <v/>
      </c>
      <c r="AK219" s="10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2">
        <f>IF(tblOrdenes[[#This Row],[fecha_inicio]]="","",TODAY()-tblOrdenes[[#This Row],[fecha_inicio]])</f>
        <v/>
      </c>
      <c r="AB2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0">
        <f>IF(tblOrdenes[[#This Row],[orden]]="","",_xlfn.XLOOKUP(tblOrdenes[[#This Row],[id_operacion]],tblEjecucion[id_operacion],tblEjecucion[precio],0))</f>
        <v/>
      </c>
      <c r="AJ220" s="10">
        <f>IF(tblOrdenes[[#This Row],[orden]]="","",MAX(0,_xlfn.XLOOKUP(tblOrdenes[[#This Row],[id_operacion]],tblEjecucion[id_operacion],tblEjecucion[costo_plan_total],0)-tblOrdenes[[#This Row],[costo_servicio]]))</f>
        <v/>
      </c>
      <c r="AK220" s="10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2">
        <f>IF(tblOrdenes[[#This Row],[fecha_inicio]]="","",TODAY()-tblOrdenes[[#This Row],[fecha_inicio]])</f>
        <v/>
      </c>
      <c r="AB2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0">
        <f>IF(tblOrdenes[[#This Row],[orden]]="","",_xlfn.XLOOKUP(tblOrdenes[[#This Row],[id_operacion]],tblEjecucion[id_operacion],tblEjecucion[precio],0))</f>
        <v/>
      </c>
      <c r="AJ221" s="10">
        <f>IF(tblOrdenes[[#This Row],[orden]]="","",MAX(0,_xlfn.XLOOKUP(tblOrdenes[[#This Row],[id_operacion]],tblEjecucion[id_operacion],tblEjecucion[costo_plan_total],0)-tblOrdenes[[#This Row],[costo_servicio]]))</f>
        <v/>
      </c>
      <c r="AK221" s="10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2">
        <f>IF(tblOrdenes[[#This Row],[fecha_inicio]]="","",TODAY()-tblOrdenes[[#This Row],[fecha_inicio]])</f>
        <v/>
      </c>
      <c r="AB2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0">
        <f>IF(tblOrdenes[[#This Row],[orden]]="","",_xlfn.XLOOKUP(tblOrdenes[[#This Row],[id_operacion]],tblEjecucion[id_operacion],tblEjecucion[precio],0))</f>
        <v/>
      </c>
      <c r="AJ222" s="10">
        <f>IF(tblOrdenes[[#This Row],[orden]]="","",MAX(0,_xlfn.XLOOKUP(tblOrdenes[[#This Row],[id_operacion]],tblEjecucion[id_operacion],tblEjecucion[costo_plan_total],0)-tblOrdenes[[#This Row],[costo_servicio]]))</f>
        <v/>
      </c>
      <c r="AK222" s="10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2">
        <f>IF(tblOrdenes[[#This Row],[fecha_inicio]]="","",TODAY()-tblOrdenes[[#This Row],[fecha_inicio]])</f>
        <v/>
      </c>
      <c r="AB2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0">
        <f>IF(tblOrdenes[[#This Row],[orden]]="","",_xlfn.XLOOKUP(tblOrdenes[[#This Row],[id_operacion]],tblEjecucion[id_operacion],tblEjecucion[precio],0))</f>
        <v/>
      </c>
      <c r="AJ223" s="10">
        <f>IF(tblOrdenes[[#This Row],[orden]]="","",MAX(0,_xlfn.XLOOKUP(tblOrdenes[[#This Row],[id_operacion]],tblEjecucion[id_operacion],tblEjecucion[costo_plan_total],0)-tblOrdenes[[#This Row],[costo_servicio]]))</f>
        <v/>
      </c>
      <c r="AK223" s="10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2">
        <f>IF(tblOrdenes[[#This Row],[fecha_inicio]]="","",TODAY()-tblOrdenes[[#This Row],[fecha_inicio]])</f>
        <v/>
      </c>
      <c r="AB2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0">
        <f>IF(tblOrdenes[[#This Row],[orden]]="","",_xlfn.XLOOKUP(tblOrdenes[[#This Row],[id_operacion]],tblEjecucion[id_operacion],tblEjecucion[precio],0))</f>
        <v/>
      </c>
      <c r="AJ224" s="10">
        <f>IF(tblOrdenes[[#This Row],[orden]]="","",MAX(0,_xlfn.XLOOKUP(tblOrdenes[[#This Row],[id_operacion]],tblEjecucion[id_operacion],tblEjecucion[costo_plan_total],0)-tblOrdenes[[#This Row],[costo_servicio]]))</f>
        <v/>
      </c>
      <c r="AK224" s="10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2">
        <f>IF(tblOrdenes[[#This Row],[fecha_inicio]]="","",TODAY()-tblOrdenes[[#This Row],[fecha_inicio]])</f>
        <v/>
      </c>
      <c r="AB2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0">
        <f>IF(tblOrdenes[[#This Row],[orden]]="","",_xlfn.XLOOKUP(tblOrdenes[[#This Row],[id_operacion]],tblEjecucion[id_operacion],tblEjecucion[precio],0))</f>
        <v/>
      </c>
      <c r="AJ225" s="10">
        <f>IF(tblOrdenes[[#This Row],[orden]]="","",MAX(0,_xlfn.XLOOKUP(tblOrdenes[[#This Row],[id_operacion]],tblEjecucion[id_operacion],tblEjecucion[costo_plan_total],0)-tblOrdenes[[#This Row],[costo_servicio]]))</f>
        <v/>
      </c>
      <c r="AK225" s="10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2">
        <f>IF(tblOrdenes[[#This Row],[fecha_inicio]]="","",TODAY()-tblOrdenes[[#This Row],[fecha_inicio]])</f>
        <v/>
      </c>
      <c r="AB2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0">
        <f>IF(tblOrdenes[[#This Row],[orden]]="","",_xlfn.XLOOKUP(tblOrdenes[[#This Row],[id_operacion]],tblEjecucion[id_operacion],tblEjecucion[precio],0))</f>
        <v/>
      </c>
      <c r="AJ226" s="10">
        <f>IF(tblOrdenes[[#This Row],[orden]]="","",MAX(0,_xlfn.XLOOKUP(tblOrdenes[[#This Row],[id_operacion]],tblEjecucion[id_operacion],tblEjecucion[costo_plan_total],0)-tblOrdenes[[#This Row],[costo_servicio]]))</f>
        <v/>
      </c>
      <c r="AK226" s="10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2">
        <f>IF(tblOrdenes[[#This Row],[fecha_inicio]]="","",TODAY()-tblOrdenes[[#This Row],[fecha_inicio]])</f>
        <v/>
      </c>
      <c r="AB2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0">
        <f>IF(tblOrdenes[[#This Row],[orden]]="","",_xlfn.XLOOKUP(tblOrdenes[[#This Row],[id_operacion]],tblEjecucion[id_operacion],tblEjecucion[precio],0))</f>
        <v/>
      </c>
      <c r="AJ227" s="10">
        <f>IF(tblOrdenes[[#This Row],[orden]]="","",MAX(0,_xlfn.XLOOKUP(tblOrdenes[[#This Row],[id_operacion]],tblEjecucion[id_operacion],tblEjecucion[costo_plan_total],0)-tblOrdenes[[#This Row],[costo_servicio]]))</f>
        <v/>
      </c>
      <c r="AK227" s="10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2">
        <f>IF(tblOrdenes[[#This Row],[fecha_inicio]]="","",TODAY()-tblOrdenes[[#This Row],[fecha_inicio]])</f>
        <v/>
      </c>
      <c r="AB2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0">
        <f>IF(tblOrdenes[[#This Row],[orden]]="","",_xlfn.XLOOKUP(tblOrdenes[[#This Row],[id_operacion]],tblEjecucion[id_operacion],tblEjecucion[precio],0))</f>
        <v/>
      </c>
      <c r="AJ228" s="10">
        <f>IF(tblOrdenes[[#This Row],[orden]]="","",MAX(0,_xlfn.XLOOKUP(tblOrdenes[[#This Row],[id_operacion]],tblEjecucion[id_operacion],tblEjecucion[costo_plan_total],0)-tblOrdenes[[#This Row],[costo_servicio]]))</f>
        <v/>
      </c>
      <c r="AK228" s="10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2">
        <f>IF(tblOrdenes[[#This Row],[fecha_inicio]]="","",TODAY()-tblOrdenes[[#This Row],[fecha_inicio]])</f>
        <v/>
      </c>
      <c r="AB2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0">
        <f>IF(tblOrdenes[[#This Row],[orden]]="","",_xlfn.XLOOKUP(tblOrdenes[[#This Row],[id_operacion]],tblEjecucion[id_operacion],tblEjecucion[precio],0))</f>
        <v/>
      </c>
      <c r="AJ229" s="10">
        <f>IF(tblOrdenes[[#This Row],[orden]]="","",MAX(0,_xlfn.XLOOKUP(tblOrdenes[[#This Row],[id_operacion]],tblEjecucion[id_operacion],tblEjecucion[costo_plan_total],0)-tblOrdenes[[#This Row],[costo_servicio]]))</f>
        <v/>
      </c>
      <c r="AK229" s="10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2">
        <f>IF(tblOrdenes[[#This Row],[fecha_inicio]]="","",TODAY()-tblOrdenes[[#This Row],[fecha_inicio]])</f>
        <v/>
      </c>
      <c r="AB2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0">
        <f>IF(tblOrdenes[[#This Row],[orden]]="","",_xlfn.XLOOKUP(tblOrdenes[[#This Row],[id_operacion]],tblEjecucion[id_operacion],tblEjecucion[precio],0))</f>
        <v/>
      </c>
      <c r="AJ230" s="10">
        <f>IF(tblOrdenes[[#This Row],[orden]]="","",MAX(0,_xlfn.XLOOKUP(tblOrdenes[[#This Row],[id_operacion]],tblEjecucion[id_operacion],tblEjecucion[costo_plan_total],0)-tblOrdenes[[#This Row],[costo_servicio]]))</f>
        <v/>
      </c>
      <c r="AK230" s="10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2">
        <f>IF(tblOrdenes[[#This Row],[fecha_inicio]]="","",TODAY()-tblOrdenes[[#This Row],[fecha_inicio]])</f>
        <v/>
      </c>
      <c r="AB2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0">
        <f>IF(tblOrdenes[[#This Row],[orden]]="","",_xlfn.XLOOKUP(tblOrdenes[[#This Row],[id_operacion]],tblEjecucion[id_operacion],tblEjecucion[precio],0))</f>
        <v/>
      </c>
      <c r="AJ231" s="10">
        <f>IF(tblOrdenes[[#This Row],[orden]]="","",MAX(0,_xlfn.XLOOKUP(tblOrdenes[[#This Row],[id_operacion]],tblEjecucion[id_operacion],tblEjecucion[costo_plan_total],0)-tblOrdenes[[#This Row],[costo_servicio]]))</f>
        <v/>
      </c>
      <c r="AK231" s="10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2">
        <f>IF(tblOrdenes[[#This Row],[fecha_inicio]]="","",TODAY()-tblOrdenes[[#This Row],[fecha_inicio]])</f>
        <v/>
      </c>
      <c r="AB2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0">
        <f>IF(tblOrdenes[[#This Row],[orden]]="","",_xlfn.XLOOKUP(tblOrdenes[[#This Row],[id_operacion]],tblEjecucion[id_operacion],tblEjecucion[precio],0))</f>
        <v/>
      </c>
      <c r="AJ232" s="10">
        <f>IF(tblOrdenes[[#This Row],[orden]]="","",MAX(0,_xlfn.XLOOKUP(tblOrdenes[[#This Row],[id_operacion]],tblEjecucion[id_operacion],tblEjecucion[costo_plan_total],0)-tblOrdenes[[#This Row],[costo_servicio]]))</f>
        <v/>
      </c>
      <c r="AK232" s="10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2">
        <f>IF(tblOrdenes[[#This Row],[fecha_inicio]]="","",TODAY()-tblOrdenes[[#This Row],[fecha_inicio]])</f>
        <v/>
      </c>
      <c r="AB2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0">
        <f>IF(tblOrdenes[[#This Row],[orden]]="","",_xlfn.XLOOKUP(tblOrdenes[[#This Row],[id_operacion]],tblEjecucion[id_operacion],tblEjecucion[precio],0))</f>
        <v/>
      </c>
      <c r="AJ233" s="10">
        <f>IF(tblOrdenes[[#This Row],[orden]]="","",MAX(0,_xlfn.XLOOKUP(tblOrdenes[[#This Row],[id_operacion]],tblEjecucion[id_operacion],tblEjecucion[costo_plan_total],0)-tblOrdenes[[#This Row],[costo_servicio]]))</f>
        <v/>
      </c>
      <c r="AK233" s="10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2">
        <f>IF(tblOrdenes[[#This Row],[fecha_inicio]]="","",TODAY()-tblOrdenes[[#This Row],[fecha_inicio]])</f>
        <v/>
      </c>
      <c r="AB2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0">
        <f>IF(tblOrdenes[[#This Row],[orden]]="","",_xlfn.XLOOKUP(tblOrdenes[[#This Row],[id_operacion]],tblEjecucion[id_operacion],tblEjecucion[precio],0))</f>
        <v/>
      </c>
      <c r="AJ234" s="10">
        <f>IF(tblOrdenes[[#This Row],[orden]]="","",MAX(0,_xlfn.XLOOKUP(tblOrdenes[[#This Row],[id_operacion]],tblEjecucion[id_operacion],tblEjecucion[costo_plan_total],0)-tblOrdenes[[#This Row],[costo_servicio]]))</f>
        <v/>
      </c>
      <c r="AK234" s="10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2">
        <f>IF(tblOrdenes[[#This Row],[fecha_inicio]]="","",TODAY()-tblOrdenes[[#This Row],[fecha_inicio]])</f>
        <v/>
      </c>
      <c r="AB2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0">
        <f>IF(tblOrdenes[[#This Row],[orden]]="","",_xlfn.XLOOKUP(tblOrdenes[[#This Row],[id_operacion]],tblEjecucion[id_operacion],tblEjecucion[precio],0))</f>
        <v/>
      </c>
      <c r="AJ235" s="10">
        <f>IF(tblOrdenes[[#This Row],[orden]]="","",MAX(0,_xlfn.XLOOKUP(tblOrdenes[[#This Row],[id_operacion]],tblEjecucion[id_operacion],tblEjecucion[costo_plan_total],0)-tblOrdenes[[#This Row],[costo_servicio]]))</f>
        <v/>
      </c>
      <c r="AK235" s="10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2">
        <f>IF(tblOrdenes[[#This Row],[fecha_inicio]]="","",TODAY()-tblOrdenes[[#This Row],[fecha_inicio]])</f>
        <v/>
      </c>
      <c r="AB2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0">
        <f>IF(tblOrdenes[[#This Row],[orden]]="","",_xlfn.XLOOKUP(tblOrdenes[[#This Row],[id_operacion]],tblEjecucion[id_operacion],tblEjecucion[precio],0))</f>
        <v/>
      </c>
      <c r="AJ236" s="10">
        <f>IF(tblOrdenes[[#This Row],[orden]]="","",MAX(0,_xlfn.XLOOKUP(tblOrdenes[[#This Row],[id_operacion]],tblEjecucion[id_operacion],tblEjecucion[costo_plan_total],0)-tblOrdenes[[#This Row],[costo_servicio]]))</f>
        <v/>
      </c>
      <c r="AK236" s="10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2">
        <f>IF(tblOrdenes[[#This Row],[fecha_inicio]]="","",TODAY()-tblOrdenes[[#This Row],[fecha_inicio]])</f>
        <v/>
      </c>
      <c r="AB2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0">
        <f>IF(tblOrdenes[[#This Row],[orden]]="","",_xlfn.XLOOKUP(tblOrdenes[[#This Row],[id_operacion]],tblEjecucion[id_operacion],tblEjecucion[precio],0))</f>
        <v/>
      </c>
      <c r="AJ237" s="10">
        <f>IF(tblOrdenes[[#This Row],[orden]]="","",MAX(0,_xlfn.XLOOKUP(tblOrdenes[[#This Row],[id_operacion]],tblEjecucion[id_operacion],tblEjecucion[costo_plan_total],0)-tblOrdenes[[#This Row],[costo_servicio]]))</f>
        <v/>
      </c>
      <c r="AK237" s="10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2">
        <f>IF(tblOrdenes[[#This Row],[fecha_inicio]]="","",TODAY()-tblOrdenes[[#This Row],[fecha_inicio]])</f>
        <v/>
      </c>
      <c r="AB2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0">
        <f>IF(tblOrdenes[[#This Row],[orden]]="","",_xlfn.XLOOKUP(tblOrdenes[[#This Row],[id_operacion]],tblEjecucion[id_operacion],tblEjecucion[precio],0))</f>
        <v/>
      </c>
      <c r="AJ238" s="10">
        <f>IF(tblOrdenes[[#This Row],[orden]]="","",MAX(0,_xlfn.XLOOKUP(tblOrdenes[[#This Row],[id_operacion]],tblEjecucion[id_operacion],tblEjecucion[costo_plan_total],0)-tblOrdenes[[#This Row],[costo_servicio]]))</f>
        <v/>
      </c>
      <c r="AK238" s="10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2">
        <f>IF(tblOrdenes[[#This Row],[fecha_inicio]]="","",TODAY()-tblOrdenes[[#This Row],[fecha_inicio]])</f>
        <v/>
      </c>
      <c r="AB2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0">
        <f>IF(tblOrdenes[[#This Row],[orden]]="","",_xlfn.XLOOKUP(tblOrdenes[[#This Row],[id_operacion]],tblEjecucion[id_operacion],tblEjecucion[precio],0))</f>
        <v/>
      </c>
      <c r="AJ239" s="10">
        <f>IF(tblOrdenes[[#This Row],[orden]]="","",MAX(0,_xlfn.XLOOKUP(tblOrdenes[[#This Row],[id_operacion]],tblEjecucion[id_operacion],tblEjecucion[costo_plan_total],0)-tblOrdenes[[#This Row],[costo_servicio]]))</f>
        <v/>
      </c>
      <c r="AK239" s="10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2">
        <f>IF(tblOrdenes[[#This Row],[fecha_inicio]]="","",TODAY()-tblOrdenes[[#This Row],[fecha_inicio]])</f>
        <v/>
      </c>
      <c r="AB2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0">
        <f>IF(tblOrdenes[[#This Row],[orden]]="","",_xlfn.XLOOKUP(tblOrdenes[[#This Row],[id_operacion]],tblEjecucion[id_operacion],tblEjecucion[precio],0))</f>
        <v/>
      </c>
      <c r="AJ240" s="10">
        <f>IF(tblOrdenes[[#This Row],[orden]]="","",MAX(0,_xlfn.XLOOKUP(tblOrdenes[[#This Row],[id_operacion]],tblEjecucion[id_operacion],tblEjecucion[costo_plan_total],0)-tblOrdenes[[#This Row],[costo_servicio]]))</f>
        <v/>
      </c>
      <c r="AK240" s="10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2">
        <f>IF(tblOrdenes[[#This Row],[fecha_inicio]]="","",TODAY()-tblOrdenes[[#This Row],[fecha_inicio]])</f>
        <v/>
      </c>
      <c r="AB2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0">
        <f>IF(tblOrdenes[[#This Row],[orden]]="","",_xlfn.XLOOKUP(tblOrdenes[[#This Row],[id_operacion]],tblEjecucion[id_operacion],tblEjecucion[precio],0))</f>
        <v/>
      </c>
      <c r="AJ241" s="10">
        <f>IF(tblOrdenes[[#This Row],[orden]]="","",MAX(0,_xlfn.XLOOKUP(tblOrdenes[[#This Row],[id_operacion]],tblEjecucion[id_operacion],tblEjecucion[costo_plan_total],0)-tblOrdenes[[#This Row],[costo_servicio]]))</f>
        <v/>
      </c>
      <c r="AK241" s="10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2">
        <f>IF(tblOrdenes[[#This Row],[fecha_inicio]]="","",TODAY()-tblOrdenes[[#This Row],[fecha_inicio]])</f>
        <v/>
      </c>
      <c r="AB2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0">
        <f>IF(tblOrdenes[[#This Row],[orden]]="","",_xlfn.XLOOKUP(tblOrdenes[[#This Row],[id_operacion]],tblEjecucion[id_operacion],tblEjecucion[precio],0))</f>
        <v/>
      </c>
      <c r="AJ242" s="10">
        <f>IF(tblOrdenes[[#This Row],[orden]]="","",MAX(0,_xlfn.XLOOKUP(tblOrdenes[[#This Row],[id_operacion]],tblEjecucion[id_operacion],tblEjecucion[costo_plan_total],0)-tblOrdenes[[#This Row],[costo_servicio]]))</f>
        <v/>
      </c>
      <c r="AK242" s="10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2">
        <f>IF(tblOrdenes[[#This Row],[fecha_inicio]]="","",TODAY()-tblOrdenes[[#This Row],[fecha_inicio]])</f>
        <v/>
      </c>
      <c r="AB2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0">
        <f>IF(tblOrdenes[[#This Row],[orden]]="","",_xlfn.XLOOKUP(tblOrdenes[[#This Row],[id_operacion]],tblEjecucion[id_operacion],tblEjecucion[precio],0))</f>
        <v/>
      </c>
      <c r="AJ243" s="10">
        <f>IF(tblOrdenes[[#This Row],[orden]]="","",MAX(0,_xlfn.XLOOKUP(tblOrdenes[[#This Row],[id_operacion]],tblEjecucion[id_operacion],tblEjecucion[costo_plan_total],0)-tblOrdenes[[#This Row],[costo_servicio]]))</f>
        <v/>
      </c>
      <c r="AK243" s="10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2">
        <f>IF(tblOrdenes[[#This Row],[fecha_inicio]]="","",TODAY()-tblOrdenes[[#This Row],[fecha_inicio]])</f>
        <v/>
      </c>
      <c r="AB2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0">
        <f>IF(tblOrdenes[[#This Row],[orden]]="","",_xlfn.XLOOKUP(tblOrdenes[[#This Row],[id_operacion]],tblEjecucion[id_operacion],tblEjecucion[precio],0))</f>
        <v/>
      </c>
      <c r="AJ244" s="10">
        <f>IF(tblOrdenes[[#This Row],[orden]]="","",MAX(0,_xlfn.XLOOKUP(tblOrdenes[[#This Row],[id_operacion]],tblEjecucion[id_operacion],tblEjecucion[costo_plan_total],0)-tblOrdenes[[#This Row],[costo_servicio]]))</f>
        <v/>
      </c>
      <c r="AK244" s="10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2">
        <f>IF(tblOrdenes[[#This Row],[fecha_inicio]]="","",TODAY()-tblOrdenes[[#This Row],[fecha_inicio]])</f>
        <v/>
      </c>
      <c r="AB2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0">
        <f>IF(tblOrdenes[[#This Row],[orden]]="","",_xlfn.XLOOKUP(tblOrdenes[[#This Row],[id_operacion]],tblEjecucion[id_operacion],tblEjecucion[precio],0))</f>
        <v/>
      </c>
      <c r="AJ245" s="10">
        <f>IF(tblOrdenes[[#This Row],[orden]]="","",MAX(0,_xlfn.XLOOKUP(tblOrdenes[[#This Row],[id_operacion]],tblEjecucion[id_operacion],tblEjecucion[costo_plan_total],0)-tblOrdenes[[#This Row],[costo_servicio]]))</f>
        <v/>
      </c>
      <c r="AK245" s="10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2">
        <f>IF(tblOrdenes[[#This Row],[fecha_inicio]]="","",TODAY()-tblOrdenes[[#This Row],[fecha_inicio]])</f>
        <v/>
      </c>
      <c r="AB2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0">
        <f>IF(tblOrdenes[[#This Row],[orden]]="","",_xlfn.XLOOKUP(tblOrdenes[[#This Row],[id_operacion]],tblEjecucion[id_operacion],tblEjecucion[precio],0))</f>
        <v/>
      </c>
      <c r="AJ246" s="10">
        <f>IF(tblOrdenes[[#This Row],[orden]]="","",MAX(0,_xlfn.XLOOKUP(tblOrdenes[[#This Row],[id_operacion]],tblEjecucion[id_operacion],tblEjecucion[costo_plan_total],0)-tblOrdenes[[#This Row],[costo_servicio]]))</f>
        <v/>
      </c>
      <c r="AK246" s="10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2">
        <f>IF(tblOrdenes[[#This Row],[fecha_inicio]]="","",TODAY()-tblOrdenes[[#This Row],[fecha_inicio]])</f>
        <v/>
      </c>
      <c r="AB2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0">
        <f>IF(tblOrdenes[[#This Row],[orden]]="","",_xlfn.XLOOKUP(tblOrdenes[[#This Row],[id_operacion]],tblEjecucion[id_operacion],tblEjecucion[precio],0))</f>
        <v/>
      </c>
      <c r="AJ247" s="10">
        <f>IF(tblOrdenes[[#This Row],[orden]]="","",MAX(0,_xlfn.XLOOKUP(tblOrdenes[[#This Row],[id_operacion]],tblEjecucion[id_operacion],tblEjecucion[costo_plan_total],0)-tblOrdenes[[#This Row],[costo_servicio]]))</f>
        <v/>
      </c>
      <c r="AK247" s="10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2">
        <f>IF(tblOrdenes[[#This Row],[fecha_inicio]]="","",TODAY()-tblOrdenes[[#This Row],[fecha_inicio]])</f>
        <v/>
      </c>
      <c r="AB2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0">
        <f>IF(tblOrdenes[[#This Row],[orden]]="","",_xlfn.XLOOKUP(tblOrdenes[[#This Row],[id_operacion]],tblEjecucion[id_operacion],tblEjecucion[precio],0))</f>
        <v/>
      </c>
      <c r="AJ248" s="10">
        <f>IF(tblOrdenes[[#This Row],[orden]]="","",MAX(0,_xlfn.XLOOKUP(tblOrdenes[[#This Row],[id_operacion]],tblEjecucion[id_operacion],tblEjecucion[costo_plan_total],0)-tblOrdenes[[#This Row],[costo_servicio]]))</f>
        <v/>
      </c>
      <c r="AK248" s="10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2">
        <f>IF(tblOrdenes[[#This Row],[fecha_inicio]]="","",TODAY()-tblOrdenes[[#This Row],[fecha_inicio]])</f>
        <v/>
      </c>
      <c r="AB2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0">
        <f>IF(tblOrdenes[[#This Row],[orden]]="","",_xlfn.XLOOKUP(tblOrdenes[[#This Row],[id_operacion]],tblEjecucion[id_operacion],tblEjecucion[precio],0))</f>
        <v/>
      </c>
      <c r="AJ249" s="10">
        <f>IF(tblOrdenes[[#This Row],[orden]]="","",MAX(0,_xlfn.XLOOKUP(tblOrdenes[[#This Row],[id_operacion]],tblEjecucion[id_operacion],tblEjecucion[costo_plan_total],0)-tblOrdenes[[#This Row],[costo_servicio]]))</f>
        <v/>
      </c>
      <c r="AK249" s="10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2">
        <f>IF(tblOrdenes[[#This Row],[fecha_inicio]]="","",TODAY()-tblOrdenes[[#This Row],[fecha_inicio]])</f>
        <v/>
      </c>
      <c r="AB2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0">
        <f>IF(tblOrdenes[[#This Row],[orden]]="","",_xlfn.XLOOKUP(tblOrdenes[[#This Row],[id_operacion]],tblEjecucion[id_operacion],tblEjecucion[precio],0))</f>
        <v/>
      </c>
      <c r="AJ250" s="10">
        <f>IF(tblOrdenes[[#This Row],[orden]]="","",MAX(0,_xlfn.XLOOKUP(tblOrdenes[[#This Row],[id_operacion]],tblEjecucion[id_operacion],tblEjecucion[costo_plan_total],0)-tblOrdenes[[#This Row],[costo_servicio]]))</f>
        <v/>
      </c>
      <c r="AK250" s="10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2">
        <f>IF(tblOrdenes[[#This Row],[fecha_inicio]]="","",TODAY()-tblOrdenes[[#This Row],[fecha_inicio]])</f>
        <v/>
      </c>
      <c r="AB2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0">
        <f>IF(tblOrdenes[[#This Row],[orden]]="","",_xlfn.XLOOKUP(tblOrdenes[[#This Row],[id_operacion]],tblEjecucion[id_operacion],tblEjecucion[precio],0))</f>
        <v/>
      </c>
      <c r="AJ251" s="10">
        <f>IF(tblOrdenes[[#This Row],[orden]]="","",MAX(0,_xlfn.XLOOKUP(tblOrdenes[[#This Row],[id_operacion]],tblEjecucion[id_operacion],tblEjecucion[costo_plan_total],0)-tblOrdenes[[#This Row],[costo_servicio]]))</f>
        <v/>
      </c>
      <c r="AK251" s="10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2">
        <f>IF(tblOrdenes[[#This Row],[fecha_inicio]]="","",TODAY()-tblOrdenes[[#This Row],[fecha_inicio]])</f>
        <v/>
      </c>
      <c r="AB2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0">
        <f>IF(tblOrdenes[[#This Row],[orden]]="","",_xlfn.XLOOKUP(tblOrdenes[[#This Row],[id_operacion]],tblEjecucion[id_operacion],tblEjecucion[precio],0))</f>
        <v/>
      </c>
      <c r="AJ252" s="10">
        <f>IF(tblOrdenes[[#This Row],[orden]]="","",MAX(0,_xlfn.XLOOKUP(tblOrdenes[[#This Row],[id_operacion]],tblEjecucion[id_operacion],tblEjecucion[costo_plan_total],0)-tblOrdenes[[#This Row],[costo_servicio]]))</f>
        <v/>
      </c>
      <c r="AK252" s="10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2">
        <f>IF(tblOrdenes[[#This Row],[fecha_inicio]]="","",TODAY()-tblOrdenes[[#This Row],[fecha_inicio]])</f>
        <v/>
      </c>
      <c r="AB2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0">
        <f>IF(tblOrdenes[[#This Row],[orden]]="","",_xlfn.XLOOKUP(tblOrdenes[[#This Row],[id_operacion]],tblEjecucion[id_operacion],tblEjecucion[precio],0))</f>
        <v/>
      </c>
      <c r="AJ253" s="10">
        <f>IF(tblOrdenes[[#This Row],[orden]]="","",MAX(0,_xlfn.XLOOKUP(tblOrdenes[[#This Row],[id_operacion]],tblEjecucion[id_operacion],tblEjecucion[costo_plan_total],0)-tblOrdenes[[#This Row],[costo_servicio]]))</f>
        <v/>
      </c>
      <c r="AK253" s="10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2">
        <f>IF(tblOrdenes[[#This Row],[fecha_inicio]]="","",TODAY()-tblOrdenes[[#This Row],[fecha_inicio]])</f>
        <v/>
      </c>
      <c r="AB2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0">
        <f>IF(tblOrdenes[[#This Row],[orden]]="","",_xlfn.XLOOKUP(tblOrdenes[[#This Row],[id_operacion]],tblEjecucion[id_operacion],tblEjecucion[precio],0))</f>
        <v/>
      </c>
      <c r="AJ254" s="10">
        <f>IF(tblOrdenes[[#This Row],[orden]]="","",MAX(0,_xlfn.XLOOKUP(tblOrdenes[[#This Row],[id_operacion]],tblEjecucion[id_operacion],tblEjecucion[costo_plan_total],0)-tblOrdenes[[#This Row],[costo_servicio]]))</f>
        <v/>
      </c>
      <c r="AK254" s="10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2">
        <f>IF(tblOrdenes[[#This Row],[fecha_inicio]]="","",TODAY()-tblOrdenes[[#This Row],[fecha_inicio]])</f>
        <v/>
      </c>
      <c r="AB2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0">
        <f>IF(tblOrdenes[[#This Row],[orden]]="","",_xlfn.XLOOKUP(tblOrdenes[[#This Row],[id_operacion]],tblEjecucion[id_operacion],tblEjecucion[precio],0))</f>
        <v/>
      </c>
      <c r="AJ255" s="10">
        <f>IF(tblOrdenes[[#This Row],[orden]]="","",MAX(0,_xlfn.XLOOKUP(tblOrdenes[[#This Row],[id_operacion]],tblEjecucion[id_operacion],tblEjecucion[costo_plan_total],0)-tblOrdenes[[#This Row],[costo_servicio]]))</f>
        <v/>
      </c>
      <c r="AK255" s="10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2">
        <f>IF(tblOrdenes[[#This Row],[fecha_inicio]]="","",TODAY()-tblOrdenes[[#This Row],[fecha_inicio]])</f>
        <v/>
      </c>
      <c r="AB2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0">
        <f>IF(tblOrdenes[[#This Row],[orden]]="","",_xlfn.XLOOKUP(tblOrdenes[[#This Row],[id_operacion]],tblEjecucion[id_operacion],tblEjecucion[precio],0))</f>
        <v/>
      </c>
      <c r="AJ256" s="10">
        <f>IF(tblOrdenes[[#This Row],[orden]]="","",MAX(0,_xlfn.XLOOKUP(tblOrdenes[[#This Row],[id_operacion]],tblEjecucion[id_operacion],tblEjecucion[costo_plan_total],0)-tblOrdenes[[#This Row],[costo_servicio]]))</f>
        <v/>
      </c>
      <c r="AK256" s="10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2">
        <f>IF(tblOrdenes[[#This Row],[fecha_inicio]]="","",TODAY()-tblOrdenes[[#This Row],[fecha_inicio]])</f>
        <v/>
      </c>
      <c r="AB2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0">
        <f>IF(tblOrdenes[[#This Row],[orden]]="","",_xlfn.XLOOKUP(tblOrdenes[[#This Row],[id_operacion]],tblEjecucion[id_operacion],tblEjecucion[precio],0))</f>
        <v/>
      </c>
      <c r="AJ257" s="10">
        <f>IF(tblOrdenes[[#This Row],[orden]]="","",MAX(0,_xlfn.XLOOKUP(tblOrdenes[[#This Row],[id_operacion]],tblEjecucion[id_operacion],tblEjecucion[costo_plan_total],0)-tblOrdenes[[#This Row],[costo_servicio]]))</f>
        <v/>
      </c>
      <c r="AK257" s="10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2">
        <f>IF(tblOrdenes[[#This Row],[fecha_inicio]]="","",TODAY()-tblOrdenes[[#This Row],[fecha_inicio]])</f>
        <v/>
      </c>
      <c r="AB2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0">
        <f>IF(tblOrdenes[[#This Row],[orden]]="","",_xlfn.XLOOKUP(tblOrdenes[[#This Row],[id_operacion]],tblEjecucion[id_operacion],tblEjecucion[precio],0))</f>
        <v/>
      </c>
      <c r="AJ258" s="10">
        <f>IF(tblOrdenes[[#This Row],[orden]]="","",MAX(0,_xlfn.XLOOKUP(tblOrdenes[[#This Row],[id_operacion]],tblEjecucion[id_operacion],tblEjecucion[costo_plan_total],0)-tblOrdenes[[#This Row],[costo_servicio]]))</f>
        <v/>
      </c>
      <c r="AK258" s="10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2">
        <f>IF(tblOrdenes[[#This Row],[fecha_inicio]]="","",TODAY()-tblOrdenes[[#This Row],[fecha_inicio]])</f>
        <v/>
      </c>
      <c r="AB2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0">
        <f>IF(tblOrdenes[[#This Row],[orden]]="","",_xlfn.XLOOKUP(tblOrdenes[[#This Row],[id_operacion]],tblEjecucion[id_operacion],tblEjecucion[precio],0))</f>
        <v/>
      </c>
      <c r="AJ259" s="10">
        <f>IF(tblOrdenes[[#This Row],[orden]]="","",MAX(0,_xlfn.XLOOKUP(tblOrdenes[[#This Row],[id_operacion]],tblEjecucion[id_operacion],tblEjecucion[costo_plan_total],0)-tblOrdenes[[#This Row],[costo_servicio]]))</f>
        <v/>
      </c>
      <c r="AK259" s="10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2">
        <f>IF(tblOrdenes[[#This Row],[fecha_inicio]]="","",TODAY()-tblOrdenes[[#This Row],[fecha_inicio]])</f>
        <v/>
      </c>
      <c r="AB2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0">
        <f>IF(tblOrdenes[[#This Row],[orden]]="","",_xlfn.XLOOKUP(tblOrdenes[[#This Row],[id_operacion]],tblEjecucion[id_operacion],tblEjecucion[precio],0))</f>
        <v/>
      </c>
      <c r="AJ260" s="10">
        <f>IF(tblOrdenes[[#This Row],[orden]]="","",MAX(0,_xlfn.XLOOKUP(tblOrdenes[[#This Row],[id_operacion]],tblEjecucion[id_operacion],tblEjecucion[costo_plan_total],0)-tblOrdenes[[#This Row],[costo_servicio]]))</f>
        <v/>
      </c>
      <c r="AK260" s="10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2">
        <f>IF(tblOrdenes[[#This Row],[fecha_inicio]]="","",TODAY()-tblOrdenes[[#This Row],[fecha_inicio]])</f>
        <v/>
      </c>
      <c r="AB2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0">
        <f>IF(tblOrdenes[[#This Row],[orden]]="","",_xlfn.XLOOKUP(tblOrdenes[[#This Row],[id_operacion]],tblEjecucion[id_operacion],tblEjecucion[precio],0))</f>
        <v/>
      </c>
      <c r="AJ261" s="10">
        <f>IF(tblOrdenes[[#This Row],[orden]]="","",MAX(0,_xlfn.XLOOKUP(tblOrdenes[[#This Row],[id_operacion]],tblEjecucion[id_operacion],tblEjecucion[costo_plan_total],0)-tblOrdenes[[#This Row],[costo_servicio]]))</f>
        <v/>
      </c>
      <c r="AK261" s="10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2">
        <f>IF(tblOrdenes[[#This Row],[fecha_inicio]]="","",TODAY()-tblOrdenes[[#This Row],[fecha_inicio]])</f>
        <v/>
      </c>
      <c r="AB2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0">
        <f>IF(tblOrdenes[[#This Row],[orden]]="","",_xlfn.XLOOKUP(tblOrdenes[[#This Row],[id_operacion]],tblEjecucion[id_operacion],tblEjecucion[precio],0))</f>
        <v/>
      </c>
      <c r="AJ262" s="10">
        <f>IF(tblOrdenes[[#This Row],[orden]]="","",MAX(0,_xlfn.XLOOKUP(tblOrdenes[[#This Row],[id_operacion]],tblEjecucion[id_operacion],tblEjecucion[costo_plan_total],0)-tblOrdenes[[#This Row],[costo_servicio]]))</f>
        <v/>
      </c>
      <c r="AK262" s="10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2">
        <f>IF(tblOrdenes[[#This Row],[fecha_inicio]]="","",TODAY()-tblOrdenes[[#This Row],[fecha_inicio]])</f>
        <v/>
      </c>
      <c r="AB2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0">
        <f>IF(tblOrdenes[[#This Row],[orden]]="","",_xlfn.XLOOKUP(tblOrdenes[[#This Row],[id_operacion]],tblEjecucion[id_operacion],tblEjecucion[precio],0))</f>
        <v/>
      </c>
      <c r="AJ263" s="10">
        <f>IF(tblOrdenes[[#This Row],[orden]]="","",MAX(0,_xlfn.XLOOKUP(tblOrdenes[[#This Row],[id_operacion]],tblEjecucion[id_operacion],tblEjecucion[costo_plan_total],0)-tblOrdenes[[#This Row],[costo_servicio]]))</f>
        <v/>
      </c>
      <c r="AK263" s="10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2">
        <f>IF(tblOrdenes[[#This Row],[fecha_inicio]]="","",TODAY()-tblOrdenes[[#This Row],[fecha_inicio]])</f>
        <v/>
      </c>
      <c r="AB2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0">
        <f>IF(tblOrdenes[[#This Row],[orden]]="","",_xlfn.XLOOKUP(tblOrdenes[[#This Row],[id_operacion]],tblEjecucion[id_operacion],tblEjecucion[precio],0))</f>
        <v/>
      </c>
      <c r="AJ264" s="10">
        <f>IF(tblOrdenes[[#This Row],[orden]]="","",MAX(0,_xlfn.XLOOKUP(tblOrdenes[[#This Row],[id_operacion]],tblEjecucion[id_operacion],tblEjecucion[costo_plan_total],0)-tblOrdenes[[#This Row],[costo_servicio]]))</f>
        <v/>
      </c>
      <c r="AK264" s="10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2">
        <f>IF(tblOrdenes[[#This Row],[fecha_inicio]]="","",TODAY()-tblOrdenes[[#This Row],[fecha_inicio]])</f>
        <v/>
      </c>
      <c r="AB2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0">
        <f>IF(tblOrdenes[[#This Row],[orden]]="","",_xlfn.XLOOKUP(tblOrdenes[[#This Row],[id_operacion]],tblEjecucion[id_operacion],tblEjecucion[precio],0))</f>
        <v/>
      </c>
      <c r="AJ265" s="10">
        <f>IF(tblOrdenes[[#This Row],[orden]]="","",MAX(0,_xlfn.XLOOKUP(tblOrdenes[[#This Row],[id_operacion]],tblEjecucion[id_operacion],tblEjecucion[costo_plan_total],0)-tblOrdenes[[#This Row],[costo_servicio]]))</f>
        <v/>
      </c>
      <c r="AK265" s="10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2">
        <f>IF(tblOrdenes[[#This Row],[fecha_inicio]]="","",TODAY()-tblOrdenes[[#This Row],[fecha_inicio]])</f>
        <v/>
      </c>
      <c r="AB2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0">
        <f>IF(tblOrdenes[[#This Row],[orden]]="","",_xlfn.XLOOKUP(tblOrdenes[[#This Row],[id_operacion]],tblEjecucion[id_operacion],tblEjecucion[precio],0))</f>
        <v/>
      </c>
      <c r="AJ266" s="10">
        <f>IF(tblOrdenes[[#This Row],[orden]]="","",MAX(0,_xlfn.XLOOKUP(tblOrdenes[[#This Row],[id_operacion]],tblEjecucion[id_operacion],tblEjecucion[costo_plan_total],0)-tblOrdenes[[#This Row],[costo_servicio]]))</f>
        <v/>
      </c>
      <c r="AK266" s="10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2">
        <f>IF(tblOrdenes[[#This Row],[fecha_inicio]]="","",TODAY()-tblOrdenes[[#This Row],[fecha_inicio]])</f>
        <v/>
      </c>
      <c r="AB2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0">
        <f>IF(tblOrdenes[[#This Row],[orden]]="","",_xlfn.XLOOKUP(tblOrdenes[[#This Row],[id_operacion]],tblEjecucion[id_operacion],tblEjecucion[precio],0))</f>
        <v/>
      </c>
      <c r="AJ267" s="10">
        <f>IF(tblOrdenes[[#This Row],[orden]]="","",MAX(0,_xlfn.XLOOKUP(tblOrdenes[[#This Row],[id_operacion]],tblEjecucion[id_operacion],tblEjecucion[costo_plan_total],0)-tblOrdenes[[#This Row],[costo_servicio]]))</f>
        <v/>
      </c>
      <c r="AK267" s="10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2">
        <f>IF(tblOrdenes[[#This Row],[fecha_inicio]]="","",TODAY()-tblOrdenes[[#This Row],[fecha_inicio]])</f>
        <v/>
      </c>
      <c r="AB2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0">
        <f>IF(tblOrdenes[[#This Row],[orden]]="","",_xlfn.XLOOKUP(tblOrdenes[[#This Row],[id_operacion]],tblEjecucion[id_operacion],tblEjecucion[precio],0))</f>
        <v/>
      </c>
      <c r="AJ268" s="10">
        <f>IF(tblOrdenes[[#This Row],[orden]]="","",MAX(0,_xlfn.XLOOKUP(tblOrdenes[[#This Row],[id_operacion]],tblEjecucion[id_operacion],tblEjecucion[costo_plan_total],0)-tblOrdenes[[#This Row],[costo_servicio]]))</f>
        <v/>
      </c>
      <c r="AK268" s="10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2">
        <f>IF(tblOrdenes[[#This Row],[fecha_inicio]]="","",TODAY()-tblOrdenes[[#This Row],[fecha_inicio]])</f>
        <v/>
      </c>
      <c r="AB2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0">
        <f>IF(tblOrdenes[[#This Row],[orden]]="","",_xlfn.XLOOKUP(tblOrdenes[[#This Row],[id_operacion]],tblEjecucion[id_operacion],tblEjecucion[precio],0))</f>
        <v/>
      </c>
      <c r="AJ269" s="10">
        <f>IF(tblOrdenes[[#This Row],[orden]]="","",MAX(0,_xlfn.XLOOKUP(tblOrdenes[[#This Row],[id_operacion]],tblEjecucion[id_operacion],tblEjecucion[costo_plan_total],0)-tblOrdenes[[#This Row],[costo_servicio]]))</f>
        <v/>
      </c>
      <c r="AK269" s="10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2">
        <f>IF(tblOrdenes[[#This Row],[fecha_inicio]]="","",TODAY()-tblOrdenes[[#This Row],[fecha_inicio]])</f>
        <v/>
      </c>
      <c r="AB2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0">
        <f>IF(tblOrdenes[[#This Row],[orden]]="","",_xlfn.XLOOKUP(tblOrdenes[[#This Row],[id_operacion]],tblEjecucion[id_operacion],tblEjecucion[precio],0))</f>
        <v/>
      </c>
      <c r="AJ270" s="10">
        <f>IF(tblOrdenes[[#This Row],[orden]]="","",MAX(0,_xlfn.XLOOKUP(tblOrdenes[[#This Row],[id_operacion]],tblEjecucion[id_operacion],tblEjecucion[costo_plan_total],0)-tblOrdenes[[#This Row],[costo_servicio]]))</f>
        <v/>
      </c>
      <c r="AK270" s="10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2">
        <f>IF(tblOrdenes[[#This Row],[fecha_inicio]]="","",TODAY()-tblOrdenes[[#This Row],[fecha_inicio]])</f>
        <v/>
      </c>
      <c r="AB2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0">
        <f>IF(tblOrdenes[[#This Row],[orden]]="","",_xlfn.XLOOKUP(tblOrdenes[[#This Row],[id_operacion]],tblEjecucion[id_operacion],tblEjecucion[precio],0))</f>
        <v/>
      </c>
      <c r="AJ271" s="10">
        <f>IF(tblOrdenes[[#This Row],[orden]]="","",MAX(0,_xlfn.XLOOKUP(tblOrdenes[[#This Row],[id_operacion]],tblEjecucion[id_operacion],tblEjecucion[costo_plan_total],0)-tblOrdenes[[#This Row],[costo_servicio]]))</f>
        <v/>
      </c>
      <c r="AK271" s="10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2">
        <f>IF(tblOrdenes[[#This Row],[fecha_inicio]]="","",TODAY()-tblOrdenes[[#This Row],[fecha_inicio]])</f>
        <v/>
      </c>
      <c r="AB2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0">
        <f>IF(tblOrdenes[[#This Row],[orden]]="","",_xlfn.XLOOKUP(tblOrdenes[[#This Row],[id_operacion]],tblEjecucion[id_operacion],tblEjecucion[precio],0))</f>
        <v/>
      </c>
      <c r="AJ272" s="10">
        <f>IF(tblOrdenes[[#This Row],[orden]]="","",MAX(0,_xlfn.XLOOKUP(tblOrdenes[[#This Row],[id_operacion]],tblEjecucion[id_operacion],tblEjecucion[costo_plan_total],0)-tblOrdenes[[#This Row],[costo_servicio]]))</f>
        <v/>
      </c>
      <c r="AK272" s="10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2">
        <f>IF(tblOrdenes[[#This Row],[fecha_inicio]]="","",TODAY()-tblOrdenes[[#This Row],[fecha_inicio]])</f>
        <v/>
      </c>
      <c r="AB2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0">
        <f>IF(tblOrdenes[[#This Row],[orden]]="","",_xlfn.XLOOKUP(tblOrdenes[[#This Row],[id_operacion]],tblEjecucion[id_operacion],tblEjecucion[precio],0))</f>
        <v/>
      </c>
      <c r="AJ273" s="10">
        <f>IF(tblOrdenes[[#This Row],[orden]]="","",MAX(0,_xlfn.XLOOKUP(tblOrdenes[[#This Row],[id_operacion]],tblEjecucion[id_operacion],tblEjecucion[costo_plan_total],0)-tblOrdenes[[#This Row],[costo_servicio]]))</f>
        <v/>
      </c>
      <c r="AK273" s="10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2">
        <f>IF(tblOrdenes[[#This Row],[fecha_inicio]]="","",TODAY()-tblOrdenes[[#This Row],[fecha_inicio]])</f>
        <v/>
      </c>
      <c r="AB2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0">
        <f>IF(tblOrdenes[[#This Row],[orden]]="","",_xlfn.XLOOKUP(tblOrdenes[[#This Row],[id_operacion]],tblEjecucion[id_operacion],tblEjecucion[precio],0))</f>
        <v/>
      </c>
      <c r="AJ274" s="10">
        <f>IF(tblOrdenes[[#This Row],[orden]]="","",MAX(0,_xlfn.XLOOKUP(tblOrdenes[[#This Row],[id_operacion]],tblEjecucion[id_operacion],tblEjecucion[costo_plan_total],0)-tblOrdenes[[#This Row],[costo_servicio]]))</f>
        <v/>
      </c>
      <c r="AK274" s="10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2">
        <f>IF(tblOrdenes[[#This Row],[fecha_inicio]]="","",TODAY()-tblOrdenes[[#This Row],[fecha_inicio]])</f>
        <v/>
      </c>
      <c r="AB2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0">
        <f>IF(tblOrdenes[[#This Row],[orden]]="","",_xlfn.XLOOKUP(tblOrdenes[[#This Row],[id_operacion]],tblEjecucion[id_operacion],tblEjecucion[precio],0))</f>
        <v/>
      </c>
      <c r="AJ275" s="10">
        <f>IF(tblOrdenes[[#This Row],[orden]]="","",MAX(0,_xlfn.XLOOKUP(tblOrdenes[[#This Row],[id_operacion]],tblEjecucion[id_operacion],tblEjecucion[costo_plan_total],0)-tblOrdenes[[#This Row],[costo_servicio]]))</f>
        <v/>
      </c>
      <c r="AK275" s="10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2">
        <f>IF(tblOrdenes[[#This Row],[fecha_inicio]]="","",TODAY()-tblOrdenes[[#This Row],[fecha_inicio]])</f>
        <v/>
      </c>
      <c r="AB2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0">
        <f>IF(tblOrdenes[[#This Row],[orden]]="","",_xlfn.XLOOKUP(tblOrdenes[[#This Row],[id_operacion]],tblEjecucion[id_operacion],tblEjecucion[precio],0))</f>
        <v/>
      </c>
      <c r="AJ276" s="10">
        <f>IF(tblOrdenes[[#This Row],[orden]]="","",MAX(0,_xlfn.XLOOKUP(tblOrdenes[[#This Row],[id_operacion]],tblEjecucion[id_operacion],tblEjecucion[costo_plan_total],0)-tblOrdenes[[#This Row],[costo_servicio]]))</f>
        <v/>
      </c>
      <c r="AK276" s="10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2">
        <f>IF(tblOrdenes[[#This Row],[fecha_inicio]]="","",TODAY()-tblOrdenes[[#This Row],[fecha_inicio]])</f>
        <v/>
      </c>
      <c r="AB2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0">
        <f>IF(tblOrdenes[[#This Row],[orden]]="","",_xlfn.XLOOKUP(tblOrdenes[[#This Row],[id_operacion]],tblEjecucion[id_operacion],tblEjecucion[precio],0))</f>
        <v/>
      </c>
      <c r="AJ277" s="10">
        <f>IF(tblOrdenes[[#This Row],[orden]]="","",MAX(0,_xlfn.XLOOKUP(tblOrdenes[[#This Row],[id_operacion]],tblEjecucion[id_operacion],tblEjecucion[costo_plan_total],0)-tblOrdenes[[#This Row],[costo_servicio]]))</f>
        <v/>
      </c>
      <c r="AK277" s="10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2">
        <f>IF(tblOrdenes[[#This Row],[fecha_inicio]]="","",TODAY()-tblOrdenes[[#This Row],[fecha_inicio]])</f>
        <v/>
      </c>
      <c r="AB2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0">
        <f>IF(tblOrdenes[[#This Row],[orden]]="","",_xlfn.XLOOKUP(tblOrdenes[[#This Row],[id_operacion]],tblEjecucion[id_operacion],tblEjecucion[precio],0))</f>
        <v/>
      </c>
      <c r="AJ278" s="10">
        <f>IF(tblOrdenes[[#This Row],[orden]]="","",MAX(0,_xlfn.XLOOKUP(tblOrdenes[[#This Row],[id_operacion]],tblEjecucion[id_operacion],tblEjecucion[costo_plan_total],0)-tblOrdenes[[#This Row],[costo_servicio]]))</f>
        <v/>
      </c>
      <c r="AK278" s="10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2">
        <f>IF(tblOrdenes[[#This Row],[fecha_inicio]]="","",TODAY()-tblOrdenes[[#This Row],[fecha_inicio]])</f>
        <v/>
      </c>
      <c r="AB2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0">
        <f>IF(tblOrdenes[[#This Row],[orden]]="","",_xlfn.XLOOKUP(tblOrdenes[[#This Row],[id_operacion]],tblEjecucion[id_operacion],tblEjecucion[precio],0))</f>
        <v/>
      </c>
      <c r="AJ279" s="10">
        <f>IF(tblOrdenes[[#This Row],[orden]]="","",MAX(0,_xlfn.XLOOKUP(tblOrdenes[[#This Row],[id_operacion]],tblEjecucion[id_operacion],tblEjecucion[costo_plan_total],0)-tblOrdenes[[#This Row],[costo_servicio]]))</f>
        <v/>
      </c>
      <c r="AK279" s="10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2">
        <f>IF(tblOrdenes[[#This Row],[fecha_inicio]]="","",TODAY()-tblOrdenes[[#This Row],[fecha_inicio]])</f>
        <v/>
      </c>
      <c r="AB2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0">
        <f>IF(tblOrdenes[[#This Row],[orden]]="","",_xlfn.XLOOKUP(tblOrdenes[[#This Row],[id_operacion]],tblEjecucion[id_operacion],tblEjecucion[precio],0))</f>
        <v/>
      </c>
      <c r="AJ280" s="10">
        <f>IF(tblOrdenes[[#This Row],[orden]]="","",MAX(0,_xlfn.XLOOKUP(tblOrdenes[[#This Row],[id_operacion]],tblEjecucion[id_operacion],tblEjecucion[costo_plan_total],0)-tblOrdenes[[#This Row],[costo_servicio]]))</f>
        <v/>
      </c>
      <c r="AK280" s="10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2">
        <f>IF(tblOrdenes[[#This Row],[fecha_inicio]]="","",TODAY()-tblOrdenes[[#This Row],[fecha_inicio]])</f>
        <v/>
      </c>
      <c r="AB2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0">
        <f>IF(tblOrdenes[[#This Row],[orden]]="","",_xlfn.XLOOKUP(tblOrdenes[[#This Row],[id_operacion]],tblEjecucion[id_operacion],tblEjecucion[precio],0))</f>
        <v/>
      </c>
      <c r="AJ281" s="10">
        <f>IF(tblOrdenes[[#This Row],[orden]]="","",MAX(0,_xlfn.XLOOKUP(tblOrdenes[[#This Row],[id_operacion]],tblEjecucion[id_operacion],tblEjecucion[costo_plan_total],0)-tblOrdenes[[#This Row],[costo_servicio]]))</f>
        <v/>
      </c>
      <c r="AK281" s="10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2">
        <f>IF(tblOrdenes[[#This Row],[fecha_inicio]]="","",TODAY()-tblOrdenes[[#This Row],[fecha_inicio]])</f>
        <v/>
      </c>
      <c r="AB2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0">
        <f>IF(tblOrdenes[[#This Row],[orden]]="","",_xlfn.XLOOKUP(tblOrdenes[[#This Row],[id_operacion]],tblEjecucion[id_operacion],tblEjecucion[precio],0))</f>
        <v/>
      </c>
      <c r="AJ282" s="10">
        <f>IF(tblOrdenes[[#This Row],[orden]]="","",MAX(0,_xlfn.XLOOKUP(tblOrdenes[[#This Row],[id_operacion]],tblEjecucion[id_operacion],tblEjecucion[costo_plan_total],0)-tblOrdenes[[#This Row],[costo_servicio]]))</f>
        <v/>
      </c>
      <c r="AK282" s="10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2">
        <f>IF(tblOrdenes[[#This Row],[fecha_inicio]]="","",TODAY()-tblOrdenes[[#This Row],[fecha_inicio]])</f>
        <v/>
      </c>
      <c r="AB2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0">
        <f>IF(tblOrdenes[[#This Row],[orden]]="","",_xlfn.XLOOKUP(tblOrdenes[[#This Row],[id_operacion]],tblEjecucion[id_operacion],tblEjecucion[precio],0))</f>
        <v/>
      </c>
      <c r="AJ283" s="10">
        <f>IF(tblOrdenes[[#This Row],[orden]]="","",MAX(0,_xlfn.XLOOKUP(tblOrdenes[[#This Row],[id_operacion]],tblEjecucion[id_operacion],tblEjecucion[costo_plan_total],0)-tblOrdenes[[#This Row],[costo_servicio]]))</f>
        <v/>
      </c>
      <c r="AK283" s="10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2">
        <f>IF(tblOrdenes[[#This Row],[fecha_inicio]]="","",TODAY()-tblOrdenes[[#This Row],[fecha_inicio]])</f>
        <v/>
      </c>
      <c r="AB2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0">
        <f>IF(tblOrdenes[[#This Row],[orden]]="","",_xlfn.XLOOKUP(tblOrdenes[[#This Row],[id_operacion]],tblEjecucion[id_operacion],tblEjecucion[precio],0))</f>
        <v/>
      </c>
      <c r="AJ284" s="10">
        <f>IF(tblOrdenes[[#This Row],[orden]]="","",MAX(0,_xlfn.XLOOKUP(tblOrdenes[[#This Row],[id_operacion]],tblEjecucion[id_operacion],tblEjecucion[costo_plan_total],0)-tblOrdenes[[#This Row],[costo_servicio]]))</f>
        <v/>
      </c>
      <c r="AK284" s="10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2">
        <f>IF(tblOrdenes[[#This Row],[fecha_inicio]]="","",TODAY()-tblOrdenes[[#This Row],[fecha_inicio]])</f>
        <v/>
      </c>
      <c r="AB2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0">
        <f>IF(tblOrdenes[[#This Row],[orden]]="","",_xlfn.XLOOKUP(tblOrdenes[[#This Row],[id_operacion]],tblEjecucion[id_operacion],tblEjecucion[precio],0))</f>
        <v/>
      </c>
      <c r="AJ285" s="10">
        <f>IF(tblOrdenes[[#This Row],[orden]]="","",MAX(0,_xlfn.XLOOKUP(tblOrdenes[[#This Row],[id_operacion]],tblEjecucion[id_operacion],tblEjecucion[costo_plan_total],0)-tblOrdenes[[#This Row],[costo_servicio]]))</f>
        <v/>
      </c>
      <c r="AK285" s="10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2">
        <f>IF(tblOrdenes[[#This Row],[fecha_inicio]]="","",TODAY()-tblOrdenes[[#This Row],[fecha_inicio]])</f>
        <v/>
      </c>
      <c r="AB2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0">
        <f>IF(tblOrdenes[[#This Row],[orden]]="","",_xlfn.XLOOKUP(tblOrdenes[[#This Row],[id_operacion]],tblEjecucion[id_operacion],tblEjecucion[precio],0))</f>
        <v/>
      </c>
      <c r="AJ286" s="10">
        <f>IF(tblOrdenes[[#This Row],[orden]]="","",MAX(0,_xlfn.XLOOKUP(tblOrdenes[[#This Row],[id_operacion]],tblEjecucion[id_operacion],tblEjecucion[costo_plan_total],0)-tblOrdenes[[#This Row],[costo_servicio]]))</f>
        <v/>
      </c>
      <c r="AK286" s="10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2">
        <f>IF(tblOrdenes[[#This Row],[fecha_inicio]]="","",TODAY()-tblOrdenes[[#This Row],[fecha_inicio]])</f>
        <v/>
      </c>
      <c r="AB2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0">
        <f>IF(tblOrdenes[[#This Row],[orden]]="","",_xlfn.XLOOKUP(tblOrdenes[[#This Row],[id_operacion]],tblEjecucion[id_operacion],tblEjecucion[precio],0))</f>
        <v/>
      </c>
      <c r="AJ287" s="10">
        <f>IF(tblOrdenes[[#This Row],[orden]]="","",MAX(0,_xlfn.XLOOKUP(tblOrdenes[[#This Row],[id_operacion]],tblEjecucion[id_operacion],tblEjecucion[costo_plan_total],0)-tblOrdenes[[#This Row],[costo_servicio]]))</f>
        <v/>
      </c>
      <c r="AK287" s="10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2">
        <f>IF(tblOrdenes[[#This Row],[fecha_inicio]]="","",TODAY()-tblOrdenes[[#This Row],[fecha_inicio]])</f>
        <v/>
      </c>
      <c r="AB2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0">
        <f>IF(tblOrdenes[[#This Row],[orden]]="","",_xlfn.XLOOKUP(tblOrdenes[[#This Row],[id_operacion]],tblEjecucion[id_operacion],tblEjecucion[precio],0))</f>
        <v/>
      </c>
      <c r="AJ288" s="10">
        <f>IF(tblOrdenes[[#This Row],[orden]]="","",MAX(0,_xlfn.XLOOKUP(tblOrdenes[[#This Row],[id_operacion]],tblEjecucion[id_operacion],tblEjecucion[costo_plan_total],0)-tblOrdenes[[#This Row],[costo_servicio]]))</f>
        <v/>
      </c>
      <c r="AK288" s="10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2">
        <f>IF(tblOrdenes[[#This Row],[fecha_inicio]]="","",TODAY()-tblOrdenes[[#This Row],[fecha_inicio]])</f>
        <v/>
      </c>
      <c r="AB2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0">
        <f>IF(tblOrdenes[[#This Row],[orden]]="","",_xlfn.XLOOKUP(tblOrdenes[[#This Row],[id_operacion]],tblEjecucion[id_operacion],tblEjecucion[precio],0))</f>
        <v/>
      </c>
      <c r="AJ289" s="10">
        <f>IF(tblOrdenes[[#This Row],[orden]]="","",MAX(0,_xlfn.XLOOKUP(tblOrdenes[[#This Row],[id_operacion]],tblEjecucion[id_operacion],tblEjecucion[costo_plan_total],0)-tblOrdenes[[#This Row],[costo_servicio]]))</f>
        <v/>
      </c>
      <c r="AK289" s="10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2">
        <f>IF(tblOrdenes[[#This Row],[fecha_inicio]]="","",TODAY()-tblOrdenes[[#This Row],[fecha_inicio]])</f>
        <v/>
      </c>
      <c r="AB2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0">
        <f>IF(tblOrdenes[[#This Row],[orden]]="","",_xlfn.XLOOKUP(tblOrdenes[[#This Row],[id_operacion]],tblEjecucion[id_operacion],tblEjecucion[precio],0))</f>
        <v/>
      </c>
      <c r="AJ290" s="10">
        <f>IF(tblOrdenes[[#This Row],[orden]]="","",MAX(0,_xlfn.XLOOKUP(tblOrdenes[[#This Row],[id_operacion]],tblEjecucion[id_operacion],tblEjecucion[costo_plan_total],0)-tblOrdenes[[#This Row],[costo_servicio]]))</f>
        <v/>
      </c>
      <c r="AK290" s="10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2">
        <f>IF(tblOrdenes[[#This Row],[fecha_inicio]]="","",TODAY()-tblOrdenes[[#This Row],[fecha_inicio]])</f>
        <v/>
      </c>
      <c r="AB2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0">
        <f>IF(tblOrdenes[[#This Row],[orden]]="","",_xlfn.XLOOKUP(tblOrdenes[[#This Row],[id_operacion]],tblEjecucion[id_operacion],tblEjecucion[precio],0))</f>
        <v/>
      </c>
      <c r="AJ291" s="10">
        <f>IF(tblOrdenes[[#This Row],[orden]]="","",MAX(0,_xlfn.XLOOKUP(tblOrdenes[[#This Row],[id_operacion]],tblEjecucion[id_operacion],tblEjecucion[costo_plan_total],0)-tblOrdenes[[#This Row],[costo_servicio]]))</f>
        <v/>
      </c>
      <c r="AK291" s="10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2">
        <f>IF(tblOrdenes[[#This Row],[fecha_inicio]]="","",TODAY()-tblOrdenes[[#This Row],[fecha_inicio]])</f>
        <v/>
      </c>
      <c r="AB2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0">
        <f>IF(tblOrdenes[[#This Row],[orden]]="","",_xlfn.XLOOKUP(tblOrdenes[[#This Row],[id_operacion]],tblEjecucion[id_operacion],tblEjecucion[precio],0))</f>
        <v/>
      </c>
      <c r="AJ292" s="10">
        <f>IF(tblOrdenes[[#This Row],[orden]]="","",MAX(0,_xlfn.XLOOKUP(tblOrdenes[[#This Row],[id_operacion]],tblEjecucion[id_operacion],tblEjecucion[costo_plan_total],0)-tblOrdenes[[#This Row],[costo_servicio]]))</f>
        <v/>
      </c>
      <c r="AK292" s="10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2">
        <f>IF(tblOrdenes[[#This Row],[fecha_inicio]]="","",TODAY()-tblOrdenes[[#This Row],[fecha_inicio]])</f>
        <v/>
      </c>
      <c r="AB2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0">
        <f>IF(tblOrdenes[[#This Row],[orden]]="","",_xlfn.XLOOKUP(tblOrdenes[[#This Row],[id_operacion]],tblEjecucion[id_operacion],tblEjecucion[precio],0))</f>
        <v/>
      </c>
      <c r="AJ293" s="10">
        <f>IF(tblOrdenes[[#This Row],[orden]]="","",MAX(0,_xlfn.XLOOKUP(tblOrdenes[[#This Row],[id_operacion]],tblEjecucion[id_operacion],tblEjecucion[costo_plan_total],0)-tblOrdenes[[#This Row],[costo_servicio]]))</f>
        <v/>
      </c>
      <c r="AK293" s="10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2">
        <f>IF(tblOrdenes[[#This Row],[fecha_inicio]]="","",TODAY()-tblOrdenes[[#This Row],[fecha_inicio]])</f>
        <v/>
      </c>
      <c r="AB2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0">
        <f>IF(tblOrdenes[[#This Row],[orden]]="","",_xlfn.XLOOKUP(tblOrdenes[[#This Row],[id_operacion]],tblEjecucion[id_operacion],tblEjecucion[precio],0))</f>
        <v/>
      </c>
      <c r="AJ294" s="10">
        <f>IF(tblOrdenes[[#This Row],[orden]]="","",MAX(0,_xlfn.XLOOKUP(tblOrdenes[[#This Row],[id_operacion]],tblEjecucion[id_operacion],tblEjecucion[costo_plan_total],0)-tblOrdenes[[#This Row],[costo_servicio]]))</f>
        <v/>
      </c>
      <c r="AK294" s="10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2">
        <f>IF(tblOrdenes[[#This Row],[fecha_inicio]]="","",TODAY()-tblOrdenes[[#This Row],[fecha_inicio]])</f>
        <v/>
      </c>
      <c r="AB2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0">
        <f>IF(tblOrdenes[[#This Row],[orden]]="","",_xlfn.XLOOKUP(tblOrdenes[[#This Row],[id_operacion]],tblEjecucion[id_operacion],tblEjecucion[precio],0))</f>
        <v/>
      </c>
      <c r="AJ295" s="10">
        <f>IF(tblOrdenes[[#This Row],[orden]]="","",MAX(0,_xlfn.XLOOKUP(tblOrdenes[[#This Row],[id_operacion]],tblEjecucion[id_operacion],tblEjecucion[costo_plan_total],0)-tblOrdenes[[#This Row],[costo_servicio]]))</f>
        <v/>
      </c>
      <c r="AK295" s="10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2">
        <f>IF(tblOrdenes[[#This Row],[fecha_inicio]]="","",TODAY()-tblOrdenes[[#This Row],[fecha_inicio]])</f>
        <v/>
      </c>
      <c r="AB2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0">
        <f>IF(tblOrdenes[[#This Row],[orden]]="","",_xlfn.XLOOKUP(tblOrdenes[[#This Row],[id_operacion]],tblEjecucion[id_operacion],tblEjecucion[precio],0))</f>
        <v/>
      </c>
      <c r="AJ296" s="10">
        <f>IF(tblOrdenes[[#This Row],[orden]]="","",MAX(0,_xlfn.XLOOKUP(tblOrdenes[[#This Row],[id_operacion]],tblEjecucion[id_operacion],tblEjecucion[costo_plan_total],0)-tblOrdenes[[#This Row],[costo_servicio]]))</f>
        <v/>
      </c>
      <c r="AK296" s="10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2">
        <f>IF(tblOrdenes[[#This Row],[fecha_inicio]]="","",TODAY()-tblOrdenes[[#This Row],[fecha_inicio]])</f>
        <v/>
      </c>
      <c r="AB2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0">
        <f>IF(tblOrdenes[[#This Row],[orden]]="","",_xlfn.XLOOKUP(tblOrdenes[[#This Row],[id_operacion]],tblEjecucion[id_operacion],tblEjecucion[precio],0))</f>
        <v/>
      </c>
      <c r="AJ297" s="10">
        <f>IF(tblOrdenes[[#This Row],[orden]]="","",MAX(0,_xlfn.XLOOKUP(tblOrdenes[[#This Row],[id_operacion]],tblEjecucion[id_operacion],tblEjecucion[costo_plan_total],0)-tblOrdenes[[#This Row],[costo_servicio]]))</f>
        <v/>
      </c>
      <c r="AK297" s="10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2">
        <f>IF(tblOrdenes[[#This Row],[fecha_inicio]]="","",TODAY()-tblOrdenes[[#This Row],[fecha_inicio]])</f>
        <v/>
      </c>
      <c r="AB2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0">
        <f>IF(tblOrdenes[[#This Row],[orden]]="","",_xlfn.XLOOKUP(tblOrdenes[[#This Row],[id_operacion]],tblEjecucion[id_operacion],tblEjecucion[precio],0))</f>
        <v/>
      </c>
      <c r="AJ298" s="10">
        <f>IF(tblOrdenes[[#This Row],[orden]]="","",MAX(0,_xlfn.XLOOKUP(tblOrdenes[[#This Row],[id_operacion]],tblEjecucion[id_operacion],tblEjecucion[costo_plan_total],0)-tblOrdenes[[#This Row],[costo_servicio]]))</f>
        <v/>
      </c>
      <c r="AK298" s="10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2">
        <f>IF(tblOrdenes[[#This Row],[fecha_inicio]]="","",TODAY()-tblOrdenes[[#This Row],[fecha_inicio]])</f>
        <v/>
      </c>
      <c r="AB2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0">
        <f>IF(tblOrdenes[[#This Row],[orden]]="","",_xlfn.XLOOKUP(tblOrdenes[[#This Row],[id_operacion]],tblEjecucion[id_operacion],tblEjecucion[precio],0))</f>
        <v/>
      </c>
      <c r="AJ299" s="10">
        <f>IF(tblOrdenes[[#This Row],[orden]]="","",MAX(0,_xlfn.XLOOKUP(tblOrdenes[[#This Row],[id_operacion]],tblEjecucion[id_operacion],tblEjecucion[costo_plan_total],0)-tblOrdenes[[#This Row],[costo_servicio]]))</f>
        <v/>
      </c>
      <c r="AK299" s="10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2">
        <f>IF(tblOrdenes[[#This Row],[fecha_inicio]]="","",TODAY()-tblOrdenes[[#This Row],[fecha_inicio]])</f>
        <v/>
      </c>
      <c r="AB3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0">
        <f>IF(tblOrdenes[[#This Row],[orden]]="","",_xlfn.XLOOKUP(tblOrdenes[[#This Row],[id_operacion]],tblEjecucion[id_operacion],tblEjecucion[precio],0))</f>
        <v/>
      </c>
      <c r="AJ300" s="10">
        <f>IF(tblOrdenes[[#This Row],[orden]]="","",MAX(0,_xlfn.XLOOKUP(tblOrdenes[[#This Row],[id_operacion]],tblEjecucion[id_operacion],tblEjecucion[costo_plan_total],0)-tblOrdenes[[#This Row],[costo_servicio]]))</f>
        <v/>
      </c>
      <c r="AK300" s="10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2">
        <f>IF(tblOrdenes[[#This Row],[fecha_inicio]]="","",TODAY()-tblOrdenes[[#This Row],[fecha_inicio]])</f>
        <v/>
      </c>
      <c r="AB3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0">
        <f>IF(tblOrdenes[[#This Row],[orden]]="","",_xlfn.XLOOKUP(tblOrdenes[[#This Row],[id_operacion]],tblEjecucion[id_operacion],tblEjecucion[precio],0))</f>
        <v/>
      </c>
      <c r="AJ301" s="10">
        <f>IF(tblOrdenes[[#This Row],[orden]]="","",MAX(0,_xlfn.XLOOKUP(tblOrdenes[[#This Row],[id_operacion]],tblEjecucion[id_operacion],tblEjecucion[costo_plan_total],0)-tblOrdenes[[#This Row],[costo_servicio]]))</f>
        <v/>
      </c>
      <c r="AK301" s="10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2">
        <f>IF(tblOrdenes[[#This Row],[fecha_inicio]]="","",TODAY()-tblOrdenes[[#This Row],[fecha_inicio]])</f>
        <v/>
      </c>
      <c r="AB3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0">
        <f>IF(tblOrdenes[[#This Row],[orden]]="","",_xlfn.XLOOKUP(tblOrdenes[[#This Row],[id_operacion]],tblEjecucion[id_operacion],tblEjecucion[precio],0))</f>
        <v/>
      </c>
      <c r="AJ302" s="10">
        <f>IF(tblOrdenes[[#This Row],[orden]]="","",MAX(0,_xlfn.XLOOKUP(tblOrdenes[[#This Row],[id_operacion]],tblEjecucion[id_operacion],tblEjecucion[costo_plan_total],0)-tblOrdenes[[#This Row],[costo_servicio]]))</f>
        <v/>
      </c>
      <c r="AK302" s="10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2">
        <f>IF(tblOrdenes[[#This Row],[fecha_inicio]]="","",TODAY()-tblOrdenes[[#This Row],[fecha_inicio]])</f>
        <v/>
      </c>
      <c r="AB3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0">
        <f>IF(tblOrdenes[[#This Row],[orden]]="","",_xlfn.XLOOKUP(tblOrdenes[[#This Row],[id_operacion]],tblEjecucion[id_operacion],tblEjecucion[precio],0))</f>
        <v/>
      </c>
      <c r="AJ303" s="10">
        <f>IF(tblOrdenes[[#This Row],[orden]]="","",MAX(0,_xlfn.XLOOKUP(tblOrdenes[[#This Row],[id_operacion]],tblEjecucion[id_operacion],tblEjecucion[costo_plan_total],0)-tblOrdenes[[#This Row],[costo_servicio]]))</f>
        <v/>
      </c>
      <c r="AK303" s="10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2">
        <f>IF(tblOrdenes[[#This Row],[fecha_inicio]]="","",TODAY()-tblOrdenes[[#This Row],[fecha_inicio]])</f>
        <v/>
      </c>
      <c r="AB3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0">
        <f>IF(tblOrdenes[[#This Row],[orden]]="","",_xlfn.XLOOKUP(tblOrdenes[[#This Row],[id_operacion]],tblEjecucion[id_operacion],tblEjecucion[precio],0))</f>
        <v/>
      </c>
      <c r="AJ304" s="10">
        <f>IF(tblOrdenes[[#This Row],[orden]]="","",MAX(0,_xlfn.XLOOKUP(tblOrdenes[[#This Row],[id_operacion]],tblEjecucion[id_operacion],tblEjecucion[costo_plan_total],0)-tblOrdenes[[#This Row],[costo_servicio]]))</f>
        <v/>
      </c>
      <c r="AK304" s="10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2">
        <f>IF(tblOrdenes[[#This Row],[fecha_inicio]]="","",TODAY()-tblOrdenes[[#This Row],[fecha_inicio]])</f>
        <v/>
      </c>
      <c r="AB3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0">
        <f>IF(tblOrdenes[[#This Row],[orden]]="","",_xlfn.XLOOKUP(tblOrdenes[[#This Row],[id_operacion]],tblEjecucion[id_operacion],tblEjecucion[precio],0))</f>
        <v/>
      </c>
      <c r="AJ305" s="10">
        <f>IF(tblOrdenes[[#This Row],[orden]]="","",MAX(0,_xlfn.XLOOKUP(tblOrdenes[[#This Row],[id_operacion]],tblEjecucion[id_operacion],tblEjecucion[costo_plan_total],0)-tblOrdenes[[#This Row],[costo_servicio]]))</f>
        <v/>
      </c>
      <c r="AK305" s="10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2">
        <f>IF(tblOrdenes[[#This Row],[fecha_inicio]]="","",TODAY()-tblOrdenes[[#This Row],[fecha_inicio]])</f>
        <v/>
      </c>
      <c r="AB3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0">
        <f>IF(tblOrdenes[[#This Row],[orden]]="","",_xlfn.XLOOKUP(tblOrdenes[[#This Row],[id_operacion]],tblEjecucion[id_operacion],tblEjecucion[precio],0))</f>
        <v/>
      </c>
      <c r="AJ306" s="10">
        <f>IF(tblOrdenes[[#This Row],[orden]]="","",MAX(0,_xlfn.XLOOKUP(tblOrdenes[[#This Row],[id_operacion]],tblEjecucion[id_operacion],tblEjecucion[costo_plan_total],0)-tblOrdenes[[#This Row],[costo_servicio]]))</f>
        <v/>
      </c>
      <c r="AK306" s="10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2">
        <f>IF(tblOrdenes[[#This Row],[fecha_inicio]]="","",TODAY()-tblOrdenes[[#This Row],[fecha_inicio]])</f>
        <v/>
      </c>
      <c r="AB3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0">
        <f>IF(tblOrdenes[[#This Row],[orden]]="","",_xlfn.XLOOKUP(tblOrdenes[[#This Row],[id_operacion]],tblEjecucion[id_operacion],tblEjecucion[precio],0))</f>
        <v/>
      </c>
      <c r="AJ307" s="10">
        <f>IF(tblOrdenes[[#This Row],[orden]]="","",MAX(0,_xlfn.XLOOKUP(tblOrdenes[[#This Row],[id_operacion]],tblEjecucion[id_operacion],tblEjecucion[costo_plan_total],0)-tblOrdenes[[#This Row],[costo_servicio]]))</f>
        <v/>
      </c>
      <c r="AK307" s="10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2">
        <f>IF(tblOrdenes[[#This Row],[fecha_inicio]]="","",TODAY()-tblOrdenes[[#This Row],[fecha_inicio]])</f>
        <v/>
      </c>
      <c r="AB3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0">
        <f>IF(tblOrdenes[[#This Row],[orden]]="","",_xlfn.XLOOKUP(tblOrdenes[[#This Row],[id_operacion]],tblEjecucion[id_operacion],tblEjecucion[precio],0))</f>
        <v/>
      </c>
      <c r="AJ308" s="10">
        <f>IF(tblOrdenes[[#This Row],[orden]]="","",MAX(0,_xlfn.XLOOKUP(tblOrdenes[[#This Row],[id_operacion]],tblEjecucion[id_operacion],tblEjecucion[costo_plan_total],0)-tblOrdenes[[#This Row],[costo_servicio]]))</f>
        <v/>
      </c>
      <c r="AK308" s="10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2">
        <f>IF(tblOrdenes[[#This Row],[fecha_inicio]]="","",TODAY()-tblOrdenes[[#This Row],[fecha_inicio]])</f>
        <v/>
      </c>
      <c r="AB3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0">
        <f>IF(tblOrdenes[[#This Row],[orden]]="","",_xlfn.XLOOKUP(tblOrdenes[[#This Row],[id_operacion]],tblEjecucion[id_operacion],tblEjecucion[precio],0))</f>
        <v/>
      </c>
      <c r="AJ309" s="10">
        <f>IF(tblOrdenes[[#This Row],[orden]]="","",MAX(0,_xlfn.XLOOKUP(tblOrdenes[[#This Row],[id_operacion]],tblEjecucion[id_operacion],tblEjecucion[costo_plan_total],0)-tblOrdenes[[#This Row],[costo_servicio]]))</f>
        <v/>
      </c>
      <c r="AK309" s="10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2">
        <f>IF(tblOrdenes[[#This Row],[fecha_inicio]]="","",TODAY()-tblOrdenes[[#This Row],[fecha_inicio]])</f>
        <v/>
      </c>
      <c r="AB3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0">
        <f>IF(tblOrdenes[[#This Row],[orden]]="","",_xlfn.XLOOKUP(tblOrdenes[[#This Row],[id_operacion]],tblEjecucion[id_operacion],tblEjecucion[precio],0))</f>
        <v/>
      </c>
      <c r="AJ310" s="10">
        <f>IF(tblOrdenes[[#This Row],[orden]]="","",MAX(0,_xlfn.XLOOKUP(tblOrdenes[[#This Row],[id_operacion]],tblEjecucion[id_operacion],tblEjecucion[costo_plan_total],0)-tblOrdenes[[#This Row],[costo_servicio]]))</f>
        <v/>
      </c>
      <c r="AK310" s="10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2">
        <f>IF(tblOrdenes[[#This Row],[fecha_inicio]]="","",TODAY()-tblOrdenes[[#This Row],[fecha_inicio]])</f>
        <v/>
      </c>
      <c r="AB3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0">
        <f>IF(tblOrdenes[[#This Row],[orden]]="","",_xlfn.XLOOKUP(tblOrdenes[[#This Row],[id_operacion]],tblEjecucion[id_operacion],tblEjecucion[precio],0))</f>
        <v/>
      </c>
      <c r="AJ311" s="10">
        <f>IF(tblOrdenes[[#This Row],[orden]]="","",MAX(0,_xlfn.XLOOKUP(tblOrdenes[[#This Row],[id_operacion]],tblEjecucion[id_operacion],tblEjecucion[costo_plan_total],0)-tblOrdenes[[#This Row],[costo_servicio]]))</f>
        <v/>
      </c>
      <c r="AK311" s="10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2">
        <f>IF(tblOrdenes[[#This Row],[fecha_inicio]]="","",TODAY()-tblOrdenes[[#This Row],[fecha_inicio]])</f>
        <v/>
      </c>
      <c r="AB3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0">
        <f>IF(tblOrdenes[[#This Row],[orden]]="","",_xlfn.XLOOKUP(tblOrdenes[[#This Row],[id_operacion]],tblEjecucion[id_operacion],tblEjecucion[precio],0))</f>
        <v/>
      </c>
      <c r="AJ312" s="10">
        <f>IF(tblOrdenes[[#This Row],[orden]]="","",MAX(0,_xlfn.XLOOKUP(tblOrdenes[[#This Row],[id_operacion]],tblEjecucion[id_operacion],tblEjecucion[costo_plan_total],0)-tblOrdenes[[#This Row],[costo_servicio]]))</f>
        <v/>
      </c>
      <c r="AK312" s="10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2">
        <f>IF(tblOrdenes[[#This Row],[fecha_inicio]]="","",TODAY()-tblOrdenes[[#This Row],[fecha_inicio]])</f>
        <v/>
      </c>
      <c r="AB3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0">
        <f>IF(tblOrdenes[[#This Row],[orden]]="","",_xlfn.XLOOKUP(tblOrdenes[[#This Row],[id_operacion]],tblEjecucion[id_operacion],tblEjecucion[precio],0))</f>
        <v/>
      </c>
      <c r="AJ313" s="10">
        <f>IF(tblOrdenes[[#This Row],[orden]]="","",MAX(0,_xlfn.XLOOKUP(tblOrdenes[[#This Row],[id_operacion]],tblEjecucion[id_operacion],tblEjecucion[costo_plan_total],0)-tblOrdenes[[#This Row],[costo_servicio]]))</f>
        <v/>
      </c>
      <c r="AK313" s="10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2">
        <f>IF(tblOrdenes[[#This Row],[fecha_inicio]]="","",TODAY()-tblOrdenes[[#This Row],[fecha_inicio]])</f>
        <v/>
      </c>
      <c r="AB3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0">
        <f>IF(tblOrdenes[[#This Row],[orden]]="","",_xlfn.XLOOKUP(tblOrdenes[[#This Row],[id_operacion]],tblEjecucion[id_operacion],tblEjecucion[precio],0))</f>
        <v/>
      </c>
      <c r="AJ314" s="10">
        <f>IF(tblOrdenes[[#This Row],[orden]]="","",MAX(0,_xlfn.XLOOKUP(tblOrdenes[[#This Row],[id_operacion]],tblEjecucion[id_operacion],tblEjecucion[costo_plan_total],0)-tblOrdenes[[#This Row],[costo_servicio]]))</f>
        <v/>
      </c>
      <c r="AK314" s="10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2">
        <f>IF(tblOrdenes[[#This Row],[fecha_inicio]]="","",TODAY()-tblOrdenes[[#This Row],[fecha_inicio]])</f>
        <v/>
      </c>
      <c r="AB3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0">
        <f>IF(tblOrdenes[[#This Row],[orden]]="","",_xlfn.XLOOKUP(tblOrdenes[[#This Row],[id_operacion]],tblEjecucion[id_operacion],tblEjecucion[precio],0))</f>
        <v/>
      </c>
      <c r="AJ315" s="10">
        <f>IF(tblOrdenes[[#This Row],[orden]]="","",MAX(0,_xlfn.XLOOKUP(tblOrdenes[[#This Row],[id_operacion]],tblEjecucion[id_operacion],tblEjecucion[costo_plan_total],0)-tblOrdenes[[#This Row],[costo_servicio]]))</f>
        <v/>
      </c>
      <c r="AK315" s="10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2">
        <f>IF(tblOrdenes[[#This Row],[fecha_inicio]]="","",TODAY()-tblOrdenes[[#This Row],[fecha_inicio]])</f>
        <v/>
      </c>
      <c r="AB3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0">
        <f>IF(tblOrdenes[[#This Row],[orden]]="","",_xlfn.XLOOKUP(tblOrdenes[[#This Row],[id_operacion]],tblEjecucion[id_operacion],tblEjecucion[precio],0))</f>
        <v/>
      </c>
      <c r="AJ316" s="10">
        <f>IF(tblOrdenes[[#This Row],[orden]]="","",MAX(0,_xlfn.XLOOKUP(tblOrdenes[[#This Row],[id_operacion]],tblEjecucion[id_operacion],tblEjecucion[costo_plan_total],0)-tblOrdenes[[#This Row],[costo_servicio]]))</f>
        <v/>
      </c>
      <c r="AK316" s="10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2">
        <f>IF(tblOrdenes[[#This Row],[fecha_inicio]]="","",TODAY()-tblOrdenes[[#This Row],[fecha_inicio]])</f>
        <v/>
      </c>
      <c r="AB3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0">
        <f>IF(tblOrdenes[[#This Row],[orden]]="","",_xlfn.XLOOKUP(tblOrdenes[[#This Row],[id_operacion]],tblEjecucion[id_operacion],tblEjecucion[precio],0))</f>
        <v/>
      </c>
      <c r="AJ317" s="10">
        <f>IF(tblOrdenes[[#This Row],[orden]]="","",MAX(0,_xlfn.XLOOKUP(tblOrdenes[[#This Row],[id_operacion]],tblEjecucion[id_operacion],tblEjecucion[costo_plan_total],0)-tblOrdenes[[#This Row],[costo_servicio]]))</f>
        <v/>
      </c>
      <c r="AK317" s="10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2">
        <f>IF(tblOrdenes[[#This Row],[fecha_inicio]]="","",TODAY()-tblOrdenes[[#This Row],[fecha_inicio]])</f>
        <v/>
      </c>
      <c r="AB3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0">
        <f>IF(tblOrdenes[[#This Row],[orden]]="","",_xlfn.XLOOKUP(tblOrdenes[[#This Row],[id_operacion]],tblEjecucion[id_operacion],tblEjecucion[precio],0))</f>
        <v/>
      </c>
      <c r="AJ318" s="10">
        <f>IF(tblOrdenes[[#This Row],[orden]]="","",MAX(0,_xlfn.XLOOKUP(tblOrdenes[[#This Row],[id_operacion]],tblEjecucion[id_operacion],tblEjecucion[costo_plan_total],0)-tblOrdenes[[#This Row],[costo_servicio]]))</f>
        <v/>
      </c>
      <c r="AK318" s="10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2">
        <f>IF(tblOrdenes[[#This Row],[fecha_inicio]]="","",TODAY()-tblOrdenes[[#This Row],[fecha_inicio]])</f>
        <v/>
      </c>
      <c r="AB3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0">
        <f>IF(tblOrdenes[[#This Row],[orden]]="","",_xlfn.XLOOKUP(tblOrdenes[[#This Row],[id_operacion]],tblEjecucion[id_operacion],tblEjecucion[precio],0))</f>
        <v/>
      </c>
      <c r="AJ319" s="10">
        <f>IF(tblOrdenes[[#This Row],[orden]]="","",MAX(0,_xlfn.XLOOKUP(tblOrdenes[[#This Row],[id_operacion]],tblEjecucion[id_operacion],tblEjecucion[costo_plan_total],0)-tblOrdenes[[#This Row],[costo_servicio]]))</f>
        <v/>
      </c>
      <c r="AK319" s="10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2">
        <f>IF(tblOrdenes[[#This Row],[fecha_inicio]]="","",TODAY()-tblOrdenes[[#This Row],[fecha_inicio]])</f>
        <v/>
      </c>
      <c r="AB3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0">
        <f>IF(tblOrdenes[[#This Row],[orden]]="","",_xlfn.XLOOKUP(tblOrdenes[[#This Row],[id_operacion]],tblEjecucion[id_operacion],tblEjecucion[precio],0))</f>
        <v/>
      </c>
      <c r="AJ320" s="10">
        <f>IF(tblOrdenes[[#This Row],[orden]]="","",MAX(0,_xlfn.XLOOKUP(tblOrdenes[[#This Row],[id_operacion]],tblEjecucion[id_operacion],tblEjecucion[costo_plan_total],0)-tblOrdenes[[#This Row],[costo_servicio]]))</f>
        <v/>
      </c>
      <c r="AK320" s="10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2">
        <f>IF(tblOrdenes[[#This Row],[fecha_inicio]]="","",TODAY()-tblOrdenes[[#This Row],[fecha_inicio]])</f>
        <v/>
      </c>
      <c r="AB3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0">
        <f>IF(tblOrdenes[[#This Row],[orden]]="","",_xlfn.XLOOKUP(tblOrdenes[[#This Row],[id_operacion]],tblEjecucion[id_operacion],tblEjecucion[precio],0))</f>
        <v/>
      </c>
      <c r="AJ321" s="10">
        <f>IF(tblOrdenes[[#This Row],[orden]]="","",MAX(0,_xlfn.XLOOKUP(tblOrdenes[[#This Row],[id_operacion]],tblEjecucion[id_operacion],tblEjecucion[costo_plan_total],0)-tblOrdenes[[#This Row],[costo_servicio]]))</f>
        <v/>
      </c>
      <c r="AK321" s="10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2">
        <f>IF(tblOrdenes[[#This Row],[fecha_inicio]]="","",TODAY()-tblOrdenes[[#This Row],[fecha_inicio]])</f>
        <v/>
      </c>
      <c r="AB3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0">
        <f>IF(tblOrdenes[[#This Row],[orden]]="","",_xlfn.XLOOKUP(tblOrdenes[[#This Row],[id_operacion]],tblEjecucion[id_operacion],tblEjecucion[precio],0))</f>
        <v/>
      </c>
      <c r="AJ322" s="10">
        <f>IF(tblOrdenes[[#This Row],[orden]]="","",MAX(0,_xlfn.XLOOKUP(tblOrdenes[[#This Row],[id_operacion]],tblEjecucion[id_operacion],tblEjecucion[costo_plan_total],0)-tblOrdenes[[#This Row],[costo_servicio]]))</f>
        <v/>
      </c>
      <c r="AK322" s="10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2">
        <f>IF(tblOrdenes[[#This Row],[fecha_inicio]]="","",TODAY()-tblOrdenes[[#This Row],[fecha_inicio]])</f>
        <v/>
      </c>
      <c r="AB3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0">
        <f>IF(tblOrdenes[[#This Row],[orden]]="","",_xlfn.XLOOKUP(tblOrdenes[[#This Row],[id_operacion]],tblEjecucion[id_operacion],tblEjecucion[precio],0))</f>
        <v/>
      </c>
      <c r="AJ323" s="10">
        <f>IF(tblOrdenes[[#This Row],[orden]]="","",MAX(0,_xlfn.XLOOKUP(tblOrdenes[[#This Row],[id_operacion]],tblEjecucion[id_operacion],tblEjecucion[costo_plan_total],0)-tblOrdenes[[#This Row],[costo_servicio]]))</f>
        <v/>
      </c>
      <c r="AK323" s="10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2">
        <f>IF(tblOrdenes[[#This Row],[fecha_inicio]]="","",TODAY()-tblOrdenes[[#This Row],[fecha_inicio]])</f>
        <v/>
      </c>
      <c r="AB3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0">
        <f>IF(tblOrdenes[[#This Row],[orden]]="","",_xlfn.XLOOKUP(tblOrdenes[[#This Row],[id_operacion]],tblEjecucion[id_operacion],tblEjecucion[precio],0))</f>
        <v/>
      </c>
      <c r="AJ324" s="10">
        <f>IF(tblOrdenes[[#This Row],[orden]]="","",MAX(0,_xlfn.XLOOKUP(tblOrdenes[[#This Row],[id_operacion]],tblEjecucion[id_operacion],tblEjecucion[costo_plan_total],0)-tblOrdenes[[#This Row],[costo_servicio]]))</f>
        <v/>
      </c>
      <c r="AK324" s="10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2">
        <f>IF(tblOrdenes[[#This Row],[fecha_inicio]]="","",TODAY()-tblOrdenes[[#This Row],[fecha_inicio]])</f>
        <v/>
      </c>
      <c r="AB3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0">
        <f>IF(tblOrdenes[[#This Row],[orden]]="","",_xlfn.XLOOKUP(tblOrdenes[[#This Row],[id_operacion]],tblEjecucion[id_operacion],tblEjecucion[precio],0))</f>
        <v/>
      </c>
      <c r="AJ325" s="10">
        <f>IF(tblOrdenes[[#This Row],[orden]]="","",MAX(0,_xlfn.XLOOKUP(tblOrdenes[[#This Row],[id_operacion]],tblEjecucion[id_operacion],tblEjecucion[costo_plan_total],0)-tblOrdenes[[#This Row],[costo_servicio]]))</f>
        <v/>
      </c>
      <c r="AK325" s="10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2">
        <f>IF(tblOrdenes[[#This Row],[fecha_inicio]]="","",TODAY()-tblOrdenes[[#This Row],[fecha_inicio]])</f>
        <v/>
      </c>
      <c r="AB3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0">
        <f>IF(tblOrdenes[[#This Row],[orden]]="","",_xlfn.XLOOKUP(tblOrdenes[[#This Row],[id_operacion]],tblEjecucion[id_operacion],tblEjecucion[precio],0))</f>
        <v/>
      </c>
      <c r="AJ326" s="10">
        <f>IF(tblOrdenes[[#This Row],[orden]]="","",MAX(0,_xlfn.XLOOKUP(tblOrdenes[[#This Row],[id_operacion]],tblEjecucion[id_operacion],tblEjecucion[costo_plan_total],0)-tblOrdenes[[#This Row],[costo_servicio]]))</f>
        <v/>
      </c>
      <c r="AK326" s="10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2">
        <f>IF(tblOrdenes[[#This Row],[fecha_inicio]]="","",TODAY()-tblOrdenes[[#This Row],[fecha_inicio]])</f>
        <v/>
      </c>
      <c r="AB3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0">
        <f>IF(tblOrdenes[[#This Row],[orden]]="","",_xlfn.XLOOKUP(tblOrdenes[[#This Row],[id_operacion]],tblEjecucion[id_operacion],tblEjecucion[precio],0))</f>
        <v/>
      </c>
      <c r="AJ327" s="10">
        <f>IF(tblOrdenes[[#This Row],[orden]]="","",MAX(0,_xlfn.XLOOKUP(tblOrdenes[[#This Row],[id_operacion]],tblEjecucion[id_operacion],tblEjecucion[costo_plan_total],0)-tblOrdenes[[#This Row],[costo_servicio]]))</f>
        <v/>
      </c>
      <c r="AK327" s="10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2">
        <f>IF(tblOrdenes[[#This Row],[fecha_inicio]]="","",TODAY()-tblOrdenes[[#This Row],[fecha_inicio]])</f>
        <v/>
      </c>
      <c r="AB3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0">
        <f>IF(tblOrdenes[[#This Row],[orden]]="","",_xlfn.XLOOKUP(tblOrdenes[[#This Row],[id_operacion]],tblEjecucion[id_operacion],tblEjecucion[precio],0))</f>
        <v/>
      </c>
      <c r="AJ328" s="10">
        <f>IF(tblOrdenes[[#This Row],[orden]]="","",MAX(0,_xlfn.XLOOKUP(tblOrdenes[[#This Row],[id_operacion]],tblEjecucion[id_operacion],tblEjecucion[costo_plan_total],0)-tblOrdenes[[#This Row],[costo_servicio]]))</f>
        <v/>
      </c>
      <c r="AK328" s="10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2">
        <f>IF(tblOrdenes[[#This Row],[fecha_inicio]]="","",TODAY()-tblOrdenes[[#This Row],[fecha_inicio]])</f>
        <v/>
      </c>
      <c r="AB3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0">
        <f>IF(tblOrdenes[[#This Row],[orden]]="","",_xlfn.XLOOKUP(tblOrdenes[[#This Row],[id_operacion]],tblEjecucion[id_operacion],tblEjecucion[precio],0))</f>
        <v/>
      </c>
      <c r="AJ329" s="10">
        <f>IF(tblOrdenes[[#This Row],[orden]]="","",MAX(0,_xlfn.XLOOKUP(tblOrdenes[[#This Row],[id_operacion]],tblEjecucion[id_operacion],tblEjecucion[costo_plan_total],0)-tblOrdenes[[#This Row],[costo_servicio]]))</f>
        <v/>
      </c>
      <c r="AK329" s="10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2">
        <f>IF(tblOrdenes[[#This Row],[fecha_inicio]]="","",TODAY()-tblOrdenes[[#This Row],[fecha_inicio]])</f>
        <v/>
      </c>
      <c r="AB3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0">
        <f>IF(tblOrdenes[[#This Row],[orden]]="","",_xlfn.XLOOKUP(tblOrdenes[[#This Row],[id_operacion]],tblEjecucion[id_operacion],tblEjecucion[precio],0))</f>
        <v/>
      </c>
      <c r="AJ330" s="10">
        <f>IF(tblOrdenes[[#This Row],[orden]]="","",MAX(0,_xlfn.XLOOKUP(tblOrdenes[[#This Row],[id_operacion]],tblEjecucion[id_operacion],tblEjecucion[costo_plan_total],0)-tblOrdenes[[#This Row],[costo_servicio]]))</f>
        <v/>
      </c>
      <c r="AK330" s="10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2">
        <f>IF(tblOrdenes[[#This Row],[fecha_inicio]]="","",TODAY()-tblOrdenes[[#This Row],[fecha_inicio]])</f>
        <v/>
      </c>
      <c r="AB3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0">
        <f>IF(tblOrdenes[[#This Row],[orden]]="","",_xlfn.XLOOKUP(tblOrdenes[[#This Row],[id_operacion]],tblEjecucion[id_operacion],tblEjecucion[precio],0))</f>
        <v/>
      </c>
      <c r="AJ331" s="10">
        <f>IF(tblOrdenes[[#This Row],[orden]]="","",MAX(0,_xlfn.XLOOKUP(tblOrdenes[[#This Row],[id_operacion]],tblEjecucion[id_operacion],tblEjecucion[costo_plan_total],0)-tblOrdenes[[#This Row],[costo_servicio]]))</f>
        <v/>
      </c>
      <c r="AK331" s="10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2">
        <f>IF(tblOrdenes[[#This Row],[fecha_inicio]]="","",TODAY()-tblOrdenes[[#This Row],[fecha_inicio]])</f>
        <v/>
      </c>
      <c r="AB3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0">
        <f>IF(tblOrdenes[[#This Row],[orden]]="","",_xlfn.XLOOKUP(tblOrdenes[[#This Row],[id_operacion]],tblEjecucion[id_operacion],tblEjecucion[precio],0))</f>
        <v/>
      </c>
      <c r="AJ332" s="10">
        <f>IF(tblOrdenes[[#This Row],[orden]]="","",MAX(0,_xlfn.XLOOKUP(tblOrdenes[[#This Row],[id_operacion]],tblEjecucion[id_operacion],tblEjecucion[costo_plan_total],0)-tblOrdenes[[#This Row],[costo_servicio]]))</f>
        <v/>
      </c>
      <c r="AK332" s="10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2">
        <f>IF(tblOrdenes[[#This Row],[fecha_inicio]]="","",TODAY()-tblOrdenes[[#This Row],[fecha_inicio]])</f>
        <v/>
      </c>
      <c r="AB3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0">
        <f>IF(tblOrdenes[[#This Row],[orden]]="","",_xlfn.XLOOKUP(tblOrdenes[[#This Row],[id_operacion]],tblEjecucion[id_operacion],tblEjecucion[precio],0))</f>
        <v/>
      </c>
      <c r="AJ333" s="10">
        <f>IF(tblOrdenes[[#This Row],[orden]]="","",MAX(0,_xlfn.XLOOKUP(tblOrdenes[[#This Row],[id_operacion]],tblEjecucion[id_operacion],tblEjecucion[costo_plan_total],0)-tblOrdenes[[#This Row],[costo_servicio]]))</f>
        <v/>
      </c>
      <c r="AK333" s="10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2">
        <f>IF(tblOrdenes[[#This Row],[fecha_inicio]]="","",TODAY()-tblOrdenes[[#This Row],[fecha_inicio]])</f>
        <v/>
      </c>
      <c r="AB3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0">
        <f>IF(tblOrdenes[[#This Row],[orden]]="","",_xlfn.XLOOKUP(tblOrdenes[[#This Row],[id_operacion]],tblEjecucion[id_operacion],tblEjecucion[precio],0))</f>
        <v/>
      </c>
      <c r="AJ334" s="10">
        <f>IF(tblOrdenes[[#This Row],[orden]]="","",MAX(0,_xlfn.XLOOKUP(tblOrdenes[[#This Row],[id_operacion]],tblEjecucion[id_operacion],tblEjecucion[costo_plan_total],0)-tblOrdenes[[#This Row],[costo_servicio]]))</f>
        <v/>
      </c>
      <c r="AK334" s="10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2">
        <f>IF(tblOrdenes[[#This Row],[fecha_inicio]]="","",TODAY()-tblOrdenes[[#This Row],[fecha_inicio]])</f>
        <v/>
      </c>
      <c r="AB3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0">
        <f>IF(tblOrdenes[[#This Row],[orden]]="","",_xlfn.XLOOKUP(tblOrdenes[[#This Row],[id_operacion]],tblEjecucion[id_operacion],tblEjecucion[precio],0))</f>
        <v/>
      </c>
      <c r="AJ335" s="10">
        <f>IF(tblOrdenes[[#This Row],[orden]]="","",MAX(0,_xlfn.XLOOKUP(tblOrdenes[[#This Row],[id_operacion]],tblEjecucion[id_operacion],tblEjecucion[costo_plan_total],0)-tblOrdenes[[#This Row],[costo_servicio]]))</f>
        <v/>
      </c>
      <c r="AK335" s="10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2">
        <f>IF(tblOrdenes[[#This Row],[fecha_inicio]]="","",TODAY()-tblOrdenes[[#This Row],[fecha_inicio]])</f>
        <v/>
      </c>
      <c r="AB3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0">
        <f>IF(tblOrdenes[[#This Row],[orden]]="","",_xlfn.XLOOKUP(tblOrdenes[[#This Row],[id_operacion]],tblEjecucion[id_operacion],tblEjecucion[precio],0))</f>
        <v/>
      </c>
      <c r="AJ336" s="10">
        <f>IF(tblOrdenes[[#This Row],[orden]]="","",MAX(0,_xlfn.XLOOKUP(tblOrdenes[[#This Row],[id_operacion]],tblEjecucion[id_operacion],tblEjecucion[costo_plan_total],0)-tblOrdenes[[#This Row],[costo_servicio]]))</f>
        <v/>
      </c>
      <c r="AK336" s="10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2">
        <f>IF(tblOrdenes[[#This Row],[fecha_inicio]]="","",TODAY()-tblOrdenes[[#This Row],[fecha_inicio]])</f>
        <v/>
      </c>
      <c r="AB3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0">
        <f>IF(tblOrdenes[[#This Row],[orden]]="","",_xlfn.XLOOKUP(tblOrdenes[[#This Row],[id_operacion]],tblEjecucion[id_operacion],tblEjecucion[precio],0))</f>
        <v/>
      </c>
      <c r="AJ337" s="10">
        <f>IF(tblOrdenes[[#This Row],[orden]]="","",MAX(0,_xlfn.XLOOKUP(tblOrdenes[[#This Row],[id_operacion]],tblEjecucion[id_operacion],tblEjecucion[costo_plan_total],0)-tblOrdenes[[#This Row],[costo_servicio]]))</f>
        <v/>
      </c>
      <c r="AK337" s="10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2">
        <f>IF(tblOrdenes[[#This Row],[fecha_inicio]]="","",TODAY()-tblOrdenes[[#This Row],[fecha_inicio]])</f>
        <v/>
      </c>
      <c r="AB3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0">
        <f>IF(tblOrdenes[[#This Row],[orden]]="","",_xlfn.XLOOKUP(tblOrdenes[[#This Row],[id_operacion]],tblEjecucion[id_operacion],tblEjecucion[precio],0))</f>
        <v/>
      </c>
      <c r="AJ338" s="10">
        <f>IF(tblOrdenes[[#This Row],[orden]]="","",MAX(0,_xlfn.XLOOKUP(tblOrdenes[[#This Row],[id_operacion]],tblEjecucion[id_operacion],tblEjecucion[costo_plan_total],0)-tblOrdenes[[#This Row],[costo_servicio]]))</f>
        <v/>
      </c>
      <c r="AK338" s="10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2">
        <f>IF(tblOrdenes[[#This Row],[fecha_inicio]]="","",TODAY()-tblOrdenes[[#This Row],[fecha_inicio]])</f>
        <v/>
      </c>
      <c r="AB3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0">
        <f>IF(tblOrdenes[[#This Row],[orden]]="","",_xlfn.XLOOKUP(tblOrdenes[[#This Row],[id_operacion]],tblEjecucion[id_operacion],tblEjecucion[precio],0))</f>
        <v/>
      </c>
      <c r="AJ339" s="10">
        <f>IF(tblOrdenes[[#This Row],[orden]]="","",MAX(0,_xlfn.XLOOKUP(tblOrdenes[[#This Row],[id_operacion]],tblEjecucion[id_operacion],tblEjecucion[costo_plan_total],0)-tblOrdenes[[#This Row],[costo_servicio]]))</f>
        <v/>
      </c>
      <c r="AK339" s="10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2">
        <f>IF(tblOrdenes[[#This Row],[fecha_inicio]]="","",TODAY()-tblOrdenes[[#This Row],[fecha_inicio]])</f>
        <v/>
      </c>
      <c r="AB3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0">
        <f>IF(tblOrdenes[[#This Row],[orden]]="","",_xlfn.XLOOKUP(tblOrdenes[[#This Row],[id_operacion]],tblEjecucion[id_operacion],tblEjecucion[precio],0))</f>
        <v/>
      </c>
      <c r="AJ340" s="10">
        <f>IF(tblOrdenes[[#This Row],[orden]]="","",MAX(0,_xlfn.XLOOKUP(tblOrdenes[[#This Row],[id_operacion]],tblEjecucion[id_operacion],tblEjecucion[costo_plan_total],0)-tblOrdenes[[#This Row],[costo_servicio]]))</f>
        <v/>
      </c>
      <c r="AK340" s="10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2">
        <f>IF(tblOrdenes[[#This Row],[fecha_inicio]]="","",TODAY()-tblOrdenes[[#This Row],[fecha_inicio]])</f>
        <v/>
      </c>
      <c r="AB3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0">
        <f>IF(tblOrdenes[[#This Row],[orden]]="","",_xlfn.XLOOKUP(tblOrdenes[[#This Row],[id_operacion]],tblEjecucion[id_operacion],tblEjecucion[precio],0))</f>
        <v/>
      </c>
      <c r="AJ341" s="10">
        <f>IF(tblOrdenes[[#This Row],[orden]]="","",MAX(0,_xlfn.XLOOKUP(tblOrdenes[[#This Row],[id_operacion]],tblEjecucion[id_operacion],tblEjecucion[costo_plan_total],0)-tblOrdenes[[#This Row],[costo_servicio]]))</f>
        <v/>
      </c>
      <c r="AK341" s="10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2">
        <f>IF(tblOrdenes[[#This Row],[fecha_inicio]]="","",TODAY()-tblOrdenes[[#This Row],[fecha_inicio]])</f>
        <v/>
      </c>
      <c r="AB3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0">
        <f>IF(tblOrdenes[[#This Row],[orden]]="","",_xlfn.XLOOKUP(tblOrdenes[[#This Row],[id_operacion]],tblEjecucion[id_operacion],tblEjecucion[precio],0))</f>
        <v/>
      </c>
      <c r="AJ342" s="10">
        <f>IF(tblOrdenes[[#This Row],[orden]]="","",MAX(0,_xlfn.XLOOKUP(tblOrdenes[[#This Row],[id_operacion]],tblEjecucion[id_operacion],tblEjecucion[costo_plan_total],0)-tblOrdenes[[#This Row],[costo_servicio]]))</f>
        <v/>
      </c>
      <c r="AK342" s="10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2">
        <f>IF(tblOrdenes[[#This Row],[fecha_inicio]]="","",TODAY()-tblOrdenes[[#This Row],[fecha_inicio]])</f>
        <v/>
      </c>
      <c r="AB3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0">
        <f>IF(tblOrdenes[[#This Row],[orden]]="","",_xlfn.XLOOKUP(tblOrdenes[[#This Row],[id_operacion]],tblEjecucion[id_operacion],tblEjecucion[precio],0))</f>
        <v/>
      </c>
      <c r="AJ343" s="10">
        <f>IF(tblOrdenes[[#This Row],[orden]]="","",MAX(0,_xlfn.XLOOKUP(tblOrdenes[[#This Row],[id_operacion]],tblEjecucion[id_operacion],tblEjecucion[costo_plan_total],0)-tblOrdenes[[#This Row],[costo_servicio]]))</f>
        <v/>
      </c>
      <c r="AK343" s="10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2">
        <f>IF(tblOrdenes[[#This Row],[fecha_inicio]]="","",TODAY()-tblOrdenes[[#This Row],[fecha_inicio]])</f>
        <v/>
      </c>
      <c r="AB3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0">
        <f>IF(tblOrdenes[[#This Row],[orden]]="","",_xlfn.XLOOKUP(tblOrdenes[[#This Row],[id_operacion]],tblEjecucion[id_operacion],tblEjecucion[precio],0))</f>
        <v/>
      </c>
      <c r="AJ344" s="10">
        <f>IF(tblOrdenes[[#This Row],[orden]]="","",MAX(0,_xlfn.XLOOKUP(tblOrdenes[[#This Row],[id_operacion]],tblEjecucion[id_operacion],tblEjecucion[costo_plan_total],0)-tblOrdenes[[#This Row],[costo_servicio]]))</f>
        <v/>
      </c>
      <c r="AK344" s="10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2">
        <f>IF(tblOrdenes[[#This Row],[fecha_inicio]]="","",TODAY()-tblOrdenes[[#This Row],[fecha_inicio]])</f>
        <v/>
      </c>
      <c r="AB3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0">
        <f>IF(tblOrdenes[[#This Row],[orden]]="","",_xlfn.XLOOKUP(tblOrdenes[[#This Row],[id_operacion]],tblEjecucion[id_operacion],tblEjecucion[precio],0))</f>
        <v/>
      </c>
      <c r="AJ345" s="10">
        <f>IF(tblOrdenes[[#This Row],[orden]]="","",MAX(0,_xlfn.XLOOKUP(tblOrdenes[[#This Row],[id_operacion]],tblEjecucion[id_operacion],tblEjecucion[costo_plan_total],0)-tblOrdenes[[#This Row],[costo_servicio]]))</f>
        <v/>
      </c>
      <c r="AK345" s="10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2">
        <f>IF(tblOrdenes[[#This Row],[fecha_inicio]]="","",TODAY()-tblOrdenes[[#This Row],[fecha_inicio]])</f>
        <v/>
      </c>
      <c r="AB3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0">
        <f>IF(tblOrdenes[[#This Row],[orden]]="","",_xlfn.XLOOKUP(tblOrdenes[[#This Row],[id_operacion]],tblEjecucion[id_operacion],tblEjecucion[precio],0))</f>
        <v/>
      </c>
      <c r="AJ346" s="10">
        <f>IF(tblOrdenes[[#This Row],[orden]]="","",MAX(0,_xlfn.XLOOKUP(tblOrdenes[[#This Row],[id_operacion]],tblEjecucion[id_operacion],tblEjecucion[costo_plan_total],0)-tblOrdenes[[#This Row],[costo_servicio]]))</f>
        <v/>
      </c>
      <c r="AK346" s="10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2">
        <f>IF(tblOrdenes[[#This Row],[fecha_inicio]]="","",TODAY()-tblOrdenes[[#This Row],[fecha_inicio]])</f>
        <v/>
      </c>
      <c r="AB3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0">
        <f>IF(tblOrdenes[[#This Row],[orden]]="","",_xlfn.XLOOKUP(tblOrdenes[[#This Row],[id_operacion]],tblEjecucion[id_operacion],tblEjecucion[precio],0))</f>
        <v/>
      </c>
      <c r="AJ347" s="10">
        <f>IF(tblOrdenes[[#This Row],[orden]]="","",MAX(0,_xlfn.XLOOKUP(tblOrdenes[[#This Row],[id_operacion]],tblEjecucion[id_operacion],tblEjecucion[costo_plan_total],0)-tblOrdenes[[#This Row],[costo_servicio]]))</f>
        <v/>
      </c>
      <c r="AK347" s="10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2">
        <f>IF(tblOrdenes[[#This Row],[fecha_inicio]]="","",TODAY()-tblOrdenes[[#This Row],[fecha_inicio]])</f>
        <v/>
      </c>
      <c r="AB3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0">
        <f>IF(tblOrdenes[[#This Row],[orden]]="","",_xlfn.XLOOKUP(tblOrdenes[[#This Row],[id_operacion]],tblEjecucion[id_operacion],tblEjecucion[precio],0))</f>
        <v/>
      </c>
      <c r="AJ348" s="10">
        <f>IF(tblOrdenes[[#This Row],[orden]]="","",MAX(0,_xlfn.XLOOKUP(tblOrdenes[[#This Row],[id_operacion]],tblEjecucion[id_operacion],tblEjecucion[costo_plan_total],0)-tblOrdenes[[#This Row],[costo_servicio]]))</f>
        <v/>
      </c>
      <c r="AK348" s="10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2">
        <f>IF(tblOrdenes[[#This Row],[fecha_inicio]]="","",TODAY()-tblOrdenes[[#This Row],[fecha_inicio]])</f>
        <v/>
      </c>
      <c r="AB3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0">
        <f>IF(tblOrdenes[[#This Row],[orden]]="","",_xlfn.XLOOKUP(tblOrdenes[[#This Row],[id_operacion]],tblEjecucion[id_operacion],tblEjecucion[precio],0))</f>
        <v/>
      </c>
      <c r="AJ349" s="10">
        <f>IF(tblOrdenes[[#This Row],[orden]]="","",MAX(0,_xlfn.XLOOKUP(tblOrdenes[[#This Row],[id_operacion]],tblEjecucion[id_operacion],tblEjecucion[costo_plan_total],0)-tblOrdenes[[#This Row],[costo_servicio]]))</f>
        <v/>
      </c>
      <c r="AK349" s="10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2">
        <f>IF(tblOrdenes[[#This Row],[fecha_inicio]]="","",TODAY()-tblOrdenes[[#This Row],[fecha_inicio]])</f>
        <v/>
      </c>
      <c r="AB3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0">
        <f>IF(tblOrdenes[[#This Row],[orden]]="","",_xlfn.XLOOKUP(tblOrdenes[[#This Row],[id_operacion]],tblEjecucion[id_operacion],tblEjecucion[precio],0))</f>
        <v/>
      </c>
      <c r="AJ350" s="10">
        <f>IF(tblOrdenes[[#This Row],[orden]]="","",MAX(0,_xlfn.XLOOKUP(tblOrdenes[[#This Row],[id_operacion]],tblEjecucion[id_operacion],tblEjecucion[costo_plan_total],0)-tblOrdenes[[#This Row],[costo_servicio]]))</f>
        <v/>
      </c>
      <c r="AK350" s="10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2">
        <f>IF(tblOrdenes[[#This Row],[fecha_inicio]]="","",TODAY()-tblOrdenes[[#This Row],[fecha_inicio]])</f>
        <v/>
      </c>
      <c r="AB3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0">
        <f>IF(tblOrdenes[[#This Row],[orden]]="","",_xlfn.XLOOKUP(tblOrdenes[[#This Row],[id_operacion]],tblEjecucion[id_operacion],tblEjecucion[precio],0))</f>
        <v/>
      </c>
      <c r="AJ351" s="10">
        <f>IF(tblOrdenes[[#This Row],[orden]]="","",MAX(0,_xlfn.XLOOKUP(tblOrdenes[[#This Row],[id_operacion]],tblEjecucion[id_operacion],tblEjecucion[costo_plan_total],0)-tblOrdenes[[#This Row],[costo_servicio]]))</f>
        <v/>
      </c>
      <c r="AK351" s="10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2">
        <f>IF(tblOrdenes[[#This Row],[fecha_inicio]]="","",TODAY()-tblOrdenes[[#This Row],[fecha_inicio]])</f>
        <v/>
      </c>
      <c r="AB3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0">
        <f>IF(tblOrdenes[[#This Row],[orden]]="","",_xlfn.XLOOKUP(tblOrdenes[[#This Row],[id_operacion]],tblEjecucion[id_operacion],tblEjecucion[precio],0))</f>
        <v/>
      </c>
      <c r="AJ352" s="10">
        <f>IF(tblOrdenes[[#This Row],[orden]]="","",MAX(0,_xlfn.XLOOKUP(tblOrdenes[[#This Row],[id_operacion]],tblEjecucion[id_operacion],tblEjecucion[costo_plan_total],0)-tblOrdenes[[#This Row],[costo_servicio]]))</f>
        <v/>
      </c>
      <c r="AK352" s="10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2">
        <f>IF(tblOrdenes[[#This Row],[fecha_inicio]]="","",TODAY()-tblOrdenes[[#This Row],[fecha_inicio]])</f>
        <v/>
      </c>
      <c r="AB3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0">
        <f>IF(tblOrdenes[[#This Row],[orden]]="","",_xlfn.XLOOKUP(tblOrdenes[[#This Row],[id_operacion]],tblEjecucion[id_operacion],tblEjecucion[precio],0))</f>
        <v/>
      </c>
      <c r="AJ353" s="10">
        <f>IF(tblOrdenes[[#This Row],[orden]]="","",MAX(0,_xlfn.XLOOKUP(tblOrdenes[[#This Row],[id_operacion]],tblEjecucion[id_operacion],tblEjecucion[costo_plan_total],0)-tblOrdenes[[#This Row],[costo_servicio]]))</f>
        <v/>
      </c>
      <c r="AK353" s="10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2">
        <f>IF(tblOrdenes[[#This Row],[fecha_inicio]]="","",TODAY()-tblOrdenes[[#This Row],[fecha_inicio]])</f>
        <v/>
      </c>
      <c r="AB3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0">
        <f>IF(tblOrdenes[[#This Row],[orden]]="","",_xlfn.XLOOKUP(tblOrdenes[[#This Row],[id_operacion]],tblEjecucion[id_operacion],tblEjecucion[precio],0))</f>
        <v/>
      </c>
      <c r="AJ354" s="10">
        <f>IF(tblOrdenes[[#This Row],[orden]]="","",MAX(0,_xlfn.XLOOKUP(tblOrdenes[[#This Row],[id_operacion]],tblEjecucion[id_operacion],tblEjecucion[costo_plan_total],0)-tblOrdenes[[#This Row],[costo_servicio]]))</f>
        <v/>
      </c>
      <c r="AK354" s="10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2">
        <f>IF(tblOrdenes[[#This Row],[fecha_inicio]]="","",TODAY()-tblOrdenes[[#This Row],[fecha_inicio]])</f>
        <v/>
      </c>
      <c r="AB3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0">
        <f>IF(tblOrdenes[[#This Row],[orden]]="","",_xlfn.XLOOKUP(tblOrdenes[[#This Row],[id_operacion]],tblEjecucion[id_operacion],tblEjecucion[precio],0))</f>
        <v/>
      </c>
      <c r="AJ355" s="10">
        <f>IF(tblOrdenes[[#This Row],[orden]]="","",MAX(0,_xlfn.XLOOKUP(tblOrdenes[[#This Row],[id_operacion]],tblEjecucion[id_operacion],tblEjecucion[costo_plan_total],0)-tblOrdenes[[#This Row],[costo_servicio]]))</f>
        <v/>
      </c>
      <c r="AK355" s="10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2">
        <f>IF(tblOrdenes[[#This Row],[fecha_inicio]]="","",TODAY()-tblOrdenes[[#This Row],[fecha_inicio]])</f>
        <v/>
      </c>
      <c r="AB3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0">
        <f>IF(tblOrdenes[[#This Row],[orden]]="","",_xlfn.XLOOKUP(tblOrdenes[[#This Row],[id_operacion]],tblEjecucion[id_operacion],tblEjecucion[precio],0))</f>
        <v/>
      </c>
      <c r="AJ356" s="10">
        <f>IF(tblOrdenes[[#This Row],[orden]]="","",MAX(0,_xlfn.XLOOKUP(tblOrdenes[[#This Row],[id_operacion]],tblEjecucion[id_operacion],tblEjecucion[costo_plan_total],0)-tblOrdenes[[#This Row],[costo_servicio]]))</f>
        <v/>
      </c>
      <c r="AK356" s="10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2">
        <f>IF(tblOrdenes[[#This Row],[fecha_inicio]]="","",TODAY()-tblOrdenes[[#This Row],[fecha_inicio]])</f>
        <v/>
      </c>
      <c r="AB3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0">
        <f>IF(tblOrdenes[[#This Row],[orden]]="","",_xlfn.XLOOKUP(tblOrdenes[[#This Row],[id_operacion]],tblEjecucion[id_operacion],tblEjecucion[precio],0))</f>
        <v/>
      </c>
      <c r="AJ357" s="10">
        <f>IF(tblOrdenes[[#This Row],[orden]]="","",MAX(0,_xlfn.XLOOKUP(tblOrdenes[[#This Row],[id_operacion]],tblEjecucion[id_operacion],tblEjecucion[costo_plan_total],0)-tblOrdenes[[#This Row],[costo_servicio]]))</f>
        <v/>
      </c>
      <c r="AK357" s="10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2">
        <f>IF(tblOrdenes[[#This Row],[fecha_inicio]]="","",TODAY()-tblOrdenes[[#This Row],[fecha_inicio]])</f>
        <v/>
      </c>
      <c r="AB3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0">
        <f>IF(tblOrdenes[[#This Row],[orden]]="","",_xlfn.XLOOKUP(tblOrdenes[[#This Row],[id_operacion]],tblEjecucion[id_operacion],tblEjecucion[precio],0))</f>
        <v/>
      </c>
      <c r="AJ358" s="10">
        <f>IF(tblOrdenes[[#This Row],[orden]]="","",MAX(0,_xlfn.XLOOKUP(tblOrdenes[[#This Row],[id_operacion]],tblEjecucion[id_operacion],tblEjecucion[costo_plan_total],0)-tblOrdenes[[#This Row],[costo_servicio]]))</f>
        <v/>
      </c>
      <c r="AK358" s="10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2">
        <f>IF(tblOrdenes[[#This Row],[fecha_inicio]]="","",TODAY()-tblOrdenes[[#This Row],[fecha_inicio]])</f>
        <v/>
      </c>
      <c r="AB3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0">
        <f>IF(tblOrdenes[[#This Row],[orden]]="","",_xlfn.XLOOKUP(tblOrdenes[[#This Row],[id_operacion]],tblEjecucion[id_operacion],tblEjecucion[precio],0))</f>
        <v/>
      </c>
      <c r="AJ359" s="10">
        <f>IF(tblOrdenes[[#This Row],[orden]]="","",MAX(0,_xlfn.XLOOKUP(tblOrdenes[[#This Row],[id_operacion]],tblEjecucion[id_operacion],tblEjecucion[costo_plan_total],0)-tblOrdenes[[#This Row],[costo_servicio]]))</f>
        <v/>
      </c>
      <c r="AK359" s="10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2">
        <f>IF(tblOrdenes[[#This Row],[fecha_inicio]]="","",TODAY()-tblOrdenes[[#This Row],[fecha_inicio]])</f>
        <v/>
      </c>
      <c r="AB3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0">
        <f>IF(tblOrdenes[[#This Row],[orden]]="","",_xlfn.XLOOKUP(tblOrdenes[[#This Row],[id_operacion]],tblEjecucion[id_operacion],tblEjecucion[precio],0))</f>
        <v/>
      </c>
      <c r="AJ360" s="10">
        <f>IF(tblOrdenes[[#This Row],[orden]]="","",MAX(0,_xlfn.XLOOKUP(tblOrdenes[[#This Row],[id_operacion]],tblEjecucion[id_operacion],tblEjecucion[costo_plan_total],0)-tblOrdenes[[#This Row],[costo_servicio]]))</f>
        <v/>
      </c>
      <c r="AK360" s="10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2">
        <f>IF(tblOrdenes[[#This Row],[fecha_inicio]]="","",TODAY()-tblOrdenes[[#This Row],[fecha_inicio]])</f>
        <v/>
      </c>
      <c r="AB3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0">
        <f>IF(tblOrdenes[[#This Row],[orden]]="","",_xlfn.XLOOKUP(tblOrdenes[[#This Row],[id_operacion]],tblEjecucion[id_operacion],tblEjecucion[precio],0))</f>
        <v/>
      </c>
      <c r="AJ361" s="10">
        <f>IF(tblOrdenes[[#This Row],[orden]]="","",MAX(0,_xlfn.XLOOKUP(tblOrdenes[[#This Row],[id_operacion]],tblEjecucion[id_operacion],tblEjecucion[costo_plan_total],0)-tblOrdenes[[#This Row],[costo_servicio]]))</f>
        <v/>
      </c>
      <c r="AK361" s="10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2">
        <f>IF(tblOrdenes[[#This Row],[fecha_inicio]]="","",TODAY()-tblOrdenes[[#This Row],[fecha_inicio]])</f>
        <v/>
      </c>
      <c r="AB3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0">
        <f>IF(tblOrdenes[[#This Row],[orden]]="","",_xlfn.XLOOKUP(tblOrdenes[[#This Row],[id_operacion]],tblEjecucion[id_operacion],tblEjecucion[precio],0))</f>
        <v/>
      </c>
      <c r="AJ362" s="10">
        <f>IF(tblOrdenes[[#This Row],[orden]]="","",MAX(0,_xlfn.XLOOKUP(tblOrdenes[[#This Row],[id_operacion]],tblEjecucion[id_operacion],tblEjecucion[costo_plan_total],0)-tblOrdenes[[#This Row],[costo_servicio]]))</f>
        <v/>
      </c>
      <c r="AK362" s="10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2">
        <f>IF(tblOrdenes[[#This Row],[fecha_inicio]]="","",TODAY()-tblOrdenes[[#This Row],[fecha_inicio]])</f>
        <v/>
      </c>
      <c r="AB3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0">
        <f>IF(tblOrdenes[[#This Row],[orden]]="","",_xlfn.XLOOKUP(tblOrdenes[[#This Row],[id_operacion]],tblEjecucion[id_operacion],tblEjecucion[precio],0))</f>
        <v/>
      </c>
      <c r="AJ363" s="10">
        <f>IF(tblOrdenes[[#This Row],[orden]]="","",MAX(0,_xlfn.XLOOKUP(tblOrdenes[[#This Row],[id_operacion]],tblEjecucion[id_operacion],tblEjecucion[costo_plan_total],0)-tblOrdenes[[#This Row],[costo_servicio]]))</f>
        <v/>
      </c>
      <c r="AK363" s="10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2">
        <f>IF(tblOrdenes[[#This Row],[fecha_inicio]]="","",TODAY()-tblOrdenes[[#This Row],[fecha_inicio]])</f>
        <v/>
      </c>
      <c r="AB3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0">
        <f>IF(tblOrdenes[[#This Row],[orden]]="","",_xlfn.XLOOKUP(tblOrdenes[[#This Row],[id_operacion]],tblEjecucion[id_operacion],tblEjecucion[precio],0))</f>
        <v/>
      </c>
      <c r="AJ364" s="10">
        <f>IF(tblOrdenes[[#This Row],[orden]]="","",MAX(0,_xlfn.XLOOKUP(tblOrdenes[[#This Row],[id_operacion]],tblEjecucion[id_operacion],tblEjecucion[costo_plan_total],0)-tblOrdenes[[#This Row],[costo_servicio]]))</f>
        <v/>
      </c>
      <c r="AK364" s="10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2">
        <f>IF(tblOrdenes[[#This Row],[fecha_inicio]]="","",TODAY()-tblOrdenes[[#This Row],[fecha_inicio]])</f>
        <v/>
      </c>
      <c r="AB3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0">
        <f>IF(tblOrdenes[[#This Row],[orden]]="","",_xlfn.XLOOKUP(tblOrdenes[[#This Row],[id_operacion]],tblEjecucion[id_operacion],tblEjecucion[precio],0))</f>
        <v/>
      </c>
      <c r="AJ365" s="10">
        <f>IF(tblOrdenes[[#This Row],[orden]]="","",MAX(0,_xlfn.XLOOKUP(tblOrdenes[[#This Row],[id_operacion]],tblEjecucion[id_operacion],tblEjecucion[costo_plan_total],0)-tblOrdenes[[#This Row],[costo_servicio]]))</f>
        <v/>
      </c>
      <c r="AK365" s="10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2">
        <f>IF(tblOrdenes[[#This Row],[fecha_inicio]]="","",TODAY()-tblOrdenes[[#This Row],[fecha_inicio]])</f>
        <v/>
      </c>
      <c r="AB3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0">
        <f>IF(tblOrdenes[[#This Row],[orden]]="","",_xlfn.XLOOKUP(tblOrdenes[[#This Row],[id_operacion]],tblEjecucion[id_operacion],tblEjecucion[precio],0))</f>
        <v/>
      </c>
      <c r="AJ366" s="10">
        <f>IF(tblOrdenes[[#This Row],[orden]]="","",MAX(0,_xlfn.XLOOKUP(tblOrdenes[[#This Row],[id_operacion]],tblEjecucion[id_operacion],tblEjecucion[costo_plan_total],0)-tblOrdenes[[#This Row],[costo_servicio]]))</f>
        <v/>
      </c>
      <c r="AK366" s="10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2">
        <f>IF(tblOrdenes[[#This Row],[fecha_inicio]]="","",TODAY()-tblOrdenes[[#This Row],[fecha_inicio]])</f>
        <v/>
      </c>
      <c r="AB3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0">
        <f>IF(tblOrdenes[[#This Row],[orden]]="","",_xlfn.XLOOKUP(tblOrdenes[[#This Row],[id_operacion]],tblEjecucion[id_operacion],tblEjecucion[precio],0))</f>
        <v/>
      </c>
      <c r="AJ367" s="10">
        <f>IF(tblOrdenes[[#This Row],[orden]]="","",MAX(0,_xlfn.XLOOKUP(tblOrdenes[[#This Row],[id_operacion]],tblEjecucion[id_operacion],tblEjecucion[costo_plan_total],0)-tblOrdenes[[#This Row],[costo_servicio]]))</f>
        <v/>
      </c>
      <c r="AK367" s="10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2">
        <f>IF(tblOrdenes[[#This Row],[fecha_inicio]]="","",TODAY()-tblOrdenes[[#This Row],[fecha_inicio]])</f>
        <v/>
      </c>
      <c r="AB3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0">
        <f>IF(tblOrdenes[[#This Row],[orden]]="","",_xlfn.XLOOKUP(tblOrdenes[[#This Row],[id_operacion]],tblEjecucion[id_operacion],tblEjecucion[precio],0))</f>
        <v/>
      </c>
      <c r="AJ368" s="10">
        <f>IF(tblOrdenes[[#This Row],[orden]]="","",MAX(0,_xlfn.XLOOKUP(tblOrdenes[[#This Row],[id_operacion]],tblEjecucion[id_operacion],tblEjecucion[costo_plan_total],0)-tblOrdenes[[#This Row],[costo_servicio]]))</f>
        <v/>
      </c>
      <c r="AK368" s="10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2">
        <f>IF(tblOrdenes[[#This Row],[fecha_inicio]]="","",TODAY()-tblOrdenes[[#This Row],[fecha_inicio]])</f>
        <v/>
      </c>
      <c r="AB3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0">
        <f>IF(tblOrdenes[[#This Row],[orden]]="","",_xlfn.XLOOKUP(tblOrdenes[[#This Row],[id_operacion]],tblEjecucion[id_operacion],tblEjecucion[precio],0))</f>
        <v/>
      </c>
      <c r="AJ369" s="10">
        <f>IF(tblOrdenes[[#This Row],[orden]]="","",MAX(0,_xlfn.XLOOKUP(tblOrdenes[[#This Row],[id_operacion]],tblEjecucion[id_operacion],tblEjecucion[costo_plan_total],0)-tblOrdenes[[#This Row],[costo_servicio]]))</f>
        <v/>
      </c>
      <c r="AK369" s="10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2">
        <f>IF(tblOrdenes[[#This Row],[fecha_inicio]]="","",TODAY()-tblOrdenes[[#This Row],[fecha_inicio]])</f>
        <v/>
      </c>
      <c r="AB3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0">
        <f>IF(tblOrdenes[[#This Row],[orden]]="","",_xlfn.XLOOKUP(tblOrdenes[[#This Row],[id_operacion]],tblEjecucion[id_operacion],tblEjecucion[precio],0))</f>
        <v/>
      </c>
      <c r="AJ370" s="10">
        <f>IF(tblOrdenes[[#This Row],[orden]]="","",MAX(0,_xlfn.XLOOKUP(tblOrdenes[[#This Row],[id_operacion]],tblEjecucion[id_operacion],tblEjecucion[costo_plan_total],0)-tblOrdenes[[#This Row],[costo_servicio]]))</f>
        <v/>
      </c>
      <c r="AK370" s="10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2">
        <f>IF(tblOrdenes[[#This Row],[fecha_inicio]]="","",TODAY()-tblOrdenes[[#This Row],[fecha_inicio]])</f>
        <v/>
      </c>
      <c r="AB3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0">
        <f>IF(tblOrdenes[[#This Row],[orden]]="","",_xlfn.XLOOKUP(tblOrdenes[[#This Row],[id_operacion]],tblEjecucion[id_operacion],tblEjecucion[precio],0))</f>
        <v/>
      </c>
      <c r="AJ371" s="10">
        <f>IF(tblOrdenes[[#This Row],[orden]]="","",MAX(0,_xlfn.XLOOKUP(tblOrdenes[[#This Row],[id_operacion]],tblEjecucion[id_operacion],tblEjecucion[costo_plan_total],0)-tblOrdenes[[#This Row],[costo_servicio]]))</f>
        <v/>
      </c>
      <c r="AK371" s="10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2">
        <f>IF(tblOrdenes[[#This Row],[fecha_inicio]]="","",TODAY()-tblOrdenes[[#This Row],[fecha_inicio]])</f>
        <v/>
      </c>
      <c r="AB3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0">
        <f>IF(tblOrdenes[[#This Row],[orden]]="","",_xlfn.XLOOKUP(tblOrdenes[[#This Row],[id_operacion]],tblEjecucion[id_operacion],tblEjecucion[precio],0))</f>
        <v/>
      </c>
      <c r="AJ372" s="10">
        <f>IF(tblOrdenes[[#This Row],[orden]]="","",MAX(0,_xlfn.XLOOKUP(tblOrdenes[[#This Row],[id_operacion]],tblEjecucion[id_operacion],tblEjecucion[costo_plan_total],0)-tblOrdenes[[#This Row],[costo_servicio]]))</f>
        <v/>
      </c>
      <c r="AK372" s="10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2">
        <f>IF(tblOrdenes[[#This Row],[fecha_inicio]]="","",TODAY()-tblOrdenes[[#This Row],[fecha_inicio]])</f>
        <v/>
      </c>
      <c r="AB3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0">
        <f>IF(tblOrdenes[[#This Row],[orden]]="","",_xlfn.XLOOKUP(tblOrdenes[[#This Row],[id_operacion]],tblEjecucion[id_operacion],tblEjecucion[precio],0))</f>
        <v/>
      </c>
      <c r="AJ373" s="10">
        <f>IF(tblOrdenes[[#This Row],[orden]]="","",MAX(0,_xlfn.XLOOKUP(tblOrdenes[[#This Row],[id_operacion]],tblEjecucion[id_operacion],tblEjecucion[costo_plan_total],0)-tblOrdenes[[#This Row],[costo_servicio]]))</f>
        <v/>
      </c>
      <c r="AK373" s="10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2">
        <f>IF(tblOrdenes[[#This Row],[fecha_inicio]]="","",TODAY()-tblOrdenes[[#This Row],[fecha_inicio]])</f>
        <v/>
      </c>
      <c r="AB3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0">
        <f>IF(tblOrdenes[[#This Row],[orden]]="","",_xlfn.XLOOKUP(tblOrdenes[[#This Row],[id_operacion]],tblEjecucion[id_operacion],tblEjecucion[precio],0))</f>
        <v/>
      </c>
      <c r="AJ374" s="10">
        <f>IF(tblOrdenes[[#This Row],[orden]]="","",MAX(0,_xlfn.XLOOKUP(tblOrdenes[[#This Row],[id_operacion]],tblEjecucion[id_operacion],tblEjecucion[costo_plan_total],0)-tblOrdenes[[#This Row],[costo_servicio]]))</f>
        <v/>
      </c>
      <c r="AK374" s="10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2">
        <f>IF(tblOrdenes[[#This Row],[fecha_inicio]]="","",TODAY()-tblOrdenes[[#This Row],[fecha_inicio]])</f>
        <v/>
      </c>
      <c r="AB3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0">
        <f>IF(tblOrdenes[[#This Row],[orden]]="","",_xlfn.XLOOKUP(tblOrdenes[[#This Row],[id_operacion]],tblEjecucion[id_operacion],tblEjecucion[precio],0))</f>
        <v/>
      </c>
      <c r="AJ375" s="10">
        <f>IF(tblOrdenes[[#This Row],[orden]]="","",MAX(0,_xlfn.XLOOKUP(tblOrdenes[[#This Row],[id_operacion]],tblEjecucion[id_operacion],tblEjecucion[costo_plan_total],0)-tblOrdenes[[#This Row],[costo_servicio]]))</f>
        <v/>
      </c>
      <c r="AK375" s="10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2">
        <f>IF(tblOrdenes[[#This Row],[fecha_inicio]]="","",TODAY()-tblOrdenes[[#This Row],[fecha_inicio]])</f>
        <v/>
      </c>
      <c r="AB3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0">
        <f>IF(tblOrdenes[[#This Row],[orden]]="","",_xlfn.XLOOKUP(tblOrdenes[[#This Row],[id_operacion]],tblEjecucion[id_operacion],tblEjecucion[precio],0))</f>
        <v/>
      </c>
      <c r="AJ376" s="10">
        <f>IF(tblOrdenes[[#This Row],[orden]]="","",MAX(0,_xlfn.XLOOKUP(tblOrdenes[[#This Row],[id_operacion]],tblEjecucion[id_operacion],tblEjecucion[costo_plan_total],0)-tblOrdenes[[#This Row],[costo_servicio]]))</f>
        <v/>
      </c>
      <c r="AK376" s="10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2">
        <f>IF(tblOrdenes[[#This Row],[fecha_inicio]]="","",TODAY()-tblOrdenes[[#This Row],[fecha_inicio]])</f>
        <v/>
      </c>
      <c r="AB3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0">
        <f>IF(tblOrdenes[[#This Row],[orden]]="","",_xlfn.XLOOKUP(tblOrdenes[[#This Row],[id_operacion]],tblEjecucion[id_operacion],tblEjecucion[precio],0))</f>
        <v/>
      </c>
      <c r="AJ377" s="10">
        <f>IF(tblOrdenes[[#This Row],[orden]]="","",MAX(0,_xlfn.XLOOKUP(tblOrdenes[[#This Row],[id_operacion]],tblEjecucion[id_operacion],tblEjecucion[costo_plan_total],0)-tblOrdenes[[#This Row],[costo_servicio]]))</f>
        <v/>
      </c>
      <c r="AK377" s="10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2">
        <f>IF(tblOrdenes[[#This Row],[fecha_inicio]]="","",TODAY()-tblOrdenes[[#This Row],[fecha_inicio]])</f>
        <v/>
      </c>
      <c r="AB3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0">
        <f>IF(tblOrdenes[[#This Row],[orden]]="","",_xlfn.XLOOKUP(tblOrdenes[[#This Row],[id_operacion]],tblEjecucion[id_operacion],tblEjecucion[precio],0))</f>
        <v/>
      </c>
      <c r="AJ378" s="10">
        <f>IF(tblOrdenes[[#This Row],[orden]]="","",MAX(0,_xlfn.XLOOKUP(tblOrdenes[[#This Row],[id_operacion]],tblEjecucion[id_operacion],tblEjecucion[costo_plan_total],0)-tblOrdenes[[#This Row],[costo_servicio]]))</f>
        <v/>
      </c>
      <c r="AK378" s="10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2">
        <f>IF(tblOrdenes[[#This Row],[fecha_inicio]]="","",TODAY()-tblOrdenes[[#This Row],[fecha_inicio]])</f>
        <v/>
      </c>
      <c r="AB3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0">
        <f>IF(tblOrdenes[[#This Row],[orden]]="","",_xlfn.XLOOKUP(tblOrdenes[[#This Row],[id_operacion]],tblEjecucion[id_operacion],tblEjecucion[precio],0))</f>
        <v/>
      </c>
      <c r="AJ379" s="10">
        <f>IF(tblOrdenes[[#This Row],[orden]]="","",MAX(0,_xlfn.XLOOKUP(tblOrdenes[[#This Row],[id_operacion]],tblEjecucion[id_operacion],tblEjecucion[costo_plan_total],0)-tblOrdenes[[#This Row],[costo_servicio]]))</f>
        <v/>
      </c>
      <c r="AK379" s="10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2">
        <f>IF(tblOrdenes[[#This Row],[fecha_inicio]]="","",TODAY()-tblOrdenes[[#This Row],[fecha_inicio]])</f>
        <v/>
      </c>
      <c r="AB3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0">
        <f>IF(tblOrdenes[[#This Row],[orden]]="","",_xlfn.XLOOKUP(tblOrdenes[[#This Row],[id_operacion]],tblEjecucion[id_operacion],tblEjecucion[precio],0))</f>
        <v/>
      </c>
      <c r="AJ380" s="10">
        <f>IF(tblOrdenes[[#This Row],[orden]]="","",MAX(0,_xlfn.XLOOKUP(tblOrdenes[[#This Row],[id_operacion]],tblEjecucion[id_operacion],tblEjecucion[costo_plan_total],0)-tblOrdenes[[#This Row],[costo_servicio]]))</f>
        <v/>
      </c>
      <c r="AK380" s="10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2">
        <f>IF(tblOrdenes[[#This Row],[fecha_inicio]]="","",TODAY()-tblOrdenes[[#This Row],[fecha_inicio]])</f>
        <v/>
      </c>
      <c r="AB3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0">
        <f>IF(tblOrdenes[[#This Row],[orden]]="","",_xlfn.XLOOKUP(tblOrdenes[[#This Row],[id_operacion]],tblEjecucion[id_operacion],tblEjecucion[precio],0))</f>
        <v/>
      </c>
      <c r="AJ381" s="10">
        <f>IF(tblOrdenes[[#This Row],[orden]]="","",MAX(0,_xlfn.XLOOKUP(tblOrdenes[[#This Row],[id_operacion]],tblEjecucion[id_operacion],tblEjecucion[costo_plan_total],0)-tblOrdenes[[#This Row],[costo_servicio]]))</f>
        <v/>
      </c>
      <c r="AK381" s="10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2">
        <f>IF(tblOrdenes[[#This Row],[fecha_inicio]]="","",TODAY()-tblOrdenes[[#This Row],[fecha_inicio]])</f>
        <v/>
      </c>
      <c r="AB3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0">
        <f>IF(tblOrdenes[[#This Row],[orden]]="","",_xlfn.XLOOKUP(tblOrdenes[[#This Row],[id_operacion]],tblEjecucion[id_operacion],tblEjecucion[precio],0))</f>
        <v/>
      </c>
      <c r="AJ382" s="10">
        <f>IF(tblOrdenes[[#This Row],[orden]]="","",MAX(0,_xlfn.XLOOKUP(tblOrdenes[[#This Row],[id_operacion]],tblEjecucion[id_operacion],tblEjecucion[costo_plan_total],0)-tblOrdenes[[#This Row],[costo_servicio]]))</f>
        <v/>
      </c>
      <c r="AK382" s="10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2">
        <f>IF(tblOrdenes[[#This Row],[fecha_inicio]]="","",TODAY()-tblOrdenes[[#This Row],[fecha_inicio]])</f>
        <v/>
      </c>
      <c r="AB3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0">
        <f>IF(tblOrdenes[[#This Row],[orden]]="","",_xlfn.XLOOKUP(tblOrdenes[[#This Row],[id_operacion]],tblEjecucion[id_operacion],tblEjecucion[precio],0))</f>
        <v/>
      </c>
      <c r="AJ383" s="10">
        <f>IF(tblOrdenes[[#This Row],[orden]]="","",MAX(0,_xlfn.XLOOKUP(tblOrdenes[[#This Row],[id_operacion]],tblEjecucion[id_operacion],tblEjecucion[costo_plan_total],0)-tblOrdenes[[#This Row],[costo_servicio]]))</f>
        <v/>
      </c>
      <c r="AK383" s="10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2">
        <f>IF(tblOrdenes[[#This Row],[fecha_inicio]]="","",TODAY()-tblOrdenes[[#This Row],[fecha_inicio]])</f>
        <v/>
      </c>
      <c r="AB3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0">
        <f>IF(tblOrdenes[[#This Row],[orden]]="","",_xlfn.XLOOKUP(tblOrdenes[[#This Row],[id_operacion]],tblEjecucion[id_operacion],tblEjecucion[precio],0))</f>
        <v/>
      </c>
      <c r="AJ384" s="10">
        <f>IF(tblOrdenes[[#This Row],[orden]]="","",MAX(0,_xlfn.XLOOKUP(tblOrdenes[[#This Row],[id_operacion]],tblEjecucion[id_operacion],tblEjecucion[costo_plan_total],0)-tblOrdenes[[#This Row],[costo_servicio]]))</f>
        <v/>
      </c>
      <c r="AK384" s="10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2">
        <f>IF(tblOrdenes[[#This Row],[fecha_inicio]]="","",TODAY()-tblOrdenes[[#This Row],[fecha_inicio]])</f>
        <v/>
      </c>
      <c r="AB3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0">
        <f>IF(tblOrdenes[[#This Row],[orden]]="","",_xlfn.XLOOKUP(tblOrdenes[[#This Row],[id_operacion]],tblEjecucion[id_operacion],tblEjecucion[precio],0))</f>
        <v/>
      </c>
      <c r="AJ385" s="10">
        <f>IF(tblOrdenes[[#This Row],[orden]]="","",MAX(0,_xlfn.XLOOKUP(tblOrdenes[[#This Row],[id_operacion]],tblEjecucion[id_operacion],tblEjecucion[costo_plan_total],0)-tblOrdenes[[#This Row],[costo_servicio]]))</f>
        <v/>
      </c>
      <c r="AK385" s="10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2">
        <f>IF(tblOrdenes[[#This Row],[fecha_inicio]]="","",TODAY()-tblOrdenes[[#This Row],[fecha_inicio]])</f>
        <v/>
      </c>
      <c r="AB3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0">
        <f>IF(tblOrdenes[[#This Row],[orden]]="","",_xlfn.XLOOKUP(tblOrdenes[[#This Row],[id_operacion]],tblEjecucion[id_operacion],tblEjecucion[precio],0))</f>
        <v/>
      </c>
      <c r="AJ386" s="10">
        <f>IF(tblOrdenes[[#This Row],[orden]]="","",MAX(0,_xlfn.XLOOKUP(tblOrdenes[[#This Row],[id_operacion]],tblEjecucion[id_operacion],tblEjecucion[costo_plan_total],0)-tblOrdenes[[#This Row],[costo_servicio]]))</f>
        <v/>
      </c>
      <c r="AK386" s="10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2">
        <f>IF(tblOrdenes[[#This Row],[fecha_inicio]]="","",TODAY()-tblOrdenes[[#This Row],[fecha_inicio]])</f>
        <v/>
      </c>
      <c r="AB3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0">
        <f>IF(tblOrdenes[[#This Row],[orden]]="","",_xlfn.XLOOKUP(tblOrdenes[[#This Row],[id_operacion]],tblEjecucion[id_operacion],tblEjecucion[precio],0))</f>
        <v/>
      </c>
      <c r="AJ387" s="10">
        <f>IF(tblOrdenes[[#This Row],[orden]]="","",MAX(0,_xlfn.XLOOKUP(tblOrdenes[[#This Row],[id_operacion]],tblEjecucion[id_operacion],tblEjecucion[costo_plan_total],0)-tblOrdenes[[#This Row],[costo_servicio]]))</f>
        <v/>
      </c>
      <c r="AK387" s="10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2">
        <f>IF(tblOrdenes[[#This Row],[fecha_inicio]]="","",TODAY()-tblOrdenes[[#This Row],[fecha_inicio]])</f>
        <v/>
      </c>
      <c r="AB3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0">
        <f>IF(tblOrdenes[[#This Row],[orden]]="","",_xlfn.XLOOKUP(tblOrdenes[[#This Row],[id_operacion]],tblEjecucion[id_operacion],tblEjecucion[precio],0))</f>
        <v/>
      </c>
      <c r="AJ388" s="10">
        <f>IF(tblOrdenes[[#This Row],[orden]]="","",MAX(0,_xlfn.XLOOKUP(tblOrdenes[[#This Row],[id_operacion]],tblEjecucion[id_operacion],tblEjecucion[costo_plan_total],0)-tblOrdenes[[#This Row],[costo_servicio]]))</f>
        <v/>
      </c>
      <c r="AK388" s="10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2">
        <f>IF(tblOrdenes[[#This Row],[fecha_inicio]]="","",TODAY()-tblOrdenes[[#This Row],[fecha_inicio]])</f>
        <v/>
      </c>
      <c r="AB3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0">
        <f>IF(tblOrdenes[[#This Row],[orden]]="","",_xlfn.XLOOKUP(tblOrdenes[[#This Row],[id_operacion]],tblEjecucion[id_operacion],tblEjecucion[precio],0))</f>
        <v/>
      </c>
      <c r="AJ389" s="10">
        <f>IF(tblOrdenes[[#This Row],[orden]]="","",MAX(0,_xlfn.XLOOKUP(tblOrdenes[[#This Row],[id_operacion]],tblEjecucion[id_operacion],tblEjecucion[costo_plan_total],0)-tblOrdenes[[#This Row],[costo_servicio]]))</f>
        <v/>
      </c>
      <c r="AK389" s="10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2">
        <f>IF(tblOrdenes[[#This Row],[fecha_inicio]]="","",TODAY()-tblOrdenes[[#This Row],[fecha_inicio]])</f>
        <v/>
      </c>
      <c r="AB3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0">
        <f>IF(tblOrdenes[[#This Row],[orden]]="","",_xlfn.XLOOKUP(tblOrdenes[[#This Row],[id_operacion]],tblEjecucion[id_operacion],tblEjecucion[precio],0))</f>
        <v/>
      </c>
      <c r="AJ390" s="10">
        <f>IF(tblOrdenes[[#This Row],[orden]]="","",MAX(0,_xlfn.XLOOKUP(tblOrdenes[[#This Row],[id_operacion]],tblEjecucion[id_operacion],tblEjecucion[costo_plan_total],0)-tblOrdenes[[#This Row],[costo_servicio]]))</f>
        <v/>
      </c>
      <c r="AK390" s="10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2">
        <f>IF(tblOrdenes[[#This Row],[fecha_inicio]]="","",TODAY()-tblOrdenes[[#This Row],[fecha_inicio]])</f>
        <v/>
      </c>
      <c r="AB3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0">
        <f>IF(tblOrdenes[[#This Row],[orden]]="","",_xlfn.XLOOKUP(tblOrdenes[[#This Row],[id_operacion]],tblEjecucion[id_operacion],tblEjecucion[precio],0))</f>
        <v/>
      </c>
      <c r="AJ391" s="10">
        <f>IF(tblOrdenes[[#This Row],[orden]]="","",MAX(0,_xlfn.XLOOKUP(tblOrdenes[[#This Row],[id_operacion]],tblEjecucion[id_operacion],tblEjecucion[costo_plan_total],0)-tblOrdenes[[#This Row],[costo_servicio]]))</f>
        <v/>
      </c>
      <c r="AK391" s="10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2">
        <f>IF(tblOrdenes[[#This Row],[fecha_inicio]]="","",TODAY()-tblOrdenes[[#This Row],[fecha_inicio]])</f>
        <v/>
      </c>
      <c r="AB3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0">
        <f>IF(tblOrdenes[[#This Row],[orden]]="","",_xlfn.XLOOKUP(tblOrdenes[[#This Row],[id_operacion]],tblEjecucion[id_operacion],tblEjecucion[precio],0))</f>
        <v/>
      </c>
      <c r="AJ392" s="10">
        <f>IF(tblOrdenes[[#This Row],[orden]]="","",MAX(0,_xlfn.XLOOKUP(tblOrdenes[[#This Row],[id_operacion]],tblEjecucion[id_operacion],tblEjecucion[costo_plan_total],0)-tblOrdenes[[#This Row],[costo_servicio]]))</f>
        <v/>
      </c>
      <c r="AK392" s="10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2">
        <f>IF(tblOrdenes[[#This Row],[fecha_inicio]]="","",TODAY()-tblOrdenes[[#This Row],[fecha_inicio]])</f>
        <v/>
      </c>
      <c r="AB3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0">
        <f>IF(tblOrdenes[[#This Row],[orden]]="","",_xlfn.XLOOKUP(tblOrdenes[[#This Row],[id_operacion]],tblEjecucion[id_operacion],tblEjecucion[precio],0))</f>
        <v/>
      </c>
      <c r="AJ393" s="10">
        <f>IF(tblOrdenes[[#This Row],[orden]]="","",MAX(0,_xlfn.XLOOKUP(tblOrdenes[[#This Row],[id_operacion]],tblEjecucion[id_operacion],tblEjecucion[costo_plan_total],0)-tblOrdenes[[#This Row],[costo_servicio]]))</f>
        <v/>
      </c>
      <c r="AK393" s="10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2">
        <f>IF(tblOrdenes[[#This Row],[fecha_inicio]]="","",TODAY()-tblOrdenes[[#This Row],[fecha_inicio]])</f>
        <v/>
      </c>
      <c r="AB3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0">
        <f>IF(tblOrdenes[[#This Row],[orden]]="","",_xlfn.XLOOKUP(tblOrdenes[[#This Row],[id_operacion]],tblEjecucion[id_operacion],tblEjecucion[precio],0))</f>
        <v/>
      </c>
      <c r="AJ394" s="10">
        <f>IF(tblOrdenes[[#This Row],[orden]]="","",MAX(0,_xlfn.XLOOKUP(tblOrdenes[[#This Row],[id_operacion]],tblEjecucion[id_operacion],tblEjecucion[costo_plan_total],0)-tblOrdenes[[#This Row],[costo_servicio]]))</f>
        <v/>
      </c>
      <c r="AK394" s="10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2">
        <f>IF(tblOrdenes[[#This Row],[fecha_inicio]]="","",TODAY()-tblOrdenes[[#This Row],[fecha_inicio]])</f>
        <v/>
      </c>
      <c r="AB3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0">
        <f>IF(tblOrdenes[[#This Row],[orden]]="","",_xlfn.XLOOKUP(tblOrdenes[[#This Row],[id_operacion]],tblEjecucion[id_operacion],tblEjecucion[precio],0))</f>
        <v/>
      </c>
      <c r="AJ395" s="10">
        <f>IF(tblOrdenes[[#This Row],[orden]]="","",MAX(0,_xlfn.XLOOKUP(tblOrdenes[[#This Row],[id_operacion]],tblEjecucion[id_operacion],tblEjecucion[costo_plan_total],0)-tblOrdenes[[#This Row],[costo_servicio]]))</f>
        <v/>
      </c>
      <c r="AK395" s="10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2">
        <f>IF(tblOrdenes[[#This Row],[fecha_inicio]]="","",TODAY()-tblOrdenes[[#This Row],[fecha_inicio]])</f>
        <v/>
      </c>
      <c r="AB3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0">
        <f>IF(tblOrdenes[[#This Row],[orden]]="","",_xlfn.XLOOKUP(tblOrdenes[[#This Row],[id_operacion]],tblEjecucion[id_operacion],tblEjecucion[precio],0))</f>
        <v/>
      </c>
      <c r="AJ396" s="10">
        <f>IF(tblOrdenes[[#This Row],[orden]]="","",MAX(0,_xlfn.XLOOKUP(tblOrdenes[[#This Row],[id_operacion]],tblEjecucion[id_operacion],tblEjecucion[costo_plan_total],0)-tblOrdenes[[#This Row],[costo_servicio]]))</f>
        <v/>
      </c>
      <c r="AK396" s="10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2">
        <f>IF(tblOrdenes[[#This Row],[fecha_inicio]]="","",TODAY()-tblOrdenes[[#This Row],[fecha_inicio]])</f>
        <v/>
      </c>
      <c r="AB3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0">
        <f>IF(tblOrdenes[[#This Row],[orden]]="","",_xlfn.XLOOKUP(tblOrdenes[[#This Row],[id_operacion]],tblEjecucion[id_operacion],tblEjecucion[precio],0))</f>
        <v/>
      </c>
      <c r="AJ397" s="10">
        <f>IF(tblOrdenes[[#This Row],[orden]]="","",MAX(0,_xlfn.XLOOKUP(tblOrdenes[[#This Row],[id_operacion]],tblEjecucion[id_operacion],tblEjecucion[costo_plan_total],0)-tblOrdenes[[#This Row],[costo_servicio]]))</f>
        <v/>
      </c>
      <c r="AK397" s="10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2">
        <f>IF(tblOrdenes[[#This Row],[fecha_inicio]]="","",TODAY()-tblOrdenes[[#This Row],[fecha_inicio]])</f>
        <v/>
      </c>
      <c r="AB3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0">
        <f>IF(tblOrdenes[[#This Row],[orden]]="","",_xlfn.XLOOKUP(tblOrdenes[[#This Row],[id_operacion]],tblEjecucion[id_operacion],tblEjecucion[precio],0))</f>
        <v/>
      </c>
      <c r="AJ398" s="10">
        <f>IF(tblOrdenes[[#This Row],[orden]]="","",MAX(0,_xlfn.XLOOKUP(tblOrdenes[[#This Row],[id_operacion]],tblEjecucion[id_operacion],tblEjecucion[costo_plan_total],0)-tblOrdenes[[#This Row],[costo_servicio]]))</f>
        <v/>
      </c>
      <c r="AK398" s="10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2">
        <f>IF(tblOrdenes[[#This Row],[fecha_inicio]]="","",TODAY()-tblOrdenes[[#This Row],[fecha_inicio]])</f>
        <v/>
      </c>
      <c r="AB3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0">
        <f>IF(tblOrdenes[[#This Row],[orden]]="","",_xlfn.XLOOKUP(tblOrdenes[[#This Row],[id_operacion]],tblEjecucion[id_operacion],tblEjecucion[precio],0))</f>
        <v/>
      </c>
      <c r="AJ399" s="10">
        <f>IF(tblOrdenes[[#This Row],[orden]]="","",MAX(0,_xlfn.XLOOKUP(tblOrdenes[[#This Row],[id_operacion]],tblEjecucion[id_operacion],tblEjecucion[costo_plan_total],0)-tblOrdenes[[#This Row],[costo_servicio]]))</f>
        <v/>
      </c>
      <c r="AK399" s="10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2">
        <f>IF(tblOrdenes[[#This Row],[fecha_inicio]]="","",TODAY()-tblOrdenes[[#This Row],[fecha_inicio]])</f>
        <v/>
      </c>
      <c r="AB4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0">
        <f>IF(tblOrdenes[[#This Row],[orden]]="","",_xlfn.XLOOKUP(tblOrdenes[[#This Row],[id_operacion]],tblEjecucion[id_operacion],tblEjecucion[precio],0))</f>
        <v/>
      </c>
      <c r="AJ400" s="10">
        <f>IF(tblOrdenes[[#This Row],[orden]]="","",MAX(0,_xlfn.XLOOKUP(tblOrdenes[[#This Row],[id_operacion]],tblEjecucion[id_operacion],tblEjecucion[costo_plan_total],0)-tblOrdenes[[#This Row],[costo_servicio]]))</f>
        <v/>
      </c>
      <c r="AK400" s="10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2">
        <f>IF(tblOrdenes[[#This Row],[fecha_inicio]]="","",TODAY()-tblOrdenes[[#This Row],[fecha_inicio]])</f>
        <v/>
      </c>
      <c r="AB4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0">
        <f>IF(tblOrdenes[[#This Row],[orden]]="","",_xlfn.XLOOKUP(tblOrdenes[[#This Row],[id_operacion]],tblEjecucion[id_operacion],tblEjecucion[precio],0))</f>
        <v/>
      </c>
      <c r="AJ401" s="10">
        <f>IF(tblOrdenes[[#This Row],[orden]]="","",MAX(0,_xlfn.XLOOKUP(tblOrdenes[[#This Row],[id_operacion]],tblEjecucion[id_operacion],tblEjecucion[costo_plan_total],0)-tblOrdenes[[#This Row],[costo_servicio]]))</f>
        <v/>
      </c>
      <c r="AK401" s="10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2">
        <f>IF(tblOrdenes[[#This Row],[fecha_inicio]]="","",TODAY()-tblOrdenes[[#This Row],[fecha_inicio]])</f>
        <v/>
      </c>
      <c r="AB4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0">
        <f>IF(tblOrdenes[[#This Row],[orden]]="","",_xlfn.XLOOKUP(tblOrdenes[[#This Row],[id_operacion]],tblEjecucion[id_operacion],tblEjecucion[precio],0))</f>
        <v/>
      </c>
      <c r="AJ402" s="10">
        <f>IF(tblOrdenes[[#This Row],[orden]]="","",MAX(0,_xlfn.XLOOKUP(tblOrdenes[[#This Row],[id_operacion]],tblEjecucion[id_operacion],tblEjecucion[costo_plan_total],0)-tblOrdenes[[#This Row],[costo_servicio]]))</f>
        <v/>
      </c>
      <c r="AK402" s="10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2">
        <f>IF(tblOrdenes[[#This Row],[fecha_inicio]]="","",TODAY()-tblOrdenes[[#This Row],[fecha_inicio]])</f>
        <v/>
      </c>
      <c r="AB4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0">
        <f>IF(tblOrdenes[[#This Row],[orden]]="","",_xlfn.XLOOKUP(tblOrdenes[[#This Row],[id_operacion]],tblEjecucion[id_operacion],tblEjecucion[precio],0))</f>
        <v/>
      </c>
      <c r="AJ403" s="10">
        <f>IF(tblOrdenes[[#This Row],[orden]]="","",MAX(0,_xlfn.XLOOKUP(tblOrdenes[[#This Row],[id_operacion]],tblEjecucion[id_operacion],tblEjecucion[costo_plan_total],0)-tblOrdenes[[#This Row],[costo_servicio]]))</f>
        <v/>
      </c>
      <c r="AK403" s="10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2">
        <f>IF(tblOrdenes[[#This Row],[fecha_inicio]]="","",TODAY()-tblOrdenes[[#This Row],[fecha_inicio]])</f>
        <v/>
      </c>
      <c r="AB4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0">
        <f>IF(tblOrdenes[[#This Row],[orden]]="","",_xlfn.XLOOKUP(tblOrdenes[[#This Row],[id_operacion]],tblEjecucion[id_operacion],tblEjecucion[precio],0))</f>
        <v/>
      </c>
      <c r="AJ404" s="10">
        <f>IF(tblOrdenes[[#This Row],[orden]]="","",MAX(0,_xlfn.XLOOKUP(tblOrdenes[[#This Row],[id_operacion]],tblEjecucion[id_operacion],tblEjecucion[costo_plan_total],0)-tblOrdenes[[#This Row],[costo_servicio]]))</f>
        <v/>
      </c>
      <c r="AK404" s="10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2">
        <f>IF(tblOrdenes[[#This Row],[fecha_inicio]]="","",TODAY()-tblOrdenes[[#This Row],[fecha_inicio]])</f>
        <v/>
      </c>
      <c r="AB4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0">
        <f>IF(tblOrdenes[[#This Row],[orden]]="","",_xlfn.XLOOKUP(tblOrdenes[[#This Row],[id_operacion]],tblEjecucion[id_operacion],tblEjecucion[precio],0))</f>
        <v/>
      </c>
      <c r="AJ405" s="10">
        <f>IF(tblOrdenes[[#This Row],[orden]]="","",MAX(0,_xlfn.XLOOKUP(tblOrdenes[[#This Row],[id_operacion]],tblEjecucion[id_operacion],tblEjecucion[costo_plan_total],0)-tblOrdenes[[#This Row],[costo_servicio]]))</f>
        <v/>
      </c>
      <c r="AK405" s="10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2">
        <f>IF(tblOrdenes[[#This Row],[fecha_inicio]]="","",TODAY()-tblOrdenes[[#This Row],[fecha_inicio]])</f>
        <v/>
      </c>
      <c r="AB4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0">
        <f>IF(tblOrdenes[[#This Row],[orden]]="","",_xlfn.XLOOKUP(tblOrdenes[[#This Row],[id_operacion]],tblEjecucion[id_operacion],tblEjecucion[precio],0))</f>
        <v/>
      </c>
      <c r="AJ406" s="10">
        <f>IF(tblOrdenes[[#This Row],[orden]]="","",MAX(0,_xlfn.XLOOKUP(tblOrdenes[[#This Row],[id_operacion]],tblEjecucion[id_operacion],tblEjecucion[costo_plan_total],0)-tblOrdenes[[#This Row],[costo_servicio]]))</f>
        <v/>
      </c>
      <c r="AK406" s="10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2">
        <f>IF(tblOrdenes[[#This Row],[fecha_inicio]]="","",TODAY()-tblOrdenes[[#This Row],[fecha_inicio]])</f>
        <v/>
      </c>
      <c r="AB4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0">
        <f>IF(tblOrdenes[[#This Row],[orden]]="","",_xlfn.XLOOKUP(tblOrdenes[[#This Row],[id_operacion]],tblEjecucion[id_operacion],tblEjecucion[precio],0))</f>
        <v/>
      </c>
      <c r="AJ407" s="10">
        <f>IF(tblOrdenes[[#This Row],[orden]]="","",MAX(0,_xlfn.XLOOKUP(tblOrdenes[[#This Row],[id_operacion]],tblEjecucion[id_operacion],tblEjecucion[costo_plan_total],0)-tblOrdenes[[#This Row],[costo_servicio]]))</f>
        <v/>
      </c>
      <c r="AK407" s="10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2">
        <f>IF(tblOrdenes[[#This Row],[fecha_inicio]]="","",TODAY()-tblOrdenes[[#This Row],[fecha_inicio]])</f>
        <v/>
      </c>
      <c r="AB4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0">
        <f>IF(tblOrdenes[[#This Row],[orden]]="","",_xlfn.XLOOKUP(tblOrdenes[[#This Row],[id_operacion]],tblEjecucion[id_operacion],tblEjecucion[precio],0))</f>
        <v/>
      </c>
      <c r="AJ408" s="10">
        <f>IF(tblOrdenes[[#This Row],[orden]]="","",MAX(0,_xlfn.XLOOKUP(tblOrdenes[[#This Row],[id_operacion]],tblEjecucion[id_operacion],tblEjecucion[costo_plan_total],0)-tblOrdenes[[#This Row],[costo_servicio]]))</f>
        <v/>
      </c>
      <c r="AK408" s="10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2">
        <f>IF(tblOrdenes[[#This Row],[fecha_inicio]]="","",TODAY()-tblOrdenes[[#This Row],[fecha_inicio]])</f>
        <v/>
      </c>
      <c r="AB4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0">
        <f>IF(tblOrdenes[[#This Row],[orden]]="","",_xlfn.XLOOKUP(tblOrdenes[[#This Row],[id_operacion]],tblEjecucion[id_operacion],tblEjecucion[precio],0))</f>
        <v/>
      </c>
      <c r="AJ409" s="10">
        <f>IF(tblOrdenes[[#This Row],[orden]]="","",MAX(0,_xlfn.XLOOKUP(tblOrdenes[[#This Row],[id_operacion]],tblEjecucion[id_operacion],tblEjecucion[costo_plan_total],0)-tblOrdenes[[#This Row],[costo_servicio]]))</f>
        <v/>
      </c>
      <c r="AK409" s="10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2">
        <f>IF(tblOrdenes[[#This Row],[fecha_inicio]]="","",TODAY()-tblOrdenes[[#This Row],[fecha_inicio]])</f>
        <v/>
      </c>
      <c r="AB4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0">
        <f>IF(tblOrdenes[[#This Row],[orden]]="","",_xlfn.XLOOKUP(tblOrdenes[[#This Row],[id_operacion]],tblEjecucion[id_operacion],tblEjecucion[precio],0))</f>
        <v/>
      </c>
      <c r="AJ410" s="10">
        <f>IF(tblOrdenes[[#This Row],[orden]]="","",MAX(0,_xlfn.XLOOKUP(tblOrdenes[[#This Row],[id_operacion]],tblEjecucion[id_operacion],tblEjecucion[costo_plan_total],0)-tblOrdenes[[#This Row],[costo_servicio]]))</f>
        <v/>
      </c>
      <c r="AK410" s="10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2">
        <f>IF(tblOrdenes[[#This Row],[fecha_inicio]]="","",TODAY()-tblOrdenes[[#This Row],[fecha_inicio]])</f>
        <v/>
      </c>
      <c r="AB4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0">
        <f>IF(tblOrdenes[[#This Row],[orden]]="","",_xlfn.XLOOKUP(tblOrdenes[[#This Row],[id_operacion]],tblEjecucion[id_operacion],tblEjecucion[precio],0))</f>
        <v/>
      </c>
      <c r="AJ411" s="10">
        <f>IF(tblOrdenes[[#This Row],[orden]]="","",MAX(0,_xlfn.XLOOKUP(tblOrdenes[[#This Row],[id_operacion]],tblEjecucion[id_operacion],tblEjecucion[costo_plan_total],0)-tblOrdenes[[#This Row],[costo_servicio]]))</f>
        <v/>
      </c>
      <c r="AK411" s="10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2">
        <f>IF(tblOrdenes[[#This Row],[fecha_inicio]]="","",TODAY()-tblOrdenes[[#This Row],[fecha_inicio]])</f>
        <v/>
      </c>
      <c r="AB4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0">
        <f>IF(tblOrdenes[[#This Row],[orden]]="","",_xlfn.XLOOKUP(tblOrdenes[[#This Row],[id_operacion]],tblEjecucion[id_operacion],tblEjecucion[precio],0))</f>
        <v/>
      </c>
      <c r="AJ412" s="10">
        <f>IF(tblOrdenes[[#This Row],[orden]]="","",MAX(0,_xlfn.XLOOKUP(tblOrdenes[[#This Row],[id_operacion]],tblEjecucion[id_operacion],tblEjecucion[costo_plan_total],0)-tblOrdenes[[#This Row],[costo_servicio]]))</f>
        <v/>
      </c>
      <c r="AK412" s="10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2">
        <f>IF(tblOrdenes[[#This Row],[fecha_inicio]]="","",TODAY()-tblOrdenes[[#This Row],[fecha_inicio]])</f>
        <v/>
      </c>
      <c r="AB4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0">
        <f>IF(tblOrdenes[[#This Row],[orden]]="","",_xlfn.XLOOKUP(tblOrdenes[[#This Row],[id_operacion]],tblEjecucion[id_operacion],tblEjecucion[precio],0))</f>
        <v/>
      </c>
      <c r="AJ413" s="10">
        <f>IF(tblOrdenes[[#This Row],[orden]]="","",MAX(0,_xlfn.XLOOKUP(tblOrdenes[[#This Row],[id_operacion]],tblEjecucion[id_operacion],tblEjecucion[costo_plan_total],0)-tblOrdenes[[#This Row],[costo_servicio]]))</f>
        <v/>
      </c>
      <c r="AK413" s="10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2">
        <f>IF(tblOrdenes[[#This Row],[fecha_inicio]]="","",TODAY()-tblOrdenes[[#This Row],[fecha_inicio]])</f>
        <v/>
      </c>
      <c r="AB4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0">
        <f>IF(tblOrdenes[[#This Row],[orden]]="","",_xlfn.XLOOKUP(tblOrdenes[[#This Row],[id_operacion]],tblEjecucion[id_operacion],tblEjecucion[precio],0))</f>
        <v/>
      </c>
      <c r="AJ414" s="10">
        <f>IF(tblOrdenes[[#This Row],[orden]]="","",MAX(0,_xlfn.XLOOKUP(tblOrdenes[[#This Row],[id_operacion]],tblEjecucion[id_operacion],tblEjecucion[costo_plan_total],0)-tblOrdenes[[#This Row],[costo_servicio]]))</f>
        <v/>
      </c>
      <c r="AK414" s="10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2">
        <f>IF(tblOrdenes[[#This Row],[fecha_inicio]]="","",TODAY()-tblOrdenes[[#This Row],[fecha_inicio]])</f>
        <v/>
      </c>
      <c r="AB4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0">
        <f>IF(tblOrdenes[[#This Row],[orden]]="","",_xlfn.XLOOKUP(tblOrdenes[[#This Row],[id_operacion]],tblEjecucion[id_operacion],tblEjecucion[precio],0))</f>
        <v/>
      </c>
      <c r="AJ415" s="10">
        <f>IF(tblOrdenes[[#This Row],[orden]]="","",MAX(0,_xlfn.XLOOKUP(tblOrdenes[[#This Row],[id_operacion]],tblEjecucion[id_operacion],tblEjecucion[costo_plan_total],0)-tblOrdenes[[#This Row],[costo_servicio]]))</f>
        <v/>
      </c>
      <c r="AK415" s="10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2">
        <f>IF(tblOrdenes[[#This Row],[fecha_inicio]]="","",TODAY()-tblOrdenes[[#This Row],[fecha_inicio]])</f>
        <v/>
      </c>
      <c r="AB4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0">
        <f>IF(tblOrdenes[[#This Row],[orden]]="","",_xlfn.XLOOKUP(tblOrdenes[[#This Row],[id_operacion]],tblEjecucion[id_operacion],tblEjecucion[precio],0))</f>
        <v/>
      </c>
      <c r="AJ416" s="10">
        <f>IF(tblOrdenes[[#This Row],[orden]]="","",MAX(0,_xlfn.XLOOKUP(tblOrdenes[[#This Row],[id_operacion]],tblEjecucion[id_operacion],tblEjecucion[costo_plan_total],0)-tblOrdenes[[#This Row],[costo_servicio]]))</f>
        <v/>
      </c>
      <c r="AK416" s="10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2">
        <f>IF(tblOrdenes[[#This Row],[fecha_inicio]]="","",TODAY()-tblOrdenes[[#This Row],[fecha_inicio]])</f>
        <v/>
      </c>
      <c r="AB4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0">
        <f>IF(tblOrdenes[[#This Row],[orden]]="","",_xlfn.XLOOKUP(tblOrdenes[[#This Row],[id_operacion]],tblEjecucion[id_operacion],tblEjecucion[precio],0))</f>
        <v/>
      </c>
      <c r="AJ417" s="10">
        <f>IF(tblOrdenes[[#This Row],[orden]]="","",MAX(0,_xlfn.XLOOKUP(tblOrdenes[[#This Row],[id_operacion]],tblEjecucion[id_operacion],tblEjecucion[costo_plan_total],0)-tblOrdenes[[#This Row],[costo_servicio]]))</f>
        <v/>
      </c>
      <c r="AK417" s="10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2">
        <f>IF(tblOrdenes[[#This Row],[fecha_inicio]]="","",TODAY()-tblOrdenes[[#This Row],[fecha_inicio]])</f>
        <v/>
      </c>
      <c r="AB4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0">
        <f>IF(tblOrdenes[[#This Row],[orden]]="","",_xlfn.XLOOKUP(tblOrdenes[[#This Row],[id_operacion]],tblEjecucion[id_operacion],tblEjecucion[precio],0))</f>
        <v/>
      </c>
      <c r="AJ418" s="10">
        <f>IF(tblOrdenes[[#This Row],[orden]]="","",MAX(0,_xlfn.XLOOKUP(tblOrdenes[[#This Row],[id_operacion]],tblEjecucion[id_operacion],tblEjecucion[costo_plan_total],0)-tblOrdenes[[#This Row],[costo_servicio]]))</f>
        <v/>
      </c>
      <c r="AK418" s="10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2">
        <f>IF(tblOrdenes[[#This Row],[fecha_inicio]]="","",TODAY()-tblOrdenes[[#This Row],[fecha_inicio]])</f>
        <v/>
      </c>
      <c r="AB4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0">
        <f>IF(tblOrdenes[[#This Row],[orden]]="","",_xlfn.XLOOKUP(tblOrdenes[[#This Row],[id_operacion]],tblEjecucion[id_operacion],tblEjecucion[precio],0))</f>
        <v/>
      </c>
      <c r="AJ419" s="10">
        <f>IF(tblOrdenes[[#This Row],[orden]]="","",MAX(0,_xlfn.XLOOKUP(tblOrdenes[[#This Row],[id_operacion]],tblEjecucion[id_operacion],tblEjecucion[costo_plan_total],0)-tblOrdenes[[#This Row],[costo_servicio]]))</f>
        <v/>
      </c>
      <c r="AK419" s="10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2">
        <f>IF(tblOrdenes[[#This Row],[fecha_inicio]]="","",TODAY()-tblOrdenes[[#This Row],[fecha_inicio]])</f>
        <v/>
      </c>
      <c r="AB4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0">
        <f>IF(tblOrdenes[[#This Row],[orden]]="","",_xlfn.XLOOKUP(tblOrdenes[[#This Row],[id_operacion]],tblEjecucion[id_operacion],tblEjecucion[precio],0))</f>
        <v/>
      </c>
      <c r="AJ420" s="10">
        <f>IF(tblOrdenes[[#This Row],[orden]]="","",MAX(0,_xlfn.XLOOKUP(tblOrdenes[[#This Row],[id_operacion]],tblEjecucion[id_operacion],tblEjecucion[costo_plan_total],0)-tblOrdenes[[#This Row],[costo_servicio]]))</f>
        <v/>
      </c>
      <c r="AK420" s="10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2">
        <f>IF(tblOrdenes[[#This Row],[fecha_inicio]]="","",TODAY()-tblOrdenes[[#This Row],[fecha_inicio]])</f>
        <v/>
      </c>
      <c r="AB4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0">
        <f>IF(tblOrdenes[[#This Row],[orden]]="","",_xlfn.XLOOKUP(tblOrdenes[[#This Row],[id_operacion]],tblEjecucion[id_operacion],tblEjecucion[precio],0))</f>
        <v/>
      </c>
      <c r="AJ421" s="10">
        <f>IF(tblOrdenes[[#This Row],[orden]]="","",MAX(0,_xlfn.XLOOKUP(tblOrdenes[[#This Row],[id_operacion]],tblEjecucion[id_operacion],tblEjecucion[costo_plan_total],0)-tblOrdenes[[#This Row],[costo_servicio]]))</f>
        <v/>
      </c>
      <c r="AK421" s="10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2">
        <f>IF(tblOrdenes[[#This Row],[fecha_inicio]]="","",TODAY()-tblOrdenes[[#This Row],[fecha_inicio]])</f>
        <v/>
      </c>
      <c r="AB4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0">
        <f>IF(tblOrdenes[[#This Row],[orden]]="","",_xlfn.XLOOKUP(tblOrdenes[[#This Row],[id_operacion]],tblEjecucion[id_operacion],tblEjecucion[precio],0))</f>
        <v/>
      </c>
      <c r="AJ422" s="10">
        <f>IF(tblOrdenes[[#This Row],[orden]]="","",MAX(0,_xlfn.XLOOKUP(tblOrdenes[[#This Row],[id_operacion]],tblEjecucion[id_operacion],tblEjecucion[costo_plan_total],0)-tblOrdenes[[#This Row],[costo_servicio]]))</f>
        <v/>
      </c>
      <c r="AK422" s="10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2">
        <f>IF(tblOrdenes[[#This Row],[fecha_inicio]]="","",TODAY()-tblOrdenes[[#This Row],[fecha_inicio]])</f>
        <v/>
      </c>
      <c r="AB4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0">
        <f>IF(tblOrdenes[[#This Row],[orden]]="","",_xlfn.XLOOKUP(tblOrdenes[[#This Row],[id_operacion]],tblEjecucion[id_operacion],tblEjecucion[precio],0))</f>
        <v/>
      </c>
      <c r="AJ423" s="10">
        <f>IF(tblOrdenes[[#This Row],[orden]]="","",MAX(0,_xlfn.XLOOKUP(tblOrdenes[[#This Row],[id_operacion]],tblEjecucion[id_operacion],tblEjecucion[costo_plan_total],0)-tblOrdenes[[#This Row],[costo_servicio]]))</f>
        <v/>
      </c>
      <c r="AK423" s="10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2">
        <f>IF(tblOrdenes[[#This Row],[fecha_inicio]]="","",TODAY()-tblOrdenes[[#This Row],[fecha_inicio]])</f>
        <v/>
      </c>
      <c r="AB4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0">
        <f>IF(tblOrdenes[[#This Row],[orden]]="","",_xlfn.XLOOKUP(tblOrdenes[[#This Row],[id_operacion]],tblEjecucion[id_operacion],tblEjecucion[precio],0))</f>
        <v/>
      </c>
      <c r="AJ424" s="10">
        <f>IF(tblOrdenes[[#This Row],[orden]]="","",MAX(0,_xlfn.XLOOKUP(tblOrdenes[[#This Row],[id_operacion]],tblEjecucion[id_operacion],tblEjecucion[costo_plan_total],0)-tblOrdenes[[#This Row],[costo_servicio]]))</f>
        <v/>
      </c>
      <c r="AK424" s="10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2">
        <f>IF(tblOrdenes[[#This Row],[fecha_inicio]]="","",TODAY()-tblOrdenes[[#This Row],[fecha_inicio]])</f>
        <v/>
      </c>
      <c r="AB4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0">
        <f>IF(tblOrdenes[[#This Row],[orden]]="","",_xlfn.XLOOKUP(tblOrdenes[[#This Row],[id_operacion]],tblEjecucion[id_operacion],tblEjecucion[precio],0))</f>
        <v/>
      </c>
      <c r="AJ425" s="10">
        <f>IF(tblOrdenes[[#This Row],[orden]]="","",MAX(0,_xlfn.XLOOKUP(tblOrdenes[[#This Row],[id_operacion]],tblEjecucion[id_operacion],tblEjecucion[costo_plan_total],0)-tblOrdenes[[#This Row],[costo_servicio]]))</f>
        <v/>
      </c>
      <c r="AK425" s="10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2">
        <f>IF(tblOrdenes[[#This Row],[fecha_inicio]]="","",TODAY()-tblOrdenes[[#This Row],[fecha_inicio]])</f>
        <v/>
      </c>
      <c r="AB4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0">
        <f>IF(tblOrdenes[[#This Row],[orden]]="","",_xlfn.XLOOKUP(tblOrdenes[[#This Row],[id_operacion]],tblEjecucion[id_operacion],tblEjecucion[precio],0))</f>
        <v/>
      </c>
      <c r="AJ426" s="10">
        <f>IF(tblOrdenes[[#This Row],[orden]]="","",MAX(0,_xlfn.XLOOKUP(tblOrdenes[[#This Row],[id_operacion]],tblEjecucion[id_operacion],tblEjecucion[costo_plan_total],0)-tblOrdenes[[#This Row],[costo_servicio]]))</f>
        <v/>
      </c>
      <c r="AK426" s="10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2">
        <f>IF(tblOrdenes[[#This Row],[fecha_inicio]]="","",TODAY()-tblOrdenes[[#This Row],[fecha_inicio]])</f>
        <v/>
      </c>
      <c r="AB4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0">
        <f>IF(tblOrdenes[[#This Row],[orden]]="","",_xlfn.XLOOKUP(tblOrdenes[[#This Row],[id_operacion]],tblEjecucion[id_operacion],tblEjecucion[precio],0))</f>
        <v/>
      </c>
      <c r="AJ427" s="10">
        <f>IF(tblOrdenes[[#This Row],[orden]]="","",MAX(0,_xlfn.XLOOKUP(tblOrdenes[[#This Row],[id_operacion]],tblEjecucion[id_operacion],tblEjecucion[costo_plan_total],0)-tblOrdenes[[#This Row],[costo_servicio]]))</f>
        <v/>
      </c>
      <c r="AK427" s="10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2">
        <f>IF(tblOrdenes[[#This Row],[fecha_inicio]]="","",TODAY()-tblOrdenes[[#This Row],[fecha_inicio]])</f>
        <v/>
      </c>
      <c r="AB4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0">
        <f>IF(tblOrdenes[[#This Row],[orden]]="","",_xlfn.XLOOKUP(tblOrdenes[[#This Row],[id_operacion]],tblEjecucion[id_operacion],tblEjecucion[precio],0))</f>
        <v/>
      </c>
      <c r="AJ428" s="10">
        <f>IF(tblOrdenes[[#This Row],[orden]]="","",MAX(0,_xlfn.XLOOKUP(tblOrdenes[[#This Row],[id_operacion]],tblEjecucion[id_operacion],tblEjecucion[costo_plan_total],0)-tblOrdenes[[#This Row],[costo_servicio]]))</f>
        <v/>
      </c>
      <c r="AK428" s="10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2">
        <f>IF(tblOrdenes[[#This Row],[fecha_inicio]]="","",TODAY()-tblOrdenes[[#This Row],[fecha_inicio]])</f>
        <v/>
      </c>
      <c r="AB4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0">
        <f>IF(tblOrdenes[[#This Row],[orden]]="","",_xlfn.XLOOKUP(tblOrdenes[[#This Row],[id_operacion]],tblEjecucion[id_operacion],tblEjecucion[precio],0))</f>
        <v/>
      </c>
      <c r="AJ429" s="10">
        <f>IF(tblOrdenes[[#This Row],[orden]]="","",MAX(0,_xlfn.XLOOKUP(tblOrdenes[[#This Row],[id_operacion]],tblEjecucion[id_operacion],tblEjecucion[costo_plan_total],0)-tblOrdenes[[#This Row],[costo_servicio]]))</f>
        <v/>
      </c>
      <c r="AK429" s="10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2">
        <f>IF(tblOrdenes[[#This Row],[fecha_inicio]]="","",TODAY()-tblOrdenes[[#This Row],[fecha_inicio]])</f>
        <v/>
      </c>
      <c r="AB4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0">
        <f>IF(tblOrdenes[[#This Row],[orden]]="","",_xlfn.XLOOKUP(tblOrdenes[[#This Row],[id_operacion]],tblEjecucion[id_operacion],tblEjecucion[precio],0))</f>
        <v/>
      </c>
      <c r="AJ430" s="10">
        <f>IF(tblOrdenes[[#This Row],[orden]]="","",MAX(0,_xlfn.XLOOKUP(tblOrdenes[[#This Row],[id_operacion]],tblEjecucion[id_operacion],tblEjecucion[costo_plan_total],0)-tblOrdenes[[#This Row],[costo_servicio]]))</f>
        <v/>
      </c>
      <c r="AK430" s="10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2">
        <f>IF(tblOrdenes[[#This Row],[fecha_inicio]]="","",TODAY()-tblOrdenes[[#This Row],[fecha_inicio]])</f>
        <v/>
      </c>
      <c r="AB4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0">
        <f>IF(tblOrdenes[[#This Row],[orden]]="","",_xlfn.XLOOKUP(tblOrdenes[[#This Row],[id_operacion]],tblEjecucion[id_operacion],tblEjecucion[precio],0))</f>
        <v/>
      </c>
      <c r="AJ431" s="10">
        <f>IF(tblOrdenes[[#This Row],[orden]]="","",MAX(0,_xlfn.XLOOKUP(tblOrdenes[[#This Row],[id_operacion]],tblEjecucion[id_operacion],tblEjecucion[costo_plan_total],0)-tblOrdenes[[#This Row],[costo_servicio]]))</f>
        <v/>
      </c>
      <c r="AK431" s="10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2">
        <f>IF(tblOrdenes[[#This Row],[fecha_inicio]]="","",TODAY()-tblOrdenes[[#This Row],[fecha_inicio]])</f>
        <v/>
      </c>
      <c r="AB4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0">
        <f>IF(tblOrdenes[[#This Row],[orden]]="","",_xlfn.XLOOKUP(tblOrdenes[[#This Row],[id_operacion]],tblEjecucion[id_operacion],tblEjecucion[precio],0))</f>
        <v/>
      </c>
      <c r="AJ432" s="10">
        <f>IF(tblOrdenes[[#This Row],[orden]]="","",MAX(0,_xlfn.XLOOKUP(tblOrdenes[[#This Row],[id_operacion]],tblEjecucion[id_operacion],tblEjecucion[costo_plan_total],0)-tblOrdenes[[#This Row],[costo_servicio]]))</f>
        <v/>
      </c>
      <c r="AK432" s="10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2">
        <f>IF(tblOrdenes[[#This Row],[fecha_inicio]]="","",TODAY()-tblOrdenes[[#This Row],[fecha_inicio]])</f>
        <v/>
      </c>
      <c r="AB4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0">
        <f>IF(tblOrdenes[[#This Row],[orden]]="","",_xlfn.XLOOKUP(tblOrdenes[[#This Row],[id_operacion]],tblEjecucion[id_operacion],tblEjecucion[precio],0))</f>
        <v/>
      </c>
      <c r="AJ433" s="10">
        <f>IF(tblOrdenes[[#This Row],[orden]]="","",MAX(0,_xlfn.XLOOKUP(tblOrdenes[[#This Row],[id_operacion]],tblEjecucion[id_operacion],tblEjecucion[costo_plan_total],0)-tblOrdenes[[#This Row],[costo_servicio]]))</f>
        <v/>
      </c>
      <c r="AK433" s="10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2">
        <f>IF(tblOrdenes[[#This Row],[fecha_inicio]]="","",TODAY()-tblOrdenes[[#This Row],[fecha_inicio]])</f>
        <v/>
      </c>
      <c r="AB4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0">
        <f>IF(tblOrdenes[[#This Row],[orden]]="","",_xlfn.XLOOKUP(tblOrdenes[[#This Row],[id_operacion]],tblEjecucion[id_operacion],tblEjecucion[precio],0))</f>
        <v/>
      </c>
      <c r="AJ434" s="10">
        <f>IF(tblOrdenes[[#This Row],[orden]]="","",MAX(0,_xlfn.XLOOKUP(tblOrdenes[[#This Row],[id_operacion]],tblEjecucion[id_operacion],tblEjecucion[costo_plan_total],0)-tblOrdenes[[#This Row],[costo_servicio]]))</f>
        <v/>
      </c>
      <c r="AK434" s="10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2">
        <f>IF(tblOrdenes[[#This Row],[fecha_inicio]]="","",TODAY()-tblOrdenes[[#This Row],[fecha_inicio]])</f>
        <v/>
      </c>
      <c r="AB4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0">
        <f>IF(tblOrdenes[[#This Row],[orden]]="","",_xlfn.XLOOKUP(tblOrdenes[[#This Row],[id_operacion]],tblEjecucion[id_operacion],tblEjecucion[precio],0))</f>
        <v/>
      </c>
      <c r="AJ435" s="10">
        <f>IF(tblOrdenes[[#This Row],[orden]]="","",MAX(0,_xlfn.XLOOKUP(tblOrdenes[[#This Row],[id_operacion]],tblEjecucion[id_operacion],tblEjecucion[costo_plan_total],0)-tblOrdenes[[#This Row],[costo_servicio]]))</f>
        <v/>
      </c>
      <c r="AK435" s="10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2">
        <f>IF(tblOrdenes[[#This Row],[fecha_inicio]]="","",TODAY()-tblOrdenes[[#This Row],[fecha_inicio]])</f>
        <v/>
      </c>
      <c r="AB4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0">
        <f>IF(tblOrdenes[[#This Row],[orden]]="","",_xlfn.XLOOKUP(tblOrdenes[[#This Row],[id_operacion]],tblEjecucion[id_operacion],tblEjecucion[precio],0))</f>
        <v/>
      </c>
      <c r="AJ436" s="10">
        <f>IF(tblOrdenes[[#This Row],[orden]]="","",MAX(0,_xlfn.XLOOKUP(tblOrdenes[[#This Row],[id_operacion]],tblEjecucion[id_operacion],tblEjecucion[costo_plan_total],0)-tblOrdenes[[#This Row],[costo_servicio]]))</f>
        <v/>
      </c>
      <c r="AK436" s="10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2">
        <f>IF(tblOrdenes[[#This Row],[fecha_inicio]]="","",TODAY()-tblOrdenes[[#This Row],[fecha_inicio]])</f>
        <v/>
      </c>
      <c r="AB4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0">
        <f>IF(tblOrdenes[[#This Row],[orden]]="","",_xlfn.XLOOKUP(tblOrdenes[[#This Row],[id_operacion]],tblEjecucion[id_operacion],tblEjecucion[precio],0))</f>
        <v/>
      </c>
      <c r="AJ437" s="10">
        <f>IF(tblOrdenes[[#This Row],[orden]]="","",MAX(0,_xlfn.XLOOKUP(tblOrdenes[[#This Row],[id_operacion]],tblEjecucion[id_operacion],tblEjecucion[costo_plan_total],0)-tblOrdenes[[#This Row],[costo_servicio]]))</f>
        <v/>
      </c>
      <c r="AK437" s="10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2">
        <f>IF(tblOrdenes[[#This Row],[fecha_inicio]]="","",TODAY()-tblOrdenes[[#This Row],[fecha_inicio]])</f>
        <v/>
      </c>
      <c r="AB4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0">
        <f>IF(tblOrdenes[[#This Row],[orden]]="","",_xlfn.XLOOKUP(tblOrdenes[[#This Row],[id_operacion]],tblEjecucion[id_operacion],tblEjecucion[precio],0))</f>
        <v/>
      </c>
      <c r="AJ438" s="10">
        <f>IF(tblOrdenes[[#This Row],[orden]]="","",MAX(0,_xlfn.XLOOKUP(tblOrdenes[[#This Row],[id_operacion]],tblEjecucion[id_operacion],tblEjecucion[costo_plan_total],0)-tblOrdenes[[#This Row],[costo_servicio]]))</f>
        <v/>
      </c>
      <c r="AK438" s="10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2">
        <f>IF(tblOrdenes[[#This Row],[fecha_inicio]]="","",TODAY()-tblOrdenes[[#This Row],[fecha_inicio]])</f>
        <v/>
      </c>
      <c r="AB4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0">
        <f>IF(tblOrdenes[[#This Row],[orden]]="","",_xlfn.XLOOKUP(tblOrdenes[[#This Row],[id_operacion]],tblEjecucion[id_operacion],tblEjecucion[precio],0))</f>
        <v/>
      </c>
      <c r="AJ439" s="10">
        <f>IF(tblOrdenes[[#This Row],[orden]]="","",MAX(0,_xlfn.XLOOKUP(tblOrdenes[[#This Row],[id_operacion]],tblEjecucion[id_operacion],tblEjecucion[costo_plan_total],0)-tblOrdenes[[#This Row],[costo_servicio]]))</f>
        <v/>
      </c>
      <c r="AK439" s="10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2">
        <f>IF(tblOrdenes[[#This Row],[fecha_inicio]]="","",TODAY()-tblOrdenes[[#This Row],[fecha_inicio]])</f>
        <v/>
      </c>
      <c r="AB4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0">
        <f>IF(tblOrdenes[[#This Row],[orden]]="","",_xlfn.XLOOKUP(tblOrdenes[[#This Row],[id_operacion]],tblEjecucion[id_operacion],tblEjecucion[precio],0))</f>
        <v/>
      </c>
      <c r="AJ440" s="10">
        <f>IF(tblOrdenes[[#This Row],[orden]]="","",MAX(0,_xlfn.XLOOKUP(tblOrdenes[[#This Row],[id_operacion]],tblEjecucion[id_operacion],tblEjecucion[costo_plan_total],0)-tblOrdenes[[#This Row],[costo_servicio]]))</f>
        <v/>
      </c>
      <c r="AK440" s="10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2">
        <f>IF(tblOrdenes[[#This Row],[fecha_inicio]]="","",TODAY()-tblOrdenes[[#This Row],[fecha_inicio]])</f>
        <v/>
      </c>
      <c r="AB4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0">
        <f>IF(tblOrdenes[[#This Row],[orden]]="","",_xlfn.XLOOKUP(tblOrdenes[[#This Row],[id_operacion]],tblEjecucion[id_operacion],tblEjecucion[precio],0))</f>
        <v/>
      </c>
      <c r="AJ441" s="10">
        <f>IF(tblOrdenes[[#This Row],[orden]]="","",MAX(0,_xlfn.XLOOKUP(tblOrdenes[[#This Row],[id_operacion]],tblEjecucion[id_operacion],tblEjecucion[costo_plan_total],0)-tblOrdenes[[#This Row],[costo_servicio]]))</f>
        <v/>
      </c>
      <c r="AK441" s="10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2">
        <f>IF(tblOrdenes[[#This Row],[fecha_inicio]]="","",TODAY()-tblOrdenes[[#This Row],[fecha_inicio]])</f>
        <v/>
      </c>
      <c r="AB4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0">
        <f>IF(tblOrdenes[[#This Row],[orden]]="","",_xlfn.XLOOKUP(tblOrdenes[[#This Row],[id_operacion]],tblEjecucion[id_operacion],tblEjecucion[precio],0))</f>
        <v/>
      </c>
      <c r="AJ442" s="10">
        <f>IF(tblOrdenes[[#This Row],[orden]]="","",MAX(0,_xlfn.XLOOKUP(tblOrdenes[[#This Row],[id_operacion]],tblEjecucion[id_operacion],tblEjecucion[costo_plan_total],0)-tblOrdenes[[#This Row],[costo_servicio]]))</f>
        <v/>
      </c>
      <c r="AK442" s="10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2">
        <f>IF(tblOrdenes[[#This Row],[fecha_inicio]]="","",TODAY()-tblOrdenes[[#This Row],[fecha_inicio]])</f>
        <v/>
      </c>
      <c r="AB4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0">
        <f>IF(tblOrdenes[[#This Row],[orden]]="","",_xlfn.XLOOKUP(tblOrdenes[[#This Row],[id_operacion]],tblEjecucion[id_operacion],tblEjecucion[precio],0))</f>
        <v/>
      </c>
      <c r="AJ443" s="10">
        <f>IF(tblOrdenes[[#This Row],[orden]]="","",MAX(0,_xlfn.XLOOKUP(tblOrdenes[[#This Row],[id_operacion]],tblEjecucion[id_operacion],tblEjecucion[costo_plan_total],0)-tblOrdenes[[#This Row],[costo_servicio]]))</f>
        <v/>
      </c>
      <c r="AK443" s="10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2">
        <f>IF(tblOrdenes[[#This Row],[fecha_inicio]]="","",TODAY()-tblOrdenes[[#This Row],[fecha_inicio]])</f>
        <v/>
      </c>
      <c r="AB4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0">
        <f>IF(tblOrdenes[[#This Row],[orden]]="","",_xlfn.XLOOKUP(tblOrdenes[[#This Row],[id_operacion]],tblEjecucion[id_operacion],tblEjecucion[precio],0))</f>
        <v/>
      </c>
      <c r="AJ444" s="10">
        <f>IF(tblOrdenes[[#This Row],[orden]]="","",MAX(0,_xlfn.XLOOKUP(tblOrdenes[[#This Row],[id_operacion]],tblEjecucion[id_operacion],tblEjecucion[costo_plan_total],0)-tblOrdenes[[#This Row],[costo_servicio]]))</f>
        <v/>
      </c>
      <c r="AK444" s="10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2">
        <f>IF(tblOrdenes[[#This Row],[fecha_inicio]]="","",TODAY()-tblOrdenes[[#This Row],[fecha_inicio]])</f>
        <v/>
      </c>
      <c r="AB4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0">
        <f>IF(tblOrdenes[[#This Row],[orden]]="","",_xlfn.XLOOKUP(tblOrdenes[[#This Row],[id_operacion]],tblEjecucion[id_operacion],tblEjecucion[precio],0))</f>
        <v/>
      </c>
      <c r="AJ445" s="10">
        <f>IF(tblOrdenes[[#This Row],[orden]]="","",MAX(0,_xlfn.XLOOKUP(tblOrdenes[[#This Row],[id_operacion]],tblEjecucion[id_operacion],tblEjecucion[costo_plan_total],0)-tblOrdenes[[#This Row],[costo_servicio]]))</f>
        <v/>
      </c>
      <c r="AK445" s="10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2">
        <f>IF(tblOrdenes[[#This Row],[fecha_inicio]]="","",TODAY()-tblOrdenes[[#This Row],[fecha_inicio]])</f>
        <v/>
      </c>
      <c r="AB4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0">
        <f>IF(tblOrdenes[[#This Row],[orden]]="","",_xlfn.XLOOKUP(tblOrdenes[[#This Row],[id_operacion]],tblEjecucion[id_operacion],tblEjecucion[precio],0))</f>
        <v/>
      </c>
      <c r="AJ446" s="10">
        <f>IF(tblOrdenes[[#This Row],[orden]]="","",MAX(0,_xlfn.XLOOKUP(tblOrdenes[[#This Row],[id_operacion]],tblEjecucion[id_operacion],tblEjecucion[costo_plan_total],0)-tblOrdenes[[#This Row],[costo_servicio]]))</f>
        <v/>
      </c>
      <c r="AK446" s="10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2">
        <f>IF(tblOrdenes[[#This Row],[fecha_inicio]]="","",TODAY()-tblOrdenes[[#This Row],[fecha_inicio]])</f>
        <v/>
      </c>
      <c r="AB4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0">
        <f>IF(tblOrdenes[[#This Row],[orden]]="","",_xlfn.XLOOKUP(tblOrdenes[[#This Row],[id_operacion]],tblEjecucion[id_operacion],tblEjecucion[precio],0))</f>
        <v/>
      </c>
      <c r="AJ447" s="10">
        <f>IF(tblOrdenes[[#This Row],[orden]]="","",MAX(0,_xlfn.XLOOKUP(tblOrdenes[[#This Row],[id_operacion]],tblEjecucion[id_operacion],tblEjecucion[costo_plan_total],0)-tblOrdenes[[#This Row],[costo_servicio]]))</f>
        <v/>
      </c>
      <c r="AK447" s="10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2">
        <f>IF(tblOrdenes[[#This Row],[fecha_inicio]]="","",TODAY()-tblOrdenes[[#This Row],[fecha_inicio]])</f>
        <v/>
      </c>
      <c r="AB4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0">
        <f>IF(tblOrdenes[[#This Row],[orden]]="","",_xlfn.XLOOKUP(tblOrdenes[[#This Row],[id_operacion]],tblEjecucion[id_operacion],tblEjecucion[precio],0))</f>
        <v/>
      </c>
      <c r="AJ448" s="10">
        <f>IF(tblOrdenes[[#This Row],[orden]]="","",MAX(0,_xlfn.XLOOKUP(tblOrdenes[[#This Row],[id_operacion]],tblEjecucion[id_operacion],tblEjecucion[costo_plan_total],0)-tblOrdenes[[#This Row],[costo_servicio]]))</f>
        <v/>
      </c>
      <c r="AK448" s="10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2">
        <f>IF(tblOrdenes[[#This Row],[fecha_inicio]]="","",TODAY()-tblOrdenes[[#This Row],[fecha_inicio]])</f>
        <v/>
      </c>
      <c r="AB4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0">
        <f>IF(tblOrdenes[[#This Row],[orden]]="","",_xlfn.XLOOKUP(tblOrdenes[[#This Row],[id_operacion]],tblEjecucion[id_operacion],tblEjecucion[precio],0))</f>
        <v/>
      </c>
      <c r="AJ449" s="10">
        <f>IF(tblOrdenes[[#This Row],[orden]]="","",MAX(0,_xlfn.XLOOKUP(tblOrdenes[[#This Row],[id_operacion]],tblEjecucion[id_operacion],tblEjecucion[costo_plan_total],0)-tblOrdenes[[#This Row],[costo_servicio]]))</f>
        <v/>
      </c>
      <c r="AK449" s="10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2">
        <f>IF(tblOrdenes[[#This Row],[fecha_inicio]]="","",TODAY()-tblOrdenes[[#This Row],[fecha_inicio]])</f>
        <v/>
      </c>
      <c r="AB4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0">
        <f>IF(tblOrdenes[[#This Row],[orden]]="","",_xlfn.XLOOKUP(tblOrdenes[[#This Row],[id_operacion]],tblEjecucion[id_operacion],tblEjecucion[precio],0))</f>
        <v/>
      </c>
      <c r="AJ450" s="10">
        <f>IF(tblOrdenes[[#This Row],[orden]]="","",MAX(0,_xlfn.XLOOKUP(tblOrdenes[[#This Row],[id_operacion]],tblEjecucion[id_operacion],tblEjecucion[costo_plan_total],0)-tblOrdenes[[#This Row],[costo_servicio]]))</f>
        <v/>
      </c>
      <c r="AK450" s="10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2">
        <f>IF(tblOrdenes[[#This Row],[fecha_inicio]]="","",TODAY()-tblOrdenes[[#This Row],[fecha_inicio]])</f>
        <v/>
      </c>
      <c r="AB4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0">
        <f>IF(tblOrdenes[[#This Row],[orden]]="","",_xlfn.XLOOKUP(tblOrdenes[[#This Row],[id_operacion]],tblEjecucion[id_operacion],tblEjecucion[precio],0))</f>
        <v/>
      </c>
      <c r="AJ451" s="10">
        <f>IF(tblOrdenes[[#This Row],[orden]]="","",MAX(0,_xlfn.XLOOKUP(tblOrdenes[[#This Row],[id_operacion]],tblEjecucion[id_operacion],tblEjecucion[costo_plan_total],0)-tblOrdenes[[#This Row],[costo_servicio]]))</f>
        <v/>
      </c>
      <c r="AK451" s="10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2">
        <f>IF(tblOrdenes[[#This Row],[fecha_inicio]]="","",TODAY()-tblOrdenes[[#This Row],[fecha_inicio]])</f>
        <v/>
      </c>
      <c r="AB4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0">
        <f>IF(tblOrdenes[[#This Row],[orden]]="","",_xlfn.XLOOKUP(tblOrdenes[[#This Row],[id_operacion]],tblEjecucion[id_operacion],tblEjecucion[precio],0))</f>
        <v/>
      </c>
      <c r="AJ452" s="10">
        <f>IF(tblOrdenes[[#This Row],[orden]]="","",MAX(0,_xlfn.XLOOKUP(tblOrdenes[[#This Row],[id_operacion]],tblEjecucion[id_operacion],tblEjecucion[costo_plan_total],0)-tblOrdenes[[#This Row],[costo_servicio]]))</f>
        <v/>
      </c>
      <c r="AK452" s="10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2">
        <f>IF(tblOrdenes[[#This Row],[fecha_inicio]]="","",TODAY()-tblOrdenes[[#This Row],[fecha_inicio]])</f>
        <v/>
      </c>
      <c r="AB4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0">
        <f>IF(tblOrdenes[[#This Row],[orden]]="","",_xlfn.XLOOKUP(tblOrdenes[[#This Row],[id_operacion]],tblEjecucion[id_operacion],tblEjecucion[precio],0))</f>
        <v/>
      </c>
      <c r="AJ453" s="10">
        <f>IF(tblOrdenes[[#This Row],[orden]]="","",MAX(0,_xlfn.XLOOKUP(tblOrdenes[[#This Row],[id_operacion]],tblEjecucion[id_operacion],tblEjecucion[costo_plan_total],0)-tblOrdenes[[#This Row],[costo_servicio]]))</f>
        <v/>
      </c>
      <c r="AK453" s="10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2">
        <f>IF(tblOrdenes[[#This Row],[fecha_inicio]]="","",TODAY()-tblOrdenes[[#This Row],[fecha_inicio]])</f>
        <v/>
      </c>
      <c r="AB4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0">
        <f>IF(tblOrdenes[[#This Row],[orden]]="","",_xlfn.XLOOKUP(tblOrdenes[[#This Row],[id_operacion]],tblEjecucion[id_operacion],tblEjecucion[precio],0))</f>
        <v/>
      </c>
      <c r="AJ454" s="10">
        <f>IF(tblOrdenes[[#This Row],[orden]]="","",MAX(0,_xlfn.XLOOKUP(tblOrdenes[[#This Row],[id_operacion]],tblEjecucion[id_operacion],tblEjecucion[costo_plan_total],0)-tblOrdenes[[#This Row],[costo_servicio]]))</f>
        <v/>
      </c>
      <c r="AK454" s="10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2">
        <f>IF(tblOrdenes[[#This Row],[fecha_inicio]]="","",TODAY()-tblOrdenes[[#This Row],[fecha_inicio]])</f>
        <v/>
      </c>
      <c r="AB4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0">
        <f>IF(tblOrdenes[[#This Row],[orden]]="","",_xlfn.XLOOKUP(tblOrdenes[[#This Row],[id_operacion]],tblEjecucion[id_operacion],tblEjecucion[precio],0))</f>
        <v/>
      </c>
      <c r="AJ455" s="10">
        <f>IF(tblOrdenes[[#This Row],[orden]]="","",MAX(0,_xlfn.XLOOKUP(tblOrdenes[[#This Row],[id_operacion]],tblEjecucion[id_operacion],tblEjecucion[costo_plan_total],0)-tblOrdenes[[#This Row],[costo_servicio]]))</f>
        <v/>
      </c>
      <c r="AK455" s="10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2">
        <f>IF(tblOrdenes[[#This Row],[fecha_inicio]]="","",TODAY()-tblOrdenes[[#This Row],[fecha_inicio]])</f>
        <v/>
      </c>
      <c r="AB4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0">
        <f>IF(tblOrdenes[[#This Row],[orden]]="","",_xlfn.XLOOKUP(tblOrdenes[[#This Row],[id_operacion]],tblEjecucion[id_operacion],tblEjecucion[precio],0))</f>
        <v/>
      </c>
      <c r="AJ456" s="10">
        <f>IF(tblOrdenes[[#This Row],[orden]]="","",MAX(0,_xlfn.XLOOKUP(tblOrdenes[[#This Row],[id_operacion]],tblEjecucion[id_operacion],tblEjecucion[costo_plan_total],0)-tblOrdenes[[#This Row],[costo_servicio]]))</f>
        <v/>
      </c>
      <c r="AK456" s="10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2">
        <f>IF(tblOrdenes[[#This Row],[fecha_inicio]]="","",TODAY()-tblOrdenes[[#This Row],[fecha_inicio]])</f>
        <v/>
      </c>
      <c r="AB4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0">
        <f>IF(tblOrdenes[[#This Row],[orden]]="","",_xlfn.XLOOKUP(tblOrdenes[[#This Row],[id_operacion]],tblEjecucion[id_operacion],tblEjecucion[precio],0))</f>
        <v/>
      </c>
      <c r="AJ457" s="10">
        <f>IF(tblOrdenes[[#This Row],[orden]]="","",MAX(0,_xlfn.XLOOKUP(tblOrdenes[[#This Row],[id_operacion]],tblEjecucion[id_operacion],tblEjecucion[costo_plan_total],0)-tblOrdenes[[#This Row],[costo_servicio]]))</f>
        <v/>
      </c>
      <c r="AK457" s="10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2">
        <f>IF(tblOrdenes[[#This Row],[fecha_inicio]]="","",TODAY()-tblOrdenes[[#This Row],[fecha_inicio]])</f>
        <v/>
      </c>
      <c r="AB4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0">
        <f>IF(tblOrdenes[[#This Row],[orden]]="","",_xlfn.XLOOKUP(tblOrdenes[[#This Row],[id_operacion]],tblEjecucion[id_operacion],tblEjecucion[precio],0))</f>
        <v/>
      </c>
      <c r="AJ458" s="10">
        <f>IF(tblOrdenes[[#This Row],[orden]]="","",MAX(0,_xlfn.XLOOKUP(tblOrdenes[[#This Row],[id_operacion]],tblEjecucion[id_operacion],tblEjecucion[costo_plan_total],0)-tblOrdenes[[#This Row],[costo_servicio]]))</f>
        <v/>
      </c>
      <c r="AK458" s="10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2">
        <f>IF(tblOrdenes[[#This Row],[fecha_inicio]]="","",TODAY()-tblOrdenes[[#This Row],[fecha_inicio]])</f>
        <v/>
      </c>
      <c r="AB4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0">
        <f>IF(tblOrdenes[[#This Row],[orden]]="","",_xlfn.XLOOKUP(tblOrdenes[[#This Row],[id_operacion]],tblEjecucion[id_operacion],tblEjecucion[precio],0))</f>
        <v/>
      </c>
      <c r="AJ459" s="10">
        <f>IF(tblOrdenes[[#This Row],[orden]]="","",MAX(0,_xlfn.XLOOKUP(tblOrdenes[[#This Row],[id_operacion]],tblEjecucion[id_operacion],tblEjecucion[costo_plan_total],0)-tblOrdenes[[#This Row],[costo_servicio]]))</f>
        <v/>
      </c>
      <c r="AK459" s="10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2">
        <f>IF(tblOrdenes[[#This Row],[fecha_inicio]]="","",TODAY()-tblOrdenes[[#This Row],[fecha_inicio]])</f>
        <v/>
      </c>
      <c r="AB4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0">
        <f>IF(tblOrdenes[[#This Row],[orden]]="","",_xlfn.XLOOKUP(tblOrdenes[[#This Row],[id_operacion]],tblEjecucion[id_operacion],tblEjecucion[precio],0))</f>
        <v/>
      </c>
      <c r="AJ460" s="10">
        <f>IF(tblOrdenes[[#This Row],[orden]]="","",MAX(0,_xlfn.XLOOKUP(tblOrdenes[[#This Row],[id_operacion]],tblEjecucion[id_operacion],tblEjecucion[costo_plan_total],0)-tblOrdenes[[#This Row],[costo_servicio]]))</f>
        <v/>
      </c>
      <c r="AK460" s="10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2">
        <f>IF(tblOrdenes[[#This Row],[fecha_inicio]]="","",TODAY()-tblOrdenes[[#This Row],[fecha_inicio]])</f>
        <v/>
      </c>
      <c r="AB4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0">
        <f>IF(tblOrdenes[[#This Row],[orden]]="","",_xlfn.XLOOKUP(tblOrdenes[[#This Row],[id_operacion]],tblEjecucion[id_operacion],tblEjecucion[precio],0))</f>
        <v/>
      </c>
      <c r="AJ461" s="10">
        <f>IF(tblOrdenes[[#This Row],[orden]]="","",MAX(0,_xlfn.XLOOKUP(tblOrdenes[[#This Row],[id_operacion]],tblEjecucion[id_operacion],tblEjecucion[costo_plan_total],0)-tblOrdenes[[#This Row],[costo_servicio]]))</f>
        <v/>
      </c>
      <c r="AK461" s="10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2">
        <f>IF(tblOrdenes[[#This Row],[fecha_inicio]]="","",TODAY()-tblOrdenes[[#This Row],[fecha_inicio]])</f>
        <v/>
      </c>
      <c r="AB4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0">
        <f>IF(tblOrdenes[[#This Row],[orden]]="","",_xlfn.XLOOKUP(tblOrdenes[[#This Row],[id_operacion]],tblEjecucion[id_operacion],tblEjecucion[precio],0))</f>
        <v/>
      </c>
      <c r="AJ462" s="10">
        <f>IF(tblOrdenes[[#This Row],[orden]]="","",MAX(0,_xlfn.XLOOKUP(tblOrdenes[[#This Row],[id_operacion]],tblEjecucion[id_operacion],tblEjecucion[costo_plan_total],0)-tblOrdenes[[#This Row],[costo_servicio]]))</f>
        <v/>
      </c>
      <c r="AK462" s="10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2">
        <f>IF(tblOrdenes[[#This Row],[fecha_inicio]]="","",TODAY()-tblOrdenes[[#This Row],[fecha_inicio]])</f>
        <v/>
      </c>
      <c r="AB4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0">
        <f>IF(tblOrdenes[[#This Row],[orden]]="","",_xlfn.XLOOKUP(tblOrdenes[[#This Row],[id_operacion]],tblEjecucion[id_operacion],tblEjecucion[precio],0))</f>
        <v/>
      </c>
      <c r="AJ463" s="10">
        <f>IF(tblOrdenes[[#This Row],[orden]]="","",MAX(0,_xlfn.XLOOKUP(tblOrdenes[[#This Row],[id_operacion]],tblEjecucion[id_operacion],tblEjecucion[costo_plan_total],0)-tblOrdenes[[#This Row],[costo_servicio]]))</f>
        <v/>
      </c>
      <c r="AK463" s="10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2">
        <f>IF(tblOrdenes[[#This Row],[fecha_inicio]]="","",TODAY()-tblOrdenes[[#This Row],[fecha_inicio]])</f>
        <v/>
      </c>
      <c r="AB4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0">
        <f>IF(tblOrdenes[[#This Row],[orden]]="","",_xlfn.XLOOKUP(tblOrdenes[[#This Row],[id_operacion]],tblEjecucion[id_operacion],tblEjecucion[precio],0))</f>
        <v/>
      </c>
      <c r="AJ464" s="10">
        <f>IF(tblOrdenes[[#This Row],[orden]]="","",MAX(0,_xlfn.XLOOKUP(tblOrdenes[[#This Row],[id_operacion]],tblEjecucion[id_operacion],tblEjecucion[costo_plan_total],0)-tblOrdenes[[#This Row],[costo_servicio]]))</f>
        <v/>
      </c>
      <c r="AK464" s="10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2">
        <f>IF(tblOrdenes[[#This Row],[fecha_inicio]]="","",TODAY()-tblOrdenes[[#This Row],[fecha_inicio]])</f>
        <v/>
      </c>
      <c r="AB4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0">
        <f>IF(tblOrdenes[[#This Row],[orden]]="","",_xlfn.XLOOKUP(tblOrdenes[[#This Row],[id_operacion]],tblEjecucion[id_operacion],tblEjecucion[precio],0))</f>
        <v/>
      </c>
      <c r="AJ465" s="10">
        <f>IF(tblOrdenes[[#This Row],[orden]]="","",MAX(0,_xlfn.XLOOKUP(tblOrdenes[[#This Row],[id_operacion]],tblEjecucion[id_operacion],tblEjecucion[costo_plan_total],0)-tblOrdenes[[#This Row],[costo_servicio]]))</f>
        <v/>
      </c>
      <c r="AK465" s="10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2">
        <f>IF(tblOrdenes[[#This Row],[fecha_inicio]]="","",TODAY()-tblOrdenes[[#This Row],[fecha_inicio]])</f>
        <v/>
      </c>
      <c r="AB4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0">
        <f>IF(tblOrdenes[[#This Row],[orden]]="","",_xlfn.XLOOKUP(tblOrdenes[[#This Row],[id_operacion]],tblEjecucion[id_operacion],tblEjecucion[precio],0))</f>
        <v/>
      </c>
      <c r="AJ466" s="10">
        <f>IF(tblOrdenes[[#This Row],[orden]]="","",MAX(0,_xlfn.XLOOKUP(tblOrdenes[[#This Row],[id_operacion]],tblEjecucion[id_operacion],tblEjecucion[costo_plan_total],0)-tblOrdenes[[#This Row],[costo_servicio]]))</f>
        <v/>
      </c>
      <c r="AK466" s="10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2">
        <f>IF(tblOrdenes[[#This Row],[fecha_inicio]]="","",TODAY()-tblOrdenes[[#This Row],[fecha_inicio]])</f>
        <v/>
      </c>
      <c r="AB4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0">
        <f>IF(tblOrdenes[[#This Row],[orden]]="","",_xlfn.XLOOKUP(tblOrdenes[[#This Row],[id_operacion]],tblEjecucion[id_operacion],tblEjecucion[precio],0))</f>
        <v/>
      </c>
      <c r="AJ467" s="10">
        <f>IF(tblOrdenes[[#This Row],[orden]]="","",MAX(0,_xlfn.XLOOKUP(tblOrdenes[[#This Row],[id_operacion]],tblEjecucion[id_operacion],tblEjecucion[costo_plan_total],0)-tblOrdenes[[#This Row],[costo_servicio]]))</f>
        <v/>
      </c>
      <c r="AK467" s="10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2">
        <f>IF(tblOrdenes[[#This Row],[fecha_inicio]]="","",TODAY()-tblOrdenes[[#This Row],[fecha_inicio]])</f>
        <v/>
      </c>
      <c r="AB4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0">
        <f>IF(tblOrdenes[[#This Row],[orden]]="","",_xlfn.XLOOKUP(tblOrdenes[[#This Row],[id_operacion]],tblEjecucion[id_operacion],tblEjecucion[precio],0))</f>
        <v/>
      </c>
      <c r="AJ468" s="10">
        <f>IF(tblOrdenes[[#This Row],[orden]]="","",MAX(0,_xlfn.XLOOKUP(tblOrdenes[[#This Row],[id_operacion]],tblEjecucion[id_operacion],tblEjecucion[costo_plan_total],0)-tblOrdenes[[#This Row],[costo_servicio]]))</f>
        <v/>
      </c>
      <c r="AK468" s="10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2">
        <f>IF(tblOrdenes[[#This Row],[fecha_inicio]]="","",TODAY()-tblOrdenes[[#This Row],[fecha_inicio]])</f>
        <v/>
      </c>
      <c r="AB4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0">
        <f>IF(tblOrdenes[[#This Row],[orden]]="","",_xlfn.XLOOKUP(tblOrdenes[[#This Row],[id_operacion]],tblEjecucion[id_operacion],tblEjecucion[precio],0))</f>
        <v/>
      </c>
      <c r="AJ469" s="10">
        <f>IF(tblOrdenes[[#This Row],[orden]]="","",MAX(0,_xlfn.XLOOKUP(tblOrdenes[[#This Row],[id_operacion]],tblEjecucion[id_operacion],tblEjecucion[costo_plan_total],0)-tblOrdenes[[#This Row],[costo_servicio]]))</f>
        <v/>
      </c>
      <c r="AK469" s="10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2">
        <f>IF(tblOrdenes[[#This Row],[fecha_inicio]]="","",TODAY()-tblOrdenes[[#This Row],[fecha_inicio]])</f>
        <v/>
      </c>
      <c r="AB4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0">
        <f>IF(tblOrdenes[[#This Row],[orden]]="","",_xlfn.XLOOKUP(tblOrdenes[[#This Row],[id_operacion]],tblEjecucion[id_operacion],tblEjecucion[precio],0))</f>
        <v/>
      </c>
      <c r="AJ470" s="10">
        <f>IF(tblOrdenes[[#This Row],[orden]]="","",MAX(0,_xlfn.XLOOKUP(tblOrdenes[[#This Row],[id_operacion]],tblEjecucion[id_operacion],tblEjecucion[costo_plan_total],0)-tblOrdenes[[#This Row],[costo_servicio]]))</f>
        <v/>
      </c>
      <c r="AK470" s="10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2">
        <f>IF(tblOrdenes[[#This Row],[fecha_inicio]]="","",TODAY()-tblOrdenes[[#This Row],[fecha_inicio]])</f>
        <v/>
      </c>
      <c r="AB4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0">
        <f>IF(tblOrdenes[[#This Row],[orden]]="","",_xlfn.XLOOKUP(tblOrdenes[[#This Row],[id_operacion]],tblEjecucion[id_operacion],tblEjecucion[precio],0))</f>
        <v/>
      </c>
      <c r="AJ471" s="10">
        <f>IF(tblOrdenes[[#This Row],[orden]]="","",MAX(0,_xlfn.XLOOKUP(tblOrdenes[[#This Row],[id_operacion]],tblEjecucion[id_operacion],tblEjecucion[costo_plan_total],0)-tblOrdenes[[#This Row],[costo_servicio]]))</f>
        <v/>
      </c>
      <c r="AK471" s="10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2">
        <f>IF(tblOrdenes[[#This Row],[fecha_inicio]]="","",TODAY()-tblOrdenes[[#This Row],[fecha_inicio]])</f>
        <v/>
      </c>
      <c r="AB4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0">
        <f>IF(tblOrdenes[[#This Row],[orden]]="","",_xlfn.XLOOKUP(tblOrdenes[[#This Row],[id_operacion]],tblEjecucion[id_operacion],tblEjecucion[precio],0))</f>
        <v/>
      </c>
      <c r="AJ472" s="10">
        <f>IF(tblOrdenes[[#This Row],[orden]]="","",MAX(0,_xlfn.XLOOKUP(tblOrdenes[[#This Row],[id_operacion]],tblEjecucion[id_operacion],tblEjecucion[costo_plan_total],0)-tblOrdenes[[#This Row],[costo_servicio]]))</f>
        <v/>
      </c>
      <c r="AK472" s="10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2">
        <f>IF(tblOrdenes[[#This Row],[fecha_inicio]]="","",TODAY()-tblOrdenes[[#This Row],[fecha_inicio]])</f>
        <v/>
      </c>
      <c r="AB4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0">
        <f>IF(tblOrdenes[[#This Row],[orden]]="","",_xlfn.XLOOKUP(tblOrdenes[[#This Row],[id_operacion]],tblEjecucion[id_operacion],tblEjecucion[precio],0))</f>
        <v/>
      </c>
      <c r="AJ473" s="10">
        <f>IF(tblOrdenes[[#This Row],[orden]]="","",MAX(0,_xlfn.XLOOKUP(tblOrdenes[[#This Row],[id_operacion]],tblEjecucion[id_operacion],tblEjecucion[costo_plan_total],0)-tblOrdenes[[#This Row],[costo_servicio]]))</f>
        <v/>
      </c>
      <c r="AK473" s="10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2">
        <f>IF(tblOrdenes[[#This Row],[fecha_inicio]]="","",TODAY()-tblOrdenes[[#This Row],[fecha_inicio]])</f>
        <v/>
      </c>
      <c r="AB4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0">
        <f>IF(tblOrdenes[[#This Row],[orden]]="","",_xlfn.XLOOKUP(tblOrdenes[[#This Row],[id_operacion]],tblEjecucion[id_operacion],tblEjecucion[precio],0))</f>
        <v/>
      </c>
      <c r="AJ474" s="10">
        <f>IF(tblOrdenes[[#This Row],[orden]]="","",MAX(0,_xlfn.XLOOKUP(tblOrdenes[[#This Row],[id_operacion]],tblEjecucion[id_operacion],tblEjecucion[costo_plan_total],0)-tblOrdenes[[#This Row],[costo_servicio]]))</f>
        <v/>
      </c>
      <c r="AK474" s="10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2">
        <f>IF(tblOrdenes[[#This Row],[fecha_inicio]]="","",TODAY()-tblOrdenes[[#This Row],[fecha_inicio]])</f>
        <v/>
      </c>
      <c r="AB4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0">
        <f>IF(tblOrdenes[[#This Row],[orden]]="","",_xlfn.XLOOKUP(tblOrdenes[[#This Row],[id_operacion]],tblEjecucion[id_operacion],tblEjecucion[precio],0))</f>
        <v/>
      </c>
      <c r="AJ475" s="10">
        <f>IF(tblOrdenes[[#This Row],[orden]]="","",MAX(0,_xlfn.XLOOKUP(tblOrdenes[[#This Row],[id_operacion]],tblEjecucion[id_operacion],tblEjecucion[costo_plan_total],0)-tblOrdenes[[#This Row],[costo_servicio]]))</f>
        <v/>
      </c>
      <c r="AK475" s="10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2">
        <f>IF(tblOrdenes[[#This Row],[fecha_inicio]]="","",TODAY()-tblOrdenes[[#This Row],[fecha_inicio]])</f>
        <v/>
      </c>
      <c r="AB4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0">
        <f>IF(tblOrdenes[[#This Row],[orden]]="","",_xlfn.XLOOKUP(tblOrdenes[[#This Row],[id_operacion]],tblEjecucion[id_operacion],tblEjecucion[precio],0))</f>
        <v/>
      </c>
      <c r="AJ476" s="10">
        <f>IF(tblOrdenes[[#This Row],[orden]]="","",MAX(0,_xlfn.XLOOKUP(tblOrdenes[[#This Row],[id_operacion]],tblEjecucion[id_operacion],tblEjecucion[costo_plan_total],0)-tblOrdenes[[#This Row],[costo_servicio]]))</f>
        <v/>
      </c>
      <c r="AK476" s="10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2">
        <f>IF(tblOrdenes[[#This Row],[fecha_inicio]]="","",TODAY()-tblOrdenes[[#This Row],[fecha_inicio]])</f>
        <v/>
      </c>
      <c r="AB4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0">
        <f>IF(tblOrdenes[[#This Row],[orden]]="","",_xlfn.XLOOKUP(tblOrdenes[[#This Row],[id_operacion]],tblEjecucion[id_operacion],tblEjecucion[precio],0))</f>
        <v/>
      </c>
      <c r="AJ477" s="10">
        <f>IF(tblOrdenes[[#This Row],[orden]]="","",MAX(0,_xlfn.XLOOKUP(tblOrdenes[[#This Row],[id_operacion]],tblEjecucion[id_operacion],tblEjecucion[costo_plan_total],0)-tblOrdenes[[#This Row],[costo_servicio]]))</f>
        <v/>
      </c>
      <c r="AK477" s="10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2">
        <f>IF(tblOrdenes[[#This Row],[fecha_inicio]]="","",TODAY()-tblOrdenes[[#This Row],[fecha_inicio]])</f>
        <v/>
      </c>
      <c r="AB4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0">
        <f>IF(tblOrdenes[[#This Row],[orden]]="","",_xlfn.XLOOKUP(tblOrdenes[[#This Row],[id_operacion]],tblEjecucion[id_operacion],tblEjecucion[precio],0))</f>
        <v/>
      </c>
      <c r="AJ478" s="10">
        <f>IF(tblOrdenes[[#This Row],[orden]]="","",MAX(0,_xlfn.XLOOKUP(tblOrdenes[[#This Row],[id_operacion]],tblEjecucion[id_operacion],tblEjecucion[costo_plan_total],0)-tblOrdenes[[#This Row],[costo_servicio]]))</f>
        <v/>
      </c>
      <c r="AK478" s="10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2">
        <f>IF(tblOrdenes[[#This Row],[fecha_inicio]]="","",TODAY()-tblOrdenes[[#This Row],[fecha_inicio]])</f>
        <v/>
      </c>
      <c r="AB4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0">
        <f>IF(tblOrdenes[[#This Row],[orden]]="","",_xlfn.XLOOKUP(tblOrdenes[[#This Row],[id_operacion]],tblEjecucion[id_operacion],tblEjecucion[precio],0))</f>
        <v/>
      </c>
      <c r="AJ479" s="10">
        <f>IF(tblOrdenes[[#This Row],[orden]]="","",MAX(0,_xlfn.XLOOKUP(tblOrdenes[[#This Row],[id_operacion]],tblEjecucion[id_operacion],tblEjecucion[costo_plan_total],0)-tblOrdenes[[#This Row],[costo_servicio]]))</f>
        <v/>
      </c>
      <c r="AK479" s="10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2">
        <f>IF(tblOrdenes[[#This Row],[fecha_inicio]]="","",TODAY()-tblOrdenes[[#This Row],[fecha_inicio]])</f>
        <v/>
      </c>
      <c r="AB4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0">
        <f>IF(tblOrdenes[[#This Row],[orden]]="","",_xlfn.XLOOKUP(tblOrdenes[[#This Row],[id_operacion]],tblEjecucion[id_operacion],tblEjecucion[precio],0))</f>
        <v/>
      </c>
      <c r="AJ480" s="10">
        <f>IF(tblOrdenes[[#This Row],[orden]]="","",MAX(0,_xlfn.XLOOKUP(tblOrdenes[[#This Row],[id_operacion]],tblEjecucion[id_operacion],tblEjecucion[costo_plan_total],0)-tblOrdenes[[#This Row],[costo_servicio]]))</f>
        <v/>
      </c>
      <c r="AK480" s="10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2">
        <f>IF(tblOrdenes[[#This Row],[fecha_inicio]]="","",TODAY()-tblOrdenes[[#This Row],[fecha_inicio]])</f>
        <v/>
      </c>
      <c r="AB4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0">
        <f>IF(tblOrdenes[[#This Row],[orden]]="","",_xlfn.XLOOKUP(tblOrdenes[[#This Row],[id_operacion]],tblEjecucion[id_operacion],tblEjecucion[precio],0))</f>
        <v/>
      </c>
      <c r="AJ481" s="10">
        <f>IF(tblOrdenes[[#This Row],[orden]]="","",MAX(0,_xlfn.XLOOKUP(tblOrdenes[[#This Row],[id_operacion]],tblEjecucion[id_operacion],tblEjecucion[costo_plan_total],0)-tblOrdenes[[#This Row],[costo_servicio]]))</f>
        <v/>
      </c>
      <c r="AK481" s="10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2">
        <f>IF(tblOrdenes[[#This Row],[fecha_inicio]]="","",TODAY()-tblOrdenes[[#This Row],[fecha_inicio]])</f>
        <v/>
      </c>
      <c r="AB4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0">
        <f>IF(tblOrdenes[[#This Row],[orden]]="","",_xlfn.XLOOKUP(tblOrdenes[[#This Row],[id_operacion]],tblEjecucion[id_operacion],tblEjecucion[precio],0))</f>
        <v/>
      </c>
      <c r="AJ482" s="10">
        <f>IF(tblOrdenes[[#This Row],[orden]]="","",MAX(0,_xlfn.XLOOKUP(tblOrdenes[[#This Row],[id_operacion]],tblEjecucion[id_operacion],tblEjecucion[costo_plan_total],0)-tblOrdenes[[#This Row],[costo_servicio]]))</f>
        <v/>
      </c>
      <c r="AK482" s="10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2">
        <f>IF(tblOrdenes[[#This Row],[fecha_inicio]]="","",TODAY()-tblOrdenes[[#This Row],[fecha_inicio]])</f>
        <v/>
      </c>
      <c r="AB4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0">
        <f>IF(tblOrdenes[[#This Row],[orden]]="","",_xlfn.XLOOKUP(tblOrdenes[[#This Row],[id_operacion]],tblEjecucion[id_operacion],tblEjecucion[precio],0))</f>
        <v/>
      </c>
      <c r="AJ483" s="10">
        <f>IF(tblOrdenes[[#This Row],[orden]]="","",MAX(0,_xlfn.XLOOKUP(tblOrdenes[[#This Row],[id_operacion]],tblEjecucion[id_operacion],tblEjecucion[costo_plan_total],0)-tblOrdenes[[#This Row],[costo_servicio]]))</f>
        <v/>
      </c>
      <c r="AK483" s="10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2">
        <f>IF(tblOrdenes[[#This Row],[fecha_inicio]]="","",TODAY()-tblOrdenes[[#This Row],[fecha_inicio]])</f>
        <v/>
      </c>
      <c r="AB4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0">
        <f>IF(tblOrdenes[[#This Row],[orden]]="","",_xlfn.XLOOKUP(tblOrdenes[[#This Row],[id_operacion]],tblEjecucion[id_operacion],tblEjecucion[precio],0))</f>
        <v/>
      </c>
      <c r="AJ484" s="10">
        <f>IF(tblOrdenes[[#This Row],[orden]]="","",MAX(0,_xlfn.XLOOKUP(tblOrdenes[[#This Row],[id_operacion]],tblEjecucion[id_operacion],tblEjecucion[costo_plan_total],0)-tblOrdenes[[#This Row],[costo_servicio]]))</f>
        <v/>
      </c>
      <c r="AK484" s="10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2">
        <f>IF(tblOrdenes[[#This Row],[fecha_inicio]]="","",TODAY()-tblOrdenes[[#This Row],[fecha_inicio]])</f>
        <v/>
      </c>
      <c r="AB4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0">
        <f>IF(tblOrdenes[[#This Row],[orden]]="","",_xlfn.XLOOKUP(tblOrdenes[[#This Row],[id_operacion]],tblEjecucion[id_operacion],tblEjecucion[precio],0))</f>
        <v/>
      </c>
      <c r="AJ485" s="10">
        <f>IF(tblOrdenes[[#This Row],[orden]]="","",MAX(0,_xlfn.XLOOKUP(tblOrdenes[[#This Row],[id_operacion]],tblEjecucion[id_operacion],tblEjecucion[costo_plan_total],0)-tblOrdenes[[#This Row],[costo_servicio]]))</f>
        <v/>
      </c>
      <c r="AK485" s="10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2">
        <f>IF(tblOrdenes[[#This Row],[fecha_inicio]]="","",TODAY()-tblOrdenes[[#This Row],[fecha_inicio]])</f>
        <v/>
      </c>
      <c r="AB4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0">
        <f>IF(tblOrdenes[[#This Row],[orden]]="","",_xlfn.XLOOKUP(tblOrdenes[[#This Row],[id_operacion]],tblEjecucion[id_operacion],tblEjecucion[precio],0))</f>
        <v/>
      </c>
      <c r="AJ486" s="10">
        <f>IF(tblOrdenes[[#This Row],[orden]]="","",MAX(0,_xlfn.XLOOKUP(tblOrdenes[[#This Row],[id_operacion]],tblEjecucion[id_operacion],tblEjecucion[costo_plan_total],0)-tblOrdenes[[#This Row],[costo_servicio]]))</f>
        <v/>
      </c>
      <c r="AK486" s="10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2">
        <f>IF(tblOrdenes[[#This Row],[fecha_inicio]]="","",TODAY()-tblOrdenes[[#This Row],[fecha_inicio]])</f>
        <v/>
      </c>
      <c r="AB4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0">
        <f>IF(tblOrdenes[[#This Row],[orden]]="","",_xlfn.XLOOKUP(tblOrdenes[[#This Row],[id_operacion]],tblEjecucion[id_operacion],tblEjecucion[precio],0))</f>
        <v/>
      </c>
      <c r="AJ487" s="10">
        <f>IF(tblOrdenes[[#This Row],[orden]]="","",MAX(0,_xlfn.XLOOKUP(tblOrdenes[[#This Row],[id_operacion]],tblEjecucion[id_operacion],tblEjecucion[costo_plan_total],0)-tblOrdenes[[#This Row],[costo_servicio]]))</f>
        <v/>
      </c>
      <c r="AK487" s="10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2">
        <f>IF(tblOrdenes[[#This Row],[fecha_inicio]]="","",TODAY()-tblOrdenes[[#This Row],[fecha_inicio]])</f>
        <v/>
      </c>
      <c r="AB4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0">
        <f>IF(tblOrdenes[[#This Row],[orden]]="","",_xlfn.XLOOKUP(tblOrdenes[[#This Row],[id_operacion]],tblEjecucion[id_operacion],tblEjecucion[precio],0))</f>
        <v/>
      </c>
      <c r="AJ488" s="10">
        <f>IF(tblOrdenes[[#This Row],[orden]]="","",MAX(0,_xlfn.XLOOKUP(tblOrdenes[[#This Row],[id_operacion]],tblEjecucion[id_operacion],tblEjecucion[costo_plan_total],0)-tblOrdenes[[#This Row],[costo_servicio]]))</f>
        <v/>
      </c>
      <c r="AK488" s="10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2">
        <f>IF(tblOrdenes[[#This Row],[fecha_inicio]]="","",TODAY()-tblOrdenes[[#This Row],[fecha_inicio]])</f>
        <v/>
      </c>
      <c r="AB4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0">
        <f>IF(tblOrdenes[[#This Row],[orden]]="","",_xlfn.XLOOKUP(tblOrdenes[[#This Row],[id_operacion]],tblEjecucion[id_operacion],tblEjecucion[precio],0))</f>
        <v/>
      </c>
      <c r="AJ489" s="10">
        <f>IF(tblOrdenes[[#This Row],[orden]]="","",MAX(0,_xlfn.XLOOKUP(tblOrdenes[[#This Row],[id_operacion]],tblEjecucion[id_operacion],tblEjecucion[costo_plan_total],0)-tblOrdenes[[#This Row],[costo_servicio]]))</f>
        <v/>
      </c>
      <c r="AK489" s="10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2">
        <f>IF(tblOrdenes[[#This Row],[fecha_inicio]]="","",TODAY()-tblOrdenes[[#This Row],[fecha_inicio]])</f>
        <v/>
      </c>
      <c r="AB4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0">
        <f>IF(tblOrdenes[[#This Row],[orden]]="","",_xlfn.XLOOKUP(tblOrdenes[[#This Row],[id_operacion]],tblEjecucion[id_operacion],tblEjecucion[precio],0))</f>
        <v/>
      </c>
      <c r="AJ490" s="10">
        <f>IF(tblOrdenes[[#This Row],[orden]]="","",MAX(0,_xlfn.XLOOKUP(tblOrdenes[[#This Row],[id_operacion]],tblEjecucion[id_operacion],tblEjecucion[costo_plan_total],0)-tblOrdenes[[#This Row],[costo_servicio]]))</f>
        <v/>
      </c>
      <c r="AK490" s="10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2">
        <f>IF(tblOrdenes[[#This Row],[fecha_inicio]]="","",TODAY()-tblOrdenes[[#This Row],[fecha_inicio]])</f>
        <v/>
      </c>
      <c r="AB4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0">
        <f>IF(tblOrdenes[[#This Row],[orden]]="","",_xlfn.XLOOKUP(tblOrdenes[[#This Row],[id_operacion]],tblEjecucion[id_operacion],tblEjecucion[precio],0))</f>
        <v/>
      </c>
      <c r="AJ491" s="10">
        <f>IF(tblOrdenes[[#This Row],[orden]]="","",MAX(0,_xlfn.XLOOKUP(tblOrdenes[[#This Row],[id_operacion]],tblEjecucion[id_operacion],tblEjecucion[costo_plan_total],0)-tblOrdenes[[#This Row],[costo_servicio]]))</f>
        <v/>
      </c>
      <c r="AK491" s="10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2">
        <f>IF(tblOrdenes[[#This Row],[fecha_inicio]]="","",TODAY()-tblOrdenes[[#This Row],[fecha_inicio]])</f>
        <v/>
      </c>
      <c r="AB4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0">
        <f>IF(tblOrdenes[[#This Row],[orden]]="","",_xlfn.XLOOKUP(tblOrdenes[[#This Row],[id_operacion]],tblEjecucion[id_operacion],tblEjecucion[precio],0))</f>
        <v/>
      </c>
      <c r="AJ492" s="10">
        <f>IF(tblOrdenes[[#This Row],[orden]]="","",MAX(0,_xlfn.XLOOKUP(tblOrdenes[[#This Row],[id_operacion]],tblEjecucion[id_operacion],tblEjecucion[costo_plan_total],0)-tblOrdenes[[#This Row],[costo_servicio]]))</f>
        <v/>
      </c>
      <c r="AK492" s="10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2">
        <f>IF(tblOrdenes[[#This Row],[fecha_inicio]]="","",TODAY()-tblOrdenes[[#This Row],[fecha_inicio]])</f>
        <v/>
      </c>
      <c r="AB4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0">
        <f>IF(tblOrdenes[[#This Row],[orden]]="","",_xlfn.XLOOKUP(tblOrdenes[[#This Row],[id_operacion]],tblEjecucion[id_operacion],tblEjecucion[precio],0))</f>
        <v/>
      </c>
      <c r="AJ493" s="10">
        <f>IF(tblOrdenes[[#This Row],[orden]]="","",MAX(0,_xlfn.XLOOKUP(tblOrdenes[[#This Row],[id_operacion]],tblEjecucion[id_operacion],tblEjecucion[costo_plan_total],0)-tblOrdenes[[#This Row],[costo_servicio]]))</f>
        <v/>
      </c>
      <c r="AK493" s="10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2">
        <f>IF(tblOrdenes[[#This Row],[fecha_inicio]]="","",TODAY()-tblOrdenes[[#This Row],[fecha_inicio]])</f>
        <v/>
      </c>
      <c r="AB4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0">
        <f>IF(tblOrdenes[[#This Row],[orden]]="","",_xlfn.XLOOKUP(tblOrdenes[[#This Row],[id_operacion]],tblEjecucion[id_operacion],tblEjecucion[precio],0))</f>
        <v/>
      </c>
      <c r="AJ494" s="10">
        <f>IF(tblOrdenes[[#This Row],[orden]]="","",MAX(0,_xlfn.XLOOKUP(tblOrdenes[[#This Row],[id_operacion]],tblEjecucion[id_operacion],tblEjecucion[costo_plan_total],0)-tblOrdenes[[#This Row],[costo_servicio]]))</f>
        <v/>
      </c>
      <c r="AK494" s="10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2">
        <f>IF(tblOrdenes[[#This Row],[fecha_inicio]]="","",TODAY()-tblOrdenes[[#This Row],[fecha_inicio]])</f>
        <v/>
      </c>
      <c r="AB4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0">
        <f>IF(tblOrdenes[[#This Row],[orden]]="","",_xlfn.XLOOKUP(tblOrdenes[[#This Row],[id_operacion]],tblEjecucion[id_operacion],tblEjecucion[precio],0))</f>
        <v/>
      </c>
      <c r="AJ495" s="10">
        <f>IF(tblOrdenes[[#This Row],[orden]]="","",MAX(0,_xlfn.XLOOKUP(tblOrdenes[[#This Row],[id_operacion]],tblEjecucion[id_operacion],tblEjecucion[costo_plan_total],0)-tblOrdenes[[#This Row],[costo_servicio]]))</f>
        <v/>
      </c>
      <c r="AK495" s="10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2">
        <f>IF(tblOrdenes[[#This Row],[fecha_inicio]]="","",TODAY()-tblOrdenes[[#This Row],[fecha_inicio]])</f>
        <v/>
      </c>
      <c r="AB4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0">
        <f>IF(tblOrdenes[[#This Row],[orden]]="","",_xlfn.XLOOKUP(tblOrdenes[[#This Row],[id_operacion]],tblEjecucion[id_operacion],tblEjecucion[precio],0))</f>
        <v/>
      </c>
      <c r="AJ496" s="10">
        <f>IF(tblOrdenes[[#This Row],[orden]]="","",MAX(0,_xlfn.XLOOKUP(tblOrdenes[[#This Row],[id_operacion]],tblEjecucion[id_operacion],tblEjecucion[costo_plan_total],0)-tblOrdenes[[#This Row],[costo_servicio]]))</f>
        <v/>
      </c>
      <c r="AK496" s="10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2">
        <f>IF(tblOrdenes[[#This Row],[fecha_inicio]]="","",TODAY()-tblOrdenes[[#This Row],[fecha_inicio]])</f>
        <v/>
      </c>
      <c r="AB4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0">
        <f>IF(tblOrdenes[[#This Row],[orden]]="","",_xlfn.XLOOKUP(tblOrdenes[[#This Row],[id_operacion]],tblEjecucion[id_operacion],tblEjecucion[precio],0))</f>
        <v/>
      </c>
      <c r="AJ497" s="10">
        <f>IF(tblOrdenes[[#This Row],[orden]]="","",MAX(0,_xlfn.XLOOKUP(tblOrdenes[[#This Row],[id_operacion]],tblEjecucion[id_operacion],tblEjecucion[costo_plan_total],0)-tblOrdenes[[#This Row],[costo_servicio]]))</f>
        <v/>
      </c>
      <c r="AK497" s="10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2">
        <f>IF(tblOrdenes[[#This Row],[fecha_inicio]]="","",TODAY()-tblOrdenes[[#This Row],[fecha_inicio]])</f>
        <v/>
      </c>
      <c r="AB4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0">
        <f>IF(tblOrdenes[[#This Row],[orden]]="","",_xlfn.XLOOKUP(tblOrdenes[[#This Row],[id_operacion]],tblEjecucion[id_operacion],tblEjecucion[precio],0))</f>
        <v/>
      </c>
      <c r="AJ498" s="10">
        <f>IF(tblOrdenes[[#This Row],[orden]]="","",MAX(0,_xlfn.XLOOKUP(tblOrdenes[[#This Row],[id_operacion]],tblEjecucion[id_operacion],tblEjecucion[costo_plan_total],0)-tblOrdenes[[#This Row],[costo_servicio]]))</f>
        <v/>
      </c>
      <c r="AK498" s="10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2">
        <f>IF(tblOrdenes[[#This Row],[fecha_inicio]]="","",TODAY()-tblOrdenes[[#This Row],[fecha_inicio]])</f>
        <v/>
      </c>
      <c r="AB4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0">
        <f>IF(tblOrdenes[[#This Row],[orden]]="","",_xlfn.XLOOKUP(tblOrdenes[[#This Row],[id_operacion]],tblEjecucion[id_operacion],tblEjecucion[precio],0))</f>
        <v/>
      </c>
      <c r="AJ499" s="10">
        <f>IF(tblOrdenes[[#This Row],[orden]]="","",MAX(0,_xlfn.XLOOKUP(tblOrdenes[[#This Row],[id_operacion]],tblEjecucion[id_operacion],tblEjecucion[costo_plan_total],0)-tblOrdenes[[#This Row],[costo_servicio]]))</f>
        <v/>
      </c>
      <c r="AK499" s="10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2">
        <f>IF(tblOrdenes[[#This Row],[fecha_inicio]]="","",TODAY()-tblOrdenes[[#This Row],[fecha_inicio]])</f>
        <v/>
      </c>
      <c r="AB5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0">
        <f>IF(tblOrdenes[[#This Row],[orden]]="","",_xlfn.XLOOKUP(tblOrdenes[[#This Row],[id_operacion]],tblEjecucion[id_operacion],tblEjecucion[precio],0))</f>
        <v/>
      </c>
      <c r="AJ500" s="10">
        <f>IF(tblOrdenes[[#This Row],[orden]]="","",MAX(0,_xlfn.XLOOKUP(tblOrdenes[[#This Row],[id_operacion]],tblEjecucion[id_operacion],tblEjecucion[costo_plan_total],0)-tblOrdenes[[#This Row],[costo_servicio]]))</f>
        <v/>
      </c>
      <c r="AK500" s="10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2">
        <f>IF(tblOrdenes[[#This Row],[fecha_inicio]]="","",TODAY()-tblOrdenes[[#This Row],[fecha_inicio]])</f>
        <v/>
      </c>
      <c r="AB5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0">
        <f>IF(tblOrdenes[[#This Row],[orden]]="","",_xlfn.XLOOKUP(tblOrdenes[[#This Row],[id_operacion]],tblEjecucion[id_operacion],tblEjecucion[precio],0))</f>
        <v/>
      </c>
      <c r="AJ501" s="10">
        <f>IF(tblOrdenes[[#This Row],[orden]]="","",MAX(0,_xlfn.XLOOKUP(tblOrdenes[[#This Row],[id_operacion]],tblEjecucion[id_operacion],tblEjecucion[costo_plan_total],0)-tblOrdenes[[#This Row],[costo_servicio]]))</f>
        <v/>
      </c>
      <c r="AK501" s="10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2">
        <f>IF(tblOrdenes[[#This Row],[fecha_inicio]]="","",TODAY()-tblOrdenes[[#This Row],[fecha_inicio]])</f>
        <v/>
      </c>
      <c r="AB5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0">
        <f>IF(tblOrdenes[[#This Row],[orden]]="","",_xlfn.XLOOKUP(tblOrdenes[[#This Row],[id_operacion]],tblEjecucion[id_operacion],tblEjecucion[precio],0))</f>
        <v/>
      </c>
      <c r="AJ502" s="10">
        <f>IF(tblOrdenes[[#This Row],[orden]]="","",MAX(0,_xlfn.XLOOKUP(tblOrdenes[[#This Row],[id_operacion]],tblEjecucion[id_operacion],tblEjecucion[costo_plan_total],0)-tblOrdenes[[#This Row],[costo_servicio]]))</f>
        <v/>
      </c>
      <c r="AK502" s="10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2">
        <f>IF(tblOrdenes[[#This Row],[fecha_inicio]]="","",TODAY()-tblOrdenes[[#This Row],[fecha_inicio]])</f>
        <v/>
      </c>
      <c r="AB5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0">
        <f>IF(tblOrdenes[[#This Row],[orden]]="","",_xlfn.XLOOKUP(tblOrdenes[[#This Row],[id_operacion]],tblEjecucion[id_operacion],tblEjecucion[precio],0))</f>
        <v/>
      </c>
      <c r="AJ503" s="10">
        <f>IF(tblOrdenes[[#This Row],[orden]]="","",MAX(0,_xlfn.XLOOKUP(tblOrdenes[[#This Row],[id_operacion]],tblEjecucion[id_operacion],tblEjecucion[costo_plan_total],0)-tblOrdenes[[#This Row],[costo_servicio]]))</f>
        <v/>
      </c>
      <c r="AK503" s="10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2">
        <f>IF(tblOrdenes[[#This Row],[fecha_inicio]]="","",TODAY()-tblOrdenes[[#This Row],[fecha_inicio]])</f>
        <v/>
      </c>
      <c r="AB5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0">
        <f>IF(tblOrdenes[[#This Row],[orden]]="","",_xlfn.XLOOKUP(tblOrdenes[[#This Row],[id_operacion]],tblEjecucion[id_operacion],tblEjecucion[precio],0))</f>
        <v/>
      </c>
      <c r="AJ504" s="10">
        <f>IF(tblOrdenes[[#This Row],[orden]]="","",MAX(0,_xlfn.XLOOKUP(tblOrdenes[[#This Row],[id_operacion]],tblEjecucion[id_operacion],tblEjecucion[costo_plan_total],0)-tblOrdenes[[#This Row],[costo_servicio]]))</f>
        <v/>
      </c>
      <c r="AK504" s="10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2">
        <f>IF(tblOrdenes[[#This Row],[fecha_inicio]]="","",TODAY()-tblOrdenes[[#This Row],[fecha_inicio]])</f>
        <v/>
      </c>
      <c r="AB5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0">
        <f>IF(tblOrdenes[[#This Row],[orden]]="","",_xlfn.XLOOKUP(tblOrdenes[[#This Row],[id_operacion]],tblEjecucion[id_operacion],tblEjecucion[precio],0))</f>
        <v/>
      </c>
      <c r="AJ505" s="10">
        <f>IF(tblOrdenes[[#This Row],[orden]]="","",MAX(0,_xlfn.XLOOKUP(tblOrdenes[[#This Row],[id_operacion]],tblEjecucion[id_operacion],tblEjecucion[costo_plan_total],0)-tblOrdenes[[#This Row],[costo_servicio]]))</f>
        <v/>
      </c>
      <c r="AK505" s="10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2">
        <f>IF(tblOrdenes[[#This Row],[fecha_inicio]]="","",TODAY()-tblOrdenes[[#This Row],[fecha_inicio]])</f>
        <v/>
      </c>
      <c r="AB5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0">
        <f>IF(tblOrdenes[[#This Row],[orden]]="","",_xlfn.XLOOKUP(tblOrdenes[[#This Row],[id_operacion]],tblEjecucion[id_operacion],tblEjecucion[precio],0))</f>
        <v/>
      </c>
      <c r="AJ506" s="10">
        <f>IF(tblOrdenes[[#This Row],[orden]]="","",MAX(0,_xlfn.XLOOKUP(tblOrdenes[[#This Row],[id_operacion]],tblEjecucion[id_operacion],tblEjecucion[costo_plan_total],0)-tblOrdenes[[#This Row],[costo_servicio]]))</f>
        <v/>
      </c>
      <c r="AK506" s="10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2">
        <f>IF(tblOrdenes[[#This Row],[fecha_inicio]]="","",TODAY()-tblOrdenes[[#This Row],[fecha_inicio]])</f>
        <v/>
      </c>
      <c r="AB5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0">
        <f>IF(tblOrdenes[[#This Row],[orden]]="","",_xlfn.XLOOKUP(tblOrdenes[[#This Row],[id_operacion]],tblEjecucion[id_operacion],tblEjecucion[precio],0))</f>
        <v/>
      </c>
      <c r="AJ507" s="10">
        <f>IF(tblOrdenes[[#This Row],[orden]]="","",MAX(0,_xlfn.XLOOKUP(tblOrdenes[[#This Row],[id_operacion]],tblEjecucion[id_operacion],tblEjecucion[costo_plan_total],0)-tblOrdenes[[#This Row],[costo_servicio]]))</f>
        <v/>
      </c>
      <c r="AK507" s="10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2">
        <f>IF(tblOrdenes[[#This Row],[fecha_inicio]]="","",TODAY()-tblOrdenes[[#This Row],[fecha_inicio]])</f>
        <v/>
      </c>
      <c r="AB5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0">
        <f>IF(tblOrdenes[[#This Row],[orden]]="","",_xlfn.XLOOKUP(tblOrdenes[[#This Row],[id_operacion]],tblEjecucion[id_operacion],tblEjecucion[precio],0))</f>
        <v/>
      </c>
      <c r="AJ508" s="10">
        <f>IF(tblOrdenes[[#This Row],[orden]]="","",MAX(0,_xlfn.XLOOKUP(tblOrdenes[[#This Row],[id_operacion]],tblEjecucion[id_operacion],tblEjecucion[costo_plan_total],0)-tblOrdenes[[#This Row],[costo_servicio]]))</f>
        <v/>
      </c>
      <c r="AK508" s="10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2">
        <f>IF(tblOrdenes[[#This Row],[fecha_inicio]]="","",TODAY()-tblOrdenes[[#This Row],[fecha_inicio]])</f>
        <v/>
      </c>
      <c r="AB5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0">
        <f>IF(tblOrdenes[[#This Row],[orden]]="","",_xlfn.XLOOKUP(tblOrdenes[[#This Row],[id_operacion]],tblEjecucion[id_operacion],tblEjecucion[precio],0))</f>
        <v/>
      </c>
      <c r="AJ509" s="10">
        <f>IF(tblOrdenes[[#This Row],[orden]]="","",MAX(0,_xlfn.XLOOKUP(tblOrdenes[[#This Row],[id_operacion]],tblEjecucion[id_operacion],tblEjecucion[costo_plan_total],0)-tblOrdenes[[#This Row],[costo_servicio]]))</f>
        <v/>
      </c>
      <c r="AK509" s="10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2">
        <f>IF(tblOrdenes[[#This Row],[fecha_inicio]]="","",TODAY()-tblOrdenes[[#This Row],[fecha_inicio]])</f>
        <v/>
      </c>
      <c r="AB5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0">
        <f>IF(tblOrdenes[[#This Row],[orden]]="","",_xlfn.XLOOKUP(tblOrdenes[[#This Row],[id_operacion]],tblEjecucion[id_operacion],tblEjecucion[precio],0))</f>
        <v/>
      </c>
      <c r="AJ510" s="10">
        <f>IF(tblOrdenes[[#This Row],[orden]]="","",MAX(0,_xlfn.XLOOKUP(tblOrdenes[[#This Row],[id_operacion]],tblEjecucion[id_operacion],tblEjecucion[costo_plan_total],0)-tblOrdenes[[#This Row],[costo_servicio]]))</f>
        <v/>
      </c>
      <c r="AK510" s="10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2">
        <f>IF(tblOrdenes[[#This Row],[fecha_inicio]]="","",TODAY()-tblOrdenes[[#This Row],[fecha_inicio]])</f>
        <v/>
      </c>
      <c r="AB5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0">
        <f>IF(tblOrdenes[[#This Row],[orden]]="","",_xlfn.XLOOKUP(tblOrdenes[[#This Row],[id_operacion]],tblEjecucion[id_operacion],tblEjecucion[precio],0))</f>
        <v/>
      </c>
      <c r="AJ511" s="10">
        <f>IF(tblOrdenes[[#This Row],[orden]]="","",MAX(0,_xlfn.XLOOKUP(tblOrdenes[[#This Row],[id_operacion]],tblEjecucion[id_operacion],tblEjecucion[costo_plan_total],0)-tblOrdenes[[#This Row],[costo_servicio]]))</f>
        <v/>
      </c>
      <c r="AK511" s="10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2">
        <f>IF(tblOrdenes[[#This Row],[fecha_inicio]]="","",TODAY()-tblOrdenes[[#This Row],[fecha_inicio]])</f>
        <v/>
      </c>
      <c r="AB5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0">
        <f>IF(tblOrdenes[[#This Row],[orden]]="","",_xlfn.XLOOKUP(tblOrdenes[[#This Row],[id_operacion]],tblEjecucion[id_operacion],tblEjecucion[precio],0))</f>
        <v/>
      </c>
      <c r="AJ512" s="10">
        <f>IF(tblOrdenes[[#This Row],[orden]]="","",MAX(0,_xlfn.XLOOKUP(tblOrdenes[[#This Row],[id_operacion]],tblEjecucion[id_operacion],tblEjecucion[costo_plan_total],0)-tblOrdenes[[#This Row],[costo_servicio]]))</f>
        <v/>
      </c>
      <c r="AK512" s="10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2">
        <f>IF(tblOrdenes[[#This Row],[fecha_inicio]]="","",TODAY()-tblOrdenes[[#This Row],[fecha_inicio]])</f>
        <v/>
      </c>
      <c r="AB5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0">
        <f>IF(tblOrdenes[[#This Row],[orden]]="","",_xlfn.XLOOKUP(tblOrdenes[[#This Row],[id_operacion]],tblEjecucion[id_operacion],tblEjecucion[precio],0))</f>
        <v/>
      </c>
      <c r="AJ513" s="10">
        <f>IF(tblOrdenes[[#This Row],[orden]]="","",MAX(0,_xlfn.XLOOKUP(tblOrdenes[[#This Row],[id_operacion]],tblEjecucion[id_operacion],tblEjecucion[costo_plan_total],0)-tblOrdenes[[#This Row],[costo_servicio]]))</f>
        <v/>
      </c>
      <c r="AK513" s="10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2">
        <f>IF(tblOrdenes[[#This Row],[fecha_inicio]]="","",TODAY()-tblOrdenes[[#This Row],[fecha_inicio]])</f>
        <v/>
      </c>
      <c r="AB5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0">
        <f>IF(tblOrdenes[[#This Row],[orden]]="","",_xlfn.XLOOKUP(tblOrdenes[[#This Row],[id_operacion]],tblEjecucion[id_operacion],tblEjecucion[precio],0))</f>
        <v/>
      </c>
      <c r="AJ514" s="10">
        <f>IF(tblOrdenes[[#This Row],[orden]]="","",MAX(0,_xlfn.XLOOKUP(tblOrdenes[[#This Row],[id_operacion]],tblEjecucion[id_operacion],tblEjecucion[costo_plan_total],0)-tblOrdenes[[#This Row],[costo_servicio]]))</f>
        <v/>
      </c>
      <c r="AK514" s="10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2">
        <f>IF(tblOrdenes[[#This Row],[fecha_inicio]]="","",TODAY()-tblOrdenes[[#This Row],[fecha_inicio]])</f>
        <v/>
      </c>
      <c r="AB5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0">
        <f>IF(tblOrdenes[[#This Row],[orden]]="","",_xlfn.XLOOKUP(tblOrdenes[[#This Row],[id_operacion]],tblEjecucion[id_operacion],tblEjecucion[precio],0))</f>
        <v/>
      </c>
      <c r="AJ515" s="10">
        <f>IF(tblOrdenes[[#This Row],[orden]]="","",MAX(0,_xlfn.XLOOKUP(tblOrdenes[[#This Row],[id_operacion]],tblEjecucion[id_operacion],tblEjecucion[costo_plan_total],0)-tblOrdenes[[#This Row],[costo_servicio]]))</f>
        <v/>
      </c>
      <c r="AK515" s="10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2">
        <f>IF(tblOrdenes[[#This Row],[fecha_inicio]]="","",TODAY()-tblOrdenes[[#This Row],[fecha_inicio]])</f>
        <v/>
      </c>
      <c r="AB5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0">
        <f>IF(tblOrdenes[[#This Row],[orden]]="","",_xlfn.XLOOKUP(tblOrdenes[[#This Row],[id_operacion]],tblEjecucion[id_operacion],tblEjecucion[precio],0))</f>
        <v/>
      </c>
      <c r="AJ516" s="10">
        <f>IF(tblOrdenes[[#This Row],[orden]]="","",MAX(0,_xlfn.XLOOKUP(tblOrdenes[[#This Row],[id_operacion]],tblEjecucion[id_operacion],tblEjecucion[costo_plan_total],0)-tblOrdenes[[#This Row],[costo_servicio]]))</f>
        <v/>
      </c>
      <c r="AK516" s="10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2">
        <f>IF(tblOrdenes[[#This Row],[fecha_inicio]]="","",TODAY()-tblOrdenes[[#This Row],[fecha_inicio]])</f>
        <v/>
      </c>
      <c r="AB5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0">
        <f>IF(tblOrdenes[[#This Row],[orden]]="","",_xlfn.XLOOKUP(tblOrdenes[[#This Row],[id_operacion]],tblEjecucion[id_operacion],tblEjecucion[precio],0))</f>
        <v/>
      </c>
      <c r="AJ517" s="10">
        <f>IF(tblOrdenes[[#This Row],[orden]]="","",MAX(0,_xlfn.XLOOKUP(tblOrdenes[[#This Row],[id_operacion]],tblEjecucion[id_operacion],tblEjecucion[costo_plan_total],0)-tblOrdenes[[#This Row],[costo_servicio]]))</f>
        <v/>
      </c>
      <c r="AK517" s="10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2">
        <f>IF(tblOrdenes[[#This Row],[fecha_inicio]]="","",TODAY()-tblOrdenes[[#This Row],[fecha_inicio]])</f>
        <v/>
      </c>
      <c r="AB5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0">
        <f>IF(tblOrdenes[[#This Row],[orden]]="","",_xlfn.XLOOKUP(tblOrdenes[[#This Row],[id_operacion]],tblEjecucion[id_operacion],tblEjecucion[precio],0))</f>
        <v/>
      </c>
      <c r="AJ518" s="10">
        <f>IF(tblOrdenes[[#This Row],[orden]]="","",MAX(0,_xlfn.XLOOKUP(tblOrdenes[[#This Row],[id_operacion]],tblEjecucion[id_operacion],tblEjecucion[costo_plan_total],0)-tblOrdenes[[#This Row],[costo_servicio]]))</f>
        <v/>
      </c>
      <c r="AK518" s="10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2">
        <f>IF(tblOrdenes[[#This Row],[fecha_inicio]]="","",TODAY()-tblOrdenes[[#This Row],[fecha_inicio]])</f>
        <v/>
      </c>
      <c r="AB5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0">
        <f>IF(tblOrdenes[[#This Row],[orden]]="","",_xlfn.XLOOKUP(tblOrdenes[[#This Row],[id_operacion]],tblEjecucion[id_operacion],tblEjecucion[precio],0))</f>
        <v/>
      </c>
      <c r="AJ519" s="10">
        <f>IF(tblOrdenes[[#This Row],[orden]]="","",MAX(0,_xlfn.XLOOKUP(tblOrdenes[[#This Row],[id_operacion]],tblEjecucion[id_operacion],tblEjecucion[costo_plan_total],0)-tblOrdenes[[#This Row],[costo_servicio]]))</f>
        <v/>
      </c>
      <c r="AK519" s="10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2">
        <f>IF(tblOrdenes[[#This Row],[fecha_inicio]]="","",TODAY()-tblOrdenes[[#This Row],[fecha_inicio]])</f>
        <v/>
      </c>
      <c r="AB5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0">
        <f>IF(tblOrdenes[[#This Row],[orden]]="","",_xlfn.XLOOKUP(tblOrdenes[[#This Row],[id_operacion]],tblEjecucion[id_operacion],tblEjecucion[precio],0))</f>
        <v/>
      </c>
      <c r="AJ520" s="10">
        <f>IF(tblOrdenes[[#This Row],[orden]]="","",MAX(0,_xlfn.XLOOKUP(tblOrdenes[[#This Row],[id_operacion]],tblEjecucion[id_operacion],tblEjecucion[costo_plan_total],0)-tblOrdenes[[#This Row],[costo_servicio]]))</f>
        <v/>
      </c>
      <c r="AK520" s="10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2">
        <f>IF(tblOrdenes[[#This Row],[fecha_inicio]]="","",TODAY()-tblOrdenes[[#This Row],[fecha_inicio]])</f>
        <v/>
      </c>
      <c r="AB5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0">
        <f>IF(tblOrdenes[[#This Row],[orden]]="","",_xlfn.XLOOKUP(tblOrdenes[[#This Row],[id_operacion]],tblEjecucion[id_operacion],tblEjecucion[precio],0))</f>
        <v/>
      </c>
      <c r="AJ521" s="10">
        <f>IF(tblOrdenes[[#This Row],[orden]]="","",MAX(0,_xlfn.XLOOKUP(tblOrdenes[[#This Row],[id_operacion]],tblEjecucion[id_operacion],tblEjecucion[costo_plan_total],0)-tblOrdenes[[#This Row],[costo_servicio]]))</f>
        <v/>
      </c>
      <c r="AK521" s="10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2">
        <f>IF(tblOrdenes[[#This Row],[fecha_inicio]]="","",TODAY()-tblOrdenes[[#This Row],[fecha_inicio]])</f>
        <v/>
      </c>
      <c r="AB5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0">
        <f>IF(tblOrdenes[[#This Row],[orden]]="","",_xlfn.XLOOKUP(tblOrdenes[[#This Row],[id_operacion]],tblEjecucion[id_operacion],tblEjecucion[precio],0))</f>
        <v/>
      </c>
      <c r="AJ522" s="10">
        <f>IF(tblOrdenes[[#This Row],[orden]]="","",MAX(0,_xlfn.XLOOKUP(tblOrdenes[[#This Row],[id_operacion]],tblEjecucion[id_operacion],tblEjecucion[costo_plan_total],0)-tblOrdenes[[#This Row],[costo_servicio]]))</f>
        <v/>
      </c>
      <c r="AK522" s="10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2">
        <f>IF(tblOrdenes[[#This Row],[fecha_inicio]]="","",TODAY()-tblOrdenes[[#This Row],[fecha_inicio]])</f>
        <v/>
      </c>
      <c r="AB5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0">
        <f>IF(tblOrdenes[[#This Row],[orden]]="","",_xlfn.XLOOKUP(tblOrdenes[[#This Row],[id_operacion]],tblEjecucion[id_operacion],tblEjecucion[precio],0))</f>
        <v/>
      </c>
      <c r="AJ523" s="10">
        <f>IF(tblOrdenes[[#This Row],[orden]]="","",MAX(0,_xlfn.XLOOKUP(tblOrdenes[[#This Row],[id_operacion]],tblEjecucion[id_operacion],tblEjecucion[costo_plan_total],0)-tblOrdenes[[#This Row],[costo_servicio]]))</f>
        <v/>
      </c>
      <c r="AK523" s="10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2">
        <f>IF(tblOrdenes[[#This Row],[fecha_inicio]]="","",TODAY()-tblOrdenes[[#This Row],[fecha_inicio]])</f>
        <v/>
      </c>
      <c r="AB5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0">
        <f>IF(tblOrdenes[[#This Row],[orden]]="","",_xlfn.XLOOKUP(tblOrdenes[[#This Row],[id_operacion]],tblEjecucion[id_operacion],tblEjecucion[precio],0))</f>
        <v/>
      </c>
      <c r="AJ524" s="10">
        <f>IF(tblOrdenes[[#This Row],[orden]]="","",MAX(0,_xlfn.XLOOKUP(tblOrdenes[[#This Row],[id_operacion]],tblEjecucion[id_operacion],tblEjecucion[costo_plan_total],0)-tblOrdenes[[#This Row],[costo_servicio]]))</f>
        <v/>
      </c>
      <c r="AK524" s="10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2">
        <f>IF(tblOrdenes[[#This Row],[fecha_inicio]]="","",TODAY()-tblOrdenes[[#This Row],[fecha_inicio]])</f>
        <v/>
      </c>
      <c r="AB5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0">
        <f>IF(tblOrdenes[[#This Row],[orden]]="","",_xlfn.XLOOKUP(tblOrdenes[[#This Row],[id_operacion]],tblEjecucion[id_operacion],tblEjecucion[precio],0))</f>
        <v/>
      </c>
      <c r="AJ525" s="10">
        <f>IF(tblOrdenes[[#This Row],[orden]]="","",MAX(0,_xlfn.XLOOKUP(tblOrdenes[[#This Row],[id_operacion]],tblEjecucion[id_operacion],tblEjecucion[costo_plan_total],0)-tblOrdenes[[#This Row],[costo_servicio]]))</f>
        <v/>
      </c>
      <c r="AK525" s="10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2">
        <f>IF(tblOrdenes[[#This Row],[fecha_inicio]]="","",TODAY()-tblOrdenes[[#This Row],[fecha_inicio]])</f>
        <v/>
      </c>
      <c r="AB5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0">
        <f>IF(tblOrdenes[[#This Row],[orden]]="","",_xlfn.XLOOKUP(tblOrdenes[[#This Row],[id_operacion]],tblEjecucion[id_operacion],tblEjecucion[precio],0))</f>
        <v/>
      </c>
      <c r="AJ526" s="10">
        <f>IF(tblOrdenes[[#This Row],[orden]]="","",MAX(0,_xlfn.XLOOKUP(tblOrdenes[[#This Row],[id_operacion]],tblEjecucion[id_operacion],tblEjecucion[costo_plan_total],0)-tblOrdenes[[#This Row],[costo_servicio]]))</f>
        <v/>
      </c>
      <c r="AK526" s="10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2">
        <f>IF(tblOrdenes[[#This Row],[fecha_inicio]]="","",TODAY()-tblOrdenes[[#This Row],[fecha_inicio]])</f>
        <v/>
      </c>
      <c r="AB5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0">
        <f>IF(tblOrdenes[[#This Row],[orden]]="","",_xlfn.XLOOKUP(tblOrdenes[[#This Row],[id_operacion]],tblEjecucion[id_operacion],tblEjecucion[precio],0))</f>
        <v/>
      </c>
      <c r="AJ527" s="10">
        <f>IF(tblOrdenes[[#This Row],[orden]]="","",MAX(0,_xlfn.XLOOKUP(tblOrdenes[[#This Row],[id_operacion]],tblEjecucion[id_operacion],tblEjecucion[costo_plan_total],0)-tblOrdenes[[#This Row],[costo_servicio]]))</f>
        <v/>
      </c>
      <c r="AK527" s="10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2">
        <f>IF(tblOrdenes[[#This Row],[fecha_inicio]]="","",TODAY()-tblOrdenes[[#This Row],[fecha_inicio]])</f>
        <v/>
      </c>
      <c r="AB5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0">
        <f>IF(tblOrdenes[[#This Row],[orden]]="","",_xlfn.XLOOKUP(tblOrdenes[[#This Row],[id_operacion]],tblEjecucion[id_operacion],tblEjecucion[precio],0))</f>
        <v/>
      </c>
      <c r="AJ528" s="10">
        <f>IF(tblOrdenes[[#This Row],[orden]]="","",MAX(0,_xlfn.XLOOKUP(tblOrdenes[[#This Row],[id_operacion]],tblEjecucion[id_operacion],tblEjecucion[costo_plan_total],0)-tblOrdenes[[#This Row],[costo_servicio]]))</f>
        <v/>
      </c>
      <c r="AK528" s="10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2">
        <f>IF(tblOrdenes[[#This Row],[fecha_inicio]]="","",TODAY()-tblOrdenes[[#This Row],[fecha_inicio]])</f>
        <v/>
      </c>
      <c r="AB5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0">
        <f>IF(tblOrdenes[[#This Row],[orden]]="","",_xlfn.XLOOKUP(tblOrdenes[[#This Row],[id_operacion]],tblEjecucion[id_operacion],tblEjecucion[precio],0))</f>
        <v/>
      </c>
      <c r="AJ529" s="10">
        <f>IF(tblOrdenes[[#This Row],[orden]]="","",MAX(0,_xlfn.XLOOKUP(tblOrdenes[[#This Row],[id_operacion]],tblEjecucion[id_operacion],tblEjecucion[costo_plan_total],0)-tblOrdenes[[#This Row],[costo_servicio]]))</f>
        <v/>
      </c>
      <c r="AK529" s="10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2">
        <f>IF(tblOrdenes[[#This Row],[fecha_inicio]]="","",TODAY()-tblOrdenes[[#This Row],[fecha_inicio]])</f>
        <v/>
      </c>
      <c r="AB5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0">
        <f>IF(tblOrdenes[[#This Row],[orden]]="","",_xlfn.XLOOKUP(tblOrdenes[[#This Row],[id_operacion]],tblEjecucion[id_operacion],tblEjecucion[precio],0))</f>
        <v/>
      </c>
      <c r="AJ530" s="10">
        <f>IF(tblOrdenes[[#This Row],[orden]]="","",MAX(0,_xlfn.XLOOKUP(tblOrdenes[[#This Row],[id_operacion]],tblEjecucion[id_operacion],tblEjecucion[costo_plan_total],0)-tblOrdenes[[#This Row],[costo_servicio]]))</f>
        <v/>
      </c>
      <c r="AK530" s="10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2">
        <f>IF(tblOrdenes[[#This Row],[fecha_inicio]]="","",TODAY()-tblOrdenes[[#This Row],[fecha_inicio]])</f>
        <v/>
      </c>
      <c r="AB5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0">
        <f>IF(tblOrdenes[[#This Row],[orden]]="","",_xlfn.XLOOKUP(tblOrdenes[[#This Row],[id_operacion]],tblEjecucion[id_operacion],tblEjecucion[precio],0))</f>
        <v/>
      </c>
      <c r="AJ531" s="10">
        <f>IF(tblOrdenes[[#This Row],[orden]]="","",MAX(0,_xlfn.XLOOKUP(tblOrdenes[[#This Row],[id_operacion]],tblEjecucion[id_operacion],tblEjecucion[costo_plan_total],0)-tblOrdenes[[#This Row],[costo_servicio]]))</f>
        <v/>
      </c>
      <c r="AK531" s="10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2">
        <f>IF(tblOrdenes[[#This Row],[fecha_inicio]]="","",TODAY()-tblOrdenes[[#This Row],[fecha_inicio]])</f>
        <v/>
      </c>
      <c r="AB5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0">
        <f>IF(tblOrdenes[[#This Row],[orden]]="","",_xlfn.XLOOKUP(tblOrdenes[[#This Row],[id_operacion]],tblEjecucion[id_operacion],tblEjecucion[precio],0))</f>
        <v/>
      </c>
      <c r="AJ532" s="10">
        <f>IF(tblOrdenes[[#This Row],[orden]]="","",MAX(0,_xlfn.XLOOKUP(tblOrdenes[[#This Row],[id_operacion]],tblEjecucion[id_operacion],tblEjecucion[costo_plan_total],0)-tblOrdenes[[#This Row],[costo_servicio]]))</f>
        <v/>
      </c>
      <c r="AK532" s="10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2">
        <f>IF(tblOrdenes[[#This Row],[fecha_inicio]]="","",TODAY()-tblOrdenes[[#This Row],[fecha_inicio]])</f>
        <v/>
      </c>
      <c r="AB5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0">
        <f>IF(tblOrdenes[[#This Row],[orden]]="","",_xlfn.XLOOKUP(tblOrdenes[[#This Row],[id_operacion]],tblEjecucion[id_operacion],tblEjecucion[precio],0))</f>
        <v/>
      </c>
      <c r="AJ533" s="10">
        <f>IF(tblOrdenes[[#This Row],[orden]]="","",MAX(0,_xlfn.XLOOKUP(tblOrdenes[[#This Row],[id_operacion]],tblEjecucion[id_operacion],tblEjecucion[costo_plan_total],0)-tblOrdenes[[#This Row],[costo_servicio]]))</f>
        <v/>
      </c>
      <c r="AK533" s="10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2">
        <f>IF(tblOrdenes[[#This Row],[fecha_inicio]]="","",TODAY()-tblOrdenes[[#This Row],[fecha_inicio]])</f>
        <v/>
      </c>
      <c r="AB5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0">
        <f>IF(tblOrdenes[[#This Row],[orden]]="","",_xlfn.XLOOKUP(tblOrdenes[[#This Row],[id_operacion]],tblEjecucion[id_operacion],tblEjecucion[precio],0))</f>
        <v/>
      </c>
      <c r="AJ534" s="10">
        <f>IF(tblOrdenes[[#This Row],[orden]]="","",MAX(0,_xlfn.XLOOKUP(tblOrdenes[[#This Row],[id_operacion]],tblEjecucion[id_operacion],tblEjecucion[costo_plan_total],0)-tblOrdenes[[#This Row],[costo_servicio]]))</f>
        <v/>
      </c>
      <c r="AK534" s="10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2">
        <f>IF(tblOrdenes[[#This Row],[fecha_inicio]]="","",TODAY()-tblOrdenes[[#This Row],[fecha_inicio]])</f>
        <v/>
      </c>
      <c r="AB5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0">
        <f>IF(tblOrdenes[[#This Row],[orden]]="","",_xlfn.XLOOKUP(tblOrdenes[[#This Row],[id_operacion]],tblEjecucion[id_operacion],tblEjecucion[precio],0))</f>
        <v/>
      </c>
      <c r="AJ535" s="10">
        <f>IF(tblOrdenes[[#This Row],[orden]]="","",MAX(0,_xlfn.XLOOKUP(tblOrdenes[[#This Row],[id_operacion]],tblEjecucion[id_operacion],tblEjecucion[costo_plan_total],0)-tblOrdenes[[#This Row],[costo_servicio]]))</f>
        <v/>
      </c>
      <c r="AK535" s="10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2">
        <f>IF(tblOrdenes[[#This Row],[fecha_inicio]]="","",TODAY()-tblOrdenes[[#This Row],[fecha_inicio]])</f>
        <v/>
      </c>
      <c r="AB5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0">
        <f>IF(tblOrdenes[[#This Row],[orden]]="","",_xlfn.XLOOKUP(tblOrdenes[[#This Row],[id_operacion]],tblEjecucion[id_operacion],tblEjecucion[precio],0))</f>
        <v/>
      </c>
      <c r="AJ536" s="10">
        <f>IF(tblOrdenes[[#This Row],[orden]]="","",MAX(0,_xlfn.XLOOKUP(tblOrdenes[[#This Row],[id_operacion]],tblEjecucion[id_operacion],tblEjecucion[costo_plan_total],0)-tblOrdenes[[#This Row],[costo_servicio]]))</f>
        <v/>
      </c>
      <c r="AK536" s="10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2">
        <f>IF(tblOrdenes[[#This Row],[fecha_inicio]]="","",TODAY()-tblOrdenes[[#This Row],[fecha_inicio]])</f>
        <v/>
      </c>
      <c r="AB5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0">
        <f>IF(tblOrdenes[[#This Row],[orden]]="","",_xlfn.XLOOKUP(tblOrdenes[[#This Row],[id_operacion]],tblEjecucion[id_operacion],tblEjecucion[precio],0))</f>
        <v/>
      </c>
      <c r="AJ537" s="10">
        <f>IF(tblOrdenes[[#This Row],[orden]]="","",MAX(0,_xlfn.XLOOKUP(tblOrdenes[[#This Row],[id_operacion]],tblEjecucion[id_operacion],tblEjecucion[costo_plan_total],0)-tblOrdenes[[#This Row],[costo_servicio]]))</f>
        <v/>
      </c>
      <c r="AK537" s="10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2">
        <f>IF(tblOrdenes[[#This Row],[fecha_inicio]]="","",TODAY()-tblOrdenes[[#This Row],[fecha_inicio]])</f>
        <v/>
      </c>
      <c r="AB5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0">
        <f>IF(tblOrdenes[[#This Row],[orden]]="","",_xlfn.XLOOKUP(tblOrdenes[[#This Row],[id_operacion]],tblEjecucion[id_operacion],tblEjecucion[precio],0))</f>
        <v/>
      </c>
      <c r="AJ538" s="10">
        <f>IF(tblOrdenes[[#This Row],[orden]]="","",MAX(0,_xlfn.XLOOKUP(tblOrdenes[[#This Row],[id_operacion]],tblEjecucion[id_operacion],tblEjecucion[costo_plan_total],0)-tblOrdenes[[#This Row],[costo_servicio]]))</f>
        <v/>
      </c>
      <c r="AK538" s="10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2">
        <f>IF(tblOrdenes[[#This Row],[fecha_inicio]]="","",TODAY()-tblOrdenes[[#This Row],[fecha_inicio]])</f>
        <v/>
      </c>
      <c r="AB5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0">
        <f>IF(tblOrdenes[[#This Row],[orden]]="","",_xlfn.XLOOKUP(tblOrdenes[[#This Row],[id_operacion]],tblEjecucion[id_operacion],tblEjecucion[precio],0))</f>
        <v/>
      </c>
      <c r="AJ539" s="10">
        <f>IF(tblOrdenes[[#This Row],[orden]]="","",MAX(0,_xlfn.XLOOKUP(tblOrdenes[[#This Row],[id_operacion]],tblEjecucion[id_operacion],tblEjecucion[costo_plan_total],0)-tblOrdenes[[#This Row],[costo_servicio]]))</f>
        <v/>
      </c>
      <c r="AK539" s="10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2">
        <f>IF(tblOrdenes[[#This Row],[fecha_inicio]]="","",TODAY()-tblOrdenes[[#This Row],[fecha_inicio]])</f>
        <v/>
      </c>
      <c r="AB5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0">
        <f>IF(tblOrdenes[[#This Row],[orden]]="","",_xlfn.XLOOKUP(tblOrdenes[[#This Row],[id_operacion]],tblEjecucion[id_operacion],tblEjecucion[precio],0))</f>
        <v/>
      </c>
      <c r="AJ540" s="10">
        <f>IF(tblOrdenes[[#This Row],[orden]]="","",MAX(0,_xlfn.XLOOKUP(tblOrdenes[[#This Row],[id_operacion]],tblEjecucion[id_operacion],tblEjecucion[costo_plan_total],0)-tblOrdenes[[#This Row],[costo_servicio]]))</f>
        <v/>
      </c>
      <c r="AK540" s="10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2">
        <f>IF(tblOrdenes[[#This Row],[fecha_inicio]]="","",TODAY()-tblOrdenes[[#This Row],[fecha_inicio]])</f>
        <v/>
      </c>
      <c r="AB5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0">
        <f>IF(tblOrdenes[[#This Row],[orden]]="","",_xlfn.XLOOKUP(tblOrdenes[[#This Row],[id_operacion]],tblEjecucion[id_operacion],tblEjecucion[precio],0))</f>
        <v/>
      </c>
      <c r="AJ541" s="10">
        <f>IF(tblOrdenes[[#This Row],[orden]]="","",MAX(0,_xlfn.XLOOKUP(tblOrdenes[[#This Row],[id_operacion]],tblEjecucion[id_operacion],tblEjecucion[costo_plan_total],0)-tblOrdenes[[#This Row],[costo_servicio]]))</f>
        <v/>
      </c>
      <c r="AK541" s="10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2">
        <f>IF(tblOrdenes[[#This Row],[fecha_inicio]]="","",TODAY()-tblOrdenes[[#This Row],[fecha_inicio]])</f>
        <v/>
      </c>
      <c r="AB5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0">
        <f>IF(tblOrdenes[[#This Row],[orden]]="","",_xlfn.XLOOKUP(tblOrdenes[[#This Row],[id_operacion]],tblEjecucion[id_operacion],tblEjecucion[precio],0))</f>
        <v/>
      </c>
      <c r="AJ542" s="10">
        <f>IF(tblOrdenes[[#This Row],[orden]]="","",MAX(0,_xlfn.XLOOKUP(tblOrdenes[[#This Row],[id_operacion]],tblEjecucion[id_operacion],tblEjecucion[costo_plan_total],0)-tblOrdenes[[#This Row],[costo_servicio]]))</f>
        <v/>
      </c>
      <c r="AK542" s="10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2">
        <f>IF(tblOrdenes[[#This Row],[fecha_inicio]]="","",TODAY()-tblOrdenes[[#This Row],[fecha_inicio]])</f>
        <v/>
      </c>
      <c r="AB5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0">
        <f>IF(tblOrdenes[[#This Row],[orden]]="","",_xlfn.XLOOKUP(tblOrdenes[[#This Row],[id_operacion]],tblEjecucion[id_operacion],tblEjecucion[precio],0))</f>
        <v/>
      </c>
      <c r="AJ543" s="10">
        <f>IF(tblOrdenes[[#This Row],[orden]]="","",MAX(0,_xlfn.XLOOKUP(tblOrdenes[[#This Row],[id_operacion]],tblEjecucion[id_operacion],tblEjecucion[costo_plan_total],0)-tblOrdenes[[#This Row],[costo_servicio]]))</f>
        <v/>
      </c>
      <c r="AK543" s="10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2">
        <f>IF(tblOrdenes[[#This Row],[fecha_inicio]]="","",TODAY()-tblOrdenes[[#This Row],[fecha_inicio]])</f>
        <v/>
      </c>
      <c r="AB5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0">
        <f>IF(tblOrdenes[[#This Row],[orden]]="","",_xlfn.XLOOKUP(tblOrdenes[[#This Row],[id_operacion]],tblEjecucion[id_operacion],tblEjecucion[precio],0))</f>
        <v/>
      </c>
      <c r="AJ544" s="10">
        <f>IF(tblOrdenes[[#This Row],[orden]]="","",MAX(0,_xlfn.XLOOKUP(tblOrdenes[[#This Row],[id_operacion]],tblEjecucion[id_operacion],tblEjecucion[costo_plan_total],0)-tblOrdenes[[#This Row],[costo_servicio]]))</f>
        <v/>
      </c>
      <c r="AK544" s="10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2">
        <f>IF(tblOrdenes[[#This Row],[fecha_inicio]]="","",TODAY()-tblOrdenes[[#This Row],[fecha_inicio]])</f>
        <v/>
      </c>
      <c r="AB5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0">
        <f>IF(tblOrdenes[[#This Row],[orden]]="","",_xlfn.XLOOKUP(tblOrdenes[[#This Row],[id_operacion]],tblEjecucion[id_operacion],tblEjecucion[precio],0))</f>
        <v/>
      </c>
      <c r="AJ545" s="10">
        <f>IF(tblOrdenes[[#This Row],[orden]]="","",MAX(0,_xlfn.XLOOKUP(tblOrdenes[[#This Row],[id_operacion]],tblEjecucion[id_operacion],tblEjecucion[costo_plan_total],0)-tblOrdenes[[#This Row],[costo_servicio]]))</f>
        <v/>
      </c>
      <c r="AK545" s="10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2">
        <f>IF(tblOrdenes[[#This Row],[fecha_inicio]]="","",TODAY()-tblOrdenes[[#This Row],[fecha_inicio]])</f>
        <v/>
      </c>
      <c r="AB5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0">
        <f>IF(tblOrdenes[[#This Row],[orden]]="","",_xlfn.XLOOKUP(tblOrdenes[[#This Row],[id_operacion]],tblEjecucion[id_operacion],tblEjecucion[precio],0))</f>
        <v/>
      </c>
      <c r="AJ546" s="10">
        <f>IF(tblOrdenes[[#This Row],[orden]]="","",MAX(0,_xlfn.XLOOKUP(tblOrdenes[[#This Row],[id_operacion]],tblEjecucion[id_operacion],tblEjecucion[costo_plan_total],0)-tblOrdenes[[#This Row],[costo_servicio]]))</f>
        <v/>
      </c>
      <c r="AK546" s="10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2">
        <f>IF(tblOrdenes[[#This Row],[fecha_inicio]]="","",TODAY()-tblOrdenes[[#This Row],[fecha_inicio]])</f>
        <v/>
      </c>
      <c r="AB5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0">
        <f>IF(tblOrdenes[[#This Row],[orden]]="","",_xlfn.XLOOKUP(tblOrdenes[[#This Row],[id_operacion]],tblEjecucion[id_operacion],tblEjecucion[precio],0))</f>
        <v/>
      </c>
      <c r="AJ547" s="10">
        <f>IF(tblOrdenes[[#This Row],[orden]]="","",MAX(0,_xlfn.XLOOKUP(tblOrdenes[[#This Row],[id_operacion]],tblEjecucion[id_operacion],tblEjecucion[costo_plan_total],0)-tblOrdenes[[#This Row],[costo_servicio]]))</f>
        <v/>
      </c>
      <c r="AK547" s="10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2">
        <f>IF(tblOrdenes[[#This Row],[fecha_inicio]]="","",TODAY()-tblOrdenes[[#This Row],[fecha_inicio]])</f>
        <v/>
      </c>
      <c r="AB5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0">
        <f>IF(tblOrdenes[[#This Row],[orden]]="","",_xlfn.XLOOKUP(tblOrdenes[[#This Row],[id_operacion]],tblEjecucion[id_operacion],tblEjecucion[precio],0))</f>
        <v/>
      </c>
      <c r="AJ548" s="10">
        <f>IF(tblOrdenes[[#This Row],[orden]]="","",MAX(0,_xlfn.XLOOKUP(tblOrdenes[[#This Row],[id_operacion]],tblEjecucion[id_operacion],tblEjecucion[costo_plan_total],0)-tblOrdenes[[#This Row],[costo_servicio]]))</f>
        <v/>
      </c>
      <c r="AK548" s="10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2">
        <f>IF(tblOrdenes[[#This Row],[fecha_inicio]]="","",TODAY()-tblOrdenes[[#This Row],[fecha_inicio]])</f>
        <v/>
      </c>
      <c r="AB5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0">
        <f>IF(tblOrdenes[[#This Row],[orden]]="","",_xlfn.XLOOKUP(tblOrdenes[[#This Row],[id_operacion]],tblEjecucion[id_operacion],tblEjecucion[precio],0))</f>
        <v/>
      </c>
      <c r="AJ549" s="10">
        <f>IF(tblOrdenes[[#This Row],[orden]]="","",MAX(0,_xlfn.XLOOKUP(tblOrdenes[[#This Row],[id_operacion]],tblEjecucion[id_operacion],tblEjecucion[costo_plan_total],0)-tblOrdenes[[#This Row],[costo_servicio]]))</f>
        <v/>
      </c>
      <c r="AK549" s="10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2">
        <f>IF(tblOrdenes[[#This Row],[fecha_inicio]]="","",TODAY()-tblOrdenes[[#This Row],[fecha_inicio]])</f>
        <v/>
      </c>
      <c r="AB5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0">
        <f>IF(tblOrdenes[[#This Row],[orden]]="","",_xlfn.XLOOKUP(tblOrdenes[[#This Row],[id_operacion]],tblEjecucion[id_operacion],tblEjecucion[precio],0))</f>
        <v/>
      </c>
      <c r="AJ550" s="10">
        <f>IF(tblOrdenes[[#This Row],[orden]]="","",MAX(0,_xlfn.XLOOKUP(tblOrdenes[[#This Row],[id_operacion]],tblEjecucion[id_operacion],tblEjecucion[costo_plan_total],0)-tblOrdenes[[#This Row],[costo_servicio]]))</f>
        <v/>
      </c>
      <c r="AK550" s="10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2">
        <f>IF(tblOrdenes[[#This Row],[fecha_inicio]]="","",TODAY()-tblOrdenes[[#This Row],[fecha_inicio]])</f>
        <v/>
      </c>
      <c r="AB5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0">
        <f>IF(tblOrdenes[[#This Row],[orden]]="","",_xlfn.XLOOKUP(tblOrdenes[[#This Row],[id_operacion]],tblEjecucion[id_operacion],tblEjecucion[precio],0))</f>
        <v/>
      </c>
      <c r="AJ551" s="10">
        <f>IF(tblOrdenes[[#This Row],[orden]]="","",MAX(0,_xlfn.XLOOKUP(tblOrdenes[[#This Row],[id_operacion]],tblEjecucion[id_operacion],tblEjecucion[costo_plan_total],0)-tblOrdenes[[#This Row],[costo_servicio]]))</f>
        <v/>
      </c>
      <c r="AK551" s="10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2">
        <f>IF(tblOrdenes[[#This Row],[fecha_inicio]]="","",TODAY()-tblOrdenes[[#This Row],[fecha_inicio]])</f>
        <v/>
      </c>
      <c r="AB5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0">
        <f>IF(tblOrdenes[[#This Row],[orden]]="","",_xlfn.XLOOKUP(tblOrdenes[[#This Row],[id_operacion]],tblEjecucion[id_operacion],tblEjecucion[precio],0))</f>
        <v/>
      </c>
      <c r="AJ552" s="10">
        <f>IF(tblOrdenes[[#This Row],[orden]]="","",MAX(0,_xlfn.XLOOKUP(tblOrdenes[[#This Row],[id_operacion]],tblEjecucion[id_operacion],tblEjecucion[costo_plan_total],0)-tblOrdenes[[#This Row],[costo_servicio]]))</f>
        <v/>
      </c>
      <c r="AK552" s="10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2">
        <f>IF(tblOrdenes[[#This Row],[fecha_inicio]]="","",TODAY()-tblOrdenes[[#This Row],[fecha_inicio]])</f>
        <v/>
      </c>
      <c r="AB5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0">
        <f>IF(tblOrdenes[[#This Row],[orden]]="","",_xlfn.XLOOKUP(tblOrdenes[[#This Row],[id_operacion]],tblEjecucion[id_operacion],tblEjecucion[precio],0))</f>
        <v/>
      </c>
      <c r="AJ553" s="10">
        <f>IF(tblOrdenes[[#This Row],[orden]]="","",MAX(0,_xlfn.XLOOKUP(tblOrdenes[[#This Row],[id_operacion]],tblEjecucion[id_operacion],tblEjecucion[costo_plan_total],0)-tblOrdenes[[#This Row],[costo_servicio]]))</f>
        <v/>
      </c>
      <c r="AK553" s="10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2">
        <f>IF(tblOrdenes[[#This Row],[fecha_inicio]]="","",TODAY()-tblOrdenes[[#This Row],[fecha_inicio]])</f>
        <v/>
      </c>
      <c r="AB5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0">
        <f>IF(tblOrdenes[[#This Row],[orden]]="","",_xlfn.XLOOKUP(tblOrdenes[[#This Row],[id_operacion]],tblEjecucion[id_operacion],tblEjecucion[precio],0))</f>
        <v/>
      </c>
      <c r="AJ554" s="10">
        <f>IF(tblOrdenes[[#This Row],[orden]]="","",MAX(0,_xlfn.XLOOKUP(tblOrdenes[[#This Row],[id_operacion]],tblEjecucion[id_operacion],tblEjecucion[costo_plan_total],0)-tblOrdenes[[#This Row],[costo_servicio]]))</f>
        <v/>
      </c>
      <c r="AK554" s="10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2">
        <f>IF(tblOrdenes[[#This Row],[fecha_inicio]]="","",TODAY()-tblOrdenes[[#This Row],[fecha_inicio]])</f>
        <v/>
      </c>
      <c r="AB5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0">
        <f>IF(tblOrdenes[[#This Row],[orden]]="","",_xlfn.XLOOKUP(tblOrdenes[[#This Row],[id_operacion]],tblEjecucion[id_operacion],tblEjecucion[precio],0))</f>
        <v/>
      </c>
      <c r="AJ555" s="10">
        <f>IF(tblOrdenes[[#This Row],[orden]]="","",MAX(0,_xlfn.XLOOKUP(tblOrdenes[[#This Row],[id_operacion]],tblEjecucion[id_operacion],tblEjecucion[costo_plan_total],0)-tblOrdenes[[#This Row],[costo_servicio]]))</f>
        <v/>
      </c>
      <c r="AK555" s="10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2">
        <f>IF(tblOrdenes[[#This Row],[fecha_inicio]]="","",TODAY()-tblOrdenes[[#This Row],[fecha_inicio]])</f>
        <v/>
      </c>
      <c r="AB5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0">
        <f>IF(tblOrdenes[[#This Row],[orden]]="","",_xlfn.XLOOKUP(tblOrdenes[[#This Row],[id_operacion]],tblEjecucion[id_operacion],tblEjecucion[precio],0))</f>
        <v/>
      </c>
      <c r="AJ556" s="10">
        <f>IF(tblOrdenes[[#This Row],[orden]]="","",MAX(0,_xlfn.XLOOKUP(tblOrdenes[[#This Row],[id_operacion]],tblEjecucion[id_operacion],tblEjecucion[costo_plan_total],0)-tblOrdenes[[#This Row],[costo_servicio]]))</f>
        <v/>
      </c>
      <c r="AK556" s="10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2">
        <f>IF(tblOrdenes[[#This Row],[fecha_inicio]]="","",TODAY()-tblOrdenes[[#This Row],[fecha_inicio]])</f>
        <v/>
      </c>
      <c r="AB5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0">
        <f>IF(tblOrdenes[[#This Row],[orden]]="","",_xlfn.XLOOKUP(tblOrdenes[[#This Row],[id_operacion]],tblEjecucion[id_operacion],tblEjecucion[precio],0))</f>
        <v/>
      </c>
      <c r="AJ557" s="10">
        <f>IF(tblOrdenes[[#This Row],[orden]]="","",MAX(0,_xlfn.XLOOKUP(tblOrdenes[[#This Row],[id_operacion]],tblEjecucion[id_operacion],tblEjecucion[costo_plan_total],0)-tblOrdenes[[#This Row],[costo_servicio]]))</f>
        <v/>
      </c>
      <c r="AK557" s="10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2">
        <f>IF(tblOrdenes[[#This Row],[fecha_inicio]]="","",TODAY()-tblOrdenes[[#This Row],[fecha_inicio]])</f>
        <v/>
      </c>
      <c r="AB5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0">
        <f>IF(tblOrdenes[[#This Row],[orden]]="","",_xlfn.XLOOKUP(tblOrdenes[[#This Row],[id_operacion]],tblEjecucion[id_operacion],tblEjecucion[precio],0))</f>
        <v/>
      </c>
      <c r="AJ558" s="10">
        <f>IF(tblOrdenes[[#This Row],[orden]]="","",MAX(0,_xlfn.XLOOKUP(tblOrdenes[[#This Row],[id_operacion]],tblEjecucion[id_operacion],tblEjecucion[costo_plan_total],0)-tblOrdenes[[#This Row],[costo_servicio]]))</f>
        <v/>
      </c>
      <c r="AK558" s="10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2">
        <f>IF(tblOrdenes[[#This Row],[fecha_inicio]]="","",TODAY()-tblOrdenes[[#This Row],[fecha_inicio]])</f>
        <v/>
      </c>
      <c r="AB5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0">
        <f>IF(tblOrdenes[[#This Row],[orden]]="","",_xlfn.XLOOKUP(tblOrdenes[[#This Row],[id_operacion]],tblEjecucion[id_operacion],tblEjecucion[precio],0))</f>
        <v/>
      </c>
      <c r="AJ559" s="10">
        <f>IF(tblOrdenes[[#This Row],[orden]]="","",MAX(0,_xlfn.XLOOKUP(tblOrdenes[[#This Row],[id_operacion]],tblEjecucion[id_operacion],tblEjecucion[costo_plan_total],0)-tblOrdenes[[#This Row],[costo_servicio]]))</f>
        <v/>
      </c>
      <c r="AK559" s="10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2">
        <f>IF(tblOrdenes[[#This Row],[fecha_inicio]]="","",TODAY()-tblOrdenes[[#This Row],[fecha_inicio]])</f>
        <v/>
      </c>
      <c r="AB5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0">
        <f>IF(tblOrdenes[[#This Row],[orden]]="","",_xlfn.XLOOKUP(tblOrdenes[[#This Row],[id_operacion]],tblEjecucion[id_operacion],tblEjecucion[precio],0))</f>
        <v/>
      </c>
      <c r="AJ560" s="10">
        <f>IF(tblOrdenes[[#This Row],[orden]]="","",MAX(0,_xlfn.XLOOKUP(tblOrdenes[[#This Row],[id_operacion]],tblEjecucion[id_operacion],tblEjecucion[costo_plan_total],0)-tblOrdenes[[#This Row],[costo_servicio]]))</f>
        <v/>
      </c>
      <c r="AK560" s="10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2">
        <f>IF(tblOrdenes[[#This Row],[fecha_inicio]]="","",TODAY()-tblOrdenes[[#This Row],[fecha_inicio]])</f>
        <v/>
      </c>
      <c r="AB5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0">
        <f>IF(tblOrdenes[[#This Row],[orden]]="","",_xlfn.XLOOKUP(tblOrdenes[[#This Row],[id_operacion]],tblEjecucion[id_operacion],tblEjecucion[precio],0))</f>
        <v/>
      </c>
      <c r="AJ561" s="10">
        <f>IF(tblOrdenes[[#This Row],[orden]]="","",MAX(0,_xlfn.XLOOKUP(tblOrdenes[[#This Row],[id_operacion]],tblEjecucion[id_operacion],tblEjecucion[costo_plan_total],0)-tblOrdenes[[#This Row],[costo_servicio]]))</f>
        <v/>
      </c>
      <c r="AK561" s="10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2">
        <f>IF(tblOrdenes[[#This Row],[fecha_inicio]]="","",TODAY()-tblOrdenes[[#This Row],[fecha_inicio]])</f>
        <v/>
      </c>
      <c r="AB5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0">
        <f>IF(tblOrdenes[[#This Row],[orden]]="","",_xlfn.XLOOKUP(tblOrdenes[[#This Row],[id_operacion]],tblEjecucion[id_operacion],tblEjecucion[precio],0))</f>
        <v/>
      </c>
      <c r="AJ562" s="10">
        <f>IF(tblOrdenes[[#This Row],[orden]]="","",MAX(0,_xlfn.XLOOKUP(tblOrdenes[[#This Row],[id_operacion]],tblEjecucion[id_operacion],tblEjecucion[costo_plan_total],0)-tblOrdenes[[#This Row],[costo_servicio]]))</f>
        <v/>
      </c>
      <c r="AK562" s="10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2">
        <f>IF(tblOrdenes[[#This Row],[fecha_inicio]]="","",TODAY()-tblOrdenes[[#This Row],[fecha_inicio]])</f>
        <v/>
      </c>
      <c r="AB5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0">
        <f>IF(tblOrdenes[[#This Row],[orden]]="","",_xlfn.XLOOKUP(tblOrdenes[[#This Row],[id_operacion]],tblEjecucion[id_operacion],tblEjecucion[precio],0))</f>
        <v/>
      </c>
      <c r="AJ563" s="10">
        <f>IF(tblOrdenes[[#This Row],[orden]]="","",MAX(0,_xlfn.XLOOKUP(tblOrdenes[[#This Row],[id_operacion]],tblEjecucion[id_operacion],tblEjecucion[costo_plan_total],0)-tblOrdenes[[#This Row],[costo_servicio]]))</f>
        <v/>
      </c>
      <c r="AK563" s="10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2">
        <f>IF(tblOrdenes[[#This Row],[fecha_inicio]]="","",TODAY()-tblOrdenes[[#This Row],[fecha_inicio]])</f>
        <v/>
      </c>
      <c r="AB5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0">
        <f>IF(tblOrdenes[[#This Row],[orden]]="","",_xlfn.XLOOKUP(tblOrdenes[[#This Row],[id_operacion]],tblEjecucion[id_operacion],tblEjecucion[precio],0))</f>
        <v/>
      </c>
      <c r="AJ564" s="10">
        <f>IF(tblOrdenes[[#This Row],[orden]]="","",MAX(0,_xlfn.XLOOKUP(tblOrdenes[[#This Row],[id_operacion]],tblEjecucion[id_operacion],tblEjecucion[costo_plan_total],0)-tblOrdenes[[#This Row],[costo_servicio]]))</f>
        <v/>
      </c>
      <c r="AK564" s="10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2">
        <f>IF(tblOrdenes[[#This Row],[fecha_inicio]]="","",TODAY()-tblOrdenes[[#This Row],[fecha_inicio]])</f>
        <v/>
      </c>
      <c r="AB5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0">
        <f>IF(tblOrdenes[[#This Row],[orden]]="","",_xlfn.XLOOKUP(tblOrdenes[[#This Row],[id_operacion]],tblEjecucion[id_operacion],tblEjecucion[precio],0))</f>
        <v/>
      </c>
      <c r="AJ565" s="10">
        <f>IF(tblOrdenes[[#This Row],[orden]]="","",MAX(0,_xlfn.XLOOKUP(tblOrdenes[[#This Row],[id_operacion]],tblEjecucion[id_operacion],tblEjecucion[costo_plan_total],0)-tblOrdenes[[#This Row],[costo_servicio]]))</f>
        <v/>
      </c>
      <c r="AK565" s="10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2">
        <f>IF(tblOrdenes[[#This Row],[fecha_inicio]]="","",TODAY()-tblOrdenes[[#This Row],[fecha_inicio]])</f>
        <v/>
      </c>
      <c r="AB5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0">
        <f>IF(tblOrdenes[[#This Row],[orden]]="","",_xlfn.XLOOKUP(tblOrdenes[[#This Row],[id_operacion]],tblEjecucion[id_operacion],tblEjecucion[precio],0))</f>
        <v/>
      </c>
      <c r="AJ566" s="10">
        <f>IF(tblOrdenes[[#This Row],[orden]]="","",MAX(0,_xlfn.XLOOKUP(tblOrdenes[[#This Row],[id_operacion]],tblEjecucion[id_operacion],tblEjecucion[costo_plan_total],0)-tblOrdenes[[#This Row],[costo_servicio]]))</f>
        <v/>
      </c>
      <c r="AK566" s="10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2">
        <f>IF(tblOrdenes[[#This Row],[fecha_inicio]]="","",TODAY()-tblOrdenes[[#This Row],[fecha_inicio]])</f>
        <v/>
      </c>
      <c r="AB5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0">
        <f>IF(tblOrdenes[[#This Row],[orden]]="","",_xlfn.XLOOKUP(tblOrdenes[[#This Row],[id_operacion]],tblEjecucion[id_operacion],tblEjecucion[precio],0))</f>
        <v/>
      </c>
      <c r="AJ567" s="10">
        <f>IF(tblOrdenes[[#This Row],[orden]]="","",MAX(0,_xlfn.XLOOKUP(tblOrdenes[[#This Row],[id_operacion]],tblEjecucion[id_operacion],tblEjecucion[costo_plan_total],0)-tblOrdenes[[#This Row],[costo_servicio]]))</f>
        <v/>
      </c>
      <c r="AK567" s="10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2">
        <f>IF(tblOrdenes[[#This Row],[fecha_inicio]]="","",TODAY()-tblOrdenes[[#This Row],[fecha_inicio]])</f>
        <v/>
      </c>
      <c r="AB5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0">
        <f>IF(tblOrdenes[[#This Row],[orden]]="","",_xlfn.XLOOKUP(tblOrdenes[[#This Row],[id_operacion]],tblEjecucion[id_operacion],tblEjecucion[precio],0))</f>
        <v/>
      </c>
      <c r="AJ568" s="10">
        <f>IF(tblOrdenes[[#This Row],[orden]]="","",MAX(0,_xlfn.XLOOKUP(tblOrdenes[[#This Row],[id_operacion]],tblEjecucion[id_operacion],tblEjecucion[costo_plan_total],0)-tblOrdenes[[#This Row],[costo_servicio]]))</f>
        <v/>
      </c>
      <c r="AK568" s="10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2">
        <f>IF(tblOrdenes[[#This Row],[fecha_inicio]]="","",TODAY()-tblOrdenes[[#This Row],[fecha_inicio]])</f>
        <v/>
      </c>
      <c r="AB5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0">
        <f>IF(tblOrdenes[[#This Row],[orden]]="","",_xlfn.XLOOKUP(tblOrdenes[[#This Row],[id_operacion]],tblEjecucion[id_operacion],tblEjecucion[precio],0))</f>
        <v/>
      </c>
      <c r="AJ569" s="10">
        <f>IF(tblOrdenes[[#This Row],[orden]]="","",MAX(0,_xlfn.XLOOKUP(tblOrdenes[[#This Row],[id_operacion]],tblEjecucion[id_operacion],tblEjecucion[costo_plan_total],0)-tblOrdenes[[#This Row],[costo_servicio]]))</f>
        <v/>
      </c>
      <c r="AK569" s="10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2">
        <f>IF(tblOrdenes[[#This Row],[fecha_inicio]]="","",TODAY()-tblOrdenes[[#This Row],[fecha_inicio]])</f>
        <v/>
      </c>
      <c r="AB5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0">
        <f>IF(tblOrdenes[[#This Row],[orden]]="","",_xlfn.XLOOKUP(tblOrdenes[[#This Row],[id_operacion]],tblEjecucion[id_operacion],tblEjecucion[precio],0))</f>
        <v/>
      </c>
      <c r="AJ570" s="10">
        <f>IF(tblOrdenes[[#This Row],[orden]]="","",MAX(0,_xlfn.XLOOKUP(tblOrdenes[[#This Row],[id_operacion]],tblEjecucion[id_operacion],tblEjecucion[costo_plan_total],0)-tblOrdenes[[#This Row],[costo_servicio]]))</f>
        <v/>
      </c>
      <c r="AK570" s="10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2">
        <f>IF(tblOrdenes[[#This Row],[fecha_inicio]]="","",TODAY()-tblOrdenes[[#This Row],[fecha_inicio]])</f>
        <v/>
      </c>
      <c r="AB5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0">
        <f>IF(tblOrdenes[[#This Row],[orden]]="","",_xlfn.XLOOKUP(tblOrdenes[[#This Row],[id_operacion]],tblEjecucion[id_operacion],tblEjecucion[precio],0))</f>
        <v/>
      </c>
      <c r="AJ571" s="10">
        <f>IF(tblOrdenes[[#This Row],[orden]]="","",MAX(0,_xlfn.XLOOKUP(tblOrdenes[[#This Row],[id_operacion]],tblEjecucion[id_operacion],tblEjecucion[costo_plan_total],0)-tblOrdenes[[#This Row],[costo_servicio]]))</f>
        <v/>
      </c>
      <c r="AK571" s="10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2">
        <f>IF(tblOrdenes[[#This Row],[fecha_inicio]]="","",TODAY()-tblOrdenes[[#This Row],[fecha_inicio]])</f>
        <v/>
      </c>
      <c r="AB5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0">
        <f>IF(tblOrdenes[[#This Row],[orden]]="","",_xlfn.XLOOKUP(tblOrdenes[[#This Row],[id_operacion]],tblEjecucion[id_operacion],tblEjecucion[precio],0))</f>
        <v/>
      </c>
      <c r="AJ572" s="10">
        <f>IF(tblOrdenes[[#This Row],[orden]]="","",MAX(0,_xlfn.XLOOKUP(tblOrdenes[[#This Row],[id_operacion]],tblEjecucion[id_operacion],tblEjecucion[costo_plan_total],0)-tblOrdenes[[#This Row],[costo_servicio]]))</f>
        <v/>
      </c>
      <c r="AK572" s="10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2">
        <f>IF(tblOrdenes[[#This Row],[fecha_inicio]]="","",TODAY()-tblOrdenes[[#This Row],[fecha_inicio]])</f>
        <v/>
      </c>
      <c r="AB5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0">
        <f>IF(tblOrdenes[[#This Row],[orden]]="","",_xlfn.XLOOKUP(tblOrdenes[[#This Row],[id_operacion]],tblEjecucion[id_operacion],tblEjecucion[precio],0))</f>
        <v/>
      </c>
      <c r="AJ573" s="10">
        <f>IF(tblOrdenes[[#This Row],[orden]]="","",MAX(0,_xlfn.XLOOKUP(tblOrdenes[[#This Row],[id_operacion]],tblEjecucion[id_operacion],tblEjecucion[costo_plan_total],0)-tblOrdenes[[#This Row],[costo_servicio]]))</f>
        <v/>
      </c>
      <c r="AK573" s="10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2">
        <f>IF(tblOrdenes[[#This Row],[fecha_inicio]]="","",TODAY()-tblOrdenes[[#This Row],[fecha_inicio]])</f>
        <v/>
      </c>
      <c r="AB5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0">
        <f>IF(tblOrdenes[[#This Row],[orden]]="","",_xlfn.XLOOKUP(tblOrdenes[[#This Row],[id_operacion]],tblEjecucion[id_operacion],tblEjecucion[precio],0))</f>
        <v/>
      </c>
      <c r="AJ574" s="10">
        <f>IF(tblOrdenes[[#This Row],[orden]]="","",MAX(0,_xlfn.XLOOKUP(tblOrdenes[[#This Row],[id_operacion]],tblEjecucion[id_operacion],tblEjecucion[costo_plan_total],0)-tblOrdenes[[#This Row],[costo_servicio]]))</f>
        <v/>
      </c>
      <c r="AK574" s="10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2">
        <f>IF(tblOrdenes[[#This Row],[fecha_inicio]]="","",TODAY()-tblOrdenes[[#This Row],[fecha_inicio]])</f>
        <v/>
      </c>
      <c r="AB5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0">
        <f>IF(tblOrdenes[[#This Row],[orden]]="","",_xlfn.XLOOKUP(tblOrdenes[[#This Row],[id_operacion]],tblEjecucion[id_operacion],tblEjecucion[precio],0))</f>
        <v/>
      </c>
      <c r="AJ575" s="10">
        <f>IF(tblOrdenes[[#This Row],[orden]]="","",MAX(0,_xlfn.XLOOKUP(tblOrdenes[[#This Row],[id_operacion]],tblEjecucion[id_operacion],tblEjecucion[costo_plan_total],0)-tblOrdenes[[#This Row],[costo_servicio]]))</f>
        <v/>
      </c>
      <c r="AK575" s="10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2">
        <f>IF(tblOrdenes[[#This Row],[fecha_inicio]]="","",TODAY()-tblOrdenes[[#This Row],[fecha_inicio]])</f>
        <v/>
      </c>
      <c r="AB5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0">
        <f>IF(tblOrdenes[[#This Row],[orden]]="","",_xlfn.XLOOKUP(tblOrdenes[[#This Row],[id_operacion]],tblEjecucion[id_operacion],tblEjecucion[precio],0))</f>
        <v/>
      </c>
      <c r="AJ576" s="10">
        <f>IF(tblOrdenes[[#This Row],[orden]]="","",MAX(0,_xlfn.XLOOKUP(tblOrdenes[[#This Row],[id_operacion]],tblEjecucion[id_operacion],tblEjecucion[costo_plan_total],0)-tblOrdenes[[#This Row],[costo_servicio]]))</f>
        <v/>
      </c>
      <c r="AK576" s="10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2">
        <f>IF(tblOrdenes[[#This Row],[fecha_inicio]]="","",TODAY()-tblOrdenes[[#This Row],[fecha_inicio]])</f>
        <v/>
      </c>
      <c r="AB5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0">
        <f>IF(tblOrdenes[[#This Row],[orden]]="","",_xlfn.XLOOKUP(tblOrdenes[[#This Row],[id_operacion]],tblEjecucion[id_operacion],tblEjecucion[precio],0))</f>
        <v/>
      </c>
      <c r="AJ577" s="10">
        <f>IF(tblOrdenes[[#This Row],[orden]]="","",MAX(0,_xlfn.XLOOKUP(tblOrdenes[[#This Row],[id_operacion]],tblEjecucion[id_operacion],tblEjecucion[costo_plan_total],0)-tblOrdenes[[#This Row],[costo_servicio]]))</f>
        <v/>
      </c>
      <c r="AK577" s="10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2">
        <f>IF(tblOrdenes[[#This Row],[fecha_inicio]]="","",TODAY()-tblOrdenes[[#This Row],[fecha_inicio]])</f>
        <v/>
      </c>
      <c r="AB5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0">
        <f>IF(tblOrdenes[[#This Row],[orden]]="","",_xlfn.XLOOKUP(tblOrdenes[[#This Row],[id_operacion]],tblEjecucion[id_operacion],tblEjecucion[precio],0))</f>
        <v/>
      </c>
      <c r="AJ578" s="10">
        <f>IF(tblOrdenes[[#This Row],[orden]]="","",MAX(0,_xlfn.XLOOKUP(tblOrdenes[[#This Row],[id_operacion]],tblEjecucion[id_operacion],tblEjecucion[costo_plan_total],0)-tblOrdenes[[#This Row],[costo_servicio]]))</f>
        <v/>
      </c>
      <c r="AK578" s="10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2">
        <f>IF(tblOrdenes[[#This Row],[fecha_inicio]]="","",TODAY()-tblOrdenes[[#This Row],[fecha_inicio]])</f>
        <v/>
      </c>
      <c r="AB5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0">
        <f>IF(tblOrdenes[[#This Row],[orden]]="","",_xlfn.XLOOKUP(tblOrdenes[[#This Row],[id_operacion]],tblEjecucion[id_operacion],tblEjecucion[precio],0))</f>
        <v/>
      </c>
      <c r="AJ579" s="10">
        <f>IF(tblOrdenes[[#This Row],[orden]]="","",MAX(0,_xlfn.XLOOKUP(tblOrdenes[[#This Row],[id_operacion]],tblEjecucion[id_operacion],tblEjecucion[costo_plan_total],0)-tblOrdenes[[#This Row],[costo_servicio]]))</f>
        <v/>
      </c>
      <c r="AK579" s="10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2">
        <f>IF(tblOrdenes[[#This Row],[fecha_inicio]]="","",TODAY()-tblOrdenes[[#This Row],[fecha_inicio]])</f>
        <v/>
      </c>
      <c r="AB5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0">
        <f>IF(tblOrdenes[[#This Row],[orden]]="","",_xlfn.XLOOKUP(tblOrdenes[[#This Row],[id_operacion]],tblEjecucion[id_operacion],tblEjecucion[precio],0))</f>
        <v/>
      </c>
      <c r="AJ580" s="10">
        <f>IF(tblOrdenes[[#This Row],[orden]]="","",MAX(0,_xlfn.XLOOKUP(tblOrdenes[[#This Row],[id_operacion]],tblEjecucion[id_operacion],tblEjecucion[costo_plan_total],0)-tblOrdenes[[#This Row],[costo_servicio]]))</f>
        <v/>
      </c>
      <c r="AK580" s="10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2">
        <f>IF(tblOrdenes[[#This Row],[fecha_inicio]]="","",TODAY()-tblOrdenes[[#This Row],[fecha_inicio]])</f>
        <v/>
      </c>
      <c r="AB5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0">
        <f>IF(tblOrdenes[[#This Row],[orden]]="","",_xlfn.XLOOKUP(tblOrdenes[[#This Row],[id_operacion]],tblEjecucion[id_operacion],tblEjecucion[precio],0))</f>
        <v/>
      </c>
      <c r="AJ581" s="10">
        <f>IF(tblOrdenes[[#This Row],[orden]]="","",MAX(0,_xlfn.XLOOKUP(tblOrdenes[[#This Row],[id_operacion]],tblEjecucion[id_operacion],tblEjecucion[costo_plan_total],0)-tblOrdenes[[#This Row],[costo_servicio]]))</f>
        <v/>
      </c>
      <c r="AK581" s="10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2">
        <f>IF(tblOrdenes[[#This Row],[fecha_inicio]]="","",TODAY()-tblOrdenes[[#This Row],[fecha_inicio]])</f>
        <v/>
      </c>
      <c r="AB5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0">
        <f>IF(tblOrdenes[[#This Row],[orden]]="","",_xlfn.XLOOKUP(tblOrdenes[[#This Row],[id_operacion]],tblEjecucion[id_operacion],tblEjecucion[precio],0))</f>
        <v/>
      </c>
      <c r="AJ582" s="10">
        <f>IF(tblOrdenes[[#This Row],[orden]]="","",MAX(0,_xlfn.XLOOKUP(tblOrdenes[[#This Row],[id_operacion]],tblEjecucion[id_operacion],tblEjecucion[costo_plan_total],0)-tblOrdenes[[#This Row],[costo_servicio]]))</f>
        <v/>
      </c>
      <c r="AK582" s="10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2">
        <f>IF(tblOrdenes[[#This Row],[fecha_inicio]]="","",TODAY()-tblOrdenes[[#This Row],[fecha_inicio]])</f>
        <v/>
      </c>
      <c r="AB5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0">
        <f>IF(tblOrdenes[[#This Row],[orden]]="","",_xlfn.XLOOKUP(tblOrdenes[[#This Row],[id_operacion]],tblEjecucion[id_operacion],tblEjecucion[precio],0))</f>
        <v/>
      </c>
      <c r="AJ583" s="10">
        <f>IF(tblOrdenes[[#This Row],[orden]]="","",MAX(0,_xlfn.XLOOKUP(tblOrdenes[[#This Row],[id_operacion]],tblEjecucion[id_operacion],tblEjecucion[costo_plan_total],0)-tblOrdenes[[#This Row],[costo_servicio]]))</f>
        <v/>
      </c>
      <c r="AK583" s="10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2">
        <f>IF(tblOrdenes[[#This Row],[fecha_inicio]]="","",TODAY()-tblOrdenes[[#This Row],[fecha_inicio]])</f>
        <v/>
      </c>
      <c r="AB5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0">
        <f>IF(tblOrdenes[[#This Row],[orden]]="","",_xlfn.XLOOKUP(tblOrdenes[[#This Row],[id_operacion]],tblEjecucion[id_operacion],tblEjecucion[precio],0))</f>
        <v/>
      </c>
      <c r="AJ584" s="10">
        <f>IF(tblOrdenes[[#This Row],[orden]]="","",MAX(0,_xlfn.XLOOKUP(tblOrdenes[[#This Row],[id_operacion]],tblEjecucion[id_operacion],tblEjecucion[costo_plan_total],0)-tblOrdenes[[#This Row],[costo_servicio]]))</f>
        <v/>
      </c>
      <c r="AK584" s="10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2">
        <f>IF(tblOrdenes[[#This Row],[fecha_inicio]]="","",TODAY()-tblOrdenes[[#This Row],[fecha_inicio]])</f>
        <v/>
      </c>
      <c r="AB5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0">
        <f>IF(tblOrdenes[[#This Row],[orden]]="","",_xlfn.XLOOKUP(tblOrdenes[[#This Row],[id_operacion]],tblEjecucion[id_operacion],tblEjecucion[precio],0))</f>
        <v/>
      </c>
      <c r="AJ585" s="10">
        <f>IF(tblOrdenes[[#This Row],[orden]]="","",MAX(0,_xlfn.XLOOKUP(tblOrdenes[[#This Row],[id_operacion]],tblEjecucion[id_operacion],tblEjecucion[costo_plan_total],0)-tblOrdenes[[#This Row],[costo_servicio]]))</f>
        <v/>
      </c>
      <c r="AK585" s="10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2">
        <f>IF(tblOrdenes[[#This Row],[fecha_inicio]]="","",TODAY()-tblOrdenes[[#This Row],[fecha_inicio]])</f>
        <v/>
      </c>
      <c r="AB5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0">
        <f>IF(tblOrdenes[[#This Row],[orden]]="","",_xlfn.XLOOKUP(tblOrdenes[[#This Row],[id_operacion]],tblEjecucion[id_operacion],tblEjecucion[precio],0))</f>
        <v/>
      </c>
      <c r="AJ586" s="10">
        <f>IF(tblOrdenes[[#This Row],[orden]]="","",MAX(0,_xlfn.XLOOKUP(tblOrdenes[[#This Row],[id_operacion]],tblEjecucion[id_operacion],tblEjecucion[costo_plan_total],0)-tblOrdenes[[#This Row],[costo_servicio]]))</f>
        <v/>
      </c>
      <c r="AK586" s="10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2">
        <f>IF(tblOrdenes[[#This Row],[fecha_inicio]]="","",TODAY()-tblOrdenes[[#This Row],[fecha_inicio]])</f>
        <v/>
      </c>
      <c r="AB5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0">
        <f>IF(tblOrdenes[[#This Row],[orden]]="","",_xlfn.XLOOKUP(tblOrdenes[[#This Row],[id_operacion]],tblEjecucion[id_operacion],tblEjecucion[precio],0))</f>
        <v/>
      </c>
      <c r="AJ587" s="10">
        <f>IF(tblOrdenes[[#This Row],[orden]]="","",MAX(0,_xlfn.XLOOKUP(tblOrdenes[[#This Row],[id_operacion]],tblEjecucion[id_operacion],tblEjecucion[costo_plan_total],0)-tblOrdenes[[#This Row],[costo_servicio]]))</f>
        <v/>
      </c>
      <c r="AK587" s="10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2">
        <f>IF(tblOrdenes[[#This Row],[fecha_inicio]]="","",TODAY()-tblOrdenes[[#This Row],[fecha_inicio]])</f>
        <v/>
      </c>
      <c r="AB5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0">
        <f>IF(tblOrdenes[[#This Row],[orden]]="","",_xlfn.XLOOKUP(tblOrdenes[[#This Row],[id_operacion]],tblEjecucion[id_operacion],tblEjecucion[precio],0))</f>
        <v/>
      </c>
      <c r="AJ588" s="10">
        <f>IF(tblOrdenes[[#This Row],[orden]]="","",MAX(0,_xlfn.XLOOKUP(tblOrdenes[[#This Row],[id_operacion]],tblEjecucion[id_operacion],tblEjecucion[costo_plan_total],0)-tblOrdenes[[#This Row],[costo_servicio]]))</f>
        <v/>
      </c>
      <c r="AK588" s="10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2">
        <f>IF(tblOrdenes[[#This Row],[fecha_inicio]]="","",TODAY()-tblOrdenes[[#This Row],[fecha_inicio]])</f>
        <v/>
      </c>
      <c r="AB5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0">
        <f>IF(tblOrdenes[[#This Row],[orden]]="","",_xlfn.XLOOKUP(tblOrdenes[[#This Row],[id_operacion]],tblEjecucion[id_operacion],tblEjecucion[precio],0))</f>
        <v/>
      </c>
      <c r="AJ589" s="10">
        <f>IF(tblOrdenes[[#This Row],[orden]]="","",MAX(0,_xlfn.XLOOKUP(tblOrdenes[[#This Row],[id_operacion]],tblEjecucion[id_operacion],tblEjecucion[costo_plan_total],0)-tblOrdenes[[#This Row],[costo_servicio]]))</f>
        <v/>
      </c>
      <c r="AK589" s="10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2">
        <f>IF(tblOrdenes[[#This Row],[fecha_inicio]]="","",TODAY()-tblOrdenes[[#This Row],[fecha_inicio]])</f>
        <v/>
      </c>
      <c r="AB5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0">
        <f>IF(tblOrdenes[[#This Row],[orden]]="","",_xlfn.XLOOKUP(tblOrdenes[[#This Row],[id_operacion]],tblEjecucion[id_operacion],tblEjecucion[precio],0))</f>
        <v/>
      </c>
      <c r="AJ590" s="10">
        <f>IF(tblOrdenes[[#This Row],[orden]]="","",MAX(0,_xlfn.XLOOKUP(tblOrdenes[[#This Row],[id_operacion]],tblEjecucion[id_operacion],tblEjecucion[costo_plan_total],0)-tblOrdenes[[#This Row],[costo_servicio]]))</f>
        <v/>
      </c>
      <c r="AK590" s="10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2">
        <f>IF(tblOrdenes[[#This Row],[fecha_inicio]]="","",TODAY()-tblOrdenes[[#This Row],[fecha_inicio]])</f>
        <v/>
      </c>
      <c r="AB5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0">
        <f>IF(tblOrdenes[[#This Row],[orden]]="","",_xlfn.XLOOKUP(tblOrdenes[[#This Row],[id_operacion]],tblEjecucion[id_operacion],tblEjecucion[precio],0))</f>
        <v/>
      </c>
      <c r="AJ591" s="10">
        <f>IF(tblOrdenes[[#This Row],[orden]]="","",MAX(0,_xlfn.XLOOKUP(tblOrdenes[[#This Row],[id_operacion]],tblEjecucion[id_operacion],tblEjecucion[costo_plan_total],0)-tblOrdenes[[#This Row],[costo_servicio]]))</f>
        <v/>
      </c>
      <c r="AK591" s="10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2">
        <f>IF(tblOrdenes[[#This Row],[fecha_inicio]]="","",TODAY()-tblOrdenes[[#This Row],[fecha_inicio]])</f>
        <v/>
      </c>
      <c r="AB5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0">
        <f>IF(tblOrdenes[[#This Row],[orden]]="","",_xlfn.XLOOKUP(tblOrdenes[[#This Row],[id_operacion]],tblEjecucion[id_operacion],tblEjecucion[precio],0))</f>
        <v/>
      </c>
      <c r="AJ592" s="10">
        <f>IF(tblOrdenes[[#This Row],[orden]]="","",MAX(0,_xlfn.XLOOKUP(tblOrdenes[[#This Row],[id_operacion]],tblEjecucion[id_operacion],tblEjecucion[costo_plan_total],0)-tblOrdenes[[#This Row],[costo_servicio]]))</f>
        <v/>
      </c>
      <c r="AK592" s="10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2">
        <f>IF(tblOrdenes[[#This Row],[fecha_inicio]]="","",TODAY()-tblOrdenes[[#This Row],[fecha_inicio]])</f>
        <v/>
      </c>
      <c r="AB5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0">
        <f>IF(tblOrdenes[[#This Row],[orden]]="","",_xlfn.XLOOKUP(tblOrdenes[[#This Row],[id_operacion]],tblEjecucion[id_operacion],tblEjecucion[precio],0))</f>
        <v/>
      </c>
      <c r="AJ593" s="10">
        <f>IF(tblOrdenes[[#This Row],[orden]]="","",MAX(0,_xlfn.XLOOKUP(tblOrdenes[[#This Row],[id_operacion]],tblEjecucion[id_operacion],tblEjecucion[costo_plan_total],0)-tblOrdenes[[#This Row],[costo_servicio]]))</f>
        <v/>
      </c>
      <c r="AK593" s="10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2">
        <f>IF(tblOrdenes[[#This Row],[fecha_inicio]]="","",TODAY()-tblOrdenes[[#This Row],[fecha_inicio]])</f>
        <v/>
      </c>
      <c r="AB5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0">
        <f>IF(tblOrdenes[[#This Row],[orden]]="","",_xlfn.XLOOKUP(tblOrdenes[[#This Row],[id_operacion]],tblEjecucion[id_operacion],tblEjecucion[precio],0))</f>
        <v/>
      </c>
      <c r="AJ594" s="10">
        <f>IF(tblOrdenes[[#This Row],[orden]]="","",MAX(0,_xlfn.XLOOKUP(tblOrdenes[[#This Row],[id_operacion]],tblEjecucion[id_operacion],tblEjecucion[costo_plan_total],0)-tblOrdenes[[#This Row],[costo_servicio]]))</f>
        <v/>
      </c>
      <c r="AK594" s="10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2">
        <f>IF(tblOrdenes[[#This Row],[fecha_inicio]]="","",TODAY()-tblOrdenes[[#This Row],[fecha_inicio]])</f>
        <v/>
      </c>
      <c r="AB5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0">
        <f>IF(tblOrdenes[[#This Row],[orden]]="","",_xlfn.XLOOKUP(tblOrdenes[[#This Row],[id_operacion]],tblEjecucion[id_operacion],tblEjecucion[precio],0))</f>
        <v/>
      </c>
      <c r="AJ595" s="10">
        <f>IF(tblOrdenes[[#This Row],[orden]]="","",MAX(0,_xlfn.XLOOKUP(tblOrdenes[[#This Row],[id_operacion]],tblEjecucion[id_operacion],tblEjecucion[costo_plan_total],0)-tblOrdenes[[#This Row],[costo_servicio]]))</f>
        <v/>
      </c>
      <c r="AK595" s="10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2">
        <f>IF(tblOrdenes[[#This Row],[fecha_inicio]]="","",TODAY()-tblOrdenes[[#This Row],[fecha_inicio]])</f>
        <v/>
      </c>
      <c r="AB5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0">
        <f>IF(tblOrdenes[[#This Row],[orden]]="","",_xlfn.XLOOKUP(tblOrdenes[[#This Row],[id_operacion]],tblEjecucion[id_operacion],tblEjecucion[precio],0))</f>
        <v/>
      </c>
      <c r="AJ596" s="10">
        <f>IF(tblOrdenes[[#This Row],[orden]]="","",MAX(0,_xlfn.XLOOKUP(tblOrdenes[[#This Row],[id_operacion]],tblEjecucion[id_operacion],tblEjecucion[costo_plan_total],0)-tblOrdenes[[#This Row],[costo_servicio]]))</f>
        <v/>
      </c>
      <c r="AK596" s="10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2">
        <f>IF(tblOrdenes[[#This Row],[fecha_inicio]]="","",TODAY()-tblOrdenes[[#This Row],[fecha_inicio]])</f>
        <v/>
      </c>
      <c r="AB5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0">
        <f>IF(tblOrdenes[[#This Row],[orden]]="","",_xlfn.XLOOKUP(tblOrdenes[[#This Row],[id_operacion]],tblEjecucion[id_operacion],tblEjecucion[precio],0))</f>
        <v/>
      </c>
      <c r="AJ597" s="10">
        <f>IF(tblOrdenes[[#This Row],[orden]]="","",MAX(0,_xlfn.XLOOKUP(tblOrdenes[[#This Row],[id_operacion]],tblEjecucion[id_operacion],tblEjecucion[costo_plan_total],0)-tblOrdenes[[#This Row],[costo_servicio]]))</f>
        <v/>
      </c>
      <c r="AK597" s="10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2">
        <f>IF(tblOrdenes[[#This Row],[fecha_inicio]]="","",TODAY()-tblOrdenes[[#This Row],[fecha_inicio]])</f>
        <v/>
      </c>
      <c r="AB5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0">
        <f>IF(tblOrdenes[[#This Row],[orden]]="","",_xlfn.XLOOKUP(tblOrdenes[[#This Row],[id_operacion]],tblEjecucion[id_operacion],tblEjecucion[precio],0))</f>
        <v/>
      </c>
      <c r="AJ598" s="10">
        <f>IF(tblOrdenes[[#This Row],[orden]]="","",MAX(0,_xlfn.XLOOKUP(tblOrdenes[[#This Row],[id_operacion]],tblEjecucion[id_operacion],tblEjecucion[costo_plan_total],0)-tblOrdenes[[#This Row],[costo_servicio]]))</f>
        <v/>
      </c>
      <c r="AK598" s="10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2">
        <f>IF(tblOrdenes[[#This Row],[fecha_inicio]]="","",TODAY()-tblOrdenes[[#This Row],[fecha_inicio]])</f>
        <v/>
      </c>
      <c r="AB5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0">
        <f>IF(tblOrdenes[[#This Row],[orden]]="","",_xlfn.XLOOKUP(tblOrdenes[[#This Row],[id_operacion]],tblEjecucion[id_operacion],tblEjecucion[precio],0))</f>
        <v/>
      </c>
      <c r="AJ599" s="10">
        <f>IF(tblOrdenes[[#This Row],[orden]]="","",MAX(0,_xlfn.XLOOKUP(tblOrdenes[[#This Row],[id_operacion]],tblEjecucion[id_operacion],tblEjecucion[costo_plan_total],0)-tblOrdenes[[#This Row],[costo_servicio]]))</f>
        <v/>
      </c>
      <c r="AK599" s="10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2">
        <f>IF(tblOrdenes[[#This Row],[fecha_inicio]]="","",TODAY()-tblOrdenes[[#This Row],[fecha_inicio]])</f>
        <v/>
      </c>
      <c r="AB6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0">
        <f>IF(tblOrdenes[[#This Row],[orden]]="","",_xlfn.XLOOKUP(tblOrdenes[[#This Row],[id_operacion]],tblEjecucion[id_operacion],tblEjecucion[precio],0))</f>
        <v/>
      </c>
      <c r="AJ600" s="10">
        <f>IF(tblOrdenes[[#This Row],[orden]]="","",MAX(0,_xlfn.XLOOKUP(tblOrdenes[[#This Row],[id_operacion]],tblEjecucion[id_operacion],tblEjecucion[costo_plan_total],0)-tblOrdenes[[#This Row],[costo_servicio]]))</f>
        <v/>
      </c>
      <c r="AK600" s="10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2">
        <f>IF(tblOrdenes[[#This Row],[fecha_inicio]]="","",TODAY()-tblOrdenes[[#This Row],[fecha_inicio]])</f>
        <v/>
      </c>
      <c r="AB6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0">
        <f>IF(tblOrdenes[[#This Row],[orden]]="","",_xlfn.XLOOKUP(tblOrdenes[[#This Row],[id_operacion]],tblEjecucion[id_operacion],tblEjecucion[precio],0))</f>
        <v/>
      </c>
      <c r="AJ601" s="10">
        <f>IF(tblOrdenes[[#This Row],[orden]]="","",MAX(0,_xlfn.XLOOKUP(tblOrdenes[[#This Row],[id_operacion]],tblEjecucion[id_operacion],tblEjecucion[costo_plan_total],0)-tblOrdenes[[#This Row],[costo_servicio]]))</f>
        <v/>
      </c>
      <c r="AK601" s="10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2">
        <f>IF(tblOrdenes[[#This Row],[fecha_inicio]]="","",TODAY()-tblOrdenes[[#This Row],[fecha_inicio]])</f>
        <v/>
      </c>
      <c r="AB6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0">
        <f>IF(tblOrdenes[[#This Row],[orden]]="","",_xlfn.XLOOKUP(tblOrdenes[[#This Row],[id_operacion]],tblEjecucion[id_operacion],tblEjecucion[precio],0))</f>
        <v/>
      </c>
      <c r="AJ602" s="10">
        <f>IF(tblOrdenes[[#This Row],[orden]]="","",MAX(0,_xlfn.XLOOKUP(tblOrdenes[[#This Row],[id_operacion]],tblEjecucion[id_operacion],tblEjecucion[costo_plan_total],0)-tblOrdenes[[#This Row],[costo_servicio]]))</f>
        <v/>
      </c>
      <c r="AK602" s="10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2">
        <f>IF(tblOrdenes[[#This Row],[fecha_inicio]]="","",TODAY()-tblOrdenes[[#This Row],[fecha_inicio]])</f>
        <v/>
      </c>
      <c r="AB6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0">
        <f>IF(tblOrdenes[[#This Row],[orden]]="","",_xlfn.XLOOKUP(tblOrdenes[[#This Row],[id_operacion]],tblEjecucion[id_operacion],tblEjecucion[precio],0))</f>
        <v/>
      </c>
      <c r="AJ603" s="10">
        <f>IF(tblOrdenes[[#This Row],[orden]]="","",MAX(0,_xlfn.XLOOKUP(tblOrdenes[[#This Row],[id_operacion]],tblEjecucion[id_operacion],tblEjecucion[costo_plan_total],0)-tblOrdenes[[#This Row],[costo_servicio]]))</f>
        <v/>
      </c>
      <c r="AK603" s="10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2">
        <f>IF(tblOrdenes[[#This Row],[fecha_inicio]]="","",TODAY()-tblOrdenes[[#This Row],[fecha_inicio]])</f>
        <v/>
      </c>
      <c r="AB6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0">
        <f>IF(tblOrdenes[[#This Row],[orden]]="","",_xlfn.XLOOKUP(tblOrdenes[[#This Row],[id_operacion]],tblEjecucion[id_operacion],tblEjecucion[precio],0))</f>
        <v/>
      </c>
      <c r="AJ604" s="10">
        <f>IF(tblOrdenes[[#This Row],[orden]]="","",MAX(0,_xlfn.XLOOKUP(tblOrdenes[[#This Row],[id_operacion]],tblEjecucion[id_operacion],tblEjecucion[costo_plan_total],0)-tblOrdenes[[#This Row],[costo_servicio]]))</f>
        <v/>
      </c>
      <c r="AK604" s="10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2">
        <f>IF(tblOrdenes[[#This Row],[fecha_inicio]]="","",TODAY()-tblOrdenes[[#This Row],[fecha_inicio]])</f>
        <v/>
      </c>
      <c r="AB6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0">
        <f>IF(tblOrdenes[[#This Row],[orden]]="","",_xlfn.XLOOKUP(tblOrdenes[[#This Row],[id_operacion]],tblEjecucion[id_operacion],tblEjecucion[precio],0))</f>
        <v/>
      </c>
      <c r="AJ605" s="10">
        <f>IF(tblOrdenes[[#This Row],[orden]]="","",MAX(0,_xlfn.XLOOKUP(tblOrdenes[[#This Row],[id_operacion]],tblEjecucion[id_operacion],tblEjecucion[costo_plan_total],0)-tblOrdenes[[#This Row],[costo_servicio]]))</f>
        <v/>
      </c>
      <c r="AK605" s="10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2">
        <f>IF(tblOrdenes[[#This Row],[fecha_inicio]]="","",TODAY()-tblOrdenes[[#This Row],[fecha_inicio]])</f>
        <v/>
      </c>
      <c r="AB6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0">
        <f>IF(tblOrdenes[[#This Row],[orden]]="","",_xlfn.XLOOKUP(tblOrdenes[[#This Row],[id_operacion]],tblEjecucion[id_operacion],tblEjecucion[precio],0))</f>
        <v/>
      </c>
      <c r="AJ606" s="10">
        <f>IF(tblOrdenes[[#This Row],[orden]]="","",MAX(0,_xlfn.XLOOKUP(tblOrdenes[[#This Row],[id_operacion]],tblEjecucion[id_operacion],tblEjecucion[costo_plan_total],0)-tblOrdenes[[#This Row],[costo_servicio]]))</f>
        <v/>
      </c>
      <c r="AK606" s="10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2">
        <f>IF(tblOrdenes[[#This Row],[fecha_inicio]]="","",TODAY()-tblOrdenes[[#This Row],[fecha_inicio]])</f>
        <v/>
      </c>
      <c r="AB6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0">
        <f>IF(tblOrdenes[[#This Row],[orden]]="","",_xlfn.XLOOKUP(tblOrdenes[[#This Row],[id_operacion]],tblEjecucion[id_operacion],tblEjecucion[precio],0))</f>
        <v/>
      </c>
      <c r="AJ607" s="10">
        <f>IF(tblOrdenes[[#This Row],[orden]]="","",MAX(0,_xlfn.XLOOKUP(tblOrdenes[[#This Row],[id_operacion]],tblEjecucion[id_operacion],tblEjecucion[costo_plan_total],0)-tblOrdenes[[#This Row],[costo_servicio]]))</f>
        <v/>
      </c>
      <c r="AK607" s="10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2">
        <f>IF(tblOrdenes[[#This Row],[fecha_inicio]]="","",TODAY()-tblOrdenes[[#This Row],[fecha_inicio]])</f>
        <v/>
      </c>
      <c r="AB6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0">
        <f>IF(tblOrdenes[[#This Row],[orden]]="","",_xlfn.XLOOKUP(tblOrdenes[[#This Row],[id_operacion]],tblEjecucion[id_operacion],tblEjecucion[precio],0))</f>
        <v/>
      </c>
      <c r="AJ608" s="10">
        <f>IF(tblOrdenes[[#This Row],[orden]]="","",MAX(0,_xlfn.XLOOKUP(tblOrdenes[[#This Row],[id_operacion]],tblEjecucion[id_operacion],tblEjecucion[costo_plan_total],0)-tblOrdenes[[#This Row],[costo_servicio]]))</f>
        <v/>
      </c>
      <c r="AK608" s="10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2">
        <f>IF(tblOrdenes[[#This Row],[fecha_inicio]]="","",TODAY()-tblOrdenes[[#This Row],[fecha_inicio]])</f>
        <v/>
      </c>
      <c r="AB6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0">
        <f>IF(tblOrdenes[[#This Row],[orden]]="","",_xlfn.XLOOKUP(tblOrdenes[[#This Row],[id_operacion]],tblEjecucion[id_operacion],tblEjecucion[precio],0))</f>
        <v/>
      </c>
      <c r="AJ609" s="10">
        <f>IF(tblOrdenes[[#This Row],[orden]]="","",MAX(0,_xlfn.XLOOKUP(tblOrdenes[[#This Row],[id_operacion]],tblEjecucion[id_operacion],tblEjecucion[costo_plan_total],0)-tblOrdenes[[#This Row],[costo_servicio]]))</f>
        <v/>
      </c>
      <c r="AK609" s="10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2">
        <f>IF(tblOrdenes[[#This Row],[fecha_inicio]]="","",TODAY()-tblOrdenes[[#This Row],[fecha_inicio]])</f>
        <v/>
      </c>
      <c r="AB6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0">
        <f>IF(tblOrdenes[[#This Row],[orden]]="","",_xlfn.XLOOKUP(tblOrdenes[[#This Row],[id_operacion]],tblEjecucion[id_operacion],tblEjecucion[precio],0))</f>
        <v/>
      </c>
      <c r="AJ610" s="10">
        <f>IF(tblOrdenes[[#This Row],[orden]]="","",MAX(0,_xlfn.XLOOKUP(tblOrdenes[[#This Row],[id_operacion]],tblEjecucion[id_operacion],tblEjecucion[costo_plan_total],0)-tblOrdenes[[#This Row],[costo_servicio]]))</f>
        <v/>
      </c>
      <c r="AK610" s="10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2">
        <f>IF(tblOrdenes[[#This Row],[fecha_inicio]]="","",TODAY()-tblOrdenes[[#This Row],[fecha_inicio]])</f>
        <v/>
      </c>
      <c r="AB6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0">
        <f>IF(tblOrdenes[[#This Row],[orden]]="","",_xlfn.XLOOKUP(tblOrdenes[[#This Row],[id_operacion]],tblEjecucion[id_operacion],tblEjecucion[precio],0))</f>
        <v/>
      </c>
      <c r="AJ611" s="10">
        <f>IF(tblOrdenes[[#This Row],[orden]]="","",MAX(0,_xlfn.XLOOKUP(tblOrdenes[[#This Row],[id_operacion]],tblEjecucion[id_operacion],tblEjecucion[costo_plan_total],0)-tblOrdenes[[#This Row],[costo_servicio]]))</f>
        <v/>
      </c>
      <c r="AK611" s="10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2">
        <f>IF(tblOrdenes[[#This Row],[fecha_inicio]]="","",TODAY()-tblOrdenes[[#This Row],[fecha_inicio]])</f>
        <v/>
      </c>
      <c r="AB6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0">
        <f>IF(tblOrdenes[[#This Row],[orden]]="","",_xlfn.XLOOKUP(tblOrdenes[[#This Row],[id_operacion]],tblEjecucion[id_operacion],tblEjecucion[precio],0))</f>
        <v/>
      </c>
      <c r="AJ612" s="10">
        <f>IF(tblOrdenes[[#This Row],[orden]]="","",MAX(0,_xlfn.XLOOKUP(tblOrdenes[[#This Row],[id_operacion]],tblEjecucion[id_operacion],tblEjecucion[costo_plan_total],0)-tblOrdenes[[#This Row],[costo_servicio]]))</f>
        <v/>
      </c>
      <c r="AK612" s="10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2">
        <f>IF(tblOrdenes[[#This Row],[fecha_inicio]]="","",TODAY()-tblOrdenes[[#This Row],[fecha_inicio]])</f>
        <v/>
      </c>
      <c r="AB6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0">
        <f>IF(tblOrdenes[[#This Row],[orden]]="","",_xlfn.XLOOKUP(tblOrdenes[[#This Row],[id_operacion]],tblEjecucion[id_operacion],tblEjecucion[precio],0))</f>
        <v/>
      </c>
      <c r="AJ613" s="10">
        <f>IF(tblOrdenes[[#This Row],[orden]]="","",MAX(0,_xlfn.XLOOKUP(tblOrdenes[[#This Row],[id_operacion]],tblEjecucion[id_operacion],tblEjecucion[costo_plan_total],0)-tblOrdenes[[#This Row],[costo_servicio]]))</f>
        <v/>
      </c>
      <c r="AK613" s="10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2">
        <f>IF(tblOrdenes[[#This Row],[fecha_inicio]]="","",TODAY()-tblOrdenes[[#This Row],[fecha_inicio]])</f>
        <v/>
      </c>
      <c r="AB6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0">
        <f>IF(tblOrdenes[[#This Row],[orden]]="","",_xlfn.XLOOKUP(tblOrdenes[[#This Row],[id_operacion]],tblEjecucion[id_operacion],tblEjecucion[precio],0))</f>
        <v/>
      </c>
      <c r="AJ614" s="10">
        <f>IF(tblOrdenes[[#This Row],[orden]]="","",MAX(0,_xlfn.XLOOKUP(tblOrdenes[[#This Row],[id_operacion]],tblEjecucion[id_operacion],tblEjecucion[costo_plan_total],0)-tblOrdenes[[#This Row],[costo_servicio]]))</f>
        <v/>
      </c>
      <c r="AK614" s="10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2">
        <f>IF(tblOrdenes[[#This Row],[fecha_inicio]]="","",TODAY()-tblOrdenes[[#This Row],[fecha_inicio]])</f>
        <v/>
      </c>
      <c r="AB6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0">
        <f>IF(tblOrdenes[[#This Row],[orden]]="","",_xlfn.XLOOKUP(tblOrdenes[[#This Row],[id_operacion]],tblEjecucion[id_operacion],tblEjecucion[precio],0))</f>
        <v/>
      </c>
      <c r="AJ615" s="10">
        <f>IF(tblOrdenes[[#This Row],[orden]]="","",MAX(0,_xlfn.XLOOKUP(tblOrdenes[[#This Row],[id_operacion]],tblEjecucion[id_operacion],tblEjecucion[costo_plan_total],0)-tblOrdenes[[#This Row],[costo_servicio]]))</f>
        <v/>
      </c>
      <c r="AK615" s="10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2">
        <f>IF(tblOrdenes[[#This Row],[fecha_inicio]]="","",TODAY()-tblOrdenes[[#This Row],[fecha_inicio]])</f>
        <v/>
      </c>
      <c r="AB6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0">
        <f>IF(tblOrdenes[[#This Row],[orden]]="","",_xlfn.XLOOKUP(tblOrdenes[[#This Row],[id_operacion]],tblEjecucion[id_operacion],tblEjecucion[precio],0))</f>
        <v/>
      </c>
      <c r="AJ616" s="10">
        <f>IF(tblOrdenes[[#This Row],[orden]]="","",MAX(0,_xlfn.XLOOKUP(tblOrdenes[[#This Row],[id_operacion]],tblEjecucion[id_operacion],tblEjecucion[costo_plan_total],0)-tblOrdenes[[#This Row],[costo_servicio]]))</f>
        <v/>
      </c>
      <c r="AK616" s="10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2">
        <f>IF(tblOrdenes[[#This Row],[fecha_inicio]]="","",TODAY()-tblOrdenes[[#This Row],[fecha_inicio]])</f>
        <v/>
      </c>
      <c r="AB6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0">
        <f>IF(tblOrdenes[[#This Row],[orden]]="","",_xlfn.XLOOKUP(tblOrdenes[[#This Row],[id_operacion]],tblEjecucion[id_operacion],tblEjecucion[precio],0))</f>
        <v/>
      </c>
      <c r="AJ617" s="10">
        <f>IF(tblOrdenes[[#This Row],[orden]]="","",MAX(0,_xlfn.XLOOKUP(tblOrdenes[[#This Row],[id_operacion]],tblEjecucion[id_operacion],tblEjecucion[costo_plan_total],0)-tblOrdenes[[#This Row],[costo_servicio]]))</f>
        <v/>
      </c>
      <c r="AK617" s="10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2">
        <f>IF(tblOrdenes[[#This Row],[fecha_inicio]]="","",TODAY()-tblOrdenes[[#This Row],[fecha_inicio]])</f>
        <v/>
      </c>
      <c r="AB6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0">
        <f>IF(tblOrdenes[[#This Row],[orden]]="","",_xlfn.XLOOKUP(tblOrdenes[[#This Row],[id_operacion]],tblEjecucion[id_operacion],tblEjecucion[precio],0))</f>
        <v/>
      </c>
      <c r="AJ618" s="10">
        <f>IF(tblOrdenes[[#This Row],[orden]]="","",MAX(0,_xlfn.XLOOKUP(tblOrdenes[[#This Row],[id_operacion]],tblEjecucion[id_operacion],tblEjecucion[costo_plan_total],0)-tblOrdenes[[#This Row],[costo_servicio]]))</f>
        <v/>
      </c>
      <c r="AK618" s="10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2">
        <f>IF(tblOrdenes[[#This Row],[fecha_inicio]]="","",TODAY()-tblOrdenes[[#This Row],[fecha_inicio]])</f>
        <v/>
      </c>
      <c r="AB6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0">
        <f>IF(tblOrdenes[[#This Row],[orden]]="","",_xlfn.XLOOKUP(tblOrdenes[[#This Row],[id_operacion]],tblEjecucion[id_operacion],tblEjecucion[precio],0))</f>
        <v/>
      </c>
      <c r="AJ619" s="10">
        <f>IF(tblOrdenes[[#This Row],[orden]]="","",MAX(0,_xlfn.XLOOKUP(tblOrdenes[[#This Row],[id_operacion]],tblEjecucion[id_operacion],tblEjecucion[costo_plan_total],0)-tblOrdenes[[#This Row],[costo_servicio]]))</f>
        <v/>
      </c>
      <c r="AK619" s="10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2">
        <f>IF(tblOrdenes[[#This Row],[fecha_inicio]]="","",TODAY()-tblOrdenes[[#This Row],[fecha_inicio]])</f>
        <v/>
      </c>
      <c r="AB6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0">
        <f>IF(tblOrdenes[[#This Row],[orden]]="","",_xlfn.XLOOKUP(tblOrdenes[[#This Row],[id_operacion]],tblEjecucion[id_operacion],tblEjecucion[precio],0))</f>
        <v/>
      </c>
      <c r="AJ620" s="10">
        <f>IF(tblOrdenes[[#This Row],[orden]]="","",MAX(0,_xlfn.XLOOKUP(tblOrdenes[[#This Row],[id_operacion]],tblEjecucion[id_operacion],tblEjecucion[costo_plan_total],0)-tblOrdenes[[#This Row],[costo_servicio]]))</f>
        <v/>
      </c>
      <c r="AK620" s="10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2">
        <f>IF(tblOrdenes[[#This Row],[fecha_inicio]]="","",TODAY()-tblOrdenes[[#This Row],[fecha_inicio]])</f>
        <v/>
      </c>
      <c r="AB6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0">
        <f>IF(tblOrdenes[[#This Row],[orden]]="","",_xlfn.XLOOKUP(tblOrdenes[[#This Row],[id_operacion]],tblEjecucion[id_operacion],tblEjecucion[precio],0))</f>
        <v/>
      </c>
      <c r="AJ621" s="10">
        <f>IF(tblOrdenes[[#This Row],[orden]]="","",MAX(0,_xlfn.XLOOKUP(tblOrdenes[[#This Row],[id_operacion]],tblEjecucion[id_operacion],tblEjecucion[costo_plan_total],0)-tblOrdenes[[#This Row],[costo_servicio]]))</f>
        <v/>
      </c>
      <c r="AK621" s="10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2">
        <f>IF(tblOrdenes[[#This Row],[fecha_inicio]]="","",TODAY()-tblOrdenes[[#This Row],[fecha_inicio]])</f>
        <v/>
      </c>
      <c r="AB6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0">
        <f>IF(tblOrdenes[[#This Row],[orden]]="","",_xlfn.XLOOKUP(tblOrdenes[[#This Row],[id_operacion]],tblEjecucion[id_operacion],tblEjecucion[precio],0))</f>
        <v/>
      </c>
      <c r="AJ622" s="10">
        <f>IF(tblOrdenes[[#This Row],[orden]]="","",MAX(0,_xlfn.XLOOKUP(tblOrdenes[[#This Row],[id_operacion]],tblEjecucion[id_operacion],tblEjecucion[costo_plan_total],0)-tblOrdenes[[#This Row],[costo_servicio]]))</f>
        <v/>
      </c>
      <c r="AK622" s="10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2">
        <f>IF(tblOrdenes[[#This Row],[fecha_inicio]]="","",TODAY()-tblOrdenes[[#This Row],[fecha_inicio]])</f>
        <v/>
      </c>
      <c r="AB6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0">
        <f>IF(tblOrdenes[[#This Row],[orden]]="","",_xlfn.XLOOKUP(tblOrdenes[[#This Row],[id_operacion]],tblEjecucion[id_operacion],tblEjecucion[precio],0))</f>
        <v/>
      </c>
      <c r="AJ623" s="10">
        <f>IF(tblOrdenes[[#This Row],[orden]]="","",MAX(0,_xlfn.XLOOKUP(tblOrdenes[[#This Row],[id_operacion]],tblEjecucion[id_operacion],tblEjecucion[costo_plan_total],0)-tblOrdenes[[#This Row],[costo_servicio]]))</f>
        <v/>
      </c>
      <c r="AK623" s="10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2">
        <f>IF(tblOrdenes[[#This Row],[fecha_inicio]]="","",TODAY()-tblOrdenes[[#This Row],[fecha_inicio]])</f>
        <v/>
      </c>
      <c r="AB6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0">
        <f>IF(tblOrdenes[[#This Row],[orden]]="","",_xlfn.XLOOKUP(tblOrdenes[[#This Row],[id_operacion]],tblEjecucion[id_operacion],tblEjecucion[precio],0))</f>
        <v/>
      </c>
      <c r="AJ624" s="10">
        <f>IF(tblOrdenes[[#This Row],[orden]]="","",MAX(0,_xlfn.XLOOKUP(tblOrdenes[[#This Row],[id_operacion]],tblEjecucion[id_operacion],tblEjecucion[costo_plan_total],0)-tblOrdenes[[#This Row],[costo_servicio]]))</f>
        <v/>
      </c>
      <c r="AK624" s="10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2">
        <f>IF(tblOrdenes[[#This Row],[fecha_inicio]]="","",TODAY()-tblOrdenes[[#This Row],[fecha_inicio]])</f>
        <v/>
      </c>
      <c r="AB6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0">
        <f>IF(tblOrdenes[[#This Row],[orden]]="","",_xlfn.XLOOKUP(tblOrdenes[[#This Row],[id_operacion]],tblEjecucion[id_operacion],tblEjecucion[precio],0))</f>
        <v/>
      </c>
      <c r="AJ625" s="10">
        <f>IF(tblOrdenes[[#This Row],[orden]]="","",MAX(0,_xlfn.XLOOKUP(tblOrdenes[[#This Row],[id_operacion]],tblEjecucion[id_operacion],tblEjecucion[costo_plan_total],0)-tblOrdenes[[#This Row],[costo_servicio]]))</f>
        <v/>
      </c>
      <c r="AK625" s="10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2">
        <f>IF(tblOrdenes[[#This Row],[fecha_inicio]]="","",TODAY()-tblOrdenes[[#This Row],[fecha_inicio]])</f>
        <v/>
      </c>
      <c r="AB6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0">
        <f>IF(tblOrdenes[[#This Row],[orden]]="","",_xlfn.XLOOKUP(tblOrdenes[[#This Row],[id_operacion]],tblEjecucion[id_operacion],tblEjecucion[precio],0))</f>
        <v/>
      </c>
      <c r="AJ626" s="10">
        <f>IF(tblOrdenes[[#This Row],[orden]]="","",MAX(0,_xlfn.XLOOKUP(tblOrdenes[[#This Row],[id_operacion]],tblEjecucion[id_operacion],tblEjecucion[costo_plan_total],0)-tblOrdenes[[#This Row],[costo_servicio]]))</f>
        <v/>
      </c>
      <c r="AK626" s="10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2">
        <f>IF(tblOrdenes[[#This Row],[fecha_inicio]]="","",TODAY()-tblOrdenes[[#This Row],[fecha_inicio]])</f>
        <v/>
      </c>
      <c r="AB6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0">
        <f>IF(tblOrdenes[[#This Row],[orden]]="","",_xlfn.XLOOKUP(tblOrdenes[[#This Row],[id_operacion]],tblEjecucion[id_operacion],tblEjecucion[precio],0))</f>
        <v/>
      </c>
      <c r="AJ627" s="10">
        <f>IF(tblOrdenes[[#This Row],[orden]]="","",MAX(0,_xlfn.XLOOKUP(tblOrdenes[[#This Row],[id_operacion]],tblEjecucion[id_operacion],tblEjecucion[costo_plan_total],0)-tblOrdenes[[#This Row],[costo_servicio]]))</f>
        <v/>
      </c>
      <c r="AK627" s="10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2">
        <f>IF(tblOrdenes[[#This Row],[fecha_inicio]]="","",TODAY()-tblOrdenes[[#This Row],[fecha_inicio]])</f>
        <v/>
      </c>
      <c r="AB6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0">
        <f>IF(tblOrdenes[[#This Row],[orden]]="","",_xlfn.XLOOKUP(tblOrdenes[[#This Row],[id_operacion]],tblEjecucion[id_operacion],tblEjecucion[precio],0))</f>
        <v/>
      </c>
      <c r="AJ628" s="10">
        <f>IF(tblOrdenes[[#This Row],[orden]]="","",MAX(0,_xlfn.XLOOKUP(tblOrdenes[[#This Row],[id_operacion]],tblEjecucion[id_operacion],tblEjecucion[costo_plan_total],0)-tblOrdenes[[#This Row],[costo_servicio]]))</f>
        <v/>
      </c>
      <c r="AK628" s="10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2">
        <f>IF(tblOrdenes[[#This Row],[fecha_inicio]]="","",TODAY()-tblOrdenes[[#This Row],[fecha_inicio]])</f>
        <v/>
      </c>
      <c r="AB6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0">
        <f>IF(tblOrdenes[[#This Row],[orden]]="","",_xlfn.XLOOKUP(tblOrdenes[[#This Row],[id_operacion]],tblEjecucion[id_operacion],tblEjecucion[precio],0))</f>
        <v/>
      </c>
      <c r="AJ629" s="10">
        <f>IF(tblOrdenes[[#This Row],[orden]]="","",MAX(0,_xlfn.XLOOKUP(tblOrdenes[[#This Row],[id_operacion]],tblEjecucion[id_operacion],tblEjecucion[costo_plan_total],0)-tblOrdenes[[#This Row],[costo_servicio]]))</f>
        <v/>
      </c>
      <c r="AK629" s="10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2">
        <f>IF(tblOrdenes[[#This Row],[fecha_inicio]]="","",TODAY()-tblOrdenes[[#This Row],[fecha_inicio]])</f>
        <v/>
      </c>
      <c r="AB6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0">
        <f>IF(tblOrdenes[[#This Row],[orden]]="","",_xlfn.XLOOKUP(tblOrdenes[[#This Row],[id_operacion]],tblEjecucion[id_operacion],tblEjecucion[precio],0))</f>
        <v/>
      </c>
      <c r="AJ630" s="10">
        <f>IF(tblOrdenes[[#This Row],[orden]]="","",MAX(0,_xlfn.XLOOKUP(tblOrdenes[[#This Row],[id_operacion]],tblEjecucion[id_operacion],tblEjecucion[costo_plan_total],0)-tblOrdenes[[#This Row],[costo_servicio]]))</f>
        <v/>
      </c>
      <c r="AK630" s="10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2">
        <f>IF(tblOrdenes[[#This Row],[fecha_inicio]]="","",TODAY()-tblOrdenes[[#This Row],[fecha_inicio]])</f>
        <v/>
      </c>
      <c r="AB6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0">
        <f>IF(tblOrdenes[[#This Row],[orden]]="","",_xlfn.XLOOKUP(tblOrdenes[[#This Row],[id_operacion]],tblEjecucion[id_operacion],tblEjecucion[precio],0))</f>
        <v/>
      </c>
      <c r="AJ631" s="10">
        <f>IF(tblOrdenes[[#This Row],[orden]]="","",MAX(0,_xlfn.XLOOKUP(tblOrdenes[[#This Row],[id_operacion]],tblEjecucion[id_operacion],tblEjecucion[costo_plan_total],0)-tblOrdenes[[#This Row],[costo_servicio]]))</f>
        <v/>
      </c>
      <c r="AK631" s="10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2">
        <f>IF(tblOrdenes[[#This Row],[fecha_inicio]]="","",TODAY()-tblOrdenes[[#This Row],[fecha_inicio]])</f>
        <v/>
      </c>
      <c r="AB6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0">
        <f>IF(tblOrdenes[[#This Row],[orden]]="","",_xlfn.XLOOKUP(tblOrdenes[[#This Row],[id_operacion]],tblEjecucion[id_operacion],tblEjecucion[precio],0))</f>
        <v/>
      </c>
      <c r="AJ632" s="10">
        <f>IF(tblOrdenes[[#This Row],[orden]]="","",MAX(0,_xlfn.XLOOKUP(tblOrdenes[[#This Row],[id_operacion]],tblEjecucion[id_operacion],tblEjecucion[costo_plan_total],0)-tblOrdenes[[#This Row],[costo_servicio]]))</f>
        <v/>
      </c>
      <c r="AK632" s="10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2">
        <f>IF(tblOrdenes[[#This Row],[fecha_inicio]]="","",TODAY()-tblOrdenes[[#This Row],[fecha_inicio]])</f>
        <v/>
      </c>
      <c r="AB6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0">
        <f>IF(tblOrdenes[[#This Row],[orden]]="","",_xlfn.XLOOKUP(tblOrdenes[[#This Row],[id_operacion]],tblEjecucion[id_operacion],tblEjecucion[precio],0))</f>
        <v/>
      </c>
      <c r="AJ633" s="10">
        <f>IF(tblOrdenes[[#This Row],[orden]]="","",MAX(0,_xlfn.XLOOKUP(tblOrdenes[[#This Row],[id_operacion]],tblEjecucion[id_operacion],tblEjecucion[costo_plan_total],0)-tblOrdenes[[#This Row],[costo_servicio]]))</f>
        <v/>
      </c>
      <c r="AK633" s="10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2">
        <f>IF(tblOrdenes[[#This Row],[fecha_inicio]]="","",TODAY()-tblOrdenes[[#This Row],[fecha_inicio]])</f>
        <v/>
      </c>
      <c r="AB6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0">
        <f>IF(tblOrdenes[[#This Row],[orden]]="","",_xlfn.XLOOKUP(tblOrdenes[[#This Row],[id_operacion]],tblEjecucion[id_operacion],tblEjecucion[precio],0))</f>
        <v/>
      </c>
      <c r="AJ634" s="10">
        <f>IF(tblOrdenes[[#This Row],[orden]]="","",MAX(0,_xlfn.XLOOKUP(tblOrdenes[[#This Row],[id_operacion]],tblEjecucion[id_operacion],tblEjecucion[costo_plan_total],0)-tblOrdenes[[#This Row],[costo_servicio]]))</f>
        <v/>
      </c>
      <c r="AK634" s="10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2">
        <f>IF(tblOrdenes[[#This Row],[fecha_inicio]]="","",TODAY()-tblOrdenes[[#This Row],[fecha_inicio]])</f>
        <v/>
      </c>
      <c r="AB6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0">
        <f>IF(tblOrdenes[[#This Row],[orden]]="","",_xlfn.XLOOKUP(tblOrdenes[[#This Row],[id_operacion]],tblEjecucion[id_operacion],tblEjecucion[precio],0))</f>
        <v/>
      </c>
      <c r="AJ635" s="10">
        <f>IF(tblOrdenes[[#This Row],[orden]]="","",MAX(0,_xlfn.XLOOKUP(tblOrdenes[[#This Row],[id_operacion]],tblEjecucion[id_operacion],tblEjecucion[costo_plan_total],0)-tblOrdenes[[#This Row],[costo_servicio]]))</f>
        <v/>
      </c>
      <c r="AK635" s="10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2">
        <f>IF(tblOrdenes[[#This Row],[fecha_inicio]]="","",TODAY()-tblOrdenes[[#This Row],[fecha_inicio]])</f>
        <v/>
      </c>
      <c r="AB6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0">
        <f>IF(tblOrdenes[[#This Row],[orden]]="","",_xlfn.XLOOKUP(tblOrdenes[[#This Row],[id_operacion]],tblEjecucion[id_operacion],tblEjecucion[precio],0))</f>
        <v/>
      </c>
      <c r="AJ636" s="10">
        <f>IF(tblOrdenes[[#This Row],[orden]]="","",MAX(0,_xlfn.XLOOKUP(tblOrdenes[[#This Row],[id_operacion]],tblEjecucion[id_operacion],tblEjecucion[costo_plan_total],0)-tblOrdenes[[#This Row],[costo_servicio]]))</f>
        <v/>
      </c>
      <c r="AK636" s="10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2">
        <f>IF(tblOrdenes[[#This Row],[fecha_inicio]]="","",TODAY()-tblOrdenes[[#This Row],[fecha_inicio]])</f>
        <v/>
      </c>
      <c r="AB6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0">
        <f>IF(tblOrdenes[[#This Row],[orden]]="","",_xlfn.XLOOKUP(tblOrdenes[[#This Row],[id_operacion]],tblEjecucion[id_operacion],tblEjecucion[precio],0))</f>
        <v/>
      </c>
      <c r="AJ637" s="10">
        <f>IF(tblOrdenes[[#This Row],[orden]]="","",MAX(0,_xlfn.XLOOKUP(tblOrdenes[[#This Row],[id_operacion]],tblEjecucion[id_operacion],tblEjecucion[costo_plan_total],0)-tblOrdenes[[#This Row],[costo_servicio]]))</f>
        <v/>
      </c>
      <c r="AK637" s="10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2">
        <f>IF(tblOrdenes[[#This Row],[fecha_inicio]]="","",TODAY()-tblOrdenes[[#This Row],[fecha_inicio]])</f>
        <v/>
      </c>
      <c r="AB6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0">
        <f>IF(tblOrdenes[[#This Row],[orden]]="","",_xlfn.XLOOKUP(tblOrdenes[[#This Row],[id_operacion]],tblEjecucion[id_operacion],tblEjecucion[precio],0))</f>
        <v/>
      </c>
      <c r="AJ638" s="10">
        <f>IF(tblOrdenes[[#This Row],[orden]]="","",MAX(0,_xlfn.XLOOKUP(tblOrdenes[[#This Row],[id_operacion]],tblEjecucion[id_operacion],tblEjecucion[costo_plan_total],0)-tblOrdenes[[#This Row],[costo_servicio]]))</f>
        <v/>
      </c>
      <c r="AK638" s="10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2">
        <f>IF(tblOrdenes[[#This Row],[fecha_inicio]]="","",TODAY()-tblOrdenes[[#This Row],[fecha_inicio]])</f>
        <v/>
      </c>
      <c r="AB6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0">
        <f>IF(tblOrdenes[[#This Row],[orden]]="","",_xlfn.XLOOKUP(tblOrdenes[[#This Row],[id_operacion]],tblEjecucion[id_operacion],tblEjecucion[precio],0))</f>
        <v/>
      </c>
      <c r="AJ639" s="10">
        <f>IF(tblOrdenes[[#This Row],[orden]]="","",MAX(0,_xlfn.XLOOKUP(tblOrdenes[[#This Row],[id_operacion]],tblEjecucion[id_operacion],tblEjecucion[costo_plan_total],0)-tblOrdenes[[#This Row],[costo_servicio]]))</f>
        <v/>
      </c>
      <c r="AK639" s="10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2">
        <f>IF(tblOrdenes[[#This Row],[fecha_inicio]]="","",TODAY()-tblOrdenes[[#This Row],[fecha_inicio]])</f>
        <v/>
      </c>
      <c r="AB6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0">
        <f>IF(tblOrdenes[[#This Row],[orden]]="","",_xlfn.XLOOKUP(tblOrdenes[[#This Row],[id_operacion]],tblEjecucion[id_operacion],tblEjecucion[precio],0))</f>
        <v/>
      </c>
      <c r="AJ640" s="10">
        <f>IF(tblOrdenes[[#This Row],[orden]]="","",MAX(0,_xlfn.XLOOKUP(tblOrdenes[[#This Row],[id_operacion]],tblEjecucion[id_operacion],tblEjecucion[costo_plan_total],0)-tblOrdenes[[#This Row],[costo_servicio]]))</f>
        <v/>
      </c>
      <c r="AK640" s="10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2">
        <f>IF(tblOrdenes[[#This Row],[fecha_inicio]]="","",TODAY()-tblOrdenes[[#This Row],[fecha_inicio]])</f>
        <v/>
      </c>
      <c r="AB6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0">
        <f>IF(tblOrdenes[[#This Row],[orden]]="","",_xlfn.XLOOKUP(tblOrdenes[[#This Row],[id_operacion]],tblEjecucion[id_operacion],tblEjecucion[precio],0))</f>
        <v/>
      </c>
      <c r="AJ641" s="10">
        <f>IF(tblOrdenes[[#This Row],[orden]]="","",MAX(0,_xlfn.XLOOKUP(tblOrdenes[[#This Row],[id_operacion]],tblEjecucion[id_operacion],tblEjecucion[costo_plan_total],0)-tblOrdenes[[#This Row],[costo_servicio]]))</f>
        <v/>
      </c>
      <c r="AK641" s="10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2">
        <f>IF(tblOrdenes[[#This Row],[fecha_inicio]]="","",TODAY()-tblOrdenes[[#This Row],[fecha_inicio]])</f>
        <v/>
      </c>
      <c r="AB6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0">
        <f>IF(tblOrdenes[[#This Row],[orden]]="","",_xlfn.XLOOKUP(tblOrdenes[[#This Row],[id_operacion]],tblEjecucion[id_operacion],tblEjecucion[precio],0))</f>
        <v/>
      </c>
      <c r="AJ642" s="10">
        <f>IF(tblOrdenes[[#This Row],[orden]]="","",MAX(0,_xlfn.XLOOKUP(tblOrdenes[[#This Row],[id_operacion]],tblEjecucion[id_operacion],tblEjecucion[costo_plan_total],0)-tblOrdenes[[#This Row],[costo_servicio]]))</f>
        <v/>
      </c>
      <c r="AK642" s="10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2">
        <f>IF(tblOrdenes[[#This Row],[fecha_inicio]]="","",TODAY()-tblOrdenes[[#This Row],[fecha_inicio]])</f>
        <v/>
      </c>
      <c r="AB6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0">
        <f>IF(tblOrdenes[[#This Row],[orden]]="","",_xlfn.XLOOKUP(tblOrdenes[[#This Row],[id_operacion]],tblEjecucion[id_operacion],tblEjecucion[precio],0))</f>
        <v/>
      </c>
      <c r="AJ643" s="10">
        <f>IF(tblOrdenes[[#This Row],[orden]]="","",MAX(0,_xlfn.XLOOKUP(tblOrdenes[[#This Row],[id_operacion]],tblEjecucion[id_operacion],tblEjecucion[costo_plan_total],0)-tblOrdenes[[#This Row],[costo_servicio]]))</f>
        <v/>
      </c>
      <c r="AK643" s="10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2">
        <f>IF(tblOrdenes[[#This Row],[fecha_inicio]]="","",TODAY()-tblOrdenes[[#This Row],[fecha_inicio]])</f>
        <v/>
      </c>
      <c r="AB6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0">
        <f>IF(tblOrdenes[[#This Row],[orden]]="","",_xlfn.XLOOKUP(tblOrdenes[[#This Row],[id_operacion]],tblEjecucion[id_operacion],tblEjecucion[precio],0))</f>
        <v/>
      </c>
      <c r="AJ644" s="10">
        <f>IF(tblOrdenes[[#This Row],[orden]]="","",MAX(0,_xlfn.XLOOKUP(tblOrdenes[[#This Row],[id_operacion]],tblEjecucion[id_operacion],tblEjecucion[costo_plan_total],0)-tblOrdenes[[#This Row],[costo_servicio]]))</f>
        <v/>
      </c>
      <c r="AK644" s="10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2">
        <f>IF(tblOrdenes[[#This Row],[fecha_inicio]]="","",TODAY()-tblOrdenes[[#This Row],[fecha_inicio]])</f>
        <v/>
      </c>
      <c r="AB6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0">
        <f>IF(tblOrdenes[[#This Row],[orden]]="","",_xlfn.XLOOKUP(tblOrdenes[[#This Row],[id_operacion]],tblEjecucion[id_operacion],tblEjecucion[precio],0))</f>
        <v/>
      </c>
      <c r="AJ645" s="10">
        <f>IF(tblOrdenes[[#This Row],[orden]]="","",MAX(0,_xlfn.XLOOKUP(tblOrdenes[[#This Row],[id_operacion]],tblEjecucion[id_operacion],tblEjecucion[costo_plan_total],0)-tblOrdenes[[#This Row],[costo_servicio]]))</f>
        <v/>
      </c>
      <c r="AK645" s="10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2">
        <f>IF(tblOrdenes[[#This Row],[fecha_inicio]]="","",TODAY()-tblOrdenes[[#This Row],[fecha_inicio]])</f>
        <v/>
      </c>
      <c r="AB6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0">
        <f>IF(tblOrdenes[[#This Row],[orden]]="","",_xlfn.XLOOKUP(tblOrdenes[[#This Row],[id_operacion]],tblEjecucion[id_operacion],tblEjecucion[precio],0))</f>
        <v/>
      </c>
      <c r="AJ646" s="10">
        <f>IF(tblOrdenes[[#This Row],[orden]]="","",MAX(0,_xlfn.XLOOKUP(tblOrdenes[[#This Row],[id_operacion]],tblEjecucion[id_operacion],tblEjecucion[costo_plan_total],0)-tblOrdenes[[#This Row],[costo_servicio]]))</f>
        <v/>
      </c>
      <c r="AK646" s="10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2">
        <f>IF(tblOrdenes[[#This Row],[fecha_inicio]]="","",TODAY()-tblOrdenes[[#This Row],[fecha_inicio]])</f>
        <v/>
      </c>
      <c r="AB6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0">
        <f>IF(tblOrdenes[[#This Row],[orden]]="","",_xlfn.XLOOKUP(tblOrdenes[[#This Row],[id_operacion]],tblEjecucion[id_operacion],tblEjecucion[precio],0))</f>
        <v/>
      </c>
      <c r="AJ647" s="10">
        <f>IF(tblOrdenes[[#This Row],[orden]]="","",MAX(0,_xlfn.XLOOKUP(tblOrdenes[[#This Row],[id_operacion]],tblEjecucion[id_operacion],tblEjecucion[costo_plan_total],0)-tblOrdenes[[#This Row],[costo_servicio]]))</f>
        <v/>
      </c>
      <c r="AK647" s="10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2">
        <f>IF(tblOrdenes[[#This Row],[fecha_inicio]]="","",TODAY()-tblOrdenes[[#This Row],[fecha_inicio]])</f>
        <v/>
      </c>
      <c r="AB6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0">
        <f>IF(tblOrdenes[[#This Row],[orden]]="","",_xlfn.XLOOKUP(tblOrdenes[[#This Row],[id_operacion]],tblEjecucion[id_operacion],tblEjecucion[precio],0))</f>
        <v/>
      </c>
      <c r="AJ648" s="10">
        <f>IF(tblOrdenes[[#This Row],[orden]]="","",MAX(0,_xlfn.XLOOKUP(tblOrdenes[[#This Row],[id_operacion]],tblEjecucion[id_operacion],tblEjecucion[costo_plan_total],0)-tblOrdenes[[#This Row],[costo_servicio]]))</f>
        <v/>
      </c>
      <c r="AK648" s="10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2">
        <f>IF(tblOrdenes[[#This Row],[fecha_inicio]]="","",TODAY()-tblOrdenes[[#This Row],[fecha_inicio]])</f>
        <v/>
      </c>
      <c r="AB6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0">
        <f>IF(tblOrdenes[[#This Row],[orden]]="","",_xlfn.XLOOKUP(tblOrdenes[[#This Row],[id_operacion]],tblEjecucion[id_operacion],tblEjecucion[precio],0))</f>
        <v/>
      </c>
      <c r="AJ649" s="10">
        <f>IF(tblOrdenes[[#This Row],[orden]]="","",MAX(0,_xlfn.XLOOKUP(tblOrdenes[[#This Row],[id_operacion]],tblEjecucion[id_operacion],tblEjecucion[costo_plan_total],0)-tblOrdenes[[#This Row],[costo_servicio]]))</f>
        <v/>
      </c>
      <c r="AK649" s="10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2">
        <f>IF(tblOrdenes[[#This Row],[fecha_inicio]]="","",TODAY()-tblOrdenes[[#This Row],[fecha_inicio]])</f>
        <v/>
      </c>
      <c r="AB6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0">
        <f>IF(tblOrdenes[[#This Row],[orden]]="","",_xlfn.XLOOKUP(tblOrdenes[[#This Row],[id_operacion]],tblEjecucion[id_operacion],tblEjecucion[precio],0))</f>
        <v/>
      </c>
      <c r="AJ650" s="10">
        <f>IF(tblOrdenes[[#This Row],[orden]]="","",MAX(0,_xlfn.XLOOKUP(tblOrdenes[[#This Row],[id_operacion]],tblEjecucion[id_operacion],tblEjecucion[costo_plan_total],0)-tblOrdenes[[#This Row],[costo_servicio]]))</f>
        <v/>
      </c>
      <c r="AK650" s="10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2">
        <f>IF(tblOrdenes[[#This Row],[fecha_inicio]]="","",TODAY()-tblOrdenes[[#This Row],[fecha_inicio]])</f>
        <v/>
      </c>
      <c r="AB6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0">
        <f>IF(tblOrdenes[[#This Row],[orden]]="","",_xlfn.XLOOKUP(tblOrdenes[[#This Row],[id_operacion]],tblEjecucion[id_operacion],tblEjecucion[precio],0))</f>
        <v/>
      </c>
      <c r="AJ651" s="10">
        <f>IF(tblOrdenes[[#This Row],[orden]]="","",MAX(0,_xlfn.XLOOKUP(tblOrdenes[[#This Row],[id_operacion]],tblEjecucion[id_operacion],tblEjecucion[costo_plan_total],0)-tblOrdenes[[#This Row],[costo_servicio]]))</f>
        <v/>
      </c>
      <c r="AK651" s="10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2">
        <f>IF(tblOrdenes[[#This Row],[fecha_inicio]]="","",TODAY()-tblOrdenes[[#This Row],[fecha_inicio]])</f>
        <v/>
      </c>
      <c r="AB6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0">
        <f>IF(tblOrdenes[[#This Row],[orden]]="","",_xlfn.XLOOKUP(tblOrdenes[[#This Row],[id_operacion]],tblEjecucion[id_operacion],tblEjecucion[precio],0))</f>
        <v/>
      </c>
      <c r="AJ652" s="10">
        <f>IF(tblOrdenes[[#This Row],[orden]]="","",MAX(0,_xlfn.XLOOKUP(tblOrdenes[[#This Row],[id_operacion]],tblEjecucion[id_operacion],tblEjecucion[costo_plan_total],0)-tblOrdenes[[#This Row],[costo_servicio]]))</f>
        <v/>
      </c>
      <c r="AK652" s="10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2">
        <f>IF(tblOrdenes[[#This Row],[fecha_inicio]]="","",TODAY()-tblOrdenes[[#This Row],[fecha_inicio]])</f>
        <v/>
      </c>
      <c r="AB6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0">
        <f>IF(tblOrdenes[[#This Row],[orden]]="","",_xlfn.XLOOKUP(tblOrdenes[[#This Row],[id_operacion]],tblEjecucion[id_operacion],tblEjecucion[precio],0))</f>
        <v/>
      </c>
      <c r="AJ653" s="10">
        <f>IF(tblOrdenes[[#This Row],[orden]]="","",MAX(0,_xlfn.XLOOKUP(tblOrdenes[[#This Row],[id_operacion]],tblEjecucion[id_operacion],tblEjecucion[costo_plan_total],0)-tblOrdenes[[#This Row],[costo_servicio]]))</f>
        <v/>
      </c>
      <c r="AK653" s="10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2">
        <f>IF(tblOrdenes[[#This Row],[fecha_inicio]]="","",TODAY()-tblOrdenes[[#This Row],[fecha_inicio]])</f>
        <v/>
      </c>
      <c r="AB6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0">
        <f>IF(tblOrdenes[[#This Row],[orden]]="","",_xlfn.XLOOKUP(tblOrdenes[[#This Row],[id_operacion]],tblEjecucion[id_operacion],tblEjecucion[precio],0))</f>
        <v/>
      </c>
      <c r="AJ654" s="10">
        <f>IF(tblOrdenes[[#This Row],[orden]]="","",MAX(0,_xlfn.XLOOKUP(tblOrdenes[[#This Row],[id_operacion]],tblEjecucion[id_operacion],tblEjecucion[costo_plan_total],0)-tblOrdenes[[#This Row],[costo_servicio]]))</f>
        <v/>
      </c>
      <c r="AK654" s="10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2">
        <f>IF(tblOrdenes[[#This Row],[fecha_inicio]]="","",TODAY()-tblOrdenes[[#This Row],[fecha_inicio]])</f>
        <v/>
      </c>
      <c r="AB6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0">
        <f>IF(tblOrdenes[[#This Row],[orden]]="","",_xlfn.XLOOKUP(tblOrdenes[[#This Row],[id_operacion]],tblEjecucion[id_operacion],tblEjecucion[precio],0))</f>
        <v/>
      </c>
      <c r="AJ655" s="10">
        <f>IF(tblOrdenes[[#This Row],[orden]]="","",MAX(0,_xlfn.XLOOKUP(tblOrdenes[[#This Row],[id_operacion]],tblEjecucion[id_operacion],tblEjecucion[costo_plan_total],0)-tblOrdenes[[#This Row],[costo_servicio]]))</f>
        <v/>
      </c>
      <c r="AK655" s="10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2">
        <f>IF(tblOrdenes[[#This Row],[fecha_inicio]]="","",TODAY()-tblOrdenes[[#This Row],[fecha_inicio]])</f>
        <v/>
      </c>
      <c r="AB6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0">
        <f>IF(tblOrdenes[[#This Row],[orden]]="","",_xlfn.XLOOKUP(tblOrdenes[[#This Row],[id_operacion]],tblEjecucion[id_operacion],tblEjecucion[precio],0))</f>
        <v/>
      </c>
      <c r="AJ656" s="10">
        <f>IF(tblOrdenes[[#This Row],[orden]]="","",MAX(0,_xlfn.XLOOKUP(tblOrdenes[[#This Row],[id_operacion]],tblEjecucion[id_operacion],tblEjecucion[costo_plan_total],0)-tblOrdenes[[#This Row],[costo_servicio]]))</f>
        <v/>
      </c>
      <c r="AK656" s="10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2">
        <f>IF(tblOrdenes[[#This Row],[fecha_inicio]]="","",TODAY()-tblOrdenes[[#This Row],[fecha_inicio]])</f>
        <v/>
      </c>
      <c r="AB6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0">
        <f>IF(tblOrdenes[[#This Row],[orden]]="","",_xlfn.XLOOKUP(tblOrdenes[[#This Row],[id_operacion]],tblEjecucion[id_operacion],tblEjecucion[precio],0))</f>
        <v/>
      </c>
      <c r="AJ657" s="10">
        <f>IF(tblOrdenes[[#This Row],[orden]]="","",MAX(0,_xlfn.XLOOKUP(tblOrdenes[[#This Row],[id_operacion]],tblEjecucion[id_operacion],tblEjecucion[costo_plan_total],0)-tblOrdenes[[#This Row],[costo_servicio]]))</f>
        <v/>
      </c>
      <c r="AK657" s="10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2">
        <f>IF(tblOrdenes[[#This Row],[fecha_inicio]]="","",TODAY()-tblOrdenes[[#This Row],[fecha_inicio]])</f>
        <v/>
      </c>
      <c r="AB6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0">
        <f>IF(tblOrdenes[[#This Row],[orden]]="","",_xlfn.XLOOKUP(tblOrdenes[[#This Row],[id_operacion]],tblEjecucion[id_operacion],tblEjecucion[precio],0))</f>
        <v/>
      </c>
      <c r="AJ658" s="10">
        <f>IF(tblOrdenes[[#This Row],[orden]]="","",MAX(0,_xlfn.XLOOKUP(tblOrdenes[[#This Row],[id_operacion]],tblEjecucion[id_operacion],tblEjecucion[costo_plan_total],0)-tblOrdenes[[#This Row],[costo_servicio]]))</f>
        <v/>
      </c>
      <c r="AK658" s="10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2">
        <f>IF(tblOrdenes[[#This Row],[fecha_inicio]]="","",TODAY()-tblOrdenes[[#This Row],[fecha_inicio]])</f>
        <v/>
      </c>
      <c r="AB6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0">
        <f>IF(tblOrdenes[[#This Row],[orden]]="","",_xlfn.XLOOKUP(tblOrdenes[[#This Row],[id_operacion]],tblEjecucion[id_operacion],tblEjecucion[precio],0))</f>
        <v/>
      </c>
      <c r="AJ659" s="10">
        <f>IF(tblOrdenes[[#This Row],[orden]]="","",MAX(0,_xlfn.XLOOKUP(tblOrdenes[[#This Row],[id_operacion]],tblEjecucion[id_operacion],tblEjecucion[costo_plan_total],0)-tblOrdenes[[#This Row],[costo_servicio]]))</f>
        <v/>
      </c>
      <c r="AK659" s="10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2">
        <f>IF(tblOrdenes[[#This Row],[fecha_inicio]]="","",TODAY()-tblOrdenes[[#This Row],[fecha_inicio]])</f>
        <v/>
      </c>
      <c r="AB6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0">
        <f>IF(tblOrdenes[[#This Row],[orden]]="","",_xlfn.XLOOKUP(tblOrdenes[[#This Row],[id_operacion]],tblEjecucion[id_operacion],tblEjecucion[precio],0))</f>
        <v/>
      </c>
      <c r="AJ660" s="10">
        <f>IF(tblOrdenes[[#This Row],[orden]]="","",MAX(0,_xlfn.XLOOKUP(tblOrdenes[[#This Row],[id_operacion]],tblEjecucion[id_operacion],tblEjecucion[costo_plan_total],0)-tblOrdenes[[#This Row],[costo_servicio]]))</f>
        <v/>
      </c>
      <c r="AK660" s="10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2">
        <f>IF(tblOrdenes[[#This Row],[fecha_inicio]]="","",TODAY()-tblOrdenes[[#This Row],[fecha_inicio]])</f>
        <v/>
      </c>
      <c r="AB6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0">
        <f>IF(tblOrdenes[[#This Row],[orden]]="","",_xlfn.XLOOKUP(tblOrdenes[[#This Row],[id_operacion]],tblEjecucion[id_operacion],tblEjecucion[precio],0))</f>
        <v/>
      </c>
      <c r="AJ661" s="10">
        <f>IF(tblOrdenes[[#This Row],[orden]]="","",MAX(0,_xlfn.XLOOKUP(tblOrdenes[[#This Row],[id_operacion]],tblEjecucion[id_operacion],tblEjecucion[costo_plan_total],0)-tblOrdenes[[#This Row],[costo_servicio]]))</f>
        <v/>
      </c>
      <c r="AK661" s="10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2">
        <f>IF(tblOrdenes[[#This Row],[fecha_inicio]]="","",TODAY()-tblOrdenes[[#This Row],[fecha_inicio]])</f>
        <v/>
      </c>
      <c r="AB6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0">
        <f>IF(tblOrdenes[[#This Row],[orden]]="","",_xlfn.XLOOKUP(tblOrdenes[[#This Row],[id_operacion]],tblEjecucion[id_operacion],tblEjecucion[precio],0))</f>
        <v/>
      </c>
      <c r="AJ662" s="10">
        <f>IF(tblOrdenes[[#This Row],[orden]]="","",MAX(0,_xlfn.XLOOKUP(tblOrdenes[[#This Row],[id_operacion]],tblEjecucion[id_operacion],tblEjecucion[costo_plan_total],0)-tblOrdenes[[#This Row],[costo_servicio]]))</f>
        <v/>
      </c>
      <c r="AK662" s="10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2">
        <f>IF(tblOrdenes[[#This Row],[fecha_inicio]]="","",TODAY()-tblOrdenes[[#This Row],[fecha_inicio]])</f>
        <v/>
      </c>
      <c r="AB6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0">
        <f>IF(tblOrdenes[[#This Row],[orden]]="","",_xlfn.XLOOKUP(tblOrdenes[[#This Row],[id_operacion]],tblEjecucion[id_operacion],tblEjecucion[precio],0))</f>
        <v/>
      </c>
      <c r="AJ663" s="10">
        <f>IF(tblOrdenes[[#This Row],[orden]]="","",MAX(0,_xlfn.XLOOKUP(tblOrdenes[[#This Row],[id_operacion]],tblEjecucion[id_operacion],tblEjecucion[costo_plan_total],0)-tblOrdenes[[#This Row],[costo_servicio]]))</f>
        <v/>
      </c>
      <c r="AK663" s="10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2">
        <f>IF(tblOrdenes[[#This Row],[fecha_inicio]]="","",TODAY()-tblOrdenes[[#This Row],[fecha_inicio]])</f>
        <v/>
      </c>
      <c r="AB6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0">
        <f>IF(tblOrdenes[[#This Row],[orden]]="","",_xlfn.XLOOKUP(tblOrdenes[[#This Row],[id_operacion]],tblEjecucion[id_operacion],tblEjecucion[precio],0))</f>
        <v/>
      </c>
      <c r="AJ664" s="10">
        <f>IF(tblOrdenes[[#This Row],[orden]]="","",MAX(0,_xlfn.XLOOKUP(tblOrdenes[[#This Row],[id_operacion]],tblEjecucion[id_operacion],tblEjecucion[costo_plan_total],0)-tblOrdenes[[#This Row],[costo_servicio]]))</f>
        <v/>
      </c>
      <c r="AK664" s="10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2">
        <f>IF(tblOrdenes[[#This Row],[fecha_inicio]]="","",TODAY()-tblOrdenes[[#This Row],[fecha_inicio]])</f>
        <v/>
      </c>
      <c r="AB6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0">
        <f>IF(tblOrdenes[[#This Row],[orden]]="","",_xlfn.XLOOKUP(tblOrdenes[[#This Row],[id_operacion]],tblEjecucion[id_operacion],tblEjecucion[precio],0))</f>
        <v/>
      </c>
      <c r="AJ665" s="10">
        <f>IF(tblOrdenes[[#This Row],[orden]]="","",MAX(0,_xlfn.XLOOKUP(tblOrdenes[[#This Row],[id_operacion]],tblEjecucion[id_operacion],tblEjecucion[costo_plan_total],0)-tblOrdenes[[#This Row],[costo_servicio]]))</f>
        <v/>
      </c>
      <c r="AK665" s="10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2">
        <f>IF(tblOrdenes[[#This Row],[fecha_inicio]]="","",TODAY()-tblOrdenes[[#This Row],[fecha_inicio]])</f>
        <v/>
      </c>
      <c r="AB6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0">
        <f>IF(tblOrdenes[[#This Row],[orden]]="","",_xlfn.XLOOKUP(tblOrdenes[[#This Row],[id_operacion]],tblEjecucion[id_operacion],tblEjecucion[precio],0))</f>
        <v/>
      </c>
      <c r="AJ666" s="10">
        <f>IF(tblOrdenes[[#This Row],[orden]]="","",MAX(0,_xlfn.XLOOKUP(tblOrdenes[[#This Row],[id_operacion]],tblEjecucion[id_operacion],tblEjecucion[costo_plan_total],0)-tblOrdenes[[#This Row],[costo_servicio]]))</f>
        <v/>
      </c>
      <c r="AK666" s="10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2">
        <f>IF(tblOrdenes[[#This Row],[fecha_inicio]]="","",TODAY()-tblOrdenes[[#This Row],[fecha_inicio]])</f>
        <v/>
      </c>
      <c r="AB6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0">
        <f>IF(tblOrdenes[[#This Row],[orden]]="","",_xlfn.XLOOKUP(tblOrdenes[[#This Row],[id_operacion]],tblEjecucion[id_operacion],tblEjecucion[precio],0))</f>
        <v/>
      </c>
      <c r="AJ667" s="10">
        <f>IF(tblOrdenes[[#This Row],[orden]]="","",MAX(0,_xlfn.XLOOKUP(tblOrdenes[[#This Row],[id_operacion]],tblEjecucion[id_operacion],tblEjecucion[costo_plan_total],0)-tblOrdenes[[#This Row],[costo_servicio]]))</f>
        <v/>
      </c>
      <c r="AK667" s="10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2">
        <f>IF(tblOrdenes[[#This Row],[fecha_inicio]]="","",TODAY()-tblOrdenes[[#This Row],[fecha_inicio]])</f>
        <v/>
      </c>
      <c r="AB6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0">
        <f>IF(tblOrdenes[[#This Row],[orden]]="","",_xlfn.XLOOKUP(tblOrdenes[[#This Row],[id_operacion]],tblEjecucion[id_operacion],tblEjecucion[precio],0))</f>
        <v/>
      </c>
      <c r="AJ668" s="10">
        <f>IF(tblOrdenes[[#This Row],[orden]]="","",MAX(0,_xlfn.XLOOKUP(tblOrdenes[[#This Row],[id_operacion]],tblEjecucion[id_operacion],tblEjecucion[costo_plan_total],0)-tblOrdenes[[#This Row],[costo_servicio]]))</f>
        <v/>
      </c>
      <c r="AK668" s="10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2">
        <f>IF(tblOrdenes[[#This Row],[fecha_inicio]]="","",TODAY()-tblOrdenes[[#This Row],[fecha_inicio]])</f>
        <v/>
      </c>
      <c r="AB6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0">
        <f>IF(tblOrdenes[[#This Row],[orden]]="","",_xlfn.XLOOKUP(tblOrdenes[[#This Row],[id_operacion]],tblEjecucion[id_operacion],tblEjecucion[precio],0))</f>
        <v/>
      </c>
      <c r="AJ669" s="10">
        <f>IF(tblOrdenes[[#This Row],[orden]]="","",MAX(0,_xlfn.XLOOKUP(tblOrdenes[[#This Row],[id_operacion]],tblEjecucion[id_operacion],tblEjecucion[costo_plan_total],0)-tblOrdenes[[#This Row],[costo_servicio]]))</f>
        <v/>
      </c>
      <c r="AK669" s="10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2">
        <f>IF(tblOrdenes[[#This Row],[fecha_inicio]]="","",TODAY()-tblOrdenes[[#This Row],[fecha_inicio]])</f>
        <v/>
      </c>
      <c r="AB6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0">
        <f>IF(tblOrdenes[[#This Row],[orden]]="","",_xlfn.XLOOKUP(tblOrdenes[[#This Row],[id_operacion]],tblEjecucion[id_operacion],tblEjecucion[precio],0))</f>
        <v/>
      </c>
      <c r="AJ670" s="10">
        <f>IF(tblOrdenes[[#This Row],[orden]]="","",MAX(0,_xlfn.XLOOKUP(tblOrdenes[[#This Row],[id_operacion]],tblEjecucion[id_operacion],tblEjecucion[costo_plan_total],0)-tblOrdenes[[#This Row],[costo_servicio]]))</f>
        <v/>
      </c>
      <c r="AK670" s="10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2">
        <f>IF(tblOrdenes[[#This Row],[fecha_inicio]]="","",TODAY()-tblOrdenes[[#This Row],[fecha_inicio]])</f>
        <v/>
      </c>
      <c r="AB6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0">
        <f>IF(tblOrdenes[[#This Row],[orden]]="","",_xlfn.XLOOKUP(tblOrdenes[[#This Row],[id_operacion]],tblEjecucion[id_operacion],tblEjecucion[precio],0))</f>
        <v/>
      </c>
      <c r="AJ671" s="10">
        <f>IF(tblOrdenes[[#This Row],[orden]]="","",MAX(0,_xlfn.XLOOKUP(tblOrdenes[[#This Row],[id_operacion]],tblEjecucion[id_operacion],tblEjecucion[costo_plan_total],0)-tblOrdenes[[#This Row],[costo_servicio]]))</f>
        <v/>
      </c>
      <c r="AK671" s="10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2">
        <f>IF(tblOrdenes[[#This Row],[fecha_inicio]]="","",TODAY()-tblOrdenes[[#This Row],[fecha_inicio]])</f>
        <v/>
      </c>
      <c r="AB6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0">
        <f>IF(tblOrdenes[[#This Row],[orden]]="","",_xlfn.XLOOKUP(tblOrdenes[[#This Row],[id_operacion]],tblEjecucion[id_operacion],tblEjecucion[precio],0))</f>
        <v/>
      </c>
      <c r="AJ672" s="10">
        <f>IF(tblOrdenes[[#This Row],[orden]]="","",MAX(0,_xlfn.XLOOKUP(tblOrdenes[[#This Row],[id_operacion]],tblEjecucion[id_operacion],tblEjecucion[costo_plan_total],0)-tblOrdenes[[#This Row],[costo_servicio]]))</f>
        <v/>
      </c>
      <c r="AK672" s="10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2">
        <f>IF(tblOrdenes[[#This Row],[fecha_inicio]]="","",TODAY()-tblOrdenes[[#This Row],[fecha_inicio]])</f>
        <v/>
      </c>
      <c r="AB6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0">
        <f>IF(tblOrdenes[[#This Row],[orden]]="","",_xlfn.XLOOKUP(tblOrdenes[[#This Row],[id_operacion]],tblEjecucion[id_operacion],tblEjecucion[precio],0))</f>
        <v/>
      </c>
      <c r="AJ673" s="10">
        <f>IF(tblOrdenes[[#This Row],[orden]]="","",MAX(0,_xlfn.XLOOKUP(tblOrdenes[[#This Row],[id_operacion]],tblEjecucion[id_operacion],tblEjecucion[costo_plan_total],0)-tblOrdenes[[#This Row],[costo_servicio]]))</f>
        <v/>
      </c>
      <c r="AK673" s="10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2">
        <f>IF(tblOrdenes[[#This Row],[fecha_inicio]]="","",TODAY()-tblOrdenes[[#This Row],[fecha_inicio]])</f>
        <v/>
      </c>
      <c r="AB6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0">
        <f>IF(tblOrdenes[[#This Row],[orden]]="","",_xlfn.XLOOKUP(tblOrdenes[[#This Row],[id_operacion]],tblEjecucion[id_operacion],tblEjecucion[precio],0))</f>
        <v/>
      </c>
      <c r="AJ674" s="10">
        <f>IF(tblOrdenes[[#This Row],[orden]]="","",MAX(0,_xlfn.XLOOKUP(tblOrdenes[[#This Row],[id_operacion]],tblEjecucion[id_operacion],tblEjecucion[costo_plan_total],0)-tblOrdenes[[#This Row],[costo_servicio]]))</f>
        <v/>
      </c>
      <c r="AK674" s="10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2">
        <f>IF(tblOrdenes[[#This Row],[fecha_inicio]]="","",TODAY()-tblOrdenes[[#This Row],[fecha_inicio]])</f>
        <v/>
      </c>
      <c r="AB6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0">
        <f>IF(tblOrdenes[[#This Row],[orden]]="","",_xlfn.XLOOKUP(tblOrdenes[[#This Row],[id_operacion]],tblEjecucion[id_operacion],tblEjecucion[precio],0))</f>
        <v/>
      </c>
      <c r="AJ675" s="10">
        <f>IF(tblOrdenes[[#This Row],[orden]]="","",MAX(0,_xlfn.XLOOKUP(tblOrdenes[[#This Row],[id_operacion]],tblEjecucion[id_operacion],tblEjecucion[costo_plan_total],0)-tblOrdenes[[#This Row],[costo_servicio]]))</f>
        <v/>
      </c>
      <c r="AK675" s="10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2">
        <f>IF(tblOrdenes[[#This Row],[fecha_inicio]]="","",TODAY()-tblOrdenes[[#This Row],[fecha_inicio]])</f>
        <v/>
      </c>
      <c r="AB6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0">
        <f>IF(tblOrdenes[[#This Row],[orden]]="","",_xlfn.XLOOKUP(tblOrdenes[[#This Row],[id_operacion]],tblEjecucion[id_operacion],tblEjecucion[precio],0))</f>
        <v/>
      </c>
      <c r="AJ676" s="10">
        <f>IF(tblOrdenes[[#This Row],[orden]]="","",MAX(0,_xlfn.XLOOKUP(tblOrdenes[[#This Row],[id_operacion]],tblEjecucion[id_operacion],tblEjecucion[costo_plan_total],0)-tblOrdenes[[#This Row],[costo_servicio]]))</f>
        <v/>
      </c>
      <c r="AK676" s="10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2">
        <f>IF(tblOrdenes[[#This Row],[fecha_inicio]]="","",TODAY()-tblOrdenes[[#This Row],[fecha_inicio]])</f>
        <v/>
      </c>
      <c r="AB6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0">
        <f>IF(tblOrdenes[[#This Row],[orden]]="","",_xlfn.XLOOKUP(tblOrdenes[[#This Row],[id_operacion]],tblEjecucion[id_operacion],tblEjecucion[precio],0))</f>
        <v/>
      </c>
      <c r="AJ677" s="10">
        <f>IF(tblOrdenes[[#This Row],[orden]]="","",MAX(0,_xlfn.XLOOKUP(tblOrdenes[[#This Row],[id_operacion]],tblEjecucion[id_operacion],tblEjecucion[costo_plan_total],0)-tblOrdenes[[#This Row],[costo_servicio]]))</f>
        <v/>
      </c>
      <c r="AK677" s="10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2">
        <f>IF(tblOrdenes[[#This Row],[fecha_inicio]]="","",TODAY()-tblOrdenes[[#This Row],[fecha_inicio]])</f>
        <v/>
      </c>
      <c r="AB6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0">
        <f>IF(tblOrdenes[[#This Row],[orden]]="","",_xlfn.XLOOKUP(tblOrdenes[[#This Row],[id_operacion]],tblEjecucion[id_operacion],tblEjecucion[precio],0))</f>
        <v/>
      </c>
      <c r="AJ678" s="10">
        <f>IF(tblOrdenes[[#This Row],[orden]]="","",MAX(0,_xlfn.XLOOKUP(tblOrdenes[[#This Row],[id_operacion]],tblEjecucion[id_operacion],tblEjecucion[costo_plan_total],0)-tblOrdenes[[#This Row],[costo_servicio]]))</f>
        <v/>
      </c>
      <c r="AK678" s="10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2">
        <f>IF(tblOrdenes[[#This Row],[fecha_inicio]]="","",TODAY()-tblOrdenes[[#This Row],[fecha_inicio]])</f>
        <v/>
      </c>
      <c r="AB6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0">
        <f>IF(tblOrdenes[[#This Row],[orden]]="","",_xlfn.XLOOKUP(tblOrdenes[[#This Row],[id_operacion]],tblEjecucion[id_operacion],tblEjecucion[precio],0))</f>
        <v/>
      </c>
      <c r="AJ679" s="10">
        <f>IF(tblOrdenes[[#This Row],[orden]]="","",MAX(0,_xlfn.XLOOKUP(tblOrdenes[[#This Row],[id_operacion]],tblEjecucion[id_operacion],tblEjecucion[costo_plan_total],0)-tblOrdenes[[#This Row],[costo_servicio]]))</f>
        <v/>
      </c>
      <c r="AK679" s="10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2">
        <f>IF(tblOrdenes[[#This Row],[fecha_inicio]]="","",TODAY()-tblOrdenes[[#This Row],[fecha_inicio]])</f>
        <v/>
      </c>
      <c r="AB6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0">
        <f>IF(tblOrdenes[[#This Row],[orden]]="","",_xlfn.XLOOKUP(tblOrdenes[[#This Row],[id_operacion]],tblEjecucion[id_operacion],tblEjecucion[precio],0))</f>
        <v/>
      </c>
      <c r="AJ680" s="10">
        <f>IF(tblOrdenes[[#This Row],[orden]]="","",MAX(0,_xlfn.XLOOKUP(tblOrdenes[[#This Row],[id_operacion]],tblEjecucion[id_operacion],tblEjecucion[costo_plan_total],0)-tblOrdenes[[#This Row],[costo_servicio]]))</f>
        <v/>
      </c>
      <c r="AK680" s="10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2">
        <f>IF(tblOrdenes[[#This Row],[fecha_inicio]]="","",TODAY()-tblOrdenes[[#This Row],[fecha_inicio]])</f>
        <v/>
      </c>
      <c r="AB6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0">
        <f>IF(tblOrdenes[[#This Row],[orden]]="","",_xlfn.XLOOKUP(tblOrdenes[[#This Row],[id_operacion]],tblEjecucion[id_operacion],tblEjecucion[precio],0))</f>
        <v/>
      </c>
      <c r="AJ681" s="10">
        <f>IF(tblOrdenes[[#This Row],[orden]]="","",MAX(0,_xlfn.XLOOKUP(tblOrdenes[[#This Row],[id_operacion]],tblEjecucion[id_operacion],tblEjecucion[costo_plan_total],0)-tblOrdenes[[#This Row],[costo_servicio]]))</f>
        <v/>
      </c>
      <c r="AK681" s="10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2">
        <f>IF(tblOrdenes[[#This Row],[fecha_inicio]]="","",TODAY()-tblOrdenes[[#This Row],[fecha_inicio]])</f>
        <v/>
      </c>
      <c r="AB6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0">
        <f>IF(tblOrdenes[[#This Row],[orden]]="","",_xlfn.XLOOKUP(tblOrdenes[[#This Row],[id_operacion]],tblEjecucion[id_operacion],tblEjecucion[precio],0))</f>
        <v/>
      </c>
      <c r="AJ682" s="10">
        <f>IF(tblOrdenes[[#This Row],[orden]]="","",MAX(0,_xlfn.XLOOKUP(tblOrdenes[[#This Row],[id_operacion]],tblEjecucion[id_operacion],tblEjecucion[costo_plan_total],0)-tblOrdenes[[#This Row],[costo_servicio]]))</f>
        <v/>
      </c>
      <c r="AK682" s="10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2">
        <f>IF(tblOrdenes[[#This Row],[fecha_inicio]]="","",TODAY()-tblOrdenes[[#This Row],[fecha_inicio]])</f>
        <v/>
      </c>
      <c r="AB6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0">
        <f>IF(tblOrdenes[[#This Row],[orden]]="","",_xlfn.XLOOKUP(tblOrdenes[[#This Row],[id_operacion]],tblEjecucion[id_operacion],tblEjecucion[precio],0))</f>
        <v/>
      </c>
      <c r="AJ683" s="10">
        <f>IF(tblOrdenes[[#This Row],[orden]]="","",MAX(0,_xlfn.XLOOKUP(tblOrdenes[[#This Row],[id_operacion]],tblEjecucion[id_operacion],tblEjecucion[costo_plan_total],0)-tblOrdenes[[#This Row],[costo_servicio]]))</f>
        <v/>
      </c>
      <c r="AK683" s="10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2">
        <f>IF(tblOrdenes[[#This Row],[fecha_inicio]]="","",TODAY()-tblOrdenes[[#This Row],[fecha_inicio]])</f>
        <v/>
      </c>
      <c r="AB6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0">
        <f>IF(tblOrdenes[[#This Row],[orden]]="","",_xlfn.XLOOKUP(tblOrdenes[[#This Row],[id_operacion]],tblEjecucion[id_operacion],tblEjecucion[precio],0))</f>
        <v/>
      </c>
      <c r="AJ684" s="10">
        <f>IF(tblOrdenes[[#This Row],[orden]]="","",MAX(0,_xlfn.XLOOKUP(tblOrdenes[[#This Row],[id_operacion]],tblEjecucion[id_operacion],tblEjecucion[costo_plan_total],0)-tblOrdenes[[#This Row],[costo_servicio]]))</f>
        <v/>
      </c>
      <c r="AK684" s="10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2">
        <f>IF(tblOrdenes[[#This Row],[fecha_inicio]]="","",TODAY()-tblOrdenes[[#This Row],[fecha_inicio]])</f>
        <v/>
      </c>
      <c r="AB6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0">
        <f>IF(tblOrdenes[[#This Row],[orden]]="","",_xlfn.XLOOKUP(tblOrdenes[[#This Row],[id_operacion]],tblEjecucion[id_operacion],tblEjecucion[precio],0))</f>
        <v/>
      </c>
      <c r="AJ685" s="10">
        <f>IF(tblOrdenes[[#This Row],[orden]]="","",MAX(0,_xlfn.XLOOKUP(tblOrdenes[[#This Row],[id_operacion]],tblEjecucion[id_operacion],tblEjecucion[costo_plan_total],0)-tblOrdenes[[#This Row],[costo_servicio]]))</f>
        <v/>
      </c>
      <c r="AK685" s="10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2">
        <f>IF(tblOrdenes[[#This Row],[fecha_inicio]]="","",TODAY()-tblOrdenes[[#This Row],[fecha_inicio]])</f>
        <v/>
      </c>
      <c r="AB6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0">
        <f>IF(tblOrdenes[[#This Row],[orden]]="","",_xlfn.XLOOKUP(tblOrdenes[[#This Row],[id_operacion]],tblEjecucion[id_operacion],tblEjecucion[precio],0))</f>
        <v/>
      </c>
      <c r="AJ686" s="10">
        <f>IF(tblOrdenes[[#This Row],[orden]]="","",MAX(0,_xlfn.XLOOKUP(tblOrdenes[[#This Row],[id_operacion]],tblEjecucion[id_operacion],tblEjecucion[costo_plan_total],0)-tblOrdenes[[#This Row],[costo_servicio]]))</f>
        <v/>
      </c>
      <c r="AK686" s="10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2">
        <f>IF(tblOrdenes[[#This Row],[fecha_inicio]]="","",TODAY()-tblOrdenes[[#This Row],[fecha_inicio]])</f>
        <v/>
      </c>
      <c r="AB6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0">
        <f>IF(tblOrdenes[[#This Row],[orden]]="","",_xlfn.XLOOKUP(tblOrdenes[[#This Row],[id_operacion]],tblEjecucion[id_operacion],tblEjecucion[precio],0))</f>
        <v/>
      </c>
      <c r="AJ687" s="10">
        <f>IF(tblOrdenes[[#This Row],[orden]]="","",MAX(0,_xlfn.XLOOKUP(tblOrdenes[[#This Row],[id_operacion]],tblEjecucion[id_operacion],tblEjecucion[costo_plan_total],0)-tblOrdenes[[#This Row],[costo_servicio]]))</f>
        <v/>
      </c>
      <c r="AK687" s="10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2">
        <f>IF(tblOrdenes[[#This Row],[fecha_inicio]]="","",TODAY()-tblOrdenes[[#This Row],[fecha_inicio]])</f>
        <v/>
      </c>
      <c r="AB6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0">
        <f>IF(tblOrdenes[[#This Row],[orden]]="","",_xlfn.XLOOKUP(tblOrdenes[[#This Row],[id_operacion]],tblEjecucion[id_operacion],tblEjecucion[precio],0))</f>
        <v/>
      </c>
      <c r="AJ688" s="10">
        <f>IF(tblOrdenes[[#This Row],[orden]]="","",MAX(0,_xlfn.XLOOKUP(tblOrdenes[[#This Row],[id_operacion]],tblEjecucion[id_operacion],tblEjecucion[costo_plan_total],0)-tblOrdenes[[#This Row],[costo_servicio]]))</f>
        <v/>
      </c>
      <c r="AK688" s="10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2">
        <f>IF(tblOrdenes[[#This Row],[fecha_inicio]]="","",TODAY()-tblOrdenes[[#This Row],[fecha_inicio]])</f>
        <v/>
      </c>
      <c r="AB6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0">
        <f>IF(tblOrdenes[[#This Row],[orden]]="","",_xlfn.XLOOKUP(tblOrdenes[[#This Row],[id_operacion]],tblEjecucion[id_operacion],tblEjecucion[precio],0))</f>
        <v/>
      </c>
      <c r="AJ689" s="10">
        <f>IF(tblOrdenes[[#This Row],[orden]]="","",MAX(0,_xlfn.XLOOKUP(tblOrdenes[[#This Row],[id_operacion]],tblEjecucion[id_operacion],tblEjecucion[costo_plan_total],0)-tblOrdenes[[#This Row],[costo_servicio]]))</f>
        <v/>
      </c>
      <c r="AK689" s="10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2">
        <f>IF(tblOrdenes[[#This Row],[fecha_inicio]]="","",TODAY()-tblOrdenes[[#This Row],[fecha_inicio]])</f>
        <v/>
      </c>
      <c r="AB6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0">
        <f>IF(tblOrdenes[[#This Row],[orden]]="","",_xlfn.XLOOKUP(tblOrdenes[[#This Row],[id_operacion]],tblEjecucion[id_operacion],tblEjecucion[precio],0))</f>
        <v/>
      </c>
      <c r="AJ690" s="10">
        <f>IF(tblOrdenes[[#This Row],[orden]]="","",MAX(0,_xlfn.XLOOKUP(tblOrdenes[[#This Row],[id_operacion]],tblEjecucion[id_operacion],tblEjecucion[costo_plan_total],0)-tblOrdenes[[#This Row],[costo_servicio]]))</f>
        <v/>
      </c>
      <c r="AK690" s="10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2">
        <f>IF(tblOrdenes[[#This Row],[fecha_inicio]]="","",TODAY()-tblOrdenes[[#This Row],[fecha_inicio]])</f>
        <v/>
      </c>
      <c r="AB6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0">
        <f>IF(tblOrdenes[[#This Row],[orden]]="","",_xlfn.XLOOKUP(tblOrdenes[[#This Row],[id_operacion]],tblEjecucion[id_operacion],tblEjecucion[precio],0))</f>
        <v/>
      </c>
      <c r="AJ691" s="10">
        <f>IF(tblOrdenes[[#This Row],[orden]]="","",MAX(0,_xlfn.XLOOKUP(tblOrdenes[[#This Row],[id_operacion]],tblEjecucion[id_operacion],tblEjecucion[costo_plan_total],0)-tblOrdenes[[#This Row],[costo_servicio]]))</f>
        <v/>
      </c>
      <c r="AK691" s="10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2">
        <f>IF(tblOrdenes[[#This Row],[fecha_inicio]]="","",TODAY()-tblOrdenes[[#This Row],[fecha_inicio]])</f>
        <v/>
      </c>
      <c r="AB6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0">
        <f>IF(tblOrdenes[[#This Row],[orden]]="","",_xlfn.XLOOKUP(tblOrdenes[[#This Row],[id_operacion]],tblEjecucion[id_operacion],tblEjecucion[precio],0))</f>
        <v/>
      </c>
      <c r="AJ692" s="10">
        <f>IF(tblOrdenes[[#This Row],[orden]]="","",MAX(0,_xlfn.XLOOKUP(tblOrdenes[[#This Row],[id_operacion]],tblEjecucion[id_operacion],tblEjecucion[costo_plan_total],0)-tblOrdenes[[#This Row],[costo_servicio]]))</f>
        <v/>
      </c>
      <c r="AK692" s="10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2">
        <f>IF(tblOrdenes[[#This Row],[fecha_inicio]]="","",TODAY()-tblOrdenes[[#This Row],[fecha_inicio]])</f>
        <v/>
      </c>
      <c r="AB6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0">
        <f>IF(tblOrdenes[[#This Row],[orden]]="","",_xlfn.XLOOKUP(tblOrdenes[[#This Row],[id_operacion]],tblEjecucion[id_operacion],tblEjecucion[precio],0))</f>
        <v/>
      </c>
      <c r="AJ693" s="10">
        <f>IF(tblOrdenes[[#This Row],[orden]]="","",MAX(0,_xlfn.XLOOKUP(tblOrdenes[[#This Row],[id_operacion]],tblEjecucion[id_operacion],tblEjecucion[costo_plan_total],0)-tblOrdenes[[#This Row],[costo_servicio]]))</f>
        <v/>
      </c>
      <c r="AK693" s="10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2">
        <f>IF(tblOrdenes[[#This Row],[fecha_inicio]]="","",TODAY()-tblOrdenes[[#This Row],[fecha_inicio]])</f>
        <v/>
      </c>
      <c r="AB6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0">
        <f>IF(tblOrdenes[[#This Row],[orden]]="","",_xlfn.XLOOKUP(tblOrdenes[[#This Row],[id_operacion]],tblEjecucion[id_operacion],tblEjecucion[precio],0))</f>
        <v/>
      </c>
      <c r="AJ694" s="10">
        <f>IF(tblOrdenes[[#This Row],[orden]]="","",MAX(0,_xlfn.XLOOKUP(tblOrdenes[[#This Row],[id_operacion]],tblEjecucion[id_operacion],tblEjecucion[costo_plan_total],0)-tblOrdenes[[#This Row],[costo_servicio]]))</f>
        <v/>
      </c>
      <c r="AK694" s="10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2">
        <f>IF(tblOrdenes[[#This Row],[fecha_inicio]]="","",TODAY()-tblOrdenes[[#This Row],[fecha_inicio]])</f>
        <v/>
      </c>
      <c r="AB6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0">
        <f>IF(tblOrdenes[[#This Row],[orden]]="","",_xlfn.XLOOKUP(tblOrdenes[[#This Row],[id_operacion]],tblEjecucion[id_operacion],tblEjecucion[precio],0))</f>
        <v/>
      </c>
      <c r="AJ695" s="10">
        <f>IF(tblOrdenes[[#This Row],[orden]]="","",MAX(0,_xlfn.XLOOKUP(tblOrdenes[[#This Row],[id_operacion]],tblEjecucion[id_operacion],tblEjecucion[costo_plan_total],0)-tblOrdenes[[#This Row],[costo_servicio]]))</f>
        <v/>
      </c>
      <c r="AK695" s="10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2">
        <f>IF(tblOrdenes[[#This Row],[fecha_inicio]]="","",TODAY()-tblOrdenes[[#This Row],[fecha_inicio]])</f>
        <v/>
      </c>
      <c r="AB6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0">
        <f>IF(tblOrdenes[[#This Row],[orden]]="","",_xlfn.XLOOKUP(tblOrdenes[[#This Row],[id_operacion]],tblEjecucion[id_operacion],tblEjecucion[precio],0))</f>
        <v/>
      </c>
      <c r="AJ696" s="10">
        <f>IF(tblOrdenes[[#This Row],[orden]]="","",MAX(0,_xlfn.XLOOKUP(tblOrdenes[[#This Row],[id_operacion]],tblEjecucion[id_operacion],tblEjecucion[costo_plan_total],0)-tblOrdenes[[#This Row],[costo_servicio]]))</f>
        <v/>
      </c>
      <c r="AK696" s="10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2">
        <f>IF(tblOrdenes[[#This Row],[fecha_inicio]]="","",TODAY()-tblOrdenes[[#This Row],[fecha_inicio]])</f>
        <v/>
      </c>
      <c r="AB6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0">
        <f>IF(tblOrdenes[[#This Row],[orden]]="","",_xlfn.XLOOKUP(tblOrdenes[[#This Row],[id_operacion]],tblEjecucion[id_operacion],tblEjecucion[precio],0))</f>
        <v/>
      </c>
      <c r="AJ697" s="10">
        <f>IF(tblOrdenes[[#This Row],[orden]]="","",MAX(0,_xlfn.XLOOKUP(tblOrdenes[[#This Row],[id_operacion]],tblEjecucion[id_operacion],tblEjecucion[costo_plan_total],0)-tblOrdenes[[#This Row],[costo_servicio]]))</f>
        <v/>
      </c>
      <c r="AK697" s="10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2">
        <f>IF(tblOrdenes[[#This Row],[fecha_inicio]]="","",TODAY()-tblOrdenes[[#This Row],[fecha_inicio]])</f>
        <v/>
      </c>
      <c r="AB6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0">
        <f>IF(tblOrdenes[[#This Row],[orden]]="","",_xlfn.XLOOKUP(tblOrdenes[[#This Row],[id_operacion]],tblEjecucion[id_operacion],tblEjecucion[precio],0))</f>
        <v/>
      </c>
      <c r="AJ698" s="10">
        <f>IF(tblOrdenes[[#This Row],[orden]]="","",MAX(0,_xlfn.XLOOKUP(tblOrdenes[[#This Row],[id_operacion]],tblEjecucion[id_operacion],tblEjecucion[costo_plan_total],0)-tblOrdenes[[#This Row],[costo_servicio]]))</f>
        <v/>
      </c>
      <c r="AK698" s="10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2">
        <f>IF(tblOrdenes[[#This Row],[fecha_inicio]]="","",TODAY()-tblOrdenes[[#This Row],[fecha_inicio]])</f>
        <v/>
      </c>
      <c r="AB6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0">
        <f>IF(tblOrdenes[[#This Row],[orden]]="","",_xlfn.XLOOKUP(tblOrdenes[[#This Row],[id_operacion]],tblEjecucion[id_operacion],tblEjecucion[precio],0))</f>
        <v/>
      </c>
      <c r="AJ699" s="10">
        <f>IF(tblOrdenes[[#This Row],[orden]]="","",MAX(0,_xlfn.XLOOKUP(tblOrdenes[[#This Row],[id_operacion]],tblEjecucion[id_operacion],tblEjecucion[costo_plan_total],0)-tblOrdenes[[#This Row],[costo_servicio]]))</f>
        <v/>
      </c>
      <c r="AK699" s="10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2">
        <f>IF(tblOrdenes[[#This Row],[fecha_inicio]]="","",TODAY()-tblOrdenes[[#This Row],[fecha_inicio]])</f>
        <v/>
      </c>
      <c r="AB7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0">
        <f>IF(tblOrdenes[[#This Row],[orden]]="","",_xlfn.XLOOKUP(tblOrdenes[[#This Row],[id_operacion]],tblEjecucion[id_operacion],tblEjecucion[precio],0))</f>
        <v/>
      </c>
      <c r="AJ700" s="10">
        <f>IF(tblOrdenes[[#This Row],[orden]]="","",MAX(0,_xlfn.XLOOKUP(tblOrdenes[[#This Row],[id_operacion]],tblEjecucion[id_operacion],tblEjecucion[costo_plan_total],0)-tblOrdenes[[#This Row],[costo_servicio]]))</f>
        <v/>
      </c>
      <c r="AK700" s="10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2">
        <f>IF(tblOrdenes[[#This Row],[fecha_inicio]]="","",TODAY()-tblOrdenes[[#This Row],[fecha_inicio]])</f>
        <v/>
      </c>
      <c r="AB7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0">
        <f>IF(tblOrdenes[[#This Row],[orden]]="","",_xlfn.XLOOKUP(tblOrdenes[[#This Row],[id_operacion]],tblEjecucion[id_operacion],tblEjecucion[precio],0))</f>
        <v/>
      </c>
      <c r="AJ701" s="10">
        <f>IF(tblOrdenes[[#This Row],[orden]]="","",MAX(0,_xlfn.XLOOKUP(tblOrdenes[[#This Row],[id_operacion]],tblEjecucion[id_operacion],tblEjecucion[costo_plan_total],0)-tblOrdenes[[#This Row],[costo_servicio]]))</f>
        <v/>
      </c>
      <c r="AK701" s="10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2">
        <f>IF(tblOrdenes[[#This Row],[fecha_inicio]]="","",TODAY()-tblOrdenes[[#This Row],[fecha_inicio]])</f>
        <v/>
      </c>
      <c r="AB7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0">
        <f>IF(tblOrdenes[[#This Row],[orden]]="","",_xlfn.XLOOKUP(tblOrdenes[[#This Row],[id_operacion]],tblEjecucion[id_operacion],tblEjecucion[precio],0))</f>
        <v/>
      </c>
      <c r="AJ702" s="10">
        <f>IF(tblOrdenes[[#This Row],[orden]]="","",MAX(0,_xlfn.XLOOKUP(tblOrdenes[[#This Row],[id_operacion]],tblEjecucion[id_operacion],tblEjecucion[costo_plan_total],0)-tblOrdenes[[#This Row],[costo_servicio]]))</f>
        <v/>
      </c>
      <c r="AK702" s="10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2">
        <f>IF(tblOrdenes[[#This Row],[fecha_inicio]]="","",TODAY()-tblOrdenes[[#This Row],[fecha_inicio]])</f>
        <v/>
      </c>
      <c r="AB7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0">
        <f>IF(tblOrdenes[[#This Row],[orden]]="","",_xlfn.XLOOKUP(tblOrdenes[[#This Row],[id_operacion]],tblEjecucion[id_operacion],tblEjecucion[precio],0))</f>
        <v/>
      </c>
      <c r="AJ703" s="10">
        <f>IF(tblOrdenes[[#This Row],[orden]]="","",MAX(0,_xlfn.XLOOKUP(tblOrdenes[[#This Row],[id_operacion]],tblEjecucion[id_operacion],tblEjecucion[costo_plan_total],0)-tblOrdenes[[#This Row],[costo_servicio]]))</f>
        <v/>
      </c>
      <c r="AK703" s="10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2">
        <f>IF(tblOrdenes[[#This Row],[fecha_inicio]]="","",TODAY()-tblOrdenes[[#This Row],[fecha_inicio]])</f>
        <v/>
      </c>
      <c r="AB7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0">
        <f>IF(tblOrdenes[[#This Row],[orden]]="","",_xlfn.XLOOKUP(tblOrdenes[[#This Row],[id_operacion]],tblEjecucion[id_operacion],tblEjecucion[precio],0))</f>
        <v/>
      </c>
      <c r="AJ704" s="10">
        <f>IF(tblOrdenes[[#This Row],[orden]]="","",MAX(0,_xlfn.XLOOKUP(tblOrdenes[[#This Row],[id_operacion]],tblEjecucion[id_operacion],tblEjecucion[costo_plan_total],0)-tblOrdenes[[#This Row],[costo_servicio]]))</f>
        <v/>
      </c>
      <c r="AK704" s="10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2">
        <f>IF(tblOrdenes[[#This Row],[fecha_inicio]]="","",TODAY()-tblOrdenes[[#This Row],[fecha_inicio]])</f>
        <v/>
      </c>
      <c r="AB7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0">
        <f>IF(tblOrdenes[[#This Row],[orden]]="","",_xlfn.XLOOKUP(tblOrdenes[[#This Row],[id_operacion]],tblEjecucion[id_operacion],tblEjecucion[precio],0))</f>
        <v/>
      </c>
      <c r="AJ705" s="10">
        <f>IF(tblOrdenes[[#This Row],[orden]]="","",MAX(0,_xlfn.XLOOKUP(tblOrdenes[[#This Row],[id_operacion]],tblEjecucion[id_operacion],tblEjecucion[costo_plan_total],0)-tblOrdenes[[#This Row],[costo_servicio]]))</f>
        <v/>
      </c>
      <c r="AK705" s="10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2">
        <f>IF(tblOrdenes[[#This Row],[fecha_inicio]]="","",TODAY()-tblOrdenes[[#This Row],[fecha_inicio]])</f>
        <v/>
      </c>
      <c r="AB7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0">
        <f>IF(tblOrdenes[[#This Row],[orden]]="","",_xlfn.XLOOKUP(tblOrdenes[[#This Row],[id_operacion]],tblEjecucion[id_operacion],tblEjecucion[precio],0))</f>
        <v/>
      </c>
      <c r="AJ706" s="10">
        <f>IF(tblOrdenes[[#This Row],[orden]]="","",MAX(0,_xlfn.XLOOKUP(tblOrdenes[[#This Row],[id_operacion]],tblEjecucion[id_operacion],tblEjecucion[costo_plan_total],0)-tblOrdenes[[#This Row],[costo_servicio]]))</f>
        <v/>
      </c>
      <c r="AK706" s="10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2">
        <f>IF(tblOrdenes[[#This Row],[fecha_inicio]]="","",TODAY()-tblOrdenes[[#This Row],[fecha_inicio]])</f>
        <v/>
      </c>
      <c r="AB7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0">
        <f>IF(tblOrdenes[[#This Row],[orden]]="","",_xlfn.XLOOKUP(tblOrdenes[[#This Row],[id_operacion]],tblEjecucion[id_operacion],tblEjecucion[precio],0))</f>
        <v/>
      </c>
      <c r="AJ707" s="10">
        <f>IF(tblOrdenes[[#This Row],[orden]]="","",MAX(0,_xlfn.XLOOKUP(tblOrdenes[[#This Row],[id_operacion]],tblEjecucion[id_operacion],tblEjecucion[costo_plan_total],0)-tblOrdenes[[#This Row],[costo_servicio]]))</f>
        <v/>
      </c>
      <c r="AK707" s="10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2">
        <f>IF(tblOrdenes[[#This Row],[fecha_inicio]]="","",TODAY()-tblOrdenes[[#This Row],[fecha_inicio]])</f>
        <v/>
      </c>
      <c r="AB7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0">
        <f>IF(tblOrdenes[[#This Row],[orden]]="","",_xlfn.XLOOKUP(tblOrdenes[[#This Row],[id_operacion]],tblEjecucion[id_operacion],tblEjecucion[precio],0))</f>
        <v/>
      </c>
      <c r="AJ708" s="10">
        <f>IF(tblOrdenes[[#This Row],[orden]]="","",MAX(0,_xlfn.XLOOKUP(tblOrdenes[[#This Row],[id_operacion]],tblEjecucion[id_operacion],tblEjecucion[costo_plan_total],0)-tblOrdenes[[#This Row],[costo_servicio]]))</f>
        <v/>
      </c>
      <c r="AK708" s="10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2">
        <f>IF(tblOrdenes[[#This Row],[fecha_inicio]]="","",TODAY()-tblOrdenes[[#This Row],[fecha_inicio]])</f>
        <v/>
      </c>
      <c r="AB7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0">
        <f>IF(tblOrdenes[[#This Row],[orden]]="","",_xlfn.XLOOKUP(tblOrdenes[[#This Row],[id_operacion]],tblEjecucion[id_operacion],tblEjecucion[precio],0))</f>
        <v/>
      </c>
      <c r="AJ709" s="10">
        <f>IF(tblOrdenes[[#This Row],[orden]]="","",MAX(0,_xlfn.XLOOKUP(tblOrdenes[[#This Row],[id_operacion]],tblEjecucion[id_operacion],tblEjecucion[costo_plan_total],0)-tblOrdenes[[#This Row],[costo_servicio]]))</f>
        <v/>
      </c>
      <c r="AK709" s="10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2">
        <f>IF(tblOrdenes[[#This Row],[fecha_inicio]]="","",TODAY()-tblOrdenes[[#This Row],[fecha_inicio]])</f>
        <v/>
      </c>
      <c r="AB7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0">
        <f>IF(tblOrdenes[[#This Row],[orden]]="","",_xlfn.XLOOKUP(tblOrdenes[[#This Row],[id_operacion]],tblEjecucion[id_operacion],tblEjecucion[precio],0))</f>
        <v/>
      </c>
      <c r="AJ710" s="10">
        <f>IF(tblOrdenes[[#This Row],[orden]]="","",MAX(0,_xlfn.XLOOKUP(tblOrdenes[[#This Row],[id_operacion]],tblEjecucion[id_operacion],tblEjecucion[costo_plan_total],0)-tblOrdenes[[#This Row],[costo_servicio]]))</f>
        <v/>
      </c>
      <c r="AK710" s="10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2">
        <f>IF(tblOrdenes[[#This Row],[fecha_inicio]]="","",TODAY()-tblOrdenes[[#This Row],[fecha_inicio]])</f>
        <v/>
      </c>
      <c r="AB7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0">
        <f>IF(tblOrdenes[[#This Row],[orden]]="","",_xlfn.XLOOKUP(tblOrdenes[[#This Row],[id_operacion]],tblEjecucion[id_operacion],tblEjecucion[precio],0))</f>
        <v/>
      </c>
      <c r="AJ711" s="10">
        <f>IF(tblOrdenes[[#This Row],[orden]]="","",MAX(0,_xlfn.XLOOKUP(tblOrdenes[[#This Row],[id_operacion]],tblEjecucion[id_operacion],tblEjecucion[costo_plan_total],0)-tblOrdenes[[#This Row],[costo_servicio]]))</f>
        <v/>
      </c>
      <c r="AK711" s="10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2">
        <f>IF(tblOrdenes[[#This Row],[fecha_inicio]]="","",TODAY()-tblOrdenes[[#This Row],[fecha_inicio]])</f>
        <v/>
      </c>
      <c r="AB7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0">
        <f>IF(tblOrdenes[[#This Row],[orden]]="","",_xlfn.XLOOKUP(tblOrdenes[[#This Row],[id_operacion]],tblEjecucion[id_operacion],tblEjecucion[precio],0))</f>
        <v/>
      </c>
      <c r="AJ712" s="10">
        <f>IF(tblOrdenes[[#This Row],[orden]]="","",MAX(0,_xlfn.XLOOKUP(tblOrdenes[[#This Row],[id_operacion]],tblEjecucion[id_operacion],tblEjecucion[costo_plan_total],0)-tblOrdenes[[#This Row],[costo_servicio]]))</f>
        <v/>
      </c>
      <c r="AK712" s="10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2">
        <f>IF(tblOrdenes[[#This Row],[fecha_inicio]]="","",TODAY()-tblOrdenes[[#This Row],[fecha_inicio]])</f>
        <v/>
      </c>
      <c r="AB7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0">
        <f>IF(tblOrdenes[[#This Row],[orden]]="","",_xlfn.XLOOKUP(tblOrdenes[[#This Row],[id_operacion]],tblEjecucion[id_operacion],tblEjecucion[precio],0))</f>
        <v/>
      </c>
      <c r="AJ713" s="10">
        <f>IF(tblOrdenes[[#This Row],[orden]]="","",MAX(0,_xlfn.XLOOKUP(tblOrdenes[[#This Row],[id_operacion]],tblEjecucion[id_operacion],tblEjecucion[costo_plan_total],0)-tblOrdenes[[#This Row],[costo_servicio]]))</f>
        <v/>
      </c>
      <c r="AK713" s="10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2">
        <f>IF(tblOrdenes[[#This Row],[fecha_inicio]]="","",TODAY()-tblOrdenes[[#This Row],[fecha_inicio]])</f>
        <v/>
      </c>
      <c r="AB7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0">
        <f>IF(tblOrdenes[[#This Row],[orden]]="","",_xlfn.XLOOKUP(tblOrdenes[[#This Row],[id_operacion]],tblEjecucion[id_operacion],tblEjecucion[precio],0))</f>
        <v/>
      </c>
      <c r="AJ714" s="10">
        <f>IF(tblOrdenes[[#This Row],[orden]]="","",MAX(0,_xlfn.XLOOKUP(tblOrdenes[[#This Row],[id_operacion]],tblEjecucion[id_operacion],tblEjecucion[costo_plan_total],0)-tblOrdenes[[#This Row],[costo_servicio]]))</f>
        <v/>
      </c>
      <c r="AK714" s="10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2">
        <f>IF(tblOrdenes[[#This Row],[fecha_inicio]]="","",TODAY()-tblOrdenes[[#This Row],[fecha_inicio]])</f>
        <v/>
      </c>
      <c r="AB7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0">
        <f>IF(tblOrdenes[[#This Row],[orden]]="","",_xlfn.XLOOKUP(tblOrdenes[[#This Row],[id_operacion]],tblEjecucion[id_operacion],tblEjecucion[precio],0))</f>
        <v/>
      </c>
      <c r="AJ715" s="10">
        <f>IF(tblOrdenes[[#This Row],[orden]]="","",MAX(0,_xlfn.XLOOKUP(tblOrdenes[[#This Row],[id_operacion]],tblEjecucion[id_operacion],tblEjecucion[costo_plan_total],0)-tblOrdenes[[#This Row],[costo_servicio]]))</f>
        <v/>
      </c>
      <c r="AK715" s="10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2">
        <f>IF(tblOrdenes[[#This Row],[fecha_inicio]]="","",TODAY()-tblOrdenes[[#This Row],[fecha_inicio]])</f>
        <v/>
      </c>
      <c r="AB7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0">
        <f>IF(tblOrdenes[[#This Row],[orden]]="","",_xlfn.XLOOKUP(tblOrdenes[[#This Row],[id_operacion]],tblEjecucion[id_operacion],tblEjecucion[precio],0))</f>
        <v/>
      </c>
      <c r="AJ716" s="10">
        <f>IF(tblOrdenes[[#This Row],[orden]]="","",MAX(0,_xlfn.XLOOKUP(tblOrdenes[[#This Row],[id_operacion]],tblEjecucion[id_operacion],tblEjecucion[costo_plan_total],0)-tblOrdenes[[#This Row],[costo_servicio]]))</f>
        <v/>
      </c>
      <c r="AK716" s="10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2">
        <f>IF(tblOrdenes[[#This Row],[fecha_inicio]]="","",TODAY()-tblOrdenes[[#This Row],[fecha_inicio]])</f>
        <v/>
      </c>
      <c r="AB7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0">
        <f>IF(tblOrdenes[[#This Row],[orden]]="","",_xlfn.XLOOKUP(tblOrdenes[[#This Row],[id_operacion]],tblEjecucion[id_operacion],tblEjecucion[precio],0))</f>
        <v/>
      </c>
      <c r="AJ717" s="10">
        <f>IF(tblOrdenes[[#This Row],[orden]]="","",MAX(0,_xlfn.XLOOKUP(tblOrdenes[[#This Row],[id_operacion]],tblEjecucion[id_operacion],tblEjecucion[costo_plan_total],0)-tblOrdenes[[#This Row],[costo_servicio]]))</f>
        <v/>
      </c>
      <c r="AK717" s="10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2">
        <f>IF(tblOrdenes[[#This Row],[fecha_inicio]]="","",TODAY()-tblOrdenes[[#This Row],[fecha_inicio]])</f>
        <v/>
      </c>
      <c r="AB7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0">
        <f>IF(tblOrdenes[[#This Row],[orden]]="","",_xlfn.XLOOKUP(tblOrdenes[[#This Row],[id_operacion]],tblEjecucion[id_operacion],tblEjecucion[precio],0))</f>
        <v/>
      </c>
      <c r="AJ718" s="10">
        <f>IF(tblOrdenes[[#This Row],[orden]]="","",MAX(0,_xlfn.XLOOKUP(tblOrdenes[[#This Row],[id_operacion]],tblEjecucion[id_operacion],tblEjecucion[costo_plan_total],0)-tblOrdenes[[#This Row],[costo_servicio]]))</f>
        <v/>
      </c>
      <c r="AK718" s="10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2">
        <f>IF(tblOrdenes[[#This Row],[fecha_inicio]]="","",TODAY()-tblOrdenes[[#This Row],[fecha_inicio]])</f>
        <v/>
      </c>
      <c r="AB7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0">
        <f>IF(tblOrdenes[[#This Row],[orden]]="","",_xlfn.XLOOKUP(tblOrdenes[[#This Row],[id_operacion]],tblEjecucion[id_operacion],tblEjecucion[precio],0))</f>
        <v/>
      </c>
      <c r="AJ719" s="10">
        <f>IF(tblOrdenes[[#This Row],[orden]]="","",MAX(0,_xlfn.XLOOKUP(tblOrdenes[[#This Row],[id_operacion]],tblEjecucion[id_operacion],tblEjecucion[costo_plan_total],0)-tblOrdenes[[#This Row],[costo_servicio]]))</f>
        <v/>
      </c>
      <c r="AK719" s="10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2">
        <f>IF(tblOrdenes[[#This Row],[fecha_inicio]]="","",TODAY()-tblOrdenes[[#This Row],[fecha_inicio]])</f>
        <v/>
      </c>
      <c r="AB7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0">
        <f>IF(tblOrdenes[[#This Row],[orden]]="","",_xlfn.XLOOKUP(tblOrdenes[[#This Row],[id_operacion]],tblEjecucion[id_operacion],tblEjecucion[precio],0))</f>
        <v/>
      </c>
      <c r="AJ720" s="10">
        <f>IF(tblOrdenes[[#This Row],[orden]]="","",MAX(0,_xlfn.XLOOKUP(tblOrdenes[[#This Row],[id_operacion]],tblEjecucion[id_operacion],tblEjecucion[costo_plan_total],0)-tblOrdenes[[#This Row],[costo_servicio]]))</f>
        <v/>
      </c>
      <c r="AK720" s="10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2">
        <f>IF(tblOrdenes[[#This Row],[fecha_inicio]]="","",TODAY()-tblOrdenes[[#This Row],[fecha_inicio]])</f>
        <v/>
      </c>
      <c r="AB7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0">
        <f>IF(tblOrdenes[[#This Row],[orden]]="","",_xlfn.XLOOKUP(tblOrdenes[[#This Row],[id_operacion]],tblEjecucion[id_operacion],tblEjecucion[precio],0))</f>
        <v/>
      </c>
      <c r="AJ721" s="10">
        <f>IF(tblOrdenes[[#This Row],[orden]]="","",MAX(0,_xlfn.XLOOKUP(tblOrdenes[[#This Row],[id_operacion]],tblEjecucion[id_operacion],tblEjecucion[costo_plan_total],0)-tblOrdenes[[#This Row],[costo_servicio]]))</f>
        <v/>
      </c>
      <c r="AK721" s="10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2">
        <f>IF(tblOrdenes[[#This Row],[fecha_inicio]]="","",TODAY()-tblOrdenes[[#This Row],[fecha_inicio]])</f>
        <v/>
      </c>
      <c r="AB7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0">
        <f>IF(tblOrdenes[[#This Row],[orden]]="","",_xlfn.XLOOKUP(tblOrdenes[[#This Row],[id_operacion]],tblEjecucion[id_operacion],tblEjecucion[precio],0))</f>
        <v/>
      </c>
      <c r="AJ722" s="10">
        <f>IF(tblOrdenes[[#This Row],[orden]]="","",MAX(0,_xlfn.XLOOKUP(tblOrdenes[[#This Row],[id_operacion]],tblEjecucion[id_operacion],tblEjecucion[costo_plan_total],0)-tblOrdenes[[#This Row],[costo_servicio]]))</f>
        <v/>
      </c>
      <c r="AK722" s="10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2">
        <f>IF(tblOrdenes[[#This Row],[fecha_inicio]]="","",TODAY()-tblOrdenes[[#This Row],[fecha_inicio]])</f>
        <v/>
      </c>
      <c r="AB7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0">
        <f>IF(tblOrdenes[[#This Row],[orden]]="","",_xlfn.XLOOKUP(tblOrdenes[[#This Row],[id_operacion]],tblEjecucion[id_operacion],tblEjecucion[precio],0))</f>
        <v/>
      </c>
      <c r="AJ723" s="10">
        <f>IF(tblOrdenes[[#This Row],[orden]]="","",MAX(0,_xlfn.XLOOKUP(tblOrdenes[[#This Row],[id_operacion]],tblEjecucion[id_operacion],tblEjecucion[costo_plan_total],0)-tblOrdenes[[#This Row],[costo_servicio]]))</f>
        <v/>
      </c>
      <c r="AK723" s="10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2">
        <f>IF(tblOrdenes[[#This Row],[fecha_inicio]]="","",TODAY()-tblOrdenes[[#This Row],[fecha_inicio]])</f>
        <v/>
      </c>
      <c r="AB7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0">
        <f>IF(tblOrdenes[[#This Row],[orden]]="","",_xlfn.XLOOKUP(tblOrdenes[[#This Row],[id_operacion]],tblEjecucion[id_operacion],tblEjecucion[precio],0))</f>
        <v/>
      </c>
      <c r="AJ724" s="10">
        <f>IF(tblOrdenes[[#This Row],[orden]]="","",MAX(0,_xlfn.XLOOKUP(tblOrdenes[[#This Row],[id_operacion]],tblEjecucion[id_operacion],tblEjecucion[costo_plan_total],0)-tblOrdenes[[#This Row],[costo_servicio]]))</f>
        <v/>
      </c>
      <c r="AK724" s="10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2">
        <f>IF(tblOrdenes[[#This Row],[fecha_inicio]]="","",TODAY()-tblOrdenes[[#This Row],[fecha_inicio]])</f>
        <v/>
      </c>
      <c r="AB7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0">
        <f>IF(tblOrdenes[[#This Row],[orden]]="","",_xlfn.XLOOKUP(tblOrdenes[[#This Row],[id_operacion]],tblEjecucion[id_operacion],tblEjecucion[precio],0))</f>
        <v/>
      </c>
      <c r="AJ725" s="10">
        <f>IF(tblOrdenes[[#This Row],[orden]]="","",MAX(0,_xlfn.XLOOKUP(tblOrdenes[[#This Row],[id_operacion]],tblEjecucion[id_operacion],tblEjecucion[costo_plan_total],0)-tblOrdenes[[#This Row],[costo_servicio]]))</f>
        <v/>
      </c>
      <c r="AK725" s="10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2">
        <f>IF(tblOrdenes[[#This Row],[fecha_inicio]]="","",TODAY()-tblOrdenes[[#This Row],[fecha_inicio]])</f>
        <v/>
      </c>
      <c r="AB7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0">
        <f>IF(tblOrdenes[[#This Row],[orden]]="","",_xlfn.XLOOKUP(tblOrdenes[[#This Row],[id_operacion]],tblEjecucion[id_operacion],tblEjecucion[precio],0))</f>
        <v/>
      </c>
      <c r="AJ726" s="10">
        <f>IF(tblOrdenes[[#This Row],[orden]]="","",MAX(0,_xlfn.XLOOKUP(tblOrdenes[[#This Row],[id_operacion]],tblEjecucion[id_operacion],tblEjecucion[costo_plan_total],0)-tblOrdenes[[#This Row],[costo_servicio]]))</f>
        <v/>
      </c>
      <c r="AK726" s="10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2">
        <f>IF(tblOrdenes[[#This Row],[fecha_inicio]]="","",TODAY()-tblOrdenes[[#This Row],[fecha_inicio]])</f>
        <v/>
      </c>
      <c r="AB7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0">
        <f>IF(tblOrdenes[[#This Row],[orden]]="","",_xlfn.XLOOKUP(tblOrdenes[[#This Row],[id_operacion]],tblEjecucion[id_operacion],tblEjecucion[precio],0))</f>
        <v/>
      </c>
      <c r="AJ727" s="10">
        <f>IF(tblOrdenes[[#This Row],[orden]]="","",MAX(0,_xlfn.XLOOKUP(tblOrdenes[[#This Row],[id_operacion]],tblEjecucion[id_operacion],tblEjecucion[costo_plan_total],0)-tblOrdenes[[#This Row],[costo_servicio]]))</f>
        <v/>
      </c>
      <c r="AK727" s="10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2">
        <f>IF(tblOrdenes[[#This Row],[fecha_inicio]]="","",TODAY()-tblOrdenes[[#This Row],[fecha_inicio]])</f>
        <v/>
      </c>
      <c r="AB7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0">
        <f>IF(tblOrdenes[[#This Row],[orden]]="","",_xlfn.XLOOKUP(tblOrdenes[[#This Row],[id_operacion]],tblEjecucion[id_operacion],tblEjecucion[precio],0))</f>
        <v/>
      </c>
      <c r="AJ728" s="10">
        <f>IF(tblOrdenes[[#This Row],[orden]]="","",MAX(0,_xlfn.XLOOKUP(tblOrdenes[[#This Row],[id_operacion]],tblEjecucion[id_operacion],tblEjecucion[costo_plan_total],0)-tblOrdenes[[#This Row],[costo_servicio]]))</f>
        <v/>
      </c>
      <c r="AK728" s="10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2">
        <f>IF(tblOrdenes[[#This Row],[fecha_inicio]]="","",TODAY()-tblOrdenes[[#This Row],[fecha_inicio]])</f>
        <v/>
      </c>
      <c r="AB7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0">
        <f>IF(tblOrdenes[[#This Row],[orden]]="","",_xlfn.XLOOKUP(tblOrdenes[[#This Row],[id_operacion]],tblEjecucion[id_operacion],tblEjecucion[precio],0))</f>
        <v/>
      </c>
      <c r="AJ729" s="10">
        <f>IF(tblOrdenes[[#This Row],[orden]]="","",MAX(0,_xlfn.XLOOKUP(tblOrdenes[[#This Row],[id_operacion]],tblEjecucion[id_operacion],tblEjecucion[costo_plan_total],0)-tblOrdenes[[#This Row],[costo_servicio]]))</f>
        <v/>
      </c>
      <c r="AK729" s="10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2">
        <f>IF(tblOrdenes[[#This Row],[fecha_inicio]]="","",TODAY()-tblOrdenes[[#This Row],[fecha_inicio]])</f>
        <v/>
      </c>
      <c r="AB7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0">
        <f>IF(tblOrdenes[[#This Row],[orden]]="","",_xlfn.XLOOKUP(tblOrdenes[[#This Row],[id_operacion]],tblEjecucion[id_operacion],tblEjecucion[precio],0))</f>
        <v/>
      </c>
      <c r="AJ730" s="10">
        <f>IF(tblOrdenes[[#This Row],[orden]]="","",MAX(0,_xlfn.XLOOKUP(tblOrdenes[[#This Row],[id_operacion]],tblEjecucion[id_operacion],tblEjecucion[costo_plan_total],0)-tblOrdenes[[#This Row],[costo_servicio]]))</f>
        <v/>
      </c>
      <c r="AK730" s="10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2">
        <f>IF(tblOrdenes[[#This Row],[fecha_inicio]]="","",TODAY()-tblOrdenes[[#This Row],[fecha_inicio]])</f>
        <v/>
      </c>
      <c r="AB7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0">
        <f>IF(tblOrdenes[[#This Row],[orden]]="","",_xlfn.XLOOKUP(tblOrdenes[[#This Row],[id_operacion]],tblEjecucion[id_operacion],tblEjecucion[precio],0))</f>
        <v/>
      </c>
      <c r="AJ731" s="10">
        <f>IF(tblOrdenes[[#This Row],[orden]]="","",MAX(0,_xlfn.XLOOKUP(tblOrdenes[[#This Row],[id_operacion]],tblEjecucion[id_operacion],tblEjecucion[costo_plan_total],0)-tblOrdenes[[#This Row],[costo_servicio]]))</f>
        <v/>
      </c>
      <c r="AK731" s="10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2">
        <f>IF(tblOrdenes[[#This Row],[fecha_inicio]]="","",TODAY()-tblOrdenes[[#This Row],[fecha_inicio]])</f>
        <v/>
      </c>
      <c r="AB7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0">
        <f>IF(tblOrdenes[[#This Row],[orden]]="","",_xlfn.XLOOKUP(tblOrdenes[[#This Row],[id_operacion]],tblEjecucion[id_operacion],tblEjecucion[precio],0))</f>
        <v/>
      </c>
      <c r="AJ732" s="10">
        <f>IF(tblOrdenes[[#This Row],[orden]]="","",MAX(0,_xlfn.XLOOKUP(tblOrdenes[[#This Row],[id_operacion]],tblEjecucion[id_operacion],tblEjecucion[costo_plan_total],0)-tblOrdenes[[#This Row],[costo_servicio]]))</f>
        <v/>
      </c>
      <c r="AK732" s="10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2">
        <f>IF(tblOrdenes[[#This Row],[fecha_inicio]]="","",TODAY()-tblOrdenes[[#This Row],[fecha_inicio]])</f>
        <v/>
      </c>
      <c r="AB7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0">
        <f>IF(tblOrdenes[[#This Row],[orden]]="","",_xlfn.XLOOKUP(tblOrdenes[[#This Row],[id_operacion]],tblEjecucion[id_operacion],tblEjecucion[precio],0))</f>
        <v/>
      </c>
      <c r="AJ733" s="10">
        <f>IF(tblOrdenes[[#This Row],[orden]]="","",MAX(0,_xlfn.XLOOKUP(tblOrdenes[[#This Row],[id_operacion]],tblEjecucion[id_operacion],tblEjecucion[costo_plan_total],0)-tblOrdenes[[#This Row],[costo_servicio]]))</f>
        <v/>
      </c>
      <c r="AK733" s="10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2">
        <f>IF(tblOrdenes[[#This Row],[fecha_inicio]]="","",TODAY()-tblOrdenes[[#This Row],[fecha_inicio]])</f>
        <v/>
      </c>
      <c r="AB7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0">
        <f>IF(tblOrdenes[[#This Row],[orden]]="","",_xlfn.XLOOKUP(tblOrdenes[[#This Row],[id_operacion]],tblEjecucion[id_operacion],tblEjecucion[precio],0))</f>
        <v/>
      </c>
      <c r="AJ734" s="10">
        <f>IF(tblOrdenes[[#This Row],[orden]]="","",MAX(0,_xlfn.XLOOKUP(tblOrdenes[[#This Row],[id_operacion]],tblEjecucion[id_operacion],tblEjecucion[costo_plan_total],0)-tblOrdenes[[#This Row],[costo_servicio]]))</f>
        <v/>
      </c>
      <c r="AK734" s="10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2">
        <f>IF(tblOrdenes[[#This Row],[fecha_inicio]]="","",TODAY()-tblOrdenes[[#This Row],[fecha_inicio]])</f>
        <v/>
      </c>
      <c r="AB7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0">
        <f>IF(tblOrdenes[[#This Row],[orden]]="","",_xlfn.XLOOKUP(tblOrdenes[[#This Row],[id_operacion]],tblEjecucion[id_operacion],tblEjecucion[precio],0))</f>
        <v/>
      </c>
      <c r="AJ735" s="10">
        <f>IF(tblOrdenes[[#This Row],[orden]]="","",MAX(0,_xlfn.XLOOKUP(tblOrdenes[[#This Row],[id_operacion]],tblEjecucion[id_operacion],tblEjecucion[costo_plan_total],0)-tblOrdenes[[#This Row],[costo_servicio]]))</f>
        <v/>
      </c>
      <c r="AK735" s="10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2">
        <f>IF(tblOrdenes[[#This Row],[fecha_inicio]]="","",TODAY()-tblOrdenes[[#This Row],[fecha_inicio]])</f>
        <v/>
      </c>
      <c r="AB7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0">
        <f>IF(tblOrdenes[[#This Row],[orden]]="","",_xlfn.XLOOKUP(tblOrdenes[[#This Row],[id_operacion]],tblEjecucion[id_operacion],tblEjecucion[precio],0))</f>
        <v/>
      </c>
      <c r="AJ736" s="10">
        <f>IF(tblOrdenes[[#This Row],[orden]]="","",MAX(0,_xlfn.XLOOKUP(tblOrdenes[[#This Row],[id_operacion]],tblEjecucion[id_operacion],tblEjecucion[costo_plan_total],0)-tblOrdenes[[#This Row],[costo_servicio]]))</f>
        <v/>
      </c>
      <c r="AK736" s="10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2">
        <f>IF(tblOrdenes[[#This Row],[fecha_inicio]]="","",TODAY()-tblOrdenes[[#This Row],[fecha_inicio]])</f>
        <v/>
      </c>
      <c r="AB7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0">
        <f>IF(tblOrdenes[[#This Row],[orden]]="","",_xlfn.XLOOKUP(tblOrdenes[[#This Row],[id_operacion]],tblEjecucion[id_operacion],tblEjecucion[precio],0))</f>
        <v/>
      </c>
      <c r="AJ737" s="10">
        <f>IF(tblOrdenes[[#This Row],[orden]]="","",MAX(0,_xlfn.XLOOKUP(tblOrdenes[[#This Row],[id_operacion]],tblEjecucion[id_operacion],tblEjecucion[costo_plan_total],0)-tblOrdenes[[#This Row],[costo_servicio]]))</f>
        <v/>
      </c>
      <c r="AK737" s="10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2">
        <f>IF(tblOrdenes[[#This Row],[fecha_inicio]]="","",TODAY()-tblOrdenes[[#This Row],[fecha_inicio]])</f>
        <v/>
      </c>
      <c r="AB7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0">
        <f>IF(tblOrdenes[[#This Row],[orden]]="","",_xlfn.XLOOKUP(tblOrdenes[[#This Row],[id_operacion]],tblEjecucion[id_operacion],tblEjecucion[precio],0))</f>
        <v/>
      </c>
      <c r="AJ738" s="10">
        <f>IF(tblOrdenes[[#This Row],[orden]]="","",MAX(0,_xlfn.XLOOKUP(tblOrdenes[[#This Row],[id_operacion]],tblEjecucion[id_operacion],tblEjecucion[costo_plan_total],0)-tblOrdenes[[#This Row],[costo_servicio]]))</f>
        <v/>
      </c>
      <c r="AK738" s="10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2">
        <f>IF(tblOrdenes[[#This Row],[fecha_inicio]]="","",TODAY()-tblOrdenes[[#This Row],[fecha_inicio]])</f>
        <v/>
      </c>
      <c r="AB7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0">
        <f>IF(tblOrdenes[[#This Row],[orden]]="","",_xlfn.XLOOKUP(tblOrdenes[[#This Row],[id_operacion]],tblEjecucion[id_operacion],tblEjecucion[precio],0))</f>
        <v/>
      </c>
      <c r="AJ739" s="10">
        <f>IF(tblOrdenes[[#This Row],[orden]]="","",MAX(0,_xlfn.XLOOKUP(tblOrdenes[[#This Row],[id_operacion]],tblEjecucion[id_operacion],tblEjecucion[costo_plan_total],0)-tblOrdenes[[#This Row],[costo_servicio]]))</f>
        <v/>
      </c>
      <c r="AK739" s="10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2">
        <f>IF(tblOrdenes[[#This Row],[fecha_inicio]]="","",TODAY()-tblOrdenes[[#This Row],[fecha_inicio]])</f>
        <v/>
      </c>
      <c r="AB7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0">
        <f>IF(tblOrdenes[[#This Row],[orden]]="","",_xlfn.XLOOKUP(tblOrdenes[[#This Row],[id_operacion]],tblEjecucion[id_operacion],tblEjecucion[precio],0))</f>
        <v/>
      </c>
      <c r="AJ740" s="10">
        <f>IF(tblOrdenes[[#This Row],[orden]]="","",MAX(0,_xlfn.XLOOKUP(tblOrdenes[[#This Row],[id_operacion]],tblEjecucion[id_operacion],tblEjecucion[costo_plan_total],0)-tblOrdenes[[#This Row],[costo_servicio]]))</f>
        <v/>
      </c>
      <c r="AK740" s="10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2">
        <f>IF(tblOrdenes[[#This Row],[fecha_inicio]]="","",TODAY()-tblOrdenes[[#This Row],[fecha_inicio]])</f>
        <v/>
      </c>
      <c r="AB7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0">
        <f>IF(tblOrdenes[[#This Row],[orden]]="","",_xlfn.XLOOKUP(tblOrdenes[[#This Row],[id_operacion]],tblEjecucion[id_operacion],tblEjecucion[precio],0))</f>
        <v/>
      </c>
      <c r="AJ741" s="10">
        <f>IF(tblOrdenes[[#This Row],[orden]]="","",MAX(0,_xlfn.XLOOKUP(tblOrdenes[[#This Row],[id_operacion]],tblEjecucion[id_operacion],tblEjecucion[costo_plan_total],0)-tblOrdenes[[#This Row],[costo_servicio]]))</f>
        <v/>
      </c>
      <c r="AK741" s="10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2">
        <f>IF(tblOrdenes[[#This Row],[fecha_inicio]]="","",TODAY()-tblOrdenes[[#This Row],[fecha_inicio]])</f>
        <v/>
      </c>
      <c r="AB7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0">
        <f>IF(tblOrdenes[[#This Row],[orden]]="","",_xlfn.XLOOKUP(tblOrdenes[[#This Row],[id_operacion]],tblEjecucion[id_operacion],tblEjecucion[precio],0))</f>
        <v/>
      </c>
      <c r="AJ742" s="10">
        <f>IF(tblOrdenes[[#This Row],[orden]]="","",MAX(0,_xlfn.XLOOKUP(tblOrdenes[[#This Row],[id_operacion]],tblEjecucion[id_operacion],tblEjecucion[costo_plan_total],0)-tblOrdenes[[#This Row],[costo_servicio]]))</f>
        <v/>
      </c>
      <c r="AK742" s="10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2">
        <f>IF(tblOrdenes[[#This Row],[fecha_inicio]]="","",TODAY()-tblOrdenes[[#This Row],[fecha_inicio]])</f>
        <v/>
      </c>
      <c r="AB7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0">
        <f>IF(tblOrdenes[[#This Row],[orden]]="","",_xlfn.XLOOKUP(tblOrdenes[[#This Row],[id_operacion]],tblEjecucion[id_operacion],tblEjecucion[precio],0))</f>
        <v/>
      </c>
      <c r="AJ743" s="10">
        <f>IF(tblOrdenes[[#This Row],[orden]]="","",MAX(0,_xlfn.XLOOKUP(tblOrdenes[[#This Row],[id_operacion]],tblEjecucion[id_operacion],tblEjecucion[costo_plan_total],0)-tblOrdenes[[#This Row],[costo_servicio]]))</f>
        <v/>
      </c>
      <c r="AK743" s="10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2">
        <f>IF(tblOrdenes[[#This Row],[fecha_inicio]]="","",TODAY()-tblOrdenes[[#This Row],[fecha_inicio]])</f>
        <v/>
      </c>
      <c r="AB7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0">
        <f>IF(tblOrdenes[[#This Row],[orden]]="","",_xlfn.XLOOKUP(tblOrdenes[[#This Row],[id_operacion]],tblEjecucion[id_operacion],tblEjecucion[precio],0))</f>
        <v/>
      </c>
      <c r="AJ744" s="10">
        <f>IF(tblOrdenes[[#This Row],[orden]]="","",MAX(0,_xlfn.XLOOKUP(tblOrdenes[[#This Row],[id_operacion]],tblEjecucion[id_operacion],tblEjecucion[costo_plan_total],0)-tblOrdenes[[#This Row],[costo_servicio]]))</f>
        <v/>
      </c>
      <c r="AK744" s="10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2">
        <f>IF(tblOrdenes[[#This Row],[fecha_inicio]]="","",TODAY()-tblOrdenes[[#This Row],[fecha_inicio]])</f>
        <v/>
      </c>
      <c r="AB7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0">
        <f>IF(tblOrdenes[[#This Row],[orden]]="","",_xlfn.XLOOKUP(tblOrdenes[[#This Row],[id_operacion]],tblEjecucion[id_operacion],tblEjecucion[precio],0))</f>
        <v/>
      </c>
      <c r="AJ745" s="10">
        <f>IF(tblOrdenes[[#This Row],[orden]]="","",MAX(0,_xlfn.XLOOKUP(tblOrdenes[[#This Row],[id_operacion]],tblEjecucion[id_operacion],tblEjecucion[costo_plan_total],0)-tblOrdenes[[#This Row],[costo_servicio]]))</f>
        <v/>
      </c>
      <c r="AK745" s="10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2">
        <f>IF(tblOrdenes[[#This Row],[fecha_inicio]]="","",TODAY()-tblOrdenes[[#This Row],[fecha_inicio]])</f>
        <v/>
      </c>
      <c r="AB7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0">
        <f>IF(tblOrdenes[[#This Row],[orden]]="","",_xlfn.XLOOKUP(tblOrdenes[[#This Row],[id_operacion]],tblEjecucion[id_operacion],tblEjecucion[precio],0))</f>
        <v/>
      </c>
      <c r="AJ746" s="10">
        <f>IF(tblOrdenes[[#This Row],[orden]]="","",MAX(0,_xlfn.XLOOKUP(tblOrdenes[[#This Row],[id_operacion]],tblEjecucion[id_operacion],tblEjecucion[costo_plan_total],0)-tblOrdenes[[#This Row],[costo_servicio]]))</f>
        <v/>
      </c>
      <c r="AK746" s="10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2">
        <f>IF(tblOrdenes[[#This Row],[fecha_inicio]]="","",TODAY()-tblOrdenes[[#This Row],[fecha_inicio]])</f>
        <v/>
      </c>
      <c r="AB7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0">
        <f>IF(tblOrdenes[[#This Row],[orden]]="","",_xlfn.XLOOKUP(tblOrdenes[[#This Row],[id_operacion]],tblEjecucion[id_operacion],tblEjecucion[precio],0))</f>
        <v/>
      </c>
      <c r="AJ747" s="10">
        <f>IF(tblOrdenes[[#This Row],[orden]]="","",MAX(0,_xlfn.XLOOKUP(tblOrdenes[[#This Row],[id_operacion]],tblEjecucion[id_operacion],tblEjecucion[costo_plan_total],0)-tblOrdenes[[#This Row],[costo_servicio]]))</f>
        <v/>
      </c>
      <c r="AK747" s="10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2">
        <f>IF(tblOrdenes[[#This Row],[fecha_inicio]]="","",TODAY()-tblOrdenes[[#This Row],[fecha_inicio]])</f>
        <v/>
      </c>
      <c r="AB7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0">
        <f>IF(tblOrdenes[[#This Row],[orden]]="","",_xlfn.XLOOKUP(tblOrdenes[[#This Row],[id_operacion]],tblEjecucion[id_operacion],tblEjecucion[precio],0))</f>
        <v/>
      </c>
      <c r="AJ748" s="10">
        <f>IF(tblOrdenes[[#This Row],[orden]]="","",MAX(0,_xlfn.XLOOKUP(tblOrdenes[[#This Row],[id_operacion]],tblEjecucion[id_operacion],tblEjecucion[costo_plan_total],0)-tblOrdenes[[#This Row],[costo_servicio]]))</f>
        <v/>
      </c>
      <c r="AK748" s="10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2">
        <f>IF(tblOrdenes[[#This Row],[fecha_inicio]]="","",TODAY()-tblOrdenes[[#This Row],[fecha_inicio]])</f>
        <v/>
      </c>
      <c r="AB7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0">
        <f>IF(tblOrdenes[[#This Row],[orden]]="","",_xlfn.XLOOKUP(tblOrdenes[[#This Row],[id_operacion]],tblEjecucion[id_operacion],tblEjecucion[precio],0))</f>
        <v/>
      </c>
      <c r="AJ749" s="10">
        <f>IF(tblOrdenes[[#This Row],[orden]]="","",MAX(0,_xlfn.XLOOKUP(tblOrdenes[[#This Row],[id_operacion]],tblEjecucion[id_operacion],tblEjecucion[costo_plan_total],0)-tblOrdenes[[#This Row],[costo_servicio]]))</f>
        <v/>
      </c>
      <c r="AK749" s="10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2">
        <f>IF(tblOrdenes[[#This Row],[fecha_inicio]]="","",TODAY()-tblOrdenes[[#This Row],[fecha_inicio]])</f>
        <v/>
      </c>
      <c r="AB7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0">
        <f>IF(tblOrdenes[[#This Row],[orden]]="","",_xlfn.XLOOKUP(tblOrdenes[[#This Row],[id_operacion]],tblEjecucion[id_operacion],tblEjecucion[precio],0))</f>
        <v/>
      </c>
      <c r="AJ750" s="10">
        <f>IF(tblOrdenes[[#This Row],[orden]]="","",MAX(0,_xlfn.XLOOKUP(tblOrdenes[[#This Row],[id_operacion]],tblEjecucion[id_operacion],tblEjecucion[costo_plan_total],0)-tblOrdenes[[#This Row],[costo_servicio]]))</f>
        <v/>
      </c>
      <c r="AK750" s="10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2">
        <f>IF(tblOrdenes[[#This Row],[fecha_inicio]]="","",TODAY()-tblOrdenes[[#This Row],[fecha_inicio]])</f>
        <v/>
      </c>
      <c r="AB7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0">
        <f>IF(tblOrdenes[[#This Row],[orden]]="","",_xlfn.XLOOKUP(tblOrdenes[[#This Row],[id_operacion]],tblEjecucion[id_operacion],tblEjecucion[precio],0))</f>
        <v/>
      </c>
      <c r="AJ751" s="10">
        <f>IF(tblOrdenes[[#This Row],[orden]]="","",MAX(0,_xlfn.XLOOKUP(tblOrdenes[[#This Row],[id_operacion]],tblEjecucion[id_operacion],tblEjecucion[costo_plan_total],0)-tblOrdenes[[#This Row],[costo_servicio]]))</f>
        <v/>
      </c>
      <c r="AK751" s="10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2">
        <f>IF(tblOrdenes[[#This Row],[fecha_inicio]]="","",TODAY()-tblOrdenes[[#This Row],[fecha_inicio]])</f>
        <v/>
      </c>
      <c r="AB7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0">
        <f>IF(tblOrdenes[[#This Row],[orden]]="","",_xlfn.XLOOKUP(tblOrdenes[[#This Row],[id_operacion]],tblEjecucion[id_operacion],tblEjecucion[precio],0))</f>
        <v/>
      </c>
      <c r="AJ752" s="10">
        <f>IF(tblOrdenes[[#This Row],[orden]]="","",MAX(0,_xlfn.XLOOKUP(tblOrdenes[[#This Row],[id_operacion]],tblEjecucion[id_operacion],tblEjecucion[costo_plan_total],0)-tblOrdenes[[#This Row],[costo_servicio]]))</f>
        <v/>
      </c>
      <c r="AK752" s="10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2">
        <f>IF(tblOrdenes[[#This Row],[fecha_inicio]]="","",TODAY()-tblOrdenes[[#This Row],[fecha_inicio]])</f>
        <v/>
      </c>
      <c r="AB7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0">
        <f>IF(tblOrdenes[[#This Row],[orden]]="","",_xlfn.XLOOKUP(tblOrdenes[[#This Row],[id_operacion]],tblEjecucion[id_operacion],tblEjecucion[precio],0))</f>
        <v/>
      </c>
      <c r="AJ753" s="10">
        <f>IF(tblOrdenes[[#This Row],[orden]]="","",MAX(0,_xlfn.XLOOKUP(tblOrdenes[[#This Row],[id_operacion]],tblEjecucion[id_operacion],tblEjecucion[costo_plan_total],0)-tblOrdenes[[#This Row],[costo_servicio]]))</f>
        <v/>
      </c>
      <c r="AK753" s="10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2">
        <f>IF(tblOrdenes[[#This Row],[fecha_inicio]]="","",TODAY()-tblOrdenes[[#This Row],[fecha_inicio]])</f>
        <v/>
      </c>
      <c r="AB7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0">
        <f>IF(tblOrdenes[[#This Row],[orden]]="","",_xlfn.XLOOKUP(tblOrdenes[[#This Row],[id_operacion]],tblEjecucion[id_operacion],tblEjecucion[precio],0))</f>
        <v/>
      </c>
      <c r="AJ754" s="10">
        <f>IF(tblOrdenes[[#This Row],[orden]]="","",MAX(0,_xlfn.XLOOKUP(tblOrdenes[[#This Row],[id_operacion]],tblEjecucion[id_operacion],tblEjecucion[costo_plan_total],0)-tblOrdenes[[#This Row],[costo_servicio]]))</f>
        <v/>
      </c>
      <c r="AK754" s="10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2">
        <f>IF(tblOrdenes[[#This Row],[fecha_inicio]]="","",TODAY()-tblOrdenes[[#This Row],[fecha_inicio]])</f>
        <v/>
      </c>
      <c r="AB7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0">
        <f>IF(tblOrdenes[[#This Row],[orden]]="","",_xlfn.XLOOKUP(tblOrdenes[[#This Row],[id_operacion]],tblEjecucion[id_operacion],tblEjecucion[precio],0))</f>
        <v/>
      </c>
      <c r="AJ755" s="10">
        <f>IF(tblOrdenes[[#This Row],[orden]]="","",MAX(0,_xlfn.XLOOKUP(tblOrdenes[[#This Row],[id_operacion]],tblEjecucion[id_operacion],tblEjecucion[costo_plan_total],0)-tblOrdenes[[#This Row],[costo_servicio]]))</f>
        <v/>
      </c>
      <c r="AK755" s="10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2">
        <f>IF(tblOrdenes[[#This Row],[fecha_inicio]]="","",TODAY()-tblOrdenes[[#This Row],[fecha_inicio]])</f>
        <v/>
      </c>
      <c r="AB7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0">
        <f>IF(tblOrdenes[[#This Row],[orden]]="","",_xlfn.XLOOKUP(tblOrdenes[[#This Row],[id_operacion]],tblEjecucion[id_operacion],tblEjecucion[precio],0))</f>
        <v/>
      </c>
      <c r="AJ756" s="10">
        <f>IF(tblOrdenes[[#This Row],[orden]]="","",MAX(0,_xlfn.XLOOKUP(tblOrdenes[[#This Row],[id_operacion]],tblEjecucion[id_operacion],tblEjecucion[costo_plan_total],0)-tblOrdenes[[#This Row],[costo_servicio]]))</f>
        <v/>
      </c>
      <c r="AK756" s="10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2">
        <f>IF(tblOrdenes[[#This Row],[fecha_inicio]]="","",TODAY()-tblOrdenes[[#This Row],[fecha_inicio]])</f>
        <v/>
      </c>
      <c r="AB7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0">
        <f>IF(tblOrdenes[[#This Row],[orden]]="","",_xlfn.XLOOKUP(tblOrdenes[[#This Row],[id_operacion]],tblEjecucion[id_operacion],tblEjecucion[precio],0))</f>
        <v/>
      </c>
      <c r="AJ757" s="10">
        <f>IF(tblOrdenes[[#This Row],[orden]]="","",MAX(0,_xlfn.XLOOKUP(tblOrdenes[[#This Row],[id_operacion]],tblEjecucion[id_operacion],tblEjecucion[costo_plan_total],0)-tblOrdenes[[#This Row],[costo_servicio]]))</f>
        <v/>
      </c>
      <c r="AK757" s="10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2">
        <f>IF(tblOrdenes[[#This Row],[fecha_inicio]]="","",TODAY()-tblOrdenes[[#This Row],[fecha_inicio]])</f>
        <v/>
      </c>
      <c r="AB7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0">
        <f>IF(tblOrdenes[[#This Row],[orden]]="","",_xlfn.XLOOKUP(tblOrdenes[[#This Row],[id_operacion]],tblEjecucion[id_operacion],tblEjecucion[precio],0))</f>
        <v/>
      </c>
      <c r="AJ758" s="10">
        <f>IF(tblOrdenes[[#This Row],[orden]]="","",MAX(0,_xlfn.XLOOKUP(tblOrdenes[[#This Row],[id_operacion]],tblEjecucion[id_operacion],tblEjecucion[costo_plan_total],0)-tblOrdenes[[#This Row],[costo_servicio]]))</f>
        <v/>
      </c>
      <c r="AK758" s="10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2">
        <f>IF(tblOrdenes[[#This Row],[fecha_inicio]]="","",TODAY()-tblOrdenes[[#This Row],[fecha_inicio]])</f>
        <v/>
      </c>
      <c r="AB7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0">
        <f>IF(tblOrdenes[[#This Row],[orden]]="","",_xlfn.XLOOKUP(tblOrdenes[[#This Row],[id_operacion]],tblEjecucion[id_operacion],tblEjecucion[precio],0))</f>
        <v/>
      </c>
      <c r="AJ759" s="10">
        <f>IF(tblOrdenes[[#This Row],[orden]]="","",MAX(0,_xlfn.XLOOKUP(tblOrdenes[[#This Row],[id_operacion]],tblEjecucion[id_operacion],tblEjecucion[costo_plan_total],0)-tblOrdenes[[#This Row],[costo_servicio]]))</f>
        <v/>
      </c>
      <c r="AK759" s="10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2">
        <f>IF(tblOrdenes[[#This Row],[fecha_inicio]]="","",TODAY()-tblOrdenes[[#This Row],[fecha_inicio]])</f>
        <v/>
      </c>
      <c r="AB7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0">
        <f>IF(tblOrdenes[[#This Row],[orden]]="","",_xlfn.XLOOKUP(tblOrdenes[[#This Row],[id_operacion]],tblEjecucion[id_operacion],tblEjecucion[precio],0))</f>
        <v/>
      </c>
      <c r="AJ760" s="10">
        <f>IF(tblOrdenes[[#This Row],[orden]]="","",MAX(0,_xlfn.XLOOKUP(tblOrdenes[[#This Row],[id_operacion]],tblEjecucion[id_operacion],tblEjecucion[costo_plan_total],0)-tblOrdenes[[#This Row],[costo_servicio]]))</f>
        <v/>
      </c>
      <c r="AK760" s="10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2">
        <f>IF(tblOrdenes[[#This Row],[fecha_inicio]]="","",TODAY()-tblOrdenes[[#This Row],[fecha_inicio]])</f>
        <v/>
      </c>
      <c r="AB7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0">
        <f>IF(tblOrdenes[[#This Row],[orden]]="","",_xlfn.XLOOKUP(tblOrdenes[[#This Row],[id_operacion]],tblEjecucion[id_operacion],tblEjecucion[precio],0))</f>
        <v/>
      </c>
      <c r="AJ761" s="10">
        <f>IF(tblOrdenes[[#This Row],[orden]]="","",MAX(0,_xlfn.XLOOKUP(tblOrdenes[[#This Row],[id_operacion]],tblEjecucion[id_operacion],tblEjecucion[costo_plan_total],0)-tblOrdenes[[#This Row],[costo_servicio]]))</f>
        <v/>
      </c>
      <c r="AK761" s="10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2">
        <f>IF(tblOrdenes[[#This Row],[fecha_inicio]]="","",TODAY()-tblOrdenes[[#This Row],[fecha_inicio]])</f>
        <v/>
      </c>
      <c r="AB7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0">
        <f>IF(tblOrdenes[[#This Row],[orden]]="","",_xlfn.XLOOKUP(tblOrdenes[[#This Row],[id_operacion]],tblEjecucion[id_operacion],tblEjecucion[precio],0))</f>
        <v/>
      </c>
      <c r="AJ762" s="10">
        <f>IF(tblOrdenes[[#This Row],[orden]]="","",MAX(0,_xlfn.XLOOKUP(tblOrdenes[[#This Row],[id_operacion]],tblEjecucion[id_operacion],tblEjecucion[costo_plan_total],0)-tblOrdenes[[#This Row],[costo_servicio]]))</f>
        <v/>
      </c>
      <c r="AK762" s="10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2">
        <f>IF(tblOrdenes[[#This Row],[fecha_inicio]]="","",TODAY()-tblOrdenes[[#This Row],[fecha_inicio]])</f>
        <v/>
      </c>
      <c r="AB7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0">
        <f>IF(tblOrdenes[[#This Row],[orden]]="","",_xlfn.XLOOKUP(tblOrdenes[[#This Row],[id_operacion]],tblEjecucion[id_operacion],tblEjecucion[precio],0))</f>
        <v/>
      </c>
      <c r="AJ763" s="10">
        <f>IF(tblOrdenes[[#This Row],[orden]]="","",MAX(0,_xlfn.XLOOKUP(tblOrdenes[[#This Row],[id_operacion]],tblEjecucion[id_operacion],tblEjecucion[costo_plan_total],0)-tblOrdenes[[#This Row],[costo_servicio]]))</f>
        <v/>
      </c>
      <c r="AK763" s="10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2">
        <f>IF(tblOrdenes[[#This Row],[fecha_inicio]]="","",TODAY()-tblOrdenes[[#This Row],[fecha_inicio]])</f>
        <v/>
      </c>
      <c r="AB7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0">
        <f>IF(tblOrdenes[[#This Row],[orden]]="","",_xlfn.XLOOKUP(tblOrdenes[[#This Row],[id_operacion]],tblEjecucion[id_operacion],tblEjecucion[precio],0))</f>
        <v/>
      </c>
      <c r="AJ764" s="10">
        <f>IF(tblOrdenes[[#This Row],[orden]]="","",MAX(0,_xlfn.XLOOKUP(tblOrdenes[[#This Row],[id_operacion]],tblEjecucion[id_operacion],tblEjecucion[costo_plan_total],0)-tblOrdenes[[#This Row],[costo_servicio]]))</f>
        <v/>
      </c>
      <c r="AK764" s="10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2">
        <f>IF(tblOrdenes[[#This Row],[fecha_inicio]]="","",TODAY()-tblOrdenes[[#This Row],[fecha_inicio]])</f>
        <v/>
      </c>
      <c r="AB7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0">
        <f>IF(tblOrdenes[[#This Row],[orden]]="","",_xlfn.XLOOKUP(tblOrdenes[[#This Row],[id_operacion]],tblEjecucion[id_operacion],tblEjecucion[precio],0))</f>
        <v/>
      </c>
      <c r="AJ765" s="10">
        <f>IF(tblOrdenes[[#This Row],[orden]]="","",MAX(0,_xlfn.XLOOKUP(tblOrdenes[[#This Row],[id_operacion]],tblEjecucion[id_operacion],tblEjecucion[costo_plan_total],0)-tblOrdenes[[#This Row],[costo_servicio]]))</f>
        <v/>
      </c>
      <c r="AK765" s="10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2">
        <f>IF(tblOrdenes[[#This Row],[fecha_inicio]]="","",TODAY()-tblOrdenes[[#This Row],[fecha_inicio]])</f>
        <v/>
      </c>
      <c r="AB7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0">
        <f>IF(tblOrdenes[[#This Row],[orden]]="","",_xlfn.XLOOKUP(tblOrdenes[[#This Row],[id_operacion]],tblEjecucion[id_operacion],tblEjecucion[precio],0))</f>
        <v/>
      </c>
      <c r="AJ766" s="10">
        <f>IF(tblOrdenes[[#This Row],[orden]]="","",MAX(0,_xlfn.XLOOKUP(tblOrdenes[[#This Row],[id_operacion]],tblEjecucion[id_operacion],tblEjecucion[costo_plan_total],0)-tblOrdenes[[#This Row],[costo_servicio]]))</f>
        <v/>
      </c>
      <c r="AK766" s="10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2">
        <f>IF(tblOrdenes[[#This Row],[fecha_inicio]]="","",TODAY()-tblOrdenes[[#This Row],[fecha_inicio]])</f>
        <v/>
      </c>
      <c r="AB7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0">
        <f>IF(tblOrdenes[[#This Row],[orden]]="","",_xlfn.XLOOKUP(tblOrdenes[[#This Row],[id_operacion]],tblEjecucion[id_operacion],tblEjecucion[precio],0))</f>
        <v/>
      </c>
      <c r="AJ767" s="10">
        <f>IF(tblOrdenes[[#This Row],[orden]]="","",MAX(0,_xlfn.XLOOKUP(tblOrdenes[[#This Row],[id_operacion]],tblEjecucion[id_operacion],tblEjecucion[costo_plan_total],0)-tblOrdenes[[#This Row],[costo_servicio]]))</f>
        <v/>
      </c>
      <c r="AK767" s="10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2">
        <f>IF(tblOrdenes[[#This Row],[fecha_inicio]]="","",TODAY()-tblOrdenes[[#This Row],[fecha_inicio]])</f>
        <v/>
      </c>
      <c r="AB7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0">
        <f>IF(tblOrdenes[[#This Row],[orden]]="","",_xlfn.XLOOKUP(tblOrdenes[[#This Row],[id_operacion]],tblEjecucion[id_operacion],tblEjecucion[precio],0))</f>
        <v/>
      </c>
      <c r="AJ768" s="10">
        <f>IF(tblOrdenes[[#This Row],[orden]]="","",MAX(0,_xlfn.XLOOKUP(tblOrdenes[[#This Row],[id_operacion]],tblEjecucion[id_operacion],tblEjecucion[costo_plan_total],0)-tblOrdenes[[#This Row],[costo_servicio]]))</f>
        <v/>
      </c>
      <c r="AK768" s="10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2">
        <f>IF(tblOrdenes[[#This Row],[fecha_inicio]]="","",TODAY()-tblOrdenes[[#This Row],[fecha_inicio]])</f>
        <v/>
      </c>
      <c r="AB7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0">
        <f>IF(tblOrdenes[[#This Row],[orden]]="","",_xlfn.XLOOKUP(tblOrdenes[[#This Row],[id_operacion]],tblEjecucion[id_operacion],tblEjecucion[precio],0))</f>
        <v/>
      </c>
      <c r="AJ769" s="10">
        <f>IF(tblOrdenes[[#This Row],[orden]]="","",MAX(0,_xlfn.XLOOKUP(tblOrdenes[[#This Row],[id_operacion]],tblEjecucion[id_operacion],tblEjecucion[costo_plan_total],0)-tblOrdenes[[#This Row],[costo_servicio]]))</f>
        <v/>
      </c>
      <c r="AK769" s="10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2">
        <f>IF(tblOrdenes[[#This Row],[fecha_inicio]]="","",TODAY()-tblOrdenes[[#This Row],[fecha_inicio]])</f>
        <v/>
      </c>
      <c r="AB7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0">
        <f>IF(tblOrdenes[[#This Row],[orden]]="","",_xlfn.XLOOKUP(tblOrdenes[[#This Row],[id_operacion]],tblEjecucion[id_operacion],tblEjecucion[precio],0))</f>
        <v/>
      </c>
      <c r="AJ770" s="10">
        <f>IF(tblOrdenes[[#This Row],[orden]]="","",MAX(0,_xlfn.XLOOKUP(tblOrdenes[[#This Row],[id_operacion]],tblEjecucion[id_operacion],tblEjecucion[costo_plan_total],0)-tblOrdenes[[#This Row],[costo_servicio]]))</f>
        <v/>
      </c>
      <c r="AK770" s="10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2">
        <f>IF(tblOrdenes[[#This Row],[fecha_inicio]]="","",TODAY()-tblOrdenes[[#This Row],[fecha_inicio]])</f>
        <v/>
      </c>
      <c r="AB7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0">
        <f>IF(tblOrdenes[[#This Row],[orden]]="","",_xlfn.XLOOKUP(tblOrdenes[[#This Row],[id_operacion]],tblEjecucion[id_operacion],tblEjecucion[precio],0))</f>
        <v/>
      </c>
      <c r="AJ771" s="10">
        <f>IF(tblOrdenes[[#This Row],[orden]]="","",MAX(0,_xlfn.XLOOKUP(tblOrdenes[[#This Row],[id_operacion]],tblEjecucion[id_operacion],tblEjecucion[costo_plan_total],0)-tblOrdenes[[#This Row],[costo_servicio]]))</f>
        <v/>
      </c>
      <c r="AK771" s="10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2">
        <f>IF(tblOrdenes[[#This Row],[fecha_inicio]]="","",TODAY()-tblOrdenes[[#This Row],[fecha_inicio]])</f>
        <v/>
      </c>
      <c r="AB7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0">
        <f>IF(tblOrdenes[[#This Row],[orden]]="","",_xlfn.XLOOKUP(tblOrdenes[[#This Row],[id_operacion]],tblEjecucion[id_operacion],tblEjecucion[precio],0))</f>
        <v/>
      </c>
      <c r="AJ772" s="10">
        <f>IF(tblOrdenes[[#This Row],[orden]]="","",MAX(0,_xlfn.XLOOKUP(tblOrdenes[[#This Row],[id_operacion]],tblEjecucion[id_operacion],tblEjecucion[costo_plan_total],0)-tblOrdenes[[#This Row],[costo_servicio]]))</f>
        <v/>
      </c>
      <c r="AK772" s="10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2">
        <f>IF(tblOrdenes[[#This Row],[fecha_inicio]]="","",TODAY()-tblOrdenes[[#This Row],[fecha_inicio]])</f>
        <v/>
      </c>
      <c r="AB7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0">
        <f>IF(tblOrdenes[[#This Row],[orden]]="","",_xlfn.XLOOKUP(tblOrdenes[[#This Row],[id_operacion]],tblEjecucion[id_operacion],tblEjecucion[precio],0))</f>
        <v/>
      </c>
      <c r="AJ773" s="10">
        <f>IF(tblOrdenes[[#This Row],[orden]]="","",MAX(0,_xlfn.XLOOKUP(tblOrdenes[[#This Row],[id_operacion]],tblEjecucion[id_operacion],tblEjecucion[costo_plan_total],0)-tblOrdenes[[#This Row],[costo_servicio]]))</f>
        <v/>
      </c>
      <c r="AK773" s="10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2">
        <f>IF(tblOrdenes[[#This Row],[fecha_inicio]]="","",TODAY()-tblOrdenes[[#This Row],[fecha_inicio]])</f>
        <v/>
      </c>
      <c r="AB7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0">
        <f>IF(tblOrdenes[[#This Row],[orden]]="","",_xlfn.XLOOKUP(tblOrdenes[[#This Row],[id_operacion]],tblEjecucion[id_operacion],tblEjecucion[precio],0))</f>
        <v/>
      </c>
      <c r="AJ774" s="10">
        <f>IF(tblOrdenes[[#This Row],[orden]]="","",MAX(0,_xlfn.XLOOKUP(tblOrdenes[[#This Row],[id_operacion]],tblEjecucion[id_operacion],tblEjecucion[costo_plan_total],0)-tblOrdenes[[#This Row],[costo_servicio]]))</f>
        <v/>
      </c>
      <c r="AK774" s="10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2">
        <f>IF(tblOrdenes[[#This Row],[fecha_inicio]]="","",TODAY()-tblOrdenes[[#This Row],[fecha_inicio]])</f>
        <v/>
      </c>
      <c r="AB7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0">
        <f>IF(tblOrdenes[[#This Row],[orden]]="","",_xlfn.XLOOKUP(tblOrdenes[[#This Row],[id_operacion]],tblEjecucion[id_operacion],tblEjecucion[precio],0))</f>
        <v/>
      </c>
      <c r="AJ775" s="10">
        <f>IF(tblOrdenes[[#This Row],[orden]]="","",MAX(0,_xlfn.XLOOKUP(tblOrdenes[[#This Row],[id_operacion]],tblEjecucion[id_operacion],tblEjecucion[costo_plan_total],0)-tblOrdenes[[#This Row],[costo_servicio]]))</f>
        <v/>
      </c>
      <c r="AK775" s="10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2">
        <f>IF(tblOrdenes[[#This Row],[fecha_inicio]]="","",TODAY()-tblOrdenes[[#This Row],[fecha_inicio]])</f>
        <v/>
      </c>
      <c r="AB7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0">
        <f>IF(tblOrdenes[[#This Row],[orden]]="","",_xlfn.XLOOKUP(tblOrdenes[[#This Row],[id_operacion]],tblEjecucion[id_operacion],tblEjecucion[precio],0))</f>
        <v/>
      </c>
      <c r="AJ776" s="10">
        <f>IF(tblOrdenes[[#This Row],[orden]]="","",MAX(0,_xlfn.XLOOKUP(tblOrdenes[[#This Row],[id_operacion]],tblEjecucion[id_operacion],tblEjecucion[costo_plan_total],0)-tblOrdenes[[#This Row],[costo_servicio]]))</f>
        <v/>
      </c>
      <c r="AK776" s="10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2">
        <f>IF(tblOrdenes[[#This Row],[fecha_inicio]]="","",TODAY()-tblOrdenes[[#This Row],[fecha_inicio]])</f>
        <v/>
      </c>
      <c r="AB7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0">
        <f>IF(tblOrdenes[[#This Row],[orden]]="","",_xlfn.XLOOKUP(tblOrdenes[[#This Row],[id_operacion]],tblEjecucion[id_operacion],tblEjecucion[precio],0))</f>
        <v/>
      </c>
      <c r="AJ777" s="10">
        <f>IF(tblOrdenes[[#This Row],[orden]]="","",MAX(0,_xlfn.XLOOKUP(tblOrdenes[[#This Row],[id_operacion]],tblEjecucion[id_operacion],tblEjecucion[costo_plan_total],0)-tblOrdenes[[#This Row],[costo_servicio]]))</f>
        <v/>
      </c>
      <c r="AK777" s="10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2">
        <f>IF(tblOrdenes[[#This Row],[fecha_inicio]]="","",TODAY()-tblOrdenes[[#This Row],[fecha_inicio]])</f>
        <v/>
      </c>
      <c r="AB7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0">
        <f>IF(tblOrdenes[[#This Row],[orden]]="","",_xlfn.XLOOKUP(tblOrdenes[[#This Row],[id_operacion]],tblEjecucion[id_operacion],tblEjecucion[precio],0))</f>
        <v/>
      </c>
      <c r="AJ778" s="10">
        <f>IF(tblOrdenes[[#This Row],[orden]]="","",MAX(0,_xlfn.XLOOKUP(tblOrdenes[[#This Row],[id_operacion]],tblEjecucion[id_operacion],tblEjecucion[costo_plan_total],0)-tblOrdenes[[#This Row],[costo_servicio]]))</f>
        <v/>
      </c>
      <c r="AK778" s="10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2">
        <f>IF(tblOrdenes[[#This Row],[fecha_inicio]]="","",TODAY()-tblOrdenes[[#This Row],[fecha_inicio]])</f>
        <v/>
      </c>
      <c r="AB7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0">
        <f>IF(tblOrdenes[[#This Row],[orden]]="","",_xlfn.XLOOKUP(tblOrdenes[[#This Row],[id_operacion]],tblEjecucion[id_operacion],tblEjecucion[precio],0))</f>
        <v/>
      </c>
      <c r="AJ779" s="10">
        <f>IF(tblOrdenes[[#This Row],[orden]]="","",MAX(0,_xlfn.XLOOKUP(tblOrdenes[[#This Row],[id_operacion]],tblEjecucion[id_operacion],tblEjecucion[costo_plan_total],0)-tblOrdenes[[#This Row],[costo_servicio]]))</f>
        <v/>
      </c>
      <c r="AK779" s="10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2">
        <f>IF(tblOrdenes[[#This Row],[fecha_inicio]]="","",TODAY()-tblOrdenes[[#This Row],[fecha_inicio]])</f>
        <v/>
      </c>
      <c r="AB7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0">
        <f>IF(tblOrdenes[[#This Row],[orden]]="","",_xlfn.XLOOKUP(tblOrdenes[[#This Row],[id_operacion]],tblEjecucion[id_operacion],tblEjecucion[precio],0))</f>
        <v/>
      </c>
      <c r="AJ780" s="10">
        <f>IF(tblOrdenes[[#This Row],[orden]]="","",MAX(0,_xlfn.XLOOKUP(tblOrdenes[[#This Row],[id_operacion]],tblEjecucion[id_operacion],tblEjecucion[costo_plan_total],0)-tblOrdenes[[#This Row],[costo_servicio]]))</f>
        <v/>
      </c>
      <c r="AK780" s="10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2">
        <f>IF(tblOrdenes[[#This Row],[fecha_inicio]]="","",TODAY()-tblOrdenes[[#This Row],[fecha_inicio]])</f>
        <v/>
      </c>
      <c r="AB7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0">
        <f>IF(tblOrdenes[[#This Row],[orden]]="","",_xlfn.XLOOKUP(tblOrdenes[[#This Row],[id_operacion]],tblEjecucion[id_operacion],tblEjecucion[precio],0))</f>
        <v/>
      </c>
      <c r="AJ781" s="10">
        <f>IF(tblOrdenes[[#This Row],[orden]]="","",MAX(0,_xlfn.XLOOKUP(tblOrdenes[[#This Row],[id_operacion]],tblEjecucion[id_operacion],tblEjecucion[costo_plan_total],0)-tblOrdenes[[#This Row],[costo_servicio]]))</f>
        <v/>
      </c>
      <c r="AK781" s="10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2">
        <f>IF(tblOrdenes[[#This Row],[fecha_inicio]]="","",TODAY()-tblOrdenes[[#This Row],[fecha_inicio]])</f>
        <v/>
      </c>
      <c r="AB7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0">
        <f>IF(tblOrdenes[[#This Row],[orden]]="","",_xlfn.XLOOKUP(tblOrdenes[[#This Row],[id_operacion]],tblEjecucion[id_operacion],tblEjecucion[precio],0))</f>
        <v/>
      </c>
      <c r="AJ782" s="10">
        <f>IF(tblOrdenes[[#This Row],[orden]]="","",MAX(0,_xlfn.XLOOKUP(tblOrdenes[[#This Row],[id_operacion]],tblEjecucion[id_operacion],tblEjecucion[costo_plan_total],0)-tblOrdenes[[#This Row],[costo_servicio]]))</f>
        <v/>
      </c>
      <c r="AK782" s="10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2">
        <f>IF(tblOrdenes[[#This Row],[fecha_inicio]]="","",TODAY()-tblOrdenes[[#This Row],[fecha_inicio]])</f>
        <v/>
      </c>
      <c r="AB7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0">
        <f>IF(tblOrdenes[[#This Row],[orden]]="","",_xlfn.XLOOKUP(tblOrdenes[[#This Row],[id_operacion]],tblEjecucion[id_operacion],tblEjecucion[precio],0))</f>
        <v/>
      </c>
      <c r="AJ783" s="10">
        <f>IF(tblOrdenes[[#This Row],[orden]]="","",MAX(0,_xlfn.XLOOKUP(tblOrdenes[[#This Row],[id_operacion]],tblEjecucion[id_operacion],tblEjecucion[costo_plan_total],0)-tblOrdenes[[#This Row],[costo_servicio]]))</f>
        <v/>
      </c>
      <c r="AK783" s="10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2">
        <f>IF(tblOrdenes[[#This Row],[fecha_inicio]]="","",TODAY()-tblOrdenes[[#This Row],[fecha_inicio]])</f>
        <v/>
      </c>
      <c r="AB7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0">
        <f>IF(tblOrdenes[[#This Row],[orden]]="","",_xlfn.XLOOKUP(tblOrdenes[[#This Row],[id_operacion]],tblEjecucion[id_operacion],tblEjecucion[precio],0))</f>
        <v/>
      </c>
      <c r="AJ784" s="10">
        <f>IF(tblOrdenes[[#This Row],[orden]]="","",MAX(0,_xlfn.XLOOKUP(tblOrdenes[[#This Row],[id_operacion]],tblEjecucion[id_operacion],tblEjecucion[costo_plan_total],0)-tblOrdenes[[#This Row],[costo_servicio]]))</f>
        <v/>
      </c>
      <c r="AK784" s="10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2">
        <f>IF(tblOrdenes[[#This Row],[fecha_inicio]]="","",TODAY()-tblOrdenes[[#This Row],[fecha_inicio]])</f>
        <v/>
      </c>
      <c r="AB7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0">
        <f>IF(tblOrdenes[[#This Row],[orden]]="","",_xlfn.XLOOKUP(tblOrdenes[[#This Row],[id_operacion]],tblEjecucion[id_operacion],tblEjecucion[precio],0))</f>
        <v/>
      </c>
      <c r="AJ785" s="10">
        <f>IF(tblOrdenes[[#This Row],[orden]]="","",MAX(0,_xlfn.XLOOKUP(tblOrdenes[[#This Row],[id_operacion]],tblEjecucion[id_operacion],tblEjecucion[costo_plan_total],0)-tblOrdenes[[#This Row],[costo_servicio]]))</f>
        <v/>
      </c>
      <c r="AK785" s="10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2">
        <f>IF(tblOrdenes[[#This Row],[fecha_inicio]]="","",TODAY()-tblOrdenes[[#This Row],[fecha_inicio]])</f>
        <v/>
      </c>
      <c r="AB7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0">
        <f>IF(tblOrdenes[[#This Row],[orden]]="","",_xlfn.XLOOKUP(tblOrdenes[[#This Row],[id_operacion]],tblEjecucion[id_operacion],tblEjecucion[precio],0))</f>
        <v/>
      </c>
      <c r="AJ786" s="10">
        <f>IF(tblOrdenes[[#This Row],[orden]]="","",MAX(0,_xlfn.XLOOKUP(tblOrdenes[[#This Row],[id_operacion]],tblEjecucion[id_operacion],tblEjecucion[costo_plan_total],0)-tblOrdenes[[#This Row],[costo_servicio]]))</f>
        <v/>
      </c>
      <c r="AK786" s="10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2">
        <f>IF(tblOrdenes[[#This Row],[fecha_inicio]]="","",TODAY()-tblOrdenes[[#This Row],[fecha_inicio]])</f>
        <v/>
      </c>
      <c r="AB7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0">
        <f>IF(tblOrdenes[[#This Row],[orden]]="","",_xlfn.XLOOKUP(tblOrdenes[[#This Row],[id_operacion]],tblEjecucion[id_operacion],tblEjecucion[precio],0))</f>
        <v/>
      </c>
      <c r="AJ787" s="10">
        <f>IF(tblOrdenes[[#This Row],[orden]]="","",MAX(0,_xlfn.XLOOKUP(tblOrdenes[[#This Row],[id_operacion]],tblEjecucion[id_operacion],tblEjecucion[costo_plan_total],0)-tblOrdenes[[#This Row],[costo_servicio]]))</f>
        <v/>
      </c>
      <c r="AK787" s="10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2">
        <f>IF(tblOrdenes[[#This Row],[fecha_inicio]]="","",TODAY()-tblOrdenes[[#This Row],[fecha_inicio]])</f>
        <v/>
      </c>
      <c r="AB7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0">
        <f>IF(tblOrdenes[[#This Row],[orden]]="","",_xlfn.XLOOKUP(tblOrdenes[[#This Row],[id_operacion]],tblEjecucion[id_operacion],tblEjecucion[precio],0))</f>
        <v/>
      </c>
      <c r="AJ788" s="10">
        <f>IF(tblOrdenes[[#This Row],[orden]]="","",MAX(0,_xlfn.XLOOKUP(tblOrdenes[[#This Row],[id_operacion]],tblEjecucion[id_operacion],tblEjecucion[costo_plan_total],0)-tblOrdenes[[#This Row],[costo_servicio]]))</f>
        <v/>
      </c>
      <c r="AK788" s="10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2">
        <f>IF(tblOrdenes[[#This Row],[fecha_inicio]]="","",TODAY()-tblOrdenes[[#This Row],[fecha_inicio]])</f>
        <v/>
      </c>
      <c r="AB7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0">
        <f>IF(tblOrdenes[[#This Row],[orden]]="","",_xlfn.XLOOKUP(tblOrdenes[[#This Row],[id_operacion]],tblEjecucion[id_operacion],tblEjecucion[precio],0))</f>
        <v/>
      </c>
      <c r="AJ789" s="10">
        <f>IF(tblOrdenes[[#This Row],[orden]]="","",MAX(0,_xlfn.XLOOKUP(tblOrdenes[[#This Row],[id_operacion]],tblEjecucion[id_operacion],tblEjecucion[costo_plan_total],0)-tblOrdenes[[#This Row],[costo_servicio]]))</f>
        <v/>
      </c>
      <c r="AK789" s="10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2">
        <f>IF(tblOrdenes[[#This Row],[fecha_inicio]]="","",TODAY()-tblOrdenes[[#This Row],[fecha_inicio]])</f>
        <v/>
      </c>
      <c r="AB7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0">
        <f>IF(tblOrdenes[[#This Row],[orden]]="","",_xlfn.XLOOKUP(tblOrdenes[[#This Row],[id_operacion]],tblEjecucion[id_operacion],tblEjecucion[precio],0))</f>
        <v/>
      </c>
      <c r="AJ790" s="10">
        <f>IF(tblOrdenes[[#This Row],[orden]]="","",MAX(0,_xlfn.XLOOKUP(tblOrdenes[[#This Row],[id_operacion]],tblEjecucion[id_operacion],tblEjecucion[costo_plan_total],0)-tblOrdenes[[#This Row],[costo_servicio]]))</f>
        <v/>
      </c>
      <c r="AK790" s="10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2">
        <f>IF(tblOrdenes[[#This Row],[fecha_inicio]]="","",TODAY()-tblOrdenes[[#This Row],[fecha_inicio]])</f>
        <v/>
      </c>
      <c r="AB7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0">
        <f>IF(tblOrdenes[[#This Row],[orden]]="","",_xlfn.XLOOKUP(tblOrdenes[[#This Row],[id_operacion]],tblEjecucion[id_operacion],tblEjecucion[precio],0))</f>
        <v/>
      </c>
      <c r="AJ791" s="10">
        <f>IF(tblOrdenes[[#This Row],[orden]]="","",MAX(0,_xlfn.XLOOKUP(tblOrdenes[[#This Row],[id_operacion]],tblEjecucion[id_operacion],tblEjecucion[costo_plan_total],0)-tblOrdenes[[#This Row],[costo_servicio]]))</f>
        <v/>
      </c>
      <c r="AK791" s="10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2">
        <f>IF(tblOrdenes[[#This Row],[fecha_inicio]]="","",TODAY()-tblOrdenes[[#This Row],[fecha_inicio]])</f>
        <v/>
      </c>
      <c r="AB7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0">
        <f>IF(tblOrdenes[[#This Row],[orden]]="","",_xlfn.XLOOKUP(tblOrdenes[[#This Row],[id_operacion]],tblEjecucion[id_operacion],tblEjecucion[precio],0))</f>
        <v/>
      </c>
      <c r="AJ792" s="10">
        <f>IF(tblOrdenes[[#This Row],[orden]]="","",MAX(0,_xlfn.XLOOKUP(tblOrdenes[[#This Row],[id_operacion]],tblEjecucion[id_operacion],tblEjecucion[costo_plan_total],0)-tblOrdenes[[#This Row],[costo_servicio]]))</f>
        <v/>
      </c>
      <c r="AK792" s="10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2">
        <f>IF(tblOrdenes[[#This Row],[fecha_inicio]]="","",TODAY()-tblOrdenes[[#This Row],[fecha_inicio]])</f>
        <v/>
      </c>
      <c r="AB7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0">
        <f>IF(tblOrdenes[[#This Row],[orden]]="","",_xlfn.XLOOKUP(tblOrdenes[[#This Row],[id_operacion]],tblEjecucion[id_operacion],tblEjecucion[precio],0))</f>
        <v/>
      </c>
      <c r="AJ793" s="10">
        <f>IF(tblOrdenes[[#This Row],[orden]]="","",MAX(0,_xlfn.XLOOKUP(tblOrdenes[[#This Row],[id_operacion]],tblEjecucion[id_operacion],tblEjecucion[costo_plan_total],0)-tblOrdenes[[#This Row],[costo_servicio]]))</f>
        <v/>
      </c>
      <c r="AK793" s="10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2">
        <f>IF(tblOrdenes[[#This Row],[fecha_inicio]]="","",TODAY()-tblOrdenes[[#This Row],[fecha_inicio]])</f>
        <v/>
      </c>
      <c r="AB7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0">
        <f>IF(tblOrdenes[[#This Row],[orden]]="","",_xlfn.XLOOKUP(tblOrdenes[[#This Row],[id_operacion]],tblEjecucion[id_operacion],tblEjecucion[precio],0))</f>
        <v/>
      </c>
      <c r="AJ794" s="10">
        <f>IF(tblOrdenes[[#This Row],[orden]]="","",MAX(0,_xlfn.XLOOKUP(tblOrdenes[[#This Row],[id_operacion]],tblEjecucion[id_operacion],tblEjecucion[costo_plan_total],0)-tblOrdenes[[#This Row],[costo_servicio]]))</f>
        <v/>
      </c>
      <c r="AK794" s="10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2">
        <f>IF(tblOrdenes[[#This Row],[fecha_inicio]]="","",TODAY()-tblOrdenes[[#This Row],[fecha_inicio]])</f>
        <v/>
      </c>
      <c r="AB7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0">
        <f>IF(tblOrdenes[[#This Row],[orden]]="","",_xlfn.XLOOKUP(tblOrdenes[[#This Row],[id_operacion]],tblEjecucion[id_operacion],tblEjecucion[precio],0))</f>
        <v/>
      </c>
      <c r="AJ795" s="10">
        <f>IF(tblOrdenes[[#This Row],[orden]]="","",MAX(0,_xlfn.XLOOKUP(tblOrdenes[[#This Row],[id_operacion]],tblEjecucion[id_operacion],tblEjecucion[costo_plan_total],0)-tblOrdenes[[#This Row],[costo_servicio]]))</f>
        <v/>
      </c>
      <c r="AK795" s="10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2">
        <f>IF(tblOrdenes[[#This Row],[fecha_inicio]]="","",TODAY()-tblOrdenes[[#This Row],[fecha_inicio]])</f>
        <v/>
      </c>
      <c r="AB7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0">
        <f>IF(tblOrdenes[[#This Row],[orden]]="","",_xlfn.XLOOKUP(tblOrdenes[[#This Row],[id_operacion]],tblEjecucion[id_operacion],tblEjecucion[precio],0))</f>
        <v/>
      </c>
      <c r="AJ796" s="10">
        <f>IF(tblOrdenes[[#This Row],[orden]]="","",MAX(0,_xlfn.XLOOKUP(tblOrdenes[[#This Row],[id_operacion]],tblEjecucion[id_operacion],tblEjecucion[costo_plan_total],0)-tblOrdenes[[#This Row],[costo_servicio]]))</f>
        <v/>
      </c>
      <c r="AK796" s="10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2">
        <f>IF(tblOrdenes[[#This Row],[fecha_inicio]]="","",TODAY()-tblOrdenes[[#This Row],[fecha_inicio]])</f>
        <v/>
      </c>
      <c r="AB7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0">
        <f>IF(tblOrdenes[[#This Row],[orden]]="","",_xlfn.XLOOKUP(tblOrdenes[[#This Row],[id_operacion]],tblEjecucion[id_operacion],tblEjecucion[precio],0))</f>
        <v/>
      </c>
      <c r="AJ797" s="10">
        <f>IF(tblOrdenes[[#This Row],[orden]]="","",MAX(0,_xlfn.XLOOKUP(tblOrdenes[[#This Row],[id_operacion]],tblEjecucion[id_operacion],tblEjecucion[costo_plan_total],0)-tblOrdenes[[#This Row],[costo_servicio]]))</f>
        <v/>
      </c>
      <c r="AK797" s="10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2">
        <f>IF(tblOrdenes[[#This Row],[fecha_inicio]]="","",TODAY()-tblOrdenes[[#This Row],[fecha_inicio]])</f>
        <v/>
      </c>
      <c r="AB7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0">
        <f>IF(tblOrdenes[[#This Row],[orden]]="","",_xlfn.XLOOKUP(tblOrdenes[[#This Row],[id_operacion]],tblEjecucion[id_operacion],tblEjecucion[precio],0))</f>
        <v/>
      </c>
      <c r="AJ798" s="10">
        <f>IF(tblOrdenes[[#This Row],[orden]]="","",MAX(0,_xlfn.XLOOKUP(tblOrdenes[[#This Row],[id_operacion]],tblEjecucion[id_operacion],tblEjecucion[costo_plan_total],0)-tblOrdenes[[#This Row],[costo_servicio]]))</f>
        <v/>
      </c>
      <c r="AK798" s="10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2">
        <f>IF(tblOrdenes[[#This Row],[fecha_inicio]]="","",TODAY()-tblOrdenes[[#This Row],[fecha_inicio]])</f>
        <v/>
      </c>
      <c r="AB7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0">
        <f>IF(tblOrdenes[[#This Row],[orden]]="","",_xlfn.XLOOKUP(tblOrdenes[[#This Row],[id_operacion]],tblEjecucion[id_operacion],tblEjecucion[precio],0))</f>
        <v/>
      </c>
      <c r="AJ799" s="10">
        <f>IF(tblOrdenes[[#This Row],[orden]]="","",MAX(0,_xlfn.XLOOKUP(tblOrdenes[[#This Row],[id_operacion]],tblEjecucion[id_operacion],tblEjecucion[costo_plan_total],0)-tblOrdenes[[#This Row],[costo_servicio]]))</f>
        <v/>
      </c>
      <c r="AK799" s="10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2">
        <f>IF(tblOrdenes[[#This Row],[fecha_inicio]]="","",TODAY()-tblOrdenes[[#This Row],[fecha_inicio]])</f>
        <v/>
      </c>
      <c r="AB8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0">
        <f>IF(tblOrdenes[[#This Row],[orden]]="","",_xlfn.XLOOKUP(tblOrdenes[[#This Row],[id_operacion]],tblEjecucion[id_operacion],tblEjecucion[precio],0))</f>
        <v/>
      </c>
      <c r="AJ800" s="10">
        <f>IF(tblOrdenes[[#This Row],[orden]]="","",MAX(0,_xlfn.XLOOKUP(tblOrdenes[[#This Row],[id_operacion]],tblEjecucion[id_operacion],tblEjecucion[costo_plan_total],0)-tblOrdenes[[#This Row],[costo_servicio]]))</f>
        <v/>
      </c>
      <c r="AK800" s="10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2">
        <f>IF(tblOrdenes[[#This Row],[fecha_inicio]]="","",TODAY()-tblOrdenes[[#This Row],[fecha_inicio]])</f>
        <v/>
      </c>
      <c r="AB8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0">
        <f>IF(tblOrdenes[[#This Row],[orden]]="","",_xlfn.XLOOKUP(tblOrdenes[[#This Row],[id_operacion]],tblEjecucion[id_operacion],tblEjecucion[precio],0))</f>
        <v/>
      </c>
      <c r="AJ801" s="10">
        <f>IF(tblOrdenes[[#This Row],[orden]]="","",MAX(0,_xlfn.XLOOKUP(tblOrdenes[[#This Row],[id_operacion]],tblEjecucion[id_operacion],tblEjecucion[costo_plan_total],0)-tblOrdenes[[#This Row],[costo_servicio]]))</f>
        <v/>
      </c>
      <c r="AK801" s="10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2">
        <f>IF(tblOrdenes[[#This Row],[fecha_inicio]]="","",TODAY()-tblOrdenes[[#This Row],[fecha_inicio]])</f>
        <v/>
      </c>
      <c r="AB8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0">
        <f>IF(tblOrdenes[[#This Row],[orden]]="","",_xlfn.XLOOKUP(tblOrdenes[[#This Row],[id_operacion]],tblEjecucion[id_operacion],tblEjecucion[precio],0))</f>
        <v/>
      </c>
      <c r="AJ802" s="10">
        <f>IF(tblOrdenes[[#This Row],[orden]]="","",MAX(0,_xlfn.XLOOKUP(tblOrdenes[[#This Row],[id_operacion]],tblEjecucion[id_operacion],tblEjecucion[costo_plan_total],0)-tblOrdenes[[#This Row],[costo_servicio]]))</f>
        <v/>
      </c>
      <c r="AK802" s="10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2">
        <f>IF(tblOrdenes[[#This Row],[fecha_inicio]]="","",TODAY()-tblOrdenes[[#This Row],[fecha_inicio]])</f>
        <v/>
      </c>
      <c r="AB8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0">
        <f>IF(tblOrdenes[[#This Row],[orden]]="","",_xlfn.XLOOKUP(tblOrdenes[[#This Row],[id_operacion]],tblEjecucion[id_operacion],tblEjecucion[precio],0))</f>
        <v/>
      </c>
      <c r="AJ803" s="10">
        <f>IF(tblOrdenes[[#This Row],[orden]]="","",MAX(0,_xlfn.XLOOKUP(tblOrdenes[[#This Row],[id_operacion]],tblEjecucion[id_operacion],tblEjecucion[costo_plan_total],0)-tblOrdenes[[#This Row],[costo_servicio]]))</f>
        <v/>
      </c>
      <c r="AK803" s="10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2">
        <f>IF(tblOrdenes[[#This Row],[fecha_inicio]]="","",TODAY()-tblOrdenes[[#This Row],[fecha_inicio]])</f>
        <v/>
      </c>
      <c r="AB8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0">
        <f>IF(tblOrdenes[[#This Row],[orden]]="","",_xlfn.XLOOKUP(tblOrdenes[[#This Row],[id_operacion]],tblEjecucion[id_operacion],tblEjecucion[precio],0))</f>
        <v/>
      </c>
      <c r="AJ804" s="10">
        <f>IF(tblOrdenes[[#This Row],[orden]]="","",MAX(0,_xlfn.XLOOKUP(tblOrdenes[[#This Row],[id_operacion]],tblEjecucion[id_operacion],tblEjecucion[costo_plan_total],0)-tblOrdenes[[#This Row],[costo_servicio]]))</f>
        <v/>
      </c>
      <c r="AK804" s="10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2">
        <f>IF(tblOrdenes[[#This Row],[fecha_inicio]]="","",TODAY()-tblOrdenes[[#This Row],[fecha_inicio]])</f>
        <v/>
      </c>
      <c r="AB8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0">
        <f>IF(tblOrdenes[[#This Row],[orden]]="","",_xlfn.XLOOKUP(tblOrdenes[[#This Row],[id_operacion]],tblEjecucion[id_operacion],tblEjecucion[precio],0))</f>
        <v/>
      </c>
      <c r="AJ805" s="10">
        <f>IF(tblOrdenes[[#This Row],[orden]]="","",MAX(0,_xlfn.XLOOKUP(tblOrdenes[[#This Row],[id_operacion]],tblEjecucion[id_operacion],tblEjecucion[costo_plan_total],0)-tblOrdenes[[#This Row],[costo_servicio]]))</f>
        <v/>
      </c>
      <c r="AK805" s="10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2">
        <f>IF(tblOrdenes[[#This Row],[fecha_inicio]]="","",TODAY()-tblOrdenes[[#This Row],[fecha_inicio]])</f>
        <v/>
      </c>
      <c r="AB8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0">
        <f>IF(tblOrdenes[[#This Row],[orden]]="","",_xlfn.XLOOKUP(tblOrdenes[[#This Row],[id_operacion]],tblEjecucion[id_operacion],tblEjecucion[precio],0))</f>
        <v/>
      </c>
      <c r="AJ806" s="10">
        <f>IF(tblOrdenes[[#This Row],[orden]]="","",MAX(0,_xlfn.XLOOKUP(tblOrdenes[[#This Row],[id_operacion]],tblEjecucion[id_operacion],tblEjecucion[costo_plan_total],0)-tblOrdenes[[#This Row],[costo_servicio]]))</f>
        <v/>
      </c>
      <c r="AK806" s="10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2">
        <f>IF(tblOrdenes[[#This Row],[fecha_inicio]]="","",TODAY()-tblOrdenes[[#This Row],[fecha_inicio]])</f>
        <v/>
      </c>
      <c r="AB8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0">
        <f>IF(tblOrdenes[[#This Row],[orden]]="","",_xlfn.XLOOKUP(tblOrdenes[[#This Row],[id_operacion]],tblEjecucion[id_operacion],tblEjecucion[precio],0))</f>
        <v/>
      </c>
      <c r="AJ807" s="10">
        <f>IF(tblOrdenes[[#This Row],[orden]]="","",MAX(0,_xlfn.XLOOKUP(tblOrdenes[[#This Row],[id_operacion]],tblEjecucion[id_operacion],tblEjecucion[costo_plan_total],0)-tblOrdenes[[#This Row],[costo_servicio]]))</f>
        <v/>
      </c>
      <c r="AK807" s="10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2">
        <f>IF(tblOrdenes[[#This Row],[fecha_inicio]]="","",TODAY()-tblOrdenes[[#This Row],[fecha_inicio]])</f>
        <v/>
      </c>
      <c r="AB8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0">
        <f>IF(tblOrdenes[[#This Row],[orden]]="","",_xlfn.XLOOKUP(tblOrdenes[[#This Row],[id_operacion]],tblEjecucion[id_operacion],tblEjecucion[precio],0))</f>
        <v/>
      </c>
      <c r="AJ808" s="10">
        <f>IF(tblOrdenes[[#This Row],[orden]]="","",MAX(0,_xlfn.XLOOKUP(tblOrdenes[[#This Row],[id_operacion]],tblEjecucion[id_operacion],tblEjecucion[costo_plan_total],0)-tblOrdenes[[#This Row],[costo_servicio]]))</f>
        <v/>
      </c>
      <c r="AK808" s="10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2">
        <f>IF(tblOrdenes[[#This Row],[fecha_inicio]]="","",TODAY()-tblOrdenes[[#This Row],[fecha_inicio]])</f>
        <v/>
      </c>
      <c r="AB8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0">
        <f>IF(tblOrdenes[[#This Row],[orden]]="","",_xlfn.XLOOKUP(tblOrdenes[[#This Row],[id_operacion]],tblEjecucion[id_operacion],tblEjecucion[precio],0))</f>
        <v/>
      </c>
      <c r="AJ809" s="10">
        <f>IF(tblOrdenes[[#This Row],[orden]]="","",MAX(0,_xlfn.XLOOKUP(tblOrdenes[[#This Row],[id_operacion]],tblEjecucion[id_operacion],tblEjecucion[costo_plan_total],0)-tblOrdenes[[#This Row],[costo_servicio]]))</f>
        <v/>
      </c>
      <c r="AK809" s="10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2">
        <f>IF(tblOrdenes[[#This Row],[fecha_inicio]]="","",TODAY()-tblOrdenes[[#This Row],[fecha_inicio]])</f>
        <v/>
      </c>
      <c r="AB8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0">
        <f>IF(tblOrdenes[[#This Row],[orden]]="","",_xlfn.XLOOKUP(tblOrdenes[[#This Row],[id_operacion]],tblEjecucion[id_operacion],tblEjecucion[precio],0))</f>
        <v/>
      </c>
      <c r="AJ810" s="10">
        <f>IF(tblOrdenes[[#This Row],[orden]]="","",MAX(0,_xlfn.XLOOKUP(tblOrdenes[[#This Row],[id_operacion]],tblEjecucion[id_operacion],tblEjecucion[costo_plan_total],0)-tblOrdenes[[#This Row],[costo_servicio]]))</f>
        <v/>
      </c>
      <c r="AK810" s="10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2">
        <f>IF(tblOrdenes[[#This Row],[fecha_inicio]]="","",TODAY()-tblOrdenes[[#This Row],[fecha_inicio]])</f>
        <v/>
      </c>
      <c r="AB8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0">
        <f>IF(tblOrdenes[[#This Row],[orden]]="","",_xlfn.XLOOKUP(tblOrdenes[[#This Row],[id_operacion]],tblEjecucion[id_operacion],tblEjecucion[precio],0))</f>
        <v/>
      </c>
      <c r="AJ811" s="10">
        <f>IF(tblOrdenes[[#This Row],[orden]]="","",MAX(0,_xlfn.XLOOKUP(tblOrdenes[[#This Row],[id_operacion]],tblEjecucion[id_operacion],tblEjecucion[costo_plan_total],0)-tblOrdenes[[#This Row],[costo_servicio]]))</f>
        <v/>
      </c>
      <c r="AK811" s="10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2">
        <f>IF(tblOrdenes[[#This Row],[fecha_inicio]]="","",TODAY()-tblOrdenes[[#This Row],[fecha_inicio]])</f>
        <v/>
      </c>
      <c r="AB8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0">
        <f>IF(tblOrdenes[[#This Row],[orden]]="","",_xlfn.XLOOKUP(tblOrdenes[[#This Row],[id_operacion]],tblEjecucion[id_operacion],tblEjecucion[precio],0))</f>
        <v/>
      </c>
      <c r="AJ812" s="10">
        <f>IF(tblOrdenes[[#This Row],[orden]]="","",MAX(0,_xlfn.XLOOKUP(tblOrdenes[[#This Row],[id_operacion]],tblEjecucion[id_operacion],tblEjecucion[costo_plan_total],0)-tblOrdenes[[#This Row],[costo_servicio]]))</f>
        <v/>
      </c>
      <c r="AK812" s="10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2">
        <f>IF(tblOrdenes[[#This Row],[fecha_inicio]]="","",TODAY()-tblOrdenes[[#This Row],[fecha_inicio]])</f>
        <v/>
      </c>
      <c r="AB8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0">
        <f>IF(tblOrdenes[[#This Row],[orden]]="","",_xlfn.XLOOKUP(tblOrdenes[[#This Row],[id_operacion]],tblEjecucion[id_operacion],tblEjecucion[precio],0))</f>
        <v/>
      </c>
      <c r="AJ813" s="10">
        <f>IF(tblOrdenes[[#This Row],[orden]]="","",MAX(0,_xlfn.XLOOKUP(tblOrdenes[[#This Row],[id_operacion]],tblEjecucion[id_operacion],tblEjecucion[costo_plan_total],0)-tblOrdenes[[#This Row],[costo_servicio]]))</f>
        <v/>
      </c>
      <c r="AK813" s="10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2">
        <f>IF(tblOrdenes[[#This Row],[fecha_inicio]]="","",TODAY()-tblOrdenes[[#This Row],[fecha_inicio]])</f>
        <v/>
      </c>
      <c r="AB8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0">
        <f>IF(tblOrdenes[[#This Row],[orden]]="","",_xlfn.XLOOKUP(tblOrdenes[[#This Row],[id_operacion]],tblEjecucion[id_operacion],tblEjecucion[precio],0))</f>
        <v/>
      </c>
      <c r="AJ814" s="10">
        <f>IF(tblOrdenes[[#This Row],[orden]]="","",MAX(0,_xlfn.XLOOKUP(tblOrdenes[[#This Row],[id_operacion]],tblEjecucion[id_operacion],tblEjecucion[costo_plan_total],0)-tblOrdenes[[#This Row],[costo_servicio]]))</f>
        <v/>
      </c>
      <c r="AK814" s="10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2">
        <f>IF(tblOrdenes[[#This Row],[fecha_inicio]]="","",TODAY()-tblOrdenes[[#This Row],[fecha_inicio]])</f>
        <v/>
      </c>
      <c r="AB8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0">
        <f>IF(tblOrdenes[[#This Row],[orden]]="","",_xlfn.XLOOKUP(tblOrdenes[[#This Row],[id_operacion]],tblEjecucion[id_operacion],tblEjecucion[precio],0))</f>
        <v/>
      </c>
      <c r="AJ815" s="10">
        <f>IF(tblOrdenes[[#This Row],[orden]]="","",MAX(0,_xlfn.XLOOKUP(tblOrdenes[[#This Row],[id_operacion]],tblEjecucion[id_operacion],tblEjecucion[costo_plan_total],0)-tblOrdenes[[#This Row],[costo_servicio]]))</f>
        <v/>
      </c>
      <c r="AK815" s="10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2">
        <f>IF(tblOrdenes[[#This Row],[fecha_inicio]]="","",TODAY()-tblOrdenes[[#This Row],[fecha_inicio]])</f>
        <v/>
      </c>
      <c r="AB8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0">
        <f>IF(tblOrdenes[[#This Row],[orden]]="","",_xlfn.XLOOKUP(tblOrdenes[[#This Row],[id_operacion]],tblEjecucion[id_operacion],tblEjecucion[precio],0))</f>
        <v/>
      </c>
      <c r="AJ816" s="10">
        <f>IF(tblOrdenes[[#This Row],[orden]]="","",MAX(0,_xlfn.XLOOKUP(tblOrdenes[[#This Row],[id_operacion]],tblEjecucion[id_operacion],tblEjecucion[costo_plan_total],0)-tblOrdenes[[#This Row],[costo_servicio]]))</f>
        <v/>
      </c>
      <c r="AK816" s="10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2">
        <f>IF(tblOrdenes[[#This Row],[fecha_inicio]]="","",TODAY()-tblOrdenes[[#This Row],[fecha_inicio]])</f>
        <v/>
      </c>
      <c r="AB8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0">
        <f>IF(tblOrdenes[[#This Row],[orden]]="","",_xlfn.XLOOKUP(tblOrdenes[[#This Row],[id_operacion]],tblEjecucion[id_operacion],tblEjecucion[precio],0))</f>
        <v/>
      </c>
      <c r="AJ817" s="10">
        <f>IF(tblOrdenes[[#This Row],[orden]]="","",MAX(0,_xlfn.XLOOKUP(tblOrdenes[[#This Row],[id_operacion]],tblEjecucion[id_operacion],tblEjecucion[costo_plan_total],0)-tblOrdenes[[#This Row],[costo_servicio]]))</f>
        <v/>
      </c>
      <c r="AK817" s="10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2">
        <f>IF(tblOrdenes[[#This Row],[fecha_inicio]]="","",TODAY()-tblOrdenes[[#This Row],[fecha_inicio]])</f>
        <v/>
      </c>
      <c r="AB8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0">
        <f>IF(tblOrdenes[[#This Row],[orden]]="","",_xlfn.XLOOKUP(tblOrdenes[[#This Row],[id_operacion]],tblEjecucion[id_operacion],tblEjecucion[precio],0))</f>
        <v/>
      </c>
      <c r="AJ818" s="10">
        <f>IF(tblOrdenes[[#This Row],[orden]]="","",MAX(0,_xlfn.XLOOKUP(tblOrdenes[[#This Row],[id_operacion]],tblEjecucion[id_operacion],tblEjecucion[costo_plan_total],0)-tblOrdenes[[#This Row],[costo_servicio]]))</f>
        <v/>
      </c>
      <c r="AK818" s="10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2">
        <f>IF(tblOrdenes[[#This Row],[fecha_inicio]]="","",TODAY()-tblOrdenes[[#This Row],[fecha_inicio]])</f>
        <v/>
      </c>
      <c r="AB8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0">
        <f>IF(tblOrdenes[[#This Row],[orden]]="","",_xlfn.XLOOKUP(tblOrdenes[[#This Row],[id_operacion]],tblEjecucion[id_operacion],tblEjecucion[precio],0))</f>
        <v/>
      </c>
      <c r="AJ819" s="10">
        <f>IF(tblOrdenes[[#This Row],[orden]]="","",MAX(0,_xlfn.XLOOKUP(tblOrdenes[[#This Row],[id_operacion]],tblEjecucion[id_operacion],tblEjecucion[costo_plan_total],0)-tblOrdenes[[#This Row],[costo_servicio]]))</f>
        <v/>
      </c>
      <c r="AK819" s="10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2">
        <f>IF(tblOrdenes[[#This Row],[fecha_inicio]]="","",TODAY()-tblOrdenes[[#This Row],[fecha_inicio]])</f>
        <v/>
      </c>
      <c r="AB8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0">
        <f>IF(tblOrdenes[[#This Row],[orden]]="","",_xlfn.XLOOKUP(tblOrdenes[[#This Row],[id_operacion]],tblEjecucion[id_operacion],tblEjecucion[precio],0))</f>
        <v/>
      </c>
      <c r="AJ820" s="10">
        <f>IF(tblOrdenes[[#This Row],[orden]]="","",MAX(0,_xlfn.XLOOKUP(tblOrdenes[[#This Row],[id_operacion]],tblEjecucion[id_operacion],tblEjecucion[costo_plan_total],0)-tblOrdenes[[#This Row],[costo_servicio]]))</f>
        <v/>
      </c>
      <c r="AK820" s="10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2">
        <f>IF(tblOrdenes[[#This Row],[fecha_inicio]]="","",TODAY()-tblOrdenes[[#This Row],[fecha_inicio]])</f>
        <v/>
      </c>
      <c r="AB8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0">
        <f>IF(tblOrdenes[[#This Row],[orden]]="","",_xlfn.XLOOKUP(tblOrdenes[[#This Row],[id_operacion]],tblEjecucion[id_operacion],tblEjecucion[precio],0))</f>
        <v/>
      </c>
      <c r="AJ821" s="10">
        <f>IF(tblOrdenes[[#This Row],[orden]]="","",MAX(0,_xlfn.XLOOKUP(tblOrdenes[[#This Row],[id_operacion]],tblEjecucion[id_operacion],tblEjecucion[costo_plan_total],0)-tblOrdenes[[#This Row],[costo_servicio]]))</f>
        <v/>
      </c>
      <c r="AK821" s="10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2">
        <f>IF(tblOrdenes[[#This Row],[fecha_inicio]]="","",TODAY()-tblOrdenes[[#This Row],[fecha_inicio]])</f>
        <v/>
      </c>
      <c r="AB8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0">
        <f>IF(tblOrdenes[[#This Row],[orden]]="","",_xlfn.XLOOKUP(tblOrdenes[[#This Row],[id_operacion]],tblEjecucion[id_operacion],tblEjecucion[precio],0))</f>
        <v/>
      </c>
      <c r="AJ822" s="10">
        <f>IF(tblOrdenes[[#This Row],[orden]]="","",MAX(0,_xlfn.XLOOKUP(tblOrdenes[[#This Row],[id_operacion]],tblEjecucion[id_operacion],tblEjecucion[costo_plan_total],0)-tblOrdenes[[#This Row],[costo_servicio]]))</f>
        <v/>
      </c>
      <c r="AK822" s="10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2">
        <f>IF(tblOrdenes[[#This Row],[fecha_inicio]]="","",TODAY()-tblOrdenes[[#This Row],[fecha_inicio]])</f>
        <v/>
      </c>
      <c r="AB8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0">
        <f>IF(tblOrdenes[[#This Row],[orden]]="","",_xlfn.XLOOKUP(tblOrdenes[[#This Row],[id_operacion]],tblEjecucion[id_operacion],tblEjecucion[precio],0))</f>
        <v/>
      </c>
      <c r="AJ823" s="10">
        <f>IF(tblOrdenes[[#This Row],[orden]]="","",MAX(0,_xlfn.XLOOKUP(tblOrdenes[[#This Row],[id_operacion]],tblEjecucion[id_operacion],tblEjecucion[costo_plan_total],0)-tblOrdenes[[#This Row],[costo_servicio]]))</f>
        <v/>
      </c>
      <c r="AK823" s="10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2">
        <f>IF(tblOrdenes[[#This Row],[fecha_inicio]]="","",TODAY()-tblOrdenes[[#This Row],[fecha_inicio]])</f>
        <v/>
      </c>
      <c r="AB8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0">
        <f>IF(tblOrdenes[[#This Row],[orden]]="","",_xlfn.XLOOKUP(tblOrdenes[[#This Row],[id_operacion]],tblEjecucion[id_operacion],tblEjecucion[precio],0))</f>
        <v/>
      </c>
      <c r="AJ824" s="10">
        <f>IF(tblOrdenes[[#This Row],[orden]]="","",MAX(0,_xlfn.XLOOKUP(tblOrdenes[[#This Row],[id_operacion]],tblEjecucion[id_operacion],tblEjecucion[costo_plan_total],0)-tblOrdenes[[#This Row],[costo_servicio]]))</f>
        <v/>
      </c>
      <c r="AK824" s="10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2">
        <f>IF(tblOrdenes[[#This Row],[fecha_inicio]]="","",TODAY()-tblOrdenes[[#This Row],[fecha_inicio]])</f>
        <v/>
      </c>
      <c r="AB8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0">
        <f>IF(tblOrdenes[[#This Row],[orden]]="","",_xlfn.XLOOKUP(tblOrdenes[[#This Row],[id_operacion]],tblEjecucion[id_operacion],tblEjecucion[precio],0))</f>
        <v/>
      </c>
      <c r="AJ825" s="10">
        <f>IF(tblOrdenes[[#This Row],[orden]]="","",MAX(0,_xlfn.XLOOKUP(tblOrdenes[[#This Row],[id_operacion]],tblEjecucion[id_operacion],tblEjecucion[costo_plan_total],0)-tblOrdenes[[#This Row],[costo_servicio]]))</f>
        <v/>
      </c>
      <c r="AK825" s="10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2">
        <f>IF(tblOrdenes[[#This Row],[fecha_inicio]]="","",TODAY()-tblOrdenes[[#This Row],[fecha_inicio]])</f>
        <v/>
      </c>
      <c r="AB8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0">
        <f>IF(tblOrdenes[[#This Row],[orden]]="","",_xlfn.XLOOKUP(tblOrdenes[[#This Row],[id_operacion]],tblEjecucion[id_operacion],tblEjecucion[precio],0))</f>
        <v/>
      </c>
      <c r="AJ826" s="10">
        <f>IF(tblOrdenes[[#This Row],[orden]]="","",MAX(0,_xlfn.XLOOKUP(tblOrdenes[[#This Row],[id_operacion]],tblEjecucion[id_operacion],tblEjecucion[costo_plan_total],0)-tblOrdenes[[#This Row],[costo_servicio]]))</f>
        <v/>
      </c>
      <c r="AK826" s="10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2">
        <f>IF(tblOrdenes[[#This Row],[fecha_inicio]]="","",TODAY()-tblOrdenes[[#This Row],[fecha_inicio]])</f>
        <v/>
      </c>
      <c r="AB8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0">
        <f>IF(tblOrdenes[[#This Row],[orden]]="","",_xlfn.XLOOKUP(tblOrdenes[[#This Row],[id_operacion]],tblEjecucion[id_operacion],tblEjecucion[precio],0))</f>
        <v/>
      </c>
      <c r="AJ827" s="10">
        <f>IF(tblOrdenes[[#This Row],[orden]]="","",MAX(0,_xlfn.XLOOKUP(tblOrdenes[[#This Row],[id_operacion]],tblEjecucion[id_operacion],tblEjecucion[costo_plan_total],0)-tblOrdenes[[#This Row],[costo_servicio]]))</f>
        <v/>
      </c>
      <c r="AK827" s="10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2">
        <f>IF(tblOrdenes[[#This Row],[fecha_inicio]]="","",TODAY()-tblOrdenes[[#This Row],[fecha_inicio]])</f>
        <v/>
      </c>
      <c r="AB8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0">
        <f>IF(tblOrdenes[[#This Row],[orden]]="","",_xlfn.XLOOKUP(tblOrdenes[[#This Row],[id_operacion]],tblEjecucion[id_operacion],tblEjecucion[precio],0))</f>
        <v/>
      </c>
      <c r="AJ828" s="10">
        <f>IF(tblOrdenes[[#This Row],[orden]]="","",MAX(0,_xlfn.XLOOKUP(tblOrdenes[[#This Row],[id_operacion]],tblEjecucion[id_operacion],tblEjecucion[costo_plan_total],0)-tblOrdenes[[#This Row],[costo_servicio]]))</f>
        <v/>
      </c>
      <c r="AK828" s="10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2">
        <f>IF(tblOrdenes[[#This Row],[fecha_inicio]]="","",TODAY()-tblOrdenes[[#This Row],[fecha_inicio]])</f>
        <v/>
      </c>
      <c r="AB8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0">
        <f>IF(tblOrdenes[[#This Row],[orden]]="","",_xlfn.XLOOKUP(tblOrdenes[[#This Row],[id_operacion]],tblEjecucion[id_operacion],tblEjecucion[precio],0))</f>
        <v/>
      </c>
      <c r="AJ829" s="10">
        <f>IF(tblOrdenes[[#This Row],[orden]]="","",MAX(0,_xlfn.XLOOKUP(tblOrdenes[[#This Row],[id_operacion]],tblEjecucion[id_operacion],tblEjecucion[costo_plan_total],0)-tblOrdenes[[#This Row],[costo_servicio]]))</f>
        <v/>
      </c>
      <c r="AK829" s="10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2">
        <f>IF(tblOrdenes[[#This Row],[fecha_inicio]]="","",TODAY()-tblOrdenes[[#This Row],[fecha_inicio]])</f>
        <v/>
      </c>
      <c r="AB8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0">
        <f>IF(tblOrdenes[[#This Row],[orden]]="","",_xlfn.XLOOKUP(tblOrdenes[[#This Row],[id_operacion]],tblEjecucion[id_operacion],tblEjecucion[precio],0))</f>
        <v/>
      </c>
      <c r="AJ830" s="10">
        <f>IF(tblOrdenes[[#This Row],[orden]]="","",MAX(0,_xlfn.XLOOKUP(tblOrdenes[[#This Row],[id_operacion]],tblEjecucion[id_operacion],tblEjecucion[costo_plan_total],0)-tblOrdenes[[#This Row],[costo_servicio]]))</f>
        <v/>
      </c>
      <c r="AK830" s="10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2">
        <f>IF(tblOrdenes[[#This Row],[fecha_inicio]]="","",TODAY()-tblOrdenes[[#This Row],[fecha_inicio]])</f>
        <v/>
      </c>
      <c r="AB8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0">
        <f>IF(tblOrdenes[[#This Row],[orden]]="","",_xlfn.XLOOKUP(tblOrdenes[[#This Row],[id_operacion]],tblEjecucion[id_operacion],tblEjecucion[precio],0))</f>
        <v/>
      </c>
      <c r="AJ831" s="10">
        <f>IF(tblOrdenes[[#This Row],[orden]]="","",MAX(0,_xlfn.XLOOKUP(tblOrdenes[[#This Row],[id_operacion]],tblEjecucion[id_operacion],tblEjecucion[costo_plan_total],0)-tblOrdenes[[#This Row],[costo_servicio]]))</f>
        <v/>
      </c>
      <c r="AK831" s="10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2">
        <f>IF(tblOrdenes[[#This Row],[fecha_inicio]]="","",TODAY()-tblOrdenes[[#This Row],[fecha_inicio]])</f>
        <v/>
      </c>
      <c r="AB8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0">
        <f>IF(tblOrdenes[[#This Row],[orden]]="","",_xlfn.XLOOKUP(tblOrdenes[[#This Row],[id_operacion]],tblEjecucion[id_operacion],tblEjecucion[precio],0))</f>
        <v/>
      </c>
      <c r="AJ832" s="10">
        <f>IF(tblOrdenes[[#This Row],[orden]]="","",MAX(0,_xlfn.XLOOKUP(tblOrdenes[[#This Row],[id_operacion]],tblEjecucion[id_operacion],tblEjecucion[costo_plan_total],0)-tblOrdenes[[#This Row],[costo_servicio]]))</f>
        <v/>
      </c>
      <c r="AK832" s="10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2">
        <f>IF(tblOrdenes[[#This Row],[fecha_inicio]]="","",TODAY()-tblOrdenes[[#This Row],[fecha_inicio]])</f>
        <v/>
      </c>
      <c r="AB8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0">
        <f>IF(tblOrdenes[[#This Row],[orden]]="","",_xlfn.XLOOKUP(tblOrdenes[[#This Row],[id_operacion]],tblEjecucion[id_operacion],tblEjecucion[precio],0))</f>
        <v/>
      </c>
      <c r="AJ833" s="10">
        <f>IF(tblOrdenes[[#This Row],[orden]]="","",MAX(0,_xlfn.XLOOKUP(tblOrdenes[[#This Row],[id_operacion]],tblEjecucion[id_operacion],tblEjecucion[costo_plan_total],0)-tblOrdenes[[#This Row],[costo_servicio]]))</f>
        <v/>
      </c>
      <c r="AK833" s="10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2">
        <f>IF(tblOrdenes[[#This Row],[fecha_inicio]]="","",TODAY()-tblOrdenes[[#This Row],[fecha_inicio]])</f>
        <v/>
      </c>
      <c r="AB8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0">
        <f>IF(tblOrdenes[[#This Row],[orden]]="","",_xlfn.XLOOKUP(tblOrdenes[[#This Row],[id_operacion]],tblEjecucion[id_operacion],tblEjecucion[precio],0))</f>
        <v/>
      </c>
      <c r="AJ834" s="10">
        <f>IF(tblOrdenes[[#This Row],[orden]]="","",MAX(0,_xlfn.XLOOKUP(tblOrdenes[[#This Row],[id_operacion]],tblEjecucion[id_operacion],tblEjecucion[costo_plan_total],0)-tblOrdenes[[#This Row],[costo_servicio]]))</f>
        <v/>
      </c>
      <c r="AK834" s="10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2">
        <f>IF(tblOrdenes[[#This Row],[fecha_inicio]]="","",TODAY()-tblOrdenes[[#This Row],[fecha_inicio]])</f>
        <v/>
      </c>
      <c r="AB8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0">
        <f>IF(tblOrdenes[[#This Row],[orden]]="","",_xlfn.XLOOKUP(tblOrdenes[[#This Row],[id_operacion]],tblEjecucion[id_operacion],tblEjecucion[precio],0))</f>
        <v/>
      </c>
      <c r="AJ835" s="10">
        <f>IF(tblOrdenes[[#This Row],[orden]]="","",MAX(0,_xlfn.XLOOKUP(tblOrdenes[[#This Row],[id_operacion]],tblEjecucion[id_operacion],tblEjecucion[costo_plan_total],0)-tblOrdenes[[#This Row],[costo_servicio]]))</f>
        <v/>
      </c>
      <c r="AK835" s="10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2">
        <f>IF(tblOrdenes[[#This Row],[fecha_inicio]]="","",TODAY()-tblOrdenes[[#This Row],[fecha_inicio]])</f>
        <v/>
      </c>
      <c r="AB8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0">
        <f>IF(tblOrdenes[[#This Row],[orden]]="","",_xlfn.XLOOKUP(tblOrdenes[[#This Row],[id_operacion]],tblEjecucion[id_operacion],tblEjecucion[precio],0))</f>
        <v/>
      </c>
      <c r="AJ836" s="10">
        <f>IF(tblOrdenes[[#This Row],[orden]]="","",MAX(0,_xlfn.XLOOKUP(tblOrdenes[[#This Row],[id_operacion]],tblEjecucion[id_operacion],tblEjecucion[costo_plan_total],0)-tblOrdenes[[#This Row],[costo_servicio]]))</f>
        <v/>
      </c>
      <c r="AK836" s="10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2">
        <f>IF(tblOrdenes[[#This Row],[fecha_inicio]]="","",TODAY()-tblOrdenes[[#This Row],[fecha_inicio]])</f>
        <v/>
      </c>
      <c r="AB8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0">
        <f>IF(tblOrdenes[[#This Row],[orden]]="","",_xlfn.XLOOKUP(tblOrdenes[[#This Row],[id_operacion]],tblEjecucion[id_operacion],tblEjecucion[precio],0))</f>
        <v/>
      </c>
      <c r="AJ837" s="10">
        <f>IF(tblOrdenes[[#This Row],[orden]]="","",MAX(0,_xlfn.XLOOKUP(tblOrdenes[[#This Row],[id_operacion]],tblEjecucion[id_operacion],tblEjecucion[costo_plan_total],0)-tblOrdenes[[#This Row],[costo_servicio]]))</f>
        <v/>
      </c>
      <c r="AK837" s="10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2">
        <f>IF(tblOrdenes[[#This Row],[fecha_inicio]]="","",TODAY()-tblOrdenes[[#This Row],[fecha_inicio]])</f>
        <v/>
      </c>
      <c r="AB8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0">
        <f>IF(tblOrdenes[[#This Row],[orden]]="","",_xlfn.XLOOKUP(tblOrdenes[[#This Row],[id_operacion]],tblEjecucion[id_operacion],tblEjecucion[precio],0))</f>
        <v/>
      </c>
      <c r="AJ838" s="10">
        <f>IF(tblOrdenes[[#This Row],[orden]]="","",MAX(0,_xlfn.XLOOKUP(tblOrdenes[[#This Row],[id_operacion]],tblEjecucion[id_operacion],tblEjecucion[costo_plan_total],0)-tblOrdenes[[#This Row],[costo_servicio]]))</f>
        <v/>
      </c>
      <c r="AK838" s="10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2">
        <f>IF(tblOrdenes[[#This Row],[fecha_inicio]]="","",TODAY()-tblOrdenes[[#This Row],[fecha_inicio]])</f>
        <v/>
      </c>
      <c r="AB8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0">
        <f>IF(tblOrdenes[[#This Row],[orden]]="","",_xlfn.XLOOKUP(tblOrdenes[[#This Row],[id_operacion]],tblEjecucion[id_operacion],tblEjecucion[precio],0))</f>
        <v/>
      </c>
      <c r="AJ839" s="10">
        <f>IF(tblOrdenes[[#This Row],[orden]]="","",MAX(0,_xlfn.XLOOKUP(tblOrdenes[[#This Row],[id_operacion]],tblEjecucion[id_operacion],tblEjecucion[costo_plan_total],0)-tblOrdenes[[#This Row],[costo_servicio]]))</f>
        <v/>
      </c>
      <c r="AK839" s="10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2">
        <f>IF(tblOrdenes[[#This Row],[fecha_inicio]]="","",TODAY()-tblOrdenes[[#This Row],[fecha_inicio]])</f>
        <v/>
      </c>
      <c r="AB8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0">
        <f>IF(tblOrdenes[[#This Row],[orden]]="","",_xlfn.XLOOKUP(tblOrdenes[[#This Row],[id_operacion]],tblEjecucion[id_operacion],tblEjecucion[precio],0))</f>
        <v/>
      </c>
      <c r="AJ840" s="10">
        <f>IF(tblOrdenes[[#This Row],[orden]]="","",MAX(0,_xlfn.XLOOKUP(tblOrdenes[[#This Row],[id_operacion]],tblEjecucion[id_operacion],tblEjecucion[costo_plan_total],0)-tblOrdenes[[#This Row],[costo_servicio]]))</f>
        <v/>
      </c>
      <c r="AK840" s="10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2">
        <f>IF(tblOrdenes[[#This Row],[fecha_inicio]]="","",TODAY()-tblOrdenes[[#This Row],[fecha_inicio]])</f>
        <v/>
      </c>
      <c r="AB8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0">
        <f>IF(tblOrdenes[[#This Row],[orden]]="","",_xlfn.XLOOKUP(tblOrdenes[[#This Row],[id_operacion]],tblEjecucion[id_operacion],tblEjecucion[precio],0))</f>
        <v/>
      </c>
      <c r="AJ841" s="10">
        <f>IF(tblOrdenes[[#This Row],[orden]]="","",MAX(0,_xlfn.XLOOKUP(tblOrdenes[[#This Row],[id_operacion]],tblEjecucion[id_operacion],tblEjecucion[costo_plan_total],0)-tblOrdenes[[#This Row],[costo_servicio]]))</f>
        <v/>
      </c>
      <c r="AK841" s="10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2">
        <f>IF(tblOrdenes[[#This Row],[fecha_inicio]]="","",TODAY()-tblOrdenes[[#This Row],[fecha_inicio]])</f>
        <v/>
      </c>
      <c r="AB8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0">
        <f>IF(tblOrdenes[[#This Row],[orden]]="","",_xlfn.XLOOKUP(tblOrdenes[[#This Row],[id_operacion]],tblEjecucion[id_operacion],tblEjecucion[precio],0))</f>
        <v/>
      </c>
      <c r="AJ842" s="10">
        <f>IF(tblOrdenes[[#This Row],[orden]]="","",MAX(0,_xlfn.XLOOKUP(tblOrdenes[[#This Row],[id_operacion]],tblEjecucion[id_operacion],tblEjecucion[costo_plan_total],0)-tblOrdenes[[#This Row],[costo_servicio]]))</f>
        <v/>
      </c>
      <c r="AK842" s="10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2">
        <f>IF(tblOrdenes[[#This Row],[fecha_inicio]]="","",TODAY()-tblOrdenes[[#This Row],[fecha_inicio]])</f>
        <v/>
      </c>
      <c r="AB8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0">
        <f>IF(tblOrdenes[[#This Row],[orden]]="","",_xlfn.XLOOKUP(tblOrdenes[[#This Row],[id_operacion]],tblEjecucion[id_operacion],tblEjecucion[precio],0))</f>
        <v/>
      </c>
      <c r="AJ843" s="10">
        <f>IF(tblOrdenes[[#This Row],[orden]]="","",MAX(0,_xlfn.XLOOKUP(tblOrdenes[[#This Row],[id_operacion]],tblEjecucion[id_operacion],tblEjecucion[costo_plan_total],0)-tblOrdenes[[#This Row],[costo_servicio]]))</f>
        <v/>
      </c>
      <c r="AK843" s="10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2">
        <f>IF(tblOrdenes[[#This Row],[fecha_inicio]]="","",TODAY()-tblOrdenes[[#This Row],[fecha_inicio]])</f>
        <v/>
      </c>
      <c r="AB8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0">
        <f>IF(tblOrdenes[[#This Row],[orden]]="","",_xlfn.XLOOKUP(tblOrdenes[[#This Row],[id_operacion]],tblEjecucion[id_operacion],tblEjecucion[precio],0))</f>
        <v/>
      </c>
      <c r="AJ844" s="10">
        <f>IF(tblOrdenes[[#This Row],[orden]]="","",MAX(0,_xlfn.XLOOKUP(tblOrdenes[[#This Row],[id_operacion]],tblEjecucion[id_operacion],tblEjecucion[costo_plan_total],0)-tblOrdenes[[#This Row],[costo_servicio]]))</f>
        <v/>
      </c>
      <c r="AK844" s="10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2">
        <f>IF(tblOrdenes[[#This Row],[fecha_inicio]]="","",TODAY()-tblOrdenes[[#This Row],[fecha_inicio]])</f>
        <v/>
      </c>
      <c r="AB8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0">
        <f>IF(tblOrdenes[[#This Row],[orden]]="","",_xlfn.XLOOKUP(tblOrdenes[[#This Row],[id_operacion]],tblEjecucion[id_operacion],tblEjecucion[precio],0))</f>
        <v/>
      </c>
      <c r="AJ845" s="10">
        <f>IF(tblOrdenes[[#This Row],[orden]]="","",MAX(0,_xlfn.XLOOKUP(tblOrdenes[[#This Row],[id_operacion]],tblEjecucion[id_operacion],tblEjecucion[costo_plan_total],0)-tblOrdenes[[#This Row],[costo_servicio]]))</f>
        <v/>
      </c>
      <c r="AK845" s="10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2">
        <f>IF(tblOrdenes[[#This Row],[fecha_inicio]]="","",TODAY()-tblOrdenes[[#This Row],[fecha_inicio]])</f>
        <v/>
      </c>
      <c r="AB8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0">
        <f>IF(tblOrdenes[[#This Row],[orden]]="","",_xlfn.XLOOKUP(tblOrdenes[[#This Row],[id_operacion]],tblEjecucion[id_operacion],tblEjecucion[precio],0))</f>
        <v/>
      </c>
      <c r="AJ846" s="10">
        <f>IF(tblOrdenes[[#This Row],[orden]]="","",MAX(0,_xlfn.XLOOKUP(tblOrdenes[[#This Row],[id_operacion]],tblEjecucion[id_operacion],tblEjecucion[costo_plan_total],0)-tblOrdenes[[#This Row],[costo_servicio]]))</f>
        <v/>
      </c>
      <c r="AK846" s="10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2">
        <f>IF(tblOrdenes[[#This Row],[fecha_inicio]]="","",TODAY()-tblOrdenes[[#This Row],[fecha_inicio]])</f>
        <v/>
      </c>
      <c r="AB8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0">
        <f>IF(tblOrdenes[[#This Row],[orden]]="","",_xlfn.XLOOKUP(tblOrdenes[[#This Row],[id_operacion]],tblEjecucion[id_operacion],tblEjecucion[precio],0))</f>
        <v/>
      </c>
      <c r="AJ847" s="10">
        <f>IF(tblOrdenes[[#This Row],[orden]]="","",MAX(0,_xlfn.XLOOKUP(tblOrdenes[[#This Row],[id_operacion]],tblEjecucion[id_operacion],tblEjecucion[costo_plan_total],0)-tblOrdenes[[#This Row],[costo_servicio]]))</f>
        <v/>
      </c>
      <c r="AK847" s="10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2">
        <f>IF(tblOrdenes[[#This Row],[fecha_inicio]]="","",TODAY()-tblOrdenes[[#This Row],[fecha_inicio]])</f>
        <v/>
      </c>
      <c r="AB8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0">
        <f>IF(tblOrdenes[[#This Row],[orden]]="","",_xlfn.XLOOKUP(tblOrdenes[[#This Row],[id_operacion]],tblEjecucion[id_operacion],tblEjecucion[precio],0))</f>
        <v/>
      </c>
      <c r="AJ848" s="10">
        <f>IF(tblOrdenes[[#This Row],[orden]]="","",MAX(0,_xlfn.XLOOKUP(tblOrdenes[[#This Row],[id_operacion]],tblEjecucion[id_operacion],tblEjecucion[costo_plan_total],0)-tblOrdenes[[#This Row],[costo_servicio]]))</f>
        <v/>
      </c>
      <c r="AK848" s="10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2">
        <f>IF(tblOrdenes[[#This Row],[fecha_inicio]]="","",TODAY()-tblOrdenes[[#This Row],[fecha_inicio]])</f>
        <v/>
      </c>
      <c r="AB8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0">
        <f>IF(tblOrdenes[[#This Row],[orden]]="","",_xlfn.XLOOKUP(tblOrdenes[[#This Row],[id_operacion]],tblEjecucion[id_operacion],tblEjecucion[precio],0))</f>
        <v/>
      </c>
      <c r="AJ849" s="10">
        <f>IF(tblOrdenes[[#This Row],[orden]]="","",MAX(0,_xlfn.XLOOKUP(tblOrdenes[[#This Row],[id_operacion]],tblEjecucion[id_operacion],tblEjecucion[costo_plan_total],0)-tblOrdenes[[#This Row],[costo_servicio]]))</f>
        <v/>
      </c>
      <c r="AK849" s="10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2">
        <f>IF(tblOrdenes[[#This Row],[fecha_inicio]]="","",TODAY()-tblOrdenes[[#This Row],[fecha_inicio]])</f>
        <v/>
      </c>
      <c r="AB8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0">
        <f>IF(tblOrdenes[[#This Row],[orden]]="","",_xlfn.XLOOKUP(tblOrdenes[[#This Row],[id_operacion]],tblEjecucion[id_operacion],tblEjecucion[precio],0))</f>
        <v/>
      </c>
      <c r="AJ850" s="10">
        <f>IF(tblOrdenes[[#This Row],[orden]]="","",MAX(0,_xlfn.XLOOKUP(tblOrdenes[[#This Row],[id_operacion]],tblEjecucion[id_operacion],tblEjecucion[costo_plan_total],0)-tblOrdenes[[#This Row],[costo_servicio]]))</f>
        <v/>
      </c>
      <c r="AK850" s="10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2">
        <f>IF(tblOrdenes[[#This Row],[fecha_inicio]]="","",TODAY()-tblOrdenes[[#This Row],[fecha_inicio]])</f>
        <v/>
      </c>
      <c r="AB8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0">
        <f>IF(tblOrdenes[[#This Row],[orden]]="","",_xlfn.XLOOKUP(tblOrdenes[[#This Row],[id_operacion]],tblEjecucion[id_operacion],tblEjecucion[precio],0))</f>
        <v/>
      </c>
      <c r="AJ851" s="10">
        <f>IF(tblOrdenes[[#This Row],[orden]]="","",MAX(0,_xlfn.XLOOKUP(tblOrdenes[[#This Row],[id_operacion]],tblEjecucion[id_operacion],tblEjecucion[costo_plan_total],0)-tblOrdenes[[#This Row],[costo_servicio]]))</f>
        <v/>
      </c>
      <c r="AK851" s="10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2">
        <f>IF(tblOrdenes[[#This Row],[fecha_inicio]]="","",TODAY()-tblOrdenes[[#This Row],[fecha_inicio]])</f>
        <v/>
      </c>
      <c r="AB8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0">
        <f>IF(tblOrdenes[[#This Row],[orden]]="","",_xlfn.XLOOKUP(tblOrdenes[[#This Row],[id_operacion]],tblEjecucion[id_operacion],tblEjecucion[precio],0))</f>
        <v/>
      </c>
      <c r="AJ852" s="10">
        <f>IF(tblOrdenes[[#This Row],[orden]]="","",MAX(0,_xlfn.XLOOKUP(tblOrdenes[[#This Row],[id_operacion]],tblEjecucion[id_operacion],tblEjecucion[costo_plan_total],0)-tblOrdenes[[#This Row],[costo_servicio]]))</f>
        <v/>
      </c>
      <c r="AK852" s="10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2">
        <f>IF(tblOrdenes[[#This Row],[fecha_inicio]]="","",TODAY()-tblOrdenes[[#This Row],[fecha_inicio]])</f>
        <v/>
      </c>
      <c r="AB8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0">
        <f>IF(tblOrdenes[[#This Row],[orden]]="","",_xlfn.XLOOKUP(tblOrdenes[[#This Row],[id_operacion]],tblEjecucion[id_operacion],tblEjecucion[precio],0))</f>
        <v/>
      </c>
      <c r="AJ853" s="10">
        <f>IF(tblOrdenes[[#This Row],[orden]]="","",MAX(0,_xlfn.XLOOKUP(tblOrdenes[[#This Row],[id_operacion]],tblEjecucion[id_operacion],tblEjecucion[costo_plan_total],0)-tblOrdenes[[#This Row],[costo_servicio]]))</f>
        <v/>
      </c>
      <c r="AK853" s="10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2">
        <f>IF(tblOrdenes[[#This Row],[fecha_inicio]]="","",TODAY()-tblOrdenes[[#This Row],[fecha_inicio]])</f>
        <v/>
      </c>
      <c r="AB8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0">
        <f>IF(tblOrdenes[[#This Row],[orden]]="","",_xlfn.XLOOKUP(tblOrdenes[[#This Row],[id_operacion]],tblEjecucion[id_operacion],tblEjecucion[precio],0))</f>
        <v/>
      </c>
      <c r="AJ854" s="10">
        <f>IF(tblOrdenes[[#This Row],[orden]]="","",MAX(0,_xlfn.XLOOKUP(tblOrdenes[[#This Row],[id_operacion]],tblEjecucion[id_operacion],tblEjecucion[costo_plan_total],0)-tblOrdenes[[#This Row],[costo_servicio]]))</f>
        <v/>
      </c>
      <c r="AK854" s="10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2">
        <f>IF(tblOrdenes[[#This Row],[fecha_inicio]]="","",TODAY()-tblOrdenes[[#This Row],[fecha_inicio]])</f>
        <v/>
      </c>
      <c r="AB8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0">
        <f>IF(tblOrdenes[[#This Row],[orden]]="","",_xlfn.XLOOKUP(tblOrdenes[[#This Row],[id_operacion]],tblEjecucion[id_operacion],tblEjecucion[precio],0))</f>
        <v/>
      </c>
      <c r="AJ855" s="10">
        <f>IF(tblOrdenes[[#This Row],[orden]]="","",MAX(0,_xlfn.XLOOKUP(tblOrdenes[[#This Row],[id_operacion]],tblEjecucion[id_operacion],tblEjecucion[costo_plan_total],0)-tblOrdenes[[#This Row],[costo_servicio]]))</f>
        <v/>
      </c>
      <c r="AK855" s="10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2">
        <f>IF(tblOrdenes[[#This Row],[fecha_inicio]]="","",TODAY()-tblOrdenes[[#This Row],[fecha_inicio]])</f>
        <v/>
      </c>
      <c r="AB8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0">
        <f>IF(tblOrdenes[[#This Row],[orden]]="","",_xlfn.XLOOKUP(tblOrdenes[[#This Row],[id_operacion]],tblEjecucion[id_operacion],tblEjecucion[precio],0))</f>
        <v/>
      </c>
      <c r="AJ856" s="10">
        <f>IF(tblOrdenes[[#This Row],[orden]]="","",MAX(0,_xlfn.XLOOKUP(tblOrdenes[[#This Row],[id_operacion]],tblEjecucion[id_operacion],tblEjecucion[costo_plan_total],0)-tblOrdenes[[#This Row],[costo_servicio]]))</f>
        <v/>
      </c>
      <c r="AK856" s="10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2">
        <f>IF(tblOrdenes[[#This Row],[fecha_inicio]]="","",TODAY()-tblOrdenes[[#This Row],[fecha_inicio]])</f>
        <v/>
      </c>
      <c r="AB8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0">
        <f>IF(tblOrdenes[[#This Row],[orden]]="","",_xlfn.XLOOKUP(tblOrdenes[[#This Row],[id_operacion]],tblEjecucion[id_operacion],tblEjecucion[precio],0))</f>
        <v/>
      </c>
      <c r="AJ857" s="10">
        <f>IF(tblOrdenes[[#This Row],[orden]]="","",MAX(0,_xlfn.XLOOKUP(tblOrdenes[[#This Row],[id_operacion]],tblEjecucion[id_operacion],tblEjecucion[costo_plan_total],0)-tblOrdenes[[#This Row],[costo_servicio]]))</f>
        <v/>
      </c>
      <c r="AK857" s="10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2">
        <f>IF(tblOrdenes[[#This Row],[fecha_inicio]]="","",TODAY()-tblOrdenes[[#This Row],[fecha_inicio]])</f>
        <v/>
      </c>
      <c r="AB8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0">
        <f>IF(tblOrdenes[[#This Row],[orden]]="","",_xlfn.XLOOKUP(tblOrdenes[[#This Row],[id_operacion]],tblEjecucion[id_operacion],tblEjecucion[precio],0))</f>
        <v/>
      </c>
      <c r="AJ858" s="10">
        <f>IF(tblOrdenes[[#This Row],[orden]]="","",MAX(0,_xlfn.XLOOKUP(tblOrdenes[[#This Row],[id_operacion]],tblEjecucion[id_operacion],tblEjecucion[costo_plan_total],0)-tblOrdenes[[#This Row],[costo_servicio]]))</f>
        <v/>
      </c>
      <c r="AK858" s="10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2">
        <f>IF(tblOrdenes[[#This Row],[fecha_inicio]]="","",TODAY()-tblOrdenes[[#This Row],[fecha_inicio]])</f>
        <v/>
      </c>
      <c r="AB8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0">
        <f>IF(tblOrdenes[[#This Row],[orden]]="","",_xlfn.XLOOKUP(tblOrdenes[[#This Row],[id_operacion]],tblEjecucion[id_operacion],tblEjecucion[precio],0))</f>
        <v/>
      </c>
      <c r="AJ859" s="10">
        <f>IF(tblOrdenes[[#This Row],[orden]]="","",MAX(0,_xlfn.XLOOKUP(tblOrdenes[[#This Row],[id_operacion]],tblEjecucion[id_operacion],tblEjecucion[costo_plan_total],0)-tblOrdenes[[#This Row],[costo_servicio]]))</f>
        <v/>
      </c>
      <c r="AK859" s="10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2">
        <f>IF(tblOrdenes[[#This Row],[fecha_inicio]]="","",TODAY()-tblOrdenes[[#This Row],[fecha_inicio]])</f>
        <v/>
      </c>
      <c r="AB8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0">
        <f>IF(tblOrdenes[[#This Row],[orden]]="","",_xlfn.XLOOKUP(tblOrdenes[[#This Row],[id_operacion]],tblEjecucion[id_operacion],tblEjecucion[precio],0))</f>
        <v/>
      </c>
      <c r="AJ860" s="10">
        <f>IF(tblOrdenes[[#This Row],[orden]]="","",MAX(0,_xlfn.XLOOKUP(tblOrdenes[[#This Row],[id_operacion]],tblEjecucion[id_operacion],tblEjecucion[costo_plan_total],0)-tblOrdenes[[#This Row],[costo_servicio]]))</f>
        <v/>
      </c>
      <c r="AK860" s="10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2">
        <f>IF(tblOrdenes[[#This Row],[fecha_inicio]]="","",TODAY()-tblOrdenes[[#This Row],[fecha_inicio]])</f>
        <v/>
      </c>
      <c r="AB8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0">
        <f>IF(tblOrdenes[[#This Row],[orden]]="","",_xlfn.XLOOKUP(tblOrdenes[[#This Row],[id_operacion]],tblEjecucion[id_operacion],tblEjecucion[precio],0))</f>
        <v/>
      </c>
      <c r="AJ861" s="10">
        <f>IF(tblOrdenes[[#This Row],[orden]]="","",MAX(0,_xlfn.XLOOKUP(tblOrdenes[[#This Row],[id_operacion]],tblEjecucion[id_operacion],tblEjecucion[costo_plan_total],0)-tblOrdenes[[#This Row],[costo_servicio]]))</f>
        <v/>
      </c>
      <c r="AK861" s="10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2">
        <f>IF(tblOrdenes[[#This Row],[fecha_inicio]]="","",TODAY()-tblOrdenes[[#This Row],[fecha_inicio]])</f>
        <v/>
      </c>
      <c r="AB8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0">
        <f>IF(tblOrdenes[[#This Row],[orden]]="","",_xlfn.XLOOKUP(tblOrdenes[[#This Row],[id_operacion]],tblEjecucion[id_operacion],tblEjecucion[precio],0))</f>
        <v/>
      </c>
      <c r="AJ862" s="10">
        <f>IF(tblOrdenes[[#This Row],[orden]]="","",MAX(0,_xlfn.XLOOKUP(tblOrdenes[[#This Row],[id_operacion]],tblEjecucion[id_operacion],tblEjecucion[costo_plan_total],0)-tblOrdenes[[#This Row],[costo_servicio]]))</f>
        <v/>
      </c>
      <c r="AK862" s="10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2">
        <f>IF(tblOrdenes[[#This Row],[fecha_inicio]]="","",TODAY()-tblOrdenes[[#This Row],[fecha_inicio]])</f>
        <v/>
      </c>
      <c r="AB8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0">
        <f>IF(tblOrdenes[[#This Row],[orden]]="","",_xlfn.XLOOKUP(tblOrdenes[[#This Row],[id_operacion]],tblEjecucion[id_operacion],tblEjecucion[precio],0))</f>
        <v/>
      </c>
      <c r="AJ863" s="10">
        <f>IF(tblOrdenes[[#This Row],[orden]]="","",MAX(0,_xlfn.XLOOKUP(tblOrdenes[[#This Row],[id_operacion]],tblEjecucion[id_operacion],tblEjecucion[costo_plan_total],0)-tblOrdenes[[#This Row],[costo_servicio]]))</f>
        <v/>
      </c>
      <c r="AK863" s="10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2">
        <f>IF(tblOrdenes[[#This Row],[fecha_inicio]]="","",TODAY()-tblOrdenes[[#This Row],[fecha_inicio]])</f>
        <v/>
      </c>
      <c r="AB8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0">
        <f>IF(tblOrdenes[[#This Row],[orden]]="","",_xlfn.XLOOKUP(tblOrdenes[[#This Row],[id_operacion]],tblEjecucion[id_operacion],tblEjecucion[precio],0))</f>
        <v/>
      </c>
      <c r="AJ864" s="10">
        <f>IF(tblOrdenes[[#This Row],[orden]]="","",MAX(0,_xlfn.XLOOKUP(tblOrdenes[[#This Row],[id_operacion]],tblEjecucion[id_operacion],tblEjecucion[costo_plan_total],0)-tblOrdenes[[#This Row],[costo_servicio]]))</f>
        <v/>
      </c>
      <c r="AK864" s="10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2">
        <f>IF(tblOrdenes[[#This Row],[fecha_inicio]]="","",TODAY()-tblOrdenes[[#This Row],[fecha_inicio]])</f>
        <v/>
      </c>
      <c r="AB8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0">
        <f>IF(tblOrdenes[[#This Row],[orden]]="","",_xlfn.XLOOKUP(tblOrdenes[[#This Row],[id_operacion]],tblEjecucion[id_operacion],tblEjecucion[precio],0))</f>
        <v/>
      </c>
      <c r="AJ865" s="10">
        <f>IF(tblOrdenes[[#This Row],[orden]]="","",MAX(0,_xlfn.XLOOKUP(tblOrdenes[[#This Row],[id_operacion]],tblEjecucion[id_operacion],tblEjecucion[costo_plan_total],0)-tblOrdenes[[#This Row],[costo_servicio]]))</f>
        <v/>
      </c>
      <c r="AK865" s="10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2">
        <f>IF(tblOrdenes[[#This Row],[fecha_inicio]]="","",TODAY()-tblOrdenes[[#This Row],[fecha_inicio]])</f>
        <v/>
      </c>
      <c r="AB8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0">
        <f>IF(tblOrdenes[[#This Row],[orden]]="","",_xlfn.XLOOKUP(tblOrdenes[[#This Row],[id_operacion]],tblEjecucion[id_operacion],tblEjecucion[precio],0))</f>
        <v/>
      </c>
      <c r="AJ866" s="10">
        <f>IF(tblOrdenes[[#This Row],[orden]]="","",MAX(0,_xlfn.XLOOKUP(tblOrdenes[[#This Row],[id_operacion]],tblEjecucion[id_operacion],tblEjecucion[costo_plan_total],0)-tblOrdenes[[#This Row],[costo_servicio]]))</f>
        <v/>
      </c>
      <c r="AK866" s="10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2">
        <f>IF(tblOrdenes[[#This Row],[fecha_inicio]]="","",TODAY()-tblOrdenes[[#This Row],[fecha_inicio]])</f>
        <v/>
      </c>
      <c r="AB8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0">
        <f>IF(tblOrdenes[[#This Row],[orden]]="","",_xlfn.XLOOKUP(tblOrdenes[[#This Row],[id_operacion]],tblEjecucion[id_operacion],tblEjecucion[precio],0))</f>
        <v/>
      </c>
      <c r="AJ867" s="10">
        <f>IF(tblOrdenes[[#This Row],[orden]]="","",MAX(0,_xlfn.XLOOKUP(tblOrdenes[[#This Row],[id_operacion]],tblEjecucion[id_operacion],tblEjecucion[costo_plan_total],0)-tblOrdenes[[#This Row],[costo_servicio]]))</f>
        <v/>
      </c>
      <c r="AK867" s="10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2">
        <f>IF(tblOrdenes[[#This Row],[fecha_inicio]]="","",TODAY()-tblOrdenes[[#This Row],[fecha_inicio]])</f>
        <v/>
      </c>
      <c r="AB8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0">
        <f>IF(tblOrdenes[[#This Row],[orden]]="","",_xlfn.XLOOKUP(tblOrdenes[[#This Row],[id_operacion]],tblEjecucion[id_operacion],tblEjecucion[precio],0))</f>
        <v/>
      </c>
      <c r="AJ868" s="10">
        <f>IF(tblOrdenes[[#This Row],[orden]]="","",MAX(0,_xlfn.XLOOKUP(tblOrdenes[[#This Row],[id_operacion]],tblEjecucion[id_operacion],tblEjecucion[costo_plan_total],0)-tblOrdenes[[#This Row],[costo_servicio]]))</f>
        <v/>
      </c>
      <c r="AK868" s="10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2">
        <f>IF(tblOrdenes[[#This Row],[fecha_inicio]]="","",TODAY()-tblOrdenes[[#This Row],[fecha_inicio]])</f>
        <v/>
      </c>
      <c r="AB8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0">
        <f>IF(tblOrdenes[[#This Row],[orden]]="","",_xlfn.XLOOKUP(tblOrdenes[[#This Row],[id_operacion]],tblEjecucion[id_operacion],tblEjecucion[precio],0))</f>
        <v/>
      </c>
      <c r="AJ869" s="10">
        <f>IF(tblOrdenes[[#This Row],[orden]]="","",MAX(0,_xlfn.XLOOKUP(tblOrdenes[[#This Row],[id_operacion]],tblEjecucion[id_operacion],tblEjecucion[costo_plan_total],0)-tblOrdenes[[#This Row],[costo_servicio]]))</f>
        <v/>
      </c>
      <c r="AK869" s="10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2">
        <f>IF(tblOrdenes[[#This Row],[fecha_inicio]]="","",TODAY()-tblOrdenes[[#This Row],[fecha_inicio]])</f>
        <v/>
      </c>
      <c r="AB8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0">
        <f>IF(tblOrdenes[[#This Row],[orden]]="","",_xlfn.XLOOKUP(tblOrdenes[[#This Row],[id_operacion]],tblEjecucion[id_operacion],tblEjecucion[precio],0))</f>
        <v/>
      </c>
      <c r="AJ870" s="10">
        <f>IF(tblOrdenes[[#This Row],[orden]]="","",MAX(0,_xlfn.XLOOKUP(tblOrdenes[[#This Row],[id_operacion]],tblEjecucion[id_operacion],tblEjecucion[costo_plan_total],0)-tblOrdenes[[#This Row],[costo_servicio]]))</f>
        <v/>
      </c>
      <c r="AK870" s="10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2">
        <f>IF(tblOrdenes[[#This Row],[fecha_inicio]]="","",TODAY()-tblOrdenes[[#This Row],[fecha_inicio]])</f>
        <v/>
      </c>
      <c r="AB8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0">
        <f>IF(tblOrdenes[[#This Row],[orden]]="","",_xlfn.XLOOKUP(tblOrdenes[[#This Row],[id_operacion]],tblEjecucion[id_operacion],tblEjecucion[precio],0))</f>
        <v/>
      </c>
      <c r="AJ871" s="10">
        <f>IF(tblOrdenes[[#This Row],[orden]]="","",MAX(0,_xlfn.XLOOKUP(tblOrdenes[[#This Row],[id_operacion]],tblEjecucion[id_operacion],tblEjecucion[costo_plan_total],0)-tblOrdenes[[#This Row],[costo_servicio]]))</f>
        <v/>
      </c>
      <c r="AK871" s="10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2">
        <f>IF(tblOrdenes[[#This Row],[fecha_inicio]]="","",TODAY()-tblOrdenes[[#This Row],[fecha_inicio]])</f>
        <v/>
      </c>
      <c r="AB8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0">
        <f>IF(tblOrdenes[[#This Row],[orden]]="","",_xlfn.XLOOKUP(tblOrdenes[[#This Row],[id_operacion]],tblEjecucion[id_operacion],tblEjecucion[precio],0))</f>
        <v/>
      </c>
      <c r="AJ872" s="10">
        <f>IF(tblOrdenes[[#This Row],[orden]]="","",MAX(0,_xlfn.XLOOKUP(tblOrdenes[[#This Row],[id_operacion]],tblEjecucion[id_operacion],tblEjecucion[costo_plan_total],0)-tblOrdenes[[#This Row],[costo_servicio]]))</f>
        <v/>
      </c>
      <c r="AK872" s="10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2">
        <f>IF(tblOrdenes[[#This Row],[fecha_inicio]]="","",TODAY()-tblOrdenes[[#This Row],[fecha_inicio]])</f>
        <v/>
      </c>
      <c r="AB8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0">
        <f>IF(tblOrdenes[[#This Row],[orden]]="","",_xlfn.XLOOKUP(tblOrdenes[[#This Row],[id_operacion]],tblEjecucion[id_operacion],tblEjecucion[precio],0))</f>
        <v/>
      </c>
      <c r="AJ873" s="10">
        <f>IF(tblOrdenes[[#This Row],[orden]]="","",MAX(0,_xlfn.XLOOKUP(tblOrdenes[[#This Row],[id_operacion]],tblEjecucion[id_operacion],tblEjecucion[costo_plan_total],0)-tblOrdenes[[#This Row],[costo_servicio]]))</f>
        <v/>
      </c>
      <c r="AK873" s="10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2">
        <f>IF(tblOrdenes[[#This Row],[fecha_inicio]]="","",TODAY()-tblOrdenes[[#This Row],[fecha_inicio]])</f>
        <v/>
      </c>
      <c r="AB8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0">
        <f>IF(tblOrdenes[[#This Row],[orden]]="","",_xlfn.XLOOKUP(tblOrdenes[[#This Row],[id_operacion]],tblEjecucion[id_operacion],tblEjecucion[precio],0))</f>
        <v/>
      </c>
      <c r="AJ874" s="10">
        <f>IF(tblOrdenes[[#This Row],[orden]]="","",MAX(0,_xlfn.XLOOKUP(tblOrdenes[[#This Row],[id_operacion]],tblEjecucion[id_operacion],tblEjecucion[costo_plan_total],0)-tblOrdenes[[#This Row],[costo_servicio]]))</f>
        <v/>
      </c>
      <c r="AK874" s="10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2">
        <f>IF(tblOrdenes[[#This Row],[fecha_inicio]]="","",TODAY()-tblOrdenes[[#This Row],[fecha_inicio]])</f>
        <v/>
      </c>
      <c r="AB8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0">
        <f>IF(tblOrdenes[[#This Row],[orden]]="","",_xlfn.XLOOKUP(tblOrdenes[[#This Row],[id_operacion]],tblEjecucion[id_operacion],tblEjecucion[precio],0))</f>
        <v/>
      </c>
      <c r="AJ875" s="10">
        <f>IF(tblOrdenes[[#This Row],[orden]]="","",MAX(0,_xlfn.XLOOKUP(tblOrdenes[[#This Row],[id_operacion]],tblEjecucion[id_operacion],tblEjecucion[costo_plan_total],0)-tblOrdenes[[#This Row],[costo_servicio]]))</f>
        <v/>
      </c>
      <c r="AK875" s="10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2">
        <f>IF(tblOrdenes[[#This Row],[fecha_inicio]]="","",TODAY()-tblOrdenes[[#This Row],[fecha_inicio]])</f>
        <v/>
      </c>
      <c r="AB8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0">
        <f>IF(tblOrdenes[[#This Row],[orden]]="","",_xlfn.XLOOKUP(tblOrdenes[[#This Row],[id_operacion]],tblEjecucion[id_operacion],tblEjecucion[precio],0))</f>
        <v/>
      </c>
      <c r="AJ876" s="10">
        <f>IF(tblOrdenes[[#This Row],[orden]]="","",MAX(0,_xlfn.XLOOKUP(tblOrdenes[[#This Row],[id_operacion]],tblEjecucion[id_operacion],tblEjecucion[costo_plan_total],0)-tblOrdenes[[#This Row],[costo_servicio]]))</f>
        <v/>
      </c>
      <c r="AK876" s="10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2">
        <f>IF(tblOrdenes[[#This Row],[fecha_inicio]]="","",TODAY()-tblOrdenes[[#This Row],[fecha_inicio]])</f>
        <v/>
      </c>
      <c r="AB8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0">
        <f>IF(tblOrdenes[[#This Row],[orden]]="","",_xlfn.XLOOKUP(tblOrdenes[[#This Row],[id_operacion]],tblEjecucion[id_operacion],tblEjecucion[precio],0))</f>
        <v/>
      </c>
      <c r="AJ877" s="10">
        <f>IF(tblOrdenes[[#This Row],[orden]]="","",MAX(0,_xlfn.XLOOKUP(tblOrdenes[[#This Row],[id_operacion]],tblEjecucion[id_operacion],tblEjecucion[costo_plan_total],0)-tblOrdenes[[#This Row],[costo_servicio]]))</f>
        <v/>
      </c>
      <c r="AK877" s="10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2">
        <f>IF(tblOrdenes[[#This Row],[fecha_inicio]]="","",TODAY()-tblOrdenes[[#This Row],[fecha_inicio]])</f>
        <v/>
      </c>
      <c r="AB8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0">
        <f>IF(tblOrdenes[[#This Row],[orden]]="","",_xlfn.XLOOKUP(tblOrdenes[[#This Row],[id_operacion]],tblEjecucion[id_operacion],tblEjecucion[precio],0))</f>
        <v/>
      </c>
      <c r="AJ878" s="10">
        <f>IF(tblOrdenes[[#This Row],[orden]]="","",MAX(0,_xlfn.XLOOKUP(tblOrdenes[[#This Row],[id_operacion]],tblEjecucion[id_operacion],tblEjecucion[costo_plan_total],0)-tblOrdenes[[#This Row],[costo_servicio]]))</f>
        <v/>
      </c>
      <c r="AK878" s="10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2">
        <f>IF(tblOrdenes[[#This Row],[fecha_inicio]]="","",TODAY()-tblOrdenes[[#This Row],[fecha_inicio]])</f>
        <v/>
      </c>
      <c r="AB8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0">
        <f>IF(tblOrdenes[[#This Row],[orden]]="","",_xlfn.XLOOKUP(tblOrdenes[[#This Row],[id_operacion]],tblEjecucion[id_operacion],tblEjecucion[precio],0))</f>
        <v/>
      </c>
      <c r="AJ879" s="10">
        <f>IF(tblOrdenes[[#This Row],[orden]]="","",MAX(0,_xlfn.XLOOKUP(tblOrdenes[[#This Row],[id_operacion]],tblEjecucion[id_operacion],tblEjecucion[costo_plan_total],0)-tblOrdenes[[#This Row],[costo_servicio]]))</f>
        <v/>
      </c>
      <c r="AK879" s="10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2">
        <f>IF(tblOrdenes[[#This Row],[fecha_inicio]]="","",TODAY()-tblOrdenes[[#This Row],[fecha_inicio]])</f>
        <v/>
      </c>
      <c r="AB8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0">
        <f>IF(tblOrdenes[[#This Row],[orden]]="","",_xlfn.XLOOKUP(tblOrdenes[[#This Row],[id_operacion]],tblEjecucion[id_operacion],tblEjecucion[precio],0))</f>
        <v/>
      </c>
      <c r="AJ880" s="10">
        <f>IF(tblOrdenes[[#This Row],[orden]]="","",MAX(0,_xlfn.XLOOKUP(tblOrdenes[[#This Row],[id_operacion]],tblEjecucion[id_operacion],tblEjecucion[costo_plan_total],0)-tblOrdenes[[#This Row],[costo_servicio]]))</f>
        <v/>
      </c>
      <c r="AK880" s="10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2">
        <f>IF(tblOrdenes[[#This Row],[fecha_inicio]]="","",TODAY()-tblOrdenes[[#This Row],[fecha_inicio]])</f>
        <v/>
      </c>
      <c r="AB8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0">
        <f>IF(tblOrdenes[[#This Row],[orden]]="","",_xlfn.XLOOKUP(tblOrdenes[[#This Row],[id_operacion]],tblEjecucion[id_operacion],tblEjecucion[precio],0))</f>
        <v/>
      </c>
      <c r="AJ881" s="10">
        <f>IF(tblOrdenes[[#This Row],[orden]]="","",MAX(0,_xlfn.XLOOKUP(tblOrdenes[[#This Row],[id_operacion]],tblEjecucion[id_operacion],tblEjecucion[costo_plan_total],0)-tblOrdenes[[#This Row],[costo_servicio]]))</f>
        <v/>
      </c>
      <c r="AK881" s="10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2">
        <f>IF(tblOrdenes[[#This Row],[fecha_inicio]]="","",TODAY()-tblOrdenes[[#This Row],[fecha_inicio]])</f>
        <v/>
      </c>
      <c r="AB8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0">
        <f>IF(tblOrdenes[[#This Row],[orden]]="","",_xlfn.XLOOKUP(tblOrdenes[[#This Row],[id_operacion]],tblEjecucion[id_operacion],tblEjecucion[precio],0))</f>
        <v/>
      </c>
      <c r="AJ882" s="10">
        <f>IF(tblOrdenes[[#This Row],[orden]]="","",MAX(0,_xlfn.XLOOKUP(tblOrdenes[[#This Row],[id_operacion]],tblEjecucion[id_operacion],tblEjecucion[costo_plan_total],0)-tblOrdenes[[#This Row],[costo_servicio]]))</f>
        <v/>
      </c>
      <c r="AK882" s="10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2">
        <f>IF(tblOrdenes[[#This Row],[fecha_inicio]]="","",TODAY()-tblOrdenes[[#This Row],[fecha_inicio]])</f>
        <v/>
      </c>
      <c r="AB8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0">
        <f>IF(tblOrdenes[[#This Row],[orden]]="","",_xlfn.XLOOKUP(tblOrdenes[[#This Row],[id_operacion]],tblEjecucion[id_operacion],tblEjecucion[precio],0))</f>
        <v/>
      </c>
      <c r="AJ883" s="10">
        <f>IF(tblOrdenes[[#This Row],[orden]]="","",MAX(0,_xlfn.XLOOKUP(tblOrdenes[[#This Row],[id_operacion]],tblEjecucion[id_operacion],tblEjecucion[costo_plan_total],0)-tblOrdenes[[#This Row],[costo_servicio]]))</f>
        <v/>
      </c>
      <c r="AK883" s="10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2">
        <f>IF(tblOrdenes[[#This Row],[fecha_inicio]]="","",TODAY()-tblOrdenes[[#This Row],[fecha_inicio]])</f>
        <v/>
      </c>
      <c r="AB8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0">
        <f>IF(tblOrdenes[[#This Row],[orden]]="","",_xlfn.XLOOKUP(tblOrdenes[[#This Row],[id_operacion]],tblEjecucion[id_operacion],tblEjecucion[precio],0))</f>
        <v/>
      </c>
      <c r="AJ884" s="10">
        <f>IF(tblOrdenes[[#This Row],[orden]]="","",MAX(0,_xlfn.XLOOKUP(tblOrdenes[[#This Row],[id_operacion]],tblEjecucion[id_operacion],tblEjecucion[costo_plan_total],0)-tblOrdenes[[#This Row],[costo_servicio]]))</f>
        <v/>
      </c>
      <c r="AK884" s="10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2">
        <f>IF(tblOrdenes[[#This Row],[fecha_inicio]]="","",TODAY()-tblOrdenes[[#This Row],[fecha_inicio]])</f>
        <v/>
      </c>
      <c r="AB8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0">
        <f>IF(tblOrdenes[[#This Row],[orden]]="","",_xlfn.XLOOKUP(tblOrdenes[[#This Row],[id_operacion]],tblEjecucion[id_operacion],tblEjecucion[precio],0))</f>
        <v/>
      </c>
      <c r="AJ885" s="10">
        <f>IF(tblOrdenes[[#This Row],[orden]]="","",MAX(0,_xlfn.XLOOKUP(tblOrdenes[[#This Row],[id_operacion]],tblEjecucion[id_operacion],tblEjecucion[costo_plan_total],0)-tblOrdenes[[#This Row],[costo_servicio]]))</f>
        <v/>
      </c>
      <c r="AK885" s="10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2">
        <f>IF(tblOrdenes[[#This Row],[fecha_inicio]]="","",TODAY()-tblOrdenes[[#This Row],[fecha_inicio]])</f>
        <v/>
      </c>
      <c r="AB8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0">
        <f>IF(tblOrdenes[[#This Row],[orden]]="","",_xlfn.XLOOKUP(tblOrdenes[[#This Row],[id_operacion]],tblEjecucion[id_operacion],tblEjecucion[precio],0))</f>
        <v/>
      </c>
      <c r="AJ886" s="10">
        <f>IF(tblOrdenes[[#This Row],[orden]]="","",MAX(0,_xlfn.XLOOKUP(tblOrdenes[[#This Row],[id_operacion]],tblEjecucion[id_operacion],tblEjecucion[costo_plan_total],0)-tblOrdenes[[#This Row],[costo_servicio]]))</f>
        <v/>
      </c>
      <c r="AK886" s="10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2">
        <f>IF(tblOrdenes[[#This Row],[fecha_inicio]]="","",TODAY()-tblOrdenes[[#This Row],[fecha_inicio]])</f>
        <v/>
      </c>
      <c r="AB8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0">
        <f>IF(tblOrdenes[[#This Row],[orden]]="","",_xlfn.XLOOKUP(tblOrdenes[[#This Row],[id_operacion]],tblEjecucion[id_operacion],tblEjecucion[precio],0))</f>
        <v/>
      </c>
      <c r="AJ887" s="10">
        <f>IF(tblOrdenes[[#This Row],[orden]]="","",MAX(0,_xlfn.XLOOKUP(tblOrdenes[[#This Row],[id_operacion]],tblEjecucion[id_operacion],tblEjecucion[costo_plan_total],0)-tblOrdenes[[#This Row],[costo_servicio]]))</f>
        <v/>
      </c>
      <c r="AK887" s="10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2">
        <f>IF(tblOrdenes[[#This Row],[fecha_inicio]]="","",TODAY()-tblOrdenes[[#This Row],[fecha_inicio]])</f>
        <v/>
      </c>
      <c r="AB8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0">
        <f>IF(tblOrdenes[[#This Row],[orden]]="","",_xlfn.XLOOKUP(tblOrdenes[[#This Row],[id_operacion]],tblEjecucion[id_operacion],tblEjecucion[precio],0))</f>
        <v/>
      </c>
      <c r="AJ888" s="10">
        <f>IF(tblOrdenes[[#This Row],[orden]]="","",MAX(0,_xlfn.XLOOKUP(tblOrdenes[[#This Row],[id_operacion]],tblEjecucion[id_operacion],tblEjecucion[costo_plan_total],0)-tblOrdenes[[#This Row],[costo_servicio]]))</f>
        <v/>
      </c>
      <c r="AK888" s="10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2">
        <f>IF(tblOrdenes[[#This Row],[fecha_inicio]]="","",TODAY()-tblOrdenes[[#This Row],[fecha_inicio]])</f>
        <v/>
      </c>
      <c r="AB8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0">
        <f>IF(tblOrdenes[[#This Row],[orden]]="","",_xlfn.XLOOKUP(tblOrdenes[[#This Row],[id_operacion]],tblEjecucion[id_operacion],tblEjecucion[precio],0))</f>
        <v/>
      </c>
      <c r="AJ889" s="10">
        <f>IF(tblOrdenes[[#This Row],[orden]]="","",MAX(0,_xlfn.XLOOKUP(tblOrdenes[[#This Row],[id_operacion]],tblEjecucion[id_operacion],tblEjecucion[costo_plan_total],0)-tblOrdenes[[#This Row],[costo_servicio]]))</f>
        <v/>
      </c>
      <c r="AK889" s="10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2">
        <f>IF(tblOrdenes[[#This Row],[fecha_inicio]]="","",TODAY()-tblOrdenes[[#This Row],[fecha_inicio]])</f>
        <v/>
      </c>
      <c r="AB8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0">
        <f>IF(tblOrdenes[[#This Row],[orden]]="","",_xlfn.XLOOKUP(tblOrdenes[[#This Row],[id_operacion]],tblEjecucion[id_operacion],tblEjecucion[precio],0))</f>
        <v/>
      </c>
      <c r="AJ890" s="10">
        <f>IF(tblOrdenes[[#This Row],[orden]]="","",MAX(0,_xlfn.XLOOKUP(tblOrdenes[[#This Row],[id_operacion]],tblEjecucion[id_operacion],tblEjecucion[costo_plan_total],0)-tblOrdenes[[#This Row],[costo_servicio]]))</f>
        <v/>
      </c>
      <c r="AK890" s="10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2">
        <f>IF(tblOrdenes[[#This Row],[fecha_inicio]]="","",TODAY()-tblOrdenes[[#This Row],[fecha_inicio]])</f>
        <v/>
      </c>
      <c r="AB8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0">
        <f>IF(tblOrdenes[[#This Row],[orden]]="","",_xlfn.XLOOKUP(tblOrdenes[[#This Row],[id_operacion]],tblEjecucion[id_operacion],tblEjecucion[precio],0))</f>
        <v/>
      </c>
      <c r="AJ891" s="10">
        <f>IF(tblOrdenes[[#This Row],[orden]]="","",MAX(0,_xlfn.XLOOKUP(tblOrdenes[[#This Row],[id_operacion]],tblEjecucion[id_operacion],tblEjecucion[costo_plan_total],0)-tblOrdenes[[#This Row],[costo_servicio]]))</f>
        <v/>
      </c>
      <c r="AK891" s="10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2">
        <f>IF(tblOrdenes[[#This Row],[fecha_inicio]]="","",TODAY()-tblOrdenes[[#This Row],[fecha_inicio]])</f>
        <v/>
      </c>
      <c r="AB8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0">
        <f>IF(tblOrdenes[[#This Row],[orden]]="","",_xlfn.XLOOKUP(tblOrdenes[[#This Row],[id_operacion]],tblEjecucion[id_operacion],tblEjecucion[precio],0))</f>
        <v/>
      </c>
      <c r="AJ892" s="10">
        <f>IF(tblOrdenes[[#This Row],[orden]]="","",MAX(0,_xlfn.XLOOKUP(tblOrdenes[[#This Row],[id_operacion]],tblEjecucion[id_operacion],tblEjecucion[costo_plan_total],0)-tblOrdenes[[#This Row],[costo_servicio]]))</f>
        <v/>
      </c>
      <c r="AK892" s="10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2">
        <f>IF(tblOrdenes[[#This Row],[fecha_inicio]]="","",TODAY()-tblOrdenes[[#This Row],[fecha_inicio]])</f>
        <v/>
      </c>
      <c r="AB8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0">
        <f>IF(tblOrdenes[[#This Row],[orden]]="","",_xlfn.XLOOKUP(tblOrdenes[[#This Row],[id_operacion]],tblEjecucion[id_operacion],tblEjecucion[precio],0))</f>
        <v/>
      </c>
      <c r="AJ893" s="10">
        <f>IF(tblOrdenes[[#This Row],[orden]]="","",MAX(0,_xlfn.XLOOKUP(tblOrdenes[[#This Row],[id_operacion]],tblEjecucion[id_operacion],tblEjecucion[costo_plan_total],0)-tblOrdenes[[#This Row],[costo_servicio]]))</f>
        <v/>
      </c>
      <c r="AK893" s="10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2">
        <f>IF(tblOrdenes[[#This Row],[fecha_inicio]]="","",TODAY()-tblOrdenes[[#This Row],[fecha_inicio]])</f>
        <v/>
      </c>
      <c r="AB8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0">
        <f>IF(tblOrdenes[[#This Row],[orden]]="","",_xlfn.XLOOKUP(tblOrdenes[[#This Row],[id_operacion]],tblEjecucion[id_operacion],tblEjecucion[precio],0))</f>
        <v/>
      </c>
      <c r="AJ894" s="10">
        <f>IF(tblOrdenes[[#This Row],[orden]]="","",MAX(0,_xlfn.XLOOKUP(tblOrdenes[[#This Row],[id_operacion]],tblEjecucion[id_operacion],tblEjecucion[costo_plan_total],0)-tblOrdenes[[#This Row],[costo_servicio]]))</f>
        <v/>
      </c>
      <c r="AK894" s="10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2">
        <f>IF(tblOrdenes[[#This Row],[fecha_inicio]]="","",TODAY()-tblOrdenes[[#This Row],[fecha_inicio]])</f>
        <v/>
      </c>
      <c r="AB8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0">
        <f>IF(tblOrdenes[[#This Row],[orden]]="","",_xlfn.XLOOKUP(tblOrdenes[[#This Row],[id_operacion]],tblEjecucion[id_operacion],tblEjecucion[precio],0))</f>
        <v/>
      </c>
      <c r="AJ895" s="10">
        <f>IF(tblOrdenes[[#This Row],[orden]]="","",MAX(0,_xlfn.XLOOKUP(tblOrdenes[[#This Row],[id_operacion]],tblEjecucion[id_operacion],tblEjecucion[costo_plan_total],0)-tblOrdenes[[#This Row],[costo_servicio]]))</f>
        <v/>
      </c>
      <c r="AK895" s="10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2">
        <f>IF(tblOrdenes[[#This Row],[fecha_inicio]]="","",TODAY()-tblOrdenes[[#This Row],[fecha_inicio]])</f>
        <v/>
      </c>
      <c r="AB8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0">
        <f>IF(tblOrdenes[[#This Row],[orden]]="","",_xlfn.XLOOKUP(tblOrdenes[[#This Row],[id_operacion]],tblEjecucion[id_operacion],tblEjecucion[precio],0))</f>
        <v/>
      </c>
      <c r="AJ896" s="10">
        <f>IF(tblOrdenes[[#This Row],[orden]]="","",MAX(0,_xlfn.XLOOKUP(tblOrdenes[[#This Row],[id_operacion]],tblEjecucion[id_operacion],tblEjecucion[costo_plan_total],0)-tblOrdenes[[#This Row],[costo_servicio]]))</f>
        <v/>
      </c>
      <c r="AK896" s="10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2">
        <f>IF(tblOrdenes[[#This Row],[fecha_inicio]]="","",TODAY()-tblOrdenes[[#This Row],[fecha_inicio]])</f>
        <v/>
      </c>
      <c r="AB8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0">
        <f>IF(tblOrdenes[[#This Row],[orden]]="","",_xlfn.XLOOKUP(tblOrdenes[[#This Row],[id_operacion]],tblEjecucion[id_operacion],tblEjecucion[precio],0))</f>
        <v/>
      </c>
      <c r="AJ897" s="10">
        <f>IF(tblOrdenes[[#This Row],[orden]]="","",MAX(0,_xlfn.XLOOKUP(tblOrdenes[[#This Row],[id_operacion]],tblEjecucion[id_operacion],tblEjecucion[costo_plan_total],0)-tblOrdenes[[#This Row],[costo_servicio]]))</f>
        <v/>
      </c>
      <c r="AK897" s="10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2">
        <f>IF(tblOrdenes[[#This Row],[fecha_inicio]]="","",TODAY()-tblOrdenes[[#This Row],[fecha_inicio]])</f>
        <v/>
      </c>
      <c r="AB8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0">
        <f>IF(tblOrdenes[[#This Row],[orden]]="","",_xlfn.XLOOKUP(tblOrdenes[[#This Row],[id_operacion]],tblEjecucion[id_operacion],tblEjecucion[precio],0))</f>
        <v/>
      </c>
      <c r="AJ898" s="10">
        <f>IF(tblOrdenes[[#This Row],[orden]]="","",MAX(0,_xlfn.XLOOKUP(tblOrdenes[[#This Row],[id_operacion]],tblEjecucion[id_operacion],tblEjecucion[costo_plan_total],0)-tblOrdenes[[#This Row],[costo_servicio]]))</f>
        <v/>
      </c>
      <c r="AK898" s="10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2">
        <f>IF(tblOrdenes[[#This Row],[fecha_inicio]]="","",TODAY()-tblOrdenes[[#This Row],[fecha_inicio]])</f>
        <v/>
      </c>
      <c r="AB8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0">
        <f>IF(tblOrdenes[[#This Row],[orden]]="","",_xlfn.XLOOKUP(tblOrdenes[[#This Row],[id_operacion]],tblEjecucion[id_operacion],tblEjecucion[precio],0))</f>
        <v/>
      </c>
      <c r="AJ899" s="10">
        <f>IF(tblOrdenes[[#This Row],[orden]]="","",MAX(0,_xlfn.XLOOKUP(tblOrdenes[[#This Row],[id_operacion]],tblEjecucion[id_operacion],tblEjecucion[costo_plan_total],0)-tblOrdenes[[#This Row],[costo_servicio]]))</f>
        <v/>
      </c>
      <c r="AK899" s="10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2">
        <f>IF(tblOrdenes[[#This Row],[fecha_inicio]]="","",TODAY()-tblOrdenes[[#This Row],[fecha_inicio]])</f>
        <v/>
      </c>
      <c r="AB9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0">
        <f>IF(tblOrdenes[[#This Row],[orden]]="","",_xlfn.XLOOKUP(tblOrdenes[[#This Row],[id_operacion]],tblEjecucion[id_operacion],tblEjecucion[precio],0))</f>
        <v/>
      </c>
      <c r="AJ900" s="10">
        <f>IF(tblOrdenes[[#This Row],[orden]]="","",MAX(0,_xlfn.XLOOKUP(tblOrdenes[[#This Row],[id_operacion]],tblEjecucion[id_operacion],tblEjecucion[costo_plan_total],0)-tblOrdenes[[#This Row],[costo_servicio]]))</f>
        <v/>
      </c>
      <c r="AK900" s="10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2">
        <f>IF(tblOrdenes[[#This Row],[fecha_inicio]]="","",TODAY()-tblOrdenes[[#This Row],[fecha_inicio]])</f>
        <v/>
      </c>
      <c r="AB9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0">
        <f>IF(tblOrdenes[[#This Row],[orden]]="","",_xlfn.XLOOKUP(tblOrdenes[[#This Row],[id_operacion]],tblEjecucion[id_operacion],tblEjecucion[precio],0))</f>
        <v/>
      </c>
      <c r="AJ901" s="10">
        <f>IF(tblOrdenes[[#This Row],[orden]]="","",MAX(0,_xlfn.XLOOKUP(tblOrdenes[[#This Row],[id_operacion]],tblEjecucion[id_operacion],tblEjecucion[costo_plan_total],0)-tblOrdenes[[#This Row],[costo_servicio]]))</f>
        <v/>
      </c>
      <c r="AK901" s="10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2">
        <f>IF(tblOrdenes[[#This Row],[fecha_inicio]]="","",TODAY()-tblOrdenes[[#This Row],[fecha_inicio]])</f>
        <v/>
      </c>
      <c r="AB9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0">
        <f>IF(tblOrdenes[[#This Row],[orden]]="","",_xlfn.XLOOKUP(tblOrdenes[[#This Row],[id_operacion]],tblEjecucion[id_operacion],tblEjecucion[precio],0))</f>
        <v/>
      </c>
      <c r="AJ902" s="10">
        <f>IF(tblOrdenes[[#This Row],[orden]]="","",MAX(0,_xlfn.XLOOKUP(tblOrdenes[[#This Row],[id_operacion]],tblEjecucion[id_operacion],tblEjecucion[costo_plan_total],0)-tblOrdenes[[#This Row],[costo_servicio]]))</f>
        <v/>
      </c>
      <c r="AK902" s="10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2">
        <f>IF(tblOrdenes[[#This Row],[fecha_inicio]]="","",TODAY()-tblOrdenes[[#This Row],[fecha_inicio]])</f>
        <v/>
      </c>
      <c r="AB9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0">
        <f>IF(tblOrdenes[[#This Row],[orden]]="","",_xlfn.XLOOKUP(tblOrdenes[[#This Row],[id_operacion]],tblEjecucion[id_operacion],tblEjecucion[precio],0))</f>
        <v/>
      </c>
      <c r="AJ903" s="10">
        <f>IF(tblOrdenes[[#This Row],[orden]]="","",MAX(0,_xlfn.XLOOKUP(tblOrdenes[[#This Row],[id_operacion]],tblEjecucion[id_operacion],tblEjecucion[costo_plan_total],0)-tblOrdenes[[#This Row],[costo_servicio]]))</f>
        <v/>
      </c>
      <c r="AK903" s="10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2">
        <f>IF(tblOrdenes[[#This Row],[fecha_inicio]]="","",TODAY()-tblOrdenes[[#This Row],[fecha_inicio]])</f>
        <v/>
      </c>
      <c r="AB9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0">
        <f>IF(tblOrdenes[[#This Row],[orden]]="","",_xlfn.XLOOKUP(tblOrdenes[[#This Row],[id_operacion]],tblEjecucion[id_operacion],tblEjecucion[precio],0))</f>
        <v/>
      </c>
      <c r="AJ904" s="10">
        <f>IF(tblOrdenes[[#This Row],[orden]]="","",MAX(0,_xlfn.XLOOKUP(tblOrdenes[[#This Row],[id_operacion]],tblEjecucion[id_operacion],tblEjecucion[costo_plan_total],0)-tblOrdenes[[#This Row],[costo_servicio]]))</f>
        <v/>
      </c>
      <c r="AK904" s="10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2">
        <f>IF(tblOrdenes[[#This Row],[fecha_inicio]]="","",TODAY()-tblOrdenes[[#This Row],[fecha_inicio]])</f>
        <v/>
      </c>
      <c r="AB9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0">
        <f>IF(tblOrdenes[[#This Row],[orden]]="","",_xlfn.XLOOKUP(tblOrdenes[[#This Row],[id_operacion]],tblEjecucion[id_operacion],tblEjecucion[precio],0))</f>
        <v/>
      </c>
      <c r="AJ905" s="10">
        <f>IF(tblOrdenes[[#This Row],[orden]]="","",MAX(0,_xlfn.XLOOKUP(tblOrdenes[[#This Row],[id_operacion]],tblEjecucion[id_operacion],tblEjecucion[costo_plan_total],0)-tblOrdenes[[#This Row],[costo_servicio]]))</f>
        <v/>
      </c>
      <c r="AK905" s="10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2">
        <f>IF(tblOrdenes[[#This Row],[fecha_inicio]]="","",TODAY()-tblOrdenes[[#This Row],[fecha_inicio]])</f>
        <v/>
      </c>
      <c r="AB9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0">
        <f>IF(tblOrdenes[[#This Row],[orden]]="","",_xlfn.XLOOKUP(tblOrdenes[[#This Row],[id_operacion]],tblEjecucion[id_operacion],tblEjecucion[precio],0))</f>
        <v/>
      </c>
      <c r="AJ906" s="10">
        <f>IF(tblOrdenes[[#This Row],[orden]]="","",MAX(0,_xlfn.XLOOKUP(tblOrdenes[[#This Row],[id_operacion]],tblEjecucion[id_operacion],tblEjecucion[costo_plan_total],0)-tblOrdenes[[#This Row],[costo_servicio]]))</f>
        <v/>
      </c>
      <c r="AK906" s="10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2">
        <f>IF(tblOrdenes[[#This Row],[fecha_inicio]]="","",TODAY()-tblOrdenes[[#This Row],[fecha_inicio]])</f>
        <v/>
      </c>
      <c r="AB9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0">
        <f>IF(tblOrdenes[[#This Row],[orden]]="","",_xlfn.XLOOKUP(tblOrdenes[[#This Row],[id_operacion]],tblEjecucion[id_operacion],tblEjecucion[precio],0))</f>
        <v/>
      </c>
      <c r="AJ907" s="10">
        <f>IF(tblOrdenes[[#This Row],[orden]]="","",MAX(0,_xlfn.XLOOKUP(tblOrdenes[[#This Row],[id_operacion]],tblEjecucion[id_operacion],tblEjecucion[costo_plan_total],0)-tblOrdenes[[#This Row],[costo_servicio]]))</f>
        <v/>
      </c>
      <c r="AK907" s="10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2">
        <f>IF(tblOrdenes[[#This Row],[fecha_inicio]]="","",TODAY()-tblOrdenes[[#This Row],[fecha_inicio]])</f>
        <v/>
      </c>
      <c r="AB9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0">
        <f>IF(tblOrdenes[[#This Row],[orden]]="","",_xlfn.XLOOKUP(tblOrdenes[[#This Row],[id_operacion]],tblEjecucion[id_operacion],tblEjecucion[precio],0))</f>
        <v/>
      </c>
      <c r="AJ908" s="10">
        <f>IF(tblOrdenes[[#This Row],[orden]]="","",MAX(0,_xlfn.XLOOKUP(tblOrdenes[[#This Row],[id_operacion]],tblEjecucion[id_operacion],tblEjecucion[costo_plan_total],0)-tblOrdenes[[#This Row],[costo_servicio]]))</f>
        <v/>
      </c>
      <c r="AK908" s="10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2">
        <f>IF(tblOrdenes[[#This Row],[fecha_inicio]]="","",TODAY()-tblOrdenes[[#This Row],[fecha_inicio]])</f>
        <v/>
      </c>
      <c r="AB9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0">
        <f>IF(tblOrdenes[[#This Row],[orden]]="","",_xlfn.XLOOKUP(tblOrdenes[[#This Row],[id_operacion]],tblEjecucion[id_operacion],tblEjecucion[precio],0))</f>
        <v/>
      </c>
      <c r="AJ909" s="10">
        <f>IF(tblOrdenes[[#This Row],[orden]]="","",MAX(0,_xlfn.XLOOKUP(tblOrdenes[[#This Row],[id_operacion]],tblEjecucion[id_operacion],tblEjecucion[costo_plan_total],0)-tblOrdenes[[#This Row],[costo_servicio]]))</f>
        <v/>
      </c>
      <c r="AK909" s="10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2">
        <f>IF(tblOrdenes[[#This Row],[fecha_inicio]]="","",TODAY()-tblOrdenes[[#This Row],[fecha_inicio]])</f>
        <v/>
      </c>
      <c r="AB9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0">
        <f>IF(tblOrdenes[[#This Row],[orden]]="","",_xlfn.XLOOKUP(tblOrdenes[[#This Row],[id_operacion]],tblEjecucion[id_operacion],tblEjecucion[precio],0))</f>
        <v/>
      </c>
      <c r="AJ910" s="10">
        <f>IF(tblOrdenes[[#This Row],[orden]]="","",MAX(0,_xlfn.XLOOKUP(tblOrdenes[[#This Row],[id_operacion]],tblEjecucion[id_operacion],tblEjecucion[costo_plan_total],0)-tblOrdenes[[#This Row],[costo_servicio]]))</f>
        <v/>
      </c>
      <c r="AK910" s="10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2">
        <f>IF(tblOrdenes[[#This Row],[fecha_inicio]]="","",TODAY()-tblOrdenes[[#This Row],[fecha_inicio]])</f>
        <v/>
      </c>
      <c r="AB9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0">
        <f>IF(tblOrdenes[[#This Row],[orden]]="","",_xlfn.XLOOKUP(tblOrdenes[[#This Row],[id_operacion]],tblEjecucion[id_operacion],tblEjecucion[precio],0))</f>
        <v/>
      </c>
      <c r="AJ911" s="10">
        <f>IF(tblOrdenes[[#This Row],[orden]]="","",MAX(0,_xlfn.XLOOKUP(tblOrdenes[[#This Row],[id_operacion]],tblEjecucion[id_operacion],tblEjecucion[costo_plan_total],0)-tblOrdenes[[#This Row],[costo_servicio]]))</f>
        <v/>
      </c>
      <c r="AK911" s="10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2">
        <f>IF(tblOrdenes[[#This Row],[fecha_inicio]]="","",TODAY()-tblOrdenes[[#This Row],[fecha_inicio]])</f>
        <v/>
      </c>
      <c r="AB9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0">
        <f>IF(tblOrdenes[[#This Row],[orden]]="","",_xlfn.XLOOKUP(tblOrdenes[[#This Row],[id_operacion]],tblEjecucion[id_operacion],tblEjecucion[precio],0))</f>
        <v/>
      </c>
      <c r="AJ912" s="10">
        <f>IF(tblOrdenes[[#This Row],[orden]]="","",MAX(0,_xlfn.XLOOKUP(tblOrdenes[[#This Row],[id_operacion]],tblEjecucion[id_operacion],tblEjecucion[costo_plan_total],0)-tblOrdenes[[#This Row],[costo_servicio]]))</f>
        <v/>
      </c>
      <c r="AK912" s="10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2">
        <f>IF(tblOrdenes[[#This Row],[fecha_inicio]]="","",TODAY()-tblOrdenes[[#This Row],[fecha_inicio]])</f>
        <v/>
      </c>
      <c r="AB9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0">
        <f>IF(tblOrdenes[[#This Row],[orden]]="","",_xlfn.XLOOKUP(tblOrdenes[[#This Row],[id_operacion]],tblEjecucion[id_operacion],tblEjecucion[precio],0))</f>
        <v/>
      </c>
      <c r="AJ913" s="10">
        <f>IF(tblOrdenes[[#This Row],[orden]]="","",MAX(0,_xlfn.XLOOKUP(tblOrdenes[[#This Row],[id_operacion]],tblEjecucion[id_operacion],tblEjecucion[costo_plan_total],0)-tblOrdenes[[#This Row],[costo_servicio]]))</f>
        <v/>
      </c>
      <c r="AK913" s="10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2">
        <f>IF(tblOrdenes[[#This Row],[fecha_inicio]]="","",TODAY()-tblOrdenes[[#This Row],[fecha_inicio]])</f>
        <v/>
      </c>
      <c r="AB9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0">
        <f>IF(tblOrdenes[[#This Row],[orden]]="","",_xlfn.XLOOKUP(tblOrdenes[[#This Row],[id_operacion]],tblEjecucion[id_operacion],tblEjecucion[precio],0))</f>
        <v/>
      </c>
      <c r="AJ914" s="10">
        <f>IF(tblOrdenes[[#This Row],[orden]]="","",MAX(0,_xlfn.XLOOKUP(tblOrdenes[[#This Row],[id_operacion]],tblEjecucion[id_operacion],tblEjecucion[costo_plan_total],0)-tblOrdenes[[#This Row],[costo_servicio]]))</f>
        <v/>
      </c>
      <c r="AK914" s="10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2">
        <f>IF(tblOrdenes[[#This Row],[fecha_inicio]]="","",TODAY()-tblOrdenes[[#This Row],[fecha_inicio]])</f>
        <v/>
      </c>
      <c r="AB9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0">
        <f>IF(tblOrdenes[[#This Row],[orden]]="","",_xlfn.XLOOKUP(tblOrdenes[[#This Row],[id_operacion]],tblEjecucion[id_operacion],tblEjecucion[precio],0))</f>
        <v/>
      </c>
      <c r="AJ915" s="10">
        <f>IF(tblOrdenes[[#This Row],[orden]]="","",MAX(0,_xlfn.XLOOKUP(tblOrdenes[[#This Row],[id_operacion]],tblEjecucion[id_operacion],tblEjecucion[costo_plan_total],0)-tblOrdenes[[#This Row],[costo_servicio]]))</f>
        <v/>
      </c>
      <c r="AK915" s="10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2">
        <f>IF(tblOrdenes[[#This Row],[fecha_inicio]]="","",TODAY()-tblOrdenes[[#This Row],[fecha_inicio]])</f>
        <v/>
      </c>
      <c r="AB9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0">
        <f>IF(tblOrdenes[[#This Row],[orden]]="","",_xlfn.XLOOKUP(tblOrdenes[[#This Row],[id_operacion]],tblEjecucion[id_operacion],tblEjecucion[precio],0))</f>
        <v/>
      </c>
      <c r="AJ916" s="10">
        <f>IF(tblOrdenes[[#This Row],[orden]]="","",MAX(0,_xlfn.XLOOKUP(tblOrdenes[[#This Row],[id_operacion]],tblEjecucion[id_operacion],tblEjecucion[costo_plan_total],0)-tblOrdenes[[#This Row],[costo_servicio]]))</f>
        <v/>
      </c>
      <c r="AK916" s="10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2">
        <f>IF(tblOrdenes[[#This Row],[fecha_inicio]]="","",TODAY()-tblOrdenes[[#This Row],[fecha_inicio]])</f>
        <v/>
      </c>
      <c r="AB9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0">
        <f>IF(tblOrdenes[[#This Row],[orden]]="","",_xlfn.XLOOKUP(tblOrdenes[[#This Row],[id_operacion]],tblEjecucion[id_operacion],tblEjecucion[precio],0))</f>
        <v/>
      </c>
      <c r="AJ917" s="10">
        <f>IF(tblOrdenes[[#This Row],[orden]]="","",MAX(0,_xlfn.XLOOKUP(tblOrdenes[[#This Row],[id_operacion]],tblEjecucion[id_operacion],tblEjecucion[costo_plan_total],0)-tblOrdenes[[#This Row],[costo_servicio]]))</f>
        <v/>
      </c>
      <c r="AK917" s="10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2">
        <f>IF(tblOrdenes[[#This Row],[fecha_inicio]]="","",TODAY()-tblOrdenes[[#This Row],[fecha_inicio]])</f>
        <v/>
      </c>
      <c r="AB9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0">
        <f>IF(tblOrdenes[[#This Row],[orden]]="","",_xlfn.XLOOKUP(tblOrdenes[[#This Row],[id_operacion]],tblEjecucion[id_operacion],tblEjecucion[precio],0))</f>
        <v/>
      </c>
      <c r="AJ918" s="10">
        <f>IF(tblOrdenes[[#This Row],[orden]]="","",MAX(0,_xlfn.XLOOKUP(tblOrdenes[[#This Row],[id_operacion]],tblEjecucion[id_operacion],tblEjecucion[costo_plan_total],0)-tblOrdenes[[#This Row],[costo_servicio]]))</f>
        <v/>
      </c>
      <c r="AK918" s="10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2">
        <f>IF(tblOrdenes[[#This Row],[fecha_inicio]]="","",TODAY()-tblOrdenes[[#This Row],[fecha_inicio]])</f>
        <v/>
      </c>
      <c r="AB9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0">
        <f>IF(tblOrdenes[[#This Row],[orden]]="","",_xlfn.XLOOKUP(tblOrdenes[[#This Row],[id_operacion]],tblEjecucion[id_operacion],tblEjecucion[precio],0))</f>
        <v/>
      </c>
      <c r="AJ919" s="10">
        <f>IF(tblOrdenes[[#This Row],[orden]]="","",MAX(0,_xlfn.XLOOKUP(tblOrdenes[[#This Row],[id_operacion]],tblEjecucion[id_operacion],tblEjecucion[costo_plan_total],0)-tblOrdenes[[#This Row],[costo_servicio]]))</f>
        <v/>
      </c>
      <c r="AK919" s="10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2">
        <f>IF(tblOrdenes[[#This Row],[fecha_inicio]]="","",TODAY()-tblOrdenes[[#This Row],[fecha_inicio]])</f>
        <v/>
      </c>
      <c r="AB9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0">
        <f>IF(tblOrdenes[[#This Row],[orden]]="","",_xlfn.XLOOKUP(tblOrdenes[[#This Row],[id_operacion]],tblEjecucion[id_operacion],tblEjecucion[precio],0))</f>
        <v/>
      </c>
      <c r="AJ920" s="10">
        <f>IF(tblOrdenes[[#This Row],[orden]]="","",MAX(0,_xlfn.XLOOKUP(tblOrdenes[[#This Row],[id_operacion]],tblEjecucion[id_operacion],tblEjecucion[costo_plan_total],0)-tblOrdenes[[#This Row],[costo_servicio]]))</f>
        <v/>
      </c>
      <c r="AK920" s="10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2">
        <f>IF(tblOrdenes[[#This Row],[fecha_inicio]]="","",TODAY()-tblOrdenes[[#This Row],[fecha_inicio]])</f>
        <v/>
      </c>
      <c r="AB9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0">
        <f>IF(tblOrdenes[[#This Row],[orden]]="","",_xlfn.XLOOKUP(tblOrdenes[[#This Row],[id_operacion]],tblEjecucion[id_operacion],tblEjecucion[precio],0))</f>
        <v/>
      </c>
      <c r="AJ921" s="10">
        <f>IF(tblOrdenes[[#This Row],[orden]]="","",MAX(0,_xlfn.XLOOKUP(tblOrdenes[[#This Row],[id_operacion]],tblEjecucion[id_operacion],tblEjecucion[costo_plan_total],0)-tblOrdenes[[#This Row],[costo_servicio]]))</f>
        <v/>
      </c>
      <c r="AK921" s="10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2">
        <f>IF(tblOrdenes[[#This Row],[fecha_inicio]]="","",TODAY()-tblOrdenes[[#This Row],[fecha_inicio]])</f>
        <v/>
      </c>
      <c r="AB9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0">
        <f>IF(tblOrdenes[[#This Row],[orden]]="","",_xlfn.XLOOKUP(tblOrdenes[[#This Row],[id_operacion]],tblEjecucion[id_operacion],tblEjecucion[precio],0))</f>
        <v/>
      </c>
      <c r="AJ922" s="10">
        <f>IF(tblOrdenes[[#This Row],[orden]]="","",MAX(0,_xlfn.XLOOKUP(tblOrdenes[[#This Row],[id_operacion]],tblEjecucion[id_operacion],tblEjecucion[costo_plan_total],0)-tblOrdenes[[#This Row],[costo_servicio]]))</f>
        <v/>
      </c>
      <c r="AK922" s="10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2">
        <f>IF(tblOrdenes[[#This Row],[fecha_inicio]]="","",TODAY()-tblOrdenes[[#This Row],[fecha_inicio]])</f>
        <v/>
      </c>
      <c r="AB9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0">
        <f>IF(tblOrdenes[[#This Row],[orden]]="","",_xlfn.XLOOKUP(tblOrdenes[[#This Row],[id_operacion]],tblEjecucion[id_operacion],tblEjecucion[precio],0))</f>
        <v/>
      </c>
      <c r="AJ923" s="10">
        <f>IF(tblOrdenes[[#This Row],[orden]]="","",MAX(0,_xlfn.XLOOKUP(tblOrdenes[[#This Row],[id_operacion]],tblEjecucion[id_operacion],tblEjecucion[costo_plan_total],0)-tblOrdenes[[#This Row],[costo_servicio]]))</f>
        <v/>
      </c>
      <c r="AK923" s="10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2">
        <f>IF(tblOrdenes[[#This Row],[fecha_inicio]]="","",TODAY()-tblOrdenes[[#This Row],[fecha_inicio]])</f>
        <v/>
      </c>
      <c r="AB9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0">
        <f>IF(tblOrdenes[[#This Row],[orden]]="","",_xlfn.XLOOKUP(tblOrdenes[[#This Row],[id_operacion]],tblEjecucion[id_operacion],tblEjecucion[precio],0))</f>
        <v/>
      </c>
      <c r="AJ924" s="10">
        <f>IF(tblOrdenes[[#This Row],[orden]]="","",MAX(0,_xlfn.XLOOKUP(tblOrdenes[[#This Row],[id_operacion]],tblEjecucion[id_operacion],tblEjecucion[costo_plan_total],0)-tblOrdenes[[#This Row],[costo_servicio]]))</f>
        <v/>
      </c>
      <c r="AK924" s="10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2">
        <f>IF(tblOrdenes[[#This Row],[fecha_inicio]]="","",TODAY()-tblOrdenes[[#This Row],[fecha_inicio]])</f>
        <v/>
      </c>
      <c r="AB9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0">
        <f>IF(tblOrdenes[[#This Row],[orden]]="","",_xlfn.XLOOKUP(tblOrdenes[[#This Row],[id_operacion]],tblEjecucion[id_operacion],tblEjecucion[precio],0))</f>
        <v/>
      </c>
      <c r="AJ925" s="10">
        <f>IF(tblOrdenes[[#This Row],[orden]]="","",MAX(0,_xlfn.XLOOKUP(tblOrdenes[[#This Row],[id_operacion]],tblEjecucion[id_operacion],tblEjecucion[costo_plan_total],0)-tblOrdenes[[#This Row],[costo_servicio]]))</f>
        <v/>
      </c>
      <c r="AK925" s="10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2">
        <f>IF(tblOrdenes[[#This Row],[fecha_inicio]]="","",TODAY()-tblOrdenes[[#This Row],[fecha_inicio]])</f>
        <v/>
      </c>
      <c r="AB9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0">
        <f>IF(tblOrdenes[[#This Row],[orden]]="","",_xlfn.XLOOKUP(tblOrdenes[[#This Row],[id_operacion]],tblEjecucion[id_operacion],tblEjecucion[precio],0))</f>
        <v/>
      </c>
      <c r="AJ926" s="10">
        <f>IF(tblOrdenes[[#This Row],[orden]]="","",MAX(0,_xlfn.XLOOKUP(tblOrdenes[[#This Row],[id_operacion]],tblEjecucion[id_operacion],tblEjecucion[costo_plan_total],0)-tblOrdenes[[#This Row],[costo_servicio]]))</f>
        <v/>
      </c>
      <c r="AK926" s="10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2">
        <f>IF(tblOrdenes[[#This Row],[fecha_inicio]]="","",TODAY()-tblOrdenes[[#This Row],[fecha_inicio]])</f>
        <v/>
      </c>
      <c r="AB9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0">
        <f>IF(tblOrdenes[[#This Row],[orden]]="","",_xlfn.XLOOKUP(tblOrdenes[[#This Row],[id_operacion]],tblEjecucion[id_operacion],tblEjecucion[precio],0))</f>
        <v/>
      </c>
      <c r="AJ927" s="10">
        <f>IF(tblOrdenes[[#This Row],[orden]]="","",MAX(0,_xlfn.XLOOKUP(tblOrdenes[[#This Row],[id_operacion]],tblEjecucion[id_operacion],tblEjecucion[costo_plan_total],0)-tblOrdenes[[#This Row],[costo_servicio]]))</f>
        <v/>
      </c>
      <c r="AK927" s="10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2">
        <f>IF(tblOrdenes[[#This Row],[fecha_inicio]]="","",TODAY()-tblOrdenes[[#This Row],[fecha_inicio]])</f>
        <v/>
      </c>
      <c r="AB9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0">
        <f>IF(tblOrdenes[[#This Row],[orden]]="","",_xlfn.XLOOKUP(tblOrdenes[[#This Row],[id_operacion]],tblEjecucion[id_operacion],tblEjecucion[precio],0))</f>
        <v/>
      </c>
      <c r="AJ928" s="10">
        <f>IF(tblOrdenes[[#This Row],[orden]]="","",MAX(0,_xlfn.XLOOKUP(tblOrdenes[[#This Row],[id_operacion]],tblEjecucion[id_operacion],tblEjecucion[costo_plan_total],0)-tblOrdenes[[#This Row],[costo_servicio]]))</f>
        <v/>
      </c>
      <c r="AK928" s="10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2">
        <f>IF(tblOrdenes[[#This Row],[fecha_inicio]]="","",TODAY()-tblOrdenes[[#This Row],[fecha_inicio]])</f>
        <v/>
      </c>
      <c r="AB9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0">
        <f>IF(tblOrdenes[[#This Row],[orden]]="","",_xlfn.XLOOKUP(tblOrdenes[[#This Row],[id_operacion]],tblEjecucion[id_operacion],tblEjecucion[precio],0))</f>
        <v/>
      </c>
      <c r="AJ929" s="10">
        <f>IF(tblOrdenes[[#This Row],[orden]]="","",MAX(0,_xlfn.XLOOKUP(tblOrdenes[[#This Row],[id_operacion]],tblEjecucion[id_operacion],tblEjecucion[costo_plan_total],0)-tblOrdenes[[#This Row],[costo_servicio]]))</f>
        <v/>
      </c>
      <c r="AK929" s="10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2">
        <f>IF(tblOrdenes[[#This Row],[fecha_inicio]]="","",TODAY()-tblOrdenes[[#This Row],[fecha_inicio]])</f>
        <v/>
      </c>
      <c r="AB9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0">
        <f>IF(tblOrdenes[[#This Row],[orden]]="","",_xlfn.XLOOKUP(tblOrdenes[[#This Row],[id_operacion]],tblEjecucion[id_operacion],tblEjecucion[precio],0))</f>
        <v/>
      </c>
      <c r="AJ930" s="10">
        <f>IF(tblOrdenes[[#This Row],[orden]]="","",MAX(0,_xlfn.XLOOKUP(tblOrdenes[[#This Row],[id_operacion]],tblEjecucion[id_operacion],tblEjecucion[costo_plan_total],0)-tblOrdenes[[#This Row],[costo_servicio]]))</f>
        <v/>
      </c>
      <c r="AK930" s="10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2">
        <f>IF(tblOrdenes[[#This Row],[fecha_inicio]]="","",TODAY()-tblOrdenes[[#This Row],[fecha_inicio]])</f>
        <v/>
      </c>
      <c r="AB9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0">
        <f>IF(tblOrdenes[[#This Row],[orden]]="","",_xlfn.XLOOKUP(tblOrdenes[[#This Row],[id_operacion]],tblEjecucion[id_operacion],tblEjecucion[precio],0))</f>
        <v/>
      </c>
      <c r="AJ931" s="10">
        <f>IF(tblOrdenes[[#This Row],[orden]]="","",MAX(0,_xlfn.XLOOKUP(tblOrdenes[[#This Row],[id_operacion]],tblEjecucion[id_operacion],tblEjecucion[costo_plan_total],0)-tblOrdenes[[#This Row],[costo_servicio]]))</f>
        <v/>
      </c>
      <c r="AK931" s="10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2">
        <f>IF(tblOrdenes[[#This Row],[fecha_inicio]]="","",TODAY()-tblOrdenes[[#This Row],[fecha_inicio]])</f>
        <v/>
      </c>
      <c r="AB9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0">
        <f>IF(tblOrdenes[[#This Row],[orden]]="","",_xlfn.XLOOKUP(tblOrdenes[[#This Row],[id_operacion]],tblEjecucion[id_operacion],tblEjecucion[precio],0))</f>
        <v/>
      </c>
      <c r="AJ932" s="10">
        <f>IF(tblOrdenes[[#This Row],[orden]]="","",MAX(0,_xlfn.XLOOKUP(tblOrdenes[[#This Row],[id_operacion]],tblEjecucion[id_operacion],tblEjecucion[costo_plan_total],0)-tblOrdenes[[#This Row],[costo_servicio]]))</f>
        <v/>
      </c>
      <c r="AK932" s="10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2">
        <f>IF(tblOrdenes[[#This Row],[fecha_inicio]]="","",TODAY()-tblOrdenes[[#This Row],[fecha_inicio]])</f>
        <v/>
      </c>
      <c r="AB9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0">
        <f>IF(tblOrdenes[[#This Row],[orden]]="","",_xlfn.XLOOKUP(tblOrdenes[[#This Row],[id_operacion]],tblEjecucion[id_operacion],tblEjecucion[precio],0))</f>
        <v/>
      </c>
      <c r="AJ933" s="10">
        <f>IF(tblOrdenes[[#This Row],[orden]]="","",MAX(0,_xlfn.XLOOKUP(tblOrdenes[[#This Row],[id_operacion]],tblEjecucion[id_operacion],tblEjecucion[costo_plan_total],0)-tblOrdenes[[#This Row],[costo_servicio]]))</f>
        <v/>
      </c>
      <c r="AK933" s="10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2">
        <f>IF(tblOrdenes[[#This Row],[fecha_inicio]]="","",TODAY()-tblOrdenes[[#This Row],[fecha_inicio]])</f>
        <v/>
      </c>
      <c r="AB9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0">
        <f>IF(tblOrdenes[[#This Row],[orden]]="","",_xlfn.XLOOKUP(tblOrdenes[[#This Row],[id_operacion]],tblEjecucion[id_operacion],tblEjecucion[precio],0))</f>
        <v/>
      </c>
      <c r="AJ934" s="10">
        <f>IF(tblOrdenes[[#This Row],[orden]]="","",MAX(0,_xlfn.XLOOKUP(tblOrdenes[[#This Row],[id_operacion]],tblEjecucion[id_operacion],tblEjecucion[costo_plan_total],0)-tblOrdenes[[#This Row],[costo_servicio]]))</f>
        <v/>
      </c>
      <c r="AK934" s="10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2">
        <f>IF(tblOrdenes[[#This Row],[fecha_inicio]]="","",TODAY()-tblOrdenes[[#This Row],[fecha_inicio]])</f>
        <v/>
      </c>
      <c r="AB9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0">
        <f>IF(tblOrdenes[[#This Row],[orden]]="","",_xlfn.XLOOKUP(tblOrdenes[[#This Row],[id_operacion]],tblEjecucion[id_operacion],tblEjecucion[precio],0))</f>
        <v/>
      </c>
      <c r="AJ935" s="10">
        <f>IF(tblOrdenes[[#This Row],[orden]]="","",MAX(0,_xlfn.XLOOKUP(tblOrdenes[[#This Row],[id_operacion]],tblEjecucion[id_operacion],tblEjecucion[costo_plan_total],0)-tblOrdenes[[#This Row],[costo_servicio]]))</f>
        <v/>
      </c>
      <c r="AK935" s="10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2">
        <f>IF(tblOrdenes[[#This Row],[fecha_inicio]]="","",TODAY()-tblOrdenes[[#This Row],[fecha_inicio]])</f>
        <v/>
      </c>
      <c r="AB9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0">
        <f>IF(tblOrdenes[[#This Row],[orden]]="","",_xlfn.XLOOKUP(tblOrdenes[[#This Row],[id_operacion]],tblEjecucion[id_operacion],tblEjecucion[precio],0))</f>
        <v/>
      </c>
      <c r="AJ936" s="10">
        <f>IF(tblOrdenes[[#This Row],[orden]]="","",MAX(0,_xlfn.XLOOKUP(tblOrdenes[[#This Row],[id_operacion]],tblEjecucion[id_operacion],tblEjecucion[costo_plan_total],0)-tblOrdenes[[#This Row],[costo_servicio]]))</f>
        <v/>
      </c>
      <c r="AK936" s="10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2">
        <f>IF(tblOrdenes[[#This Row],[fecha_inicio]]="","",TODAY()-tblOrdenes[[#This Row],[fecha_inicio]])</f>
        <v/>
      </c>
      <c r="AB9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0">
        <f>IF(tblOrdenes[[#This Row],[orden]]="","",_xlfn.XLOOKUP(tblOrdenes[[#This Row],[id_operacion]],tblEjecucion[id_operacion],tblEjecucion[precio],0))</f>
        <v/>
      </c>
      <c r="AJ937" s="10">
        <f>IF(tblOrdenes[[#This Row],[orden]]="","",MAX(0,_xlfn.XLOOKUP(tblOrdenes[[#This Row],[id_operacion]],tblEjecucion[id_operacion],tblEjecucion[costo_plan_total],0)-tblOrdenes[[#This Row],[costo_servicio]]))</f>
        <v/>
      </c>
      <c r="AK937" s="10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2">
        <f>IF(tblOrdenes[[#This Row],[fecha_inicio]]="","",TODAY()-tblOrdenes[[#This Row],[fecha_inicio]])</f>
        <v/>
      </c>
      <c r="AB9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0">
        <f>IF(tblOrdenes[[#This Row],[orden]]="","",_xlfn.XLOOKUP(tblOrdenes[[#This Row],[id_operacion]],tblEjecucion[id_operacion],tblEjecucion[precio],0))</f>
        <v/>
      </c>
      <c r="AJ938" s="10">
        <f>IF(tblOrdenes[[#This Row],[orden]]="","",MAX(0,_xlfn.XLOOKUP(tblOrdenes[[#This Row],[id_operacion]],tblEjecucion[id_operacion],tblEjecucion[costo_plan_total],0)-tblOrdenes[[#This Row],[costo_servicio]]))</f>
        <v/>
      </c>
      <c r="AK938" s="10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2">
        <f>IF(tblOrdenes[[#This Row],[fecha_inicio]]="","",TODAY()-tblOrdenes[[#This Row],[fecha_inicio]])</f>
        <v/>
      </c>
      <c r="AB9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0">
        <f>IF(tblOrdenes[[#This Row],[orden]]="","",_xlfn.XLOOKUP(tblOrdenes[[#This Row],[id_operacion]],tblEjecucion[id_operacion],tblEjecucion[precio],0))</f>
        <v/>
      </c>
      <c r="AJ939" s="10">
        <f>IF(tblOrdenes[[#This Row],[orden]]="","",MAX(0,_xlfn.XLOOKUP(tblOrdenes[[#This Row],[id_operacion]],tblEjecucion[id_operacion],tblEjecucion[costo_plan_total],0)-tblOrdenes[[#This Row],[costo_servicio]]))</f>
        <v/>
      </c>
      <c r="AK939" s="10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2">
        <f>IF(tblOrdenes[[#This Row],[fecha_inicio]]="","",TODAY()-tblOrdenes[[#This Row],[fecha_inicio]])</f>
        <v/>
      </c>
      <c r="AB9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0">
        <f>IF(tblOrdenes[[#This Row],[orden]]="","",_xlfn.XLOOKUP(tblOrdenes[[#This Row],[id_operacion]],tblEjecucion[id_operacion],tblEjecucion[precio],0))</f>
        <v/>
      </c>
      <c r="AJ940" s="10">
        <f>IF(tblOrdenes[[#This Row],[orden]]="","",MAX(0,_xlfn.XLOOKUP(tblOrdenes[[#This Row],[id_operacion]],tblEjecucion[id_operacion],tblEjecucion[costo_plan_total],0)-tblOrdenes[[#This Row],[costo_servicio]]))</f>
        <v/>
      </c>
      <c r="AK940" s="10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2">
        <f>IF(tblOrdenes[[#This Row],[fecha_inicio]]="","",TODAY()-tblOrdenes[[#This Row],[fecha_inicio]])</f>
        <v/>
      </c>
      <c r="AB9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0">
        <f>IF(tblOrdenes[[#This Row],[orden]]="","",_xlfn.XLOOKUP(tblOrdenes[[#This Row],[id_operacion]],tblEjecucion[id_operacion],tblEjecucion[precio],0))</f>
        <v/>
      </c>
      <c r="AJ941" s="10">
        <f>IF(tblOrdenes[[#This Row],[orden]]="","",MAX(0,_xlfn.XLOOKUP(tblOrdenes[[#This Row],[id_operacion]],tblEjecucion[id_operacion],tblEjecucion[costo_plan_total],0)-tblOrdenes[[#This Row],[costo_servicio]]))</f>
        <v/>
      </c>
      <c r="AK941" s="10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2">
        <f>IF(tblOrdenes[[#This Row],[fecha_inicio]]="","",TODAY()-tblOrdenes[[#This Row],[fecha_inicio]])</f>
        <v/>
      </c>
      <c r="AB9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0">
        <f>IF(tblOrdenes[[#This Row],[orden]]="","",_xlfn.XLOOKUP(tblOrdenes[[#This Row],[id_operacion]],tblEjecucion[id_operacion],tblEjecucion[precio],0))</f>
        <v/>
      </c>
      <c r="AJ942" s="10">
        <f>IF(tblOrdenes[[#This Row],[orden]]="","",MAX(0,_xlfn.XLOOKUP(tblOrdenes[[#This Row],[id_operacion]],tblEjecucion[id_operacion],tblEjecucion[costo_plan_total],0)-tblOrdenes[[#This Row],[costo_servicio]]))</f>
        <v/>
      </c>
      <c r="AK942" s="10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2">
        <f>IF(tblOrdenes[[#This Row],[fecha_inicio]]="","",TODAY()-tblOrdenes[[#This Row],[fecha_inicio]])</f>
        <v/>
      </c>
      <c r="AB9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0">
        <f>IF(tblOrdenes[[#This Row],[orden]]="","",_xlfn.XLOOKUP(tblOrdenes[[#This Row],[id_operacion]],tblEjecucion[id_operacion],tblEjecucion[precio],0))</f>
        <v/>
      </c>
      <c r="AJ943" s="10">
        <f>IF(tblOrdenes[[#This Row],[orden]]="","",MAX(0,_xlfn.XLOOKUP(tblOrdenes[[#This Row],[id_operacion]],tblEjecucion[id_operacion],tblEjecucion[costo_plan_total],0)-tblOrdenes[[#This Row],[costo_servicio]]))</f>
        <v/>
      </c>
      <c r="AK943" s="10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2">
        <f>IF(tblOrdenes[[#This Row],[fecha_inicio]]="","",TODAY()-tblOrdenes[[#This Row],[fecha_inicio]])</f>
        <v/>
      </c>
      <c r="AB9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0">
        <f>IF(tblOrdenes[[#This Row],[orden]]="","",_xlfn.XLOOKUP(tblOrdenes[[#This Row],[id_operacion]],tblEjecucion[id_operacion],tblEjecucion[precio],0))</f>
        <v/>
      </c>
      <c r="AJ944" s="10">
        <f>IF(tblOrdenes[[#This Row],[orden]]="","",MAX(0,_xlfn.XLOOKUP(tblOrdenes[[#This Row],[id_operacion]],tblEjecucion[id_operacion],tblEjecucion[costo_plan_total],0)-tblOrdenes[[#This Row],[costo_servicio]]))</f>
        <v/>
      </c>
      <c r="AK944" s="10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2">
        <f>IF(tblOrdenes[[#This Row],[fecha_inicio]]="","",TODAY()-tblOrdenes[[#This Row],[fecha_inicio]])</f>
        <v/>
      </c>
      <c r="AB9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0">
        <f>IF(tblOrdenes[[#This Row],[orden]]="","",_xlfn.XLOOKUP(tblOrdenes[[#This Row],[id_operacion]],tblEjecucion[id_operacion],tblEjecucion[precio],0))</f>
        <v/>
      </c>
      <c r="AJ945" s="10">
        <f>IF(tblOrdenes[[#This Row],[orden]]="","",MAX(0,_xlfn.XLOOKUP(tblOrdenes[[#This Row],[id_operacion]],tblEjecucion[id_operacion],tblEjecucion[costo_plan_total],0)-tblOrdenes[[#This Row],[costo_servicio]]))</f>
        <v/>
      </c>
      <c r="AK945" s="10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2">
        <f>IF(tblOrdenes[[#This Row],[fecha_inicio]]="","",TODAY()-tblOrdenes[[#This Row],[fecha_inicio]])</f>
        <v/>
      </c>
      <c r="AB9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0">
        <f>IF(tblOrdenes[[#This Row],[orden]]="","",_xlfn.XLOOKUP(tblOrdenes[[#This Row],[id_operacion]],tblEjecucion[id_operacion],tblEjecucion[precio],0))</f>
        <v/>
      </c>
      <c r="AJ946" s="10">
        <f>IF(tblOrdenes[[#This Row],[orden]]="","",MAX(0,_xlfn.XLOOKUP(tblOrdenes[[#This Row],[id_operacion]],tblEjecucion[id_operacion],tblEjecucion[costo_plan_total],0)-tblOrdenes[[#This Row],[costo_servicio]]))</f>
        <v/>
      </c>
      <c r="AK946" s="10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2">
        <f>IF(tblOrdenes[[#This Row],[fecha_inicio]]="","",TODAY()-tblOrdenes[[#This Row],[fecha_inicio]])</f>
        <v/>
      </c>
      <c r="AB9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0">
        <f>IF(tblOrdenes[[#This Row],[orden]]="","",_xlfn.XLOOKUP(tblOrdenes[[#This Row],[id_operacion]],tblEjecucion[id_operacion],tblEjecucion[precio],0))</f>
        <v/>
      </c>
      <c r="AJ947" s="10">
        <f>IF(tblOrdenes[[#This Row],[orden]]="","",MAX(0,_xlfn.XLOOKUP(tblOrdenes[[#This Row],[id_operacion]],tblEjecucion[id_operacion],tblEjecucion[costo_plan_total],0)-tblOrdenes[[#This Row],[costo_servicio]]))</f>
        <v/>
      </c>
      <c r="AK947" s="10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2">
        <f>IF(tblOrdenes[[#This Row],[fecha_inicio]]="","",TODAY()-tblOrdenes[[#This Row],[fecha_inicio]])</f>
        <v/>
      </c>
      <c r="AB9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0">
        <f>IF(tblOrdenes[[#This Row],[orden]]="","",_xlfn.XLOOKUP(tblOrdenes[[#This Row],[id_operacion]],tblEjecucion[id_operacion],tblEjecucion[precio],0))</f>
        <v/>
      </c>
      <c r="AJ948" s="10">
        <f>IF(tblOrdenes[[#This Row],[orden]]="","",MAX(0,_xlfn.XLOOKUP(tblOrdenes[[#This Row],[id_operacion]],tblEjecucion[id_operacion],tblEjecucion[costo_plan_total],0)-tblOrdenes[[#This Row],[costo_servicio]]))</f>
        <v/>
      </c>
      <c r="AK948" s="10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2">
        <f>IF(tblOrdenes[[#This Row],[fecha_inicio]]="","",TODAY()-tblOrdenes[[#This Row],[fecha_inicio]])</f>
        <v/>
      </c>
      <c r="AB9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0">
        <f>IF(tblOrdenes[[#This Row],[orden]]="","",_xlfn.XLOOKUP(tblOrdenes[[#This Row],[id_operacion]],tblEjecucion[id_operacion],tblEjecucion[precio],0))</f>
        <v/>
      </c>
      <c r="AJ949" s="10">
        <f>IF(tblOrdenes[[#This Row],[orden]]="","",MAX(0,_xlfn.XLOOKUP(tblOrdenes[[#This Row],[id_operacion]],tblEjecucion[id_operacion],tblEjecucion[costo_plan_total],0)-tblOrdenes[[#This Row],[costo_servicio]]))</f>
        <v/>
      </c>
      <c r="AK949" s="10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2">
        <f>IF(tblOrdenes[[#This Row],[fecha_inicio]]="","",TODAY()-tblOrdenes[[#This Row],[fecha_inicio]])</f>
        <v/>
      </c>
      <c r="AB9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0">
        <f>IF(tblOrdenes[[#This Row],[orden]]="","",_xlfn.XLOOKUP(tblOrdenes[[#This Row],[id_operacion]],tblEjecucion[id_operacion],tblEjecucion[precio],0))</f>
        <v/>
      </c>
      <c r="AJ950" s="10">
        <f>IF(tblOrdenes[[#This Row],[orden]]="","",MAX(0,_xlfn.XLOOKUP(tblOrdenes[[#This Row],[id_operacion]],tblEjecucion[id_operacion],tblEjecucion[costo_plan_total],0)-tblOrdenes[[#This Row],[costo_servicio]]))</f>
        <v/>
      </c>
      <c r="AK950" s="10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2">
        <f>IF(tblOrdenes[[#This Row],[fecha_inicio]]="","",TODAY()-tblOrdenes[[#This Row],[fecha_inicio]])</f>
        <v/>
      </c>
      <c r="AB9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0">
        <f>IF(tblOrdenes[[#This Row],[orden]]="","",_xlfn.XLOOKUP(tblOrdenes[[#This Row],[id_operacion]],tblEjecucion[id_operacion],tblEjecucion[precio],0))</f>
        <v/>
      </c>
      <c r="AJ951" s="10">
        <f>IF(tblOrdenes[[#This Row],[orden]]="","",MAX(0,_xlfn.XLOOKUP(tblOrdenes[[#This Row],[id_operacion]],tblEjecucion[id_operacion],tblEjecucion[costo_plan_total],0)-tblOrdenes[[#This Row],[costo_servicio]]))</f>
        <v/>
      </c>
      <c r="AK951" s="10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2">
        <f>IF(tblOrdenes[[#This Row],[fecha_inicio]]="","",TODAY()-tblOrdenes[[#This Row],[fecha_inicio]])</f>
        <v/>
      </c>
      <c r="AB9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0">
        <f>IF(tblOrdenes[[#This Row],[orden]]="","",_xlfn.XLOOKUP(tblOrdenes[[#This Row],[id_operacion]],tblEjecucion[id_operacion],tblEjecucion[precio],0))</f>
        <v/>
      </c>
      <c r="AJ952" s="10">
        <f>IF(tblOrdenes[[#This Row],[orden]]="","",MAX(0,_xlfn.XLOOKUP(tblOrdenes[[#This Row],[id_operacion]],tblEjecucion[id_operacion],tblEjecucion[costo_plan_total],0)-tblOrdenes[[#This Row],[costo_servicio]]))</f>
        <v/>
      </c>
      <c r="AK952" s="10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2">
        <f>IF(tblOrdenes[[#This Row],[fecha_inicio]]="","",TODAY()-tblOrdenes[[#This Row],[fecha_inicio]])</f>
        <v/>
      </c>
      <c r="AB9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0">
        <f>IF(tblOrdenes[[#This Row],[orden]]="","",_xlfn.XLOOKUP(tblOrdenes[[#This Row],[id_operacion]],tblEjecucion[id_operacion],tblEjecucion[precio],0))</f>
        <v/>
      </c>
      <c r="AJ953" s="10">
        <f>IF(tblOrdenes[[#This Row],[orden]]="","",MAX(0,_xlfn.XLOOKUP(tblOrdenes[[#This Row],[id_operacion]],tblEjecucion[id_operacion],tblEjecucion[costo_plan_total],0)-tblOrdenes[[#This Row],[costo_servicio]]))</f>
        <v/>
      </c>
      <c r="AK953" s="10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2">
        <f>IF(tblOrdenes[[#This Row],[fecha_inicio]]="","",TODAY()-tblOrdenes[[#This Row],[fecha_inicio]])</f>
        <v/>
      </c>
      <c r="AB9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0">
        <f>IF(tblOrdenes[[#This Row],[orden]]="","",_xlfn.XLOOKUP(tblOrdenes[[#This Row],[id_operacion]],tblEjecucion[id_operacion],tblEjecucion[precio],0))</f>
        <v/>
      </c>
      <c r="AJ954" s="10">
        <f>IF(tblOrdenes[[#This Row],[orden]]="","",MAX(0,_xlfn.XLOOKUP(tblOrdenes[[#This Row],[id_operacion]],tblEjecucion[id_operacion],tblEjecucion[costo_plan_total],0)-tblOrdenes[[#This Row],[costo_servicio]]))</f>
        <v/>
      </c>
      <c r="AK954" s="10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2">
        <f>IF(tblOrdenes[[#This Row],[fecha_inicio]]="","",TODAY()-tblOrdenes[[#This Row],[fecha_inicio]])</f>
        <v/>
      </c>
      <c r="AB9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0">
        <f>IF(tblOrdenes[[#This Row],[orden]]="","",_xlfn.XLOOKUP(tblOrdenes[[#This Row],[id_operacion]],tblEjecucion[id_operacion],tblEjecucion[precio],0))</f>
        <v/>
      </c>
      <c r="AJ955" s="10">
        <f>IF(tblOrdenes[[#This Row],[orden]]="","",MAX(0,_xlfn.XLOOKUP(tblOrdenes[[#This Row],[id_operacion]],tblEjecucion[id_operacion],tblEjecucion[costo_plan_total],0)-tblOrdenes[[#This Row],[costo_servicio]]))</f>
        <v/>
      </c>
      <c r="AK955" s="10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2">
        <f>IF(tblOrdenes[[#This Row],[fecha_inicio]]="","",TODAY()-tblOrdenes[[#This Row],[fecha_inicio]])</f>
        <v/>
      </c>
      <c r="AB9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0">
        <f>IF(tblOrdenes[[#This Row],[orden]]="","",_xlfn.XLOOKUP(tblOrdenes[[#This Row],[id_operacion]],tblEjecucion[id_operacion],tblEjecucion[precio],0))</f>
        <v/>
      </c>
      <c r="AJ956" s="10">
        <f>IF(tblOrdenes[[#This Row],[orden]]="","",MAX(0,_xlfn.XLOOKUP(tblOrdenes[[#This Row],[id_operacion]],tblEjecucion[id_operacion],tblEjecucion[costo_plan_total],0)-tblOrdenes[[#This Row],[costo_servicio]]))</f>
        <v/>
      </c>
      <c r="AK956" s="10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2">
        <f>IF(tblOrdenes[[#This Row],[fecha_inicio]]="","",TODAY()-tblOrdenes[[#This Row],[fecha_inicio]])</f>
        <v/>
      </c>
      <c r="AB9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0">
        <f>IF(tblOrdenes[[#This Row],[orden]]="","",_xlfn.XLOOKUP(tblOrdenes[[#This Row],[id_operacion]],tblEjecucion[id_operacion],tblEjecucion[precio],0))</f>
        <v/>
      </c>
      <c r="AJ957" s="10">
        <f>IF(tblOrdenes[[#This Row],[orden]]="","",MAX(0,_xlfn.XLOOKUP(tblOrdenes[[#This Row],[id_operacion]],tblEjecucion[id_operacion],tblEjecucion[costo_plan_total],0)-tblOrdenes[[#This Row],[costo_servicio]]))</f>
        <v/>
      </c>
      <c r="AK957" s="10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2">
        <f>IF(tblOrdenes[[#This Row],[fecha_inicio]]="","",TODAY()-tblOrdenes[[#This Row],[fecha_inicio]])</f>
        <v/>
      </c>
      <c r="AB9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0">
        <f>IF(tblOrdenes[[#This Row],[orden]]="","",_xlfn.XLOOKUP(tblOrdenes[[#This Row],[id_operacion]],tblEjecucion[id_operacion],tblEjecucion[precio],0))</f>
        <v/>
      </c>
      <c r="AJ958" s="10">
        <f>IF(tblOrdenes[[#This Row],[orden]]="","",MAX(0,_xlfn.XLOOKUP(tblOrdenes[[#This Row],[id_operacion]],tblEjecucion[id_operacion],tblEjecucion[costo_plan_total],0)-tblOrdenes[[#This Row],[costo_servicio]]))</f>
        <v/>
      </c>
      <c r="AK958" s="10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2">
        <f>IF(tblOrdenes[[#This Row],[fecha_inicio]]="","",TODAY()-tblOrdenes[[#This Row],[fecha_inicio]])</f>
        <v/>
      </c>
      <c r="AB9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0">
        <f>IF(tblOrdenes[[#This Row],[orden]]="","",_xlfn.XLOOKUP(tblOrdenes[[#This Row],[id_operacion]],tblEjecucion[id_operacion],tblEjecucion[precio],0))</f>
        <v/>
      </c>
      <c r="AJ959" s="10">
        <f>IF(tblOrdenes[[#This Row],[orden]]="","",MAX(0,_xlfn.XLOOKUP(tblOrdenes[[#This Row],[id_operacion]],tblEjecucion[id_operacion],tblEjecucion[costo_plan_total],0)-tblOrdenes[[#This Row],[costo_servicio]]))</f>
        <v/>
      </c>
      <c r="AK959" s="10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2">
        <f>IF(tblOrdenes[[#This Row],[fecha_inicio]]="","",TODAY()-tblOrdenes[[#This Row],[fecha_inicio]])</f>
        <v/>
      </c>
      <c r="AB9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0">
        <f>IF(tblOrdenes[[#This Row],[orden]]="","",_xlfn.XLOOKUP(tblOrdenes[[#This Row],[id_operacion]],tblEjecucion[id_operacion],tblEjecucion[precio],0))</f>
        <v/>
      </c>
      <c r="AJ960" s="10">
        <f>IF(tblOrdenes[[#This Row],[orden]]="","",MAX(0,_xlfn.XLOOKUP(tblOrdenes[[#This Row],[id_operacion]],tblEjecucion[id_operacion],tblEjecucion[costo_plan_total],0)-tblOrdenes[[#This Row],[costo_servicio]]))</f>
        <v/>
      </c>
      <c r="AK960" s="10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2">
        <f>IF(tblOrdenes[[#This Row],[fecha_inicio]]="","",TODAY()-tblOrdenes[[#This Row],[fecha_inicio]])</f>
        <v/>
      </c>
      <c r="AB9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0">
        <f>IF(tblOrdenes[[#This Row],[orden]]="","",_xlfn.XLOOKUP(tblOrdenes[[#This Row],[id_operacion]],tblEjecucion[id_operacion],tblEjecucion[precio],0))</f>
        <v/>
      </c>
      <c r="AJ961" s="10">
        <f>IF(tblOrdenes[[#This Row],[orden]]="","",MAX(0,_xlfn.XLOOKUP(tblOrdenes[[#This Row],[id_operacion]],tblEjecucion[id_operacion],tblEjecucion[costo_plan_total],0)-tblOrdenes[[#This Row],[costo_servicio]]))</f>
        <v/>
      </c>
      <c r="AK961" s="10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2">
        <f>IF(tblOrdenes[[#This Row],[fecha_inicio]]="","",TODAY()-tblOrdenes[[#This Row],[fecha_inicio]])</f>
        <v/>
      </c>
      <c r="AB9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0">
        <f>IF(tblOrdenes[[#This Row],[orden]]="","",_xlfn.XLOOKUP(tblOrdenes[[#This Row],[id_operacion]],tblEjecucion[id_operacion],tblEjecucion[precio],0))</f>
        <v/>
      </c>
      <c r="AJ962" s="10">
        <f>IF(tblOrdenes[[#This Row],[orden]]="","",MAX(0,_xlfn.XLOOKUP(tblOrdenes[[#This Row],[id_operacion]],tblEjecucion[id_operacion],tblEjecucion[costo_plan_total],0)-tblOrdenes[[#This Row],[costo_servicio]]))</f>
        <v/>
      </c>
      <c r="AK962" s="10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2">
        <f>IF(tblOrdenes[[#This Row],[fecha_inicio]]="","",TODAY()-tblOrdenes[[#This Row],[fecha_inicio]])</f>
        <v/>
      </c>
      <c r="AB9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0">
        <f>IF(tblOrdenes[[#This Row],[orden]]="","",_xlfn.XLOOKUP(tblOrdenes[[#This Row],[id_operacion]],tblEjecucion[id_operacion],tblEjecucion[precio],0))</f>
        <v/>
      </c>
      <c r="AJ963" s="10">
        <f>IF(tblOrdenes[[#This Row],[orden]]="","",MAX(0,_xlfn.XLOOKUP(tblOrdenes[[#This Row],[id_operacion]],tblEjecucion[id_operacion],tblEjecucion[costo_plan_total],0)-tblOrdenes[[#This Row],[costo_servicio]]))</f>
        <v/>
      </c>
      <c r="AK963" s="10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2">
        <f>IF(tblOrdenes[[#This Row],[fecha_inicio]]="","",TODAY()-tblOrdenes[[#This Row],[fecha_inicio]])</f>
        <v/>
      </c>
      <c r="AB9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0">
        <f>IF(tblOrdenes[[#This Row],[orden]]="","",_xlfn.XLOOKUP(tblOrdenes[[#This Row],[id_operacion]],tblEjecucion[id_operacion],tblEjecucion[precio],0))</f>
        <v/>
      </c>
      <c r="AJ964" s="10">
        <f>IF(tblOrdenes[[#This Row],[orden]]="","",MAX(0,_xlfn.XLOOKUP(tblOrdenes[[#This Row],[id_operacion]],tblEjecucion[id_operacion],tblEjecucion[costo_plan_total],0)-tblOrdenes[[#This Row],[costo_servicio]]))</f>
        <v/>
      </c>
      <c r="AK964" s="10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2">
        <f>IF(tblOrdenes[[#This Row],[fecha_inicio]]="","",TODAY()-tblOrdenes[[#This Row],[fecha_inicio]])</f>
        <v/>
      </c>
      <c r="AB9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0">
        <f>IF(tblOrdenes[[#This Row],[orden]]="","",_xlfn.XLOOKUP(tblOrdenes[[#This Row],[id_operacion]],tblEjecucion[id_operacion],tblEjecucion[precio],0))</f>
        <v/>
      </c>
      <c r="AJ965" s="10">
        <f>IF(tblOrdenes[[#This Row],[orden]]="","",MAX(0,_xlfn.XLOOKUP(tblOrdenes[[#This Row],[id_operacion]],tblEjecucion[id_operacion],tblEjecucion[costo_plan_total],0)-tblOrdenes[[#This Row],[costo_servicio]]))</f>
        <v/>
      </c>
      <c r="AK965" s="10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2">
        <f>IF(tblOrdenes[[#This Row],[fecha_inicio]]="","",TODAY()-tblOrdenes[[#This Row],[fecha_inicio]])</f>
        <v/>
      </c>
      <c r="AB9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0">
        <f>IF(tblOrdenes[[#This Row],[orden]]="","",_xlfn.XLOOKUP(tblOrdenes[[#This Row],[id_operacion]],tblEjecucion[id_operacion],tblEjecucion[precio],0))</f>
        <v/>
      </c>
      <c r="AJ966" s="10">
        <f>IF(tblOrdenes[[#This Row],[orden]]="","",MAX(0,_xlfn.XLOOKUP(tblOrdenes[[#This Row],[id_operacion]],tblEjecucion[id_operacion],tblEjecucion[costo_plan_total],0)-tblOrdenes[[#This Row],[costo_servicio]]))</f>
        <v/>
      </c>
      <c r="AK966" s="10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2">
        <f>IF(tblOrdenes[[#This Row],[fecha_inicio]]="","",TODAY()-tblOrdenes[[#This Row],[fecha_inicio]])</f>
        <v/>
      </c>
      <c r="AB9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0">
        <f>IF(tblOrdenes[[#This Row],[orden]]="","",_xlfn.XLOOKUP(tblOrdenes[[#This Row],[id_operacion]],tblEjecucion[id_operacion],tblEjecucion[precio],0))</f>
        <v/>
      </c>
      <c r="AJ967" s="10">
        <f>IF(tblOrdenes[[#This Row],[orden]]="","",MAX(0,_xlfn.XLOOKUP(tblOrdenes[[#This Row],[id_operacion]],tblEjecucion[id_operacion],tblEjecucion[costo_plan_total],0)-tblOrdenes[[#This Row],[costo_servicio]]))</f>
        <v/>
      </c>
      <c r="AK967" s="10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2">
        <f>IF(tblOrdenes[[#This Row],[fecha_inicio]]="","",TODAY()-tblOrdenes[[#This Row],[fecha_inicio]])</f>
        <v/>
      </c>
      <c r="AB9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0">
        <f>IF(tblOrdenes[[#This Row],[orden]]="","",_xlfn.XLOOKUP(tblOrdenes[[#This Row],[id_operacion]],tblEjecucion[id_operacion],tblEjecucion[precio],0))</f>
        <v/>
      </c>
      <c r="AJ968" s="10">
        <f>IF(tblOrdenes[[#This Row],[orden]]="","",MAX(0,_xlfn.XLOOKUP(tblOrdenes[[#This Row],[id_operacion]],tblEjecucion[id_operacion],tblEjecucion[costo_plan_total],0)-tblOrdenes[[#This Row],[costo_servicio]]))</f>
        <v/>
      </c>
      <c r="AK968" s="10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2">
        <f>IF(tblOrdenes[[#This Row],[fecha_inicio]]="","",TODAY()-tblOrdenes[[#This Row],[fecha_inicio]])</f>
        <v/>
      </c>
      <c r="AB9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0">
        <f>IF(tblOrdenes[[#This Row],[orden]]="","",_xlfn.XLOOKUP(tblOrdenes[[#This Row],[id_operacion]],tblEjecucion[id_operacion],tblEjecucion[precio],0))</f>
        <v/>
      </c>
      <c r="AJ969" s="10">
        <f>IF(tblOrdenes[[#This Row],[orden]]="","",MAX(0,_xlfn.XLOOKUP(tblOrdenes[[#This Row],[id_operacion]],tblEjecucion[id_operacion],tblEjecucion[costo_plan_total],0)-tblOrdenes[[#This Row],[costo_servicio]]))</f>
        <v/>
      </c>
      <c r="AK969" s="10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2">
        <f>IF(tblOrdenes[[#This Row],[fecha_inicio]]="","",TODAY()-tblOrdenes[[#This Row],[fecha_inicio]])</f>
        <v/>
      </c>
      <c r="AB9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0">
        <f>IF(tblOrdenes[[#This Row],[orden]]="","",_xlfn.XLOOKUP(tblOrdenes[[#This Row],[id_operacion]],tblEjecucion[id_operacion],tblEjecucion[precio],0))</f>
        <v/>
      </c>
      <c r="AJ970" s="10">
        <f>IF(tblOrdenes[[#This Row],[orden]]="","",MAX(0,_xlfn.XLOOKUP(tblOrdenes[[#This Row],[id_operacion]],tblEjecucion[id_operacion],tblEjecucion[costo_plan_total],0)-tblOrdenes[[#This Row],[costo_servicio]]))</f>
        <v/>
      </c>
      <c r="AK970" s="10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2">
        <f>IF(tblOrdenes[[#This Row],[fecha_inicio]]="","",TODAY()-tblOrdenes[[#This Row],[fecha_inicio]])</f>
        <v/>
      </c>
      <c r="AB9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0">
        <f>IF(tblOrdenes[[#This Row],[orden]]="","",_xlfn.XLOOKUP(tblOrdenes[[#This Row],[id_operacion]],tblEjecucion[id_operacion],tblEjecucion[precio],0))</f>
        <v/>
      </c>
      <c r="AJ971" s="10">
        <f>IF(tblOrdenes[[#This Row],[orden]]="","",MAX(0,_xlfn.XLOOKUP(tblOrdenes[[#This Row],[id_operacion]],tblEjecucion[id_operacion],tblEjecucion[costo_plan_total],0)-tblOrdenes[[#This Row],[costo_servicio]]))</f>
        <v/>
      </c>
      <c r="AK971" s="10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2">
        <f>IF(tblOrdenes[[#This Row],[fecha_inicio]]="","",TODAY()-tblOrdenes[[#This Row],[fecha_inicio]])</f>
        <v/>
      </c>
      <c r="AB9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0">
        <f>IF(tblOrdenes[[#This Row],[orden]]="","",_xlfn.XLOOKUP(tblOrdenes[[#This Row],[id_operacion]],tblEjecucion[id_operacion],tblEjecucion[precio],0))</f>
        <v/>
      </c>
      <c r="AJ972" s="10">
        <f>IF(tblOrdenes[[#This Row],[orden]]="","",MAX(0,_xlfn.XLOOKUP(tblOrdenes[[#This Row],[id_operacion]],tblEjecucion[id_operacion],tblEjecucion[costo_plan_total],0)-tblOrdenes[[#This Row],[costo_servicio]]))</f>
        <v/>
      </c>
      <c r="AK972" s="10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2">
        <f>IF(tblOrdenes[[#This Row],[fecha_inicio]]="","",TODAY()-tblOrdenes[[#This Row],[fecha_inicio]])</f>
        <v/>
      </c>
      <c r="AB9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0">
        <f>IF(tblOrdenes[[#This Row],[orden]]="","",_xlfn.XLOOKUP(tblOrdenes[[#This Row],[id_operacion]],tblEjecucion[id_operacion],tblEjecucion[precio],0))</f>
        <v/>
      </c>
      <c r="AJ973" s="10">
        <f>IF(tblOrdenes[[#This Row],[orden]]="","",MAX(0,_xlfn.XLOOKUP(tblOrdenes[[#This Row],[id_operacion]],tblEjecucion[id_operacion],tblEjecucion[costo_plan_total],0)-tblOrdenes[[#This Row],[costo_servicio]]))</f>
        <v/>
      </c>
      <c r="AK973" s="10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2">
        <f>IF(tblOrdenes[[#This Row],[fecha_inicio]]="","",TODAY()-tblOrdenes[[#This Row],[fecha_inicio]])</f>
        <v/>
      </c>
      <c r="AB9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0">
        <f>IF(tblOrdenes[[#This Row],[orden]]="","",_xlfn.XLOOKUP(tblOrdenes[[#This Row],[id_operacion]],tblEjecucion[id_operacion],tblEjecucion[precio],0))</f>
        <v/>
      </c>
      <c r="AJ974" s="10">
        <f>IF(tblOrdenes[[#This Row],[orden]]="","",MAX(0,_xlfn.XLOOKUP(tblOrdenes[[#This Row],[id_operacion]],tblEjecucion[id_operacion],tblEjecucion[costo_plan_total],0)-tblOrdenes[[#This Row],[costo_servicio]]))</f>
        <v/>
      </c>
      <c r="AK974" s="10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2">
        <f>IF(tblOrdenes[[#This Row],[fecha_inicio]]="","",TODAY()-tblOrdenes[[#This Row],[fecha_inicio]])</f>
        <v/>
      </c>
      <c r="AB9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0">
        <f>IF(tblOrdenes[[#This Row],[orden]]="","",_xlfn.XLOOKUP(tblOrdenes[[#This Row],[id_operacion]],tblEjecucion[id_operacion],tblEjecucion[precio],0))</f>
        <v/>
      </c>
      <c r="AJ975" s="10">
        <f>IF(tblOrdenes[[#This Row],[orden]]="","",MAX(0,_xlfn.XLOOKUP(tblOrdenes[[#This Row],[id_operacion]],tblEjecucion[id_operacion],tblEjecucion[costo_plan_total],0)-tblOrdenes[[#This Row],[costo_servicio]]))</f>
        <v/>
      </c>
      <c r="AK975" s="10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2">
        <f>IF(tblOrdenes[[#This Row],[fecha_inicio]]="","",TODAY()-tblOrdenes[[#This Row],[fecha_inicio]])</f>
        <v/>
      </c>
      <c r="AB9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0">
        <f>IF(tblOrdenes[[#This Row],[orden]]="","",_xlfn.XLOOKUP(tblOrdenes[[#This Row],[id_operacion]],tblEjecucion[id_operacion],tblEjecucion[precio],0))</f>
        <v/>
      </c>
      <c r="AJ976" s="10">
        <f>IF(tblOrdenes[[#This Row],[orden]]="","",MAX(0,_xlfn.XLOOKUP(tblOrdenes[[#This Row],[id_operacion]],tblEjecucion[id_operacion],tblEjecucion[costo_plan_total],0)-tblOrdenes[[#This Row],[costo_servicio]]))</f>
        <v/>
      </c>
      <c r="AK976" s="10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2">
        <f>IF(tblOrdenes[[#This Row],[fecha_inicio]]="","",TODAY()-tblOrdenes[[#This Row],[fecha_inicio]])</f>
        <v/>
      </c>
      <c r="AB9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0">
        <f>IF(tblOrdenes[[#This Row],[orden]]="","",_xlfn.XLOOKUP(tblOrdenes[[#This Row],[id_operacion]],tblEjecucion[id_operacion],tblEjecucion[precio],0))</f>
        <v/>
      </c>
      <c r="AJ977" s="10">
        <f>IF(tblOrdenes[[#This Row],[orden]]="","",MAX(0,_xlfn.XLOOKUP(tblOrdenes[[#This Row],[id_operacion]],tblEjecucion[id_operacion],tblEjecucion[costo_plan_total],0)-tblOrdenes[[#This Row],[costo_servicio]]))</f>
        <v/>
      </c>
      <c r="AK977" s="10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2">
        <f>IF(tblOrdenes[[#This Row],[fecha_inicio]]="","",TODAY()-tblOrdenes[[#This Row],[fecha_inicio]])</f>
        <v/>
      </c>
      <c r="AB9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0">
        <f>IF(tblOrdenes[[#This Row],[orden]]="","",_xlfn.XLOOKUP(tblOrdenes[[#This Row],[id_operacion]],tblEjecucion[id_operacion],tblEjecucion[precio],0))</f>
        <v/>
      </c>
      <c r="AJ978" s="10">
        <f>IF(tblOrdenes[[#This Row],[orden]]="","",MAX(0,_xlfn.XLOOKUP(tblOrdenes[[#This Row],[id_operacion]],tblEjecucion[id_operacion],tblEjecucion[costo_plan_total],0)-tblOrdenes[[#This Row],[costo_servicio]]))</f>
        <v/>
      </c>
      <c r="AK978" s="10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2">
        <f>IF(tblOrdenes[[#This Row],[fecha_inicio]]="","",TODAY()-tblOrdenes[[#This Row],[fecha_inicio]])</f>
        <v/>
      </c>
      <c r="AB9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0">
        <f>IF(tblOrdenes[[#This Row],[orden]]="","",_xlfn.XLOOKUP(tblOrdenes[[#This Row],[id_operacion]],tblEjecucion[id_operacion],tblEjecucion[precio],0))</f>
        <v/>
      </c>
      <c r="AJ979" s="10">
        <f>IF(tblOrdenes[[#This Row],[orden]]="","",MAX(0,_xlfn.XLOOKUP(tblOrdenes[[#This Row],[id_operacion]],tblEjecucion[id_operacion],tblEjecucion[costo_plan_total],0)-tblOrdenes[[#This Row],[costo_servicio]]))</f>
        <v/>
      </c>
      <c r="AK979" s="10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2">
        <f>IF(tblOrdenes[[#This Row],[fecha_inicio]]="","",TODAY()-tblOrdenes[[#This Row],[fecha_inicio]])</f>
        <v/>
      </c>
      <c r="AB9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0">
        <f>IF(tblOrdenes[[#This Row],[orden]]="","",_xlfn.XLOOKUP(tblOrdenes[[#This Row],[id_operacion]],tblEjecucion[id_operacion],tblEjecucion[precio],0))</f>
        <v/>
      </c>
      <c r="AJ980" s="10">
        <f>IF(tblOrdenes[[#This Row],[orden]]="","",MAX(0,_xlfn.XLOOKUP(tblOrdenes[[#This Row],[id_operacion]],tblEjecucion[id_operacion],tblEjecucion[costo_plan_total],0)-tblOrdenes[[#This Row],[costo_servicio]]))</f>
        <v/>
      </c>
      <c r="AK980" s="10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2">
        <f>IF(tblOrdenes[[#This Row],[fecha_inicio]]="","",TODAY()-tblOrdenes[[#This Row],[fecha_inicio]])</f>
        <v/>
      </c>
      <c r="AB9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0">
        <f>IF(tblOrdenes[[#This Row],[orden]]="","",_xlfn.XLOOKUP(tblOrdenes[[#This Row],[id_operacion]],tblEjecucion[id_operacion],tblEjecucion[precio],0))</f>
        <v/>
      </c>
      <c r="AJ981" s="10">
        <f>IF(tblOrdenes[[#This Row],[orden]]="","",MAX(0,_xlfn.XLOOKUP(tblOrdenes[[#This Row],[id_operacion]],tblEjecucion[id_operacion],tblEjecucion[costo_plan_total],0)-tblOrdenes[[#This Row],[costo_servicio]]))</f>
        <v/>
      </c>
      <c r="AK981" s="10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2">
        <f>IF(tblOrdenes[[#This Row],[fecha_inicio]]="","",TODAY()-tblOrdenes[[#This Row],[fecha_inicio]])</f>
        <v/>
      </c>
      <c r="AB9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0">
        <f>IF(tblOrdenes[[#This Row],[orden]]="","",_xlfn.XLOOKUP(tblOrdenes[[#This Row],[id_operacion]],tblEjecucion[id_operacion],tblEjecucion[precio],0))</f>
        <v/>
      </c>
      <c r="AJ982" s="10">
        <f>IF(tblOrdenes[[#This Row],[orden]]="","",MAX(0,_xlfn.XLOOKUP(tblOrdenes[[#This Row],[id_operacion]],tblEjecucion[id_operacion],tblEjecucion[costo_plan_total],0)-tblOrdenes[[#This Row],[costo_servicio]]))</f>
        <v/>
      </c>
      <c r="AK982" s="10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2">
        <f>IF(tblOrdenes[[#This Row],[fecha_inicio]]="","",TODAY()-tblOrdenes[[#This Row],[fecha_inicio]])</f>
        <v/>
      </c>
      <c r="AB9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0">
        <f>IF(tblOrdenes[[#This Row],[orden]]="","",_xlfn.XLOOKUP(tblOrdenes[[#This Row],[id_operacion]],tblEjecucion[id_operacion],tblEjecucion[precio],0))</f>
        <v/>
      </c>
      <c r="AJ983" s="10">
        <f>IF(tblOrdenes[[#This Row],[orden]]="","",MAX(0,_xlfn.XLOOKUP(tblOrdenes[[#This Row],[id_operacion]],tblEjecucion[id_operacion],tblEjecucion[costo_plan_total],0)-tblOrdenes[[#This Row],[costo_servicio]]))</f>
        <v/>
      </c>
      <c r="AK983" s="10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2">
        <f>IF(tblOrdenes[[#This Row],[fecha_inicio]]="","",TODAY()-tblOrdenes[[#This Row],[fecha_inicio]])</f>
        <v/>
      </c>
      <c r="AB9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0">
        <f>IF(tblOrdenes[[#This Row],[orden]]="","",_xlfn.XLOOKUP(tblOrdenes[[#This Row],[id_operacion]],tblEjecucion[id_operacion],tblEjecucion[precio],0))</f>
        <v/>
      </c>
      <c r="AJ984" s="10">
        <f>IF(tblOrdenes[[#This Row],[orden]]="","",MAX(0,_xlfn.XLOOKUP(tblOrdenes[[#This Row],[id_operacion]],tblEjecucion[id_operacion],tblEjecucion[costo_plan_total],0)-tblOrdenes[[#This Row],[costo_servicio]]))</f>
        <v/>
      </c>
      <c r="AK984" s="10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2">
        <f>IF(tblOrdenes[[#This Row],[fecha_inicio]]="","",TODAY()-tblOrdenes[[#This Row],[fecha_inicio]])</f>
        <v/>
      </c>
      <c r="AB9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0">
        <f>IF(tblOrdenes[[#This Row],[orden]]="","",_xlfn.XLOOKUP(tblOrdenes[[#This Row],[id_operacion]],tblEjecucion[id_operacion],tblEjecucion[precio],0))</f>
        <v/>
      </c>
      <c r="AJ985" s="10">
        <f>IF(tblOrdenes[[#This Row],[orden]]="","",MAX(0,_xlfn.XLOOKUP(tblOrdenes[[#This Row],[id_operacion]],tblEjecucion[id_operacion],tblEjecucion[costo_plan_total],0)-tblOrdenes[[#This Row],[costo_servicio]]))</f>
        <v/>
      </c>
      <c r="AK985" s="10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2">
        <f>IF(tblOrdenes[[#This Row],[fecha_inicio]]="","",TODAY()-tblOrdenes[[#This Row],[fecha_inicio]])</f>
        <v/>
      </c>
      <c r="AB9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0">
        <f>IF(tblOrdenes[[#This Row],[orden]]="","",_xlfn.XLOOKUP(tblOrdenes[[#This Row],[id_operacion]],tblEjecucion[id_operacion],tblEjecucion[precio],0))</f>
        <v/>
      </c>
      <c r="AJ986" s="10">
        <f>IF(tblOrdenes[[#This Row],[orden]]="","",MAX(0,_xlfn.XLOOKUP(tblOrdenes[[#This Row],[id_operacion]],tblEjecucion[id_operacion],tblEjecucion[costo_plan_total],0)-tblOrdenes[[#This Row],[costo_servicio]]))</f>
        <v/>
      </c>
      <c r="AK986" s="10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2">
        <f>IF(tblOrdenes[[#This Row],[fecha_inicio]]="","",TODAY()-tblOrdenes[[#This Row],[fecha_inicio]])</f>
        <v/>
      </c>
      <c r="AB9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0">
        <f>IF(tblOrdenes[[#This Row],[orden]]="","",_xlfn.XLOOKUP(tblOrdenes[[#This Row],[id_operacion]],tblEjecucion[id_operacion],tblEjecucion[precio],0))</f>
        <v/>
      </c>
      <c r="AJ987" s="10">
        <f>IF(tblOrdenes[[#This Row],[orden]]="","",MAX(0,_xlfn.XLOOKUP(tblOrdenes[[#This Row],[id_operacion]],tblEjecucion[id_operacion],tblEjecucion[costo_plan_total],0)-tblOrdenes[[#This Row],[costo_servicio]]))</f>
        <v/>
      </c>
      <c r="AK987" s="10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2">
        <f>IF(tblOrdenes[[#This Row],[fecha_inicio]]="","",TODAY()-tblOrdenes[[#This Row],[fecha_inicio]])</f>
        <v/>
      </c>
      <c r="AB9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0">
        <f>IF(tblOrdenes[[#This Row],[orden]]="","",_xlfn.XLOOKUP(tblOrdenes[[#This Row],[id_operacion]],tblEjecucion[id_operacion],tblEjecucion[precio],0))</f>
        <v/>
      </c>
      <c r="AJ988" s="10">
        <f>IF(tblOrdenes[[#This Row],[orden]]="","",MAX(0,_xlfn.XLOOKUP(tblOrdenes[[#This Row],[id_operacion]],tblEjecucion[id_operacion],tblEjecucion[costo_plan_total],0)-tblOrdenes[[#This Row],[costo_servicio]]))</f>
        <v/>
      </c>
      <c r="AK988" s="10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2">
        <f>IF(tblOrdenes[[#This Row],[fecha_inicio]]="","",TODAY()-tblOrdenes[[#This Row],[fecha_inicio]])</f>
        <v/>
      </c>
      <c r="AB9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0">
        <f>IF(tblOrdenes[[#This Row],[orden]]="","",_xlfn.XLOOKUP(tblOrdenes[[#This Row],[id_operacion]],tblEjecucion[id_operacion],tblEjecucion[precio],0))</f>
        <v/>
      </c>
      <c r="AJ989" s="10">
        <f>IF(tblOrdenes[[#This Row],[orden]]="","",MAX(0,_xlfn.XLOOKUP(tblOrdenes[[#This Row],[id_operacion]],tblEjecucion[id_operacion],tblEjecucion[costo_plan_total],0)-tblOrdenes[[#This Row],[costo_servicio]]))</f>
        <v/>
      </c>
      <c r="AK989" s="10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2">
        <f>IF(tblOrdenes[[#This Row],[fecha_inicio]]="","",TODAY()-tblOrdenes[[#This Row],[fecha_inicio]])</f>
        <v/>
      </c>
      <c r="AB9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0">
        <f>IF(tblOrdenes[[#This Row],[orden]]="","",_xlfn.XLOOKUP(tblOrdenes[[#This Row],[id_operacion]],tblEjecucion[id_operacion],tblEjecucion[precio],0))</f>
        <v/>
      </c>
      <c r="AJ990" s="10">
        <f>IF(tblOrdenes[[#This Row],[orden]]="","",MAX(0,_xlfn.XLOOKUP(tblOrdenes[[#This Row],[id_operacion]],tblEjecucion[id_operacion],tblEjecucion[costo_plan_total],0)-tblOrdenes[[#This Row],[costo_servicio]]))</f>
        <v/>
      </c>
      <c r="AK990" s="10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2">
        <f>IF(tblOrdenes[[#This Row],[fecha_inicio]]="","",TODAY()-tblOrdenes[[#This Row],[fecha_inicio]])</f>
        <v/>
      </c>
      <c r="AB9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0">
        <f>IF(tblOrdenes[[#This Row],[orden]]="","",_xlfn.XLOOKUP(tblOrdenes[[#This Row],[id_operacion]],tblEjecucion[id_operacion],tblEjecucion[precio],0))</f>
        <v/>
      </c>
      <c r="AJ991" s="10">
        <f>IF(tblOrdenes[[#This Row],[orden]]="","",MAX(0,_xlfn.XLOOKUP(tblOrdenes[[#This Row],[id_operacion]],tblEjecucion[id_operacion],tblEjecucion[costo_plan_total],0)-tblOrdenes[[#This Row],[costo_servicio]]))</f>
        <v/>
      </c>
      <c r="AK991" s="10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2">
        <f>IF(tblOrdenes[[#This Row],[fecha_inicio]]="","",TODAY()-tblOrdenes[[#This Row],[fecha_inicio]])</f>
        <v/>
      </c>
      <c r="AB9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0">
        <f>IF(tblOrdenes[[#This Row],[orden]]="","",_xlfn.XLOOKUP(tblOrdenes[[#This Row],[id_operacion]],tblEjecucion[id_operacion],tblEjecucion[precio],0))</f>
        <v/>
      </c>
      <c r="AJ992" s="10">
        <f>IF(tblOrdenes[[#This Row],[orden]]="","",MAX(0,_xlfn.XLOOKUP(tblOrdenes[[#This Row],[id_operacion]],tblEjecucion[id_operacion],tblEjecucion[costo_plan_total],0)-tblOrdenes[[#This Row],[costo_servicio]]))</f>
        <v/>
      </c>
      <c r="AK992" s="10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2">
        <f>IF(tblOrdenes[[#This Row],[fecha_inicio]]="","",TODAY()-tblOrdenes[[#This Row],[fecha_inicio]])</f>
        <v/>
      </c>
      <c r="AB9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0">
        <f>IF(tblOrdenes[[#This Row],[orden]]="","",_xlfn.XLOOKUP(tblOrdenes[[#This Row],[id_operacion]],tblEjecucion[id_operacion],tblEjecucion[precio],0))</f>
        <v/>
      </c>
      <c r="AJ993" s="10">
        <f>IF(tblOrdenes[[#This Row],[orden]]="","",MAX(0,_xlfn.XLOOKUP(tblOrdenes[[#This Row],[id_operacion]],tblEjecucion[id_operacion],tblEjecucion[costo_plan_total],0)-tblOrdenes[[#This Row],[costo_servicio]]))</f>
        <v/>
      </c>
      <c r="AK993" s="10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2">
        <f>IF(tblOrdenes[[#This Row],[fecha_inicio]]="","",TODAY()-tblOrdenes[[#This Row],[fecha_inicio]])</f>
        <v/>
      </c>
      <c r="AB9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0">
        <f>IF(tblOrdenes[[#This Row],[orden]]="","",_xlfn.XLOOKUP(tblOrdenes[[#This Row],[id_operacion]],tblEjecucion[id_operacion],tblEjecucion[precio],0))</f>
        <v/>
      </c>
      <c r="AJ994" s="10">
        <f>IF(tblOrdenes[[#This Row],[orden]]="","",MAX(0,_xlfn.XLOOKUP(tblOrdenes[[#This Row],[id_operacion]],tblEjecucion[id_operacion],tblEjecucion[costo_plan_total],0)-tblOrdenes[[#This Row],[costo_servicio]]))</f>
        <v/>
      </c>
      <c r="AK994" s="10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2">
        <f>IF(tblOrdenes[[#This Row],[fecha_inicio]]="","",TODAY()-tblOrdenes[[#This Row],[fecha_inicio]])</f>
        <v/>
      </c>
      <c r="AB9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0">
        <f>IF(tblOrdenes[[#This Row],[orden]]="","",_xlfn.XLOOKUP(tblOrdenes[[#This Row],[id_operacion]],tblEjecucion[id_operacion],tblEjecucion[precio],0))</f>
        <v/>
      </c>
      <c r="AJ995" s="10">
        <f>IF(tblOrdenes[[#This Row],[orden]]="","",MAX(0,_xlfn.XLOOKUP(tblOrdenes[[#This Row],[id_operacion]],tblEjecucion[id_operacion],tblEjecucion[costo_plan_total],0)-tblOrdenes[[#This Row],[costo_servicio]]))</f>
        <v/>
      </c>
      <c r="AK995" s="10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2">
        <f>IF(tblOrdenes[[#This Row],[fecha_inicio]]="","",TODAY()-tblOrdenes[[#This Row],[fecha_inicio]])</f>
        <v/>
      </c>
      <c r="AB9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0">
        <f>IF(tblOrdenes[[#This Row],[orden]]="","",_xlfn.XLOOKUP(tblOrdenes[[#This Row],[id_operacion]],tblEjecucion[id_operacion],tblEjecucion[precio],0))</f>
        <v/>
      </c>
      <c r="AJ996" s="10">
        <f>IF(tblOrdenes[[#This Row],[orden]]="","",MAX(0,_xlfn.XLOOKUP(tblOrdenes[[#This Row],[id_operacion]],tblEjecucion[id_operacion],tblEjecucion[costo_plan_total],0)-tblOrdenes[[#This Row],[costo_servicio]]))</f>
        <v/>
      </c>
      <c r="AK996" s="10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2">
        <f>IF(tblOrdenes[[#This Row],[fecha_inicio]]="","",TODAY()-tblOrdenes[[#This Row],[fecha_inicio]])</f>
        <v/>
      </c>
      <c r="AB9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0">
        <f>IF(tblOrdenes[[#This Row],[orden]]="","",_xlfn.XLOOKUP(tblOrdenes[[#This Row],[id_operacion]],tblEjecucion[id_operacion],tblEjecucion[precio],0))</f>
        <v/>
      </c>
      <c r="AJ997" s="10">
        <f>IF(tblOrdenes[[#This Row],[orden]]="","",MAX(0,_xlfn.XLOOKUP(tblOrdenes[[#This Row],[id_operacion]],tblEjecucion[id_operacion],tblEjecucion[costo_plan_total],0)-tblOrdenes[[#This Row],[costo_servicio]]))</f>
        <v/>
      </c>
      <c r="AK997" s="10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2">
        <f>IF(tblOrdenes[[#This Row],[fecha_inicio]]="","",TODAY()-tblOrdenes[[#This Row],[fecha_inicio]])</f>
        <v/>
      </c>
      <c r="AB9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0">
        <f>IF(tblOrdenes[[#This Row],[orden]]="","",_xlfn.XLOOKUP(tblOrdenes[[#This Row],[id_operacion]],tblEjecucion[id_operacion],tblEjecucion[precio],0))</f>
        <v/>
      </c>
      <c r="AJ998" s="10">
        <f>IF(tblOrdenes[[#This Row],[orden]]="","",MAX(0,_xlfn.XLOOKUP(tblOrdenes[[#This Row],[id_operacion]],tblEjecucion[id_operacion],tblEjecucion[costo_plan_total],0)-tblOrdenes[[#This Row],[costo_servicio]]))</f>
        <v/>
      </c>
      <c r="AK998" s="10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2">
        <f>IF(tblOrdenes[[#This Row],[fecha_inicio]]="","",TODAY()-tblOrdenes[[#This Row],[fecha_inicio]])</f>
        <v/>
      </c>
      <c r="AB9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0">
        <f>IF(tblOrdenes[[#This Row],[orden]]="","",_xlfn.XLOOKUP(tblOrdenes[[#This Row],[id_operacion]],tblEjecucion[id_operacion],tblEjecucion[precio],0))</f>
        <v/>
      </c>
      <c r="AJ999" s="10">
        <f>IF(tblOrdenes[[#This Row],[orden]]="","",MAX(0,_xlfn.XLOOKUP(tblOrdenes[[#This Row],[id_operacion]],tblEjecucion[id_operacion],tblEjecucion[costo_plan_total],0)-tblOrdenes[[#This Row],[costo_servicio]]))</f>
        <v/>
      </c>
      <c r="AK999" s="10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2">
        <f>IF(tblOrdenes[[#This Row],[fecha_inicio]]="","",TODAY()-tblOrdenes[[#This Row],[fecha_inicio]])</f>
        <v/>
      </c>
      <c r="AB10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0">
        <f>IF(tblOrdenes[[#This Row],[orden]]="","",_xlfn.XLOOKUP(tblOrdenes[[#This Row],[id_operacion]],tblEjecucion[id_operacion],tblEjecucion[precio],0))</f>
        <v/>
      </c>
      <c r="AJ1000" s="10">
        <f>IF(tblOrdenes[[#This Row],[orden]]="","",MAX(0,_xlfn.XLOOKUP(tblOrdenes[[#This Row],[id_operacion]],tblEjecucion[id_operacion],tblEjecucion[costo_plan_total],0)-tblOrdenes[[#This Row],[costo_servicio]]))</f>
        <v/>
      </c>
      <c r="AK1000" s="10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2">
        <f>IF(tblOrdenes[[#This Row],[fecha_inicio]]="","",TODAY()-tblOrdenes[[#This Row],[fecha_inicio]])</f>
        <v/>
      </c>
      <c r="AB10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0">
        <f>IF(tblOrdenes[[#This Row],[orden]]="","",_xlfn.XLOOKUP(tblOrdenes[[#This Row],[id_operacion]],tblEjecucion[id_operacion],tblEjecucion[precio],0))</f>
        <v/>
      </c>
      <c r="AJ1001" s="10">
        <f>IF(tblOrdenes[[#This Row],[orden]]="","",MAX(0,_xlfn.XLOOKUP(tblOrdenes[[#This Row],[id_operacion]],tblEjecucion[id_operacion],tblEjecucion[costo_plan_total],0)-tblOrdenes[[#This Row],[costo_servicio]]))</f>
        <v/>
      </c>
      <c r="AK1001" s="10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2">
        <f>IF(tblOrdenes[[#This Row],[fecha_inicio]]="","",TODAY()-tblOrdenes[[#This Row],[fecha_inicio]])</f>
        <v/>
      </c>
      <c r="AB10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0">
        <f>IF(tblOrdenes[[#This Row],[orden]]="","",_xlfn.XLOOKUP(tblOrdenes[[#This Row],[id_operacion]],tblEjecucion[id_operacion],tblEjecucion[precio],0))</f>
        <v/>
      </c>
      <c r="AJ1002" s="10">
        <f>IF(tblOrdenes[[#This Row],[orden]]="","",MAX(0,_xlfn.XLOOKUP(tblOrdenes[[#This Row],[id_operacion]],tblEjecucion[id_operacion],tblEjecucion[costo_plan_total],0)-tblOrdenes[[#This Row],[costo_servicio]]))</f>
        <v/>
      </c>
      <c r="AK1002" s="10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2">
        <f>IF(tblOrdenes[[#This Row],[fecha_inicio]]="","",TODAY()-tblOrdenes[[#This Row],[fecha_inicio]])</f>
        <v/>
      </c>
      <c r="AB10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0">
        <f>IF(tblOrdenes[[#This Row],[orden]]="","",_xlfn.XLOOKUP(tblOrdenes[[#This Row],[id_operacion]],tblEjecucion[id_operacion],tblEjecucion[precio],0))</f>
        <v/>
      </c>
      <c r="AJ1003" s="10">
        <f>IF(tblOrdenes[[#This Row],[orden]]="","",MAX(0,_xlfn.XLOOKUP(tblOrdenes[[#This Row],[id_operacion]],tblEjecucion[id_operacion],tblEjecucion[costo_plan_total],0)-tblOrdenes[[#This Row],[costo_servicio]]))</f>
        <v/>
      </c>
      <c r="AK1003" s="10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2">
        <f>IF(tblOrdenes[[#This Row],[fecha_inicio]]="","",TODAY()-tblOrdenes[[#This Row],[fecha_inicio]])</f>
        <v/>
      </c>
      <c r="AB10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0">
        <f>IF(tblOrdenes[[#This Row],[orden]]="","",_xlfn.XLOOKUP(tblOrdenes[[#This Row],[id_operacion]],tblEjecucion[id_operacion],tblEjecucion[precio],0))</f>
        <v/>
      </c>
      <c r="AJ1004" s="10">
        <f>IF(tblOrdenes[[#This Row],[orden]]="","",MAX(0,_xlfn.XLOOKUP(tblOrdenes[[#This Row],[id_operacion]],tblEjecucion[id_operacion],tblEjecucion[costo_plan_total],0)-tblOrdenes[[#This Row],[costo_servicio]]))</f>
        <v/>
      </c>
      <c r="AK1004" s="10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2">
        <f>IF(tblOrdenes[[#This Row],[fecha_inicio]]="","",TODAY()-tblOrdenes[[#This Row],[fecha_inicio]])</f>
        <v/>
      </c>
      <c r="AB10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0">
        <f>IF(tblOrdenes[[#This Row],[orden]]="","",_xlfn.XLOOKUP(tblOrdenes[[#This Row],[id_operacion]],tblEjecucion[id_operacion],tblEjecucion[precio],0))</f>
        <v/>
      </c>
      <c r="AJ1005" s="10">
        <f>IF(tblOrdenes[[#This Row],[orden]]="","",MAX(0,_xlfn.XLOOKUP(tblOrdenes[[#This Row],[id_operacion]],tblEjecucion[id_operacion],tblEjecucion[costo_plan_total],0)-tblOrdenes[[#This Row],[costo_servicio]]))</f>
        <v/>
      </c>
      <c r="AK1005" s="10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2">
        <f>IF(tblOrdenes[[#This Row],[fecha_inicio]]="","",TODAY()-tblOrdenes[[#This Row],[fecha_inicio]])</f>
        <v/>
      </c>
      <c r="AB10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0">
        <f>IF(tblOrdenes[[#This Row],[orden]]="","",_xlfn.XLOOKUP(tblOrdenes[[#This Row],[id_operacion]],tblEjecucion[id_operacion],tblEjecucion[precio],0))</f>
        <v/>
      </c>
      <c r="AJ1006" s="10">
        <f>IF(tblOrdenes[[#This Row],[orden]]="","",MAX(0,_xlfn.XLOOKUP(tblOrdenes[[#This Row],[id_operacion]],tblEjecucion[id_operacion],tblEjecucion[costo_plan_total],0)-tblOrdenes[[#This Row],[costo_servicio]]))</f>
        <v/>
      </c>
      <c r="AK1006" s="10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2">
        <f>IF(tblOrdenes[[#This Row],[fecha_inicio]]="","",TODAY()-tblOrdenes[[#This Row],[fecha_inicio]])</f>
        <v/>
      </c>
      <c r="AB10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0">
        <f>IF(tblOrdenes[[#This Row],[orden]]="","",_xlfn.XLOOKUP(tblOrdenes[[#This Row],[id_operacion]],tblEjecucion[id_operacion],tblEjecucion[precio],0))</f>
        <v/>
      </c>
      <c r="AJ1007" s="10">
        <f>IF(tblOrdenes[[#This Row],[orden]]="","",MAX(0,_xlfn.XLOOKUP(tblOrdenes[[#This Row],[id_operacion]],tblEjecucion[id_operacion],tblEjecucion[costo_plan_total],0)-tblOrdenes[[#This Row],[costo_servicio]]))</f>
        <v/>
      </c>
      <c r="AK1007" s="10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2">
        <f>IF(tblOrdenes[[#This Row],[fecha_inicio]]="","",TODAY()-tblOrdenes[[#This Row],[fecha_inicio]])</f>
        <v/>
      </c>
      <c r="AB10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0">
        <f>IF(tblOrdenes[[#This Row],[orden]]="","",_xlfn.XLOOKUP(tblOrdenes[[#This Row],[id_operacion]],tblEjecucion[id_operacion],tblEjecucion[precio],0))</f>
        <v/>
      </c>
      <c r="AJ1008" s="10">
        <f>IF(tblOrdenes[[#This Row],[orden]]="","",MAX(0,_xlfn.XLOOKUP(tblOrdenes[[#This Row],[id_operacion]],tblEjecucion[id_operacion],tblEjecucion[costo_plan_total],0)-tblOrdenes[[#This Row],[costo_servicio]]))</f>
        <v/>
      </c>
      <c r="AK1008" s="10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2">
        <f>IF(tblOrdenes[[#This Row],[fecha_inicio]]="","",TODAY()-tblOrdenes[[#This Row],[fecha_inicio]])</f>
        <v/>
      </c>
      <c r="AB10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0">
        <f>IF(tblOrdenes[[#This Row],[orden]]="","",_xlfn.XLOOKUP(tblOrdenes[[#This Row],[id_operacion]],tblEjecucion[id_operacion],tblEjecucion[precio],0))</f>
        <v/>
      </c>
      <c r="AJ1009" s="10">
        <f>IF(tblOrdenes[[#This Row],[orden]]="","",MAX(0,_xlfn.XLOOKUP(tblOrdenes[[#This Row],[id_operacion]],tblEjecucion[id_operacion],tblEjecucion[costo_plan_total],0)-tblOrdenes[[#This Row],[costo_servicio]]))</f>
        <v/>
      </c>
      <c r="AK1009" s="10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2">
        <f>IF(tblOrdenes[[#This Row],[fecha_inicio]]="","",TODAY()-tblOrdenes[[#This Row],[fecha_inicio]])</f>
        <v/>
      </c>
      <c r="AB10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0">
        <f>IF(tblOrdenes[[#This Row],[orden]]="","",_xlfn.XLOOKUP(tblOrdenes[[#This Row],[id_operacion]],tblEjecucion[id_operacion],tblEjecucion[precio],0))</f>
        <v/>
      </c>
      <c r="AJ1010" s="10">
        <f>IF(tblOrdenes[[#This Row],[orden]]="","",MAX(0,_xlfn.XLOOKUP(tblOrdenes[[#This Row],[id_operacion]],tblEjecucion[id_operacion],tblEjecucion[costo_plan_total],0)-tblOrdenes[[#This Row],[costo_servicio]]))</f>
        <v/>
      </c>
      <c r="AK1010" s="10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2">
        <f>IF(tblOrdenes[[#This Row],[fecha_inicio]]="","",TODAY()-tblOrdenes[[#This Row],[fecha_inicio]])</f>
        <v/>
      </c>
      <c r="AB10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0">
        <f>IF(tblOrdenes[[#This Row],[orden]]="","",_xlfn.XLOOKUP(tblOrdenes[[#This Row],[id_operacion]],tblEjecucion[id_operacion],tblEjecucion[precio],0))</f>
        <v/>
      </c>
      <c r="AJ1011" s="10">
        <f>IF(tblOrdenes[[#This Row],[orden]]="","",MAX(0,_xlfn.XLOOKUP(tblOrdenes[[#This Row],[id_operacion]],tblEjecucion[id_operacion],tblEjecucion[costo_plan_total],0)-tblOrdenes[[#This Row],[costo_servicio]]))</f>
        <v/>
      </c>
      <c r="AK1011" s="10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2">
        <f>IF(tblOrdenes[[#This Row],[fecha_inicio]]="","",TODAY()-tblOrdenes[[#This Row],[fecha_inicio]])</f>
        <v/>
      </c>
      <c r="AB10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0">
        <f>IF(tblOrdenes[[#This Row],[orden]]="","",_xlfn.XLOOKUP(tblOrdenes[[#This Row],[id_operacion]],tblEjecucion[id_operacion],tblEjecucion[precio],0))</f>
        <v/>
      </c>
      <c r="AJ1012" s="10">
        <f>IF(tblOrdenes[[#This Row],[orden]]="","",MAX(0,_xlfn.XLOOKUP(tblOrdenes[[#This Row],[id_operacion]],tblEjecucion[id_operacion],tblEjecucion[costo_plan_total],0)-tblOrdenes[[#This Row],[costo_servicio]]))</f>
        <v/>
      </c>
      <c r="AK1012" s="10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2">
        <f>IF(tblOrdenes[[#This Row],[fecha_inicio]]="","",TODAY()-tblOrdenes[[#This Row],[fecha_inicio]])</f>
        <v/>
      </c>
      <c r="AB10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0">
        <f>IF(tblOrdenes[[#This Row],[orden]]="","",_xlfn.XLOOKUP(tblOrdenes[[#This Row],[id_operacion]],tblEjecucion[id_operacion],tblEjecucion[precio],0))</f>
        <v/>
      </c>
      <c r="AJ1013" s="10">
        <f>IF(tblOrdenes[[#This Row],[orden]]="","",MAX(0,_xlfn.XLOOKUP(tblOrdenes[[#This Row],[id_operacion]],tblEjecucion[id_operacion],tblEjecucion[costo_plan_total],0)-tblOrdenes[[#This Row],[costo_servicio]]))</f>
        <v/>
      </c>
      <c r="AK1013" s="10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2">
        <f>IF(tblOrdenes[[#This Row],[fecha_inicio]]="","",TODAY()-tblOrdenes[[#This Row],[fecha_inicio]])</f>
        <v/>
      </c>
      <c r="AB10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0">
        <f>IF(tblOrdenes[[#This Row],[orden]]="","",_xlfn.XLOOKUP(tblOrdenes[[#This Row],[id_operacion]],tblEjecucion[id_operacion],tblEjecucion[precio],0))</f>
        <v/>
      </c>
      <c r="AJ1014" s="10">
        <f>IF(tblOrdenes[[#This Row],[orden]]="","",MAX(0,_xlfn.XLOOKUP(tblOrdenes[[#This Row],[id_operacion]],tblEjecucion[id_operacion],tblEjecucion[costo_plan_total],0)-tblOrdenes[[#This Row],[costo_servicio]]))</f>
        <v/>
      </c>
      <c r="AK1014" s="10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2">
        <f>IF(tblOrdenes[[#This Row],[fecha_inicio]]="","",TODAY()-tblOrdenes[[#This Row],[fecha_inicio]])</f>
        <v/>
      </c>
      <c r="AB10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0">
        <f>IF(tblOrdenes[[#This Row],[orden]]="","",_xlfn.XLOOKUP(tblOrdenes[[#This Row],[id_operacion]],tblEjecucion[id_operacion],tblEjecucion[precio],0))</f>
        <v/>
      </c>
      <c r="AJ1015" s="10">
        <f>IF(tblOrdenes[[#This Row],[orden]]="","",MAX(0,_xlfn.XLOOKUP(tblOrdenes[[#This Row],[id_operacion]],tblEjecucion[id_operacion],tblEjecucion[costo_plan_total],0)-tblOrdenes[[#This Row],[costo_servicio]]))</f>
        <v/>
      </c>
      <c r="AK1015" s="10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2">
        <f>IF(tblOrdenes[[#This Row],[fecha_inicio]]="","",TODAY()-tblOrdenes[[#This Row],[fecha_inicio]])</f>
        <v/>
      </c>
      <c r="AB10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0">
        <f>IF(tblOrdenes[[#This Row],[orden]]="","",_xlfn.XLOOKUP(tblOrdenes[[#This Row],[id_operacion]],tblEjecucion[id_operacion],tblEjecucion[precio],0))</f>
        <v/>
      </c>
      <c r="AJ1016" s="10">
        <f>IF(tblOrdenes[[#This Row],[orden]]="","",MAX(0,_xlfn.XLOOKUP(tblOrdenes[[#This Row],[id_operacion]],tblEjecucion[id_operacion],tblEjecucion[costo_plan_total],0)-tblOrdenes[[#This Row],[costo_servicio]]))</f>
        <v/>
      </c>
      <c r="AK1016" s="10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2">
        <f>IF(tblOrdenes[[#This Row],[fecha_inicio]]="","",TODAY()-tblOrdenes[[#This Row],[fecha_inicio]])</f>
        <v/>
      </c>
      <c r="AB10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0">
        <f>IF(tblOrdenes[[#This Row],[orden]]="","",_xlfn.XLOOKUP(tblOrdenes[[#This Row],[id_operacion]],tblEjecucion[id_operacion],tblEjecucion[precio],0))</f>
        <v/>
      </c>
      <c r="AJ1017" s="10">
        <f>IF(tblOrdenes[[#This Row],[orden]]="","",MAX(0,_xlfn.XLOOKUP(tblOrdenes[[#This Row],[id_operacion]],tblEjecucion[id_operacion],tblEjecucion[costo_plan_total],0)-tblOrdenes[[#This Row],[costo_servicio]]))</f>
        <v/>
      </c>
      <c r="AK1017" s="10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2">
        <f>IF(tblOrdenes[[#This Row],[fecha_inicio]]="","",TODAY()-tblOrdenes[[#This Row],[fecha_inicio]])</f>
        <v/>
      </c>
      <c r="AB10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0">
        <f>IF(tblOrdenes[[#This Row],[orden]]="","",_xlfn.XLOOKUP(tblOrdenes[[#This Row],[id_operacion]],tblEjecucion[id_operacion],tblEjecucion[precio],0))</f>
        <v/>
      </c>
      <c r="AJ1018" s="10">
        <f>IF(tblOrdenes[[#This Row],[orden]]="","",MAX(0,_xlfn.XLOOKUP(tblOrdenes[[#This Row],[id_operacion]],tblEjecucion[id_operacion],tblEjecucion[costo_plan_total],0)-tblOrdenes[[#This Row],[costo_servicio]]))</f>
        <v/>
      </c>
      <c r="AK1018" s="10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2">
        <f>IF(tblOrdenes[[#This Row],[fecha_inicio]]="","",TODAY()-tblOrdenes[[#This Row],[fecha_inicio]])</f>
        <v/>
      </c>
      <c r="AB10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0">
        <f>IF(tblOrdenes[[#This Row],[orden]]="","",_xlfn.XLOOKUP(tblOrdenes[[#This Row],[id_operacion]],tblEjecucion[id_operacion],tblEjecucion[precio],0))</f>
        <v/>
      </c>
      <c r="AJ1019" s="10">
        <f>IF(tblOrdenes[[#This Row],[orden]]="","",MAX(0,_xlfn.XLOOKUP(tblOrdenes[[#This Row],[id_operacion]],tblEjecucion[id_operacion],tblEjecucion[costo_plan_total],0)-tblOrdenes[[#This Row],[costo_servicio]]))</f>
        <v/>
      </c>
      <c r="AK1019" s="10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2">
        <f>IF(tblOrdenes[[#This Row],[fecha_inicio]]="","",TODAY()-tblOrdenes[[#This Row],[fecha_inicio]])</f>
        <v/>
      </c>
      <c r="AB10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0">
        <f>IF(tblOrdenes[[#This Row],[orden]]="","",_xlfn.XLOOKUP(tblOrdenes[[#This Row],[id_operacion]],tblEjecucion[id_operacion],tblEjecucion[precio],0))</f>
        <v/>
      </c>
      <c r="AJ1020" s="10">
        <f>IF(tblOrdenes[[#This Row],[orden]]="","",MAX(0,_xlfn.XLOOKUP(tblOrdenes[[#This Row],[id_operacion]],tblEjecucion[id_operacion],tblEjecucion[costo_plan_total],0)-tblOrdenes[[#This Row],[costo_servicio]]))</f>
        <v/>
      </c>
      <c r="AK1020" s="10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2">
        <f>IF(tblOrdenes[[#This Row],[fecha_inicio]]="","",TODAY()-tblOrdenes[[#This Row],[fecha_inicio]])</f>
        <v/>
      </c>
      <c r="AB10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0">
        <f>IF(tblOrdenes[[#This Row],[orden]]="","",_xlfn.XLOOKUP(tblOrdenes[[#This Row],[id_operacion]],tblEjecucion[id_operacion],tblEjecucion[precio],0))</f>
        <v/>
      </c>
      <c r="AJ1021" s="10">
        <f>IF(tblOrdenes[[#This Row],[orden]]="","",MAX(0,_xlfn.XLOOKUP(tblOrdenes[[#This Row],[id_operacion]],tblEjecucion[id_operacion],tblEjecucion[costo_plan_total],0)-tblOrdenes[[#This Row],[costo_servicio]]))</f>
        <v/>
      </c>
      <c r="AK1021" s="10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2">
        <f>IF(tblOrdenes[[#This Row],[fecha_inicio]]="","",TODAY()-tblOrdenes[[#This Row],[fecha_inicio]])</f>
        <v/>
      </c>
      <c r="AB10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0">
        <f>IF(tblOrdenes[[#This Row],[orden]]="","",_xlfn.XLOOKUP(tblOrdenes[[#This Row],[id_operacion]],tblEjecucion[id_operacion],tblEjecucion[precio],0))</f>
        <v/>
      </c>
      <c r="AJ1022" s="10">
        <f>IF(tblOrdenes[[#This Row],[orden]]="","",MAX(0,_xlfn.XLOOKUP(tblOrdenes[[#This Row],[id_operacion]],tblEjecucion[id_operacion],tblEjecucion[costo_plan_total],0)-tblOrdenes[[#This Row],[costo_servicio]]))</f>
        <v/>
      </c>
      <c r="AK1022" s="10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2">
        <f>IF(tblOrdenes[[#This Row],[fecha_inicio]]="","",TODAY()-tblOrdenes[[#This Row],[fecha_inicio]])</f>
        <v/>
      </c>
      <c r="AB10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0">
        <f>IF(tblOrdenes[[#This Row],[orden]]="","",_xlfn.XLOOKUP(tblOrdenes[[#This Row],[id_operacion]],tblEjecucion[id_operacion],tblEjecucion[precio],0))</f>
        <v/>
      </c>
      <c r="AJ1023" s="10">
        <f>IF(tblOrdenes[[#This Row],[orden]]="","",MAX(0,_xlfn.XLOOKUP(tblOrdenes[[#This Row],[id_operacion]],tblEjecucion[id_operacion],tblEjecucion[costo_plan_total],0)-tblOrdenes[[#This Row],[costo_servicio]]))</f>
        <v/>
      </c>
      <c r="AK1023" s="10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2">
        <f>IF(tblOrdenes[[#This Row],[fecha_inicio]]="","",TODAY()-tblOrdenes[[#This Row],[fecha_inicio]])</f>
        <v/>
      </c>
      <c r="AB10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0">
        <f>IF(tblOrdenes[[#This Row],[orden]]="","",_xlfn.XLOOKUP(tblOrdenes[[#This Row],[id_operacion]],tblEjecucion[id_operacion],tblEjecucion[precio],0))</f>
        <v/>
      </c>
      <c r="AJ1024" s="10">
        <f>IF(tblOrdenes[[#This Row],[orden]]="","",MAX(0,_xlfn.XLOOKUP(tblOrdenes[[#This Row],[id_operacion]],tblEjecucion[id_operacion],tblEjecucion[costo_plan_total],0)-tblOrdenes[[#This Row],[costo_servicio]]))</f>
        <v/>
      </c>
      <c r="AK1024" s="10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2">
        <f>IF(tblOrdenes[[#This Row],[fecha_inicio]]="","",TODAY()-tblOrdenes[[#This Row],[fecha_inicio]])</f>
        <v/>
      </c>
      <c r="AB10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0">
        <f>IF(tblOrdenes[[#This Row],[orden]]="","",_xlfn.XLOOKUP(tblOrdenes[[#This Row],[id_operacion]],tblEjecucion[id_operacion],tblEjecucion[precio],0))</f>
        <v/>
      </c>
      <c r="AJ1025" s="10">
        <f>IF(tblOrdenes[[#This Row],[orden]]="","",MAX(0,_xlfn.XLOOKUP(tblOrdenes[[#This Row],[id_operacion]],tblEjecucion[id_operacion],tblEjecucion[costo_plan_total],0)-tblOrdenes[[#This Row],[costo_servicio]]))</f>
        <v/>
      </c>
      <c r="AK1025" s="10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2">
        <f>IF(tblOrdenes[[#This Row],[fecha_inicio]]="","",TODAY()-tblOrdenes[[#This Row],[fecha_inicio]])</f>
        <v/>
      </c>
      <c r="AB10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0">
        <f>IF(tblOrdenes[[#This Row],[orden]]="","",_xlfn.XLOOKUP(tblOrdenes[[#This Row],[id_operacion]],tblEjecucion[id_operacion],tblEjecucion[precio],0))</f>
        <v/>
      </c>
      <c r="AJ1026" s="10">
        <f>IF(tblOrdenes[[#This Row],[orden]]="","",MAX(0,_xlfn.XLOOKUP(tblOrdenes[[#This Row],[id_operacion]],tblEjecucion[id_operacion],tblEjecucion[costo_plan_total],0)-tblOrdenes[[#This Row],[costo_servicio]]))</f>
        <v/>
      </c>
      <c r="AK1026" s="10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2">
        <f>IF(tblOrdenes[[#This Row],[fecha_inicio]]="","",TODAY()-tblOrdenes[[#This Row],[fecha_inicio]])</f>
        <v/>
      </c>
      <c r="AB10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0">
        <f>IF(tblOrdenes[[#This Row],[orden]]="","",_xlfn.XLOOKUP(tblOrdenes[[#This Row],[id_operacion]],tblEjecucion[id_operacion],tblEjecucion[precio],0))</f>
        <v/>
      </c>
      <c r="AJ1027" s="10">
        <f>IF(tblOrdenes[[#This Row],[orden]]="","",MAX(0,_xlfn.XLOOKUP(tblOrdenes[[#This Row],[id_operacion]],tblEjecucion[id_operacion],tblEjecucion[costo_plan_total],0)-tblOrdenes[[#This Row],[costo_servicio]]))</f>
        <v/>
      </c>
      <c r="AK1027" s="10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2">
        <f>IF(tblOrdenes[[#This Row],[fecha_inicio]]="","",TODAY()-tblOrdenes[[#This Row],[fecha_inicio]])</f>
        <v/>
      </c>
      <c r="AB10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0">
        <f>IF(tblOrdenes[[#This Row],[orden]]="","",_xlfn.XLOOKUP(tblOrdenes[[#This Row],[id_operacion]],tblEjecucion[id_operacion],tblEjecucion[precio],0))</f>
        <v/>
      </c>
      <c r="AJ1028" s="10">
        <f>IF(tblOrdenes[[#This Row],[orden]]="","",MAX(0,_xlfn.XLOOKUP(tblOrdenes[[#This Row],[id_operacion]],tblEjecucion[id_operacion],tblEjecucion[costo_plan_total],0)-tblOrdenes[[#This Row],[costo_servicio]]))</f>
        <v/>
      </c>
      <c r="AK1028" s="10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2">
        <f>IF(tblOrdenes[[#This Row],[fecha_inicio]]="","",TODAY()-tblOrdenes[[#This Row],[fecha_inicio]])</f>
        <v/>
      </c>
      <c r="AB10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0">
        <f>IF(tblOrdenes[[#This Row],[orden]]="","",_xlfn.XLOOKUP(tblOrdenes[[#This Row],[id_operacion]],tblEjecucion[id_operacion],tblEjecucion[precio],0))</f>
        <v/>
      </c>
      <c r="AJ1029" s="10">
        <f>IF(tblOrdenes[[#This Row],[orden]]="","",MAX(0,_xlfn.XLOOKUP(tblOrdenes[[#This Row],[id_operacion]],tblEjecucion[id_operacion],tblEjecucion[costo_plan_total],0)-tblOrdenes[[#This Row],[costo_servicio]]))</f>
        <v/>
      </c>
      <c r="AK1029" s="10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2">
        <f>IF(tblOrdenes[[#This Row],[fecha_inicio]]="","",TODAY()-tblOrdenes[[#This Row],[fecha_inicio]])</f>
        <v/>
      </c>
      <c r="AB10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0">
        <f>IF(tblOrdenes[[#This Row],[orden]]="","",_xlfn.XLOOKUP(tblOrdenes[[#This Row],[id_operacion]],tblEjecucion[id_operacion],tblEjecucion[precio],0))</f>
        <v/>
      </c>
      <c r="AJ1030" s="10">
        <f>IF(tblOrdenes[[#This Row],[orden]]="","",MAX(0,_xlfn.XLOOKUP(tblOrdenes[[#This Row],[id_operacion]],tblEjecucion[id_operacion],tblEjecucion[costo_plan_total],0)-tblOrdenes[[#This Row],[costo_servicio]]))</f>
        <v/>
      </c>
      <c r="AK1030" s="10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2">
        <f>IF(tblOrdenes[[#This Row],[fecha_inicio]]="","",TODAY()-tblOrdenes[[#This Row],[fecha_inicio]])</f>
        <v/>
      </c>
      <c r="AB10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0">
        <f>IF(tblOrdenes[[#This Row],[orden]]="","",_xlfn.XLOOKUP(tblOrdenes[[#This Row],[id_operacion]],tblEjecucion[id_operacion],tblEjecucion[precio],0))</f>
        <v/>
      </c>
      <c r="AJ1031" s="10">
        <f>IF(tblOrdenes[[#This Row],[orden]]="","",MAX(0,_xlfn.XLOOKUP(tblOrdenes[[#This Row],[id_operacion]],tblEjecucion[id_operacion],tblEjecucion[costo_plan_total],0)-tblOrdenes[[#This Row],[costo_servicio]]))</f>
        <v/>
      </c>
      <c r="AK1031" s="10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2">
        <f>IF(tblOrdenes[[#This Row],[fecha_inicio]]="","",TODAY()-tblOrdenes[[#This Row],[fecha_inicio]])</f>
        <v/>
      </c>
      <c r="AB10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0">
        <f>IF(tblOrdenes[[#This Row],[orden]]="","",_xlfn.XLOOKUP(tblOrdenes[[#This Row],[id_operacion]],tblEjecucion[id_operacion],tblEjecucion[precio],0))</f>
        <v/>
      </c>
      <c r="AJ1032" s="10">
        <f>IF(tblOrdenes[[#This Row],[orden]]="","",MAX(0,_xlfn.XLOOKUP(tblOrdenes[[#This Row],[id_operacion]],tblEjecucion[id_operacion],tblEjecucion[costo_plan_total],0)-tblOrdenes[[#This Row],[costo_servicio]]))</f>
        <v/>
      </c>
      <c r="AK1032" s="10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2">
        <f>IF(tblOrdenes[[#This Row],[fecha_inicio]]="","",TODAY()-tblOrdenes[[#This Row],[fecha_inicio]])</f>
        <v/>
      </c>
      <c r="AB10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0">
        <f>IF(tblOrdenes[[#This Row],[orden]]="","",_xlfn.XLOOKUP(tblOrdenes[[#This Row],[id_operacion]],tblEjecucion[id_operacion],tblEjecucion[precio],0))</f>
        <v/>
      </c>
      <c r="AJ1033" s="10">
        <f>IF(tblOrdenes[[#This Row],[orden]]="","",MAX(0,_xlfn.XLOOKUP(tblOrdenes[[#This Row],[id_operacion]],tblEjecucion[id_operacion],tblEjecucion[costo_plan_total],0)-tblOrdenes[[#This Row],[costo_servicio]]))</f>
        <v/>
      </c>
      <c r="AK1033" s="10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2">
        <f>IF(tblOrdenes[[#This Row],[fecha_inicio]]="","",TODAY()-tblOrdenes[[#This Row],[fecha_inicio]])</f>
        <v/>
      </c>
      <c r="AB10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0">
        <f>IF(tblOrdenes[[#This Row],[orden]]="","",_xlfn.XLOOKUP(tblOrdenes[[#This Row],[id_operacion]],tblEjecucion[id_operacion],tblEjecucion[precio],0))</f>
        <v/>
      </c>
      <c r="AJ1034" s="10">
        <f>IF(tblOrdenes[[#This Row],[orden]]="","",MAX(0,_xlfn.XLOOKUP(tblOrdenes[[#This Row],[id_operacion]],tblEjecucion[id_operacion],tblEjecucion[costo_plan_total],0)-tblOrdenes[[#This Row],[costo_servicio]]))</f>
        <v/>
      </c>
      <c r="AK1034" s="10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2">
        <f>IF(tblOrdenes[[#This Row],[fecha_inicio]]="","",TODAY()-tblOrdenes[[#This Row],[fecha_inicio]])</f>
        <v/>
      </c>
      <c r="AB10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0">
        <f>IF(tblOrdenes[[#This Row],[orden]]="","",_xlfn.XLOOKUP(tblOrdenes[[#This Row],[id_operacion]],tblEjecucion[id_operacion],tblEjecucion[precio],0))</f>
        <v/>
      </c>
      <c r="AJ1035" s="10">
        <f>IF(tblOrdenes[[#This Row],[orden]]="","",MAX(0,_xlfn.XLOOKUP(tblOrdenes[[#This Row],[id_operacion]],tblEjecucion[id_operacion],tblEjecucion[costo_plan_total],0)-tblOrdenes[[#This Row],[costo_servicio]]))</f>
        <v/>
      </c>
      <c r="AK1035" s="10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2">
        <f>IF(tblOrdenes[[#This Row],[fecha_inicio]]="","",TODAY()-tblOrdenes[[#This Row],[fecha_inicio]])</f>
        <v/>
      </c>
      <c r="AB10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0">
        <f>IF(tblOrdenes[[#This Row],[orden]]="","",_xlfn.XLOOKUP(tblOrdenes[[#This Row],[id_operacion]],tblEjecucion[id_operacion],tblEjecucion[precio],0))</f>
        <v/>
      </c>
      <c r="AJ1036" s="10">
        <f>IF(tblOrdenes[[#This Row],[orden]]="","",MAX(0,_xlfn.XLOOKUP(tblOrdenes[[#This Row],[id_operacion]],tblEjecucion[id_operacion],tblEjecucion[costo_plan_total],0)-tblOrdenes[[#This Row],[costo_servicio]]))</f>
        <v/>
      </c>
      <c r="AK1036" s="10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2">
        <f>IF(tblOrdenes[[#This Row],[fecha_inicio]]="","",TODAY()-tblOrdenes[[#This Row],[fecha_inicio]])</f>
        <v/>
      </c>
      <c r="AB10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0">
        <f>IF(tblOrdenes[[#This Row],[orden]]="","",_xlfn.XLOOKUP(tblOrdenes[[#This Row],[id_operacion]],tblEjecucion[id_operacion],tblEjecucion[precio],0))</f>
        <v/>
      </c>
      <c r="AJ1037" s="10">
        <f>IF(tblOrdenes[[#This Row],[orden]]="","",MAX(0,_xlfn.XLOOKUP(tblOrdenes[[#This Row],[id_operacion]],tblEjecucion[id_operacion],tblEjecucion[costo_plan_total],0)-tblOrdenes[[#This Row],[costo_servicio]]))</f>
        <v/>
      </c>
      <c r="AK1037" s="10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2">
        <f>IF(tblOrdenes[[#This Row],[fecha_inicio]]="","",TODAY()-tblOrdenes[[#This Row],[fecha_inicio]])</f>
        <v/>
      </c>
      <c r="AB10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0">
        <f>IF(tblOrdenes[[#This Row],[orden]]="","",_xlfn.XLOOKUP(tblOrdenes[[#This Row],[id_operacion]],tblEjecucion[id_operacion],tblEjecucion[precio],0))</f>
        <v/>
      </c>
      <c r="AJ1038" s="10">
        <f>IF(tblOrdenes[[#This Row],[orden]]="","",MAX(0,_xlfn.XLOOKUP(tblOrdenes[[#This Row],[id_operacion]],tblEjecucion[id_operacion],tblEjecucion[costo_plan_total],0)-tblOrdenes[[#This Row],[costo_servicio]]))</f>
        <v/>
      </c>
      <c r="AK1038" s="10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2">
        <f>IF(tblOrdenes[[#This Row],[fecha_inicio]]="","",TODAY()-tblOrdenes[[#This Row],[fecha_inicio]])</f>
        <v/>
      </c>
      <c r="AB10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0">
        <f>IF(tblOrdenes[[#This Row],[orden]]="","",_xlfn.XLOOKUP(tblOrdenes[[#This Row],[id_operacion]],tblEjecucion[id_operacion],tblEjecucion[precio],0))</f>
        <v/>
      </c>
      <c r="AJ1039" s="10">
        <f>IF(tblOrdenes[[#This Row],[orden]]="","",MAX(0,_xlfn.XLOOKUP(tblOrdenes[[#This Row],[id_operacion]],tblEjecucion[id_operacion],tblEjecucion[costo_plan_total],0)-tblOrdenes[[#This Row],[costo_servicio]]))</f>
        <v/>
      </c>
      <c r="AK1039" s="10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2">
        <f>IF(tblOrdenes[[#This Row],[fecha_inicio]]="","",TODAY()-tblOrdenes[[#This Row],[fecha_inicio]])</f>
        <v/>
      </c>
      <c r="AB10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0">
        <f>IF(tblOrdenes[[#This Row],[orden]]="","",_xlfn.XLOOKUP(tblOrdenes[[#This Row],[id_operacion]],tblEjecucion[id_operacion],tblEjecucion[precio],0))</f>
        <v/>
      </c>
      <c r="AJ1040" s="10">
        <f>IF(tblOrdenes[[#This Row],[orden]]="","",MAX(0,_xlfn.XLOOKUP(tblOrdenes[[#This Row],[id_operacion]],tblEjecucion[id_operacion],tblEjecucion[costo_plan_total],0)-tblOrdenes[[#This Row],[costo_servicio]]))</f>
        <v/>
      </c>
      <c r="AK1040" s="10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2">
        <f>IF(tblOrdenes[[#This Row],[fecha_inicio]]="","",TODAY()-tblOrdenes[[#This Row],[fecha_inicio]])</f>
        <v/>
      </c>
      <c r="AB10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0">
        <f>IF(tblOrdenes[[#This Row],[orden]]="","",_xlfn.XLOOKUP(tblOrdenes[[#This Row],[id_operacion]],tblEjecucion[id_operacion],tblEjecucion[precio],0))</f>
        <v/>
      </c>
      <c r="AJ1041" s="10">
        <f>IF(tblOrdenes[[#This Row],[orden]]="","",MAX(0,_xlfn.XLOOKUP(tblOrdenes[[#This Row],[id_operacion]],tblEjecucion[id_operacion],tblEjecucion[costo_plan_total],0)-tblOrdenes[[#This Row],[costo_servicio]]))</f>
        <v/>
      </c>
      <c r="AK1041" s="10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2">
        <f>IF(tblOrdenes[[#This Row],[fecha_inicio]]="","",TODAY()-tblOrdenes[[#This Row],[fecha_inicio]])</f>
        <v/>
      </c>
      <c r="AB10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0">
        <f>IF(tblOrdenes[[#This Row],[orden]]="","",_xlfn.XLOOKUP(tblOrdenes[[#This Row],[id_operacion]],tblEjecucion[id_operacion],tblEjecucion[precio],0))</f>
        <v/>
      </c>
      <c r="AJ1042" s="10">
        <f>IF(tblOrdenes[[#This Row],[orden]]="","",MAX(0,_xlfn.XLOOKUP(tblOrdenes[[#This Row],[id_operacion]],tblEjecucion[id_operacion],tblEjecucion[costo_plan_total],0)-tblOrdenes[[#This Row],[costo_servicio]]))</f>
        <v/>
      </c>
      <c r="AK1042" s="10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2">
        <f>IF(tblOrdenes[[#This Row],[fecha_inicio]]="","",TODAY()-tblOrdenes[[#This Row],[fecha_inicio]])</f>
        <v/>
      </c>
      <c r="AB10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0">
        <f>IF(tblOrdenes[[#This Row],[orden]]="","",_xlfn.XLOOKUP(tblOrdenes[[#This Row],[id_operacion]],tblEjecucion[id_operacion],tblEjecucion[precio],0))</f>
        <v/>
      </c>
      <c r="AJ1043" s="10">
        <f>IF(tblOrdenes[[#This Row],[orden]]="","",MAX(0,_xlfn.XLOOKUP(tblOrdenes[[#This Row],[id_operacion]],tblEjecucion[id_operacion],tblEjecucion[costo_plan_total],0)-tblOrdenes[[#This Row],[costo_servicio]]))</f>
        <v/>
      </c>
      <c r="AK1043" s="10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2">
        <f>IF(tblOrdenes[[#This Row],[fecha_inicio]]="","",TODAY()-tblOrdenes[[#This Row],[fecha_inicio]])</f>
        <v/>
      </c>
      <c r="AB10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0">
        <f>IF(tblOrdenes[[#This Row],[orden]]="","",_xlfn.XLOOKUP(tblOrdenes[[#This Row],[id_operacion]],tblEjecucion[id_operacion],tblEjecucion[precio],0))</f>
        <v/>
      </c>
      <c r="AJ1044" s="10">
        <f>IF(tblOrdenes[[#This Row],[orden]]="","",MAX(0,_xlfn.XLOOKUP(tblOrdenes[[#This Row],[id_operacion]],tblEjecucion[id_operacion],tblEjecucion[costo_plan_total],0)-tblOrdenes[[#This Row],[costo_servicio]]))</f>
        <v/>
      </c>
      <c r="AK1044" s="10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2">
        <f>IF(tblOrdenes[[#This Row],[fecha_inicio]]="","",TODAY()-tblOrdenes[[#This Row],[fecha_inicio]])</f>
        <v/>
      </c>
      <c r="AB10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0">
        <f>IF(tblOrdenes[[#This Row],[orden]]="","",_xlfn.XLOOKUP(tblOrdenes[[#This Row],[id_operacion]],tblEjecucion[id_operacion],tblEjecucion[precio],0))</f>
        <v/>
      </c>
      <c r="AJ1045" s="10">
        <f>IF(tblOrdenes[[#This Row],[orden]]="","",MAX(0,_xlfn.XLOOKUP(tblOrdenes[[#This Row],[id_operacion]],tblEjecucion[id_operacion],tblEjecucion[costo_plan_total],0)-tblOrdenes[[#This Row],[costo_servicio]]))</f>
        <v/>
      </c>
      <c r="AK1045" s="10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2">
        <f>IF(tblOrdenes[[#This Row],[fecha_inicio]]="","",TODAY()-tblOrdenes[[#This Row],[fecha_inicio]])</f>
        <v/>
      </c>
      <c r="AB10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0">
        <f>IF(tblOrdenes[[#This Row],[orden]]="","",_xlfn.XLOOKUP(tblOrdenes[[#This Row],[id_operacion]],tblEjecucion[id_operacion],tblEjecucion[precio],0))</f>
        <v/>
      </c>
      <c r="AJ1046" s="10">
        <f>IF(tblOrdenes[[#This Row],[orden]]="","",MAX(0,_xlfn.XLOOKUP(tblOrdenes[[#This Row],[id_operacion]],tblEjecucion[id_operacion],tblEjecucion[costo_plan_total],0)-tblOrdenes[[#This Row],[costo_servicio]]))</f>
        <v/>
      </c>
      <c r="AK1046" s="10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2">
        <f>IF(tblOrdenes[[#This Row],[fecha_inicio]]="","",TODAY()-tblOrdenes[[#This Row],[fecha_inicio]])</f>
        <v/>
      </c>
      <c r="AB10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0">
        <f>IF(tblOrdenes[[#This Row],[orden]]="","",_xlfn.XLOOKUP(tblOrdenes[[#This Row],[id_operacion]],tblEjecucion[id_operacion],tblEjecucion[precio],0))</f>
        <v/>
      </c>
      <c r="AJ1047" s="10">
        <f>IF(tblOrdenes[[#This Row],[orden]]="","",MAX(0,_xlfn.XLOOKUP(tblOrdenes[[#This Row],[id_operacion]],tblEjecucion[id_operacion],tblEjecucion[costo_plan_total],0)-tblOrdenes[[#This Row],[costo_servicio]]))</f>
        <v/>
      </c>
      <c r="AK1047" s="10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2">
        <f>IF(tblOrdenes[[#This Row],[fecha_inicio]]="","",TODAY()-tblOrdenes[[#This Row],[fecha_inicio]])</f>
        <v/>
      </c>
      <c r="AB10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0">
        <f>IF(tblOrdenes[[#This Row],[orden]]="","",_xlfn.XLOOKUP(tblOrdenes[[#This Row],[id_operacion]],tblEjecucion[id_operacion],tblEjecucion[precio],0))</f>
        <v/>
      </c>
      <c r="AJ1048" s="10">
        <f>IF(tblOrdenes[[#This Row],[orden]]="","",MAX(0,_xlfn.XLOOKUP(tblOrdenes[[#This Row],[id_operacion]],tblEjecucion[id_operacion],tblEjecucion[costo_plan_total],0)-tblOrdenes[[#This Row],[costo_servicio]]))</f>
        <v/>
      </c>
      <c r="AK1048" s="10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2">
        <f>IF(tblOrdenes[[#This Row],[fecha_inicio]]="","",TODAY()-tblOrdenes[[#This Row],[fecha_inicio]])</f>
        <v/>
      </c>
      <c r="AB10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0">
        <f>IF(tblOrdenes[[#This Row],[orden]]="","",_xlfn.XLOOKUP(tblOrdenes[[#This Row],[id_operacion]],tblEjecucion[id_operacion],tblEjecucion[precio],0))</f>
        <v/>
      </c>
      <c r="AJ1049" s="10">
        <f>IF(tblOrdenes[[#This Row],[orden]]="","",MAX(0,_xlfn.XLOOKUP(tblOrdenes[[#This Row],[id_operacion]],tblEjecucion[id_operacion],tblEjecucion[costo_plan_total],0)-tblOrdenes[[#This Row],[costo_servicio]]))</f>
        <v/>
      </c>
      <c r="AK1049" s="10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2">
        <f>IF(tblOrdenes[[#This Row],[fecha_inicio]]="","",TODAY()-tblOrdenes[[#This Row],[fecha_inicio]])</f>
        <v/>
      </c>
      <c r="AB10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0">
        <f>IF(tblOrdenes[[#This Row],[orden]]="","",_xlfn.XLOOKUP(tblOrdenes[[#This Row],[id_operacion]],tblEjecucion[id_operacion],tblEjecucion[precio],0))</f>
        <v/>
      </c>
      <c r="AJ1050" s="10">
        <f>IF(tblOrdenes[[#This Row],[orden]]="","",MAX(0,_xlfn.XLOOKUP(tblOrdenes[[#This Row],[id_operacion]],tblEjecucion[id_operacion],tblEjecucion[costo_plan_total],0)-tblOrdenes[[#This Row],[costo_servicio]]))</f>
        <v/>
      </c>
      <c r="AK1050" s="10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2">
        <f>IF(tblOrdenes[[#This Row],[fecha_inicio]]="","",TODAY()-tblOrdenes[[#This Row],[fecha_inicio]])</f>
        <v/>
      </c>
      <c r="AB10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0">
        <f>IF(tblOrdenes[[#This Row],[orden]]="","",_xlfn.XLOOKUP(tblOrdenes[[#This Row],[id_operacion]],tblEjecucion[id_operacion],tblEjecucion[precio],0))</f>
        <v/>
      </c>
      <c r="AJ1051" s="10">
        <f>IF(tblOrdenes[[#This Row],[orden]]="","",MAX(0,_xlfn.XLOOKUP(tblOrdenes[[#This Row],[id_operacion]],tblEjecucion[id_operacion],tblEjecucion[costo_plan_total],0)-tblOrdenes[[#This Row],[costo_servicio]]))</f>
        <v/>
      </c>
      <c r="AK1051" s="10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2">
        <f>IF(tblOrdenes[[#This Row],[fecha_inicio]]="","",TODAY()-tblOrdenes[[#This Row],[fecha_inicio]])</f>
        <v/>
      </c>
      <c r="AB10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0">
        <f>IF(tblOrdenes[[#This Row],[orden]]="","",_xlfn.XLOOKUP(tblOrdenes[[#This Row],[id_operacion]],tblEjecucion[id_operacion],tblEjecucion[precio],0))</f>
        <v/>
      </c>
      <c r="AJ1052" s="10">
        <f>IF(tblOrdenes[[#This Row],[orden]]="","",MAX(0,_xlfn.XLOOKUP(tblOrdenes[[#This Row],[id_operacion]],tblEjecucion[id_operacion],tblEjecucion[costo_plan_total],0)-tblOrdenes[[#This Row],[costo_servicio]]))</f>
        <v/>
      </c>
      <c r="AK1052" s="10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2">
        <f>IF(tblOrdenes[[#This Row],[fecha_inicio]]="","",TODAY()-tblOrdenes[[#This Row],[fecha_inicio]])</f>
        <v/>
      </c>
      <c r="AB10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0">
        <f>IF(tblOrdenes[[#This Row],[orden]]="","",_xlfn.XLOOKUP(tblOrdenes[[#This Row],[id_operacion]],tblEjecucion[id_operacion],tblEjecucion[precio],0))</f>
        <v/>
      </c>
      <c r="AJ1053" s="10">
        <f>IF(tblOrdenes[[#This Row],[orden]]="","",MAX(0,_xlfn.XLOOKUP(tblOrdenes[[#This Row],[id_operacion]],tblEjecucion[id_operacion],tblEjecucion[costo_plan_total],0)-tblOrdenes[[#This Row],[costo_servicio]]))</f>
        <v/>
      </c>
      <c r="AK1053" s="10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2">
        <f>IF(tblOrdenes[[#This Row],[fecha_inicio]]="","",TODAY()-tblOrdenes[[#This Row],[fecha_inicio]])</f>
        <v/>
      </c>
      <c r="AB10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0">
        <f>IF(tblOrdenes[[#This Row],[orden]]="","",_xlfn.XLOOKUP(tblOrdenes[[#This Row],[id_operacion]],tblEjecucion[id_operacion],tblEjecucion[precio],0))</f>
        <v/>
      </c>
      <c r="AJ1054" s="10">
        <f>IF(tblOrdenes[[#This Row],[orden]]="","",MAX(0,_xlfn.XLOOKUP(tblOrdenes[[#This Row],[id_operacion]],tblEjecucion[id_operacion],tblEjecucion[costo_plan_total],0)-tblOrdenes[[#This Row],[costo_servicio]]))</f>
        <v/>
      </c>
      <c r="AK1054" s="10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2">
        <f>IF(tblOrdenes[[#This Row],[fecha_inicio]]="","",TODAY()-tblOrdenes[[#This Row],[fecha_inicio]])</f>
        <v/>
      </c>
      <c r="AB10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0">
        <f>IF(tblOrdenes[[#This Row],[orden]]="","",_xlfn.XLOOKUP(tblOrdenes[[#This Row],[id_operacion]],tblEjecucion[id_operacion],tblEjecucion[precio],0))</f>
        <v/>
      </c>
      <c r="AJ1055" s="10">
        <f>IF(tblOrdenes[[#This Row],[orden]]="","",MAX(0,_xlfn.XLOOKUP(tblOrdenes[[#This Row],[id_operacion]],tblEjecucion[id_operacion],tblEjecucion[costo_plan_total],0)-tblOrdenes[[#This Row],[costo_servicio]]))</f>
        <v/>
      </c>
      <c r="AK1055" s="10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2">
        <f>IF(tblOrdenes[[#This Row],[fecha_inicio]]="","",TODAY()-tblOrdenes[[#This Row],[fecha_inicio]])</f>
        <v/>
      </c>
      <c r="AB10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0">
        <f>IF(tblOrdenes[[#This Row],[orden]]="","",_xlfn.XLOOKUP(tblOrdenes[[#This Row],[id_operacion]],tblEjecucion[id_operacion],tblEjecucion[precio],0))</f>
        <v/>
      </c>
      <c r="AJ1056" s="10">
        <f>IF(tblOrdenes[[#This Row],[orden]]="","",MAX(0,_xlfn.XLOOKUP(tblOrdenes[[#This Row],[id_operacion]],tblEjecucion[id_operacion],tblEjecucion[costo_plan_total],0)-tblOrdenes[[#This Row],[costo_servicio]]))</f>
        <v/>
      </c>
      <c r="AK1056" s="10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2">
        <f>IF(tblOrdenes[[#This Row],[fecha_inicio]]="","",TODAY()-tblOrdenes[[#This Row],[fecha_inicio]])</f>
        <v/>
      </c>
      <c r="AB10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0">
        <f>IF(tblOrdenes[[#This Row],[orden]]="","",_xlfn.XLOOKUP(tblOrdenes[[#This Row],[id_operacion]],tblEjecucion[id_operacion],tblEjecucion[precio],0))</f>
        <v/>
      </c>
      <c r="AJ1057" s="10">
        <f>IF(tblOrdenes[[#This Row],[orden]]="","",MAX(0,_xlfn.XLOOKUP(tblOrdenes[[#This Row],[id_operacion]],tblEjecucion[id_operacion],tblEjecucion[costo_plan_total],0)-tblOrdenes[[#This Row],[costo_servicio]]))</f>
        <v/>
      </c>
      <c r="AK1057" s="10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2">
        <f>IF(tblOrdenes[[#This Row],[fecha_inicio]]="","",TODAY()-tblOrdenes[[#This Row],[fecha_inicio]])</f>
        <v/>
      </c>
      <c r="AB10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0">
        <f>IF(tblOrdenes[[#This Row],[orden]]="","",_xlfn.XLOOKUP(tblOrdenes[[#This Row],[id_operacion]],tblEjecucion[id_operacion],tblEjecucion[precio],0))</f>
        <v/>
      </c>
      <c r="AJ1058" s="10">
        <f>IF(tblOrdenes[[#This Row],[orden]]="","",MAX(0,_xlfn.XLOOKUP(tblOrdenes[[#This Row],[id_operacion]],tblEjecucion[id_operacion],tblEjecucion[costo_plan_total],0)-tblOrdenes[[#This Row],[costo_servicio]]))</f>
        <v/>
      </c>
      <c r="AK1058" s="10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2">
        <f>IF(tblOrdenes[[#This Row],[fecha_inicio]]="","",TODAY()-tblOrdenes[[#This Row],[fecha_inicio]])</f>
        <v/>
      </c>
      <c r="AB10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0">
        <f>IF(tblOrdenes[[#This Row],[orden]]="","",_xlfn.XLOOKUP(tblOrdenes[[#This Row],[id_operacion]],tblEjecucion[id_operacion],tblEjecucion[precio],0))</f>
        <v/>
      </c>
      <c r="AJ1059" s="10">
        <f>IF(tblOrdenes[[#This Row],[orden]]="","",MAX(0,_xlfn.XLOOKUP(tblOrdenes[[#This Row],[id_operacion]],tblEjecucion[id_operacion],tblEjecucion[costo_plan_total],0)-tblOrdenes[[#This Row],[costo_servicio]]))</f>
        <v/>
      </c>
      <c r="AK1059" s="10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2">
        <f>IF(tblOrdenes[[#This Row],[fecha_inicio]]="","",TODAY()-tblOrdenes[[#This Row],[fecha_inicio]])</f>
        <v/>
      </c>
      <c r="AB10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0">
        <f>IF(tblOrdenes[[#This Row],[orden]]="","",_xlfn.XLOOKUP(tblOrdenes[[#This Row],[id_operacion]],tblEjecucion[id_operacion],tblEjecucion[precio],0))</f>
        <v/>
      </c>
      <c r="AJ1060" s="10">
        <f>IF(tblOrdenes[[#This Row],[orden]]="","",MAX(0,_xlfn.XLOOKUP(tblOrdenes[[#This Row],[id_operacion]],tblEjecucion[id_operacion],tblEjecucion[costo_plan_total],0)-tblOrdenes[[#This Row],[costo_servicio]]))</f>
        <v/>
      </c>
      <c r="AK1060" s="10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2">
        <f>IF(tblOrdenes[[#This Row],[fecha_inicio]]="","",TODAY()-tblOrdenes[[#This Row],[fecha_inicio]])</f>
        <v/>
      </c>
      <c r="AB10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0">
        <f>IF(tblOrdenes[[#This Row],[orden]]="","",_xlfn.XLOOKUP(tblOrdenes[[#This Row],[id_operacion]],tblEjecucion[id_operacion],tblEjecucion[precio],0))</f>
        <v/>
      </c>
      <c r="AJ1061" s="10">
        <f>IF(tblOrdenes[[#This Row],[orden]]="","",MAX(0,_xlfn.XLOOKUP(tblOrdenes[[#This Row],[id_operacion]],tblEjecucion[id_operacion],tblEjecucion[costo_plan_total],0)-tblOrdenes[[#This Row],[costo_servicio]]))</f>
        <v/>
      </c>
      <c r="AK1061" s="10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2">
        <f>IF(tblOrdenes[[#This Row],[fecha_inicio]]="","",TODAY()-tblOrdenes[[#This Row],[fecha_inicio]])</f>
        <v/>
      </c>
      <c r="AB10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0">
        <f>IF(tblOrdenes[[#This Row],[orden]]="","",_xlfn.XLOOKUP(tblOrdenes[[#This Row],[id_operacion]],tblEjecucion[id_operacion],tblEjecucion[precio],0))</f>
        <v/>
      </c>
      <c r="AJ1062" s="10">
        <f>IF(tblOrdenes[[#This Row],[orden]]="","",MAX(0,_xlfn.XLOOKUP(tblOrdenes[[#This Row],[id_operacion]],tblEjecucion[id_operacion],tblEjecucion[costo_plan_total],0)-tblOrdenes[[#This Row],[costo_servicio]]))</f>
        <v/>
      </c>
      <c r="AK1062" s="10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2">
        <f>IF(tblOrdenes[[#This Row],[fecha_inicio]]="","",TODAY()-tblOrdenes[[#This Row],[fecha_inicio]])</f>
        <v/>
      </c>
      <c r="AB10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0">
        <f>IF(tblOrdenes[[#This Row],[orden]]="","",_xlfn.XLOOKUP(tblOrdenes[[#This Row],[id_operacion]],tblEjecucion[id_operacion],tblEjecucion[precio],0))</f>
        <v/>
      </c>
      <c r="AJ1063" s="10">
        <f>IF(tblOrdenes[[#This Row],[orden]]="","",MAX(0,_xlfn.XLOOKUP(tblOrdenes[[#This Row],[id_operacion]],tblEjecucion[id_operacion],tblEjecucion[costo_plan_total],0)-tblOrdenes[[#This Row],[costo_servicio]]))</f>
        <v/>
      </c>
      <c r="AK1063" s="10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2">
        <f>IF(tblOrdenes[[#This Row],[fecha_inicio]]="","",TODAY()-tblOrdenes[[#This Row],[fecha_inicio]])</f>
        <v/>
      </c>
      <c r="AB10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0">
        <f>IF(tblOrdenes[[#This Row],[orden]]="","",_xlfn.XLOOKUP(tblOrdenes[[#This Row],[id_operacion]],tblEjecucion[id_operacion],tblEjecucion[precio],0))</f>
        <v/>
      </c>
      <c r="AJ1064" s="10">
        <f>IF(tblOrdenes[[#This Row],[orden]]="","",MAX(0,_xlfn.XLOOKUP(tblOrdenes[[#This Row],[id_operacion]],tblEjecucion[id_operacion],tblEjecucion[costo_plan_total],0)-tblOrdenes[[#This Row],[costo_servicio]]))</f>
        <v/>
      </c>
      <c r="AK1064" s="10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2">
        <f>IF(tblOrdenes[[#This Row],[fecha_inicio]]="","",TODAY()-tblOrdenes[[#This Row],[fecha_inicio]])</f>
        <v/>
      </c>
      <c r="AB10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0">
        <f>IF(tblOrdenes[[#This Row],[orden]]="","",_xlfn.XLOOKUP(tblOrdenes[[#This Row],[id_operacion]],tblEjecucion[id_operacion],tblEjecucion[precio],0))</f>
        <v/>
      </c>
      <c r="AJ1065" s="10">
        <f>IF(tblOrdenes[[#This Row],[orden]]="","",MAX(0,_xlfn.XLOOKUP(tblOrdenes[[#This Row],[id_operacion]],tblEjecucion[id_operacion],tblEjecucion[costo_plan_total],0)-tblOrdenes[[#This Row],[costo_servicio]]))</f>
        <v/>
      </c>
      <c r="AK1065" s="10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2">
        <f>IF(tblOrdenes[[#This Row],[fecha_inicio]]="","",TODAY()-tblOrdenes[[#This Row],[fecha_inicio]])</f>
        <v/>
      </c>
      <c r="AB10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0">
        <f>IF(tblOrdenes[[#This Row],[orden]]="","",_xlfn.XLOOKUP(tblOrdenes[[#This Row],[id_operacion]],tblEjecucion[id_operacion],tblEjecucion[precio],0))</f>
        <v/>
      </c>
      <c r="AJ1066" s="10">
        <f>IF(tblOrdenes[[#This Row],[orden]]="","",MAX(0,_xlfn.XLOOKUP(tblOrdenes[[#This Row],[id_operacion]],tblEjecucion[id_operacion],tblEjecucion[costo_plan_total],0)-tblOrdenes[[#This Row],[costo_servicio]]))</f>
        <v/>
      </c>
      <c r="AK1066" s="10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2">
        <f>IF(tblOrdenes[[#This Row],[fecha_inicio]]="","",TODAY()-tblOrdenes[[#This Row],[fecha_inicio]])</f>
        <v/>
      </c>
      <c r="AB10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0">
        <f>IF(tblOrdenes[[#This Row],[orden]]="","",_xlfn.XLOOKUP(tblOrdenes[[#This Row],[id_operacion]],tblEjecucion[id_operacion],tblEjecucion[precio],0))</f>
        <v/>
      </c>
      <c r="AJ1067" s="10">
        <f>IF(tblOrdenes[[#This Row],[orden]]="","",MAX(0,_xlfn.XLOOKUP(tblOrdenes[[#This Row],[id_operacion]],tblEjecucion[id_operacion],tblEjecucion[costo_plan_total],0)-tblOrdenes[[#This Row],[costo_servicio]]))</f>
        <v/>
      </c>
      <c r="AK1067" s="10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2">
        <f>IF(tblOrdenes[[#This Row],[fecha_inicio]]="","",TODAY()-tblOrdenes[[#This Row],[fecha_inicio]])</f>
        <v/>
      </c>
      <c r="AB10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0">
        <f>IF(tblOrdenes[[#This Row],[orden]]="","",_xlfn.XLOOKUP(tblOrdenes[[#This Row],[id_operacion]],tblEjecucion[id_operacion],tblEjecucion[precio],0))</f>
        <v/>
      </c>
      <c r="AJ1068" s="10">
        <f>IF(tblOrdenes[[#This Row],[orden]]="","",MAX(0,_xlfn.XLOOKUP(tblOrdenes[[#This Row],[id_operacion]],tblEjecucion[id_operacion],tblEjecucion[costo_plan_total],0)-tblOrdenes[[#This Row],[costo_servicio]]))</f>
        <v/>
      </c>
      <c r="AK1068" s="10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2">
        <f>IF(tblOrdenes[[#This Row],[fecha_inicio]]="","",TODAY()-tblOrdenes[[#This Row],[fecha_inicio]])</f>
        <v/>
      </c>
      <c r="AB10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0">
        <f>IF(tblOrdenes[[#This Row],[orden]]="","",_xlfn.XLOOKUP(tblOrdenes[[#This Row],[id_operacion]],tblEjecucion[id_operacion],tblEjecucion[precio],0))</f>
        <v/>
      </c>
      <c r="AJ1069" s="10">
        <f>IF(tblOrdenes[[#This Row],[orden]]="","",MAX(0,_xlfn.XLOOKUP(tblOrdenes[[#This Row],[id_operacion]],tblEjecucion[id_operacion],tblEjecucion[costo_plan_total],0)-tblOrdenes[[#This Row],[costo_servicio]]))</f>
        <v/>
      </c>
      <c r="AK1069" s="10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2">
        <f>IF(tblOrdenes[[#This Row],[fecha_inicio]]="","",TODAY()-tblOrdenes[[#This Row],[fecha_inicio]])</f>
        <v/>
      </c>
      <c r="AB10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0">
        <f>IF(tblOrdenes[[#This Row],[orden]]="","",_xlfn.XLOOKUP(tblOrdenes[[#This Row],[id_operacion]],tblEjecucion[id_operacion],tblEjecucion[precio],0))</f>
        <v/>
      </c>
      <c r="AJ1070" s="10">
        <f>IF(tblOrdenes[[#This Row],[orden]]="","",MAX(0,_xlfn.XLOOKUP(tblOrdenes[[#This Row],[id_operacion]],tblEjecucion[id_operacion],tblEjecucion[costo_plan_total],0)-tblOrdenes[[#This Row],[costo_servicio]]))</f>
        <v/>
      </c>
      <c r="AK1070" s="10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2">
        <f>IF(tblOrdenes[[#This Row],[fecha_inicio]]="","",TODAY()-tblOrdenes[[#This Row],[fecha_inicio]])</f>
        <v/>
      </c>
      <c r="AB10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0">
        <f>IF(tblOrdenes[[#This Row],[orden]]="","",_xlfn.XLOOKUP(tblOrdenes[[#This Row],[id_operacion]],tblEjecucion[id_operacion],tblEjecucion[precio],0))</f>
        <v/>
      </c>
      <c r="AJ1071" s="10">
        <f>IF(tblOrdenes[[#This Row],[orden]]="","",MAX(0,_xlfn.XLOOKUP(tblOrdenes[[#This Row],[id_operacion]],tblEjecucion[id_operacion],tblEjecucion[costo_plan_total],0)-tblOrdenes[[#This Row],[costo_servicio]]))</f>
        <v/>
      </c>
      <c r="AK1071" s="10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2">
        <f>IF(tblOrdenes[[#This Row],[fecha_inicio]]="","",TODAY()-tblOrdenes[[#This Row],[fecha_inicio]])</f>
        <v/>
      </c>
      <c r="AB10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0">
        <f>IF(tblOrdenes[[#This Row],[orden]]="","",_xlfn.XLOOKUP(tblOrdenes[[#This Row],[id_operacion]],tblEjecucion[id_operacion],tblEjecucion[precio],0))</f>
        <v/>
      </c>
      <c r="AJ1072" s="10">
        <f>IF(tblOrdenes[[#This Row],[orden]]="","",MAX(0,_xlfn.XLOOKUP(tblOrdenes[[#This Row],[id_operacion]],tblEjecucion[id_operacion],tblEjecucion[costo_plan_total],0)-tblOrdenes[[#This Row],[costo_servicio]]))</f>
        <v/>
      </c>
      <c r="AK1072" s="10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2">
        <f>IF(tblOrdenes[[#This Row],[fecha_inicio]]="","",TODAY()-tblOrdenes[[#This Row],[fecha_inicio]])</f>
        <v/>
      </c>
      <c r="AB10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0">
        <f>IF(tblOrdenes[[#This Row],[orden]]="","",_xlfn.XLOOKUP(tblOrdenes[[#This Row],[id_operacion]],tblEjecucion[id_operacion],tblEjecucion[precio],0))</f>
        <v/>
      </c>
      <c r="AJ1073" s="10">
        <f>IF(tblOrdenes[[#This Row],[orden]]="","",MAX(0,_xlfn.XLOOKUP(tblOrdenes[[#This Row],[id_operacion]],tblEjecucion[id_operacion],tblEjecucion[costo_plan_total],0)-tblOrdenes[[#This Row],[costo_servicio]]))</f>
        <v/>
      </c>
      <c r="AK1073" s="10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2">
        <f>IF(tblOrdenes[[#This Row],[fecha_inicio]]="","",TODAY()-tblOrdenes[[#This Row],[fecha_inicio]])</f>
        <v/>
      </c>
      <c r="AB10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0">
        <f>IF(tblOrdenes[[#This Row],[orden]]="","",_xlfn.XLOOKUP(tblOrdenes[[#This Row],[id_operacion]],tblEjecucion[id_operacion],tblEjecucion[precio],0))</f>
        <v/>
      </c>
      <c r="AJ1074" s="10">
        <f>IF(tblOrdenes[[#This Row],[orden]]="","",MAX(0,_xlfn.XLOOKUP(tblOrdenes[[#This Row],[id_operacion]],tblEjecucion[id_operacion],tblEjecucion[costo_plan_total],0)-tblOrdenes[[#This Row],[costo_servicio]]))</f>
        <v/>
      </c>
      <c r="AK1074" s="10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2">
        <f>IF(tblOrdenes[[#This Row],[fecha_inicio]]="","",TODAY()-tblOrdenes[[#This Row],[fecha_inicio]])</f>
        <v/>
      </c>
      <c r="AB10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0">
        <f>IF(tblOrdenes[[#This Row],[orden]]="","",_xlfn.XLOOKUP(tblOrdenes[[#This Row],[id_operacion]],tblEjecucion[id_operacion],tblEjecucion[precio],0))</f>
        <v/>
      </c>
      <c r="AJ1075" s="10">
        <f>IF(tblOrdenes[[#This Row],[orden]]="","",MAX(0,_xlfn.XLOOKUP(tblOrdenes[[#This Row],[id_operacion]],tblEjecucion[id_operacion],tblEjecucion[costo_plan_total],0)-tblOrdenes[[#This Row],[costo_servicio]]))</f>
        <v/>
      </c>
      <c r="AK1075" s="10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2">
        <f>IF(tblOrdenes[[#This Row],[fecha_inicio]]="","",TODAY()-tblOrdenes[[#This Row],[fecha_inicio]])</f>
        <v/>
      </c>
      <c r="AB10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0">
        <f>IF(tblOrdenes[[#This Row],[orden]]="","",_xlfn.XLOOKUP(tblOrdenes[[#This Row],[id_operacion]],tblEjecucion[id_operacion],tblEjecucion[precio],0))</f>
        <v/>
      </c>
      <c r="AJ1076" s="10">
        <f>IF(tblOrdenes[[#This Row],[orden]]="","",MAX(0,_xlfn.XLOOKUP(tblOrdenes[[#This Row],[id_operacion]],tblEjecucion[id_operacion],tblEjecucion[costo_plan_total],0)-tblOrdenes[[#This Row],[costo_servicio]]))</f>
        <v/>
      </c>
      <c r="AK1076" s="10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2">
        <f>IF(tblOrdenes[[#This Row],[fecha_inicio]]="","",TODAY()-tblOrdenes[[#This Row],[fecha_inicio]])</f>
        <v/>
      </c>
      <c r="AB10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0">
        <f>IF(tblOrdenes[[#This Row],[orden]]="","",_xlfn.XLOOKUP(tblOrdenes[[#This Row],[id_operacion]],tblEjecucion[id_operacion],tblEjecucion[precio],0))</f>
        <v/>
      </c>
      <c r="AJ1077" s="10">
        <f>IF(tblOrdenes[[#This Row],[orden]]="","",MAX(0,_xlfn.XLOOKUP(tblOrdenes[[#This Row],[id_operacion]],tblEjecucion[id_operacion],tblEjecucion[costo_plan_total],0)-tblOrdenes[[#This Row],[costo_servicio]]))</f>
        <v/>
      </c>
      <c r="AK1077" s="10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2">
        <f>IF(tblOrdenes[[#This Row],[fecha_inicio]]="","",TODAY()-tblOrdenes[[#This Row],[fecha_inicio]])</f>
        <v/>
      </c>
      <c r="AB10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0">
        <f>IF(tblOrdenes[[#This Row],[orden]]="","",_xlfn.XLOOKUP(tblOrdenes[[#This Row],[id_operacion]],tblEjecucion[id_operacion],tblEjecucion[precio],0))</f>
        <v/>
      </c>
      <c r="AJ1078" s="10">
        <f>IF(tblOrdenes[[#This Row],[orden]]="","",MAX(0,_xlfn.XLOOKUP(tblOrdenes[[#This Row],[id_operacion]],tblEjecucion[id_operacion],tblEjecucion[costo_plan_total],0)-tblOrdenes[[#This Row],[costo_servicio]]))</f>
        <v/>
      </c>
      <c r="AK1078" s="10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2">
        <f>IF(tblOrdenes[[#This Row],[fecha_inicio]]="","",TODAY()-tblOrdenes[[#This Row],[fecha_inicio]])</f>
        <v/>
      </c>
      <c r="AB10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0">
        <f>IF(tblOrdenes[[#This Row],[orden]]="","",_xlfn.XLOOKUP(tblOrdenes[[#This Row],[id_operacion]],tblEjecucion[id_operacion],tblEjecucion[precio],0))</f>
        <v/>
      </c>
      <c r="AJ1079" s="10">
        <f>IF(tblOrdenes[[#This Row],[orden]]="","",MAX(0,_xlfn.XLOOKUP(tblOrdenes[[#This Row],[id_operacion]],tblEjecucion[id_operacion],tblEjecucion[costo_plan_total],0)-tblOrdenes[[#This Row],[costo_servicio]]))</f>
        <v/>
      </c>
      <c r="AK1079" s="10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2">
        <f>IF(tblOrdenes[[#This Row],[fecha_inicio]]="","",TODAY()-tblOrdenes[[#This Row],[fecha_inicio]])</f>
        <v/>
      </c>
      <c r="AB10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0">
        <f>IF(tblOrdenes[[#This Row],[orden]]="","",_xlfn.XLOOKUP(tblOrdenes[[#This Row],[id_operacion]],tblEjecucion[id_operacion],tblEjecucion[precio],0))</f>
        <v/>
      </c>
      <c r="AJ1080" s="10">
        <f>IF(tblOrdenes[[#This Row],[orden]]="","",MAX(0,_xlfn.XLOOKUP(tblOrdenes[[#This Row],[id_operacion]],tblEjecucion[id_operacion],tblEjecucion[costo_plan_total],0)-tblOrdenes[[#This Row],[costo_servicio]]))</f>
        <v/>
      </c>
      <c r="AK1080" s="10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2">
        <f>IF(tblOrdenes[[#This Row],[fecha_inicio]]="","",TODAY()-tblOrdenes[[#This Row],[fecha_inicio]])</f>
        <v/>
      </c>
      <c r="AB10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0">
        <f>IF(tblOrdenes[[#This Row],[orden]]="","",_xlfn.XLOOKUP(tblOrdenes[[#This Row],[id_operacion]],tblEjecucion[id_operacion],tblEjecucion[precio],0))</f>
        <v/>
      </c>
      <c r="AJ1081" s="10">
        <f>IF(tblOrdenes[[#This Row],[orden]]="","",MAX(0,_xlfn.XLOOKUP(tblOrdenes[[#This Row],[id_operacion]],tblEjecucion[id_operacion],tblEjecucion[costo_plan_total],0)-tblOrdenes[[#This Row],[costo_servicio]]))</f>
        <v/>
      </c>
      <c r="AK1081" s="10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2">
        <f>IF(tblOrdenes[[#This Row],[fecha_inicio]]="","",TODAY()-tblOrdenes[[#This Row],[fecha_inicio]])</f>
        <v/>
      </c>
      <c r="AB10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0">
        <f>IF(tblOrdenes[[#This Row],[orden]]="","",_xlfn.XLOOKUP(tblOrdenes[[#This Row],[id_operacion]],tblEjecucion[id_operacion],tblEjecucion[precio],0))</f>
        <v/>
      </c>
      <c r="AJ1082" s="10">
        <f>IF(tblOrdenes[[#This Row],[orden]]="","",MAX(0,_xlfn.XLOOKUP(tblOrdenes[[#This Row],[id_operacion]],tblEjecucion[id_operacion],tblEjecucion[costo_plan_total],0)-tblOrdenes[[#This Row],[costo_servicio]]))</f>
        <v/>
      </c>
      <c r="AK1082" s="10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2">
        <f>IF(tblOrdenes[[#This Row],[fecha_inicio]]="","",TODAY()-tblOrdenes[[#This Row],[fecha_inicio]])</f>
        <v/>
      </c>
      <c r="AB10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0">
        <f>IF(tblOrdenes[[#This Row],[orden]]="","",_xlfn.XLOOKUP(tblOrdenes[[#This Row],[id_operacion]],tblEjecucion[id_operacion],tblEjecucion[precio],0))</f>
        <v/>
      </c>
      <c r="AJ1083" s="10">
        <f>IF(tblOrdenes[[#This Row],[orden]]="","",MAX(0,_xlfn.XLOOKUP(tblOrdenes[[#This Row],[id_operacion]],tblEjecucion[id_operacion],tblEjecucion[costo_plan_total],0)-tblOrdenes[[#This Row],[costo_servicio]]))</f>
        <v/>
      </c>
      <c r="AK1083" s="10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2">
        <f>IF(tblOrdenes[[#This Row],[fecha_inicio]]="","",TODAY()-tblOrdenes[[#This Row],[fecha_inicio]])</f>
        <v/>
      </c>
      <c r="AB10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0">
        <f>IF(tblOrdenes[[#This Row],[orden]]="","",_xlfn.XLOOKUP(tblOrdenes[[#This Row],[id_operacion]],tblEjecucion[id_operacion],tblEjecucion[precio],0))</f>
        <v/>
      </c>
      <c r="AJ1084" s="10">
        <f>IF(tblOrdenes[[#This Row],[orden]]="","",MAX(0,_xlfn.XLOOKUP(tblOrdenes[[#This Row],[id_operacion]],tblEjecucion[id_operacion],tblEjecucion[costo_plan_total],0)-tblOrdenes[[#This Row],[costo_servicio]]))</f>
        <v/>
      </c>
      <c r="AK1084" s="10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2">
        <f>IF(tblOrdenes[[#This Row],[fecha_inicio]]="","",TODAY()-tblOrdenes[[#This Row],[fecha_inicio]])</f>
        <v/>
      </c>
      <c r="AB10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0">
        <f>IF(tblOrdenes[[#This Row],[orden]]="","",_xlfn.XLOOKUP(tblOrdenes[[#This Row],[id_operacion]],tblEjecucion[id_operacion],tblEjecucion[precio],0))</f>
        <v/>
      </c>
      <c r="AJ1085" s="10">
        <f>IF(tblOrdenes[[#This Row],[orden]]="","",MAX(0,_xlfn.XLOOKUP(tblOrdenes[[#This Row],[id_operacion]],tblEjecucion[id_operacion],tblEjecucion[costo_plan_total],0)-tblOrdenes[[#This Row],[costo_servicio]]))</f>
        <v/>
      </c>
      <c r="AK1085" s="10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2">
        <f>IF(tblOrdenes[[#This Row],[fecha_inicio]]="","",TODAY()-tblOrdenes[[#This Row],[fecha_inicio]])</f>
        <v/>
      </c>
      <c r="AB10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0">
        <f>IF(tblOrdenes[[#This Row],[orden]]="","",_xlfn.XLOOKUP(tblOrdenes[[#This Row],[id_operacion]],tblEjecucion[id_operacion],tblEjecucion[precio],0))</f>
        <v/>
      </c>
      <c r="AJ1086" s="10">
        <f>IF(tblOrdenes[[#This Row],[orden]]="","",MAX(0,_xlfn.XLOOKUP(tblOrdenes[[#This Row],[id_operacion]],tblEjecucion[id_operacion],tblEjecucion[costo_plan_total],0)-tblOrdenes[[#This Row],[costo_servicio]]))</f>
        <v/>
      </c>
      <c r="AK1086" s="10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2">
        <f>IF(tblOrdenes[[#This Row],[fecha_inicio]]="","",TODAY()-tblOrdenes[[#This Row],[fecha_inicio]])</f>
        <v/>
      </c>
      <c r="AB10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0">
        <f>IF(tblOrdenes[[#This Row],[orden]]="","",_xlfn.XLOOKUP(tblOrdenes[[#This Row],[id_operacion]],tblEjecucion[id_operacion],tblEjecucion[precio],0))</f>
        <v/>
      </c>
      <c r="AJ1087" s="10">
        <f>IF(tblOrdenes[[#This Row],[orden]]="","",MAX(0,_xlfn.XLOOKUP(tblOrdenes[[#This Row],[id_operacion]],tblEjecucion[id_operacion],tblEjecucion[costo_plan_total],0)-tblOrdenes[[#This Row],[costo_servicio]]))</f>
        <v/>
      </c>
      <c r="AK1087" s="10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2">
        <f>IF(tblOrdenes[[#This Row],[fecha_inicio]]="","",TODAY()-tblOrdenes[[#This Row],[fecha_inicio]])</f>
        <v/>
      </c>
      <c r="AB10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0">
        <f>IF(tblOrdenes[[#This Row],[orden]]="","",_xlfn.XLOOKUP(tblOrdenes[[#This Row],[id_operacion]],tblEjecucion[id_operacion],tblEjecucion[precio],0))</f>
        <v/>
      </c>
      <c r="AJ1088" s="10">
        <f>IF(tblOrdenes[[#This Row],[orden]]="","",MAX(0,_xlfn.XLOOKUP(tblOrdenes[[#This Row],[id_operacion]],tblEjecucion[id_operacion],tblEjecucion[costo_plan_total],0)-tblOrdenes[[#This Row],[costo_servicio]]))</f>
        <v/>
      </c>
      <c r="AK1088" s="10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2">
        <f>IF(tblOrdenes[[#This Row],[fecha_inicio]]="","",TODAY()-tblOrdenes[[#This Row],[fecha_inicio]])</f>
        <v/>
      </c>
      <c r="AB10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0">
        <f>IF(tblOrdenes[[#This Row],[orden]]="","",_xlfn.XLOOKUP(tblOrdenes[[#This Row],[id_operacion]],tblEjecucion[id_operacion],tblEjecucion[precio],0))</f>
        <v/>
      </c>
      <c r="AJ1089" s="10">
        <f>IF(tblOrdenes[[#This Row],[orden]]="","",MAX(0,_xlfn.XLOOKUP(tblOrdenes[[#This Row],[id_operacion]],tblEjecucion[id_operacion],tblEjecucion[costo_plan_total],0)-tblOrdenes[[#This Row],[costo_servicio]]))</f>
        <v/>
      </c>
      <c r="AK1089" s="10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2">
        <f>IF(tblOrdenes[[#This Row],[fecha_inicio]]="","",TODAY()-tblOrdenes[[#This Row],[fecha_inicio]])</f>
        <v/>
      </c>
      <c r="AB10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0">
        <f>IF(tblOrdenes[[#This Row],[orden]]="","",_xlfn.XLOOKUP(tblOrdenes[[#This Row],[id_operacion]],tblEjecucion[id_operacion],tblEjecucion[precio],0))</f>
        <v/>
      </c>
      <c r="AJ1090" s="10">
        <f>IF(tblOrdenes[[#This Row],[orden]]="","",MAX(0,_xlfn.XLOOKUP(tblOrdenes[[#This Row],[id_operacion]],tblEjecucion[id_operacion],tblEjecucion[costo_plan_total],0)-tblOrdenes[[#This Row],[costo_servicio]]))</f>
        <v/>
      </c>
      <c r="AK1090" s="10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2">
        <f>IF(tblOrdenes[[#This Row],[fecha_inicio]]="","",TODAY()-tblOrdenes[[#This Row],[fecha_inicio]])</f>
        <v/>
      </c>
      <c r="AB10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0">
        <f>IF(tblOrdenes[[#This Row],[orden]]="","",_xlfn.XLOOKUP(tblOrdenes[[#This Row],[id_operacion]],tblEjecucion[id_operacion],tblEjecucion[precio],0))</f>
        <v/>
      </c>
      <c r="AJ1091" s="10">
        <f>IF(tblOrdenes[[#This Row],[orden]]="","",MAX(0,_xlfn.XLOOKUP(tblOrdenes[[#This Row],[id_operacion]],tblEjecucion[id_operacion],tblEjecucion[costo_plan_total],0)-tblOrdenes[[#This Row],[costo_servicio]]))</f>
        <v/>
      </c>
      <c r="AK1091" s="10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2">
        <f>IF(tblOrdenes[[#This Row],[fecha_inicio]]="","",TODAY()-tblOrdenes[[#This Row],[fecha_inicio]])</f>
        <v/>
      </c>
      <c r="AB10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0">
        <f>IF(tblOrdenes[[#This Row],[orden]]="","",_xlfn.XLOOKUP(tblOrdenes[[#This Row],[id_operacion]],tblEjecucion[id_operacion],tblEjecucion[precio],0))</f>
        <v/>
      </c>
      <c r="AJ1092" s="10">
        <f>IF(tblOrdenes[[#This Row],[orden]]="","",MAX(0,_xlfn.XLOOKUP(tblOrdenes[[#This Row],[id_operacion]],tblEjecucion[id_operacion],tblEjecucion[costo_plan_total],0)-tblOrdenes[[#This Row],[costo_servicio]]))</f>
        <v/>
      </c>
      <c r="AK1092" s="10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2">
        <f>IF(tblOrdenes[[#This Row],[fecha_inicio]]="","",TODAY()-tblOrdenes[[#This Row],[fecha_inicio]])</f>
        <v/>
      </c>
      <c r="AB10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0">
        <f>IF(tblOrdenes[[#This Row],[orden]]="","",_xlfn.XLOOKUP(tblOrdenes[[#This Row],[id_operacion]],tblEjecucion[id_operacion],tblEjecucion[precio],0))</f>
        <v/>
      </c>
      <c r="AJ1093" s="10">
        <f>IF(tblOrdenes[[#This Row],[orden]]="","",MAX(0,_xlfn.XLOOKUP(tblOrdenes[[#This Row],[id_operacion]],tblEjecucion[id_operacion],tblEjecucion[costo_plan_total],0)-tblOrdenes[[#This Row],[costo_servicio]]))</f>
        <v/>
      </c>
      <c r="AK1093" s="10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2">
        <f>IF(tblOrdenes[[#This Row],[fecha_inicio]]="","",TODAY()-tblOrdenes[[#This Row],[fecha_inicio]])</f>
        <v/>
      </c>
      <c r="AB10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0">
        <f>IF(tblOrdenes[[#This Row],[orden]]="","",_xlfn.XLOOKUP(tblOrdenes[[#This Row],[id_operacion]],tblEjecucion[id_operacion],tblEjecucion[precio],0))</f>
        <v/>
      </c>
      <c r="AJ1094" s="10">
        <f>IF(tblOrdenes[[#This Row],[orden]]="","",MAX(0,_xlfn.XLOOKUP(tblOrdenes[[#This Row],[id_operacion]],tblEjecucion[id_operacion],tblEjecucion[costo_plan_total],0)-tblOrdenes[[#This Row],[costo_servicio]]))</f>
        <v/>
      </c>
      <c r="AK1094" s="10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2">
        <f>IF(tblOrdenes[[#This Row],[fecha_inicio]]="","",TODAY()-tblOrdenes[[#This Row],[fecha_inicio]])</f>
        <v/>
      </c>
      <c r="AB10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0">
        <f>IF(tblOrdenes[[#This Row],[orden]]="","",_xlfn.XLOOKUP(tblOrdenes[[#This Row],[id_operacion]],tblEjecucion[id_operacion],tblEjecucion[precio],0))</f>
        <v/>
      </c>
      <c r="AJ1095" s="10">
        <f>IF(tblOrdenes[[#This Row],[orden]]="","",MAX(0,_xlfn.XLOOKUP(tblOrdenes[[#This Row],[id_operacion]],tblEjecucion[id_operacion],tblEjecucion[costo_plan_total],0)-tblOrdenes[[#This Row],[costo_servicio]]))</f>
        <v/>
      </c>
      <c r="AK1095" s="10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2">
        <f>IF(tblOrdenes[[#This Row],[fecha_inicio]]="","",TODAY()-tblOrdenes[[#This Row],[fecha_inicio]])</f>
        <v/>
      </c>
      <c r="AB10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0">
        <f>IF(tblOrdenes[[#This Row],[orden]]="","",_xlfn.XLOOKUP(tblOrdenes[[#This Row],[id_operacion]],tblEjecucion[id_operacion],tblEjecucion[precio],0))</f>
        <v/>
      </c>
      <c r="AJ1096" s="10">
        <f>IF(tblOrdenes[[#This Row],[orden]]="","",MAX(0,_xlfn.XLOOKUP(tblOrdenes[[#This Row],[id_operacion]],tblEjecucion[id_operacion],tblEjecucion[costo_plan_total],0)-tblOrdenes[[#This Row],[costo_servicio]]))</f>
        <v/>
      </c>
      <c r="AK1096" s="10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2">
        <f>IF(tblOrdenes[[#This Row],[fecha_inicio]]="","",TODAY()-tblOrdenes[[#This Row],[fecha_inicio]])</f>
        <v/>
      </c>
      <c r="AB10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0">
        <f>IF(tblOrdenes[[#This Row],[orden]]="","",_xlfn.XLOOKUP(tblOrdenes[[#This Row],[id_operacion]],tblEjecucion[id_operacion],tblEjecucion[precio],0))</f>
        <v/>
      </c>
      <c r="AJ1097" s="10">
        <f>IF(tblOrdenes[[#This Row],[orden]]="","",MAX(0,_xlfn.XLOOKUP(tblOrdenes[[#This Row],[id_operacion]],tblEjecucion[id_operacion],tblEjecucion[costo_plan_total],0)-tblOrdenes[[#This Row],[costo_servicio]]))</f>
        <v/>
      </c>
      <c r="AK1097" s="10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2">
        <f>IF(tblOrdenes[[#This Row],[fecha_inicio]]="","",TODAY()-tblOrdenes[[#This Row],[fecha_inicio]])</f>
        <v/>
      </c>
      <c r="AB10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0">
        <f>IF(tblOrdenes[[#This Row],[orden]]="","",_xlfn.XLOOKUP(tblOrdenes[[#This Row],[id_operacion]],tblEjecucion[id_operacion],tblEjecucion[precio],0))</f>
        <v/>
      </c>
      <c r="AJ1098" s="10">
        <f>IF(tblOrdenes[[#This Row],[orden]]="","",MAX(0,_xlfn.XLOOKUP(tblOrdenes[[#This Row],[id_operacion]],tblEjecucion[id_operacion],tblEjecucion[costo_plan_total],0)-tblOrdenes[[#This Row],[costo_servicio]]))</f>
        <v/>
      </c>
      <c r="AK1098" s="10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2">
        <f>IF(tblOrdenes[[#This Row],[fecha_inicio]]="","",TODAY()-tblOrdenes[[#This Row],[fecha_inicio]])</f>
        <v/>
      </c>
      <c r="AB10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0">
        <f>IF(tblOrdenes[[#This Row],[orden]]="","",_xlfn.XLOOKUP(tblOrdenes[[#This Row],[id_operacion]],tblEjecucion[id_operacion],tblEjecucion[precio],0))</f>
        <v/>
      </c>
      <c r="AJ1099" s="10">
        <f>IF(tblOrdenes[[#This Row],[orden]]="","",MAX(0,_xlfn.XLOOKUP(tblOrdenes[[#This Row],[id_operacion]],tblEjecucion[id_operacion],tblEjecucion[costo_plan_total],0)-tblOrdenes[[#This Row],[costo_servicio]]))</f>
        <v/>
      </c>
      <c r="AK1099" s="10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2">
        <f>IF(tblOrdenes[[#This Row],[fecha_inicio]]="","",TODAY()-tblOrdenes[[#This Row],[fecha_inicio]])</f>
        <v/>
      </c>
      <c r="AB1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0">
        <f>IF(tblOrdenes[[#This Row],[orden]]="","",_xlfn.XLOOKUP(tblOrdenes[[#This Row],[id_operacion]],tblEjecucion[id_operacion],tblEjecucion[precio],0))</f>
        <v/>
      </c>
      <c r="AJ1100" s="10">
        <f>IF(tblOrdenes[[#This Row],[orden]]="","",MAX(0,_xlfn.XLOOKUP(tblOrdenes[[#This Row],[id_operacion]],tblEjecucion[id_operacion],tblEjecucion[costo_plan_total],0)-tblOrdenes[[#This Row],[costo_servicio]]))</f>
        <v/>
      </c>
      <c r="AK1100" s="10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2">
        <f>IF(tblOrdenes[[#This Row],[fecha_inicio]]="","",TODAY()-tblOrdenes[[#This Row],[fecha_inicio]])</f>
        <v/>
      </c>
      <c r="AB1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0">
        <f>IF(tblOrdenes[[#This Row],[orden]]="","",_xlfn.XLOOKUP(tblOrdenes[[#This Row],[id_operacion]],tblEjecucion[id_operacion],tblEjecucion[precio],0))</f>
        <v/>
      </c>
      <c r="AJ1101" s="10">
        <f>IF(tblOrdenes[[#This Row],[orden]]="","",MAX(0,_xlfn.XLOOKUP(tblOrdenes[[#This Row],[id_operacion]],tblEjecucion[id_operacion],tblEjecucion[costo_plan_total],0)-tblOrdenes[[#This Row],[costo_servicio]]))</f>
        <v/>
      </c>
      <c r="AK1101" s="10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2">
        <f>IF(tblOrdenes[[#This Row],[fecha_inicio]]="","",TODAY()-tblOrdenes[[#This Row],[fecha_inicio]])</f>
        <v/>
      </c>
      <c r="AB1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0">
        <f>IF(tblOrdenes[[#This Row],[orden]]="","",_xlfn.XLOOKUP(tblOrdenes[[#This Row],[id_operacion]],tblEjecucion[id_operacion],tblEjecucion[precio],0))</f>
        <v/>
      </c>
      <c r="AJ1102" s="10">
        <f>IF(tblOrdenes[[#This Row],[orden]]="","",MAX(0,_xlfn.XLOOKUP(tblOrdenes[[#This Row],[id_operacion]],tblEjecucion[id_operacion],tblEjecucion[costo_plan_total],0)-tblOrdenes[[#This Row],[costo_servicio]]))</f>
        <v/>
      </c>
      <c r="AK1102" s="10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2">
        <f>IF(tblOrdenes[[#This Row],[fecha_inicio]]="","",TODAY()-tblOrdenes[[#This Row],[fecha_inicio]])</f>
        <v/>
      </c>
      <c r="AB1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0">
        <f>IF(tblOrdenes[[#This Row],[orden]]="","",_xlfn.XLOOKUP(tblOrdenes[[#This Row],[id_operacion]],tblEjecucion[id_operacion],tblEjecucion[precio],0))</f>
        <v/>
      </c>
      <c r="AJ1103" s="10">
        <f>IF(tblOrdenes[[#This Row],[orden]]="","",MAX(0,_xlfn.XLOOKUP(tblOrdenes[[#This Row],[id_operacion]],tblEjecucion[id_operacion],tblEjecucion[costo_plan_total],0)-tblOrdenes[[#This Row],[costo_servicio]]))</f>
        <v/>
      </c>
      <c r="AK1103" s="10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2">
        <f>IF(tblOrdenes[[#This Row],[fecha_inicio]]="","",TODAY()-tblOrdenes[[#This Row],[fecha_inicio]])</f>
        <v/>
      </c>
      <c r="AB1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0">
        <f>IF(tblOrdenes[[#This Row],[orden]]="","",_xlfn.XLOOKUP(tblOrdenes[[#This Row],[id_operacion]],tblEjecucion[id_operacion],tblEjecucion[precio],0))</f>
        <v/>
      </c>
      <c r="AJ1104" s="10">
        <f>IF(tblOrdenes[[#This Row],[orden]]="","",MAX(0,_xlfn.XLOOKUP(tblOrdenes[[#This Row],[id_operacion]],tblEjecucion[id_operacion],tblEjecucion[costo_plan_total],0)-tblOrdenes[[#This Row],[costo_servicio]]))</f>
        <v/>
      </c>
      <c r="AK1104" s="10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2">
        <f>IF(tblOrdenes[[#This Row],[fecha_inicio]]="","",TODAY()-tblOrdenes[[#This Row],[fecha_inicio]])</f>
        <v/>
      </c>
      <c r="AB1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0">
        <f>IF(tblOrdenes[[#This Row],[orden]]="","",_xlfn.XLOOKUP(tblOrdenes[[#This Row],[id_operacion]],tblEjecucion[id_operacion],tblEjecucion[precio],0))</f>
        <v/>
      </c>
      <c r="AJ1105" s="10">
        <f>IF(tblOrdenes[[#This Row],[orden]]="","",MAX(0,_xlfn.XLOOKUP(tblOrdenes[[#This Row],[id_operacion]],tblEjecucion[id_operacion],tblEjecucion[costo_plan_total],0)-tblOrdenes[[#This Row],[costo_servicio]]))</f>
        <v/>
      </c>
      <c r="AK1105" s="10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2">
        <f>IF(tblOrdenes[[#This Row],[fecha_inicio]]="","",TODAY()-tblOrdenes[[#This Row],[fecha_inicio]])</f>
        <v/>
      </c>
      <c r="AB1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0">
        <f>IF(tblOrdenes[[#This Row],[orden]]="","",_xlfn.XLOOKUP(tblOrdenes[[#This Row],[id_operacion]],tblEjecucion[id_operacion],tblEjecucion[precio],0))</f>
        <v/>
      </c>
      <c r="AJ1106" s="10">
        <f>IF(tblOrdenes[[#This Row],[orden]]="","",MAX(0,_xlfn.XLOOKUP(tblOrdenes[[#This Row],[id_operacion]],tblEjecucion[id_operacion],tblEjecucion[costo_plan_total],0)-tblOrdenes[[#This Row],[costo_servicio]]))</f>
        <v/>
      </c>
      <c r="AK1106" s="10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2">
        <f>IF(tblOrdenes[[#This Row],[fecha_inicio]]="","",TODAY()-tblOrdenes[[#This Row],[fecha_inicio]])</f>
        <v/>
      </c>
      <c r="AB1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0">
        <f>IF(tblOrdenes[[#This Row],[orden]]="","",_xlfn.XLOOKUP(tblOrdenes[[#This Row],[id_operacion]],tblEjecucion[id_operacion],tblEjecucion[precio],0))</f>
        <v/>
      </c>
      <c r="AJ1107" s="10">
        <f>IF(tblOrdenes[[#This Row],[orden]]="","",MAX(0,_xlfn.XLOOKUP(tblOrdenes[[#This Row],[id_operacion]],tblEjecucion[id_operacion],tblEjecucion[costo_plan_total],0)-tblOrdenes[[#This Row],[costo_servicio]]))</f>
        <v/>
      </c>
      <c r="AK1107" s="10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2">
        <f>IF(tblOrdenes[[#This Row],[fecha_inicio]]="","",TODAY()-tblOrdenes[[#This Row],[fecha_inicio]])</f>
        <v/>
      </c>
      <c r="AB1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0">
        <f>IF(tblOrdenes[[#This Row],[orden]]="","",_xlfn.XLOOKUP(tblOrdenes[[#This Row],[id_operacion]],tblEjecucion[id_operacion],tblEjecucion[precio],0))</f>
        <v/>
      </c>
      <c r="AJ1108" s="10">
        <f>IF(tblOrdenes[[#This Row],[orden]]="","",MAX(0,_xlfn.XLOOKUP(tblOrdenes[[#This Row],[id_operacion]],tblEjecucion[id_operacion],tblEjecucion[costo_plan_total],0)-tblOrdenes[[#This Row],[costo_servicio]]))</f>
        <v/>
      </c>
      <c r="AK1108" s="10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2">
        <f>IF(tblOrdenes[[#This Row],[fecha_inicio]]="","",TODAY()-tblOrdenes[[#This Row],[fecha_inicio]])</f>
        <v/>
      </c>
      <c r="AB1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0">
        <f>IF(tblOrdenes[[#This Row],[orden]]="","",_xlfn.XLOOKUP(tblOrdenes[[#This Row],[id_operacion]],tblEjecucion[id_operacion],tblEjecucion[precio],0))</f>
        <v/>
      </c>
      <c r="AJ1109" s="10">
        <f>IF(tblOrdenes[[#This Row],[orden]]="","",MAX(0,_xlfn.XLOOKUP(tblOrdenes[[#This Row],[id_operacion]],tblEjecucion[id_operacion],tblEjecucion[costo_plan_total],0)-tblOrdenes[[#This Row],[costo_servicio]]))</f>
        <v/>
      </c>
      <c r="AK1109" s="10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2">
        <f>IF(tblOrdenes[[#This Row],[fecha_inicio]]="","",TODAY()-tblOrdenes[[#This Row],[fecha_inicio]])</f>
        <v/>
      </c>
      <c r="AB1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0">
        <f>IF(tblOrdenes[[#This Row],[orden]]="","",_xlfn.XLOOKUP(tblOrdenes[[#This Row],[id_operacion]],tblEjecucion[id_operacion],tblEjecucion[precio],0))</f>
        <v/>
      </c>
      <c r="AJ1110" s="10">
        <f>IF(tblOrdenes[[#This Row],[orden]]="","",MAX(0,_xlfn.XLOOKUP(tblOrdenes[[#This Row],[id_operacion]],tblEjecucion[id_operacion],tblEjecucion[costo_plan_total],0)-tblOrdenes[[#This Row],[costo_servicio]]))</f>
        <v/>
      </c>
      <c r="AK1110" s="10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2">
        <f>IF(tblOrdenes[[#This Row],[fecha_inicio]]="","",TODAY()-tblOrdenes[[#This Row],[fecha_inicio]])</f>
        <v/>
      </c>
      <c r="AB1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0">
        <f>IF(tblOrdenes[[#This Row],[orden]]="","",_xlfn.XLOOKUP(tblOrdenes[[#This Row],[id_operacion]],tblEjecucion[id_operacion],tblEjecucion[precio],0))</f>
        <v/>
      </c>
      <c r="AJ1111" s="10">
        <f>IF(tblOrdenes[[#This Row],[orden]]="","",MAX(0,_xlfn.XLOOKUP(tblOrdenes[[#This Row],[id_operacion]],tblEjecucion[id_operacion],tblEjecucion[costo_plan_total],0)-tblOrdenes[[#This Row],[costo_servicio]]))</f>
        <v/>
      </c>
      <c r="AK1111" s="10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2">
        <f>IF(tblOrdenes[[#This Row],[fecha_inicio]]="","",TODAY()-tblOrdenes[[#This Row],[fecha_inicio]])</f>
        <v/>
      </c>
      <c r="AB1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0">
        <f>IF(tblOrdenes[[#This Row],[orden]]="","",_xlfn.XLOOKUP(tblOrdenes[[#This Row],[id_operacion]],tblEjecucion[id_operacion],tblEjecucion[precio],0))</f>
        <v/>
      </c>
      <c r="AJ1112" s="10">
        <f>IF(tblOrdenes[[#This Row],[orden]]="","",MAX(0,_xlfn.XLOOKUP(tblOrdenes[[#This Row],[id_operacion]],tblEjecucion[id_operacion],tblEjecucion[costo_plan_total],0)-tblOrdenes[[#This Row],[costo_servicio]]))</f>
        <v/>
      </c>
      <c r="AK1112" s="10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2">
        <f>IF(tblOrdenes[[#This Row],[fecha_inicio]]="","",TODAY()-tblOrdenes[[#This Row],[fecha_inicio]])</f>
        <v/>
      </c>
      <c r="AB1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0">
        <f>IF(tblOrdenes[[#This Row],[orden]]="","",_xlfn.XLOOKUP(tblOrdenes[[#This Row],[id_operacion]],tblEjecucion[id_operacion],tblEjecucion[precio],0))</f>
        <v/>
      </c>
      <c r="AJ1113" s="10">
        <f>IF(tblOrdenes[[#This Row],[orden]]="","",MAX(0,_xlfn.XLOOKUP(tblOrdenes[[#This Row],[id_operacion]],tblEjecucion[id_operacion],tblEjecucion[costo_plan_total],0)-tblOrdenes[[#This Row],[costo_servicio]]))</f>
        <v/>
      </c>
      <c r="AK1113" s="10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2">
        <f>IF(tblOrdenes[[#This Row],[fecha_inicio]]="","",TODAY()-tblOrdenes[[#This Row],[fecha_inicio]])</f>
        <v/>
      </c>
      <c r="AB1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0">
        <f>IF(tblOrdenes[[#This Row],[orden]]="","",_xlfn.XLOOKUP(tblOrdenes[[#This Row],[id_operacion]],tblEjecucion[id_operacion],tblEjecucion[precio],0))</f>
        <v/>
      </c>
      <c r="AJ1114" s="10">
        <f>IF(tblOrdenes[[#This Row],[orden]]="","",MAX(0,_xlfn.XLOOKUP(tblOrdenes[[#This Row],[id_operacion]],tblEjecucion[id_operacion],tblEjecucion[costo_plan_total],0)-tblOrdenes[[#This Row],[costo_servicio]]))</f>
        <v/>
      </c>
      <c r="AK1114" s="10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2">
        <f>IF(tblOrdenes[[#This Row],[fecha_inicio]]="","",TODAY()-tblOrdenes[[#This Row],[fecha_inicio]])</f>
        <v/>
      </c>
      <c r="AB1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0">
        <f>IF(tblOrdenes[[#This Row],[orden]]="","",_xlfn.XLOOKUP(tblOrdenes[[#This Row],[id_operacion]],tblEjecucion[id_operacion],tblEjecucion[precio],0))</f>
        <v/>
      </c>
      <c r="AJ1115" s="10">
        <f>IF(tblOrdenes[[#This Row],[orden]]="","",MAX(0,_xlfn.XLOOKUP(tblOrdenes[[#This Row],[id_operacion]],tblEjecucion[id_operacion],tblEjecucion[costo_plan_total],0)-tblOrdenes[[#This Row],[costo_servicio]]))</f>
        <v/>
      </c>
      <c r="AK1115" s="10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2">
        <f>IF(tblOrdenes[[#This Row],[fecha_inicio]]="","",TODAY()-tblOrdenes[[#This Row],[fecha_inicio]])</f>
        <v/>
      </c>
      <c r="AB1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0">
        <f>IF(tblOrdenes[[#This Row],[orden]]="","",_xlfn.XLOOKUP(tblOrdenes[[#This Row],[id_operacion]],tblEjecucion[id_operacion],tblEjecucion[precio],0))</f>
        <v/>
      </c>
      <c r="AJ1116" s="10">
        <f>IF(tblOrdenes[[#This Row],[orden]]="","",MAX(0,_xlfn.XLOOKUP(tblOrdenes[[#This Row],[id_operacion]],tblEjecucion[id_operacion],tblEjecucion[costo_plan_total],0)-tblOrdenes[[#This Row],[costo_servicio]]))</f>
        <v/>
      </c>
      <c r="AK1116" s="10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2">
        <f>IF(tblOrdenes[[#This Row],[fecha_inicio]]="","",TODAY()-tblOrdenes[[#This Row],[fecha_inicio]])</f>
        <v/>
      </c>
      <c r="AB1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0">
        <f>IF(tblOrdenes[[#This Row],[orden]]="","",_xlfn.XLOOKUP(tblOrdenes[[#This Row],[id_operacion]],tblEjecucion[id_operacion],tblEjecucion[precio],0))</f>
        <v/>
      </c>
      <c r="AJ1117" s="10">
        <f>IF(tblOrdenes[[#This Row],[orden]]="","",MAX(0,_xlfn.XLOOKUP(tblOrdenes[[#This Row],[id_operacion]],tblEjecucion[id_operacion],tblEjecucion[costo_plan_total],0)-tblOrdenes[[#This Row],[costo_servicio]]))</f>
        <v/>
      </c>
      <c r="AK1117" s="10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2">
        <f>IF(tblOrdenes[[#This Row],[fecha_inicio]]="","",TODAY()-tblOrdenes[[#This Row],[fecha_inicio]])</f>
        <v/>
      </c>
      <c r="AB1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0">
        <f>IF(tblOrdenes[[#This Row],[orden]]="","",_xlfn.XLOOKUP(tblOrdenes[[#This Row],[id_operacion]],tblEjecucion[id_operacion],tblEjecucion[precio],0))</f>
        <v/>
      </c>
      <c r="AJ1118" s="10">
        <f>IF(tblOrdenes[[#This Row],[orden]]="","",MAX(0,_xlfn.XLOOKUP(tblOrdenes[[#This Row],[id_operacion]],tblEjecucion[id_operacion],tblEjecucion[costo_plan_total],0)-tblOrdenes[[#This Row],[costo_servicio]]))</f>
        <v/>
      </c>
      <c r="AK1118" s="10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2">
        <f>IF(tblOrdenes[[#This Row],[fecha_inicio]]="","",TODAY()-tblOrdenes[[#This Row],[fecha_inicio]])</f>
        <v/>
      </c>
      <c r="AB1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0">
        <f>IF(tblOrdenes[[#This Row],[orden]]="","",_xlfn.XLOOKUP(tblOrdenes[[#This Row],[id_operacion]],tblEjecucion[id_operacion],tblEjecucion[precio],0))</f>
        <v/>
      </c>
      <c r="AJ1119" s="10">
        <f>IF(tblOrdenes[[#This Row],[orden]]="","",MAX(0,_xlfn.XLOOKUP(tblOrdenes[[#This Row],[id_operacion]],tblEjecucion[id_operacion],tblEjecucion[costo_plan_total],0)-tblOrdenes[[#This Row],[costo_servicio]]))</f>
        <v/>
      </c>
      <c r="AK1119" s="10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2">
        <f>IF(tblOrdenes[[#This Row],[fecha_inicio]]="","",TODAY()-tblOrdenes[[#This Row],[fecha_inicio]])</f>
        <v/>
      </c>
      <c r="AB1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0">
        <f>IF(tblOrdenes[[#This Row],[orden]]="","",_xlfn.XLOOKUP(tblOrdenes[[#This Row],[id_operacion]],tblEjecucion[id_operacion],tblEjecucion[precio],0))</f>
        <v/>
      </c>
      <c r="AJ1120" s="10">
        <f>IF(tblOrdenes[[#This Row],[orden]]="","",MAX(0,_xlfn.XLOOKUP(tblOrdenes[[#This Row],[id_operacion]],tblEjecucion[id_operacion],tblEjecucion[costo_plan_total],0)-tblOrdenes[[#This Row],[costo_servicio]]))</f>
        <v/>
      </c>
      <c r="AK1120" s="10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2">
        <f>IF(tblOrdenes[[#This Row],[fecha_inicio]]="","",TODAY()-tblOrdenes[[#This Row],[fecha_inicio]])</f>
        <v/>
      </c>
      <c r="AB1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0">
        <f>IF(tblOrdenes[[#This Row],[orden]]="","",_xlfn.XLOOKUP(tblOrdenes[[#This Row],[id_operacion]],tblEjecucion[id_operacion],tblEjecucion[precio],0))</f>
        <v/>
      </c>
      <c r="AJ1121" s="10">
        <f>IF(tblOrdenes[[#This Row],[orden]]="","",MAX(0,_xlfn.XLOOKUP(tblOrdenes[[#This Row],[id_operacion]],tblEjecucion[id_operacion],tblEjecucion[costo_plan_total],0)-tblOrdenes[[#This Row],[costo_servicio]]))</f>
        <v/>
      </c>
      <c r="AK1121" s="10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2">
        <f>IF(tblOrdenes[[#This Row],[fecha_inicio]]="","",TODAY()-tblOrdenes[[#This Row],[fecha_inicio]])</f>
        <v/>
      </c>
      <c r="AB1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0">
        <f>IF(tblOrdenes[[#This Row],[orden]]="","",_xlfn.XLOOKUP(tblOrdenes[[#This Row],[id_operacion]],tblEjecucion[id_operacion],tblEjecucion[precio],0))</f>
        <v/>
      </c>
      <c r="AJ1122" s="10">
        <f>IF(tblOrdenes[[#This Row],[orden]]="","",MAX(0,_xlfn.XLOOKUP(tblOrdenes[[#This Row],[id_operacion]],tblEjecucion[id_operacion],tblEjecucion[costo_plan_total],0)-tblOrdenes[[#This Row],[costo_servicio]]))</f>
        <v/>
      </c>
      <c r="AK1122" s="10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2">
        <f>IF(tblOrdenes[[#This Row],[fecha_inicio]]="","",TODAY()-tblOrdenes[[#This Row],[fecha_inicio]])</f>
        <v/>
      </c>
      <c r="AB1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0">
        <f>IF(tblOrdenes[[#This Row],[orden]]="","",_xlfn.XLOOKUP(tblOrdenes[[#This Row],[id_operacion]],tblEjecucion[id_operacion],tblEjecucion[precio],0))</f>
        <v/>
      </c>
      <c r="AJ1123" s="10">
        <f>IF(tblOrdenes[[#This Row],[orden]]="","",MAX(0,_xlfn.XLOOKUP(tblOrdenes[[#This Row],[id_operacion]],tblEjecucion[id_operacion],tblEjecucion[costo_plan_total],0)-tblOrdenes[[#This Row],[costo_servicio]]))</f>
        <v/>
      </c>
      <c r="AK1123" s="10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2">
        <f>IF(tblOrdenes[[#This Row],[fecha_inicio]]="","",TODAY()-tblOrdenes[[#This Row],[fecha_inicio]])</f>
        <v/>
      </c>
      <c r="AB1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0">
        <f>IF(tblOrdenes[[#This Row],[orden]]="","",_xlfn.XLOOKUP(tblOrdenes[[#This Row],[id_operacion]],tblEjecucion[id_operacion],tblEjecucion[precio],0))</f>
        <v/>
      </c>
      <c r="AJ1124" s="10">
        <f>IF(tblOrdenes[[#This Row],[orden]]="","",MAX(0,_xlfn.XLOOKUP(tblOrdenes[[#This Row],[id_operacion]],tblEjecucion[id_operacion],tblEjecucion[costo_plan_total],0)-tblOrdenes[[#This Row],[costo_servicio]]))</f>
        <v/>
      </c>
      <c r="AK1124" s="10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2">
        <f>IF(tblOrdenes[[#This Row],[fecha_inicio]]="","",TODAY()-tblOrdenes[[#This Row],[fecha_inicio]])</f>
        <v/>
      </c>
      <c r="AB1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0">
        <f>IF(tblOrdenes[[#This Row],[orden]]="","",_xlfn.XLOOKUP(tblOrdenes[[#This Row],[id_operacion]],tblEjecucion[id_operacion],tblEjecucion[precio],0))</f>
        <v/>
      </c>
      <c r="AJ1125" s="10">
        <f>IF(tblOrdenes[[#This Row],[orden]]="","",MAX(0,_xlfn.XLOOKUP(tblOrdenes[[#This Row],[id_operacion]],tblEjecucion[id_operacion],tblEjecucion[costo_plan_total],0)-tblOrdenes[[#This Row],[costo_servicio]]))</f>
        <v/>
      </c>
      <c r="AK1125" s="10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2">
        <f>IF(tblOrdenes[[#This Row],[fecha_inicio]]="","",TODAY()-tblOrdenes[[#This Row],[fecha_inicio]])</f>
        <v/>
      </c>
      <c r="AB1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0">
        <f>IF(tblOrdenes[[#This Row],[orden]]="","",_xlfn.XLOOKUP(tblOrdenes[[#This Row],[id_operacion]],tblEjecucion[id_operacion],tblEjecucion[precio],0))</f>
        <v/>
      </c>
      <c r="AJ1126" s="10">
        <f>IF(tblOrdenes[[#This Row],[orden]]="","",MAX(0,_xlfn.XLOOKUP(tblOrdenes[[#This Row],[id_operacion]],tblEjecucion[id_operacion],tblEjecucion[costo_plan_total],0)-tblOrdenes[[#This Row],[costo_servicio]]))</f>
        <v/>
      </c>
      <c r="AK1126" s="10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2">
        <f>IF(tblOrdenes[[#This Row],[fecha_inicio]]="","",TODAY()-tblOrdenes[[#This Row],[fecha_inicio]])</f>
        <v/>
      </c>
      <c r="AB1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0">
        <f>IF(tblOrdenes[[#This Row],[orden]]="","",_xlfn.XLOOKUP(tblOrdenes[[#This Row],[id_operacion]],tblEjecucion[id_operacion],tblEjecucion[precio],0))</f>
        <v/>
      </c>
      <c r="AJ1127" s="10">
        <f>IF(tblOrdenes[[#This Row],[orden]]="","",MAX(0,_xlfn.XLOOKUP(tblOrdenes[[#This Row],[id_operacion]],tblEjecucion[id_operacion],tblEjecucion[costo_plan_total],0)-tblOrdenes[[#This Row],[costo_servicio]]))</f>
        <v/>
      </c>
      <c r="AK1127" s="10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2">
        <f>IF(tblOrdenes[[#This Row],[fecha_inicio]]="","",TODAY()-tblOrdenes[[#This Row],[fecha_inicio]])</f>
        <v/>
      </c>
      <c r="AB1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0">
        <f>IF(tblOrdenes[[#This Row],[orden]]="","",_xlfn.XLOOKUP(tblOrdenes[[#This Row],[id_operacion]],tblEjecucion[id_operacion],tblEjecucion[precio],0))</f>
        <v/>
      </c>
      <c r="AJ1128" s="10">
        <f>IF(tblOrdenes[[#This Row],[orden]]="","",MAX(0,_xlfn.XLOOKUP(tblOrdenes[[#This Row],[id_operacion]],tblEjecucion[id_operacion],tblEjecucion[costo_plan_total],0)-tblOrdenes[[#This Row],[costo_servicio]]))</f>
        <v/>
      </c>
      <c r="AK1128" s="10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2">
        <f>IF(tblOrdenes[[#This Row],[fecha_inicio]]="","",TODAY()-tblOrdenes[[#This Row],[fecha_inicio]])</f>
        <v/>
      </c>
      <c r="AB1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0">
        <f>IF(tblOrdenes[[#This Row],[orden]]="","",_xlfn.XLOOKUP(tblOrdenes[[#This Row],[id_operacion]],tblEjecucion[id_operacion],tblEjecucion[precio],0))</f>
        <v/>
      </c>
      <c r="AJ1129" s="10">
        <f>IF(tblOrdenes[[#This Row],[orden]]="","",MAX(0,_xlfn.XLOOKUP(tblOrdenes[[#This Row],[id_operacion]],tblEjecucion[id_operacion],tblEjecucion[costo_plan_total],0)-tblOrdenes[[#This Row],[costo_servicio]]))</f>
        <v/>
      </c>
      <c r="AK1129" s="10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2">
        <f>IF(tblOrdenes[[#This Row],[fecha_inicio]]="","",TODAY()-tblOrdenes[[#This Row],[fecha_inicio]])</f>
        <v/>
      </c>
      <c r="AB1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0">
        <f>IF(tblOrdenes[[#This Row],[orden]]="","",_xlfn.XLOOKUP(tblOrdenes[[#This Row],[id_operacion]],tblEjecucion[id_operacion],tblEjecucion[precio],0))</f>
        <v/>
      </c>
      <c r="AJ1130" s="10">
        <f>IF(tblOrdenes[[#This Row],[orden]]="","",MAX(0,_xlfn.XLOOKUP(tblOrdenes[[#This Row],[id_operacion]],tblEjecucion[id_operacion],tblEjecucion[costo_plan_total],0)-tblOrdenes[[#This Row],[costo_servicio]]))</f>
        <v/>
      </c>
      <c r="AK1130" s="10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2">
        <f>IF(tblOrdenes[[#This Row],[fecha_inicio]]="","",TODAY()-tblOrdenes[[#This Row],[fecha_inicio]])</f>
        <v/>
      </c>
      <c r="AB1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0">
        <f>IF(tblOrdenes[[#This Row],[orden]]="","",_xlfn.XLOOKUP(tblOrdenes[[#This Row],[id_operacion]],tblEjecucion[id_operacion],tblEjecucion[precio],0))</f>
        <v/>
      </c>
      <c r="AJ1131" s="10">
        <f>IF(tblOrdenes[[#This Row],[orden]]="","",MAX(0,_xlfn.XLOOKUP(tblOrdenes[[#This Row],[id_operacion]],tblEjecucion[id_operacion],tblEjecucion[costo_plan_total],0)-tblOrdenes[[#This Row],[costo_servicio]]))</f>
        <v/>
      </c>
      <c r="AK1131" s="10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2">
        <f>IF(tblOrdenes[[#This Row],[fecha_inicio]]="","",TODAY()-tblOrdenes[[#This Row],[fecha_inicio]])</f>
        <v/>
      </c>
      <c r="AB1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0">
        <f>IF(tblOrdenes[[#This Row],[orden]]="","",_xlfn.XLOOKUP(tblOrdenes[[#This Row],[id_operacion]],tblEjecucion[id_operacion],tblEjecucion[precio],0))</f>
        <v/>
      </c>
      <c r="AJ1132" s="10">
        <f>IF(tblOrdenes[[#This Row],[orden]]="","",MAX(0,_xlfn.XLOOKUP(tblOrdenes[[#This Row],[id_operacion]],tblEjecucion[id_operacion],tblEjecucion[costo_plan_total],0)-tblOrdenes[[#This Row],[costo_servicio]]))</f>
        <v/>
      </c>
      <c r="AK1132" s="10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2">
        <f>IF(tblOrdenes[[#This Row],[fecha_inicio]]="","",TODAY()-tblOrdenes[[#This Row],[fecha_inicio]])</f>
        <v/>
      </c>
      <c r="AB1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0">
        <f>IF(tblOrdenes[[#This Row],[orden]]="","",_xlfn.XLOOKUP(tblOrdenes[[#This Row],[id_operacion]],tblEjecucion[id_operacion],tblEjecucion[precio],0))</f>
        <v/>
      </c>
      <c r="AJ1133" s="10">
        <f>IF(tblOrdenes[[#This Row],[orden]]="","",MAX(0,_xlfn.XLOOKUP(tblOrdenes[[#This Row],[id_operacion]],tblEjecucion[id_operacion],tblEjecucion[costo_plan_total],0)-tblOrdenes[[#This Row],[costo_servicio]]))</f>
        <v/>
      </c>
      <c r="AK1133" s="10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2">
        <f>IF(tblOrdenes[[#This Row],[fecha_inicio]]="","",TODAY()-tblOrdenes[[#This Row],[fecha_inicio]])</f>
        <v/>
      </c>
      <c r="AB1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0">
        <f>IF(tblOrdenes[[#This Row],[orden]]="","",_xlfn.XLOOKUP(tblOrdenes[[#This Row],[id_operacion]],tblEjecucion[id_operacion],tblEjecucion[precio],0))</f>
        <v/>
      </c>
      <c r="AJ1134" s="10">
        <f>IF(tblOrdenes[[#This Row],[orden]]="","",MAX(0,_xlfn.XLOOKUP(tblOrdenes[[#This Row],[id_operacion]],tblEjecucion[id_operacion],tblEjecucion[costo_plan_total],0)-tblOrdenes[[#This Row],[costo_servicio]]))</f>
        <v/>
      </c>
      <c r="AK1134" s="10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2">
        <f>IF(tblOrdenes[[#This Row],[fecha_inicio]]="","",TODAY()-tblOrdenes[[#This Row],[fecha_inicio]])</f>
        <v/>
      </c>
      <c r="AB1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0">
        <f>IF(tblOrdenes[[#This Row],[orden]]="","",_xlfn.XLOOKUP(tblOrdenes[[#This Row],[id_operacion]],tblEjecucion[id_operacion],tblEjecucion[precio],0))</f>
        <v/>
      </c>
      <c r="AJ1135" s="10">
        <f>IF(tblOrdenes[[#This Row],[orden]]="","",MAX(0,_xlfn.XLOOKUP(tblOrdenes[[#This Row],[id_operacion]],tblEjecucion[id_operacion],tblEjecucion[costo_plan_total],0)-tblOrdenes[[#This Row],[costo_servicio]]))</f>
        <v/>
      </c>
      <c r="AK1135" s="10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2">
        <f>IF(tblOrdenes[[#This Row],[fecha_inicio]]="","",TODAY()-tblOrdenes[[#This Row],[fecha_inicio]])</f>
        <v/>
      </c>
      <c r="AB1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0">
        <f>IF(tblOrdenes[[#This Row],[orden]]="","",_xlfn.XLOOKUP(tblOrdenes[[#This Row],[id_operacion]],tblEjecucion[id_operacion],tblEjecucion[precio],0))</f>
        <v/>
      </c>
      <c r="AJ1136" s="10">
        <f>IF(tblOrdenes[[#This Row],[orden]]="","",MAX(0,_xlfn.XLOOKUP(tblOrdenes[[#This Row],[id_operacion]],tblEjecucion[id_operacion],tblEjecucion[costo_plan_total],0)-tblOrdenes[[#This Row],[costo_servicio]]))</f>
        <v/>
      </c>
      <c r="AK1136" s="10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2">
        <f>IF(tblOrdenes[[#This Row],[fecha_inicio]]="","",TODAY()-tblOrdenes[[#This Row],[fecha_inicio]])</f>
        <v/>
      </c>
      <c r="AB1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0">
        <f>IF(tblOrdenes[[#This Row],[orden]]="","",_xlfn.XLOOKUP(tblOrdenes[[#This Row],[id_operacion]],tblEjecucion[id_operacion],tblEjecucion[precio],0))</f>
        <v/>
      </c>
      <c r="AJ1137" s="10">
        <f>IF(tblOrdenes[[#This Row],[orden]]="","",MAX(0,_xlfn.XLOOKUP(tblOrdenes[[#This Row],[id_operacion]],tblEjecucion[id_operacion],tblEjecucion[costo_plan_total],0)-tblOrdenes[[#This Row],[costo_servicio]]))</f>
        <v/>
      </c>
      <c r="AK1137" s="10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2">
        <f>IF(tblOrdenes[[#This Row],[fecha_inicio]]="","",TODAY()-tblOrdenes[[#This Row],[fecha_inicio]])</f>
        <v/>
      </c>
      <c r="AB1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0">
        <f>IF(tblOrdenes[[#This Row],[orden]]="","",_xlfn.XLOOKUP(tblOrdenes[[#This Row],[id_operacion]],tblEjecucion[id_operacion],tblEjecucion[precio],0))</f>
        <v/>
      </c>
      <c r="AJ1138" s="10">
        <f>IF(tblOrdenes[[#This Row],[orden]]="","",MAX(0,_xlfn.XLOOKUP(tblOrdenes[[#This Row],[id_operacion]],tblEjecucion[id_operacion],tblEjecucion[costo_plan_total],0)-tblOrdenes[[#This Row],[costo_servicio]]))</f>
        <v/>
      </c>
      <c r="AK1138" s="10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2">
        <f>IF(tblOrdenes[[#This Row],[fecha_inicio]]="","",TODAY()-tblOrdenes[[#This Row],[fecha_inicio]])</f>
        <v/>
      </c>
      <c r="AB1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0">
        <f>IF(tblOrdenes[[#This Row],[orden]]="","",_xlfn.XLOOKUP(tblOrdenes[[#This Row],[id_operacion]],tblEjecucion[id_operacion],tblEjecucion[precio],0))</f>
        <v/>
      </c>
      <c r="AJ1139" s="10">
        <f>IF(tblOrdenes[[#This Row],[orden]]="","",MAX(0,_xlfn.XLOOKUP(tblOrdenes[[#This Row],[id_operacion]],tblEjecucion[id_operacion],tblEjecucion[costo_plan_total],0)-tblOrdenes[[#This Row],[costo_servicio]]))</f>
        <v/>
      </c>
      <c r="AK1139" s="10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2">
        <f>IF(tblOrdenes[[#This Row],[fecha_inicio]]="","",TODAY()-tblOrdenes[[#This Row],[fecha_inicio]])</f>
        <v/>
      </c>
      <c r="AB1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0">
        <f>IF(tblOrdenes[[#This Row],[orden]]="","",_xlfn.XLOOKUP(tblOrdenes[[#This Row],[id_operacion]],tblEjecucion[id_operacion],tblEjecucion[precio],0))</f>
        <v/>
      </c>
      <c r="AJ1140" s="10">
        <f>IF(tblOrdenes[[#This Row],[orden]]="","",MAX(0,_xlfn.XLOOKUP(tblOrdenes[[#This Row],[id_operacion]],tblEjecucion[id_operacion],tblEjecucion[costo_plan_total],0)-tblOrdenes[[#This Row],[costo_servicio]]))</f>
        <v/>
      </c>
      <c r="AK1140" s="10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2">
        <f>IF(tblOrdenes[[#This Row],[fecha_inicio]]="","",TODAY()-tblOrdenes[[#This Row],[fecha_inicio]])</f>
        <v/>
      </c>
      <c r="AB1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0">
        <f>IF(tblOrdenes[[#This Row],[orden]]="","",_xlfn.XLOOKUP(tblOrdenes[[#This Row],[id_operacion]],tblEjecucion[id_operacion],tblEjecucion[precio],0))</f>
        <v/>
      </c>
      <c r="AJ1141" s="10">
        <f>IF(tblOrdenes[[#This Row],[orden]]="","",MAX(0,_xlfn.XLOOKUP(tblOrdenes[[#This Row],[id_operacion]],tblEjecucion[id_operacion],tblEjecucion[costo_plan_total],0)-tblOrdenes[[#This Row],[costo_servicio]]))</f>
        <v/>
      </c>
      <c r="AK1141" s="10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2">
        <f>IF(tblOrdenes[[#This Row],[fecha_inicio]]="","",TODAY()-tblOrdenes[[#This Row],[fecha_inicio]])</f>
        <v/>
      </c>
      <c r="AB1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0">
        <f>IF(tblOrdenes[[#This Row],[orden]]="","",_xlfn.XLOOKUP(tblOrdenes[[#This Row],[id_operacion]],tblEjecucion[id_operacion],tblEjecucion[precio],0))</f>
        <v/>
      </c>
      <c r="AJ1142" s="10">
        <f>IF(tblOrdenes[[#This Row],[orden]]="","",MAX(0,_xlfn.XLOOKUP(tblOrdenes[[#This Row],[id_operacion]],tblEjecucion[id_operacion],tblEjecucion[costo_plan_total],0)-tblOrdenes[[#This Row],[costo_servicio]]))</f>
        <v/>
      </c>
      <c r="AK1142" s="10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2">
        <f>IF(tblOrdenes[[#This Row],[fecha_inicio]]="","",TODAY()-tblOrdenes[[#This Row],[fecha_inicio]])</f>
        <v/>
      </c>
      <c r="AB1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0">
        <f>IF(tblOrdenes[[#This Row],[orden]]="","",_xlfn.XLOOKUP(tblOrdenes[[#This Row],[id_operacion]],tblEjecucion[id_operacion],tblEjecucion[precio],0))</f>
        <v/>
      </c>
      <c r="AJ1143" s="10">
        <f>IF(tblOrdenes[[#This Row],[orden]]="","",MAX(0,_xlfn.XLOOKUP(tblOrdenes[[#This Row],[id_operacion]],tblEjecucion[id_operacion],tblEjecucion[costo_plan_total],0)-tblOrdenes[[#This Row],[costo_servicio]]))</f>
        <v/>
      </c>
      <c r="AK1143" s="10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2">
        <f>IF(tblOrdenes[[#This Row],[fecha_inicio]]="","",TODAY()-tblOrdenes[[#This Row],[fecha_inicio]])</f>
        <v/>
      </c>
      <c r="AB1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0">
        <f>IF(tblOrdenes[[#This Row],[orden]]="","",_xlfn.XLOOKUP(tblOrdenes[[#This Row],[id_operacion]],tblEjecucion[id_operacion],tblEjecucion[precio],0))</f>
        <v/>
      </c>
      <c r="AJ1144" s="10">
        <f>IF(tblOrdenes[[#This Row],[orden]]="","",MAX(0,_xlfn.XLOOKUP(tblOrdenes[[#This Row],[id_operacion]],tblEjecucion[id_operacion],tblEjecucion[costo_plan_total],0)-tblOrdenes[[#This Row],[costo_servicio]]))</f>
        <v/>
      </c>
      <c r="AK1144" s="10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2">
        <f>IF(tblOrdenes[[#This Row],[fecha_inicio]]="","",TODAY()-tblOrdenes[[#This Row],[fecha_inicio]])</f>
        <v/>
      </c>
      <c r="AB1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0">
        <f>IF(tblOrdenes[[#This Row],[orden]]="","",_xlfn.XLOOKUP(tblOrdenes[[#This Row],[id_operacion]],tblEjecucion[id_operacion],tblEjecucion[precio],0))</f>
        <v/>
      </c>
      <c r="AJ1145" s="10">
        <f>IF(tblOrdenes[[#This Row],[orden]]="","",MAX(0,_xlfn.XLOOKUP(tblOrdenes[[#This Row],[id_operacion]],tblEjecucion[id_operacion],tblEjecucion[costo_plan_total],0)-tblOrdenes[[#This Row],[costo_servicio]]))</f>
        <v/>
      </c>
      <c r="AK1145" s="10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2">
        <f>IF(tblOrdenes[[#This Row],[fecha_inicio]]="","",TODAY()-tblOrdenes[[#This Row],[fecha_inicio]])</f>
        <v/>
      </c>
      <c r="AB1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0">
        <f>IF(tblOrdenes[[#This Row],[orden]]="","",_xlfn.XLOOKUP(tblOrdenes[[#This Row],[id_operacion]],tblEjecucion[id_operacion],tblEjecucion[precio],0))</f>
        <v/>
      </c>
      <c r="AJ1146" s="10">
        <f>IF(tblOrdenes[[#This Row],[orden]]="","",MAX(0,_xlfn.XLOOKUP(tblOrdenes[[#This Row],[id_operacion]],tblEjecucion[id_operacion],tblEjecucion[costo_plan_total],0)-tblOrdenes[[#This Row],[costo_servicio]]))</f>
        <v/>
      </c>
      <c r="AK1146" s="10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2">
        <f>IF(tblOrdenes[[#This Row],[fecha_inicio]]="","",TODAY()-tblOrdenes[[#This Row],[fecha_inicio]])</f>
        <v/>
      </c>
      <c r="AB1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0">
        <f>IF(tblOrdenes[[#This Row],[orden]]="","",_xlfn.XLOOKUP(tblOrdenes[[#This Row],[id_operacion]],tblEjecucion[id_operacion],tblEjecucion[precio],0))</f>
        <v/>
      </c>
      <c r="AJ1147" s="10">
        <f>IF(tblOrdenes[[#This Row],[orden]]="","",MAX(0,_xlfn.XLOOKUP(tblOrdenes[[#This Row],[id_operacion]],tblEjecucion[id_operacion],tblEjecucion[costo_plan_total],0)-tblOrdenes[[#This Row],[costo_servicio]]))</f>
        <v/>
      </c>
      <c r="AK1147" s="10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2">
        <f>IF(tblOrdenes[[#This Row],[fecha_inicio]]="","",TODAY()-tblOrdenes[[#This Row],[fecha_inicio]])</f>
        <v/>
      </c>
      <c r="AB1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0">
        <f>IF(tblOrdenes[[#This Row],[orden]]="","",_xlfn.XLOOKUP(tblOrdenes[[#This Row],[id_operacion]],tblEjecucion[id_operacion],tblEjecucion[precio],0))</f>
        <v/>
      </c>
      <c r="AJ1148" s="10">
        <f>IF(tblOrdenes[[#This Row],[orden]]="","",MAX(0,_xlfn.XLOOKUP(tblOrdenes[[#This Row],[id_operacion]],tblEjecucion[id_operacion],tblEjecucion[costo_plan_total],0)-tblOrdenes[[#This Row],[costo_servicio]]))</f>
        <v/>
      </c>
      <c r="AK1148" s="10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2">
        <f>IF(tblOrdenes[[#This Row],[fecha_inicio]]="","",TODAY()-tblOrdenes[[#This Row],[fecha_inicio]])</f>
        <v/>
      </c>
      <c r="AB1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0">
        <f>IF(tblOrdenes[[#This Row],[orden]]="","",_xlfn.XLOOKUP(tblOrdenes[[#This Row],[id_operacion]],tblEjecucion[id_operacion],tblEjecucion[precio],0))</f>
        <v/>
      </c>
      <c r="AJ1149" s="10">
        <f>IF(tblOrdenes[[#This Row],[orden]]="","",MAX(0,_xlfn.XLOOKUP(tblOrdenes[[#This Row],[id_operacion]],tblEjecucion[id_operacion],tblEjecucion[costo_plan_total],0)-tblOrdenes[[#This Row],[costo_servicio]]))</f>
        <v/>
      </c>
      <c r="AK1149" s="10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2">
        <f>IF(tblOrdenes[[#This Row],[fecha_inicio]]="","",TODAY()-tblOrdenes[[#This Row],[fecha_inicio]])</f>
        <v/>
      </c>
      <c r="AB1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0">
        <f>IF(tblOrdenes[[#This Row],[orden]]="","",_xlfn.XLOOKUP(tblOrdenes[[#This Row],[id_operacion]],tblEjecucion[id_operacion],tblEjecucion[precio],0))</f>
        <v/>
      </c>
      <c r="AJ1150" s="10">
        <f>IF(tblOrdenes[[#This Row],[orden]]="","",MAX(0,_xlfn.XLOOKUP(tblOrdenes[[#This Row],[id_operacion]],tblEjecucion[id_operacion],tblEjecucion[costo_plan_total],0)-tblOrdenes[[#This Row],[costo_servicio]]))</f>
        <v/>
      </c>
      <c r="AK1150" s="10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2">
        <f>IF(tblOrdenes[[#This Row],[fecha_inicio]]="","",TODAY()-tblOrdenes[[#This Row],[fecha_inicio]])</f>
        <v/>
      </c>
      <c r="AB1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0">
        <f>IF(tblOrdenes[[#This Row],[orden]]="","",_xlfn.XLOOKUP(tblOrdenes[[#This Row],[id_operacion]],tblEjecucion[id_operacion],tblEjecucion[precio],0))</f>
        <v/>
      </c>
      <c r="AJ1151" s="10">
        <f>IF(tblOrdenes[[#This Row],[orden]]="","",MAX(0,_xlfn.XLOOKUP(tblOrdenes[[#This Row],[id_operacion]],tblEjecucion[id_operacion],tblEjecucion[costo_plan_total],0)-tblOrdenes[[#This Row],[costo_servicio]]))</f>
        <v/>
      </c>
      <c r="AK1151" s="10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2">
        <f>IF(tblOrdenes[[#This Row],[fecha_inicio]]="","",TODAY()-tblOrdenes[[#This Row],[fecha_inicio]])</f>
        <v/>
      </c>
      <c r="AB1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0">
        <f>IF(tblOrdenes[[#This Row],[orden]]="","",_xlfn.XLOOKUP(tblOrdenes[[#This Row],[id_operacion]],tblEjecucion[id_operacion],tblEjecucion[precio],0))</f>
        <v/>
      </c>
      <c r="AJ1152" s="10">
        <f>IF(tblOrdenes[[#This Row],[orden]]="","",MAX(0,_xlfn.XLOOKUP(tblOrdenes[[#This Row],[id_operacion]],tblEjecucion[id_operacion],tblEjecucion[costo_plan_total],0)-tblOrdenes[[#This Row],[costo_servicio]]))</f>
        <v/>
      </c>
      <c r="AK1152" s="10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2">
        <f>IF(tblOrdenes[[#This Row],[fecha_inicio]]="","",TODAY()-tblOrdenes[[#This Row],[fecha_inicio]])</f>
        <v/>
      </c>
      <c r="AB1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0">
        <f>IF(tblOrdenes[[#This Row],[orden]]="","",_xlfn.XLOOKUP(tblOrdenes[[#This Row],[id_operacion]],tblEjecucion[id_operacion],tblEjecucion[precio],0))</f>
        <v/>
      </c>
      <c r="AJ1153" s="10">
        <f>IF(tblOrdenes[[#This Row],[orden]]="","",MAX(0,_xlfn.XLOOKUP(tblOrdenes[[#This Row],[id_operacion]],tblEjecucion[id_operacion],tblEjecucion[costo_plan_total],0)-tblOrdenes[[#This Row],[costo_servicio]]))</f>
        <v/>
      </c>
      <c r="AK1153" s="10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2">
        <f>IF(tblOrdenes[[#This Row],[fecha_inicio]]="","",TODAY()-tblOrdenes[[#This Row],[fecha_inicio]])</f>
        <v/>
      </c>
      <c r="AB1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0">
        <f>IF(tblOrdenes[[#This Row],[orden]]="","",_xlfn.XLOOKUP(tblOrdenes[[#This Row],[id_operacion]],tblEjecucion[id_operacion],tblEjecucion[precio],0))</f>
        <v/>
      </c>
      <c r="AJ1154" s="10">
        <f>IF(tblOrdenes[[#This Row],[orden]]="","",MAX(0,_xlfn.XLOOKUP(tblOrdenes[[#This Row],[id_operacion]],tblEjecucion[id_operacion],tblEjecucion[costo_plan_total],0)-tblOrdenes[[#This Row],[costo_servicio]]))</f>
        <v/>
      </c>
      <c r="AK1154" s="10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2">
        <f>IF(tblOrdenes[[#This Row],[fecha_inicio]]="","",TODAY()-tblOrdenes[[#This Row],[fecha_inicio]])</f>
        <v/>
      </c>
      <c r="AB1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0">
        <f>IF(tblOrdenes[[#This Row],[orden]]="","",_xlfn.XLOOKUP(tblOrdenes[[#This Row],[id_operacion]],tblEjecucion[id_operacion],tblEjecucion[precio],0))</f>
        <v/>
      </c>
      <c r="AJ1155" s="10">
        <f>IF(tblOrdenes[[#This Row],[orden]]="","",MAX(0,_xlfn.XLOOKUP(tblOrdenes[[#This Row],[id_operacion]],tblEjecucion[id_operacion],tblEjecucion[costo_plan_total],0)-tblOrdenes[[#This Row],[costo_servicio]]))</f>
        <v/>
      </c>
      <c r="AK1155" s="10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2">
        <f>IF(tblOrdenes[[#This Row],[fecha_inicio]]="","",TODAY()-tblOrdenes[[#This Row],[fecha_inicio]])</f>
        <v/>
      </c>
      <c r="AB1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0">
        <f>IF(tblOrdenes[[#This Row],[orden]]="","",_xlfn.XLOOKUP(tblOrdenes[[#This Row],[id_operacion]],tblEjecucion[id_operacion],tblEjecucion[precio],0))</f>
        <v/>
      </c>
      <c r="AJ1156" s="10">
        <f>IF(tblOrdenes[[#This Row],[orden]]="","",MAX(0,_xlfn.XLOOKUP(tblOrdenes[[#This Row],[id_operacion]],tblEjecucion[id_operacion],tblEjecucion[costo_plan_total],0)-tblOrdenes[[#This Row],[costo_servicio]]))</f>
        <v/>
      </c>
      <c r="AK1156" s="10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2">
        <f>IF(tblOrdenes[[#This Row],[fecha_inicio]]="","",TODAY()-tblOrdenes[[#This Row],[fecha_inicio]])</f>
        <v/>
      </c>
      <c r="AB1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0">
        <f>IF(tblOrdenes[[#This Row],[orden]]="","",_xlfn.XLOOKUP(tblOrdenes[[#This Row],[id_operacion]],tblEjecucion[id_operacion],tblEjecucion[precio],0))</f>
        <v/>
      </c>
      <c r="AJ1157" s="10">
        <f>IF(tblOrdenes[[#This Row],[orden]]="","",MAX(0,_xlfn.XLOOKUP(tblOrdenes[[#This Row],[id_operacion]],tblEjecucion[id_operacion],tblEjecucion[costo_plan_total],0)-tblOrdenes[[#This Row],[costo_servicio]]))</f>
        <v/>
      </c>
      <c r="AK1157" s="10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2">
        <f>IF(tblOrdenes[[#This Row],[fecha_inicio]]="","",TODAY()-tblOrdenes[[#This Row],[fecha_inicio]])</f>
        <v/>
      </c>
      <c r="AB1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0">
        <f>IF(tblOrdenes[[#This Row],[orden]]="","",_xlfn.XLOOKUP(tblOrdenes[[#This Row],[id_operacion]],tblEjecucion[id_operacion],tblEjecucion[precio],0))</f>
        <v/>
      </c>
      <c r="AJ1158" s="10">
        <f>IF(tblOrdenes[[#This Row],[orden]]="","",MAX(0,_xlfn.XLOOKUP(tblOrdenes[[#This Row],[id_operacion]],tblEjecucion[id_operacion],tblEjecucion[costo_plan_total],0)-tblOrdenes[[#This Row],[costo_servicio]]))</f>
        <v/>
      </c>
      <c r="AK1158" s="10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2">
        <f>IF(tblOrdenes[[#This Row],[fecha_inicio]]="","",TODAY()-tblOrdenes[[#This Row],[fecha_inicio]])</f>
        <v/>
      </c>
      <c r="AB1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0">
        <f>IF(tblOrdenes[[#This Row],[orden]]="","",_xlfn.XLOOKUP(tblOrdenes[[#This Row],[id_operacion]],tblEjecucion[id_operacion],tblEjecucion[precio],0))</f>
        <v/>
      </c>
      <c r="AJ1159" s="10">
        <f>IF(tblOrdenes[[#This Row],[orden]]="","",MAX(0,_xlfn.XLOOKUP(tblOrdenes[[#This Row],[id_operacion]],tblEjecucion[id_operacion],tblEjecucion[costo_plan_total],0)-tblOrdenes[[#This Row],[costo_servicio]]))</f>
        <v/>
      </c>
      <c r="AK1159" s="10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2">
        <f>IF(tblOrdenes[[#This Row],[fecha_inicio]]="","",TODAY()-tblOrdenes[[#This Row],[fecha_inicio]])</f>
        <v/>
      </c>
      <c r="AB1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0">
        <f>IF(tblOrdenes[[#This Row],[orden]]="","",_xlfn.XLOOKUP(tblOrdenes[[#This Row],[id_operacion]],tblEjecucion[id_operacion],tblEjecucion[precio],0))</f>
        <v/>
      </c>
      <c r="AJ1160" s="10">
        <f>IF(tblOrdenes[[#This Row],[orden]]="","",MAX(0,_xlfn.XLOOKUP(tblOrdenes[[#This Row],[id_operacion]],tblEjecucion[id_operacion],tblEjecucion[costo_plan_total],0)-tblOrdenes[[#This Row],[costo_servicio]]))</f>
        <v/>
      </c>
      <c r="AK1160" s="10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2">
        <f>IF(tblOrdenes[[#This Row],[fecha_inicio]]="","",TODAY()-tblOrdenes[[#This Row],[fecha_inicio]])</f>
        <v/>
      </c>
      <c r="AB1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0">
        <f>IF(tblOrdenes[[#This Row],[orden]]="","",_xlfn.XLOOKUP(tblOrdenes[[#This Row],[id_operacion]],tblEjecucion[id_operacion],tblEjecucion[precio],0))</f>
        <v/>
      </c>
      <c r="AJ1161" s="10">
        <f>IF(tblOrdenes[[#This Row],[orden]]="","",MAX(0,_xlfn.XLOOKUP(tblOrdenes[[#This Row],[id_operacion]],tblEjecucion[id_operacion],tblEjecucion[costo_plan_total],0)-tblOrdenes[[#This Row],[costo_servicio]]))</f>
        <v/>
      </c>
      <c r="AK1161" s="10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2">
        <f>IF(tblOrdenes[[#This Row],[fecha_inicio]]="","",TODAY()-tblOrdenes[[#This Row],[fecha_inicio]])</f>
        <v/>
      </c>
      <c r="AB1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0">
        <f>IF(tblOrdenes[[#This Row],[orden]]="","",_xlfn.XLOOKUP(tblOrdenes[[#This Row],[id_operacion]],tblEjecucion[id_operacion],tblEjecucion[precio],0))</f>
        <v/>
      </c>
      <c r="AJ1162" s="10">
        <f>IF(tblOrdenes[[#This Row],[orden]]="","",MAX(0,_xlfn.XLOOKUP(tblOrdenes[[#This Row],[id_operacion]],tblEjecucion[id_operacion],tblEjecucion[costo_plan_total],0)-tblOrdenes[[#This Row],[costo_servicio]]))</f>
        <v/>
      </c>
      <c r="AK1162" s="10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2">
        <f>IF(tblOrdenes[[#This Row],[fecha_inicio]]="","",TODAY()-tblOrdenes[[#This Row],[fecha_inicio]])</f>
        <v/>
      </c>
      <c r="AB1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0">
        <f>IF(tblOrdenes[[#This Row],[orden]]="","",_xlfn.XLOOKUP(tblOrdenes[[#This Row],[id_operacion]],tblEjecucion[id_operacion],tblEjecucion[precio],0))</f>
        <v/>
      </c>
      <c r="AJ1163" s="10">
        <f>IF(tblOrdenes[[#This Row],[orden]]="","",MAX(0,_xlfn.XLOOKUP(tblOrdenes[[#This Row],[id_operacion]],tblEjecucion[id_operacion],tblEjecucion[costo_plan_total],0)-tblOrdenes[[#This Row],[costo_servicio]]))</f>
        <v/>
      </c>
      <c r="AK1163" s="10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2">
        <f>IF(tblOrdenes[[#This Row],[fecha_inicio]]="","",TODAY()-tblOrdenes[[#This Row],[fecha_inicio]])</f>
        <v/>
      </c>
      <c r="AB1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0">
        <f>IF(tblOrdenes[[#This Row],[orden]]="","",_xlfn.XLOOKUP(tblOrdenes[[#This Row],[id_operacion]],tblEjecucion[id_operacion],tblEjecucion[precio],0))</f>
        <v/>
      </c>
      <c r="AJ1164" s="10">
        <f>IF(tblOrdenes[[#This Row],[orden]]="","",MAX(0,_xlfn.XLOOKUP(tblOrdenes[[#This Row],[id_operacion]],tblEjecucion[id_operacion],tblEjecucion[costo_plan_total],0)-tblOrdenes[[#This Row],[costo_servicio]]))</f>
        <v/>
      </c>
      <c r="AK1164" s="10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2">
        <f>IF(tblOrdenes[[#This Row],[fecha_inicio]]="","",TODAY()-tblOrdenes[[#This Row],[fecha_inicio]])</f>
        <v/>
      </c>
      <c r="AB1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0">
        <f>IF(tblOrdenes[[#This Row],[orden]]="","",_xlfn.XLOOKUP(tblOrdenes[[#This Row],[id_operacion]],tblEjecucion[id_operacion],tblEjecucion[precio],0))</f>
        <v/>
      </c>
      <c r="AJ1165" s="10">
        <f>IF(tblOrdenes[[#This Row],[orden]]="","",MAX(0,_xlfn.XLOOKUP(tblOrdenes[[#This Row],[id_operacion]],tblEjecucion[id_operacion],tblEjecucion[costo_plan_total],0)-tblOrdenes[[#This Row],[costo_servicio]]))</f>
        <v/>
      </c>
      <c r="AK1165" s="10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2">
        <f>IF(tblOrdenes[[#This Row],[fecha_inicio]]="","",TODAY()-tblOrdenes[[#This Row],[fecha_inicio]])</f>
        <v/>
      </c>
      <c r="AB1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0">
        <f>IF(tblOrdenes[[#This Row],[orden]]="","",_xlfn.XLOOKUP(tblOrdenes[[#This Row],[id_operacion]],tblEjecucion[id_operacion],tblEjecucion[precio],0))</f>
        <v/>
      </c>
      <c r="AJ1166" s="10">
        <f>IF(tblOrdenes[[#This Row],[orden]]="","",MAX(0,_xlfn.XLOOKUP(tblOrdenes[[#This Row],[id_operacion]],tblEjecucion[id_operacion],tblEjecucion[costo_plan_total],0)-tblOrdenes[[#This Row],[costo_servicio]]))</f>
        <v/>
      </c>
      <c r="AK1166" s="10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2">
        <f>IF(tblOrdenes[[#This Row],[fecha_inicio]]="","",TODAY()-tblOrdenes[[#This Row],[fecha_inicio]])</f>
        <v/>
      </c>
      <c r="AB1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0">
        <f>IF(tblOrdenes[[#This Row],[orden]]="","",_xlfn.XLOOKUP(tblOrdenes[[#This Row],[id_operacion]],tblEjecucion[id_operacion],tblEjecucion[precio],0))</f>
        <v/>
      </c>
      <c r="AJ1167" s="10">
        <f>IF(tblOrdenes[[#This Row],[orden]]="","",MAX(0,_xlfn.XLOOKUP(tblOrdenes[[#This Row],[id_operacion]],tblEjecucion[id_operacion],tblEjecucion[costo_plan_total],0)-tblOrdenes[[#This Row],[costo_servicio]]))</f>
        <v/>
      </c>
      <c r="AK1167" s="10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2">
        <f>IF(tblOrdenes[[#This Row],[fecha_inicio]]="","",TODAY()-tblOrdenes[[#This Row],[fecha_inicio]])</f>
        <v/>
      </c>
      <c r="AB1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0">
        <f>IF(tblOrdenes[[#This Row],[orden]]="","",_xlfn.XLOOKUP(tblOrdenes[[#This Row],[id_operacion]],tblEjecucion[id_operacion],tblEjecucion[precio],0))</f>
        <v/>
      </c>
      <c r="AJ1168" s="10">
        <f>IF(tblOrdenes[[#This Row],[orden]]="","",MAX(0,_xlfn.XLOOKUP(tblOrdenes[[#This Row],[id_operacion]],tblEjecucion[id_operacion],tblEjecucion[costo_plan_total],0)-tblOrdenes[[#This Row],[costo_servicio]]))</f>
        <v/>
      </c>
      <c r="AK1168" s="10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2">
        <f>IF(tblOrdenes[[#This Row],[fecha_inicio]]="","",TODAY()-tblOrdenes[[#This Row],[fecha_inicio]])</f>
        <v/>
      </c>
      <c r="AB1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0">
        <f>IF(tblOrdenes[[#This Row],[orden]]="","",_xlfn.XLOOKUP(tblOrdenes[[#This Row],[id_operacion]],tblEjecucion[id_operacion],tblEjecucion[precio],0))</f>
        <v/>
      </c>
      <c r="AJ1169" s="10">
        <f>IF(tblOrdenes[[#This Row],[orden]]="","",MAX(0,_xlfn.XLOOKUP(tblOrdenes[[#This Row],[id_operacion]],tblEjecucion[id_operacion],tblEjecucion[costo_plan_total],0)-tblOrdenes[[#This Row],[costo_servicio]]))</f>
        <v/>
      </c>
      <c r="AK1169" s="10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2">
        <f>IF(tblOrdenes[[#This Row],[fecha_inicio]]="","",TODAY()-tblOrdenes[[#This Row],[fecha_inicio]])</f>
        <v/>
      </c>
      <c r="AB1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0">
        <f>IF(tblOrdenes[[#This Row],[orden]]="","",_xlfn.XLOOKUP(tblOrdenes[[#This Row],[id_operacion]],tblEjecucion[id_operacion],tblEjecucion[precio],0))</f>
        <v/>
      </c>
      <c r="AJ1170" s="10">
        <f>IF(tblOrdenes[[#This Row],[orden]]="","",MAX(0,_xlfn.XLOOKUP(tblOrdenes[[#This Row],[id_operacion]],tblEjecucion[id_operacion],tblEjecucion[costo_plan_total],0)-tblOrdenes[[#This Row],[costo_servicio]]))</f>
        <v/>
      </c>
      <c r="AK1170" s="10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2">
        <f>IF(tblOrdenes[[#This Row],[fecha_inicio]]="","",TODAY()-tblOrdenes[[#This Row],[fecha_inicio]])</f>
        <v/>
      </c>
      <c r="AB1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0">
        <f>IF(tblOrdenes[[#This Row],[orden]]="","",_xlfn.XLOOKUP(tblOrdenes[[#This Row],[id_operacion]],tblEjecucion[id_operacion],tblEjecucion[precio],0))</f>
        <v/>
      </c>
      <c r="AJ1171" s="10">
        <f>IF(tblOrdenes[[#This Row],[orden]]="","",MAX(0,_xlfn.XLOOKUP(tblOrdenes[[#This Row],[id_operacion]],tblEjecucion[id_operacion],tblEjecucion[costo_plan_total],0)-tblOrdenes[[#This Row],[costo_servicio]]))</f>
        <v/>
      </c>
      <c r="AK1171" s="10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2">
        <f>IF(tblOrdenes[[#This Row],[fecha_inicio]]="","",TODAY()-tblOrdenes[[#This Row],[fecha_inicio]])</f>
        <v/>
      </c>
      <c r="AB1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0">
        <f>IF(tblOrdenes[[#This Row],[orden]]="","",_xlfn.XLOOKUP(tblOrdenes[[#This Row],[id_operacion]],tblEjecucion[id_operacion],tblEjecucion[precio],0))</f>
        <v/>
      </c>
      <c r="AJ1172" s="10">
        <f>IF(tblOrdenes[[#This Row],[orden]]="","",MAX(0,_xlfn.XLOOKUP(tblOrdenes[[#This Row],[id_operacion]],tblEjecucion[id_operacion],tblEjecucion[costo_plan_total],0)-tblOrdenes[[#This Row],[costo_servicio]]))</f>
        <v/>
      </c>
      <c r="AK1172" s="10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2">
        <f>IF(tblOrdenes[[#This Row],[fecha_inicio]]="","",TODAY()-tblOrdenes[[#This Row],[fecha_inicio]])</f>
        <v/>
      </c>
      <c r="AB1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0">
        <f>IF(tblOrdenes[[#This Row],[orden]]="","",_xlfn.XLOOKUP(tblOrdenes[[#This Row],[id_operacion]],tblEjecucion[id_operacion],tblEjecucion[precio],0))</f>
        <v/>
      </c>
      <c r="AJ1173" s="10">
        <f>IF(tblOrdenes[[#This Row],[orden]]="","",MAX(0,_xlfn.XLOOKUP(tblOrdenes[[#This Row],[id_operacion]],tblEjecucion[id_operacion],tblEjecucion[costo_plan_total],0)-tblOrdenes[[#This Row],[costo_servicio]]))</f>
        <v/>
      </c>
      <c r="AK1173" s="10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2">
        <f>IF(tblOrdenes[[#This Row],[fecha_inicio]]="","",TODAY()-tblOrdenes[[#This Row],[fecha_inicio]])</f>
        <v/>
      </c>
      <c r="AB1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0">
        <f>IF(tblOrdenes[[#This Row],[orden]]="","",_xlfn.XLOOKUP(tblOrdenes[[#This Row],[id_operacion]],tblEjecucion[id_operacion],tblEjecucion[precio],0))</f>
        <v/>
      </c>
      <c r="AJ1174" s="10">
        <f>IF(tblOrdenes[[#This Row],[orden]]="","",MAX(0,_xlfn.XLOOKUP(tblOrdenes[[#This Row],[id_operacion]],tblEjecucion[id_operacion],tblEjecucion[costo_plan_total],0)-tblOrdenes[[#This Row],[costo_servicio]]))</f>
        <v/>
      </c>
      <c r="AK1174" s="10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2">
        <f>IF(tblOrdenes[[#This Row],[fecha_inicio]]="","",TODAY()-tblOrdenes[[#This Row],[fecha_inicio]])</f>
        <v/>
      </c>
      <c r="AB1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0">
        <f>IF(tblOrdenes[[#This Row],[orden]]="","",_xlfn.XLOOKUP(tblOrdenes[[#This Row],[id_operacion]],tblEjecucion[id_operacion],tblEjecucion[precio],0))</f>
        <v/>
      </c>
      <c r="AJ1175" s="10">
        <f>IF(tblOrdenes[[#This Row],[orden]]="","",MAX(0,_xlfn.XLOOKUP(tblOrdenes[[#This Row],[id_operacion]],tblEjecucion[id_operacion],tblEjecucion[costo_plan_total],0)-tblOrdenes[[#This Row],[costo_servicio]]))</f>
        <v/>
      </c>
      <c r="AK1175" s="10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2">
        <f>IF(tblOrdenes[[#This Row],[fecha_inicio]]="","",TODAY()-tblOrdenes[[#This Row],[fecha_inicio]])</f>
        <v/>
      </c>
      <c r="AB1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0">
        <f>IF(tblOrdenes[[#This Row],[orden]]="","",_xlfn.XLOOKUP(tblOrdenes[[#This Row],[id_operacion]],tblEjecucion[id_operacion],tblEjecucion[precio],0))</f>
        <v/>
      </c>
      <c r="AJ1176" s="10">
        <f>IF(tblOrdenes[[#This Row],[orden]]="","",MAX(0,_xlfn.XLOOKUP(tblOrdenes[[#This Row],[id_operacion]],tblEjecucion[id_operacion],tblEjecucion[costo_plan_total],0)-tblOrdenes[[#This Row],[costo_servicio]]))</f>
        <v/>
      </c>
      <c r="AK1176" s="10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2">
        <f>IF(tblOrdenes[[#This Row],[fecha_inicio]]="","",TODAY()-tblOrdenes[[#This Row],[fecha_inicio]])</f>
        <v/>
      </c>
      <c r="AB1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0">
        <f>IF(tblOrdenes[[#This Row],[orden]]="","",_xlfn.XLOOKUP(tblOrdenes[[#This Row],[id_operacion]],tblEjecucion[id_operacion],tblEjecucion[precio],0))</f>
        <v/>
      </c>
      <c r="AJ1177" s="10">
        <f>IF(tblOrdenes[[#This Row],[orden]]="","",MAX(0,_xlfn.XLOOKUP(tblOrdenes[[#This Row],[id_operacion]],tblEjecucion[id_operacion],tblEjecucion[costo_plan_total],0)-tblOrdenes[[#This Row],[costo_servicio]]))</f>
        <v/>
      </c>
      <c r="AK1177" s="10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2">
        <f>IF(tblOrdenes[[#This Row],[fecha_inicio]]="","",TODAY()-tblOrdenes[[#This Row],[fecha_inicio]])</f>
        <v/>
      </c>
      <c r="AB1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0">
        <f>IF(tblOrdenes[[#This Row],[orden]]="","",_xlfn.XLOOKUP(tblOrdenes[[#This Row],[id_operacion]],tblEjecucion[id_operacion],tblEjecucion[precio],0))</f>
        <v/>
      </c>
      <c r="AJ1178" s="10">
        <f>IF(tblOrdenes[[#This Row],[orden]]="","",MAX(0,_xlfn.XLOOKUP(tblOrdenes[[#This Row],[id_operacion]],tblEjecucion[id_operacion],tblEjecucion[costo_plan_total],0)-tblOrdenes[[#This Row],[costo_servicio]]))</f>
        <v/>
      </c>
      <c r="AK1178" s="10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2">
        <f>IF(tblOrdenes[[#This Row],[fecha_inicio]]="","",TODAY()-tblOrdenes[[#This Row],[fecha_inicio]])</f>
        <v/>
      </c>
      <c r="AB1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0">
        <f>IF(tblOrdenes[[#This Row],[orden]]="","",_xlfn.XLOOKUP(tblOrdenes[[#This Row],[id_operacion]],tblEjecucion[id_operacion],tblEjecucion[precio],0))</f>
        <v/>
      </c>
      <c r="AJ1179" s="10">
        <f>IF(tblOrdenes[[#This Row],[orden]]="","",MAX(0,_xlfn.XLOOKUP(tblOrdenes[[#This Row],[id_operacion]],tblEjecucion[id_operacion],tblEjecucion[costo_plan_total],0)-tblOrdenes[[#This Row],[costo_servicio]]))</f>
        <v/>
      </c>
      <c r="AK1179" s="10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2">
        <f>IF(tblOrdenes[[#This Row],[fecha_inicio]]="","",TODAY()-tblOrdenes[[#This Row],[fecha_inicio]])</f>
        <v/>
      </c>
      <c r="AB1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0">
        <f>IF(tblOrdenes[[#This Row],[orden]]="","",_xlfn.XLOOKUP(tblOrdenes[[#This Row],[id_operacion]],tblEjecucion[id_operacion],tblEjecucion[precio],0))</f>
        <v/>
      </c>
      <c r="AJ1180" s="10">
        <f>IF(tblOrdenes[[#This Row],[orden]]="","",MAX(0,_xlfn.XLOOKUP(tblOrdenes[[#This Row],[id_operacion]],tblEjecucion[id_operacion],tblEjecucion[costo_plan_total],0)-tblOrdenes[[#This Row],[costo_servicio]]))</f>
        <v/>
      </c>
      <c r="AK1180" s="10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2">
        <f>IF(tblOrdenes[[#This Row],[fecha_inicio]]="","",TODAY()-tblOrdenes[[#This Row],[fecha_inicio]])</f>
        <v/>
      </c>
      <c r="AB1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0">
        <f>IF(tblOrdenes[[#This Row],[orden]]="","",_xlfn.XLOOKUP(tblOrdenes[[#This Row],[id_operacion]],tblEjecucion[id_operacion],tblEjecucion[precio],0))</f>
        <v/>
      </c>
      <c r="AJ1181" s="10">
        <f>IF(tblOrdenes[[#This Row],[orden]]="","",MAX(0,_xlfn.XLOOKUP(tblOrdenes[[#This Row],[id_operacion]],tblEjecucion[id_operacion],tblEjecucion[costo_plan_total],0)-tblOrdenes[[#This Row],[costo_servicio]]))</f>
        <v/>
      </c>
      <c r="AK1181" s="10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2">
        <f>IF(tblOrdenes[[#This Row],[fecha_inicio]]="","",TODAY()-tblOrdenes[[#This Row],[fecha_inicio]])</f>
        <v/>
      </c>
      <c r="AB1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0">
        <f>IF(tblOrdenes[[#This Row],[orden]]="","",_xlfn.XLOOKUP(tblOrdenes[[#This Row],[id_operacion]],tblEjecucion[id_operacion],tblEjecucion[precio],0))</f>
        <v/>
      </c>
      <c r="AJ1182" s="10">
        <f>IF(tblOrdenes[[#This Row],[orden]]="","",MAX(0,_xlfn.XLOOKUP(tblOrdenes[[#This Row],[id_operacion]],tblEjecucion[id_operacion],tblEjecucion[costo_plan_total],0)-tblOrdenes[[#This Row],[costo_servicio]]))</f>
        <v/>
      </c>
      <c r="AK1182" s="10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2">
        <f>IF(tblOrdenes[[#This Row],[fecha_inicio]]="","",TODAY()-tblOrdenes[[#This Row],[fecha_inicio]])</f>
        <v/>
      </c>
      <c r="AB1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0">
        <f>IF(tblOrdenes[[#This Row],[orden]]="","",_xlfn.XLOOKUP(tblOrdenes[[#This Row],[id_operacion]],tblEjecucion[id_operacion],tblEjecucion[precio],0))</f>
        <v/>
      </c>
      <c r="AJ1183" s="10">
        <f>IF(tblOrdenes[[#This Row],[orden]]="","",MAX(0,_xlfn.XLOOKUP(tblOrdenes[[#This Row],[id_operacion]],tblEjecucion[id_operacion],tblEjecucion[costo_plan_total],0)-tblOrdenes[[#This Row],[costo_servicio]]))</f>
        <v/>
      </c>
      <c r="AK1183" s="10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2">
        <f>IF(tblOrdenes[[#This Row],[fecha_inicio]]="","",TODAY()-tblOrdenes[[#This Row],[fecha_inicio]])</f>
        <v/>
      </c>
      <c r="AB1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0">
        <f>IF(tblOrdenes[[#This Row],[orden]]="","",_xlfn.XLOOKUP(tblOrdenes[[#This Row],[id_operacion]],tblEjecucion[id_operacion],tblEjecucion[precio],0))</f>
        <v/>
      </c>
      <c r="AJ1184" s="10">
        <f>IF(tblOrdenes[[#This Row],[orden]]="","",MAX(0,_xlfn.XLOOKUP(tblOrdenes[[#This Row],[id_operacion]],tblEjecucion[id_operacion],tblEjecucion[costo_plan_total],0)-tblOrdenes[[#This Row],[costo_servicio]]))</f>
        <v/>
      </c>
      <c r="AK1184" s="10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2">
        <f>IF(tblOrdenes[[#This Row],[fecha_inicio]]="","",TODAY()-tblOrdenes[[#This Row],[fecha_inicio]])</f>
        <v/>
      </c>
      <c r="AB1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0">
        <f>IF(tblOrdenes[[#This Row],[orden]]="","",_xlfn.XLOOKUP(tblOrdenes[[#This Row],[id_operacion]],tblEjecucion[id_operacion],tblEjecucion[precio],0))</f>
        <v/>
      </c>
      <c r="AJ1185" s="10">
        <f>IF(tblOrdenes[[#This Row],[orden]]="","",MAX(0,_xlfn.XLOOKUP(tblOrdenes[[#This Row],[id_operacion]],tblEjecucion[id_operacion],tblEjecucion[costo_plan_total],0)-tblOrdenes[[#This Row],[costo_servicio]]))</f>
        <v/>
      </c>
      <c r="AK1185" s="10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2">
        <f>IF(tblOrdenes[[#This Row],[fecha_inicio]]="","",TODAY()-tblOrdenes[[#This Row],[fecha_inicio]])</f>
        <v/>
      </c>
      <c r="AB1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0">
        <f>IF(tblOrdenes[[#This Row],[orden]]="","",_xlfn.XLOOKUP(tblOrdenes[[#This Row],[id_operacion]],tblEjecucion[id_operacion],tblEjecucion[precio],0))</f>
        <v/>
      </c>
      <c r="AJ1186" s="10">
        <f>IF(tblOrdenes[[#This Row],[orden]]="","",MAX(0,_xlfn.XLOOKUP(tblOrdenes[[#This Row],[id_operacion]],tblEjecucion[id_operacion],tblEjecucion[costo_plan_total],0)-tblOrdenes[[#This Row],[costo_servicio]]))</f>
        <v/>
      </c>
      <c r="AK1186" s="10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2">
        <f>IF(tblOrdenes[[#This Row],[fecha_inicio]]="","",TODAY()-tblOrdenes[[#This Row],[fecha_inicio]])</f>
        <v/>
      </c>
      <c r="AB1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0">
        <f>IF(tblOrdenes[[#This Row],[orden]]="","",_xlfn.XLOOKUP(tblOrdenes[[#This Row],[id_operacion]],tblEjecucion[id_operacion],tblEjecucion[precio],0))</f>
        <v/>
      </c>
      <c r="AJ1187" s="10">
        <f>IF(tblOrdenes[[#This Row],[orden]]="","",MAX(0,_xlfn.XLOOKUP(tblOrdenes[[#This Row],[id_operacion]],tblEjecucion[id_operacion],tblEjecucion[costo_plan_total],0)-tblOrdenes[[#This Row],[costo_servicio]]))</f>
        <v/>
      </c>
      <c r="AK1187" s="10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2">
        <f>IF(tblOrdenes[[#This Row],[fecha_inicio]]="","",TODAY()-tblOrdenes[[#This Row],[fecha_inicio]])</f>
        <v/>
      </c>
      <c r="AB1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0">
        <f>IF(tblOrdenes[[#This Row],[orden]]="","",_xlfn.XLOOKUP(tblOrdenes[[#This Row],[id_operacion]],tblEjecucion[id_operacion],tblEjecucion[precio],0))</f>
        <v/>
      </c>
      <c r="AJ1188" s="10">
        <f>IF(tblOrdenes[[#This Row],[orden]]="","",MAX(0,_xlfn.XLOOKUP(tblOrdenes[[#This Row],[id_operacion]],tblEjecucion[id_operacion],tblEjecucion[costo_plan_total],0)-tblOrdenes[[#This Row],[costo_servicio]]))</f>
        <v/>
      </c>
      <c r="AK1188" s="10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2">
        <f>IF(tblOrdenes[[#This Row],[fecha_inicio]]="","",TODAY()-tblOrdenes[[#This Row],[fecha_inicio]])</f>
        <v/>
      </c>
      <c r="AB1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0">
        <f>IF(tblOrdenes[[#This Row],[orden]]="","",_xlfn.XLOOKUP(tblOrdenes[[#This Row],[id_operacion]],tblEjecucion[id_operacion],tblEjecucion[precio],0))</f>
        <v/>
      </c>
      <c r="AJ1189" s="10">
        <f>IF(tblOrdenes[[#This Row],[orden]]="","",MAX(0,_xlfn.XLOOKUP(tblOrdenes[[#This Row],[id_operacion]],tblEjecucion[id_operacion],tblEjecucion[costo_plan_total],0)-tblOrdenes[[#This Row],[costo_servicio]]))</f>
        <v/>
      </c>
      <c r="AK1189" s="10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2">
        <f>IF(tblOrdenes[[#This Row],[fecha_inicio]]="","",TODAY()-tblOrdenes[[#This Row],[fecha_inicio]])</f>
        <v/>
      </c>
      <c r="AB1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0">
        <f>IF(tblOrdenes[[#This Row],[orden]]="","",_xlfn.XLOOKUP(tblOrdenes[[#This Row],[id_operacion]],tblEjecucion[id_operacion],tblEjecucion[precio],0))</f>
        <v/>
      </c>
      <c r="AJ1190" s="10">
        <f>IF(tblOrdenes[[#This Row],[orden]]="","",MAX(0,_xlfn.XLOOKUP(tblOrdenes[[#This Row],[id_operacion]],tblEjecucion[id_operacion],tblEjecucion[costo_plan_total],0)-tblOrdenes[[#This Row],[costo_servicio]]))</f>
        <v/>
      </c>
      <c r="AK1190" s="10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2">
        <f>IF(tblOrdenes[[#This Row],[fecha_inicio]]="","",TODAY()-tblOrdenes[[#This Row],[fecha_inicio]])</f>
        <v/>
      </c>
      <c r="AB1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0">
        <f>IF(tblOrdenes[[#This Row],[orden]]="","",_xlfn.XLOOKUP(tblOrdenes[[#This Row],[id_operacion]],tblEjecucion[id_operacion],tblEjecucion[precio],0))</f>
        <v/>
      </c>
      <c r="AJ1191" s="10">
        <f>IF(tblOrdenes[[#This Row],[orden]]="","",MAX(0,_xlfn.XLOOKUP(tblOrdenes[[#This Row],[id_operacion]],tblEjecucion[id_operacion],tblEjecucion[costo_plan_total],0)-tblOrdenes[[#This Row],[costo_servicio]]))</f>
        <v/>
      </c>
      <c r="AK1191" s="10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2">
        <f>IF(tblOrdenes[[#This Row],[fecha_inicio]]="","",TODAY()-tblOrdenes[[#This Row],[fecha_inicio]])</f>
        <v/>
      </c>
      <c r="AB1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0">
        <f>IF(tblOrdenes[[#This Row],[orden]]="","",_xlfn.XLOOKUP(tblOrdenes[[#This Row],[id_operacion]],tblEjecucion[id_operacion],tblEjecucion[precio],0))</f>
        <v/>
      </c>
      <c r="AJ1192" s="10">
        <f>IF(tblOrdenes[[#This Row],[orden]]="","",MAX(0,_xlfn.XLOOKUP(tblOrdenes[[#This Row],[id_operacion]],tblEjecucion[id_operacion],tblEjecucion[costo_plan_total],0)-tblOrdenes[[#This Row],[costo_servicio]]))</f>
        <v/>
      </c>
      <c r="AK1192" s="10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2">
        <f>IF(tblOrdenes[[#This Row],[fecha_inicio]]="","",TODAY()-tblOrdenes[[#This Row],[fecha_inicio]])</f>
        <v/>
      </c>
      <c r="AB1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0">
        <f>IF(tblOrdenes[[#This Row],[orden]]="","",_xlfn.XLOOKUP(tblOrdenes[[#This Row],[id_operacion]],tblEjecucion[id_operacion],tblEjecucion[precio],0))</f>
        <v/>
      </c>
      <c r="AJ1193" s="10">
        <f>IF(tblOrdenes[[#This Row],[orden]]="","",MAX(0,_xlfn.XLOOKUP(tblOrdenes[[#This Row],[id_operacion]],tblEjecucion[id_operacion],tblEjecucion[costo_plan_total],0)-tblOrdenes[[#This Row],[costo_servicio]]))</f>
        <v/>
      </c>
      <c r="AK1193" s="10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2">
        <f>IF(tblOrdenes[[#This Row],[fecha_inicio]]="","",TODAY()-tblOrdenes[[#This Row],[fecha_inicio]])</f>
        <v/>
      </c>
      <c r="AB1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0">
        <f>IF(tblOrdenes[[#This Row],[orden]]="","",_xlfn.XLOOKUP(tblOrdenes[[#This Row],[id_operacion]],tblEjecucion[id_operacion],tblEjecucion[precio],0))</f>
        <v/>
      </c>
      <c r="AJ1194" s="10">
        <f>IF(tblOrdenes[[#This Row],[orden]]="","",MAX(0,_xlfn.XLOOKUP(tblOrdenes[[#This Row],[id_operacion]],tblEjecucion[id_operacion],tblEjecucion[costo_plan_total],0)-tblOrdenes[[#This Row],[costo_servicio]]))</f>
        <v/>
      </c>
      <c r="AK1194" s="10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2">
        <f>IF(tblOrdenes[[#This Row],[fecha_inicio]]="","",TODAY()-tblOrdenes[[#This Row],[fecha_inicio]])</f>
        <v/>
      </c>
      <c r="AB1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0">
        <f>IF(tblOrdenes[[#This Row],[orden]]="","",_xlfn.XLOOKUP(tblOrdenes[[#This Row],[id_operacion]],tblEjecucion[id_operacion],tblEjecucion[precio],0))</f>
        <v/>
      </c>
      <c r="AJ1195" s="10">
        <f>IF(tblOrdenes[[#This Row],[orden]]="","",MAX(0,_xlfn.XLOOKUP(tblOrdenes[[#This Row],[id_operacion]],tblEjecucion[id_operacion],tblEjecucion[costo_plan_total],0)-tblOrdenes[[#This Row],[costo_servicio]]))</f>
        <v/>
      </c>
      <c r="AK1195" s="10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2">
        <f>IF(tblOrdenes[[#This Row],[fecha_inicio]]="","",TODAY()-tblOrdenes[[#This Row],[fecha_inicio]])</f>
        <v/>
      </c>
      <c r="AB1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0">
        <f>IF(tblOrdenes[[#This Row],[orden]]="","",_xlfn.XLOOKUP(tblOrdenes[[#This Row],[id_operacion]],tblEjecucion[id_operacion],tblEjecucion[precio],0))</f>
        <v/>
      </c>
      <c r="AJ1196" s="10">
        <f>IF(tblOrdenes[[#This Row],[orden]]="","",MAX(0,_xlfn.XLOOKUP(tblOrdenes[[#This Row],[id_operacion]],tblEjecucion[id_operacion],tblEjecucion[costo_plan_total],0)-tblOrdenes[[#This Row],[costo_servicio]]))</f>
        <v/>
      </c>
      <c r="AK1196" s="10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2">
        <f>IF(tblOrdenes[[#This Row],[fecha_inicio]]="","",TODAY()-tblOrdenes[[#This Row],[fecha_inicio]])</f>
        <v/>
      </c>
      <c r="AB1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0">
        <f>IF(tblOrdenes[[#This Row],[orden]]="","",_xlfn.XLOOKUP(tblOrdenes[[#This Row],[id_operacion]],tblEjecucion[id_operacion],tblEjecucion[precio],0))</f>
        <v/>
      </c>
      <c r="AJ1197" s="10">
        <f>IF(tblOrdenes[[#This Row],[orden]]="","",MAX(0,_xlfn.XLOOKUP(tblOrdenes[[#This Row],[id_operacion]],tblEjecucion[id_operacion],tblEjecucion[costo_plan_total],0)-tblOrdenes[[#This Row],[costo_servicio]]))</f>
        <v/>
      </c>
      <c r="AK1197" s="10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2">
        <f>IF(tblOrdenes[[#This Row],[fecha_inicio]]="","",TODAY()-tblOrdenes[[#This Row],[fecha_inicio]])</f>
        <v/>
      </c>
      <c r="AB1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0">
        <f>IF(tblOrdenes[[#This Row],[orden]]="","",_xlfn.XLOOKUP(tblOrdenes[[#This Row],[id_operacion]],tblEjecucion[id_operacion],tblEjecucion[precio],0))</f>
        <v/>
      </c>
      <c r="AJ1198" s="10">
        <f>IF(tblOrdenes[[#This Row],[orden]]="","",MAX(0,_xlfn.XLOOKUP(tblOrdenes[[#This Row],[id_operacion]],tblEjecucion[id_operacion],tblEjecucion[costo_plan_total],0)-tblOrdenes[[#This Row],[costo_servicio]]))</f>
        <v/>
      </c>
      <c r="AK1198" s="10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2">
        <f>IF(tblOrdenes[[#This Row],[fecha_inicio]]="","",TODAY()-tblOrdenes[[#This Row],[fecha_inicio]])</f>
        <v/>
      </c>
      <c r="AB1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0">
        <f>IF(tblOrdenes[[#This Row],[orden]]="","",_xlfn.XLOOKUP(tblOrdenes[[#This Row],[id_operacion]],tblEjecucion[id_operacion],tblEjecucion[precio],0))</f>
        <v/>
      </c>
      <c r="AJ1199" s="10">
        <f>IF(tblOrdenes[[#This Row],[orden]]="","",MAX(0,_xlfn.XLOOKUP(tblOrdenes[[#This Row],[id_operacion]],tblEjecucion[id_operacion],tblEjecucion[costo_plan_total],0)-tblOrdenes[[#This Row],[costo_servicio]]))</f>
        <v/>
      </c>
      <c r="AK1199" s="10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2">
        <f>IF(tblOrdenes[[#This Row],[fecha_inicio]]="","",TODAY()-tblOrdenes[[#This Row],[fecha_inicio]])</f>
        <v/>
      </c>
      <c r="AB1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0">
        <f>IF(tblOrdenes[[#This Row],[orden]]="","",_xlfn.XLOOKUP(tblOrdenes[[#This Row],[id_operacion]],tblEjecucion[id_operacion],tblEjecucion[precio],0))</f>
        <v/>
      </c>
      <c r="AJ1200" s="10">
        <f>IF(tblOrdenes[[#This Row],[orden]]="","",MAX(0,_xlfn.XLOOKUP(tblOrdenes[[#This Row],[id_operacion]],tblEjecucion[id_operacion],tblEjecucion[costo_plan_total],0)-tblOrdenes[[#This Row],[costo_servicio]]))</f>
        <v/>
      </c>
      <c r="AK1200" s="10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2">
        <f>IF(tblOrdenes[[#This Row],[fecha_inicio]]="","",TODAY()-tblOrdenes[[#This Row],[fecha_inicio]])</f>
        <v/>
      </c>
      <c r="AB1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0">
        <f>IF(tblOrdenes[[#This Row],[orden]]="","",_xlfn.XLOOKUP(tblOrdenes[[#This Row],[id_operacion]],tblEjecucion[id_operacion],tblEjecucion[precio],0))</f>
        <v/>
      </c>
      <c r="AJ1201" s="10">
        <f>IF(tblOrdenes[[#This Row],[orden]]="","",MAX(0,_xlfn.XLOOKUP(tblOrdenes[[#This Row],[id_operacion]],tblEjecucion[id_operacion],tblEjecucion[costo_plan_total],0)-tblOrdenes[[#This Row],[costo_servicio]]))</f>
        <v/>
      </c>
      <c r="AK1201" s="10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2">
        <f>IF(tblOrdenes[[#This Row],[fecha_inicio]]="","",TODAY()-tblOrdenes[[#This Row],[fecha_inicio]])</f>
        <v/>
      </c>
      <c r="AB1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0">
        <f>IF(tblOrdenes[[#This Row],[orden]]="","",_xlfn.XLOOKUP(tblOrdenes[[#This Row],[id_operacion]],tblEjecucion[id_operacion],tblEjecucion[precio],0))</f>
        <v/>
      </c>
      <c r="AJ1202" s="10">
        <f>IF(tblOrdenes[[#This Row],[orden]]="","",MAX(0,_xlfn.XLOOKUP(tblOrdenes[[#This Row],[id_operacion]],tblEjecucion[id_operacion],tblEjecucion[costo_plan_total],0)-tblOrdenes[[#This Row],[costo_servicio]]))</f>
        <v/>
      </c>
      <c r="AK1202" s="10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2">
        <f>IF(tblOrdenes[[#This Row],[fecha_inicio]]="","",TODAY()-tblOrdenes[[#This Row],[fecha_inicio]])</f>
        <v/>
      </c>
      <c r="AB1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0">
        <f>IF(tblOrdenes[[#This Row],[orden]]="","",_xlfn.XLOOKUP(tblOrdenes[[#This Row],[id_operacion]],tblEjecucion[id_operacion],tblEjecucion[precio],0))</f>
        <v/>
      </c>
      <c r="AJ1203" s="10">
        <f>IF(tblOrdenes[[#This Row],[orden]]="","",MAX(0,_xlfn.XLOOKUP(tblOrdenes[[#This Row],[id_operacion]],tblEjecucion[id_operacion],tblEjecucion[costo_plan_total],0)-tblOrdenes[[#This Row],[costo_servicio]]))</f>
        <v/>
      </c>
      <c r="AK1203" s="10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L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  <col width="11" customWidth="1" min="11" max="11"/>
    <col width="11" customWidth="1" min="12" max="12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  <c r="K3" s="5" t="inlineStr">
        <is>
          <t>hora_inicio</t>
        </is>
      </c>
      <c r="L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" s="3">
        <f>tblAsignaciones[[#This Row],[semana]]&amp;"|"&amp;tblAsignaciones[[#This Row],[dia]]&amp;"|"&amp;tblAsignaciones[[#This Row],[tecnico]]</f>
        <v/>
      </c>
      <c r="K4" s="3">
        <f>_xlfn.XLOOKUP(tblAsignaciones[[#This Row],[turno]],tblTurnos[turno],tblTurnos[hora_inicio],"")</f>
        <v/>
      </c>
      <c r="L4" s="3">
        <f>_xlfn.XLOOKUP(tblAsignaciones[[#This Row],[turno]],tblTurnos[turno],tblTurnos[hora_fin],"")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" s="3">
        <f>tblAsignaciones[[#This Row],[semana]]&amp;"|"&amp;tblAsignaciones[[#This Row],[dia]]&amp;"|"&amp;tblAsignaciones[[#This Row],[tecnico]]</f>
        <v/>
      </c>
      <c r="K5" s="3">
        <f>_xlfn.XLOOKUP(tblAsignaciones[[#This Row],[turno]],tblTurnos[turno],tblTurnos[hora_inicio],"")</f>
        <v/>
      </c>
      <c r="L5" s="3">
        <f>_xlfn.XLOOKUP(tblAsignaciones[[#This Row],[turno]],tblTurnos[turno],tblTurnos[hora_fin],"")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" s="3">
        <f>tblAsignaciones[[#This Row],[semana]]&amp;"|"&amp;tblAsignaciones[[#This Row],[dia]]&amp;"|"&amp;tblAsignaciones[[#This Row],[tecnico]]</f>
        <v/>
      </c>
      <c r="K6" s="3">
        <f>_xlfn.XLOOKUP(tblAsignaciones[[#This Row],[turno]],tblTurnos[turno],tblTurnos[hora_inicio],"")</f>
        <v/>
      </c>
      <c r="L6" s="3">
        <f>_xlfn.XLOOKUP(tblAsignaciones[[#This Row],[turno]],tblTurnos[turno],tblTurnos[hora_fin],"")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" s="3">
        <f>tblAsignaciones[[#This Row],[semana]]&amp;"|"&amp;tblAsignaciones[[#This Row],[dia]]&amp;"|"&amp;tblAsignaciones[[#This Row],[tecnico]]</f>
        <v/>
      </c>
      <c r="K7" s="3">
        <f>_xlfn.XLOOKUP(tblAsignaciones[[#This Row],[turno]],tblTurnos[turno],tblTurnos[hora_inicio],"")</f>
        <v/>
      </c>
      <c r="L7" s="3">
        <f>_xlfn.XLOOKUP(tblAsignaciones[[#This Row],[turno]],tblTurnos[turno],tblTurnos[hora_fin],"")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" s="3">
        <f>tblAsignaciones[[#This Row],[semana]]&amp;"|"&amp;tblAsignaciones[[#This Row],[dia]]&amp;"|"&amp;tblAsignaciones[[#This Row],[tecnico]]</f>
        <v/>
      </c>
      <c r="K8" s="3">
        <f>_xlfn.XLOOKUP(tblAsignaciones[[#This Row],[turno]],tblTurnos[turno],tblTurnos[hora_inicio],"")</f>
        <v/>
      </c>
      <c r="L8" s="3">
        <f>_xlfn.XLOOKUP(tblAsignaciones[[#This Row],[turno]],tblTurnos[turno],tblTurnos[hora_fin],"")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>
        <is>
          <t>T1</t>
        </is>
      </c>
      <c r="G9" s="3">
        <f>_xlfn.XLOOKUP(tblAsignaciones[[#This Row],[tecnico]],tblTecnicos[nombre],tblTecnicos[coordinador],"")</f>
        <v/>
      </c>
      <c r="H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" s="3">
        <f>tblAsignaciones[[#This Row],[semana]]&amp;"|"&amp;tblAsignaciones[[#This Row],[dia]]&amp;"|"&amp;tblAsignaciones[[#This Row],[tecnico]]</f>
        <v/>
      </c>
      <c r="K9" s="3">
        <f>_xlfn.XLOOKUP(tblAsignaciones[[#This Row],[turno]],tblTurnos[turno],tblTurnos[hora_inicio],"")</f>
        <v/>
      </c>
      <c r="L9" s="3">
        <f>_xlfn.XLOOKUP(tblAsignaciones[[#This Row],[turno]],tblTurnos[turno],tblTurnos[hora_fin],"")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" s="3">
        <f>tblAsignaciones[[#This Row],[semana]]&amp;"|"&amp;tblAsignaciones[[#This Row],[dia]]&amp;"|"&amp;tblAsignaciones[[#This Row],[tecnico]]</f>
        <v/>
      </c>
      <c r="K10" s="3">
        <f>_xlfn.XLOOKUP(tblAsignaciones[[#This Row],[turno]],tblTurnos[turno],tblTurnos[hora_inicio],"")</f>
        <v/>
      </c>
      <c r="L10" s="3">
        <f>_xlfn.XLOOKUP(tblAsignaciones[[#This Row],[turno]],tblTurnos[turno],tblTurnos[hora_fin],"")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" s="3">
        <f>tblAsignaciones[[#This Row],[semana]]&amp;"|"&amp;tblAsignaciones[[#This Row],[dia]]&amp;"|"&amp;tblAsignaciones[[#This Row],[tecnico]]</f>
        <v/>
      </c>
      <c r="K11" s="3">
        <f>_xlfn.XLOOKUP(tblAsignaciones[[#This Row],[turno]],tblTurnos[turno],tblTurnos[hora_inicio],"")</f>
        <v/>
      </c>
      <c r="L11" s="3">
        <f>_xlfn.XLOOKUP(tblAsignaciones[[#This Row],[turno]],tblTurnos[turno],tblTurnos[hora_fin],"")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" s="3">
        <f>tblAsignaciones[[#This Row],[semana]]&amp;"|"&amp;tblAsignaciones[[#This Row],[dia]]&amp;"|"&amp;tblAsignaciones[[#This Row],[tecnico]]</f>
        <v/>
      </c>
      <c r="K12" s="3">
        <f>_xlfn.XLOOKUP(tblAsignaciones[[#This Row],[turno]],tblTurnos[turno],tblTurnos[hora_inicio],"")</f>
        <v/>
      </c>
      <c r="L12" s="3">
        <f>_xlfn.XLOOKUP(tblAsignaciones[[#This Row],[turno]],tblTurnos[turno],tblTurnos[hora_fin],"")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" s="3">
        <f>tblAsignaciones[[#This Row],[semana]]&amp;"|"&amp;tblAsignaciones[[#This Row],[dia]]&amp;"|"&amp;tblAsignaciones[[#This Row],[tecnico]]</f>
        <v/>
      </c>
      <c r="K13" s="3">
        <f>_xlfn.XLOOKUP(tblAsignaciones[[#This Row],[turno]],tblTurnos[turno],tblTurnos[hora_inicio],"")</f>
        <v/>
      </c>
      <c r="L13" s="3">
        <f>_xlfn.XLOOKUP(tblAsignaciones[[#This Row],[turno]],tblTurnos[turno],tblTurnos[hora_fin],"")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" s="3">
        <f>tblAsignaciones[[#This Row],[semana]]&amp;"|"&amp;tblAsignaciones[[#This Row],[dia]]&amp;"|"&amp;tblAsignaciones[[#This Row],[tecnico]]</f>
        <v/>
      </c>
      <c r="K14" s="3">
        <f>_xlfn.XLOOKUP(tblAsignaciones[[#This Row],[turno]],tblTurnos[turno],tblTurnos[hora_inicio],"")</f>
        <v/>
      </c>
      <c r="L14" s="3">
        <f>_xlfn.XLOOKUP(tblAsignaciones[[#This Row],[turno]],tblTurnos[turno],tblTurnos[hora_fin],"")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" s="3">
        <f>tblAsignaciones[[#This Row],[semana]]&amp;"|"&amp;tblAsignaciones[[#This Row],[dia]]&amp;"|"&amp;tblAsignaciones[[#This Row],[tecnico]]</f>
        <v/>
      </c>
      <c r="K15" s="3">
        <f>_xlfn.XLOOKUP(tblAsignaciones[[#This Row],[turno]],tblTurnos[turno],tblTurnos[hora_inicio],"")</f>
        <v/>
      </c>
      <c r="L15" s="3">
        <f>_xlfn.XLOOKUP(tblAsignaciones[[#This Row],[turno]],tblTurnos[turno],tblTurnos[hora_fin],"")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>
        <is>
          <t>T2</t>
        </is>
      </c>
      <c r="G16" s="3">
        <f>_xlfn.XLOOKUP(tblAsignaciones[[#This Row],[tecnico]],tblTecnicos[nombre],tblTecnicos[coordinador],"")</f>
        <v/>
      </c>
      <c r="H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" s="3">
        <f>tblAsignaciones[[#This Row],[semana]]&amp;"|"&amp;tblAsignaciones[[#This Row],[dia]]&amp;"|"&amp;tblAsignaciones[[#This Row],[tecnico]]</f>
        <v/>
      </c>
      <c r="K16" s="3">
        <f>_xlfn.XLOOKUP(tblAsignaciones[[#This Row],[turno]],tblTurnos[turno],tblTurnos[hora_inicio],"")</f>
        <v/>
      </c>
      <c r="L16" s="3">
        <f>_xlfn.XLOOKUP(tblAsignaciones[[#This Row],[turno]],tblTurnos[turno],tblTurnos[hora_fin],"")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" s="3">
        <f>tblAsignaciones[[#This Row],[semana]]&amp;"|"&amp;tblAsignaciones[[#This Row],[dia]]&amp;"|"&amp;tblAsignaciones[[#This Row],[tecnico]]</f>
        <v/>
      </c>
      <c r="K17" s="3">
        <f>_xlfn.XLOOKUP(tblAsignaciones[[#This Row],[turno]],tblTurnos[turno],tblTurnos[hora_inicio],"")</f>
        <v/>
      </c>
      <c r="L17" s="3">
        <f>_xlfn.XLOOKUP(tblAsignaciones[[#This Row],[turno]],tblTurnos[turno],tblTurnos[hora_fin],"")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" s="3">
        <f>tblAsignaciones[[#This Row],[semana]]&amp;"|"&amp;tblAsignaciones[[#This Row],[dia]]&amp;"|"&amp;tblAsignaciones[[#This Row],[tecnico]]</f>
        <v/>
      </c>
      <c r="K18" s="3">
        <f>_xlfn.XLOOKUP(tblAsignaciones[[#This Row],[turno]],tblTurnos[turno],tblTurnos[hora_inicio],"")</f>
        <v/>
      </c>
      <c r="L18" s="3">
        <f>_xlfn.XLOOKUP(tblAsignaciones[[#This Row],[turno]],tblTurnos[turno],tblTurnos[hora_fin],"")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" s="3">
        <f>tblAsignaciones[[#This Row],[semana]]&amp;"|"&amp;tblAsignaciones[[#This Row],[dia]]&amp;"|"&amp;tblAsignaciones[[#This Row],[tecnico]]</f>
        <v/>
      </c>
      <c r="K19" s="3">
        <f>_xlfn.XLOOKUP(tblAsignaciones[[#This Row],[turno]],tblTurnos[turno],tblTurnos[hora_inicio],"")</f>
        <v/>
      </c>
      <c r="L19" s="3">
        <f>_xlfn.XLOOKUP(tblAsignaciones[[#This Row],[turno]],tblTurnos[turno],tblTurnos[hora_fin],"")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" s="3">
        <f>tblAsignaciones[[#This Row],[semana]]&amp;"|"&amp;tblAsignaciones[[#This Row],[dia]]&amp;"|"&amp;tblAsignaciones[[#This Row],[tecnico]]</f>
        <v/>
      </c>
      <c r="K20" s="3">
        <f>_xlfn.XLOOKUP(tblAsignaciones[[#This Row],[turno]],tblTurnos[turno],tblTurnos[hora_inicio],"")</f>
        <v/>
      </c>
      <c r="L20" s="3">
        <f>_xlfn.XLOOKUP(tblAsignaciones[[#This Row],[turno]],tblTurnos[turno],tblTurnos[hora_fin],"")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" s="3">
        <f>tblAsignaciones[[#This Row],[semana]]&amp;"|"&amp;tblAsignaciones[[#This Row],[dia]]&amp;"|"&amp;tblAsignaciones[[#This Row],[tecnico]]</f>
        <v/>
      </c>
      <c r="K21" s="3">
        <f>_xlfn.XLOOKUP(tblAsignaciones[[#This Row],[turno]],tblTurnos[turno],tblTurnos[hora_inicio],"")</f>
        <v/>
      </c>
      <c r="L21" s="3">
        <f>_xlfn.XLOOKUP(tblAsignaciones[[#This Row],[turno]],tblTurnos[turno],tblTurnos[hora_fin],"")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" s="3">
        <f>tblAsignaciones[[#This Row],[semana]]&amp;"|"&amp;tblAsignaciones[[#This Row],[dia]]&amp;"|"&amp;tblAsignaciones[[#This Row],[tecnico]]</f>
        <v/>
      </c>
      <c r="K22" s="3">
        <f>_xlfn.XLOOKUP(tblAsignaciones[[#This Row],[turno]],tblTurnos[turno],tblTurnos[hora_inicio],"")</f>
        <v/>
      </c>
      <c r="L22" s="3">
        <f>_xlfn.XLOOKUP(tblAsignaciones[[#This Row],[turno]],tblTurnos[turno],tblTurnos[hora_fin],"")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>
        <is>
          <t>T1</t>
        </is>
      </c>
      <c r="G23" s="3">
        <f>_xlfn.XLOOKUP(tblAsignaciones[[#This Row],[tecnico]],tblTecnicos[nombre],tblTecnicos[coordinador],"")</f>
        <v/>
      </c>
      <c r="H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" s="3">
        <f>tblAsignaciones[[#This Row],[semana]]&amp;"|"&amp;tblAsignaciones[[#This Row],[dia]]&amp;"|"&amp;tblAsignaciones[[#This Row],[tecnico]]</f>
        <v/>
      </c>
      <c r="K23" s="3">
        <f>_xlfn.XLOOKUP(tblAsignaciones[[#This Row],[turno]],tblTurnos[turno],tblTurnos[hora_inicio],"")</f>
        <v/>
      </c>
      <c r="L23" s="3">
        <f>_xlfn.XLOOKUP(tblAsignaciones[[#This Row],[turno]],tblTurnos[turno],tblTurnos[hora_fin],"")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" s="3">
        <f>tblAsignaciones[[#This Row],[semana]]&amp;"|"&amp;tblAsignaciones[[#This Row],[dia]]&amp;"|"&amp;tblAsignaciones[[#This Row],[tecnico]]</f>
        <v/>
      </c>
      <c r="K24" s="3">
        <f>_xlfn.XLOOKUP(tblAsignaciones[[#This Row],[turno]],tblTurnos[turno],tblTurnos[hora_inicio],"")</f>
        <v/>
      </c>
      <c r="L24" s="3">
        <f>_xlfn.XLOOKUP(tblAsignaciones[[#This Row],[turno]],tblTurnos[turno],tblTurnos[hora_fin],"")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" s="3">
        <f>tblAsignaciones[[#This Row],[semana]]&amp;"|"&amp;tblAsignaciones[[#This Row],[dia]]&amp;"|"&amp;tblAsignaciones[[#This Row],[tecnico]]</f>
        <v/>
      </c>
      <c r="K25" s="3">
        <f>_xlfn.XLOOKUP(tblAsignaciones[[#This Row],[turno]],tblTurnos[turno],tblTurnos[hora_inicio],"")</f>
        <v/>
      </c>
      <c r="L25" s="3">
        <f>_xlfn.XLOOKUP(tblAsignaciones[[#This Row],[turno]],tblTurnos[turno],tblTurnos[hora_fin],"")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" s="3">
        <f>tblAsignaciones[[#This Row],[semana]]&amp;"|"&amp;tblAsignaciones[[#This Row],[dia]]&amp;"|"&amp;tblAsignaciones[[#This Row],[tecnico]]</f>
        <v/>
      </c>
      <c r="K26" s="3">
        <f>_xlfn.XLOOKUP(tblAsignaciones[[#This Row],[turno]],tblTurnos[turno],tblTurnos[hora_inicio],"")</f>
        <v/>
      </c>
      <c r="L26" s="3">
        <f>_xlfn.XLOOKUP(tblAsignaciones[[#This Row],[turno]],tblTurnos[turno],tblTurnos[hora_fin],"")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" s="3">
        <f>tblAsignaciones[[#This Row],[semana]]&amp;"|"&amp;tblAsignaciones[[#This Row],[dia]]&amp;"|"&amp;tblAsignaciones[[#This Row],[tecnico]]</f>
        <v/>
      </c>
      <c r="K27" s="3">
        <f>_xlfn.XLOOKUP(tblAsignaciones[[#This Row],[turno]],tblTurnos[turno],tblTurnos[hora_inicio],"")</f>
        <v/>
      </c>
      <c r="L27" s="3">
        <f>_xlfn.XLOOKUP(tblAsignaciones[[#This Row],[turno]],tblTurnos[turno],tblTurnos[hora_fin],"")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" s="3">
        <f>tblAsignaciones[[#This Row],[semana]]&amp;"|"&amp;tblAsignaciones[[#This Row],[dia]]&amp;"|"&amp;tblAsignaciones[[#This Row],[tecnico]]</f>
        <v/>
      </c>
      <c r="K28" s="3">
        <f>_xlfn.XLOOKUP(tblAsignaciones[[#This Row],[turno]],tblTurnos[turno],tblTurnos[hora_inicio],"")</f>
        <v/>
      </c>
      <c r="L28" s="3">
        <f>_xlfn.XLOOKUP(tblAsignaciones[[#This Row],[turno]],tblTurnos[turno],tblTurnos[hora_fin],"")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" s="3">
        <f>tblAsignaciones[[#This Row],[semana]]&amp;"|"&amp;tblAsignaciones[[#This Row],[dia]]&amp;"|"&amp;tblAsignaciones[[#This Row],[tecnico]]</f>
        <v/>
      </c>
      <c r="K29" s="3">
        <f>_xlfn.XLOOKUP(tblAsignaciones[[#This Row],[turno]],tblTurnos[turno],tblTurnos[hora_inicio],"")</f>
        <v/>
      </c>
      <c r="L29" s="3">
        <f>_xlfn.XLOOKUP(tblAsignaciones[[#This Row],[turno]],tblTurnos[turno],tblTurnos[hora_fin],"")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>
        <is>
          <t>T1</t>
        </is>
      </c>
      <c r="G30" s="3">
        <f>_xlfn.XLOOKUP(tblAsignaciones[[#This Row],[tecnico]],tblTecnicos[nombre],tblTecnicos[coordinador],"")</f>
        <v/>
      </c>
      <c r="H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" s="3">
        <f>tblAsignaciones[[#This Row],[semana]]&amp;"|"&amp;tblAsignaciones[[#This Row],[dia]]&amp;"|"&amp;tblAsignaciones[[#This Row],[tecnico]]</f>
        <v/>
      </c>
      <c r="K30" s="3">
        <f>_xlfn.XLOOKUP(tblAsignaciones[[#This Row],[turno]],tblTurnos[turno],tblTurnos[hora_inicio],"")</f>
        <v/>
      </c>
      <c r="L30" s="3">
        <f>_xlfn.XLOOKUP(tblAsignaciones[[#This Row],[turno]],tblTurnos[turno],tblTurnos[hora_fin],"")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" s="3">
        <f>tblAsignaciones[[#This Row],[semana]]&amp;"|"&amp;tblAsignaciones[[#This Row],[dia]]&amp;"|"&amp;tblAsignaciones[[#This Row],[tecnico]]</f>
        <v/>
      </c>
      <c r="K31" s="3">
        <f>_xlfn.XLOOKUP(tblAsignaciones[[#This Row],[turno]],tblTurnos[turno],tblTurnos[hora_inicio],"")</f>
        <v/>
      </c>
      <c r="L31" s="3">
        <f>_xlfn.XLOOKUP(tblAsignaciones[[#This Row],[turno]],tblTurnos[turno],tblTurnos[hora_fin],"")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" s="3">
        <f>tblAsignaciones[[#This Row],[semana]]&amp;"|"&amp;tblAsignaciones[[#This Row],[dia]]&amp;"|"&amp;tblAsignaciones[[#This Row],[tecnico]]</f>
        <v/>
      </c>
      <c r="K32" s="3">
        <f>_xlfn.XLOOKUP(tblAsignaciones[[#This Row],[turno]],tblTurnos[turno],tblTurnos[hora_inicio],"")</f>
        <v/>
      </c>
      <c r="L32" s="3">
        <f>_xlfn.XLOOKUP(tblAsignaciones[[#This Row],[turno]],tblTurnos[turno],tblTurnos[hora_fin],"")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" s="3">
        <f>tblAsignaciones[[#This Row],[semana]]&amp;"|"&amp;tblAsignaciones[[#This Row],[dia]]&amp;"|"&amp;tblAsignaciones[[#This Row],[tecnico]]</f>
        <v/>
      </c>
      <c r="K33" s="3">
        <f>_xlfn.XLOOKUP(tblAsignaciones[[#This Row],[turno]],tblTurnos[turno],tblTurnos[hora_inicio],"")</f>
        <v/>
      </c>
      <c r="L33" s="3">
        <f>_xlfn.XLOOKUP(tblAsignaciones[[#This Row],[turno]],tblTurnos[turno],tblTurnos[hora_fin],"")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4" s="3">
        <f>tblAsignaciones[[#This Row],[semana]]&amp;"|"&amp;tblAsignaciones[[#This Row],[dia]]&amp;"|"&amp;tblAsignaciones[[#This Row],[tecnico]]</f>
        <v/>
      </c>
      <c r="K34" s="3">
        <f>_xlfn.XLOOKUP(tblAsignaciones[[#This Row],[turno]],tblTurnos[turno],tblTurnos[hora_inicio],"")</f>
        <v/>
      </c>
      <c r="L34" s="3">
        <f>_xlfn.XLOOKUP(tblAsignaciones[[#This Row],[turno]],tblTurnos[turno],tblTurnos[hora_fin],"")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5" s="3">
        <f>tblAsignaciones[[#This Row],[semana]]&amp;"|"&amp;tblAsignaciones[[#This Row],[dia]]&amp;"|"&amp;tblAsignaciones[[#This Row],[tecnico]]</f>
        <v/>
      </c>
      <c r="K35" s="3">
        <f>_xlfn.XLOOKUP(tblAsignaciones[[#This Row],[turno]],tblTurnos[turno],tblTurnos[hora_inicio],"")</f>
        <v/>
      </c>
      <c r="L35" s="3">
        <f>_xlfn.XLOOKUP(tblAsignaciones[[#This Row],[turno]],tblTurnos[turno],tblTurnos[hora_fin],"")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6" s="3">
        <f>tblAsignaciones[[#This Row],[semana]]&amp;"|"&amp;tblAsignaciones[[#This Row],[dia]]&amp;"|"&amp;tblAsignaciones[[#This Row],[tecnico]]</f>
        <v/>
      </c>
      <c r="K36" s="3">
        <f>_xlfn.XLOOKUP(tblAsignaciones[[#This Row],[turno]],tblTurnos[turno],tblTurnos[hora_inicio],"")</f>
        <v/>
      </c>
      <c r="L36" s="3">
        <f>_xlfn.XLOOKUP(tblAsignaciones[[#This Row],[turno]],tblTurnos[turno],tblTurnos[hora_fin],"")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>
        <is>
          <t>T1</t>
        </is>
      </c>
      <c r="G37" s="3">
        <f>_xlfn.XLOOKUP(tblAsignaciones[[#This Row],[tecnico]],tblTecnicos[nombre],tblTecnicos[coordinador],"")</f>
        <v/>
      </c>
      <c r="H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7" s="3">
        <f>tblAsignaciones[[#This Row],[semana]]&amp;"|"&amp;tblAsignaciones[[#This Row],[dia]]&amp;"|"&amp;tblAsignaciones[[#This Row],[tecnico]]</f>
        <v/>
      </c>
      <c r="K37" s="3">
        <f>_xlfn.XLOOKUP(tblAsignaciones[[#This Row],[turno]],tblTurnos[turno],tblTurnos[hora_inicio],"")</f>
        <v/>
      </c>
      <c r="L37" s="3">
        <f>_xlfn.XLOOKUP(tblAsignaciones[[#This Row],[turno]],tblTurnos[turno],tblTurnos[hora_fin],"")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8" s="3">
        <f>tblAsignaciones[[#This Row],[semana]]&amp;"|"&amp;tblAsignaciones[[#This Row],[dia]]&amp;"|"&amp;tblAsignaciones[[#This Row],[tecnico]]</f>
        <v/>
      </c>
      <c r="K38" s="3">
        <f>_xlfn.XLOOKUP(tblAsignaciones[[#This Row],[turno]],tblTurnos[turno],tblTurnos[hora_inicio],"")</f>
        <v/>
      </c>
      <c r="L38" s="3">
        <f>_xlfn.XLOOKUP(tblAsignaciones[[#This Row],[turno]],tblTurnos[turno],tblTurnos[hora_fin],"")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9" s="3">
        <f>tblAsignaciones[[#This Row],[semana]]&amp;"|"&amp;tblAsignaciones[[#This Row],[dia]]&amp;"|"&amp;tblAsignaciones[[#This Row],[tecnico]]</f>
        <v/>
      </c>
      <c r="K39" s="3">
        <f>_xlfn.XLOOKUP(tblAsignaciones[[#This Row],[turno]],tblTurnos[turno],tblTurnos[hora_inicio],"")</f>
        <v/>
      </c>
      <c r="L39" s="3">
        <f>_xlfn.XLOOKUP(tblAsignaciones[[#This Row],[turno]],tblTurnos[turno],tblTurnos[hora_fin],"")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0" s="3">
        <f>tblAsignaciones[[#This Row],[semana]]&amp;"|"&amp;tblAsignaciones[[#This Row],[dia]]&amp;"|"&amp;tblAsignaciones[[#This Row],[tecnico]]</f>
        <v/>
      </c>
      <c r="K40" s="3">
        <f>_xlfn.XLOOKUP(tblAsignaciones[[#This Row],[turno]],tblTurnos[turno],tblTurnos[hora_inicio],"")</f>
        <v/>
      </c>
      <c r="L40" s="3">
        <f>_xlfn.XLOOKUP(tblAsignaciones[[#This Row],[turno]],tblTurnos[turno],tblTurnos[hora_fin],"")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1" s="3">
        <f>tblAsignaciones[[#This Row],[semana]]&amp;"|"&amp;tblAsignaciones[[#This Row],[dia]]&amp;"|"&amp;tblAsignaciones[[#This Row],[tecnico]]</f>
        <v/>
      </c>
      <c r="K41" s="3">
        <f>_xlfn.XLOOKUP(tblAsignaciones[[#This Row],[turno]],tblTurnos[turno],tblTurnos[hora_inicio],"")</f>
        <v/>
      </c>
      <c r="L41" s="3">
        <f>_xlfn.XLOOKUP(tblAsignaciones[[#This Row],[turno]],tblTurnos[turno],tblTurnos[hora_fin],"")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2" s="3">
        <f>tblAsignaciones[[#This Row],[semana]]&amp;"|"&amp;tblAsignaciones[[#This Row],[dia]]&amp;"|"&amp;tblAsignaciones[[#This Row],[tecnico]]</f>
        <v/>
      </c>
      <c r="K42" s="3">
        <f>_xlfn.XLOOKUP(tblAsignaciones[[#This Row],[turno]],tblTurnos[turno],tblTurnos[hora_inicio],"")</f>
        <v/>
      </c>
      <c r="L42" s="3">
        <f>_xlfn.XLOOKUP(tblAsignaciones[[#This Row],[turno]],tblTurnos[turno],tblTurnos[hora_fin],"")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3" s="3">
        <f>tblAsignaciones[[#This Row],[semana]]&amp;"|"&amp;tblAsignaciones[[#This Row],[dia]]&amp;"|"&amp;tblAsignaciones[[#This Row],[tecnico]]</f>
        <v/>
      </c>
      <c r="K43" s="3">
        <f>_xlfn.XLOOKUP(tblAsignaciones[[#This Row],[turno]],tblTurnos[turno],tblTurnos[hora_inicio],"")</f>
        <v/>
      </c>
      <c r="L43" s="3">
        <f>_xlfn.XLOOKUP(tblAsignaciones[[#This Row],[turno]],tblTurnos[turno],tblTurnos[hora_fin],"")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>
        <is>
          <t>T1</t>
        </is>
      </c>
      <c r="G44" s="3">
        <f>_xlfn.XLOOKUP(tblAsignaciones[[#This Row],[tecnico]],tblTecnicos[nombre],tblTecnicos[coordinador],"")</f>
        <v/>
      </c>
      <c r="H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4" s="3">
        <f>tblAsignaciones[[#This Row],[semana]]&amp;"|"&amp;tblAsignaciones[[#This Row],[dia]]&amp;"|"&amp;tblAsignaciones[[#This Row],[tecnico]]</f>
        <v/>
      </c>
      <c r="K44" s="3">
        <f>_xlfn.XLOOKUP(tblAsignaciones[[#This Row],[turno]],tblTurnos[turno],tblTurnos[hora_inicio],"")</f>
        <v/>
      </c>
      <c r="L44" s="3">
        <f>_xlfn.XLOOKUP(tblAsignaciones[[#This Row],[turno]],tblTurnos[turno],tblTurnos[hora_fin],"")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5" s="3">
        <f>tblAsignaciones[[#This Row],[semana]]&amp;"|"&amp;tblAsignaciones[[#This Row],[dia]]&amp;"|"&amp;tblAsignaciones[[#This Row],[tecnico]]</f>
        <v/>
      </c>
      <c r="K45" s="3">
        <f>_xlfn.XLOOKUP(tblAsignaciones[[#This Row],[turno]],tblTurnos[turno],tblTurnos[hora_inicio],"")</f>
        <v/>
      </c>
      <c r="L45" s="3">
        <f>_xlfn.XLOOKUP(tblAsignaciones[[#This Row],[turno]],tblTurnos[turno],tblTurnos[hora_fin],"")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6" s="3">
        <f>tblAsignaciones[[#This Row],[semana]]&amp;"|"&amp;tblAsignaciones[[#This Row],[dia]]&amp;"|"&amp;tblAsignaciones[[#This Row],[tecnico]]</f>
        <v/>
      </c>
      <c r="K46" s="3">
        <f>_xlfn.XLOOKUP(tblAsignaciones[[#This Row],[turno]],tblTurnos[turno],tblTurnos[hora_inicio],"")</f>
        <v/>
      </c>
      <c r="L46" s="3">
        <f>_xlfn.XLOOKUP(tblAsignaciones[[#This Row],[turno]],tblTurnos[turno],tblTurnos[hora_fin],"")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7" s="3">
        <f>tblAsignaciones[[#This Row],[semana]]&amp;"|"&amp;tblAsignaciones[[#This Row],[dia]]&amp;"|"&amp;tblAsignaciones[[#This Row],[tecnico]]</f>
        <v/>
      </c>
      <c r="K47" s="3">
        <f>_xlfn.XLOOKUP(tblAsignaciones[[#This Row],[turno]],tblTurnos[turno],tblTurnos[hora_inicio],"")</f>
        <v/>
      </c>
      <c r="L47" s="3">
        <f>_xlfn.XLOOKUP(tblAsignaciones[[#This Row],[turno]],tblTurnos[turno],tblTurnos[hora_fin],"")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8" s="3">
        <f>tblAsignaciones[[#This Row],[semana]]&amp;"|"&amp;tblAsignaciones[[#This Row],[dia]]&amp;"|"&amp;tblAsignaciones[[#This Row],[tecnico]]</f>
        <v/>
      </c>
      <c r="K48" s="3">
        <f>_xlfn.XLOOKUP(tblAsignaciones[[#This Row],[turno]],tblTurnos[turno],tblTurnos[hora_inicio],"")</f>
        <v/>
      </c>
      <c r="L48" s="3">
        <f>_xlfn.XLOOKUP(tblAsignaciones[[#This Row],[turno]],tblTurnos[turno],tblTurnos[hora_fin],"")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9" s="3">
        <f>tblAsignaciones[[#This Row],[semana]]&amp;"|"&amp;tblAsignaciones[[#This Row],[dia]]&amp;"|"&amp;tblAsignaciones[[#This Row],[tecnico]]</f>
        <v/>
      </c>
      <c r="K49" s="3">
        <f>_xlfn.XLOOKUP(tblAsignaciones[[#This Row],[turno]],tblTurnos[turno],tblTurnos[hora_inicio],"")</f>
        <v/>
      </c>
      <c r="L49" s="3">
        <f>_xlfn.XLOOKUP(tblAsignaciones[[#This Row],[turno]],tblTurnos[turno],tblTurnos[hora_fin],"")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0" s="3">
        <f>tblAsignaciones[[#This Row],[semana]]&amp;"|"&amp;tblAsignaciones[[#This Row],[dia]]&amp;"|"&amp;tblAsignaciones[[#This Row],[tecnico]]</f>
        <v/>
      </c>
      <c r="K50" s="3">
        <f>_xlfn.XLOOKUP(tblAsignaciones[[#This Row],[turno]],tblTurnos[turno],tblTurnos[hora_inicio],"")</f>
        <v/>
      </c>
      <c r="L50" s="3">
        <f>_xlfn.XLOOKUP(tblAsignaciones[[#This Row],[turno]],tblTurnos[turno],tblTurnos[hora_fin],"")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>
        <is>
          <t>T1</t>
        </is>
      </c>
      <c r="G51" s="3">
        <f>_xlfn.XLOOKUP(tblAsignaciones[[#This Row],[tecnico]],tblTecnicos[nombre],tblTecnicos[coordinador],"")</f>
        <v/>
      </c>
      <c r="H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1" s="3">
        <f>tblAsignaciones[[#This Row],[semana]]&amp;"|"&amp;tblAsignaciones[[#This Row],[dia]]&amp;"|"&amp;tblAsignaciones[[#This Row],[tecnico]]</f>
        <v/>
      </c>
      <c r="K51" s="3">
        <f>_xlfn.XLOOKUP(tblAsignaciones[[#This Row],[turno]],tblTurnos[turno],tblTurnos[hora_inicio],"")</f>
        <v/>
      </c>
      <c r="L51" s="3">
        <f>_xlfn.XLOOKUP(tblAsignaciones[[#This Row],[turno]],tblTurnos[turno],tblTurnos[hora_fin],"")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2" s="3">
        <f>tblAsignaciones[[#This Row],[semana]]&amp;"|"&amp;tblAsignaciones[[#This Row],[dia]]&amp;"|"&amp;tblAsignaciones[[#This Row],[tecnico]]</f>
        <v/>
      </c>
      <c r="K52" s="3">
        <f>_xlfn.XLOOKUP(tblAsignaciones[[#This Row],[turno]],tblTurnos[turno],tblTurnos[hora_inicio],"")</f>
        <v/>
      </c>
      <c r="L52" s="3">
        <f>_xlfn.XLOOKUP(tblAsignaciones[[#This Row],[turno]],tblTurnos[turno],tblTurnos[hora_fin],"")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B</t>
        </is>
      </c>
      <c r="G53" s="3">
        <f>_xlfn.XLOOKUP(tblAsignaciones[[#This Row],[tecnico]],tblTecnicos[nombre],tblTecnicos[coordinador],"")</f>
        <v/>
      </c>
      <c r="H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3" s="3">
        <f>tblAsignaciones[[#This Row],[semana]]&amp;"|"&amp;tblAsignaciones[[#This Row],[dia]]&amp;"|"&amp;tblAsignaciones[[#This Row],[tecnico]]</f>
        <v/>
      </c>
      <c r="K53" s="3">
        <f>_xlfn.XLOOKUP(tblAsignaciones[[#This Row],[turno]],tblTurnos[turno],tblTurnos[hora_inicio],"")</f>
        <v/>
      </c>
      <c r="L53" s="3">
        <f>_xlfn.XLOOKUP(tblAsignaciones[[#This Row],[turno]],tblTurnos[turno],tblTurnos[hora_fin],"")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B</t>
        </is>
      </c>
      <c r="G54" s="3">
        <f>_xlfn.XLOOKUP(tblAsignaciones[[#This Row],[tecnico]],tblTecnicos[nombre],tblTecnicos[coordinador],"")</f>
        <v/>
      </c>
      <c r="H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4" s="3">
        <f>tblAsignaciones[[#This Row],[semana]]&amp;"|"&amp;tblAsignaciones[[#This Row],[dia]]&amp;"|"&amp;tblAsignaciones[[#This Row],[tecnico]]</f>
        <v/>
      </c>
      <c r="K54" s="3">
        <f>_xlfn.XLOOKUP(tblAsignaciones[[#This Row],[turno]],tblTurnos[turno],tblTurnos[hora_inicio],"")</f>
        <v/>
      </c>
      <c r="L54" s="3">
        <f>_xlfn.XLOOKUP(tblAsignaciones[[#This Row],[turno]],tblTurnos[turno],tblTurnos[hora_fin],"")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B</t>
        </is>
      </c>
      <c r="G55" s="3">
        <f>_xlfn.XLOOKUP(tblAsignaciones[[#This Row],[tecnico]],tblTecnicos[nombre],tblTecnicos[coordinador],"")</f>
        <v/>
      </c>
      <c r="H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5" s="3">
        <f>tblAsignaciones[[#This Row],[semana]]&amp;"|"&amp;tblAsignaciones[[#This Row],[dia]]&amp;"|"&amp;tblAsignaciones[[#This Row],[tecnico]]</f>
        <v/>
      </c>
      <c r="K55" s="3">
        <f>_xlfn.XLOOKUP(tblAsignaciones[[#This Row],[turno]],tblTurnos[turno],tblTurnos[hora_inicio],"")</f>
        <v/>
      </c>
      <c r="L55" s="3">
        <f>_xlfn.XLOOKUP(tblAsignaciones[[#This Row],[turno]],tblTurnos[turno],tblTurnos[hora_fin],"")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B</t>
        </is>
      </c>
      <c r="G56" s="3">
        <f>_xlfn.XLOOKUP(tblAsignaciones[[#This Row],[tecnico]],tblTecnicos[nombre],tblTecnicos[coordinador],"")</f>
        <v/>
      </c>
      <c r="H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6" s="3">
        <f>tblAsignaciones[[#This Row],[semana]]&amp;"|"&amp;tblAsignaciones[[#This Row],[dia]]&amp;"|"&amp;tblAsignaciones[[#This Row],[tecnico]]</f>
        <v/>
      </c>
      <c r="K56" s="3">
        <f>_xlfn.XLOOKUP(tblAsignaciones[[#This Row],[turno]],tblTurnos[turno],tblTurnos[hora_inicio],"")</f>
        <v/>
      </c>
      <c r="L56" s="3">
        <f>_xlfn.XLOOKUP(tblAsignaciones[[#This Row],[turno]],tblTurnos[turno],tblTurnos[hora_fin],"")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B</t>
        </is>
      </c>
      <c r="G57" s="3">
        <f>_xlfn.XLOOKUP(tblAsignaciones[[#This Row],[tecnico]],tblTecnicos[nombre],tblTecnicos[coordinador],"")</f>
        <v/>
      </c>
      <c r="H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7" s="3">
        <f>tblAsignaciones[[#This Row],[semana]]&amp;"|"&amp;tblAsignaciones[[#This Row],[dia]]&amp;"|"&amp;tblAsignaciones[[#This Row],[tecnico]]</f>
        <v/>
      </c>
      <c r="K57" s="3">
        <f>_xlfn.XLOOKUP(tblAsignaciones[[#This Row],[turno]],tblTurnos[turno],tblTurnos[hora_inicio],"")</f>
        <v/>
      </c>
      <c r="L57" s="3">
        <f>_xlfn.XLOOKUP(tblAsignaciones[[#This Row],[turno]],tblTurnos[turno],tblTurnos[hora_fin],"")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>
        <is>
          <t>B</t>
        </is>
      </c>
      <c r="G58" s="3">
        <f>_xlfn.XLOOKUP(tblAsignaciones[[#This Row],[tecnico]],tblTecnicos[nombre],tblTecnicos[coordinador],"")</f>
        <v/>
      </c>
      <c r="H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8" s="3">
        <f>tblAsignaciones[[#This Row],[semana]]&amp;"|"&amp;tblAsignaciones[[#This Row],[dia]]&amp;"|"&amp;tblAsignaciones[[#This Row],[tecnico]]</f>
        <v/>
      </c>
      <c r="K58" s="3">
        <f>_xlfn.XLOOKUP(tblAsignaciones[[#This Row],[turno]],tblTurnos[turno],tblTurnos[hora_inicio],"")</f>
        <v/>
      </c>
      <c r="L58" s="3">
        <f>_xlfn.XLOOKUP(tblAsignaciones[[#This Row],[turno]],tblTurnos[turno],tblTurnos[hora_fin],"")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9" s="3">
        <f>tblAsignaciones[[#This Row],[semana]]&amp;"|"&amp;tblAsignaciones[[#This Row],[dia]]&amp;"|"&amp;tblAsignaciones[[#This Row],[tecnico]]</f>
        <v/>
      </c>
      <c r="K59" s="3">
        <f>_xlfn.XLOOKUP(tblAsignaciones[[#This Row],[turno]],tblTurnos[turno],tblTurnos[hora_inicio],"")</f>
        <v/>
      </c>
      <c r="L59" s="3">
        <f>_xlfn.XLOOKUP(tblAsignaciones[[#This Row],[turno]],tblTurnos[turno],tblTurnos[hora_fin],"")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B</t>
        </is>
      </c>
      <c r="G60" s="3">
        <f>_xlfn.XLOOKUP(tblAsignaciones[[#This Row],[tecnico]],tblTecnicos[nombre],tblTecnicos[coordinador],"")</f>
        <v/>
      </c>
      <c r="H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0" s="3">
        <f>tblAsignaciones[[#This Row],[semana]]&amp;"|"&amp;tblAsignaciones[[#This Row],[dia]]&amp;"|"&amp;tblAsignaciones[[#This Row],[tecnico]]</f>
        <v/>
      </c>
      <c r="K60" s="3">
        <f>_xlfn.XLOOKUP(tblAsignaciones[[#This Row],[turno]],tblTurnos[turno],tblTurnos[hora_inicio],"")</f>
        <v/>
      </c>
      <c r="L60" s="3">
        <f>_xlfn.XLOOKUP(tblAsignaciones[[#This Row],[turno]],tblTurnos[turno],tblTurnos[hora_fin],"")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B</t>
        </is>
      </c>
      <c r="G61" s="3">
        <f>_xlfn.XLOOKUP(tblAsignaciones[[#This Row],[tecnico]],tblTecnicos[nombre],tblTecnicos[coordinador],"")</f>
        <v/>
      </c>
      <c r="H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1" s="3">
        <f>tblAsignaciones[[#This Row],[semana]]&amp;"|"&amp;tblAsignaciones[[#This Row],[dia]]&amp;"|"&amp;tblAsignaciones[[#This Row],[tecnico]]</f>
        <v/>
      </c>
      <c r="K61" s="3">
        <f>_xlfn.XLOOKUP(tblAsignaciones[[#This Row],[turno]],tblTurnos[turno],tblTurnos[hora_inicio],"")</f>
        <v/>
      </c>
      <c r="L61" s="3">
        <f>_xlfn.XLOOKUP(tblAsignaciones[[#This Row],[turno]],tblTurnos[turno],tblTurnos[hora_fin],"")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B</t>
        </is>
      </c>
      <c r="G62" s="3">
        <f>_xlfn.XLOOKUP(tblAsignaciones[[#This Row],[tecnico]],tblTecnicos[nombre],tblTecnicos[coordinador],"")</f>
        <v/>
      </c>
      <c r="H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2" s="3">
        <f>tblAsignaciones[[#This Row],[semana]]&amp;"|"&amp;tblAsignaciones[[#This Row],[dia]]&amp;"|"&amp;tblAsignaciones[[#This Row],[tecnico]]</f>
        <v/>
      </c>
      <c r="K62" s="3">
        <f>_xlfn.XLOOKUP(tblAsignaciones[[#This Row],[turno]],tblTurnos[turno],tblTurnos[hora_inicio],"")</f>
        <v/>
      </c>
      <c r="L62" s="3">
        <f>_xlfn.XLOOKUP(tblAsignaciones[[#This Row],[turno]],tblTurnos[turno],tblTurnos[hora_fin],"")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B</t>
        </is>
      </c>
      <c r="G63" s="3">
        <f>_xlfn.XLOOKUP(tblAsignaciones[[#This Row],[tecnico]],tblTecnicos[nombre],tblTecnicos[coordinador],"")</f>
        <v/>
      </c>
      <c r="H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3" s="3">
        <f>tblAsignaciones[[#This Row],[semana]]&amp;"|"&amp;tblAsignaciones[[#This Row],[dia]]&amp;"|"&amp;tblAsignaciones[[#This Row],[tecnico]]</f>
        <v/>
      </c>
      <c r="K63" s="3">
        <f>_xlfn.XLOOKUP(tblAsignaciones[[#This Row],[turno]],tblTurnos[turno],tblTurnos[hora_inicio],"")</f>
        <v/>
      </c>
      <c r="L63" s="3">
        <f>_xlfn.XLOOKUP(tblAsignaciones[[#This Row],[turno]],tblTurnos[turno],tblTurnos[hora_fin],"")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B</t>
        </is>
      </c>
      <c r="G64" s="3">
        <f>_xlfn.XLOOKUP(tblAsignaciones[[#This Row],[tecnico]],tblTecnicos[nombre],tblTecnicos[coordinador],"")</f>
        <v/>
      </c>
      <c r="H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4" s="3">
        <f>tblAsignaciones[[#This Row],[semana]]&amp;"|"&amp;tblAsignaciones[[#This Row],[dia]]&amp;"|"&amp;tblAsignaciones[[#This Row],[tecnico]]</f>
        <v/>
      </c>
      <c r="K64" s="3">
        <f>_xlfn.XLOOKUP(tblAsignaciones[[#This Row],[turno]],tblTurnos[turno],tblTurnos[hora_inicio],"")</f>
        <v/>
      </c>
      <c r="L64" s="3">
        <f>_xlfn.XLOOKUP(tblAsignaciones[[#This Row],[turno]],tblTurnos[turno],tblTurnos[hora_fin],"")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>
        <is>
          <t>B</t>
        </is>
      </c>
      <c r="G65" s="3">
        <f>_xlfn.XLOOKUP(tblAsignaciones[[#This Row],[tecnico]],tblTecnicos[nombre],tblTecnicos[coordinador],"")</f>
        <v/>
      </c>
      <c r="H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5" s="3">
        <f>tblAsignaciones[[#This Row],[semana]]&amp;"|"&amp;tblAsignaciones[[#This Row],[dia]]&amp;"|"&amp;tblAsignaciones[[#This Row],[tecnico]]</f>
        <v/>
      </c>
      <c r="K65" s="3">
        <f>_xlfn.XLOOKUP(tblAsignaciones[[#This Row],[turno]],tblTurnos[turno],tblTurnos[hora_inicio],"")</f>
        <v/>
      </c>
      <c r="L65" s="3">
        <f>_xlfn.XLOOKUP(tblAsignaciones[[#This Row],[turno]],tblTurnos[turno],tblTurnos[hora_fin],"")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6" s="3">
        <f>tblAsignaciones[[#This Row],[semana]]&amp;"|"&amp;tblAsignaciones[[#This Row],[dia]]&amp;"|"&amp;tblAsignaciones[[#This Row],[tecnico]]</f>
        <v/>
      </c>
      <c r="K66" s="3">
        <f>_xlfn.XLOOKUP(tblAsignaciones[[#This Row],[turno]],tblTurnos[turno],tblTurnos[hora_inicio],"")</f>
        <v/>
      </c>
      <c r="L66" s="3">
        <f>_xlfn.XLOOKUP(tblAsignaciones[[#This Row],[turno]],tblTurnos[turno],tblTurnos[hora_fin],"")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</t>
        </is>
      </c>
      <c r="G67" s="3">
        <f>_xlfn.XLOOKUP(tblAsignaciones[[#This Row],[tecnico]],tblTecnicos[nombre],tblTecnicos[coordinador],"")</f>
        <v/>
      </c>
      <c r="H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7" s="3">
        <f>tblAsignaciones[[#This Row],[semana]]&amp;"|"&amp;tblAsignaciones[[#This Row],[dia]]&amp;"|"&amp;tblAsignaciones[[#This Row],[tecnico]]</f>
        <v/>
      </c>
      <c r="K67" s="3">
        <f>_xlfn.XLOOKUP(tblAsignaciones[[#This Row],[turno]],tblTurnos[turno],tblTurnos[hora_inicio],"")</f>
        <v/>
      </c>
      <c r="L67" s="3">
        <f>_xlfn.XLOOKUP(tblAsignaciones[[#This Row],[turno]],tblTurnos[turno],tblTurnos[hora_fin],"")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</t>
        </is>
      </c>
      <c r="G68" s="3">
        <f>_xlfn.XLOOKUP(tblAsignaciones[[#This Row],[tecnico]],tblTecnicos[nombre],tblTecnicos[coordinador],"")</f>
        <v/>
      </c>
      <c r="H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8" s="3">
        <f>tblAsignaciones[[#This Row],[semana]]&amp;"|"&amp;tblAsignaciones[[#This Row],[dia]]&amp;"|"&amp;tblAsignaciones[[#This Row],[tecnico]]</f>
        <v/>
      </c>
      <c r="K68" s="3">
        <f>_xlfn.XLOOKUP(tblAsignaciones[[#This Row],[turno]],tblTurnos[turno],tblTurnos[hora_inicio],"")</f>
        <v/>
      </c>
      <c r="L68" s="3">
        <f>_xlfn.XLOOKUP(tblAsignaciones[[#This Row],[turno]],tblTurnos[turno],tblTurnos[hora_fin],"")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</t>
        </is>
      </c>
      <c r="G69" s="3">
        <f>_xlfn.XLOOKUP(tblAsignaciones[[#This Row],[tecnico]],tblTecnicos[nombre],tblTecnicos[coordinador],"")</f>
        <v/>
      </c>
      <c r="H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9" s="3">
        <f>tblAsignaciones[[#This Row],[semana]]&amp;"|"&amp;tblAsignaciones[[#This Row],[dia]]&amp;"|"&amp;tblAsignaciones[[#This Row],[tecnico]]</f>
        <v/>
      </c>
      <c r="K69" s="3">
        <f>_xlfn.XLOOKUP(tblAsignaciones[[#This Row],[turno]],tblTurnos[turno],tblTurnos[hora_inicio],"")</f>
        <v/>
      </c>
      <c r="L69" s="3">
        <f>_xlfn.XLOOKUP(tblAsignaciones[[#This Row],[turno]],tblTurnos[turno],tblTurnos[hora_fin],"")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</t>
        </is>
      </c>
      <c r="G70" s="3">
        <f>_xlfn.XLOOKUP(tblAsignaciones[[#This Row],[tecnico]],tblTecnicos[nombre],tblTecnicos[coordinador],"")</f>
        <v/>
      </c>
      <c r="H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0" s="3">
        <f>tblAsignaciones[[#This Row],[semana]]&amp;"|"&amp;tblAsignaciones[[#This Row],[dia]]&amp;"|"&amp;tblAsignaciones[[#This Row],[tecnico]]</f>
        <v/>
      </c>
      <c r="K70" s="3">
        <f>_xlfn.XLOOKUP(tblAsignaciones[[#This Row],[turno]],tblTurnos[turno],tblTurnos[hora_inicio],"")</f>
        <v/>
      </c>
      <c r="L70" s="3">
        <f>_xlfn.XLOOKUP(tblAsignaciones[[#This Row],[turno]],tblTurnos[turno],tblTurnos[hora_fin],"")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</t>
        </is>
      </c>
      <c r="G71" s="3">
        <f>_xlfn.XLOOKUP(tblAsignaciones[[#This Row],[tecnico]],tblTecnicos[nombre],tblTecnicos[coordinador],"")</f>
        <v/>
      </c>
      <c r="H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1" s="3">
        <f>tblAsignaciones[[#This Row],[semana]]&amp;"|"&amp;tblAsignaciones[[#This Row],[dia]]&amp;"|"&amp;tblAsignaciones[[#This Row],[tecnico]]</f>
        <v/>
      </c>
      <c r="K71" s="3">
        <f>_xlfn.XLOOKUP(tblAsignaciones[[#This Row],[turno]],tblTurnos[turno],tblTurnos[hora_inicio],"")</f>
        <v/>
      </c>
      <c r="L71" s="3">
        <f>_xlfn.XLOOKUP(tblAsignaciones[[#This Row],[turno]],tblTurnos[turno],tblTurnos[hora_fin],"")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>
        <is>
          <t>B</t>
        </is>
      </c>
      <c r="G72" s="3">
        <f>_xlfn.XLOOKUP(tblAsignaciones[[#This Row],[tecnico]],tblTecnicos[nombre],tblTecnicos[coordinador],"")</f>
        <v/>
      </c>
      <c r="H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2" s="3">
        <f>tblAsignaciones[[#This Row],[semana]]&amp;"|"&amp;tblAsignaciones[[#This Row],[dia]]&amp;"|"&amp;tblAsignaciones[[#This Row],[tecnico]]</f>
        <v/>
      </c>
      <c r="K72" s="3">
        <f>_xlfn.XLOOKUP(tblAsignaciones[[#This Row],[turno]],tblTurnos[turno],tblTurnos[hora_inicio],"")</f>
        <v/>
      </c>
      <c r="L72" s="3">
        <f>_xlfn.XLOOKUP(tblAsignaciones[[#This Row],[turno]],tblTurnos[turno],tblTurnos[hora_fin],"")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3" s="3">
        <f>tblAsignaciones[[#This Row],[semana]]&amp;"|"&amp;tblAsignaciones[[#This Row],[dia]]&amp;"|"&amp;tblAsignaciones[[#This Row],[tecnico]]</f>
        <v/>
      </c>
      <c r="K73" s="3">
        <f>_xlfn.XLOOKUP(tblAsignaciones[[#This Row],[turno]],tblTurnos[turno],tblTurnos[hora_inicio],"")</f>
        <v/>
      </c>
      <c r="L73" s="3">
        <f>_xlfn.XLOOKUP(tblAsignaciones[[#This Row],[turno]],tblTurnos[turno],tblTurnos[hora_fin],"")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4" s="3">
        <f>tblAsignaciones[[#This Row],[semana]]&amp;"|"&amp;tblAsignaciones[[#This Row],[dia]]&amp;"|"&amp;tblAsignaciones[[#This Row],[tecnico]]</f>
        <v/>
      </c>
      <c r="K74" s="3">
        <f>_xlfn.XLOOKUP(tblAsignaciones[[#This Row],[turno]],tblTurnos[turno],tblTurnos[hora_inicio],"")</f>
        <v/>
      </c>
      <c r="L74" s="3">
        <f>_xlfn.XLOOKUP(tblAsignaciones[[#This Row],[turno]],tblTurnos[turno],tblTurnos[hora_fin],"")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5" s="3">
        <f>tblAsignaciones[[#This Row],[semana]]&amp;"|"&amp;tblAsignaciones[[#This Row],[dia]]&amp;"|"&amp;tblAsignaciones[[#This Row],[tecnico]]</f>
        <v/>
      </c>
      <c r="K75" s="3">
        <f>_xlfn.XLOOKUP(tblAsignaciones[[#This Row],[turno]],tblTurnos[turno],tblTurnos[hora_inicio],"")</f>
        <v/>
      </c>
      <c r="L75" s="3">
        <f>_xlfn.XLOOKUP(tblAsignaciones[[#This Row],[turno]],tblTurnos[turno],tblTurnos[hora_fin],"")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6" s="3">
        <f>tblAsignaciones[[#This Row],[semana]]&amp;"|"&amp;tblAsignaciones[[#This Row],[dia]]&amp;"|"&amp;tblAsignaciones[[#This Row],[tecnico]]</f>
        <v/>
      </c>
      <c r="K76" s="3">
        <f>_xlfn.XLOOKUP(tblAsignaciones[[#This Row],[turno]],tblTurnos[turno],tblTurnos[hora_inicio],"")</f>
        <v/>
      </c>
      <c r="L76" s="3">
        <f>_xlfn.XLOOKUP(tblAsignaciones[[#This Row],[turno]],tblTurnos[turno],tblTurnos[hora_fin],"")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7" s="3">
        <f>tblAsignaciones[[#This Row],[semana]]&amp;"|"&amp;tblAsignaciones[[#This Row],[dia]]&amp;"|"&amp;tblAsignaciones[[#This Row],[tecnico]]</f>
        <v/>
      </c>
      <c r="K77" s="3">
        <f>_xlfn.XLOOKUP(tblAsignaciones[[#This Row],[turno]],tblTurnos[turno],tblTurnos[hora_inicio],"")</f>
        <v/>
      </c>
      <c r="L77" s="3">
        <f>_xlfn.XLOOKUP(tblAsignaciones[[#This Row],[turno]],tblTurnos[turno],tblTurnos[hora_fin],"")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8" s="3">
        <f>tblAsignaciones[[#This Row],[semana]]&amp;"|"&amp;tblAsignaciones[[#This Row],[dia]]&amp;"|"&amp;tblAsignaciones[[#This Row],[tecnico]]</f>
        <v/>
      </c>
      <c r="K78" s="3">
        <f>_xlfn.XLOOKUP(tblAsignaciones[[#This Row],[turno]],tblTurnos[turno],tblTurnos[hora_inicio],"")</f>
        <v/>
      </c>
      <c r="L78" s="3">
        <f>_xlfn.XLOOKUP(tblAsignaciones[[#This Row],[turno]],tblTurnos[turno],tblTurnos[hora_fin],"")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>
        <is>
          <t>T1</t>
        </is>
      </c>
      <c r="G79" s="3">
        <f>_xlfn.XLOOKUP(tblAsignaciones[[#This Row],[tecnico]],tblTecnicos[nombre],tblTecnicos[coordinador],"")</f>
        <v/>
      </c>
      <c r="H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9" s="3">
        <f>tblAsignaciones[[#This Row],[semana]]&amp;"|"&amp;tblAsignaciones[[#This Row],[dia]]&amp;"|"&amp;tblAsignaciones[[#This Row],[tecnico]]</f>
        <v/>
      </c>
      <c r="K79" s="3">
        <f>_xlfn.XLOOKUP(tblAsignaciones[[#This Row],[turno]],tblTurnos[turno],tblTurnos[hora_inicio],"")</f>
        <v/>
      </c>
      <c r="L79" s="3">
        <f>_xlfn.XLOOKUP(tblAsignaciones[[#This Row],[turno]],tblTurnos[turno],tblTurnos[hora_fin],"")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0" s="3">
        <f>tblAsignaciones[[#This Row],[semana]]&amp;"|"&amp;tblAsignaciones[[#This Row],[dia]]&amp;"|"&amp;tblAsignaciones[[#This Row],[tecnico]]</f>
        <v/>
      </c>
      <c r="K80" s="3">
        <f>_xlfn.XLOOKUP(tblAsignaciones[[#This Row],[turno]],tblTurnos[turno],tblTurnos[hora_inicio],"")</f>
        <v/>
      </c>
      <c r="L80" s="3">
        <f>_xlfn.XLOOKUP(tblAsignaciones[[#This Row],[turno]],tblTurnos[turno],tblTurnos[hora_fin],"")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1" s="3">
        <f>tblAsignaciones[[#This Row],[semana]]&amp;"|"&amp;tblAsignaciones[[#This Row],[dia]]&amp;"|"&amp;tblAsignaciones[[#This Row],[tecnico]]</f>
        <v/>
      </c>
      <c r="K81" s="3">
        <f>_xlfn.XLOOKUP(tblAsignaciones[[#This Row],[turno]],tblTurnos[turno],tblTurnos[hora_inicio],"")</f>
        <v/>
      </c>
      <c r="L81" s="3">
        <f>_xlfn.XLOOKUP(tblAsignaciones[[#This Row],[turno]],tblTurnos[turno],tblTurnos[hora_fin],"")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2" s="3">
        <f>tblAsignaciones[[#This Row],[semana]]&amp;"|"&amp;tblAsignaciones[[#This Row],[dia]]&amp;"|"&amp;tblAsignaciones[[#This Row],[tecnico]]</f>
        <v/>
      </c>
      <c r="K82" s="3">
        <f>_xlfn.XLOOKUP(tblAsignaciones[[#This Row],[turno]],tblTurnos[turno],tblTurnos[hora_inicio],"")</f>
        <v/>
      </c>
      <c r="L82" s="3">
        <f>_xlfn.XLOOKUP(tblAsignaciones[[#This Row],[turno]],tblTurnos[turno],tblTurnos[hora_fin],"")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3" s="3">
        <f>tblAsignaciones[[#This Row],[semana]]&amp;"|"&amp;tblAsignaciones[[#This Row],[dia]]&amp;"|"&amp;tblAsignaciones[[#This Row],[tecnico]]</f>
        <v/>
      </c>
      <c r="K83" s="3">
        <f>_xlfn.XLOOKUP(tblAsignaciones[[#This Row],[turno]],tblTurnos[turno],tblTurnos[hora_inicio],"")</f>
        <v/>
      </c>
      <c r="L83" s="3">
        <f>_xlfn.XLOOKUP(tblAsignaciones[[#This Row],[turno]],tblTurnos[turno],tblTurnos[hora_fin],"")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4" s="3">
        <f>tblAsignaciones[[#This Row],[semana]]&amp;"|"&amp;tblAsignaciones[[#This Row],[dia]]&amp;"|"&amp;tblAsignaciones[[#This Row],[tecnico]]</f>
        <v/>
      </c>
      <c r="K84" s="3">
        <f>_xlfn.XLOOKUP(tblAsignaciones[[#This Row],[turno]],tblTurnos[turno],tblTurnos[hora_inicio],"")</f>
        <v/>
      </c>
      <c r="L84" s="3">
        <f>_xlfn.XLOOKUP(tblAsignaciones[[#This Row],[turno]],tblTurnos[turno],tblTurnos[hora_fin],"")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5" s="3">
        <f>tblAsignaciones[[#This Row],[semana]]&amp;"|"&amp;tblAsignaciones[[#This Row],[dia]]&amp;"|"&amp;tblAsignaciones[[#This Row],[tecnico]]</f>
        <v/>
      </c>
      <c r="K85" s="3">
        <f>_xlfn.XLOOKUP(tblAsignaciones[[#This Row],[turno]],tblTurnos[turno],tblTurnos[hora_inicio],"")</f>
        <v/>
      </c>
      <c r="L85" s="3">
        <f>_xlfn.XLOOKUP(tblAsignaciones[[#This Row],[turno]],tblTurnos[turno],tblTurnos[hora_fin],"")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>
        <is>
          <t>T1</t>
        </is>
      </c>
      <c r="G86" s="3">
        <f>_xlfn.XLOOKUP(tblAsignaciones[[#This Row],[tecnico]],tblTecnicos[nombre],tblTecnicos[coordinador],"")</f>
        <v/>
      </c>
      <c r="H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6" s="3">
        <f>tblAsignaciones[[#This Row],[semana]]&amp;"|"&amp;tblAsignaciones[[#This Row],[dia]]&amp;"|"&amp;tblAsignaciones[[#This Row],[tecnico]]</f>
        <v/>
      </c>
      <c r="K86" s="3">
        <f>_xlfn.XLOOKUP(tblAsignaciones[[#This Row],[turno]],tblTurnos[turno],tblTurnos[hora_inicio],"")</f>
        <v/>
      </c>
      <c r="L86" s="3">
        <f>_xlfn.XLOOKUP(tblAsignaciones[[#This Row],[turno]],tblTurnos[turno],tblTurnos[hora_fin],"")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7" s="3">
        <f>tblAsignaciones[[#This Row],[semana]]&amp;"|"&amp;tblAsignaciones[[#This Row],[dia]]&amp;"|"&amp;tblAsignaciones[[#This Row],[tecnico]]</f>
        <v/>
      </c>
      <c r="K87" s="3">
        <f>_xlfn.XLOOKUP(tblAsignaciones[[#This Row],[turno]],tblTurnos[turno],tblTurnos[hora_inicio],"")</f>
        <v/>
      </c>
      <c r="L87" s="3">
        <f>_xlfn.XLOOKUP(tblAsignaciones[[#This Row],[turno]],tblTurnos[turno],tblTurnos[hora_fin],"")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8" s="3">
        <f>tblAsignaciones[[#This Row],[semana]]&amp;"|"&amp;tblAsignaciones[[#This Row],[dia]]&amp;"|"&amp;tblAsignaciones[[#This Row],[tecnico]]</f>
        <v/>
      </c>
      <c r="K88" s="3">
        <f>_xlfn.XLOOKUP(tblAsignaciones[[#This Row],[turno]],tblTurnos[turno],tblTurnos[hora_inicio],"")</f>
        <v/>
      </c>
      <c r="L88" s="3">
        <f>_xlfn.XLOOKUP(tblAsignaciones[[#This Row],[turno]],tblTurnos[turno],tblTurnos[hora_fin],"")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9" s="3">
        <f>tblAsignaciones[[#This Row],[semana]]&amp;"|"&amp;tblAsignaciones[[#This Row],[dia]]&amp;"|"&amp;tblAsignaciones[[#This Row],[tecnico]]</f>
        <v/>
      </c>
      <c r="K89" s="3">
        <f>_xlfn.XLOOKUP(tblAsignaciones[[#This Row],[turno]],tblTurnos[turno],tblTurnos[hora_inicio],"")</f>
        <v/>
      </c>
      <c r="L89" s="3">
        <f>_xlfn.XLOOKUP(tblAsignaciones[[#This Row],[turno]],tblTurnos[turno],tblTurnos[hora_fin],"")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0" s="3">
        <f>tblAsignaciones[[#This Row],[semana]]&amp;"|"&amp;tblAsignaciones[[#This Row],[dia]]&amp;"|"&amp;tblAsignaciones[[#This Row],[tecnico]]</f>
        <v/>
      </c>
      <c r="K90" s="3">
        <f>_xlfn.XLOOKUP(tblAsignaciones[[#This Row],[turno]],tblTurnos[turno],tblTurnos[hora_inicio],"")</f>
        <v/>
      </c>
      <c r="L90" s="3">
        <f>_xlfn.XLOOKUP(tblAsignaciones[[#This Row],[turno]],tblTurnos[turno],tblTurnos[hora_fin],"")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1" s="3">
        <f>tblAsignaciones[[#This Row],[semana]]&amp;"|"&amp;tblAsignaciones[[#This Row],[dia]]&amp;"|"&amp;tblAsignaciones[[#This Row],[tecnico]]</f>
        <v/>
      </c>
      <c r="K91" s="3">
        <f>_xlfn.XLOOKUP(tblAsignaciones[[#This Row],[turno]],tblTurnos[turno],tblTurnos[hora_inicio],"")</f>
        <v/>
      </c>
      <c r="L91" s="3">
        <f>_xlfn.XLOOKUP(tblAsignaciones[[#This Row],[turno]],tblTurnos[turno],tblTurnos[hora_fin],"")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2" s="3">
        <f>tblAsignaciones[[#This Row],[semana]]&amp;"|"&amp;tblAsignaciones[[#This Row],[dia]]&amp;"|"&amp;tblAsignaciones[[#This Row],[tecnico]]</f>
        <v/>
      </c>
      <c r="K92" s="3">
        <f>_xlfn.XLOOKUP(tblAsignaciones[[#This Row],[turno]],tblTurnos[turno],tblTurnos[hora_inicio],"")</f>
        <v/>
      </c>
      <c r="L92" s="3">
        <f>_xlfn.XLOOKUP(tblAsignaciones[[#This Row],[turno]],tblTurnos[turno],tblTurnos[hora_fin],"")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>
        <is>
          <t>T1</t>
        </is>
      </c>
      <c r="G93" s="3">
        <f>_xlfn.XLOOKUP(tblAsignaciones[[#This Row],[tecnico]],tblTecnicos[nombre],tblTecnicos[coordinador],"")</f>
        <v/>
      </c>
      <c r="H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3" s="3">
        <f>tblAsignaciones[[#This Row],[semana]]&amp;"|"&amp;tblAsignaciones[[#This Row],[dia]]&amp;"|"&amp;tblAsignaciones[[#This Row],[tecnico]]</f>
        <v/>
      </c>
      <c r="K93" s="3">
        <f>_xlfn.XLOOKUP(tblAsignaciones[[#This Row],[turno]],tblTurnos[turno],tblTurnos[hora_inicio],"")</f>
        <v/>
      </c>
      <c r="L93" s="3">
        <f>_xlfn.XLOOKUP(tblAsignaciones[[#This Row],[turno]],tblTurnos[turno],tblTurnos[hora_fin],"")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4" s="3">
        <f>tblAsignaciones[[#This Row],[semana]]&amp;"|"&amp;tblAsignaciones[[#This Row],[dia]]&amp;"|"&amp;tblAsignaciones[[#This Row],[tecnico]]</f>
        <v/>
      </c>
      <c r="K94" s="3">
        <f>_xlfn.XLOOKUP(tblAsignaciones[[#This Row],[turno]],tblTurnos[turno],tblTurnos[hora_inicio],"")</f>
        <v/>
      </c>
      <c r="L94" s="3">
        <f>_xlfn.XLOOKUP(tblAsignaciones[[#This Row],[turno]],tblTurnos[turno],tblTurnos[hora_fin],"")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5" s="3">
        <f>tblAsignaciones[[#This Row],[semana]]&amp;"|"&amp;tblAsignaciones[[#This Row],[dia]]&amp;"|"&amp;tblAsignaciones[[#This Row],[tecnico]]</f>
        <v/>
      </c>
      <c r="K95" s="3">
        <f>_xlfn.XLOOKUP(tblAsignaciones[[#This Row],[turno]],tblTurnos[turno],tblTurnos[hora_inicio],"")</f>
        <v/>
      </c>
      <c r="L95" s="3">
        <f>_xlfn.XLOOKUP(tblAsignaciones[[#This Row],[turno]],tblTurnos[turno],tblTurnos[hora_fin],"")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6" s="3">
        <f>tblAsignaciones[[#This Row],[semana]]&amp;"|"&amp;tblAsignaciones[[#This Row],[dia]]&amp;"|"&amp;tblAsignaciones[[#This Row],[tecnico]]</f>
        <v/>
      </c>
      <c r="K96" s="3">
        <f>_xlfn.XLOOKUP(tblAsignaciones[[#This Row],[turno]],tblTurnos[turno],tblTurnos[hora_inicio],"")</f>
        <v/>
      </c>
      <c r="L96" s="3">
        <f>_xlfn.XLOOKUP(tblAsignaciones[[#This Row],[turno]],tblTurnos[turno],tblTurnos[hora_fin],"")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7" s="3">
        <f>tblAsignaciones[[#This Row],[semana]]&amp;"|"&amp;tblAsignaciones[[#This Row],[dia]]&amp;"|"&amp;tblAsignaciones[[#This Row],[tecnico]]</f>
        <v/>
      </c>
      <c r="K97" s="3">
        <f>_xlfn.XLOOKUP(tblAsignaciones[[#This Row],[turno]],tblTurnos[turno],tblTurnos[hora_inicio],"")</f>
        <v/>
      </c>
      <c r="L97" s="3">
        <f>_xlfn.XLOOKUP(tblAsignaciones[[#This Row],[turno]],tblTurnos[turno],tblTurnos[hora_fin],"")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8" s="3">
        <f>tblAsignaciones[[#This Row],[semana]]&amp;"|"&amp;tblAsignaciones[[#This Row],[dia]]&amp;"|"&amp;tblAsignaciones[[#This Row],[tecnico]]</f>
        <v/>
      </c>
      <c r="K98" s="3">
        <f>_xlfn.XLOOKUP(tblAsignaciones[[#This Row],[turno]],tblTurnos[turno],tblTurnos[hora_inicio],"")</f>
        <v/>
      </c>
      <c r="L98" s="3">
        <f>_xlfn.XLOOKUP(tblAsignaciones[[#This Row],[turno]],tblTurnos[turno],tblTurnos[hora_fin],"")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9" s="3">
        <f>tblAsignaciones[[#This Row],[semana]]&amp;"|"&amp;tblAsignaciones[[#This Row],[dia]]&amp;"|"&amp;tblAsignaciones[[#This Row],[tecnico]]</f>
        <v/>
      </c>
      <c r="K99" s="3">
        <f>_xlfn.XLOOKUP(tblAsignaciones[[#This Row],[turno]],tblTurnos[turno],tblTurnos[hora_inicio],"")</f>
        <v/>
      </c>
      <c r="L99" s="3">
        <f>_xlfn.XLOOKUP(tblAsignaciones[[#This Row],[turno]],tblTurnos[turno],tblTurnos[hora_fin],"")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>
        <is>
          <t>T2</t>
        </is>
      </c>
      <c r="G100" s="3">
        <f>_xlfn.XLOOKUP(tblAsignaciones[[#This Row],[tecnico]],tblTecnicos[nombre],tblTecnicos[coordinador],"")</f>
        <v/>
      </c>
      <c r="H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0" s="3">
        <f>tblAsignaciones[[#This Row],[semana]]&amp;"|"&amp;tblAsignaciones[[#This Row],[dia]]&amp;"|"&amp;tblAsignaciones[[#This Row],[tecnico]]</f>
        <v/>
      </c>
      <c r="K100" s="3">
        <f>_xlfn.XLOOKUP(tblAsignaciones[[#This Row],[turno]],tblTurnos[turno],tblTurnos[hora_inicio],"")</f>
        <v/>
      </c>
      <c r="L100" s="3">
        <f>_xlfn.XLOOKUP(tblAsignaciones[[#This Row],[turno]],tblTurnos[turno],tblTurnos[hora_fin],"")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1" s="3">
        <f>tblAsignaciones[[#This Row],[semana]]&amp;"|"&amp;tblAsignaciones[[#This Row],[dia]]&amp;"|"&amp;tblAsignaciones[[#This Row],[tecnico]]</f>
        <v/>
      </c>
      <c r="K101" s="3">
        <f>_xlfn.XLOOKUP(tblAsignaciones[[#This Row],[turno]],tblTurnos[turno],tblTurnos[hora_inicio],"")</f>
        <v/>
      </c>
      <c r="L101" s="3">
        <f>_xlfn.XLOOKUP(tblAsignaciones[[#This Row],[turno]],tblTurnos[turno],tblTurnos[hora_fin],"")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2" s="3">
        <f>tblAsignaciones[[#This Row],[semana]]&amp;"|"&amp;tblAsignaciones[[#This Row],[dia]]&amp;"|"&amp;tblAsignaciones[[#This Row],[tecnico]]</f>
        <v/>
      </c>
      <c r="K102" s="3">
        <f>_xlfn.XLOOKUP(tblAsignaciones[[#This Row],[turno]],tblTurnos[turno],tblTurnos[hora_inicio],"")</f>
        <v/>
      </c>
      <c r="L102" s="3">
        <f>_xlfn.XLOOKUP(tblAsignaciones[[#This Row],[turno]],tblTurnos[turno],tblTurnos[hora_fin],"")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3" s="3">
        <f>tblAsignaciones[[#This Row],[semana]]&amp;"|"&amp;tblAsignaciones[[#This Row],[dia]]&amp;"|"&amp;tblAsignaciones[[#This Row],[tecnico]]</f>
        <v/>
      </c>
      <c r="K103" s="3">
        <f>_xlfn.XLOOKUP(tblAsignaciones[[#This Row],[turno]],tblTurnos[turno],tblTurnos[hora_inicio],"")</f>
        <v/>
      </c>
      <c r="L103" s="3">
        <f>_xlfn.XLOOKUP(tblAsignaciones[[#This Row],[turno]],tblTurnos[turno],tblTurnos[hora_fin],"")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4" s="3">
        <f>tblAsignaciones[[#This Row],[semana]]&amp;"|"&amp;tblAsignaciones[[#This Row],[dia]]&amp;"|"&amp;tblAsignaciones[[#This Row],[tecnico]]</f>
        <v/>
      </c>
      <c r="K104" s="3">
        <f>_xlfn.XLOOKUP(tblAsignaciones[[#This Row],[turno]],tblTurnos[turno],tblTurnos[hora_inicio],"")</f>
        <v/>
      </c>
      <c r="L104" s="3">
        <f>_xlfn.XLOOKUP(tblAsignaciones[[#This Row],[turno]],tblTurnos[turno],tblTurnos[hora_fin],"")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5" s="3">
        <f>tblAsignaciones[[#This Row],[semana]]&amp;"|"&amp;tblAsignaciones[[#This Row],[dia]]&amp;"|"&amp;tblAsignaciones[[#This Row],[tecnico]]</f>
        <v/>
      </c>
      <c r="K105" s="3">
        <f>_xlfn.XLOOKUP(tblAsignaciones[[#This Row],[turno]],tblTurnos[turno],tblTurnos[hora_inicio],"")</f>
        <v/>
      </c>
      <c r="L105" s="3">
        <f>_xlfn.XLOOKUP(tblAsignaciones[[#This Row],[turno]],tblTurnos[turno],tblTurnos[hora_fin],"")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6" s="3">
        <f>tblAsignaciones[[#This Row],[semana]]&amp;"|"&amp;tblAsignaciones[[#This Row],[dia]]&amp;"|"&amp;tblAsignaciones[[#This Row],[tecnico]]</f>
        <v/>
      </c>
      <c r="K106" s="3">
        <f>_xlfn.XLOOKUP(tblAsignaciones[[#This Row],[turno]],tblTurnos[turno],tblTurnos[hora_inicio],"")</f>
        <v/>
      </c>
      <c r="L106" s="3">
        <f>_xlfn.XLOOKUP(tblAsignaciones[[#This Row],[turno]],tblTurnos[turno],tblTurnos[hora_fin],"")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>
        <is>
          <t>T1</t>
        </is>
      </c>
      <c r="G107" s="3">
        <f>_xlfn.XLOOKUP(tblAsignaciones[[#This Row],[tecnico]],tblTecnicos[nombre],tblTecnicos[coordinador],"")</f>
        <v/>
      </c>
      <c r="H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7" s="3">
        <f>tblAsignaciones[[#This Row],[semana]]&amp;"|"&amp;tblAsignaciones[[#This Row],[dia]]&amp;"|"&amp;tblAsignaciones[[#This Row],[tecnico]]</f>
        <v/>
      </c>
      <c r="K107" s="3">
        <f>_xlfn.XLOOKUP(tblAsignaciones[[#This Row],[turno]],tblTurnos[turno],tblTurnos[hora_inicio],"")</f>
        <v/>
      </c>
      <c r="L107" s="3">
        <f>_xlfn.XLOOKUP(tblAsignaciones[[#This Row],[turno]],tblTurnos[turno],tblTurnos[hora_fin],"")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8" s="3">
        <f>tblAsignaciones[[#This Row],[semana]]&amp;"|"&amp;tblAsignaciones[[#This Row],[dia]]&amp;"|"&amp;tblAsignaciones[[#This Row],[tecnico]]</f>
        <v/>
      </c>
      <c r="K108" s="3">
        <f>_xlfn.XLOOKUP(tblAsignaciones[[#This Row],[turno]],tblTurnos[turno],tblTurnos[hora_inicio],"")</f>
        <v/>
      </c>
      <c r="L108" s="3">
        <f>_xlfn.XLOOKUP(tblAsignaciones[[#This Row],[turno]],tblTurnos[turno],tblTurnos[hora_fin],"")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9" s="3">
        <f>tblAsignaciones[[#This Row],[semana]]&amp;"|"&amp;tblAsignaciones[[#This Row],[dia]]&amp;"|"&amp;tblAsignaciones[[#This Row],[tecnico]]</f>
        <v/>
      </c>
      <c r="K109" s="3">
        <f>_xlfn.XLOOKUP(tblAsignaciones[[#This Row],[turno]],tblTurnos[turno],tblTurnos[hora_inicio],"")</f>
        <v/>
      </c>
      <c r="L109" s="3">
        <f>_xlfn.XLOOKUP(tblAsignaciones[[#This Row],[turno]],tblTurnos[turno],tblTurnos[hora_fin],"")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0" s="3">
        <f>tblAsignaciones[[#This Row],[semana]]&amp;"|"&amp;tblAsignaciones[[#This Row],[dia]]&amp;"|"&amp;tblAsignaciones[[#This Row],[tecnico]]</f>
        <v/>
      </c>
      <c r="K110" s="3">
        <f>_xlfn.XLOOKUP(tblAsignaciones[[#This Row],[turno]],tblTurnos[turno],tblTurnos[hora_inicio],"")</f>
        <v/>
      </c>
      <c r="L110" s="3">
        <f>_xlfn.XLOOKUP(tblAsignaciones[[#This Row],[turno]],tblTurnos[turno],tblTurnos[hora_fin],"")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1" s="3">
        <f>tblAsignaciones[[#This Row],[semana]]&amp;"|"&amp;tblAsignaciones[[#This Row],[dia]]&amp;"|"&amp;tblAsignaciones[[#This Row],[tecnico]]</f>
        <v/>
      </c>
      <c r="K111" s="3">
        <f>_xlfn.XLOOKUP(tblAsignaciones[[#This Row],[turno]],tblTurnos[turno],tblTurnos[hora_inicio],"")</f>
        <v/>
      </c>
      <c r="L111" s="3">
        <f>_xlfn.XLOOKUP(tblAsignaciones[[#This Row],[turno]],tblTurnos[turno],tblTurnos[hora_fin],"")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2" s="3">
        <f>tblAsignaciones[[#This Row],[semana]]&amp;"|"&amp;tblAsignaciones[[#This Row],[dia]]&amp;"|"&amp;tblAsignaciones[[#This Row],[tecnico]]</f>
        <v/>
      </c>
      <c r="K112" s="3">
        <f>_xlfn.XLOOKUP(tblAsignaciones[[#This Row],[turno]],tblTurnos[turno],tblTurnos[hora_inicio],"")</f>
        <v/>
      </c>
      <c r="L112" s="3">
        <f>_xlfn.XLOOKUP(tblAsignaciones[[#This Row],[turno]],tblTurnos[turno],tblTurnos[hora_fin],"")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3" s="3">
        <f>tblAsignaciones[[#This Row],[semana]]&amp;"|"&amp;tblAsignaciones[[#This Row],[dia]]&amp;"|"&amp;tblAsignaciones[[#This Row],[tecnico]]</f>
        <v/>
      </c>
      <c r="K113" s="3">
        <f>_xlfn.XLOOKUP(tblAsignaciones[[#This Row],[turno]],tblTurnos[turno],tblTurnos[hora_inicio],"")</f>
        <v/>
      </c>
      <c r="L113" s="3">
        <f>_xlfn.XLOOKUP(tblAsignaciones[[#This Row],[turno]],tblTurnos[turno],tblTurnos[hora_fin],"")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>
        <is>
          <t>T1</t>
        </is>
      </c>
      <c r="G114" s="3">
        <f>_xlfn.XLOOKUP(tblAsignaciones[[#This Row],[tecnico]],tblTecnicos[nombre],tblTecnicos[coordinador],"")</f>
        <v/>
      </c>
      <c r="H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4" s="3">
        <f>tblAsignaciones[[#This Row],[semana]]&amp;"|"&amp;tblAsignaciones[[#This Row],[dia]]&amp;"|"&amp;tblAsignaciones[[#This Row],[tecnico]]</f>
        <v/>
      </c>
      <c r="K114" s="3">
        <f>_xlfn.XLOOKUP(tblAsignaciones[[#This Row],[turno]],tblTurnos[turno],tblTurnos[hora_inicio],"")</f>
        <v/>
      </c>
      <c r="L114" s="3">
        <f>_xlfn.XLOOKUP(tblAsignaciones[[#This Row],[turno]],tblTurnos[turno],tblTurnos[hora_fin],"")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5" s="3">
        <f>tblAsignaciones[[#This Row],[semana]]&amp;"|"&amp;tblAsignaciones[[#This Row],[dia]]&amp;"|"&amp;tblAsignaciones[[#This Row],[tecnico]]</f>
        <v/>
      </c>
      <c r="K115" s="3">
        <f>_xlfn.XLOOKUP(tblAsignaciones[[#This Row],[turno]],tblTurnos[turno],tblTurnos[hora_inicio],"")</f>
        <v/>
      </c>
      <c r="L115" s="3">
        <f>_xlfn.XLOOKUP(tblAsignaciones[[#This Row],[turno]],tblTurnos[turno],tblTurnos[hora_fin],"")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6" s="3">
        <f>tblAsignaciones[[#This Row],[semana]]&amp;"|"&amp;tblAsignaciones[[#This Row],[dia]]&amp;"|"&amp;tblAsignaciones[[#This Row],[tecnico]]</f>
        <v/>
      </c>
      <c r="K116" s="3">
        <f>_xlfn.XLOOKUP(tblAsignaciones[[#This Row],[turno]],tblTurnos[turno],tblTurnos[hora_inicio],"")</f>
        <v/>
      </c>
      <c r="L116" s="3">
        <f>_xlfn.XLOOKUP(tblAsignaciones[[#This Row],[turno]],tblTurnos[turno],tblTurnos[hora_fin],"")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7" s="3">
        <f>tblAsignaciones[[#This Row],[semana]]&amp;"|"&amp;tblAsignaciones[[#This Row],[dia]]&amp;"|"&amp;tblAsignaciones[[#This Row],[tecnico]]</f>
        <v/>
      </c>
      <c r="K117" s="3">
        <f>_xlfn.XLOOKUP(tblAsignaciones[[#This Row],[turno]],tblTurnos[turno],tblTurnos[hora_inicio],"")</f>
        <v/>
      </c>
      <c r="L117" s="3">
        <f>_xlfn.XLOOKUP(tblAsignaciones[[#This Row],[turno]],tblTurnos[turno],tblTurnos[hora_fin],"")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8" s="3">
        <f>tblAsignaciones[[#This Row],[semana]]&amp;"|"&amp;tblAsignaciones[[#This Row],[dia]]&amp;"|"&amp;tblAsignaciones[[#This Row],[tecnico]]</f>
        <v/>
      </c>
      <c r="K118" s="3">
        <f>_xlfn.XLOOKUP(tblAsignaciones[[#This Row],[turno]],tblTurnos[turno],tblTurnos[hora_inicio],"")</f>
        <v/>
      </c>
      <c r="L118" s="3">
        <f>_xlfn.XLOOKUP(tblAsignaciones[[#This Row],[turno]],tblTurnos[turno],tblTurnos[hora_fin],"")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9" s="3">
        <f>tblAsignaciones[[#This Row],[semana]]&amp;"|"&amp;tblAsignaciones[[#This Row],[dia]]&amp;"|"&amp;tblAsignaciones[[#This Row],[tecnico]]</f>
        <v/>
      </c>
      <c r="K119" s="3">
        <f>_xlfn.XLOOKUP(tblAsignaciones[[#This Row],[turno]],tblTurnos[turno],tblTurnos[hora_inicio],"")</f>
        <v/>
      </c>
      <c r="L119" s="3">
        <f>_xlfn.XLOOKUP(tblAsignaciones[[#This Row],[turno]],tblTurnos[turno],tblTurnos[hora_fin],"")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0" s="3">
        <f>tblAsignaciones[[#This Row],[semana]]&amp;"|"&amp;tblAsignaciones[[#This Row],[dia]]&amp;"|"&amp;tblAsignaciones[[#This Row],[tecnico]]</f>
        <v/>
      </c>
      <c r="K120" s="3">
        <f>_xlfn.XLOOKUP(tblAsignaciones[[#This Row],[turno]],tblTurnos[turno],tblTurnos[hora_inicio],"")</f>
        <v/>
      </c>
      <c r="L120" s="3">
        <f>_xlfn.XLOOKUP(tblAsignaciones[[#This Row],[turno]],tblTurnos[turno],tblTurnos[hora_fin],"")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>
        <is>
          <t>T1</t>
        </is>
      </c>
      <c r="G121" s="3">
        <f>_xlfn.XLOOKUP(tblAsignaciones[[#This Row],[tecnico]],tblTecnicos[nombre],tblTecnicos[coordinador],"")</f>
        <v/>
      </c>
      <c r="H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1" s="3">
        <f>tblAsignaciones[[#This Row],[semana]]&amp;"|"&amp;tblAsignaciones[[#This Row],[dia]]&amp;"|"&amp;tblAsignaciones[[#This Row],[tecnico]]</f>
        <v/>
      </c>
      <c r="K121" s="3">
        <f>_xlfn.XLOOKUP(tblAsignaciones[[#This Row],[turno]],tblTurnos[turno],tblTurnos[hora_inicio],"")</f>
        <v/>
      </c>
      <c r="L121" s="3">
        <f>_xlfn.XLOOKUP(tblAsignaciones[[#This Row],[turno]],tblTurnos[turno],tblTurnos[hora_fin],"")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2" s="3">
        <f>tblAsignaciones[[#This Row],[semana]]&amp;"|"&amp;tblAsignaciones[[#This Row],[dia]]&amp;"|"&amp;tblAsignaciones[[#This Row],[tecnico]]</f>
        <v/>
      </c>
      <c r="K122" s="3">
        <f>_xlfn.XLOOKUP(tblAsignaciones[[#This Row],[turno]],tblTurnos[turno],tblTurnos[hora_inicio],"")</f>
        <v/>
      </c>
      <c r="L122" s="3">
        <f>_xlfn.XLOOKUP(tblAsignaciones[[#This Row],[turno]],tblTurnos[turno],tblTurnos[hora_fin],"")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3" s="3">
        <f>tblAsignaciones[[#This Row],[semana]]&amp;"|"&amp;tblAsignaciones[[#This Row],[dia]]&amp;"|"&amp;tblAsignaciones[[#This Row],[tecnico]]</f>
        <v/>
      </c>
      <c r="K123" s="3">
        <f>_xlfn.XLOOKUP(tblAsignaciones[[#This Row],[turno]],tblTurnos[turno],tblTurnos[hora_inicio],"")</f>
        <v/>
      </c>
      <c r="L123" s="3">
        <f>_xlfn.XLOOKUP(tblAsignaciones[[#This Row],[turno]],tblTurnos[turno],tblTurnos[hora_fin],"")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4" s="3">
        <f>tblAsignaciones[[#This Row],[semana]]&amp;"|"&amp;tblAsignaciones[[#This Row],[dia]]&amp;"|"&amp;tblAsignaciones[[#This Row],[tecnico]]</f>
        <v/>
      </c>
      <c r="K124" s="3">
        <f>_xlfn.XLOOKUP(tblAsignaciones[[#This Row],[turno]],tblTurnos[turno],tblTurnos[hora_inicio],"")</f>
        <v/>
      </c>
      <c r="L124" s="3">
        <f>_xlfn.XLOOKUP(tblAsignaciones[[#This Row],[turno]],tblTurnos[turno],tblTurnos[hora_fin],"")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5" s="3">
        <f>tblAsignaciones[[#This Row],[semana]]&amp;"|"&amp;tblAsignaciones[[#This Row],[dia]]&amp;"|"&amp;tblAsignaciones[[#This Row],[tecnico]]</f>
        <v/>
      </c>
      <c r="K125" s="3">
        <f>_xlfn.XLOOKUP(tblAsignaciones[[#This Row],[turno]],tblTurnos[turno],tblTurnos[hora_inicio],"")</f>
        <v/>
      </c>
      <c r="L125" s="3">
        <f>_xlfn.XLOOKUP(tblAsignaciones[[#This Row],[turno]],tblTurnos[turno],tblTurnos[hora_fin],"")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6" s="3">
        <f>tblAsignaciones[[#This Row],[semana]]&amp;"|"&amp;tblAsignaciones[[#This Row],[dia]]&amp;"|"&amp;tblAsignaciones[[#This Row],[tecnico]]</f>
        <v/>
      </c>
      <c r="K126" s="3">
        <f>_xlfn.XLOOKUP(tblAsignaciones[[#This Row],[turno]],tblTurnos[turno],tblTurnos[hora_inicio],"")</f>
        <v/>
      </c>
      <c r="L126" s="3">
        <f>_xlfn.XLOOKUP(tblAsignaciones[[#This Row],[turno]],tblTurnos[turno],tblTurnos[hora_fin],"")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7" s="3">
        <f>tblAsignaciones[[#This Row],[semana]]&amp;"|"&amp;tblAsignaciones[[#This Row],[dia]]&amp;"|"&amp;tblAsignaciones[[#This Row],[tecnico]]</f>
        <v/>
      </c>
      <c r="K127" s="3">
        <f>_xlfn.XLOOKUP(tblAsignaciones[[#This Row],[turno]],tblTurnos[turno],tblTurnos[hora_inicio],"")</f>
        <v/>
      </c>
      <c r="L127" s="3">
        <f>_xlfn.XLOOKUP(tblAsignaciones[[#This Row],[turno]],tblTurnos[turno],tblTurnos[hora_fin],"")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>
        <is>
          <t>T1</t>
        </is>
      </c>
      <c r="G128" s="3">
        <f>_xlfn.XLOOKUP(tblAsignaciones[[#This Row],[tecnico]],tblTecnicos[nombre],tblTecnicos[coordinador],"")</f>
        <v/>
      </c>
      <c r="H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8" s="3">
        <f>tblAsignaciones[[#This Row],[semana]]&amp;"|"&amp;tblAsignaciones[[#This Row],[dia]]&amp;"|"&amp;tblAsignaciones[[#This Row],[tecnico]]</f>
        <v/>
      </c>
      <c r="K128" s="3">
        <f>_xlfn.XLOOKUP(tblAsignaciones[[#This Row],[turno]],tblTurnos[turno],tblTurnos[hora_inicio],"")</f>
        <v/>
      </c>
      <c r="L128" s="3">
        <f>_xlfn.XLOOKUP(tblAsignaciones[[#This Row],[turno]],tblTurnos[turno],tblTurnos[hora_fin],"")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9" s="3">
        <f>tblAsignaciones[[#This Row],[semana]]&amp;"|"&amp;tblAsignaciones[[#This Row],[dia]]&amp;"|"&amp;tblAsignaciones[[#This Row],[tecnico]]</f>
        <v/>
      </c>
      <c r="K129" s="3">
        <f>_xlfn.XLOOKUP(tblAsignaciones[[#This Row],[turno]],tblTurnos[turno],tblTurnos[hora_inicio],"")</f>
        <v/>
      </c>
      <c r="L129" s="3">
        <f>_xlfn.XLOOKUP(tblAsignaciones[[#This Row],[turno]],tblTurnos[turno],tblTurnos[hora_fin],"")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0" s="3">
        <f>tblAsignaciones[[#This Row],[semana]]&amp;"|"&amp;tblAsignaciones[[#This Row],[dia]]&amp;"|"&amp;tblAsignaciones[[#This Row],[tecnico]]</f>
        <v/>
      </c>
      <c r="K130" s="3">
        <f>_xlfn.XLOOKUP(tblAsignaciones[[#This Row],[turno]],tblTurnos[turno],tblTurnos[hora_inicio],"")</f>
        <v/>
      </c>
      <c r="L130" s="3">
        <f>_xlfn.XLOOKUP(tblAsignaciones[[#This Row],[turno]],tblTurnos[turno],tblTurnos[hora_fin],"")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1" s="3">
        <f>tblAsignaciones[[#This Row],[semana]]&amp;"|"&amp;tblAsignaciones[[#This Row],[dia]]&amp;"|"&amp;tblAsignaciones[[#This Row],[tecnico]]</f>
        <v/>
      </c>
      <c r="K131" s="3">
        <f>_xlfn.XLOOKUP(tblAsignaciones[[#This Row],[turno]],tblTurnos[turno],tblTurnos[hora_inicio],"")</f>
        <v/>
      </c>
      <c r="L131" s="3">
        <f>_xlfn.XLOOKUP(tblAsignaciones[[#This Row],[turno]],tblTurnos[turno],tblTurnos[hora_fin],"")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2" s="3">
        <f>tblAsignaciones[[#This Row],[semana]]&amp;"|"&amp;tblAsignaciones[[#This Row],[dia]]&amp;"|"&amp;tblAsignaciones[[#This Row],[tecnico]]</f>
        <v/>
      </c>
      <c r="K132" s="3">
        <f>_xlfn.XLOOKUP(tblAsignaciones[[#This Row],[turno]],tblTurnos[turno],tblTurnos[hora_inicio],"")</f>
        <v/>
      </c>
      <c r="L132" s="3">
        <f>_xlfn.XLOOKUP(tblAsignaciones[[#This Row],[turno]],tblTurnos[turno],tblTurnos[hora_fin],"")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3" s="3">
        <f>tblAsignaciones[[#This Row],[semana]]&amp;"|"&amp;tblAsignaciones[[#This Row],[dia]]&amp;"|"&amp;tblAsignaciones[[#This Row],[tecnico]]</f>
        <v/>
      </c>
      <c r="K133" s="3">
        <f>_xlfn.XLOOKUP(tblAsignaciones[[#This Row],[turno]],tblTurnos[turno],tblTurnos[hora_inicio],"")</f>
        <v/>
      </c>
      <c r="L133" s="3">
        <f>_xlfn.XLOOKUP(tblAsignaciones[[#This Row],[turno]],tblTurnos[turno],tblTurnos[hora_fin],"")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4" s="3">
        <f>tblAsignaciones[[#This Row],[semana]]&amp;"|"&amp;tblAsignaciones[[#This Row],[dia]]&amp;"|"&amp;tblAsignaciones[[#This Row],[tecnico]]</f>
        <v/>
      </c>
      <c r="K134" s="3">
        <f>_xlfn.XLOOKUP(tblAsignaciones[[#This Row],[turno]],tblTurnos[turno],tblTurnos[hora_inicio],"")</f>
        <v/>
      </c>
      <c r="L134" s="3">
        <f>_xlfn.XLOOKUP(tblAsignaciones[[#This Row],[turno]],tblTurnos[turno],tblTurnos[hora_fin],"")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>
        <is>
          <t>T1</t>
        </is>
      </c>
      <c r="G135" s="3">
        <f>_xlfn.XLOOKUP(tblAsignaciones[[#This Row],[tecnico]],tblTecnicos[nombre],tblTecnicos[coordinador],"")</f>
        <v/>
      </c>
      <c r="H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5" s="3">
        <f>tblAsignaciones[[#This Row],[semana]]&amp;"|"&amp;tblAsignaciones[[#This Row],[dia]]&amp;"|"&amp;tblAsignaciones[[#This Row],[tecnico]]</f>
        <v/>
      </c>
      <c r="K135" s="3">
        <f>_xlfn.XLOOKUP(tblAsignaciones[[#This Row],[turno]],tblTurnos[turno],tblTurnos[hora_inicio],"")</f>
        <v/>
      </c>
      <c r="L135" s="3">
        <f>_xlfn.XLOOKUP(tblAsignaciones[[#This Row],[turno]],tblTurnos[turno],tblTurnos[hora_fin],"")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6" s="3">
        <f>tblAsignaciones[[#This Row],[semana]]&amp;"|"&amp;tblAsignaciones[[#This Row],[dia]]&amp;"|"&amp;tblAsignaciones[[#This Row],[tecnico]]</f>
        <v/>
      </c>
      <c r="K136" s="3">
        <f>_xlfn.XLOOKUP(tblAsignaciones[[#This Row],[turno]],tblTurnos[turno],tblTurnos[hora_inicio],"")</f>
        <v/>
      </c>
      <c r="L136" s="3">
        <f>_xlfn.XLOOKUP(tblAsignaciones[[#This Row],[turno]],tblTurnos[turno],tblTurnos[hora_fin],"")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B</t>
        </is>
      </c>
      <c r="G137" s="3">
        <f>_xlfn.XLOOKUP(tblAsignaciones[[#This Row],[tecnico]],tblTecnicos[nombre],tblTecnicos[coordinador],"")</f>
        <v/>
      </c>
      <c r="H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7" s="3">
        <f>tblAsignaciones[[#This Row],[semana]]&amp;"|"&amp;tblAsignaciones[[#This Row],[dia]]&amp;"|"&amp;tblAsignaciones[[#This Row],[tecnico]]</f>
        <v/>
      </c>
      <c r="K137" s="3">
        <f>_xlfn.XLOOKUP(tblAsignaciones[[#This Row],[turno]],tblTurnos[turno],tblTurnos[hora_inicio],"")</f>
        <v/>
      </c>
      <c r="L137" s="3">
        <f>_xlfn.XLOOKUP(tblAsignaciones[[#This Row],[turno]],tblTurnos[turno],tblTurnos[hora_fin],"")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B</t>
        </is>
      </c>
      <c r="G138" s="3">
        <f>_xlfn.XLOOKUP(tblAsignaciones[[#This Row],[tecnico]],tblTecnicos[nombre],tblTecnicos[coordinador],"")</f>
        <v/>
      </c>
      <c r="H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8" s="3">
        <f>tblAsignaciones[[#This Row],[semana]]&amp;"|"&amp;tblAsignaciones[[#This Row],[dia]]&amp;"|"&amp;tblAsignaciones[[#This Row],[tecnico]]</f>
        <v/>
      </c>
      <c r="K138" s="3">
        <f>_xlfn.XLOOKUP(tblAsignaciones[[#This Row],[turno]],tblTurnos[turno],tblTurnos[hora_inicio],"")</f>
        <v/>
      </c>
      <c r="L138" s="3">
        <f>_xlfn.XLOOKUP(tblAsignaciones[[#This Row],[turno]],tblTurnos[turno],tblTurnos[hora_fin],"")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B</t>
        </is>
      </c>
      <c r="G139" s="3">
        <f>_xlfn.XLOOKUP(tblAsignaciones[[#This Row],[tecnico]],tblTecnicos[nombre],tblTecnicos[coordinador],"")</f>
        <v/>
      </c>
      <c r="H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9" s="3">
        <f>tblAsignaciones[[#This Row],[semana]]&amp;"|"&amp;tblAsignaciones[[#This Row],[dia]]&amp;"|"&amp;tblAsignaciones[[#This Row],[tecnico]]</f>
        <v/>
      </c>
      <c r="K139" s="3">
        <f>_xlfn.XLOOKUP(tblAsignaciones[[#This Row],[turno]],tblTurnos[turno],tblTurnos[hora_inicio],"")</f>
        <v/>
      </c>
      <c r="L139" s="3">
        <f>_xlfn.XLOOKUP(tblAsignaciones[[#This Row],[turno]],tblTurnos[turno],tblTurnos[hora_fin],"")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B</t>
        </is>
      </c>
      <c r="G140" s="3">
        <f>_xlfn.XLOOKUP(tblAsignaciones[[#This Row],[tecnico]],tblTecnicos[nombre],tblTecnicos[coordinador],"")</f>
        <v/>
      </c>
      <c r="H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0" s="3">
        <f>tblAsignaciones[[#This Row],[semana]]&amp;"|"&amp;tblAsignaciones[[#This Row],[dia]]&amp;"|"&amp;tblAsignaciones[[#This Row],[tecnico]]</f>
        <v/>
      </c>
      <c r="K140" s="3">
        <f>_xlfn.XLOOKUP(tblAsignaciones[[#This Row],[turno]],tblTurnos[turno],tblTurnos[hora_inicio],"")</f>
        <v/>
      </c>
      <c r="L140" s="3">
        <f>_xlfn.XLOOKUP(tblAsignaciones[[#This Row],[turno]],tblTurnos[turno],tblTurnos[hora_fin],"")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B</t>
        </is>
      </c>
      <c r="G141" s="3">
        <f>_xlfn.XLOOKUP(tblAsignaciones[[#This Row],[tecnico]],tblTecnicos[nombre],tblTecnicos[coordinador],"")</f>
        <v/>
      </c>
      <c r="H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1" s="3">
        <f>tblAsignaciones[[#This Row],[semana]]&amp;"|"&amp;tblAsignaciones[[#This Row],[dia]]&amp;"|"&amp;tblAsignaciones[[#This Row],[tecnico]]</f>
        <v/>
      </c>
      <c r="K141" s="3">
        <f>_xlfn.XLOOKUP(tblAsignaciones[[#This Row],[turno]],tblTurnos[turno],tblTurnos[hora_inicio],"")</f>
        <v/>
      </c>
      <c r="L141" s="3">
        <f>_xlfn.XLOOKUP(tblAsignaciones[[#This Row],[turno]],tblTurnos[turno],tblTurnos[hora_fin],"")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>
        <is>
          <t>B</t>
        </is>
      </c>
      <c r="G142" s="3">
        <f>_xlfn.XLOOKUP(tblAsignaciones[[#This Row],[tecnico]],tblTecnicos[nombre],tblTecnicos[coordinador],"")</f>
        <v/>
      </c>
      <c r="H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2" s="3">
        <f>tblAsignaciones[[#This Row],[semana]]&amp;"|"&amp;tblAsignaciones[[#This Row],[dia]]&amp;"|"&amp;tblAsignaciones[[#This Row],[tecnico]]</f>
        <v/>
      </c>
      <c r="K142" s="3">
        <f>_xlfn.XLOOKUP(tblAsignaciones[[#This Row],[turno]],tblTurnos[turno],tblTurnos[hora_inicio],"")</f>
        <v/>
      </c>
      <c r="L142" s="3">
        <f>_xlfn.XLOOKUP(tblAsignaciones[[#This Row],[turno]],tblTurnos[turno],tblTurnos[hora_fin],"")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3" s="3">
        <f>tblAsignaciones[[#This Row],[semana]]&amp;"|"&amp;tblAsignaciones[[#This Row],[dia]]&amp;"|"&amp;tblAsignaciones[[#This Row],[tecnico]]</f>
        <v/>
      </c>
      <c r="K143" s="3">
        <f>_xlfn.XLOOKUP(tblAsignaciones[[#This Row],[turno]],tblTurnos[turno],tblTurnos[hora_inicio],"")</f>
        <v/>
      </c>
      <c r="L143" s="3">
        <f>_xlfn.XLOOKUP(tblAsignaciones[[#This Row],[turno]],tblTurnos[turno],tblTurnos[hora_fin],"")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B</t>
        </is>
      </c>
      <c r="G144" s="3">
        <f>_xlfn.XLOOKUP(tblAsignaciones[[#This Row],[tecnico]],tblTecnicos[nombre],tblTecnicos[coordinador],"")</f>
        <v/>
      </c>
      <c r="H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4" s="3">
        <f>tblAsignaciones[[#This Row],[semana]]&amp;"|"&amp;tblAsignaciones[[#This Row],[dia]]&amp;"|"&amp;tblAsignaciones[[#This Row],[tecnico]]</f>
        <v/>
      </c>
      <c r="K144" s="3">
        <f>_xlfn.XLOOKUP(tblAsignaciones[[#This Row],[turno]],tblTurnos[turno],tblTurnos[hora_inicio],"")</f>
        <v/>
      </c>
      <c r="L144" s="3">
        <f>_xlfn.XLOOKUP(tblAsignaciones[[#This Row],[turno]],tblTurnos[turno],tblTurnos[hora_fin],"")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B</t>
        </is>
      </c>
      <c r="G145" s="3">
        <f>_xlfn.XLOOKUP(tblAsignaciones[[#This Row],[tecnico]],tblTecnicos[nombre],tblTecnicos[coordinador],"")</f>
        <v/>
      </c>
      <c r="H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5" s="3">
        <f>tblAsignaciones[[#This Row],[semana]]&amp;"|"&amp;tblAsignaciones[[#This Row],[dia]]&amp;"|"&amp;tblAsignaciones[[#This Row],[tecnico]]</f>
        <v/>
      </c>
      <c r="K145" s="3">
        <f>_xlfn.XLOOKUP(tblAsignaciones[[#This Row],[turno]],tblTurnos[turno],tblTurnos[hora_inicio],"")</f>
        <v/>
      </c>
      <c r="L145" s="3">
        <f>_xlfn.XLOOKUP(tblAsignaciones[[#This Row],[turno]],tblTurnos[turno],tblTurnos[hora_fin],"")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B</t>
        </is>
      </c>
      <c r="G146" s="3">
        <f>_xlfn.XLOOKUP(tblAsignaciones[[#This Row],[tecnico]],tblTecnicos[nombre],tblTecnicos[coordinador],"")</f>
        <v/>
      </c>
      <c r="H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6" s="3">
        <f>tblAsignaciones[[#This Row],[semana]]&amp;"|"&amp;tblAsignaciones[[#This Row],[dia]]&amp;"|"&amp;tblAsignaciones[[#This Row],[tecnico]]</f>
        <v/>
      </c>
      <c r="K146" s="3">
        <f>_xlfn.XLOOKUP(tblAsignaciones[[#This Row],[turno]],tblTurnos[turno],tblTurnos[hora_inicio],"")</f>
        <v/>
      </c>
      <c r="L146" s="3">
        <f>_xlfn.XLOOKUP(tblAsignaciones[[#This Row],[turno]],tblTurnos[turno],tblTurnos[hora_fin],"")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B</t>
        </is>
      </c>
      <c r="G147" s="3">
        <f>_xlfn.XLOOKUP(tblAsignaciones[[#This Row],[tecnico]],tblTecnicos[nombre],tblTecnicos[coordinador],"")</f>
        <v/>
      </c>
      <c r="H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7" s="3">
        <f>tblAsignaciones[[#This Row],[semana]]&amp;"|"&amp;tblAsignaciones[[#This Row],[dia]]&amp;"|"&amp;tblAsignaciones[[#This Row],[tecnico]]</f>
        <v/>
      </c>
      <c r="K147" s="3">
        <f>_xlfn.XLOOKUP(tblAsignaciones[[#This Row],[turno]],tblTurnos[turno],tblTurnos[hora_inicio],"")</f>
        <v/>
      </c>
      <c r="L147" s="3">
        <f>_xlfn.XLOOKUP(tblAsignaciones[[#This Row],[turno]],tblTurnos[turno],tblTurnos[hora_fin],"")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B</t>
        </is>
      </c>
      <c r="G148" s="3">
        <f>_xlfn.XLOOKUP(tblAsignaciones[[#This Row],[tecnico]],tblTecnicos[nombre],tblTecnicos[coordinador],"")</f>
        <v/>
      </c>
      <c r="H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8" s="3">
        <f>tblAsignaciones[[#This Row],[semana]]&amp;"|"&amp;tblAsignaciones[[#This Row],[dia]]&amp;"|"&amp;tblAsignaciones[[#This Row],[tecnico]]</f>
        <v/>
      </c>
      <c r="K148" s="3">
        <f>_xlfn.XLOOKUP(tblAsignaciones[[#This Row],[turno]],tblTurnos[turno],tblTurnos[hora_inicio],"")</f>
        <v/>
      </c>
      <c r="L148" s="3">
        <f>_xlfn.XLOOKUP(tblAsignaciones[[#This Row],[turno]],tblTurnos[turno],tblTurnos[hora_fin],"")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>
        <is>
          <t>B</t>
        </is>
      </c>
      <c r="G149" s="3">
        <f>_xlfn.XLOOKUP(tblAsignaciones[[#This Row],[tecnico]],tblTecnicos[nombre],tblTecnicos[coordinador],"")</f>
        <v/>
      </c>
      <c r="H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9" s="3">
        <f>tblAsignaciones[[#This Row],[semana]]&amp;"|"&amp;tblAsignaciones[[#This Row],[dia]]&amp;"|"&amp;tblAsignaciones[[#This Row],[tecnico]]</f>
        <v/>
      </c>
      <c r="K149" s="3">
        <f>_xlfn.XLOOKUP(tblAsignaciones[[#This Row],[turno]],tblTurnos[turno],tblTurnos[hora_inicio],"")</f>
        <v/>
      </c>
      <c r="L149" s="3">
        <f>_xlfn.XLOOKUP(tblAsignaciones[[#This Row],[turno]],tblTurnos[turno],tblTurnos[hora_fin],"")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0" s="3">
        <f>tblAsignaciones[[#This Row],[semana]]&amp;"|"&amp;tblAsignaciones[[#This Row],[dia]]&amp;"|"&amp;tblAsignaciones[[#This Row],[tecnico]]</f>
        <v/>
      </c>
      <c r="K150" s="3">
        <f>_xlfn.XLOOKUP(tblAsignaciones[[#This Row],[turno]],tblTurnos[turno],tblTurnos[hora_inicio],"")</f>
        <v/>
      </c>
      <c r="L150" s="3">
        <f>_xlfn.XLOOKUP(tblAsignaciones[[#This Row],[turno]],tblTurnos[turno],tblTurnos[hora_fin],"")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</t>
        </is>
      </c>
      <c r="G151" s="3">
        <f>_xlfn.XLOOKUP(tblAsignaciones[[#This Row],[tecnico]],tblTecnicos[nombre],tblTecnicos[coordinador],"")</f>
        <v/>
      </c>
      <c r="H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1" s="3">
        <f>tblAsignaciones[[#This Row],[semana]]&amp;"|"&amp;tblAsignaciones[[#This Row],[dia]]&amp;"|"&amp;tblAsignaciones[[#This Row],[tecnico]]</f>
        <v/>
      </c>
      <c r="K151" s="3">
        <f>_xlfn.XLOOKUP(tblAsignaciones[[#This Row],[turno]],tblTurnos[turno],tblTurnos[hora_inicio],"")</f>
        <v/>
      </c>
      <c r="L151" s="3">
        <f>_xlfn.XLOOKUP(tblAsignaciones[[#This Row],[turno]],tblTurnos[turno],tblTurnos[hora_fin],"")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</t>
        </is>
      </c>
      <c r="G152" s="3">
        <f>_xlfn.XLOOKUP(tblAsignaciones[[#This Row],[tecnico]],tblTecnicos[nombre],tblTecnicos[coordinador],"")</f>
        <v/>
      </c>
      <c r="H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2" s="3">
        <f>tblAsignaciones[[#This Row],[semana]]&amp;"|"&amp;tblAsignaciones[[#This Row],[dia]]&amp;"|"&amp;tblAsignaciones[[#This Row],[tecnico]]</f>
        <v/>
      </c>
      <c r="K152" s="3">
        <f>_xlfn.XLOOKUP(tblAsignaciones[[#This Row],[turno]],tblTurnos[turno],tblTurnos[hora_inicio],"")</f>
        <v/>
      </c>
      <c r="L152" s="3">
        <f>_xlfn.XLOOKUP(tblAsignaciones[[#This Row],[turno]],tblTurnos[turno],tblTurnos[hora_fin],"")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</t>
        </is>
      </c>
      <c r="G153" s="3">
        <f>_xlfn.XLOOKUP(tblAsignaciones[[#This Row],[tecnico]],tblTecnicos[nombre],tblTecnicos[coordinador],"")</f>
        <v/>
      </c>
      <c r="H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3" s="3">
        <f>tblAsignaciones[[#This Row],[semana]]&amp;"|"&amp;tblAsignaciones[[#This Row],[dia]]&amp;"|"&amp;tblAsignaciones[[#This Row],[tecnico]]</f>
        <v/>
      </c>
      <c r="K153" s="3">
        <f>_xlfn.XLOOKUP(tblAsignaciones[[#This Row],[turno]],tblTurnos[turno],tblTurnos[hora_inicio],"")</f>
        <v/>
      </c>
      <c r="L153" s="3">
        <f>_xlfn.XLOOKUP(tblAsignaciones[[#This Row],[turno]],tblTurnos[turno],tblTurnos[hora_fin],"")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</t>
        </is>
      </c>
      <c r="G154" s="3">
        <f>_xlfn.XLOOKUP(tblAsignaciones[[#This Row],[tecnico]],tblTecnicos[nombre],tblTecnicos[coordinador],"")</f>
        <v/>
      </c>
      <c r="H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4" s="3">
        <f>tblAsignaciones[[#This Row],[semana]]&amp;"|"&amp;tblAsignaciones[[#This Row],[dia]]&amp;"|"&amp;tblAsignaciones[[#This Row],[tecnico]]</f>
        <v/>
      </c>
      <c r="K154" s="3">
        <f>_xlfn.XLOOKUP(tblAsignaciones[[#This Row],[turno]],tblTurnos[turno],tblTurnos[hora_inicio],"")</f>
        <v/>
      </c>
      <c r="L154" s="3">
        <f>_xlfn.XLOOKUP(tblAsignaciones[[#This Row],[turno]],tblTurnos[turno],tblTurnos[hora_fin],"")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</t>
        </is>
      </c>
      <c r="G155" s="3">
        <f>_xlfn.XLOOKUP(tblAsignaciones[[#This Row],[tecnico]],tblTecnicos[nombre],tblTecnicos[coordinador],"")</f>
        <v/>
      </c>
      <c r="H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5" s="3">
        <f>tblAsignaciones[[#This Row],[semana]]&amp;"|"&amp;tblAsignaciones[[#This Row],[dia]]&amp;"|"&amp;tblAsignaciones[[#This Row],[tecnico]]</f>
        <v/>
      </c>
      <c r="K155" s="3">
        <f>_xlfn.XLOOKUP(tblAsignaciones[[#This Row],[turno]],tblTurnos[turno],tblTurnos[hora_inicio],"")</f>
        <v/>
      </c>
      <c r="L155" s="3">
        <f>_xlfn.XLOOKUP(tblAsignaciones[[#This Row],[turno]],tblTurnos[turno],tblTurnos[hora_fin],"")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>
        <is>
          <t>B</t>
        </is>
      </c>
      <c r="G156" s="3">
        <f>_xlfn.XLOOKUP(tblAsignaciones[[#This Row],[tecnico]],tblTecnicos[nombre],tblTecnicos[coordinador],"")</f>
        <v/>
      </c>
      <c r="H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6" s="3">
        <f>tblAsignaciones[[#This Row],[semana]]&amp;"|"&amp;tblAsignaciones[[#This Row],[dia]]&amp;"|"&amp;tblAsignaciones[[#This Row],[tecnico]]</f>
        <v/>
      </c>
      <c r="K156" s="3">
        <f>_xlfn.XLOOKUP(tblAsignaciones[[#This Row],[turno]],tblTurnos[turno],tblTurnos[hora_inicio],"")</f>
        <v/>
      </c>
      <c r="L156" s="3">
        <f>_xlfn.XLOOKUP(tblAsignaciones[[#This Row],[turno]],tblTurnos[turno],tblTurnos[hora_fin],"")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7" s="3">
        <f>tblAsignaciones[[#This Row],[semana]]&amp;"|"&amp;tblAsignaciones[[#This Row],[dia]]&amp;"|"&amp;tblAsignaciones[[#This Row],[tecnico]]</f>
        <v/>
      </c>
      <c r="K157" s="3">
        <f>_xlfn.XLOOKUP(tblAsignaciones[[#This Row],[turno]],tblTurnos[turno],tblTurnos[hora_inicio],"")</f>
        <v/>
      </c>
      <c r="L157" s="3">
        <f>_xlfn.XLOOKUP(tblAsignaciones[[#This Row],[turno]],tblTurnos[turno],tblTurnos[hora_fin],"")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8" s="3">
        <f>tblAsignaciones[[#This Row],[semana]]&amp;"|"&amp;tblAsignaciones[[#This Row],[dia]]&amp;"|"&amp;tblAsignaciones[[#This Row],[tecnico]]</f>
        <v/>
      </c>
      <c r="K158" s="3">
        <f>_xlfn.XLOOKUP(tblAsignaciones[[#This Row],[turno]],tblTurnos[turno],tblTurnos[hora_inicio],"")</f>
        <v/>
      </c>
      <c r="L158" s="3">
        <f>_xlfn.XLOOKUP(tblAsignaciones[[#This Row],[turno]],tblTurnos[turno],tblTurnos[hora_fin],"")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9" s="3">
        <f>tblAsignaciones[[#This Row],[semana]]&amp;"|"&amp;tblAsignaciones[[#This Row],[dia]]&amp;"|"&amp;tblAsignaciones[[#This Row],[tecnico]]</f>
        <v/>
      </c>
      <c r="K159" s="3">
        <f>_xlfn.XLOOKUP(tblAsignaciones[[#This Row],[turno]],tblTurnos[turno],tblTurnos[hora_inicio],"")</f>
        <v/>
      </c>
      <c r="L159" s="3">
        <f>_xlfn.XLOOKUP(tblAsignaciones[[#This Row],[turno]],tblTurnos[turno],tblTurnos[hora_fin],"")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0" s="3">
        <f>tblAsignaciones[[#This Row],[semana]]&amp;"|"&amp;tblAsignaciones[[#This Row],[dia]]&amp;"|"&amp;tblAsignaciones[[#This Row],[tecnico]]</f>
        <v/>
      </c>
      <c r="K160" s="3">
        <f>_xlfn.XLOOKUP(tblAsignaciones[[#This Row],[turno]],tblTurnos[turno],tblTurnos[hora_inicio],"")</f>
        <v/>
      </c>
      <c r="L160" s="3">
        <f>_xlfn.XLOOKUP(tblAsignaciones[[#This Row],[turno]],tblTurnos[turno],tblTurnos[hora_fin],"")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1" s="3">
        <f>tblAsignaciones[[#This Row],[semana]]&amp;"|"&amp;tblAsignaciones[[#This Row],[dia]]&amp;"|"&amp;tblAsignaciones[[#This Row],[tecnico]]</f>
        <v/>
      </c>
      <c r="K161" s="3">
        <f>_xlfn.XLOOKUP(tblAsignaciones[[#This Row],[turno]],tblTurnos[turno],tblTurnos[hora_inicio],"")</f>
        <v/>
      </c>
      <c r="L161" s="3">
        <f>_xlfn.XLOOKUP(tblAsignaciones[[#This Row],[turno]],tblTurnos[turno],tblTurnos[hora_fin],"")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2" s="3">
        <f>tblAsignaciones[[#This Row],[semana]]&amp;"|"&amp;tblAsignaciones[[#This Row],[dia]]&amp;"|"&amp;tblAsignaciones[[#This Row],[tecnico]]</f>
        <v/>
      </c>
      <c r="K162" s="3">
        <f>_xlfn.XLOOKUP(tblAsignaciones[[#This Row],[turno]],tblTurnos[turno],tblTurnos[hora_inicio],"")</f>
        <v/>
      </c>
      <c r="L162" s="3">
        <f>_xlfn.XLOOKUP(tblAsignaciones[[#This Row],[turno]],tblTurnos[turno],tblTurnos[hora_fin],"")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>
        <is>
          <t>T1</t>
        </is>
      </c>
      <c r="G163" s="3">
        <f>_xlfn.XLOOKUP(tblAsignaciones[[#This Row],[tecnico]],tblTecnicos[nombre],tblTecnicos[coordinador],"")</f>
        <v/>
      </c>
      <c r="H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3" s="3">
        <f>tblAsignaciones[[#This Row],[semana]]&amp;"|"&amp;tblAsignaciones[[#This Row],[dia]]&amp;"|"&amp;tblAsignaciones[[#This Row],[tecnico]]</f>
        <v/>
      </c>
      <c r="K163" s="3">
        <f>_xlfn.XLOOKUP(tblAsignaciones[[#This Row],[turno]],tblTurnos[turno],tblTurnos[hora_inicio],"")</f>
        <v/>
      </c>
      <c r="L163" s="3">
        <f>_xlfn.XLOOKUP(tblAsignaciones[[#This Row],[turno]],tblTurnos[turno],tblTurnos[hora_fin],"")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4" s="3">
        <f>tblAsignaciones[[#This Row],[semana]]&amp;"|"&amp;tblAsignaciones[[#This Row],[dia]]&amp;"|"&amp;tblAsignaciones[[#This Row],[tecnico]]</f>
        <v/>
      </c>
      <c r="K164" s="3">
        <f>_xlfn.XLOOKUP(tblAsignaciones[[#This Row],[turno]],tblTurnos[turno],tblTurnos[hora_inicio],"")</f>
        <v/>
      </c>
      <c r="L164" s="3">
        <f>_xlfn.XLOOKUP(tblAsignaciones[[#This Row],[turno]],tblTurnos[turno],tblTurnos[hora_fin],"")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5" s="3">
        <f>tblAsignaciones[[#This Row],[semana]]&amp;"|"&amp;tblAsignaciones[[#This Row],[dia]]&amp;"|"&amp;tblAsignaciones[[#This Row],[tecnico]]</f>
        <v/>
      </c>
      <c r="K165" s="3">
        <f>_xlfn.XLOOKUP(tblAsignaciones[[#This Row],[turno]],tblTurnos[turno],tblTurnos[hora_inicio],"")</f>
        <v/>
      </c>
      <c r="L165" s="3">
        <f>_xlfn.XLOOKUP(tblAsignaciones[[#This Row],[turno]],tblTurnos[turno],tblTurnos[hora_fin],"")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6" s="3">
        <f>tblAsignaciones[[#This Row],[semana]]&amp;"|"&amp;tblAsignaciones[[#This Row],[dia]]&amp;"|"&amp;tblAsignaciones[[#This Row],[tecnico]]</f>
        <v/>
      </c>
      <c r="K166" s="3">
        <f>_xlfn.XLOOKUP(tblAsignaciones[[#This Row],[turno]],tblTurnos[turno],tblTurnos[hora_inicio],"")</f>
        <v/>
      </c>
      <c r="L166" s="3">
        <f>_xlfn.XLOOKUP(tblAsignaciones[[#This Row],[turno]],tblTurnos[turno],tblTurnos[hora_fin],"")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7" s="3">
        <f>tblAsignaciones[[#This Row],[semana]]&amp;"|"&amp;tblAsignaciones[[#This Row],[dia]]&amp;"|"&amp;tblAsignaciones[[#This Row],[tecnico]]</f>
        <v/>
      </c>
      <c r="K167" s="3">
        <f>_xlfn.XLOOKUP(tblAsignaciones[[#This Row],[turno]],tblTurnos[turno],tblTurnos[hora_inicio],"")</f>
        <v/>
      </c>
      <c r="L167" s="3">
        <f>_xlfn.XLOOKUP(tblAsignaciones[[#This Row],[turno]],tblTurnos[turno],tblTurnos[hora_fin],"")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8" s="3">
        <f>tblAsignaciones[[#This Row],[semana]]&amp;"|"&amp;tblAsignaciones[[#This Row],[dia]]&amp;"|"&amp;tblAsignaciones[[#This Row],[tecnico]]</f>
        <v/>
      </c>
      <c r="K168" s="3">
        <f>_xlfn.XLOOKUP(tblAsignaciones[[#This Row],[turno]],tblTurnos[turno],tblTurnos[hora_inicio],"")</f>
        <v/>
      </c>
      <c r="L168" s="3">
        <f>_xlfn.XLOOKUP(tblAsignaciones[[#This Row],[turno]],tblTurnos[turno],tblTurnos[hora_fin],"")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9" s="3">
        <f>tblAsignaciones[[#This Row],[semana]]&amp;"|"&amp;tblAsignaciones[[#This Row],[dia]]&amp;"|"&amp;tblAsignaciones[[#This Row],[tecnico]]</f>
        <v/>
      </c>
      <c r="K169" s="3">
        <f>_xlfn.XLOOKUP(tblAsignaciones[[#This Row],[turno]],tblTurnos[turno],tblTurnos[hora_inicio],"")</f>
        <v/>
      </c>
      <c r="L169" s="3">
        <f>_xlfn.XLOOKUP(tblAsignaciones[[#This Row],[turno]],tblTurnos[turno],tblTurnos[hora_fin],"")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>
        <is>
          <t>T1</t>
        </is>
      </c>
      <c r="G170" s="3">
        <f>_xlfn.XLOOKUP(tblAsignaciones[[#This Row],[tecnico]],tblTecnicos[nombre],tblTecnicos[coordinador],"")</f>
        <v/>
      </c>
      <c r="H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0" s="3">
        <f>tblAsignaciones[[#This Row],[semana]]&amp;"|"&amp;tblAsignaciones[[#This Row],[dia]]&amp;"|"&amp;tblAsignaciones[[#This Row],[tecnico]]</f>
        <v/>
      </c>
      <c r="K170" s="3">
        <f>_xlfn.XLOOKUP(tblAsignaciones[[#This Row],[turno]],tblTurnos[turno],tblTurnos[hora_inicio],"")</f>
        <v/>
      </c>
      <c r="L170" s="3">
        <f>_xlfn.XLOOKUP(tblAsignaciones[[#This Row],[turno]],tblTurnos[turno],tblTurnos[hora_fin],"")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1" s="3">
        <f>tblAsignaciones[[#This Row],[semana]]&amp;"|"&amp;tblAsignaciones[[#This Row],[dia]]&amp;"|"&amp;tblAsignaciones[[#This Row],[tecnico]]</f>
        <v/>
      </c>
      <c r="K171" s="3">
        <f>_xlfn.XLOOKUP(tblAsignaciones[[#This Row],[turno]],tblTurnos[turno],tblTurnos[hora_inicio],"")</f>
        <v/>
      </c>
      <c r="L171" s="3">
        <f>_xlfn.XLOOKUP(tblAsignaciones[[#This Row],[turno]],tblTurnos[turno],tblTurnos[hora_fin],"")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2" s="3">
        <f>tblAsignaciones[[#This Row],[semana]]&amp;"|"&amp;tblAsignaciones[[#This Row],[dia]]&amp;"|"&amp;tblAsignaciones[[#This Row],[tecnico]]</f>
        <v/>
      </c>
      <c r="K172" s="3">
        <f>_xlfn.XLOOKUP(tblAsignaciones[[#This Row],[turno]],tblTurnos[turno],tblTurnos[hora_inicio],"")</f>
        <v/>
      </c>
      <c r="L172" s="3">
        <f>_xlfn.XLOOKUP(tblAsignaciones[[#This Row],[turno]],tblTurnos[turno],tblTurnos[hora_fin],"")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3" s="3">
        <f>tblAsignaciones[[#This Row],[semana]]&amp;"|"&amp;tblAsignaciones[[#This Row],[dia]]&amp;"|"&amp;tblAsignaciones[[#This Row],[tecnico]]</f>
        <v/>
      </c>
      <c r="K173" s="3">
        <f>_xlfn.XLOOKUP(tblAsignaciones[[#This Row],[turno]],tblTurnos[turno],tblTurnos[hora_inicio],"")</f>
        <v/>
      </c>
      <c r="L173" s="3">
        <f>_xlfn.XLOOKUP(tblAsignaciones[[#This Row],[turno]],tblTurnos[turno],tblTurnos[hora_fin],"")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4" s="3">
        <f>tblAsignaciones[[#This Row],[semana]]&amp;"|"&amp;tblAsignaciones[[#This Row],[dia]]&amp;"|"&amp;tblAsignaciones[[#This Row],[tecnico]]</f>
        <v/>
      </c>
      <c r="K174" s="3">
        <f>_xlfn.XLOOKUP(tblAsignaciones[[#This Row],[turno]],tblTurnos[turno],tblTurnos[hora_inicio],"")</f>
        <v/>
      </c>
      <c r="L174" s="3">
        <f>_xlfn.XLOOKUP(tblAsignaciones[[#This Row],[turno]],tblTurnos[turno],tblTurnos[hora_fin],"")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5" s="3">
        <f>tblAsignaciones[[#This Row],[semana]]&amp;"|"&amp;tblAsignaciones[[#This Row],[dia]]&amp;"|"&amp;tblAsignaciones[[#This Row],[tecnico]]</f>
        <v/>
      </c>
      <c r="K175" s="3">
        <f>_xlfn.XLOOKUP(tblAsignaciones[[#This Row],[turno]],tblTurnos[turno],tblTurnos[hora_inicio],"")</f>
        <v/>
      </c>
      <c r="L175" s="3">
        <f>_xlfn.XLOOKUP(tblAsignaciones[[#This Row],[turno]],tblTurnos[turno],tblTurnos[hora_fin],"")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6" s="3">
        <f>tblAsignaciones[[#This Row],[semana]]&amp;"|"&amp;tblAsignaciones[[#This Row],[dia]]&amp;"|"&amp;tblAsignaciones[[#This Row],[tecnico]]</f>
        <v/>
      </c>
      <c r="K176" s="3">
        <f>_xlfn.XLOOKUP(tblAsignaciones[[#This Row],[turno]],tblTurnos[turno],tblTurnos[hora_inicio],"")</f>
        <v/>
      </c>
      <c r="L176" s="3">
        <f>_xlfn.XLOOKUP(tblAsignaciones[[#This Row],[turno]],tblTurnos[turno],tblTurnos[hora_fin],"")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>
        <is>
          <t>T1</t>
        </is>
      </c>
      <c r="G177" s="3">
        <f>_xlfn.XLOOKUP(tblAsignaciones[[#This Row],[tecnico]],tblTecnicos[nombre],tblTecnicos[coordinador],"")</f>
        <v/>
      </c>
      <c r="H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7" s="3">
        <f>tblAsignaciones[[#This Row],[semana]]&amp;"|"&amp;tblAsignaciones[[#This Row],[dia]]&amp;"|"&amp;tblAsignaciones[[#This Row],[tecnico]]</f>
        <v/>
      </c>
      <c r="K177" s="3">
        <f>_xlfn.XLOOKUP(tblAsignaciones[[#This Row],[turno]],tblTurnos[turno],tblTurnos[hora_inicio],"")</f>
        <v/>
      </c>
      <c r="L177" s="3">
        <f>_xlfn.XLOOKUP(tblAsignaciones[[#This Row],[turno]],tblTurnos[turno],tblTurnos[hora_fin],"")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8" s="3">
        <f>tblAsignaciones[[#This Row],[semana]]&amp;"|"&amp;tblAsignaciones[[#This Row],[dia]]&amp;"|"&amp;tblAsignaciones[[#This Row],[tecnico]]</f>
        <v/>
      </c>
      <c r="K178" s="3">
        <f>_xlfn.XLOOKUP(tblAsignaciones[[#This Row],[turno]],tblTurnos[turno],tblTurnos[hora_inicio],"")</f>
        <v/>
      </c>
      <c r="L178" s="3">
        <f>_xlfn.XLOOKUP(tblAsignaciones[[#This Row],[turno]],tblTurnos[turno],tblTurnos[hora_fin],"")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9" s="3">
        <f>tblAsignaciones[[#This Row],[semana]]&amp;"|"&amp;tblAsignaciones[[#This Row],[dia]]&amp;"|"&amp;tblAsignaciones[[#This Row],[tecnico]]</f>
        <v/>
      </c>
      <c r="K179" s="3">
        <f>_xlfn.XLOOKUP(tblAsignaciones[[#This Row],[turno]],tblTurnos[turno],tblTurnos[hora_inicio],"")</f>
        <v/>
      </c>
      <c r="L179" s="3">
        <f>_xlfn.XLOOKUP(tblAsignaciones[[#This Row],[turno]],tblTurnos[turno],tblTurnos[hora_fin],"")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0" s="3">
        <f>tblAsignaciones[[#This Row],[semana]]&amp;"|"&amp;tblAsignaciones[[#This Row],[dia]]&amp;"|"&amp;tblAsignaciones[[#This Row],[tecnico]]</f>
        <v/>
      </c>
      <c r="K180" s="3">
        <f>_xlfn.XLOOKUP(tblAsignaciones[[#This Row],[turno]],tblTurnos[turno],tblTurnos[hora_inicio],"")</f>
        <v/>
      </c>
      <c r="L180" s="3">
        <f>_xlfn.XLOOKUP(tblAsignaciones[[#This Row],[turno]],tblTurnos[turno],tblTurnos[hora_fin],"")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1" s="3">
        <f>tblAsignaciones[[#This Row],[semana]]&amp;"|"&amp;tblAsignaciones[[#This Row],[dia]]&amp;"|"&amp;tblAsignaciones[[#This Row],[tecnico]]</f>
        <v/>
      </c>
      <c r="K181" s="3">
        <f>_xlfn.XLOOKUP(tblAsignaciones[[#This Row],[turno]],tblTurnos[turno],tblTurnos[hora_inicio],"")</f>
        <v/>
      </c>
      <c r="L181" s="3">
        <f>_xlfn.XLOOKUP(tblAsignaciones[[#This Row],[turno]],tblTurnos[turno],tblTurnos[hora_fin],"")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2" s="3">
        <f>tblAsignaciones[[#This Row],[semana]]&amp;"|"&amp;tblAsignaciones[[#This Row],[dia]]&amp;"|"&amp;tblAsignaciones[[#This Row],[tecnico]]</f>
        <v/>
      </c>
      <c r="K182" s="3">
        <f>_xlfn.XLOOKUP(tblAsignaciones[[#This Row],[turno]],tblTurnos[turno],tblTurnos[hora_inicio],"")</f>
        <v/>
      </c>
      <c r="L182" s="3">
        <f>_xlfn.XLOOKUP(tblAsignaciones[[#This Row],[turno]],tblTurnos[turno],tblTurnos[hora_fin],"")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3" s="3">
        <f>tblAsignaciones[[#This Row],[semana]]&amp;"|"&amp;tblAsignaciones[[#This Row],[dia]]&amp;"|"&amp;tblAsignaciones[[#This Row],[tecnico]]</f>
        <v/>
      </c>
      <c r="K183" s="3">
        <f>_xlfn.XLOOKUP(tblAsignaciones[[#This Row],[turno]],tblTurnos[turno],tblTurnos[hora_inicio],"")</f>
        <v/>
      </c>
      <c r="L183" s="3">
        <f>_xlfn.XLOOKUP(tblAsignaciones[[#This Row],[turno]],tblTurnos[turno],tblTurnos[hora_fin],"")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>
        <is>
          <t>T2</t>
        </is>
      </c>
      <c r="G184" s="3">
        <f>_xlfn.XLOOKUP(tblAsignaciones[[#This Row],[tecnico]],tblTecnicos[nombre],tblTecnicos[coordinador],"")</f>
        <v/>
      </c>
      <c r="H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4" s="3">
        <f>tblAsignaciones[[#This Row],[semana]]&amp;"|"&amp;tblAsignaciones[[#This Row],[dia]]&amp;"|"&amp;tblAsignaciones[[#This Row],[tecnico]]</f>
        <v/>
      </c>
      <c r="K184" s="3">
        <f>_xlfn.XLOOKUP(tblAsignaciones[[#This Row],[turno]],tblTurnos[turno],tblTurnos[hora_inicio],"")</f>
        <v/>
      </c>
      <c r="L184" s="3">
        <f>_xlfn.XLOOKUP(tblAsignaciones[[#This Row],[turno]],tblTurnos[turno],tblTurnos[hora_fin],"")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5" s="3">
        <f>tblAsignaciones[[#This Row],[semana]]&amp;"|"&amp;tblAsignaciones[[#This Row],[dia]]&amp;"|"&amp;tblAsignaciones[[#This Row],[tecnico]]</f>
        <v/>
      </c>
      <c r="K185" s="3">
        <f>_xlfn.XLOOKUP(tblAsignaciones[[#This Row],[turno]],tblTurnos[turno],tblTurnos[hora_inicio],"")</f>
        <v/>
      </c>
      <c r="L185" s="3">
        <f>_xlfn.XLOOKUP(tblAsignaciones[[#This Row],[turno]],tblTurnos[turno],tblTurnos[hora_fin],"")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6" s="3">
        <f>tblAsignaciones[[#This Row],[semana]]&amp;"|"&amp;tblAsignaciones[[#This Row],[dia]]&amp;"|"&amp;tblAsignaciones[[#This Row],[tecnico]]</f>
        <v/>
      </c>
      <c r="K186" s="3">
        <f>_xlfn.XLOOKUP(tblAsignaciones[[#This Row],[turno]],tblTurnos[turno],tblTurnos[hora_inicio],"")</f>
        <v/>
      </c>
      <c r="L186" s="3">
        <f>_xlfn.XLOOKUP(tblAsignaciones[[#This Row],[turno]],tblTurnos[turno],tblTurnos[hora_fin],"")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7" s="3">
        <f>tblAsignaciones[[#This Row],[semana]]&amp;"|"&amp;tblAsignaciones[[#This Row],[dia]]&amp;"|"&amp;tblAsignaciones[[#This Row],[tecnico]]</f>
        <v/>
      </c>
      <c r="K187" s="3">
        <f>_xlfn.XLOOKUP(tblAsignaciones[[#This Row],[turno]],tblTurnos[turno],tblTurnos[hora_inicio],"")</f>
        <v/>
      </c>
      <c r="L187" s="3">
        <f>_xlfn.XLOOKUP(tblAsignaciones[[#This Row],[turno]],tblTurnos[turno],tblTurnos[hora_fin],"")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8" s="3">
        <f>tblAsignaciones[[#This Row],[semana]]&amp;"|"&amp;tblAsignaciones[[#This Row],[dia]]&amp;"|"&amp;tblAsignaciones[[#This Row],[tecnico]]</f>
        <v/>
      </c>
      <c r="K188" s="3">
        <f>_xlfn.XLOOKUP(tblAsignaciones[[#This Row],[turno]],tblTurnos[turno],tblTurnos[hora_inicio],"")</f>
        <v/>
      </c>
      <c r="L188" s="3">
        <f>_xlfn.XLOOKUP(tblAsignaciones[[#This Row],[turno]],tblTurnos[turno],tblTurnos[hora_fin],"")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9" s="3">
        <f>tblAsignaciones[[#This Row],[semana]]&amp;"|"&amp;tblAsignaciones[[#This Row],[dia]]&amp;"|"&amp;tblAsignaciones[[#This Row],[tecnico]]</f>
        <v/>
      </c>
      <c r="K189" s="3">
        <f>_xlfn.XLOOKUP(tblAsignaciones[[#This Row],[turno]],tblTurnos[turno],tblTurnos[hora_inicio],"")</f>
        <v/>
      </c>
      <c r="L189" s="3">
        <f>_xlfn.XLOOKUP(tblAsignaciones[[#This Row],[turno]],tblTurnos[turno],tblTurnos[hora_fin],"")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0" s="3">
        <f>tblAsignaciones[[#This Row],[semana]]&amp;"|"&amp;tblAsignaciones[[#This Row],[dia]]&amp;"|"&amp;tblAsignaciones[[#This Row],[tecnico]]</f>
        <v/>
      </c>
      <c r="K190" s="3">
        <f>_xlfn.XLOOKUP(tblAsignaciones[[#This Row],[turno]],tblTurnos[turno],tblTurnos[hora_inicio],"")</f>
        <v/>
      </c>
      <c r="L190" s="3">
        <f>_xlfn.XLOOKUP(tblAsignaciones[[#This Row],[turno]],tblTurnos[turno],tblTurnos[hora_fin],"")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>
        <is>
          <t>T1</t>
        </is>
      </c>
      <c r="G191" s="3">
        <f>_xlfn.XLOOKUP(tblAsignaciones[[#This Row],[tecnico]],tblTecnicos[nombre],tblTecnicos[coordinador],"")</f>
        <v/>
      </c>
      <c r="H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1" s="3">
        <f>tblAsignaciones[[#This Row],[semana]]&amp;"|"&amp;tblAsignaciones[[#This Row],[dia]]&amp;"|"&amp;tblAsignaciones[[#This Row],[tecnico]]</f>
        <v/>
      </c>
      <c r="K191" s="3">
        <f>_xlfn.XLOOKUP(tblAsignaciones[[#This Row],[turno]],tblTurnos[turno],tblTurnos[hora_inicio],"")</f>
        <v/>
      </c>
      <c r="L191" s="3">
        <f>_xlfn.XLOOKUP(tblAsignaciones[[#This Row],[turno]],tblTurnos[turno],tblTurnos[hora_fin],"")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2" s="3">
        <f>tblAsignaciones[[#This Row],[semana]]&amp;"|"&amp;tblAsignaciones[[#This Row],[dia]]&amp;"|"&amp;tblAsignaciones[[#This Row],[tecnico]]</f>
        <v/>
      </c>
      <c r="K192" s="3">
        <f>_xlfn.XLOOKUP(tblAsignaciones[[#This Row],[turno]],tblTurnos[turno],tblTurnos[hora_inicio],"")</f>
        <v/>
      </c>
      <c r="L192" s="3">
        <f>_xlfn.XLOOKUP(tblAsignaciones[[#This Row],[turno]],tblTurnos[turno],tblTurnos[hora_fin],"")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3" s="3">
        <f>tblAsignaciones[[#This Row],[semana]]&amp;"|"&amp;tblAsignaciones[[#This Row],[dia]]&amp;"|"&amp;tblAsignaciones[[#This Row],[tecnico]]</f>
        <v/>
      </c>
      <c r="K193" s="3">
        <f>_xlfn.XLOOKUP(tblAsignaciones[[#This Row],[turno]],tblTurnos[turno],tblTurnos[hora_inicio],"")</f>
        <v/>
      </c>
      <c r="L193" s="3">
        <f>_xlfn.XLOOKUP(tblAsignaciones[[#This Row],[turno]],tblTurnos[turno],tblTurnos[hora_fin],"")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4" s="3">
        <f>tblAsignaciones[[#This Row],[semana]]&amp;"|"&amp;tblAsignaciones[[#This Row],[dia]]&amp;"|"&amp;tblAsignaciones[[#This Row],[tecnico]]</f>
        <v/>
      </c>
      <c r="K194" s="3">
        <f>_xlfn.XLOOKUP(tblAsignaciones[[#This Row],[turno]],tblTurnos[turno],tblTurnos[hora_inicio],"")</f>
        <v/>
      </c>
      <c r="L194" s="3">
        <f>_xlfn.XLOOKUP(tblAsignaciones[[#This Row],[turno]],tblTurnos[turno],tblTurnos[hora_fin],"")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5" s="3">
        <f>tblAsignaciones[[#This Row],[semana]]&amp;"|"&amp;tblAsignaciones[[#This Row],[dia]]&amp;"|"&amp;tblAsignaciones[[#This Row],[tecnico]]</f>
        <v/>
      </c>
      <c r="K195" s="3">
        <f>_xlfn.XLOOKUP(tblAsignaciones[[#This Row],[turno]],tblTurnos[turno],tblTurnos[hora_inicio],"")</f>
        <v/>
      </c>
      <c r="L195" s="3">
        <f>_xlfn.XLOOKUP(tblAsignaciones[[#This Row],[turno]],tblTurnos[turno],tblTurnos[hora_fin],"")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6" s="3">
        <f>tblAsignaciones[[#This Row],[semana]]&amp;"|"&amp;tblAsignaciones[[#This Row],[dia]]&amp;"|"&amp;tblAsignaciones[[#This Row],[tecnico]]</f>
        <v/>
      </c>
      <c r="K196" s="3">
        <f>_xlfn.XLOOKUP(tblAsignaciones[[#This Row],[turno]],tblTurnos[turno],tblTurnos[hora_inicio],"")</f>
        <v/>
      </c>
      <c r="L196" s="3">
        <f>_xlfn.XLOOKUP(tblAsignaciones[[#This Row],[turno]],tblTurnos[turno],tblTurnos[hora_fin],"")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7" s="3">
        <f>tblAsignaciones[[#This Row],[semana]]&amp;"|"&amp;tblAsignaciones[[#This Row],[dia]]&amp;"|"&amp;tblAsignaciones[[#This Row],[tecnico]]</f>
        <v/>
      </c>
      <c r="K197" s="3">
        <f>_xlfn.XLOOKUP(tblAsignaciones[[#This Row],[turno]],tblTurnos[turno],tblTurnos[hora_inicio],"")</f>
        <v/>
      </c>
      <c r="L197" s="3">
        <f>_xlfn.XLOOKUP(tblAsignaciones[[#This Row],[turno]],tblTurnos[turno],tblTurnos[hora_fin],"")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>
        <is>
          <t>VAC</t>
        </is>
      </c>
      <c r="G198" s="3">
        <f>_xlfn.XLOOKUP(tblAsignaciones[[#This Row],[tecnico]],tblTecnicos[nombre],tblTecnicos[coordinador],"")</f>
        <v/>
      </c>
      <c r="H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8" s="3">
        <f>tblAsignaciones[[#This Row],[semana]]&amp;"|"&amp;tblAsignaciones[[#This Row],[dia]]&amp;"|"&amp;tblAsignaciones[[#This Row],[tecnico]]</f>
        <v/>
      </c>
      <c r="K198" s="3">
        <f>_xlfn.XLOOKUP(tblAsignaciones[[#This Row],[turno]],tblTurnos[turno],tblTurnos[hora_inicio],"")</f>
        <v/>
      </c>
      <c r="L198" s="3">
        <f>_xlfn.XLOOKUP(tblAsignaciones[[#This Row],[turno]],tblTurnos[turno],tblTurnos[hora_fin],"")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9" s="3">
        <f>tblAsignaciones[[#This Row],[semana]]&amp;"|"&amp;tblAsignaciones[[#This Row],[dia]]&amp;"|"&amp;tblAsignaciones[[#This Row],[tecnico]]</f>
        <v/>
      </c>
      <c r="K199" s="3">
        <f>_xlfn.XLOOKUP(tblAsignaciones[[#This Row],[turno]],tblTurnos[turno],tblTurnos[hora_inicio],"")</f>
        <v/>
      </c>
      <c r="L199" s="3">
        <f>_xlfn.XLOOKUP(tblAsignaciones[[#This Row],[turno]],tblTurnos[turno],tblTurnos[hora_fin],"")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0" s="3">
        <f>tblAsignaciones[[#This Row],[semana]]&amp;"|"&amp;tblAsignaciones[[#This Row],[dia]]&amp;"|"&amp;tblAsignaciones[[#This Row],[tecnico]]</f>
        <v/>
      </c>
      <c r="K200" s="3">
        <f>_xlfn.XLOOKUP(tblAsignaciones[[#This Row],[turno]],tblTurnos[turno],tblTurnos[hora_inicio],"")</f>
        <v/>
      </c>
      <c r="L200" s="3">
        <f>_xlfn.XLOOKUP(tblAsignaciones[[#This Row],[turno]],tblTurnos[turno],tblTurnos[hora_fin],"")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1" s="3">
        <f>tblAsignaciones[[#This Row],[semana]]&amp;"|"&amp;tblAsignaciones[[#This Row],[dia]]&amp;"|"&amp;tblAsignaciones[[#This Row],[tecnico]]</f>
        <v/>
      </c>
      <c r="K201" s="3">
        <f>_xlfn.XLOOKUP(tblAsignaciones[[#This Row],[turno]],tblTurnos[turno],tblTurnos[hora_inicio],"")</f>
        <v/>
      </c>
      <c r="L201" s="3">
        <f>_xlfn.XLOOKUP(tblAsignaciones[[#This Row],[turno]],tblTurnos[turno],tblTurnos[hora_fin],"")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2" s="3">
        <f>tblAsignaciones[[#This Row],[semana]]&amp;"|"&amp;tblAsignaciones[[#This Row],[dia]]&amp;"|"&amp;tblAsignaciones[[#This Row],[tecnico]]</f>
        <v/>
      </c>
      <c r="K202" s="3">
        <f>_xlfn.XLOOKUP(tblAsignaciones[[#This Row],[turno]],tblTurnos[turno],tblTurnos[hora_inicio],"")</f>
        <v/>
      </c>
      <c r="L202" s="3">
        <f>_xlfn.XLOOKUP(tblAsignaciones[[#This Row],[turno]],tblTurnos[turno],tblTurnos[hora_fin],"")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3" s="3">
        <f>tblAsignaciones[[#This Row],[semana]]&amp;"|"&amp;tblAsignaciones[[#This Row],[dia]]&amp;"|"&amp;tblAsignaciones[[#This Row],[tecnico]]</f>
        <v/>
      </c>
      <c r="K203" s="3">
        <f>_xlfn.XLOOKUP(tblAsignaciones[[#This Row],[turno]],tblTurnos[turno],tblTurnos[hora_inicio],"")</f>
        <v/>
      </c>
      <c r="L203" s="3">
        <f>_xlfn.XLOOKUP(tblAsignaciones[[#This Row],[turno]],tblTurnos[turno],tblTurnos[hora_fin],"")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4" s="3">
        <f>tblAsignaciones[[#This Row],[semana]]&amp;"|"&amp;tblAsignaciones[[#This Row],[dia]]&amp;"|"&amp;tblAsignaciones[[#This Row],[tecnico]]</f>
        <v/>
      </c>
      <c r="K204" s="3">
        <f>_xlfn.XLOOKUP(tblAsignaciones[[#This Row],[turno]],tblTurnos[turno],tblTurnos[hora_inicio],"")</f>
        <v/>
      </c>
      <c r="L204" s="3">
        <f>_xlfn.XLOOKUP(tblAsignaciones[[#This Row],[turno]],tblTurnos[turno],tblTurnos[hora_fin],"")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>
        <is>
          <t>T1</t>
        </is>
      </c>
      <c r="G205" s="3">
        <f>_xlfn.XLOOKUP(tblAsignaciones[[#This Row],[tecnico]],tblTecnicos[nombre],tblTecnicos[coordinador],"")</f>
        <v/>
      </c>
      <c r="H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5" s="3">
        <f>tblAsignaciones[[#This Row],[semana]]&amp;"|"&amp;tblAsignaciones[[#This Row],[dia]]&amp;"|"&amp;tblAsignaciones[[#This Row],[tecnico]]</f>
        <v/>
      </c>
      <c r="K205" s="3">
        <f>_xlfn.XLOOKUP(tblAsignaciones[[#This Row],[turno]],tblTurnos[turno],tblTurnos[hora_inicio],"")</f>
        <v/>
      </c>
      <c r="L205" s="3">
        <f>_xlfn.XLOOKUP(tblAsignaciones[[#This Row],[turno]],tblTurnos[turno],tblTurnos[hora_fin],"")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6" s="3">
        <f>tblAsignaciones[[#This Row],[semana]]&amp;"|"&amp;tblAsignaciones[[#This Row],[dia]]&amp;"|"&amp;tblAsignaciones[[#This Row],[tecnico]]</f>
        <v/>
      </c>
      <c r="K206" s="3">
        <f>_xlfn.XLOOKUP(tblAsignaciones[[#This Row],[turno]],tblTurnos[turno],tblTurnos[hora_inicio],"")</f>
        <v/>
      </c>
      <c r="L206" s="3">
        <f>_xlfn.XLOOKUP(tblAsignaciones[[#This Row],[turno]],tblTurnos[turno],tblTurnos[hora_fin],"")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7" s="3">
        <f>tblAsignaciones[[#This Row],[semana]]&amp;"|"&amp;tblAsignaciones[[#This Row],[dia]]&amp;"|"&amp;tblAsignaciones[[#This Row],[tecnico]]</f>
        <v/>
      </c>
      <c r="K207" s="3">
        <f>_xlfn.XLOOKUP(tblAsignaciones[[#This Row],[turno]],tblTurnos[turno],tblTurnos[hora_inicio],"")</f>
        <v/>
      </c>
      <c r="L207" s="3">
        <f>_xlfn.XLOOKUP(tblAsignaciones[[#This Row],[turno]],tblTurnos[turno],tblTurnos[hora_fin],"")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8" s="3">
        <f>tblAsignaciones[[#This Row],[semana]]&amp;"|"&amp;tblAsignaciones[[#This Row],[dia]]&amp;"|"&amp;tblAsignaciones[[#This Row],[tecnico]]</f>
        <v/>
      </c>
      <c r="K208" s="3">
        <f>_xlfn.XLOOKUP(tblAsignaciones[[#This Row],[turno]],tblTurnos[turno],tblTurnos[hora_inicio],"")</f>
        <v/>
      </c>
      <c r="L208" s="3">
        <f>_xlfn.XLOOKUP(tblAsignaciones[[#This Row],[turno]],tblTurnos[turno],tblTurnos[hora_fin],"")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9" s="3">
        <f>tblAsignaciones[[#This Row],[semana]]&amp;"|"&amp;tblAsignaciones[[#This Row],[dia]]&amp;"|"&amp;tblAsignaciones[[#This Row],[tecnico]]</f>
        <v/>
      </c>
      <c r="K209" s="3">
        <f>_xlfn.XLOOKUP(tblAsignaciones[[#This Row],[turno]],tblTurnos[turno],tblTurnos[hora_inicio],"")</f>
        <v/>
      </c>
      <c r="L209" s="3">
        <f>_xlfn.XLOOKUP(tblAsignaciones[[#This Row],[turno]],tblTurnos[turno],tblTurnos[hora_fin],"")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0" s="3">
        <f>tblAsignaciones[[#This Row],[semana]]&amp;"|"&amp;tblAsignaciones[[#This Row],[dia]]&amp;"|"&amp;tblAsignaciones[[#This Row],[tecnico]]</f>
        <v/>
      </c>
      <c r="K210" s="3">
        <f>_xlfn.XLOOKUP(tblAsignaciones[[#This Row],[turno]],tblTurnos[turno],tblTurnos[hora_inicio],"")</f>
        <v/>
      </c>
      <c r="L210" s="3">
        <f>_xlfn.XLOOKUP(tblAsignaciones[[#This Row],[turno]],tblTurnos[turno],tblTurnos[hora_fin],"")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1" s="3">
        <f>tblAsignaciones[[#This Row],[semana]]&amp;"|"&amp;tblAsignaciones[[#This Row],[dia]]&amp;"|"&amp;tblAsignaciones[[#This Row],[tecnico]]</f>
        <v/>
      </c>
      <c r="K211" s="3">
        <f>_xlfn.XLOOKUP(tblAsignaciones[[#This Row],[turno]],tblTurnos[turno],tblTurnos[hora_inicio],"")</f>
        <v/>
      </c>
      <c r="L211" s="3">
        <f>_xlfn.XLOOKUP(tblAsignaciones[[#This Row],[turno]],tblTurnos[turno],tblTurnos[hora_fin],"")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>
        <is>
          <t>T1</t>
        </is>
      </c>
      <c r="G212" s="3">
        <f>_xlfn.XLOOKUP(tblAsignaciones[[#This Row],[tecnico]],tblTecnicos[nombre],tblTecnicos[coordinador],"")</f>
        <v/>
      </c>
      <c r="H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2" s="3">
        <f>tblAsignaciones[[#This Row],[semana]]&amp;"|"&amp;tblAsignaciones[[#This Row],[dia]]&amp;"|"&amp;tblAsignaciones[[#This Row],[tecnico]]</f>
        <v/>
      </c>
      <c r="K212" s="3">
        <f>_xlfn.XLOOKUP(tblAsignaciones[[#This Row],[turno]],tblTurnos[turno],tblTurnos[hora_inicio],"")</f>
        <v/>
      </c>
      <c r="L212" s="3">
        <f>_xlfn.XLOOKUP(tblAsignaciones[[#This Row],[turno]],tblTurnos[turno],tblTurnos[hora_fin],"")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3" s="3">
        <f>tblAsignaciones[[#This Row],[semana]]&amp;"|"&amp;tblAsignaciones[[#This Row],[dia]]&amp;"|"&amp;tblAsignaciones[[#This Row],[tecnico]]</f>
        <v/>
      </c>
      <c r="K213" s="3">
        <f>_xlfn.XLOOKUP(tblAsignaciones[[#This Row],[turno]],tblTurnos[turno],tblTurnos[hora_inicio],"")</f>
        <v/>
      </c>
      <c r="L213" s="3">
        <f>_xlfn.XLOOKUP(tblAsignaciones[[#This Row],[turno]],tblTurnos[turno],tblTurnos[hora_fin],"")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4" s="3">
        <f>tblAsignaciones[[#This Row],[semana]]&amp;"|"&amp;tblAsignaciones[[#This Row],[dia]]&amp;"|"&amp;tblAsignaciones[[#This Row],[tecnico]]</f>
        <v/>
      </c>
      <c r="K214" s="3">
        <f>_xlfn.XLOOKUP(tblAsignaciones[[#This Row],[turno]],tblTurnos[turno],tblTurnos[hora_inicio],"")</f>
        <v/>
      </c>
      <c r="L214" s="3">
        <f>_xlfn.XLOOKUP(tblAsignaciones[[#This Row],[turno]],tblTurnos[turno],tblTurnos[hora_fin],"")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5" s="3">
        <f>tblAsignaciones[[#This Row],[semana]]&amp;"|"&amp;tblAsignaciones[[#This Row],[dia]]&amp;"|"&amp;tblAsignaciones[[#This Row],[tecnico]]</f>
        <v/>
      </c>
      <c r="K215" s="3">
        <f>_xlfn.XLOOKUP(tblAsignaciones[[#This Row],[turno]],tblTurnos[turno],tblTurnos[hora_inicio],"")</f>
        <v/>
      </c>
      <c r="L215" s="3">
        <f>_xlfn.XLOOKUP(tblAsignaciones[[#This Row],[turno]],tblTurnos[turno],tblTurnos[hora_fin],"")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6" s="3">
        <f>tblAsignaciones[[#This Row],[semana]]&amp;"|"&amp;tblAsignaciones[[#This Row],[dia]]&amp;"|"&amp;tblAsignaciones[[#This Row],[tecnico]]</f>
        <v/>
      </c>
      <c r="K216" s="3">
        <f>_xlfn.XLOOKUP(tblAsignaciones[[#This Row],[turno]],tblTurnos[turno],tblTurnos[hora_inicio],"")</f>
        <v/>
      </c>
      <c r="L216" s="3">
        <f>_xlfn.XLOOKUP(tblAsignaciones[[#This Row],[turno]],tblTurnos[turno],tblTurnos[hora_fin],"")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7" s="3">
        <f>tblAsignaciones[[#This Row],[semana]]&amp;"|"&amp;tblAsignaciones[[#This Row],[dia]]&amp;"|"&amp;tblAsignaciones[[#This Row],[tecnico]]</f>
        <v/>
      </c>
      <c r="K217" s="3">
        <f>_xlfn.XLOOKUP(tblAsignaciones[[#This Row],[turno]],tblTurnos[turno],tblTurnos[hora_inicio],"")</f>
        <v/>
      </c>
      <c r="L217" s="3">
        <f>_xlfn.XLOOKUP(tblAsignaciones[[#This Row],[turno]],tblTurnos[turno],tblTurnos[hora_fin],"")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8" s="3">
        <f>tblAsignaciones[[#This Row],[semana]]&amp;"|"&amp;tblAsignaciones[[#This Row],[dia]]&amp;"|"&amp;tblAsignaciones[[#This Row],[tecnico]]</f>
        <v/>
      </c>
      <c r="K218" s="3">
        <f>_xlfn.XLOOKUP(tblAsignaciones[[#This Row],[turno]],tblTurnos[turno],tblTurnos[hora_inicio],"")</f>
        <v/>
      </c>
      <c r="L218" s="3">
        <f>_xlfn.XLOOKUP(tblAsignaciones[[#This Row],[turno]],tblTurnos[turno],tblTurnos[hora_fin],"")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>
        <is>
          <t>T1</t>
        </is>
      </c>
      <c r="G219" s="3">
        <f>_xlfn.XLOOKUP(tblAsignaciones[[#This Row],[tecnico]],tblTecnicos[nombre],tblTecnicos[coordinador],"")</f>
        <v/>
      </c>
      <c r="H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9" s="3">
        <f>tblAsignaciones[[#This Row],[semana]]&amp;"|"&amp;tblAsignaciones[[#This Row],[dia]]&amp;"|"&amp;tblAsignaciones[[#This Row],[tecnico]]</f>
        <v/>
      </c>
      <c r="K219" s="3">
        <f>_xlfn.XLOOKUP(tblAsignaciones[[#This Row],[turno]],tblTurnos[turno],tblTurnos[hora_inicio],"")</f>
        <v/>
      </c>
      <c r="L219" s="3">
        <f>_xlfn.XLOOKUP(tblAsignaciones[[#This Row],[turno]],tblTurnos[turno],tblTurnos[hora_fin],"")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0" s="3">
        <f>tblAsignaciones[[#This Row],[semana]]&amp;"|"&amp;tblAsignaciones[[#This Row],[dia]]&amp;"|"&amp;tblAsignaciones[[#This Row],[tecnico]]</f>
        <v/>
      </c>
      <c r="K220" s="3">
        <f>_xlfn.XLOOKUP(tblAsignaciones[[#This Row],[turno]],tblTurnos[turno],tblTurnos[hora_inicio],"")</f>
        <v/>
      </c>
      <c r="L220" s="3">
        <f>_xlfn.XLOOKUP(tblAsignaciones[[#This Row],[turno]],tblTurnos[turno],tblTurnos[hora_fin],"")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B</t>
        </is>
      </c>
      <c r="G221" s="3">
        <f>_xlfn.XLOOKUP(tblAsignaciones[[#This Row],[tecnico]],tblTecnicos[nombre],tblTecnicos[coordinador],"")</f>
        <v/>
      </c>
      <c r="H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1" s="3">
        <f>tblAsignaciones[[#This Row],[semana]]&amp;"|"&amp;tblAsignaciones[[#This Row],[dia]]&amp;"|"&amp;tblAsignaciones[[#This Row],[tecnico]]</f>
        <v/>
      </c>
      <c r="K221" s="3">
        <f>_xlfn.XLOOKUP(tblAsignaciones[[#This Row],[turno]],tblTurnos[turno],tblTurnos[hora_inicio],"")</f>
        <v/>
      </c>
      <c r="L221" s="3">
        <f>_xlfn.XLOOKUP(tblAsignaciones[[#This Row],[turno]],tblTurnos[turno],tblTurnos[hora_fin],"")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B</t>
        </is>
      </c>
      <c r="G222" s="3">
        <f>_xlfn.XLOOKUP(tblAsignaciones[[#This Row],[tecnico]],tblTecnicos[nombre],tblTecnicos[coordinador],"")</f>
        <v/>
      </c>
      <c r="H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2" s="3">
        <f>tblAsignaciones[[#This Row],[semana]]&amp;"|"&amp;tblAsignaciones[[#This Row],[dia]]&amp;"|"&amp;tblAsignaciones[[#This Row],[tecnico]]</f>
        <v/>
      </c>
      <c r="K222" s="3">
        <f>_xlfn.XLOOKUP(tblAsignaciones[[#This Row],[turno]],tblTurnos[turno],tblTurnos[hora_inicio],"")</f>
        <v/>
      </c>
      <c r="L222" s="3">
        <f>_xlfn.XLOOKUP(tblAsignaciones[[#This Row],[turno]],tblTurnos[turno],tblTurnos[hora_fin],"")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B</t>
        </is>
      </c>
      <c r="G223" s="3">
        <f>_xlfn.XLOOKUP(tblAsignaciones[[#This Row],[tecnico]],tblTecnicos[nombre],tblTecnicos[coordinador],"")</f>
        <v/>
      </c>
      <c r="H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3" s="3">
        <f>tblAsignaciones[[#This Row],[semana]]&amp;"|"&amp;tblAsignaciones[[#This Row],[dia]]&amp;"|"&amp;tblAsignaciones[[#This Row],[tecnico]]</f>
        <v/>
      </c>
      <c r="K223" s="3">
        <f>_xlfn.XLOOKUP(tblAsignaciones[[#This Row],[turno]],tblTurnos[turno],tblTurnos[hora_inicio],"")</f>
        <v/>
      </c>
      <c r="L223" s="3">
        <f>_xlfn.XLOOKUP(tblAsignaciones[[#This Row],[turno]],tblTurnos[turno],tblTurnos[hora_fin],"")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B</t>
        </is>
      </c>
      <c r="G224" s="3">
        <f>_xlfn.XLOOKUP(tblAsignaciones[[#This Row],[tecnico]],tblTecnicos[nombre],tblTecnicos[coordinador],"")</f>
        <v/>
      </c>
      <c r="H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4" s="3">
        <f>tblAsignaciones[[#This Row],[semana]]&amp;"|"&amp;tblAsignaciones[[#This Row],[dia]]&amp;"|"&amp;tblAsignaciones[[#This Row],[tecnico]]</f>
        <v/>
      </c>
      <c r="K224" s="3">
        <f>_xlfn.XLOOKUP(tblAsignaciones[[#This Row],[turno]],tblTurnos[turno],tblTurnos[hora_inicio],"")</f>
        <v/>
      </c>
      <c r="L224" s="3">
        <f>_xlfn.XLOOKUP(tblAsignaciones[[#This Row],[turno]],tblTurnos[turno],tblTurnos[hora_fin],"")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B</t>
        </is>
      </c>
      <c r="G225" s="3">
        <f>_xlfn.XLOOKUP(tblAsignaciones[[#This Row],[tecnico]],tblTecnicos[nombre],tblTecnicos[coordinador],"")</f>
        <v/>
      </c>
      <c r="H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5" s="3">
        <f>tblAsignaciones[[#This Row],[semana]]&amp;"|"&amp;tblAsignaciones[[#This Row],[dia]]&amp;"|"&amp;tblAsignaciones[[#This Row],[tecnico]]</f>
        <v/>
      </c>
      <c r="K225" s="3">
        <f>_xlfn.XLOOKUP(tblAsignaciones[[#This Row],[turno]],tblTurnos[turno],tblTurnos[hora_inicio],"")</f>
        <v/>
      </c>
      <c r="L225" s="3">
        <f>_xlfn.XLOOKUP(tblAsignaciones[[#This Row],[turno]],tblTurnos[turno],tblTurnos[hora_fin],"")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>
        <is>
          <t>B</t>
        </is>
      </c>
      <c r="G226" s="3">
        <f>_xlfn.XLOOKUP(tblAsignaciones[[#This Row],[tecnico]],tblTecnicos[nombre],tblTecnicos[coordinador],"")</f>
        <v/>
      </c>
      <c r="H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6" s="3">
        <f>tblAsignaciones[[#This Row],[semana]]&amp;"|"&amp;tblAsignaciones[[#This Row],[dia]]&amp;"|"&amp;tblAsignaciones[[#This Row],[tecnico]]</f>
        <v/>
      </c>
      <c r="K226" s="3">
        <f>_xlfn.XLOOKUP(tblAsignaciones[[#This Row],[turno]],tblTurnos[turno],tblTurnos[hora_inicio],"")</f>
        <v/>
      </c>
      <c r="L226" s="3">
        <f>_xlfn.XLOOKUP(tblAsignaciones[[#This Row],[turno]],tblTurnos[turno],tblTurnos[hora_fin],"")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7" s="3">
        <f>tblAsignaciones[[#This Row],[semana]]&amp;"|"&amp;tblAsignaciones[[#This Row],[dia]]&amp;"|"&amp;tblAsignaciones[[#This Row],[tecnico]]</f>
        <v/>
      </c>
      <c r="K227" s="3">
        <f>_xlfn.XLOOKUP(tblAsignaciones[[#This Row],[turno]],tblTurnos[turno],tblTurnos[hora_inicio],"")</f>
        <v/>
      </c>
      <c r="L227" s="3">
        <f>_xlfn.XLOOKUP(tblAsignaciones[[#This Row],[turno]],tblTurnos[turno],tblTurnos[hora_fin],"")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B</t>
        </is>
      </c>
      <c r="G228" s="3">
        <f>_xlfn.XLOOKUP(tblAsignaciones[[#This Row],[tecnico]],tblTecnicos[nombre],tblTecnicos[coordinador],"")</f>
        <v/>
      </c>
      <c r="H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8" s="3">
        <f>tblAsignaciones[[#This Row],[semana]]&amp;"|"&amp;tblAsignaciones[[#This Row],[dia]]&amp;"|"&amp;tblAsignaciones[[#This Row],[tecnico]]</f>
        <v/>
      </c>
      <c r="K228" s="3">
        <f>_xlfn.XLOOKUP(tblAsignaciones[[#This Row],[turno]],tblTurnos[turno],tblTurnos[hora_inicio],"")</f>
        <v/>
      </c>
      <c r="L228" s="3">
        <f>_xlfn.XLOOKUP(tblAsignaciones[[#This Row],[turno]],tblTurnos[turno],tblTurnos[hora_fin],"")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B</t>
        </is>
      </c>
      <c r="G229" s="3">
        <f>_xlfn.XLOOKUP(tblAsignaciones[[#This Row],[tecnico]],tblTecnicos[nombre],tblTecnicos[coordinador],"")</f>
        <v/>
      </c>
      <c r="H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9" s="3">
        <f>tblAsignaciones[[#This Row],[semana]]&amp;"|"&amp;tblAsignaciones[[#This Row],[dia]]&amp;"|"&amp;tblAsignaciones[[#This Row],[tecnico]]</f>
        <v/>
      </c>
      <c r="K229" s="3">
        <f>_xlfn.XLOOKUP(tblAsignaciones[[#This Row],[turno]],tblTurnos[turno],tblTurnos[hora_inicio],"")</f>
        <v/>
      </c>
      <c r="L229" s="3">
        <f>_xlfn.XLOOKUP(tblAsignaciones[[#This Row],[turno]],tblTurnos[turno],tblTurnos[hora_fin],"")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B</t>
        </is>
      </c>
      <c r="G230" s="3">
        <f>_xlfn.XLOOKUP(tblAsignaciones[[#This Row],[tecnico]],tblTecnicos[nombre],tblTecnicos[coordinador],"")</f>
        <v/>
      </c>
      <c r="H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0" s="3">
        <f>tblAsignaciones[[#This Row],[semana]]&amp;"|"&amp;tblAsignaciones[[#This Row],[dia]]&amp;"|"&amp;tblAsignaciones[[#This Row],[tecnico]]</f>
        <v/>
      </c>
      <c r="K230" s="3">
        <f>_xlfn.XLOOKUP(tblAsignaciones[[#This Row],[turno]],tblTurnos[turno],tblTurnos[hora_inicio],"")</f>
        <v/>
      </c>
      <c r="L230" s="3">
        <f>_xlfn.XLOOKUP(tblAsignaciones[[#This Row],[turno]],tblTurnos[turno],tblTurnos[hora_fin],"")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B</t>
        </is>
      </c>
      <c r="G231" s="3">
        <f>_xlfn.XLOOKUP(tblAsignaciones[[#This Row],[tecnico]],tblTecnicos[nombre],tblTecnicos[coordinador],"")</f>
        <v/>
      </c>
      <c r="H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1" s="3">
        <f>tblAsignaciones[[#This Row],[semana]]&amp;"|"&amp;tblAsignaciones[[#This Row],[dia]]&amp;"|"&amp;tblAsignaciones[[#This Row],[tecnico]]</f>
        <v/>
      </c>
      <c r="K231" s="3">
        <f>_xlfn.XLOOKUP(tblAsignaciones[[#This Row],[turno]],tblTurnos[turno],tblTurnos[hora_inicio],"")</f>
        <v/>
      </c>
      <c r="L231" s="3">
        <f>_xlfn.XLOOKUP(tblAsignaciones[[#This Row],[turno]],tblTurnos[turno],tblTurnos[hora_fin],"")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B</t>
        </is>
      </c>
      <c r="G232" s="3">
        <f>_xlfn.XLOOKUP(tblAsignaciones[[#This Row],[tecnico]],tblTecnicos[nombre],tblTecnicos[coordinador],"")</f>
        <v/>
      </c>
      <c r="H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2" s="3">
        <f>tblAsignaciones[[#This Row],[semana]]&amp;"|"&amp;tblAsignaciones[[#This Row],[dia]]&amp;"|"&amp;tblAsignaciones[[#This Row],[tecnico]]</f>
        <v/>
      </c>
      <c r="K232" s="3">
        <f>_xlfn.XLOOKUP(tblAsignaciones[[#This Row],[turno]],tblTurnos[turno],tblTurnos[hora_inicio],"")</f>
        <v/>
      </c>
      <c r="L232" s="3">
        <f>_xlfn.XLOOKUP(tblAsignaciones[[#This Row],[turno]],tblTurnos[turno],tblTurnos[hora_fin],"")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>
        <is>
          <t>B</t>
        </is>
      </c>
      <c r="G233" s="3">
        <f>_xlfn.XLOOKUP(tblAsignaciones[[#This Row],[tecnico]],tblTecnicos[nombre],tblTecnicos[coordinador],"")</f>
        <v/>
      </c>
      <c r="H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3" s="3">
        <f>tblAsignaciones[[#This Row],[semana]]&amp;"|"&amp;tblAsignaciones[[#This Row],[dia]]&amp;"|"&amp;tblAsignaciones[[#This Row],[tecnico]]</f>
        <v/>
      </c>
      <c r="K233" s="3">
        <f>_xlfn.XLOOKUP(tblAsignaciones[[#This Row],[turno]],tblTurnos[turno],tblTurnos[hora_inicio],"")</f>
        <v/>
      </c>
      <c r="L233" s="3">
        <f>_xlfn.XLOOKUP(tblAsignaciones[[#This Row],[turno]],tblTurnos[turno],tblTurnos[hora_fin],"")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4" s="3">
        <f>tblAsignaciones[[#This Row],[semana]]&amp;"|"&amp;tblAsignaciones[[#This Row],[dia]]&amp;"|"&amp;tblAsignaciones[[#This Row],[tecnico]]</f>
        <v/>
      </c>
      <c r="K234" s="3">
        <f>_xlfn.XLOOKUP(tblAsignaciones[[#This Row],[turno]],tblTurnos[turno],tblTurnos[hora_inicio],"")</f>
        <v/>
      </c>
      <c r="L234" s="3">
        <f>_xlfn.XLOOKUP(tblAsignaciones[[#This Row],[turno]],tblTurnos[turno],tblTurnos[hora_fin],"")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</t>
        </is>
      </c>
      <c r="G235" s="3">
        <f>_xlfn.XLOOKUP(tblAsignaciones[[#This Row],[tecnico]],tblTecnicos[nombre],tblTecnicos[coordinador],"")</f>
        <v/>
      </c>
      <c r="H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5" s="3">
        <f>tblAsignaciones[[#This Row],[semana]]&amp;"|"&amp;tblAsignaciones[[#This Row],[dia]]&amp;"|"&amp;tblAsignaciones[[#This Row],[tecnico]]</f>
        <v/>
      </c>
      <c r="K235" s="3">
        <f>_xlfn.XLOOKUP(tblAsignaciones[[#This Row],[turno]],tblTurnos[turno],tblTurnos[hora_inicio],"")</f>
        <v/>
      </c>
      <c r="L235" s="3">
        <f>_xlfn.XLOOKUP(tblAsignaciones[[#This Row],[turno]],tblTurnos[turno],tblTurnos[hora_fin],"")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</t>
        </is>
      </c>
      <c r="G236" s="3">
        <f>_xlfn.XLOOKUP(tblAsignaciones[[#This Row],[tecnico]],tblTecnicos[nombre],tblTecnicos[coordinador],"")</f>
        <v/>
      </c>
      <c r="H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6" s="3">
        <f>tblAsignaciones[[#This Row],[semana]]&amp;"|"&amp;tblAsignaciones[[#This Row],[dia]]&amp;"|"&amp;tblAsignaciones[[#This Row],[tecnico]]</f>
        <v/>
      </c>
      <c r="K236" s="3">
        <f>_xlfn.XLOOKUP(tblAsignaciones[[#This Row],[turno]],tblTurnos[turno],tblTurnos[hora_inicio],"")</f>
        <v/>
      </c>
      <c r="L236" s="3">
        <f>_xlfn.XLOOKUP(tblAsignaciones[[#This Row],[turno]],tblTurnos[turno],tblTurnos[hora_fin],"")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</t>
        </is>
      </c>
      <c r="G237" s="3">
        <f>_xlfn.XLOOKUP(tblAsignaciones[[#This Row],[tecnico]],tblTecnicos[nombre],tblTecnicos[coordinador],"")</f>
        <v/>
      </c>
      <c r="H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7" s="3">
        <f>tblAsignaciones[[#This Row],[semana]]&amp;"|"&amp;tblAsignaciones[[#This Row],[dia]]&amp;"|"&amp;tblAsignaciones[[#This Row],[tecnico]]</f>
        <v/>
      </c>
      <c r="K237" s="3">
        <f>_xlfn.XLOOKUP(tblAsignaciones[[#This Row],[turno]],tblTurnos[turno],tblTurnos[hora_inicio],"")</f>
        <v/>
      </c>
      <c r="L237" s="3">
        <f>_xlfn.XLOOKUP(tblAsignaciones[[#This Row],[turno]],tblTurnos[turno],tblTurnos[hora_fin],"")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</t>
        </is>
      </c>
      <c r="G238" s="3">
        <f>_xlfn.XLOOKUP(tblAsignaciones[[#This Row],[tecnico]],tblTecnicos[nombre],tblTecnicos[coordinador],"")</f>
        <v/>
      </c>
      <c r="H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8" s="3">
        <f>tblAsignaciones[[#This Row],[semana]]&amp;"|"&amp;tblAsignaciones[[#This Row],[dia]]&amp;"|"&amp;tblAsignaciones[[#This Row],[tecnico]]</f>
        <v/>
      </c>
      <c r="K238" s="3">
        <f>_xlfn.XLOOKUP(tblAsignaciones[[#This Row],[turno]],tblTurnos[turno],tblTurnos[hora_inicio],"")</f>
        <v/>
      </c>
      <c r="L238" s="3">
        <f>_xlfn.XLOOKUP(tblAsignaciones[[#This Row],[turno]],tblTurnos[turno],tblTurnos[hora_fin],"")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</t>
        </is>
      </c>
      <c r="G239" s="3">
        <f>_xlfn.XLOOKUP(tblAsignaciones[[#This Row],[tecnico]],tblTecnicos[nombre],tblTecnicos[coordinador],"")</f>
        <v/>
      </c>
      <c r="H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9" s="3">
        <f>tblAsignaciones[[#This Row],[semana]]&amp;"|"&amp;tblAsignaciones[[#This Row],[dia]]&amp;"|"&amp;tblAsignaciones[[#This Row],[tecnico]]</f>
        <v/>
      </c>
      <c r="K239" s="3">
        <f>_xlfn.XLOOKUP(tblAsignaciones[[#This Row],[turno]],tblTurnos[turno],tblTurnos[hora_inicio],"")</f>
        <v/>
      </c>
      <c r="L239" s="3">
        <f>_xlfn.XLOOKUP(tblAsignaciones[[#This Row],[turno]],tblTurnos[turno],tblTurnos[hora_fin],"")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>
        <is>
          <t>B</t>
        </is>
      </c>
      <c r="G240" s="3">
        <f>_xlfn.XLOOKUP(tblAsignaciones[[#This Row],[tecnico]],tblTecnicos[nombre],tblTecnicos[coordinador],"")</f>
        <v/>
      </c>
      <c r="H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0" s="3">
        <f>tblAsignaciones[[#This Row],[semana]]&amp;"|"&amp;tblAsignaciones[[#This Row],[dia]]&amp;"|"&amp;tblAsignaciones[[#This Row],[tecnico]]</f>
        <v/>
      </c>
      <c r="K240" s="3">
        <f>_xlfn.XLOOKUP(tblAsignaciones[[#This Row],[turno]],tblTurnos[turno],tblTurnos[hora_inicio],"")</f>
        <v/>
      </c>
      <c r="L240" s="3">
        <f>_xlfn.XLOOKUP(tblAsignaciones[[#This Row],[turno]],tblTurnos[turno],tblTurnos[hora_fin],"")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1" s="3">
        <f>tblAsignaciones[[#This Row],[semana]]&amp;"|"&amp;tblAsignaciones[[#This Row],[dia]]&amp;"|"&amp;tblAsignaciones[[#This Row],[tecnico]]</f>
        <v/>
      </c>
      <c r="K241" s="3">
        <f>_xlfn.XLOOKUP(tblAsignaciones[[#This Row],[turno]],tblTurnos[turno],tblTurnos[hora_inicio],"")</f>
        <v/>
      </c>
      <c r="L241" s="3">
        <f>_xlfn.XLOOKUP(tblAsignaciones[[#This Row],[turno]],tblTurnos[turno],tblTurnos[hora_fin],"")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2" s="3">
        <f>tblAsignaciones[[#This Row],[semana]]&amp;"|"&amp;tblAsignaciones[[#This Row],[dia]]&amp;"|"&amp;tblAsignaciones[[#This Row],[tecnico]]</f>
        <v/>
      </c>
      <c r="K242" s="3">
        <f>_xlfn.XLOOKUP(tblAsignaciones[[#This Row],[turno]],tblTurnos[turno],tblTurnos[hora_inicio],"")</f>
        <v/>
      </c>
      <c r="L242" s="3">
        <f>_xlfn.XLOOKUP(tblAsignaciones[[#This Row],[turno]],tblTurnos[turno],tblTurnos[hora_fin],"")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3" s="3">
        <f>tblAsignaciones[[#This Row],[semana]]&amp;"|"&amp;tblAsignaciones[[#This Row],[dia]]&amp;"|"&amp;tblAsignaciones[[#This Row],[tecnico]]</f>
        <v/>
      </c>
      <c r="K243" s="3">
        <f>_xlfn.XLOOKUP(tblAsignaciones[[#This Row],[turno]],tblTurnos[turno],tblTurnos[hora_inicio],"")</f>
        <v/>
      </c>
      <c r="L243" s="3">
        <f>_xlfn.XLOOKUP(tblAsignaciones[[#This Row],[turno]],tblTurnos[turno],tblTurnos[hora_fin],"")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4" s="3">
        <f>tblAsignaciones[[#This Row],[semana]]&amp;"|"&amp;tblAsignaciones[[#This Row],[dia]]&amp;"|"&amp;tblAsignaciones[[#This Row],[tecnico]]</f>
        <v/>
      </c>
      <c r="K244" s="3">
        <f>_xlfn.XLOOKUP(tblAsignaciones[[#This Row],[turno]],tblTurnos[turno],tblTurnos[hora_inicio],"")</f>
        <v/>
      </c>
      <c r="L244" s="3">
        <f>_xlfn.XLOOKUP(tblAsignaciones[[#This Row],[turno]],tblTurnos[turno],tblTurnos[hora_fin],"")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5" s="3">
        <f>tblAsignaciones[[#This Row],[semana]]&amp;"|"&amp;tblAsignaciones[[#This Row],[dia]]&amp;"|"&amp;tblAsignaciones[[#This Row],[tecnico]]</f>
        <v/>
      </c>
      <c r="K245" s="3">
        <f>_xlfn.XLOOKUP(tblAsignaciones[[#This Row],[turno]],tblTurnos[turno],tblTurnos[hora_inicio],"")</f>
        <v/>
      </c>
      <c r="L245" s="3">
        <f>_xlfn.XLOOKUP(tblAsignaciones[[#This Row],[turno]],tblTurnos[turno],tblTurnos[hora_fin],"")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6" s="3">
        <f>tblAsignaciones[[#This Row],[semana]]&amp;"|"&amp;tblAsignaciones[[#This Row],[dia]]&amp;"|"&amp;tblAsignaciones[[#This Row],[tecnico]]</f>
        <v/>
      </c>
      <c r="K246" s="3">
        <f>_xlfn.XLOOKUP(tblAsignaciones[[#This Row],[turno]],tblTurnos[turno],tblTurnos[hora_inicio],"")</f>
        <v/>
      </c>
      <c r="L246" s="3">
        <f>_xlfn.XLOOKUP(tblAsignaciones[[#This Row],[turno]],tblTurnos[turno],tblTurnos[hora_fin],"")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>
        <is>
          <t>T1</t>
        </is>
      </c>
      <c r="G247" s="3">
        <f>_xlfn.XLOOKUP(tblAsignaciones[[#This Row],[tecnico]],tblTecnicos[nombre],tblTecnicos[coordinador],"")</f>
        <v/>
      </c>
      <c r="H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7" s="3">
        <f>tblAsignaciones[[#This Row],[semana]]&amp;"|"&amp;tblAsignaciones[[#This Row],[dia]]&amp;"|"&amp;tblAsignaciones[[#This Row],[tecnico]]</f>
        <v/>
      </c>
      <c r="K247" s="3">
        <f>_xlfn.XLOOKUP(tblAsignaciones[[#This Row],[turno]],tblTurnos[turno],tblTurnos[hora_inicio],"")</f>
        <v/>
      </c>
      <c r="L247" s="3">
        <f>_xlfn.XLOOKUP(tblAsignaciones[[#This Row],[turno]],tblTurnos[turno],tblTurnos[hora_fin],"")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8" s="3">
        <f>tblAsignaciones[[#This Row],[semana]]&amp;"|"&amp;tblAsignaciones[[#This Row],[dia]]&amp;"|"&amp;tblAsignaciones[[#This Row],[tecnico]]</f>
        <v/>
      </c>
      <c r="K248" s="3">
        <f>_xlfn.XLOOKUP(tblAsignaciones[[#This Row],[turno]],tblTurnos[turno],tblTurnos[hora_inicio],"")</f>
        <v/>
      </c>
      <c r="L248" s="3">
        <f>_xlfn.XLOOKUP(tblAsignaciones[[#This Row],[turno]],tblTurnos[turno],tblTurnos[hora_fin],"")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9" s="3">
        <f>tblAsignaciones[[#This Row],[semana]]&amp;"|"&amp;tblAsignaciones[[#This Row],[dia]]&amp;"|"&amp;tblAsignaciones[[#This Row],[tecnico]]</f>
        <v/>
      </c>
      <c r="K249" s="3">
        <f>_xlfn.XLOOKUP(tblAsignaciones[[#This Row],[turno]],tblTurnos[turno],tblTurnos[hora_inicio],"")</f>
        <v/>
      </c>
      <c r="L249" s="3">
        <f>_xlfn.XLOOKUP(tblAsignaciones[[#This Row],[turno]],tblTurnos[turno],tblTurnos[hora_fin],"")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0" s="3">
        <f>tblAsignaciones[[#This Row],[semana]]&amp;"|"&amp;tblAsignaciones[[#This Row],[dia]]&amp;"|"&amp;tblAsignaciones[[#This Row],[tecnico]]</f>
        <v/>
      </c>
      <c r="K250" s="3">
        <f>_xlfn.XLOOKUP(tblAsignaciones[[#This Row],[turno]],tblTurnos[turno],tblTurnos[hora_inicio],"")</f>
        <v/>
      </c>
      <c r="L250" s="3">
        <f>_xlfn.XLOOKUP(tblAsignaciones[[#This Row],[turno]],tblTurnos[turno],tblTurnos[hora_fin],"")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1" s="3">
        <f>tblAsignaciones[[#This Row],[semana]]&amp;"|"&amp;tblAsignaciones[[#This Row],[dia]]&amp;"|"&amp;tblAsignaciones[[#This Row],[tecnico]]</f>
        <v/>
      </c>
      <c r="K251" s="3">
        <f>_xlfn.XLOOKUP(tblAsignaciones[[#This Row],[turno]],tblTurnos[turno],tblTurnos[hora_inicio],"")</f>
        <v/>
      </c>
      <c r="L251" s="3">
        <f>_xlfn.XLOOKUP(tblAsignaciones[[#This Row],[turno]],tblTurnos[turno],tblTurnos[hora_fin],"")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2" s="3">
        <f>tblAsignaciones[[#This Row],[semana]]&amp;"|"&amp;tblAsignaciones[[#This Row],[dia]]&amp;"|"&amp;tblAsignaciones[[#This Row],[tecnico]]</f>
        <v/>
      </c>
      <c r="K252" s="3">
        <f>_xlfn.XLOOKUP(tblAsignaciones[[#This Row],[turno]],tblTurnos[turno],tblTurnos[hora_inicio],"")</f>
        <v/>
      </c>
      <c r="L252" s="3">
        <f>_xlfn.XLOOKUP(tblAsignaciones[[#This Row],[turno]],tblTurnos[turno],tblTurnos[hora_fin],"")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3" s="3">
        <f>tblAsignaciones[[#This Row],[semana]]&amp;"|"&amp;tblAsignaciones[[#This Row],[dia]]&amp;"|"&amp;tblAsignaciones[[#This Row],[tecnico]]</f>
        <v/>
      </c>
      <c r="K253" s="3">
        <f>_xlfn.XLOOKUP(tblAsignaciones[[#This Row],[turno]],tblTurnos[turno],tblTurnos[hora_inicio],"")</f>
        <v/>
      </c>
      <c r="L253" s="3">
        <f>_xlfn.XLOOKUP(tblAsignaciones[[#This Row],[turno]],tblTurnos[turno],tblTurnos[hora_fin],"")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>
        <is>
          <t>T1</t>
        </is>
      </c>
      <c r="G254" s="3">
        <f>_xlfn.XLOOKUP(tblAsignaciones[[#This Row],[tecnico]],tblTecnicos[nombre],tblTecnicos[coordinador],"")</f>
        <v/>
      </c>
      <c r="H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4" s="3">
        <f>tblAsignaciones[[#This Row],[semana]]&amp;"|"&amp;tblAsignaciones[[#This Row],[dia]]&amp;"|"&amp;tblAsignaciones[[#This Row],[tecnico]]</f>
        <v/>
      </c>
      <c r="K254" s="3">
        <f>_xlfn.XLOOKUP(tblAsignaciones[[#This Row],[turno]],tblTurnos[turno],tblTurnos[hora_inicio],"")</f>
        <v/>
      </c>
      <c r="L254" s="3">
        <f>_xlfn.XLOOKUP(tblAsignaciones[[#This Row],[turno]],tblTurnos[turno],tblTurnos[hora_fin],"")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>
        <is>
          <t>T1</t>
        </is>
      </c>
      <c r="G255" s="3">
        <f>_xlfn.XLOOKUP(tblAsignaciones[[#This Row],[tecnico]],tblTecnicos[nombre],tblTecnicos[coordinador],"")</f>
        <v/>
      </c>
      <c r="H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5" s="3">
        <f>tblAsignaciones[[#This Row],[semana]]&amp;"|"&amp;tblAsignaciones[[#This Row],[dia]]&amp;"|"&amp;tblAsignaciones[[#This Row],[tecnico]]</f>
        <v/>
      </c>
      <c r="K255" s="3">
        <f>_xlfn.XLOOKUP(tblAsignaciones[[#This Row],[turno]],tblTurnos[turno],tblTurnos[hora_inicio],"")</f>
        <v/>
      </c>
      <c r="L255" s="3">
        <f>_xlfn.XLOOKUP(tblAsignaciones[[#This Row],[turno]],tblTurnos[turno],tblTurnos[hora_fin],"")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6" s="3">
        <f>tblAsignaciones[[#This Row],[semana]]&amp;"|"&amp;tblAsignaciones[[#This Row],[dia]]&amp;"|"&amp;tblAsignaciones[[#This Row],[tecnico]]</f>
        <v/>
      </c>
      <c r="K256" s="3">
        <f>_xlfn.XLOOKUP(tblAsignaciones[[#This Row],[turno]],tblTurnos[turno],tblTurnos[hora_inicio],"")</f>
        <v/>
      </c>
      <c r="L256" s="3">
        <f>_xlfn.XLOOKUP(tblAsignaciones[[#This Row],[turno]],tblTurnos[turno],tblTurnos[hora_fin],"")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7" s="3">
        <f>tblAsignaciones[[#This Row],[semana]]&amp;"|"&amp;tblAsignaciones[[#This Row],[dia]]&amp;"|"&amp;tblAsignaciones[[#This Row],[tecnico]]</f>
        <v/>
      </c>
      <c r="K257" s="3">
        <f>_xlfn.XLOOKUP(tblAsignaciones[[#This Row],[turno]],tblTurnos[turno],tblTurnos[hora_inicio],"")</f>
        <v/>
      </c>
      <c r="L257" s="3">
        <f>_xlfn.XLOOKUP(tblAsignaciones[[#This Row],[turno]],tblTurnos[turno],tblTurnos[hora_fin],"")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8" s="3">
        <f>tblAsignaciones[[#This Row],[semana]]&amp;"|"&amp;tblAsignaciones[[#This Row],[dia]]&amp;"|"&amp;tblAsignaciones[[#This Row],[tecnico]]</f>
        <v/>
      </c>
      <c r="K258" s="3">
        <f>_xlfn.XLOOKUP(tblAsignaciones[[#This Row],[turno]],tblTurnos[turno],tblTurnos[hora_inicio],"")</f>
        <v/>
      </c>
      <c r="L258" s="3">
        <f>_xlfn.XLOOKUP(tblAsignaciones[[#This Row],[turno]],tblTurnos[turno],tblTurnos[hora_fin],"")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9" s="3">
        <f>tblAsignaciones[[#This Row],[semana]]&amp;"|"&amp;tblAsignaciones[[#This Row],[dia]]&amp;"|"&amp;tblAsignaciones[[#This Row],[tecnico]]</f>
        <v/>
      </c>
      <c r="K259" s="3">
        <f>_xlfn.XLOOKUP(tblAsignaciones[[#This Row],[turno]],tblTurnos[turno],tblTurnos[hora_inicio],"")</f>
        <v/>
      </c>
      <c r="L259" s="3">
        <f>_xlfn.XLOOKUP(tblAsignaciones[[#This Row],[turno]],tblTurnos[turno],tblTurnos[hora_fin],"")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0" s="3">
        <f>tblAsignaciones[[#This Row],[semana]]&amp;"|"&amp;tblAsignaciones[[#This Row],[dia]]&amp;"|"&amp;tblAsignaciones[[#This Row],[tecnico]]</f>
        <v/>
      </c>
      <c r="K260" s="3">
        <f>_xlfn.XLOOKUP(tblAsignaciones[[#This Row],[turno]],tblTurnos[turno],tblTurnos[hora_inicio],"")</f>
        <v/>
      </c>
      <c r="L260" s="3">
        <f>_xlfn.XLOOKUP(tblAsignaciones[[#This Row],[turno]],tblTurnos[turno],tblTurnos[hora_fin],"")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>
        <is>
          <t>T1</t>
        </is>
      </c>
      <c r="G261" s="3">
        <f>_xlfn.XLOOKUP(tblAsignaciones[[#This Row],[tecnico]],tblTecnicos[nombre],tblTecnicos[coordinador],"")</f>
        <v/>
      </c>
      <c r="H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1" s="3">
        <f>tblAsignaciones[[#This Row],[semana]]&amp;"|"&amp;tblAsignaciones[[#This Row],[dia]]&amp;"|"&amp;tblAsignaciones[[#This Row],[tecnico]]</f>
        <v/>
      </c>
      <c r="K261" s="3">
        <f>_xlfn.XLOOKUP(tblAsignaciones[[#This Row],[turno]],tblTurnos[turno],tblTurnos[hora_inicio],"")</f>
        <v/>
      </c>
      <c r="L261" s="3">
        <f>_xlfn.XLOOKUP(tblAsignaciones[[#This Row],[turno]],tblTurnos[turno],tblTurnos[hora_fin],"")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2" s="3">
        <f>tblAsignaciones[[#This Row],[semana]]&amp;"|"&amp;tblAsignaciones[[#This Row],[dia]]&amp;"|"&amp;tblAsignaciones[[#This Row],[tecnico]]</f>
        <v/>
      </c>
      <c r="K262" s="3">
        <f>_xlfn.XLOOKUP(tblAsignaciones[[#This Row],[turno]],tblTurnos[turno],tblTurnos[hora_inicio],"")</f>
        <v/>
      </c>
      <c r="L262" s="3">
        <f>_xlfn.XLOOKUP(tblAsignaciones[[#This Row],[turno]],tblTurnos[turno],tblTurnos[hora_fin],"")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3" s="3">
        <f>tblAsignaciones[[#This Row],[semana]]&amp;"|"&amp;tblAsignaciones[[#This Row],[dia]]&amp;"|"&amp;tblAsignaciones[[#This Row],[tecnico]]</f>
        <v/>
      </c>
      <c r="K263" s="3">
        <f>_xlfn.XLOOKUP(tblAsignaciones[[#This Row],[turno]],tblTurnos[turno],tblTurnos[hora_inicio],"")</f>
        <v/>
      </c>
      <c r="L263" s="3">
        <f>_xlfn.XLOOKUP(tblAsignaciones[[#This Row],[turno]],tblTurnos[turno],tblTurnos[hora_fin],"")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4" s="3">
        <f>tblAsignaciones[[#This Row],[semana]]&amp;"|"&amp;tblAsignaciones[[#This Row],[dia]]&amp;"|"&amp;tblAsignaciones[[#This Row],[tecnico]]</f>
        <v/>
      </c>
      <c r="K264" s="3">
        <f>_xlfn.XLOOKUP(tblAsignaciones[[#This Row],[turno]],tblTurnos[turno],tblTurnos[hora_inicio],"")</f>
        <v/>
      </c>
      <c r="L264" s="3">
        <f>_xlfn.XLOOKUP(tblAsignaciones[[#This Row],[turno]],tblTurnos[turno],tblTurnos[hora_fin],"")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5" s="3">
        <f>tblAsignaciones[[#This Row],[semana]]&amp;"|"&amp;tblAsignaciones[[#This Row],[dia]]&amp;"|"&amp;tblAsignaciones[[#This Row],[tecnico]]</f>
        <v/>
      </c>
      <c r="K265" s="3">
        <f>_xlfn.XLOOKUP(tblAsignaciones[[#This Row],[turno]],tblTurnos[turno],tblTurnos[hora_inicio],"")</f>
        <v/>
      </c>
      <c r="L265" s="3">
        <f>_xlfn.XLOOKUP(tblAsignaciones[[#This Row],[turno]],tblTurnos[turno],tblTurnos[hora_fin],"")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6" s="3">
        <f>tblAsignaciones[[#This Row],[semana]]&amp;"|"&amp;tblAsignaciones[[#This Row],[dia]]&amp;"|"&amp;tblAsignaciones[[#This Row],[tecnico]]</f>
        <v/>
      </c>
      <c r="K266" s="3">
        <f>_xlfn.XLOOKUP(tblAsignaciones[[#This Row],[turno]],tblTurnos[turno],tblTurnos[hora_inicio],"")</f>
        <v/>
      </c>
      <c r="L266" s="3">
        <f>_xlfn.XLOOKUP(tblAsignaciones[[#This Row],[turno]],tblTurnos[turno],tblTurnos[hora_fin],"")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7" s="3">
        <f>tblAsignaciones[[#This Row],[semana]]&amp;"|"&amp;tblAsignaciones[[#This Row],[dia]]&amp;"|"&amp;tblAsignaciones[[#This Row],[tecnico]]</f>
        <v/>
      </c>
      <c r="K267" s="3">
        <f>_xlfn.XLOOKUP(tblAsignaciones[[#This Row],[turno]],tblTurnos[turno],tblTurnos[hora_inicio],"")</f>
        <v/>
      </c>
      <c r="L267" s="3">
        <f>_xlfn.XLOOKUP(tblAsignaciones[[#This Row],[turno]],tblTurnos[turno],tblTurnos[hora_fin],"")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>
        <is>
          <t>T2</t>
        </is>
      </c>
      <c r="G268" s="3">
        <f>_xlfn.XLOOKUP(tblAsignaciones[[#This Row],[tecnico]],tblTecnicos[nombre],tblTecnicos[coordinador],"")</f>
        <v/>
      </c>
      <c r="H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8" s="3">
        <f>tblAsignaciones[[#This Row],[semana]]&amp;"|"&amp;tblAsignaciones[[#This Row],[dia]]&amp;"|"&amp;tblAsignaciones[[#This Row],[tecnico]]</f>
        <v/>
      </c>
      <c r="K268" s="3">
        <f>_xlfn.XLOOKUP(tblAsignaciones[[#This Row],[turno]],tblTurnos[turno],tblTurnos[hora_inicio],"")</f>
        <v/>
      </c>
      <c r="L268" s="3">
        <f>_xlfn.XLOOKUP(tblAsignaciones[[#This Row],[turno]],tblTurnos[turno],tblTurnos[hora_fin],"")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9" s="3">
        <f>tblAsignaciones[[#This Row],[semana]]&amp;"|"&amp;tblAsignaciones[[#This Row],[dia]]&amp;"|"&amp;tblAsignaciones[[#This Row],[tecnico]]</f>
        <v/>
      </c>
      <c r="K269" s="3">
        <f>_xlfn.XLOOKUP(tblAsignaciones[[#This Row],[turno]],tblTurnos[turno],tblTurnos[hora_inicio],"")</f>
        <v/>
      </c>
      <c r="L269" s="3">
        <f>_xlfn.XLOOKUP(tblAsignaciones[[#This Row],[turno]],tblTurnos[turno],tblTurnos[hora_fin],"")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0" s="3">
        <f>tblAsignaciones[[#This Row],[semana]]&amp;"|"&amp;tblAsignaciones[[#This Row],[dia]]&amp;"|"&amp;tblAsignaciones[[#This Row],[tecnico]]</f>
        <v/>
      </c>
      <c r="K270" s="3">
        <f>_xlfn.XLOOKUP(tblAsignaciones[[#This Row],[turno]],tblTurnos[turno],tblTurnos[hora_inicio],"")</f>
        <v/>
      </c>
      <c r="L270" s="3">
        <f>_xlfn.XLOOKUP(tblAsignaciones[[#This Row],[turno]],tblTurnos[turno],tblTurnos[hora_fin],"")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1" s="3">
        <f>tblAsignaciones[[#This Row],[semana]]&amp;"|"&amp;tblAsignaciones[[#This Row],[dia]]&amp;"|"&amp;tblAsignaciones[[#This Row],[tecnico]]</f>
        <v/>
      </c>
      <c r="K271" s="3">
        <f>_xlfn.XLOOKUP(tblAsignaciones[[#This Row],[turno]],tblTurnos[turno],tblTurnos[hora_inicio],"")</f>
        <v/>
      </c>
      <c r="L271" s="3">
        <f>_xlfn.XLOOKUP(tblAsignaciones[[#This Row],[turno]],tblTurnos[turno],tblTurnos[hora_fin],"")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2" s="3">
        <f>tblAsignaciones[[#This Row],[semana]]&amp;"|"&amp;tblAsignaciones[[#This Row],[dia]]&amp;"|"&amp;tblAsignaciones[[#This Row],[tecnico]]</f>
        <v/>
      </c>
      <c r="K272" s="3">
        <f>_xlfn.XLOOKUP(tblAsignaciones[[#This Row],[turno]],tblTurnos[turno],tblTurnos[hora_inicio],"")</f>
        <v/>
      </c>
      <c r="L272" s="3">
        <f>_xlfn.XLOOKUP(tblAsignaciones[[#This Row],[turno]],tblTurnos[turno],tblTurnos[hora_fin],"")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3" s="3">
        <f>tblAsignaciones[[#This Row],[semana]]&amp;"|"&amp;tblAsignaciones[[#This Row],[dia]]&amp;"|"&amp;tblAsignaciones[[#This Row],[tecnico]]</f>
        <v/>
      </c>
      <c r="K273" s="3">
        <f>_xlfn.XLOOKUP(tblAsignaciones[[#This Row],[turno]],tblTurnos[turno],tblTurnos[hora_inicio],"")</f>
        <v/>
      </c>
      <c r="L273" s="3">
        <f>_xlfn.XLOOKUP(tblAsignaciones[[#This Row],[turno]],tblTurnos[turno],tblTurnos[hora_fin],"")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4" s="3">
        <f>tblAsignaciones[[#This Row],[semana]]&amp;"|"&amp;tblAsignaciones[[#This Row],[dia]]&amp;"|"&amp;tblAsignaciones[[#This Row],[tecnico]]</f>
        <v/>
      </c>
      <c r="K274" s="3">
        <f>_xlfn.XLOOKUP(tblAsignaciones[[#This Row],[turno]],tblTurnos[turno],tblTurnos[hora_inicio],"")</f>
        <v/>
      </c>
      <c r="L274" s="3">
        <f>_xlfn.XLOOKUP(tblAsignaciones[[#This Row],[turno]],tblTurnos[turno],tblTurnos[hora_fin],"")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>
        <is>
          <t>T1</t>
        </is>
      </c>
      <c r="G275" s="3">
        <f>_xlfn.XLOOKUP(tblAsignaciones[[#This Row],[tecnico]],tblTecnicos[nombre],tblTecnicos[coordinador],"")</f>
        <v/>
      </c>
      <c r="H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5" s="3">
        <f>tblAsignaciones[[#This Row],[semana]]&amp;"|"&amp;tblAsignaciones[[#This Row],[dia]]&amp;"|"&amp;tblAsignaciones[[#This Row],[tecnico]]</f>
        <v/>
      </c>
      <c r="K275" s="3">
        <f>_xlfn.XLOOKUP(tblAsignaciones[[#This Row],[turno]],tblTurnos[turno],tblTurnos[hora_inicio],"")</f>
        <v/>
      </c>
      <c r="L275" s="3">
        <f>_xlfn.XLOOKUP(tblAsignaciones[[#This Row],[turno]],tblTurnos[turno],tblTurnos[hora_fin],"")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6" s="3">
        <f>tblAsignaciones[[#This Row],[semana]]&amp;"|"&amp;tblAsignaciones[[#This Row],[dia]]&amp;"|"&amp;tblAsignaciones[[#This Row],[tecnico]]</f>
        <v/>
      </c>
      <c r="K276" s="3">
        <f>_xlfn.XLOOKUP(tblAsignaciones[[#This Row],[turno]],tblTurnos[turno],tblTurnos[hora_inicio],"")</f>
        <v/>
      </c>
      <c r="L276" s="3">
        <f>_xlfn.XLOOKUP(tblAsignaciones[[#This Row],[turno]],tblTurnos[turno],tblTurnos[hora_fin],"")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7" s="3">
        <f>tblAsignaciones[[#This Row],[semana]]&amp;"|"&amp;tblAsignaciones[[#This Row],[dia]]&amp;"|"&amp;tblAsignaciones[[#This Row],[tecnico]]</f>
        <v/>
      </c>
      <c r="K277" s="3">
        <f>_xlfn.XLOOKUP(tblAsignaciones[[#This Row],[turno]],tblTurnos[turno],tblTurnos[hora_inicio],"")</f>
        <v/>
      </c>
      <c r="L277" s="3">
        <f>_xlfn.XLOOKUP(tblAsignaciones[[#This Row],[turno]],tblTurnos[turno],tblTurnos[hora_fin],"")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8" s="3">
        <f>tblAsignaciones[[#This Row],[semana]]&amp;"|"&amp;tblAsignaciones[[#This Row],[dia]]&amp;"|"&amp;tblAsignaciones[[#This Row],[tecnico]]</f>
        <v/>
      </c>
      <c r="K278" s="3">
        <f>_xlfn.XLOOKUP(tblAsignaciones[[#This Row],[turno]],tblTurnos[turno],tblTurnos[hora_inicio],"")</f>
        <v/>
      </c>
      <c r="L278" s="3">
        <f>_xlfn.XLOOKUP(tblAsignaciones[[#This Row],[turno]],tblTurnos[turno],tblTurnos[hora_fin],"")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9" s="3">
        <f>tblAsignaciones[[#This Row],[semana]]&amp;"|"&amp;tblAsignaciones[[#This Row],[dia]]&amp;"|"&amp;tblAsignaciones[[#This Row],[tecnico]]</f>
        <v/>
      </c>
      <c r="K279" s="3">
        <f>_xlfn.XLOOKUP(tblAsignaciones[[#This Row],[turno]],tblTurnos[turno],tblTurnos[hora_inicio],"")</f>
        <v/>
      </c>
      <c r="L279" s="3">
        <f>_xlfn.XLOOKUP(tblAsignaciones[[#This Row],[turno]],tblTurnos[turno],tblTurnos[hora_fin],"")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0" s="3">
        <f>tblAsignaciones[[#This Row],[semana]]&amp;"|"&amp;tblAsignaciones[[#This Row],[dia]]&amp;"|"&amp;tblAsignaciones[[#This Row],[tecnico]]</f>
        <v/>
      </c>
      <c r="K280" s="3">
        <f>_xlfn.XLOOKUP(tblAsignaciones[[#This Row],[turno]],tblTurnos[turno],tblTurnos[hora_inicio],"")</f>
        <v/>
      </c>
      <c r="L280" s="3">
        <f>_xlfn.XLOOKUP(tblAsignaciones[[#This Row],[turno]],tblTurnos[turno],tblTurnos[hora_fin],"")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1" s="3">
        <f>tblAsignaciones[[#This Row],[semana]]&amp;"|"&amp;tblAsignaciones[[#This Row],[dia]]&amp;"|"&amp;tblAsignaciones[[#This Row],[tecnico]]</f>
        <v/>
      </c>
      <c r="K281" s="3">
        <f>_xlfn.XLOOKUP(tblAsignaciones[[#This Row],[turno]],tblTurnos[turno],tblTurnos[hora_inicio],"")</f>
        <v/>
      </c>
      <c r="L281" s="3">
        <f>_xlfn.XLOOKUP(tblAsignaciones[[#This Row],[turno]],tblTurnos[turno],tblTurnos[hora_fin],"")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>
        <is>
          <t>T1</t>
        </is>
      </c>
      <c r="G282" s="3">
        <f>_xlfn.XLOOKUP(tblAsignaciones[[#This Row],[tecnico]],tblTecnicos[nombre],tblTecnicos[coordinador],"")</f>
        <v/>
      </c>
      <c r="H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2" s="3">
        <f>tblAsignaciones[[#This Row],[semana]]&amp;"|"&amp;tblAsignaciones[[#This Row],[dia]]&amp;"|"&amp;tblAsignaciones[[#This Row],[tecnico]]</f>
        <v/>
      </c>
      <c r="K282" s="3">
        <f>_xlfn.XLOOKUP(tblAsignaciones[[#This Row],[turno]],tblTurnos[turno],tblTurnos[hora_inicio],"")</f>
        <v/>
      </c>
      <c r="L282" s="3">
        <f>_xlfn.XLOOKUP(tblAsignaciones[[#This Row],[turno]],tblTurnos[turno],tblTurnos[hora_fin],"")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3" s="3">
        <f>tblAsignaciones[[#This Row],[semana]]&amp;"|"&amp;tblAsignaciones[[#This Row],[dia]]&amp;"|"&amp;tblAsignaciones[[#This Row],[tecnico]]</f>
        <v/>
      </c>
      <c r="K283" s="3">
        <f>_xlfn.XLOOKUP(tblAsignaciones[[#This Row],[turno]],tblTurnos[turno],tblTurnos[hora_inicio],"")</f>
        <v/>
      </c>
      <c r="L283" s="3">
        <f>_xlfn.XLOOKUP(tblAsignaciones[[#This Row],[turno]],tblTurnos[turno],tblTurnos[hora_fin],"")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4" s="3">
        <f>tblAsignaciones[[#This Row],[semana]]&amp;"|"&amp;tblAsignaciones[[#This Row],[dia]]&amp;"|"&amp;tblAsignaciones[[#This Row],[tecnico]]</f>
        <v/>
      </c>
      <c r="K284" s="3">
        <f>_xlfn.XLOOKUP(tblAsignaciones[[#This Row],[turno]],tblTurnos[turno],tblTurnos[hora_inicio],"")</f>
        <v/>
      </c>
      <c r="L284" s="3">
        <f>_xlfn.XLOOKUP(tblAsignaciones[[#This Row],[turno]],tblTurnos[turno],tblTurnos[hora_fin],"")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5" s="3">
        <f>tblAsignaciones[[#This Row],[semana]]&amp;"|"&amp;tblAsignaciones[[#This Row],[dia]]&amp;"|"&amp;tblAsignaciones[[#This Row],[tecnico]]</f>
        <v/>
      </c>
      <c r="K285" s="3">
        <f>_xlfn.XLOOKUP(tblAsignaciones[[#This Row],[turno]],tblTurnos[turno],tblTurnos[hora_inicio],"")</f>
        <v/>
      </c>
      <c r="L285" s="3">
        <f>_xlfn.XLOOKUP(tblAsignaciones[[#This Row],[turno]],tblTurnos[turno],tblTurnos[hora_fin],"")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6" s="3">
        <f>tblAsignaciones[[#This Row],[semana]]&amp;"|"&amp;tblAsignaciones[[#This Row],[dia]]&amp;"|"&amp;tblAsignaciones[[#This Row],[tecnico]]</f>
        <v/>
      </c>
      <c r="K286" s="3">
        <f>_xlfn.XLOOKUP(tblAsignaciones[[#This Row],[turno]],tblTurnos[turno],tblTurnos[hora_inicio],"")</f>
        <v/>
      </c>
      <c r="L286" s="3">
        <f>_xlfn.XLOOKUP(tblAsignaciones[[#This Row],[turno]],tblTurnos[turno],tblTurnos[hora_fin],"")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7" s="3">
        <f>tblAsignaciones[[#This Row],[semana]]&amp;"|"&amp;tblAsignaciones[[#This Row],[dia]]&amp;"|"&amp;tblAsignaciones[[#This Row],[tecnico]]</f>
        <v/>
      </c>
      <c r="K287" s="3">
        <f>_xlfn.XLOOKUP(tblAsignaciones[[#This Row],[turno]],tblTurnos[turno],tblTurnos[hora_inicio],"")</f>
        <v/>
      </c>
      <c r="L287" s="3">
        <f>_xlfn.XLOOKUP(tblAsignaciones[[#This Row],[turno]],tblTurnos[turno],tblTurnos[hora_fin],"")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8" s="3">
        <f>tblAsignaciones[[#This Row],[semana]]&amp;"|"&amp;tblAsignaciones[[#This Row],[dia]]&amp;"|"&amp;tblAsignaciones[[#This Row],[tecnico]]</f>
        <v/>
      </c>
      <c r="K288" s="3">
        <f>_xlfn.XLOOKUP(tblAsignaciones[[#This Row],[turno]],tblTurnos[turno],tblTurnos[hora_inicio],"")</f>
        <v/>
      </c>
      <c r="L288" s="3">
        <f>_xlfn.XLOOKUP(tblAsignaciones[[#This Row],[turno]],tblTurnos[turno],tblTurnos[hora_fin],"")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>
        <is>
          <t>T1</t>
        </is>
      </c>
      <c r="G289" s="3">
        <f>_xlfn.XLOOKUP(tblAsignaciones[[#This Row],[tecnico]],tblTecnicos[nombre],tblTecnicos[coordinador],"")</f>
        <v/>
      </c>
      <c r="H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9" s="3">
        <f>tblAsignaciones[[#This Row],[semana]]&amp;"|"&amp;tblAsignaciones[[#This Row],[dia]]&amp;"|"&amp;tblAsignaciones[[#This Row],[tecnico]]</f>
        <v/>
      </c>
      <c r="K289" s="3">
        <f>_xlfn.XLOOKUP(tblAsignaciones[[#This Row],[turno]],tblTurnos[turno],tblTurnos[hora_inicio],"")</f>
        <v/>
      </c>
      <c r="L289" s="3">
        <f>_xlfn.XLOOKUP(tblAsignaciones[[#This Row],[turno]],tblTurnos[turno],tblTurnos[hora_fin],"")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0" s="3">
        <f>tblAsignaciones[[#This Row],[semana]]&amp;"|"&amp;tblAsignaciones[[#This Row],[dia]]&amp;"|"&amp;tblAsignaciones[[#This Row],[tecnico]]</f>
        <v/>
      </c>
      <c r="K290" s="3">
        <f>_xlfn.XLOOKUP(tblAsignaciones[[#This Row],[turno]],tblTurnos[turno],tblTurnos[hora_inicio],"")</f>
        <v/>
      </c>
      <c r="L290" s="3">
        <f>_xlfn.XLOOKUP(tblAsignaciones[[#This Row],[turno]],tblTurnos[turno],tblTurnos[hora_fin],"")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1" s="3">
        <f>tblAsignaciones[[#This Row],[semana]]&amp;"|"&amp;tblAsignaciones[[#This Row],[dia]]&amp;"|"&amp;tblAsignaciones[[#This Row],[tecnico]]</f>
        <v/>
      </c>
      <c r="K291" s="3">
        <f>_xlfn.XLOOKUP(tblAsignaciones[[#This Row],[turno]],tblTurnos[turno],tblTurnos[hora_inicio],"")</f>
        <v/>
      </c>
      <c r="L291" s="3">
        <f>_xlfn.XLOOKUP(tblAsignaciones[[#This Row],[turno]],tblTurnos[turno],tblTurnos[hora_fin],"")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2" s="3">
        <f>tblAsignaciones[[#This Row],[semana]]&amp;"|"&amp;tblAsignaciones[[#This Row],[dia]]&amp;"|"&amp;tblAsignaciones[[#This Row],[tecnico]]</f>
        <v/>
      </c>
      <c r="K292" s="3">
        <f>_xlfn.XLOOKUP(tblAsignaciones[[#This Row],[turno]],tblTurnos[turno],tblTurnos[hora_inicio],"")</f>
        <v/>
      </c>
      <c r="L292" s="3">
        <f>_xlfn.XLOOKUP(tblAsignaciones[[#This Row],[turno]],tblTurnos[turno],tblTurnos[hora_fin],"")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3" s="3">
        <f>tblAsignaciones[[#This Row],[semana]]&amp;"|"&amp;tblAsignaciones[[#This Row],[dia]]&amp;"|"&amp;tblAsignaciones[[#This Row],[tecnico]]</f>
        <v/>
      </c>
      <c r="K293" s="3">
        <f>_xlfn.XLOOKUP(tblAsignaciones[[#This Row],[turno]],tblTurnos[turno],tblTurnos[hora_inicio],"")</f>
        <v/>
      </c>
      <c r="L293" s="3">
        <f>_xlfn.XLOOKUP(tblAsignaciones[[#This Row],[turno]],tblTurnos[turno],tblTurnos[hora_fin],"")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4" s="3">
        <f>tblAsignaciones[[#This Row],[semana]]&amp;"|"&amp;tblAsignaciones[[#This Row],[dia]]&amp;"|"&amp;tblAsignaciones[[#This Row],[tecnico]]</f>
        <v/>
      </c>
      <c r="K294" s="3">
        <f>_xlfn.XLOOKUP(tblAsignaciones[[#This Row],[turno]],tblTurnos[turno],tblTurnos[hora_inicio],"")</f>
        <v/>
      </c>
      <c r="L294" s="3">
        <f>_xlfn.XLOOKUP(tblAsignaciones[[#This Row],[turno]],tblTurnos[turno],tblTurnos[hora_fin],"")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5" s="3">
        <f>tblAsignaciones[[#This Row],[semana]]&amp;"|"&amp;tblAsignaciones[[#This Row],[dia]]&amp;"|"&amp;tblAsignaciones[[#This Row],[tecnico]]</f>
        <v/>
      </c>
      <c r="K295" s="3">
        <f>_xlfn.XLOOKUP(tblAsignaciones[[#This Row],[turno]],tblTurnos[turno],tblTurnos[hora_inicio],"")</f>
        <v/>
      </c>
      <c r="L295" s="3">
        <f>_xlfn.XLOOKUP(tblAsignaciones[[#This Row],[turno]],tblTurnos[turno],tblTurnos[hora_fin],"")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>
        <is>
          <t>T1</t>
        </is>
      </c>
      <c r="G296" s="3">
        <f>_xlfn.XLOOKUP(tblAsignaciones[[#This Row],[tecnico]],tblTecnicos[nombre],tblTecnicos[coordinador],"")</f>
        <v/>
      </c>
      <c r="H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6" s="3">
        <f>tblAsignaciones[[#This Row],[semana]]&amp;"|"&amp;tblAsignaciones[[#This Row],[dia]]&amp;"|"&amp;tblAsignaciones[[#This Row],[tecnico]]</f>
        <v/>
      </c>
      <c r="K296" s="3">
        <f>_xlfn.XLOOKUP(tblAsignaciones[[#This Row],[turno]],tblTurnos[turno],tblTurnos[hora_inicio],"")</f>
        <v/>
      </c>
      <c r="L296" s="3">
        <f>_xlfn.XLOOKUP(tblAsignaciones[[#This Row],[turno]],tblTurnos[turno],tblTurnos[hora_fin],"")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7" s="3">
        <f>tblAsignaciones[[#This Row],[semana]]&amp;"|"&amp;tblAsignaciones[[#This Row],[dia]]&amp;"|"&amp;tblAsignaciones[[#This Row],[tecnico]]</f>
        <v/>
      </c>
      <c r="K297" s="3">
        <f>_xlfn.XLOOKUP(tblAsignaciones[[#This Row],[turno]],tblTurnos[turno],tblTurnos[hora_inicio],"")</f>
        <v/>
      </c>
      <c r="L297" s="3">
        <f>_xlfn.XLOOKUP(tblAsignaciones[[#This Row],[turno]],tblTurnos[turno],tblTurnos[hora_fin],"")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8" s="3">
        <f>tblAsignaciones[[#This Row],[semana]]&amp;"|"&amp;tblAsignaciones[[#This Row],[dia]]&amp;"|"&amp;tblAsignaciones[[#This Row],[tecnico]]</f>
        <v/>
      </c>
      <c r="K298" s="3">
        <f>_xlfn.XLOOKUP(tblAsignaciones[[#This Row],[turno]],tblTurnos[turno],tblTurnos[hora_inicio],"")</f>
        <v/>
      </c>
      <c r="L298" s="3">
        <f>_xlfn.XLOOKUP(tblAsignaciones[[#This Row],[turno]],tblTurnos[turno],tblTurnos[hora_fin],"")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9" s="3">
        <f>tblAsignaciones[[#This Row],[semana]]&amp;"|"&amp;tblAsignaciones[[#This Row],[dia]]&amp;"|"&amp;tblAsignaciones[[#This Row],[tecnico]]</f>
        <v/>
      </c>
      <c r="K299" s="3">
        <f>_xlfn.XLOOKUP(tblAsignaciones[[#This Row],[turno]],tblTurnos[turno],tblTurnos[hora_inicio],"")</f>
        <v/>
      </c>
      <c r="L299" s="3">
        <f>_xlfn.XLOOKUP(tblAsignaciones[[#This Row],[turno]],tblTurnos[turno],tblTurnos[hora_fin],"")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0" s="3">
        <f>tblAsignaciones[[#This Row],[semana]]&amp;"|"&amp;tblAsignaciones[[#This Row],[dia]]&amp;"|"&amp;tblAsignaciones[[#This Row],[tecnico]]</f>
        <v/>
      </c>
      <c r="K300" s="3">
        <f>_xlfn.XLOOKUP(tblAsignaciones[[#This Row],[turno]],tblTurnos[turno],tblTurnos[hora_inicio],"")</f>
        <v/>
      </c>
      <c r="L300" s="3">
        <f>_xlfn.XLOOKUP(tblAsignaciones[[#This Row],[turno]],tblTurnos[turno],tblTurnos[hora_fin],"")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1" s="3">
        <f>tblAsignaciones[[#This Row],[semana]]&amp;"|"&amp;tblAsignaciones[[#This Row],[dia]]&amp;"|"&amp;tblAsignaciones[[#This Row],[tecnico]]</f>
        <v/>
      </c>
      <c r="K301" s="3">
        <f>_xlfn.XLOOKUP(tblAsignaciones[[#This Row],[turno]],tblTurnos[turno],tblTurnos[hora_inicio],"")</f>
        <v/>
      </c>
      <c r="L301" s="3">
        <f>_xlfn.XLOOKUP(tblAsignaciones[[#This Row],[turno]],tblTurnos[turno],tblTurnos[hora_fin],"")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2" s="3">
        <f>tblAsignaciones[[#This Row],[semana]]&amp;"|"&amp;tblAsignaciones[[#This Row],[dia]]&amp;"|"&amp;tblAsignaciones[[#This Row],[tecnico]]</f>
        <v/>
      </c>
      <c r="K302" s="3">
        <f>_xlfn.XLOOKUP(tblAsignaciones[[#This Row],[turno]],tblTurnos[turno],tblTurnos[hora_inicio],"")</f>
        <v/>
      </c>
      <c r="L302" s="3">
        <f>_xlfn.XLOOKUP(tblAsignaciones[[#This Row],[turno]],tblTurnos[turno],tblTurnos[hora_fin],"")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>
        <is>
          <t>T1</t>
        </is>
      </c>
      <c r="G303" s="3">
        <f>_xlfn.XLOOKUP(tblAsignaciones[[#This Row],[tecnico]],tblTecnicos[nombre],tblTecnicos[coordinador],"")</f>
        <v/>
      </c>
      <c r="H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3" s="3">
        <f>tblAsignaciones[[#This Row],[semana]]&amp;"|"&amp;tblAsignaciones[[#This Row],[dia]]&amp;"|"&amp;tblAsignaciones[[#This Row],[tecnico]]</f>
        <v/>
      </c>
      <c r="K303" s="3">
        <f>_xlfn.XLOOKUP(tblAsignaciones[[#This Row],[turno]],tblTurnos[turno],tblTurnos[hora_inicio],"")</f>
        <v/>
      </c>
      <c r="L303" s="3">
        <f>_xlfn.XLOOKUP(tblAsignaciones[[#This Row],[turno]],tblTurnos[turno],tblTurnos[hora_fin],"")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4" s="3">
        <f>tblAsignaciones[[#This Row],[semana]]&amp;"|"&amp;tblAsignaciones[[#This Row],[dia]]&amp;"|"&amp;tblAsignaciones[[#This Row],[tecnico]]</f>
        <v/>
      </c>
      <c r="K304" s="3">
        <f>_xlfn.XLOOKUP(tblAsignaciones[[#This Row],[turno]],tblTurnos[turno],tblTurnos[hora_inicio],"")</f>
        <v/>
      </c>
      <c r="L304" s="3">
        <f>_xlfn.XLOOKUP(tblAsignaciones[[#This Row],[turno]],tblTurnos[turno],tblTurnos[hora_fin],"")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B</t>
        </is>
      </c>
      <c r="G305" s="3">
        <f>_xlfn.XLOOKUP(tblAsignaciones[[#This Row],[tecnico]],tblTecnicos[nombre],tblTecnicos[coordinador],"")</f>
        <v/>
      </c>
      <c r="H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5" s="3">
        <f>tblAsignaciones[[#This Row],[semana]]&amp;"|"&amp;tblAsignaciones[[#This Row],[dia]]&amp;"|"&amp;tblAsignaciones[[#This Row],[tecnico]]</f>
        <v/>
      </c>
      <c r="K305" s="3">
        <f>_xlfn.XLOOKUP(tblAsignaciones[[#This Row],[turno]],tblTurnos[turno],tblTurnos[hora_inicio],"")</f>
        <v/>
      </c>
      <c r="L305" s="3">
        <f>_xlfn.XLOOKUP(tblAsignaciones[[#This Row],[turno]],tblTurnos[turno],tblTurnos[hora_fin],"")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B</t>
        </is>
      </c>
      <c r="G306" s="3">
        <f>_xlfn.XLOOKUP(tblAsignaciones[[#This Row],[tecnico]],tblTecnicos[nombre],tblTecnicos[coordinador],"")</f>
        <v/>
      </c>
      <c r="H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6" s="3">
        <f>tblAsignaciones[[#This Row],[semana]]&amp;"|"&amp;tblAsignaciones[[#This Row],[dia]]&amp;"|"&amp;tblAsignaciones[[#This Row],[tecnico]]</f>
        <v/>
      </c>
      <c r="K306" s="3">
        <f>_xlfn.XLOOKUP(tblAsignaciones[[#This Row],[turno]],tblTurnos[turno],tblTurnos[hora_inicio],"")</f>
        <v/>
      </c>
      <c r="L306" s="3">
        <f>_xlfn.XLOOKUP(tblAsignaciones[[#This Row],[turno]],tblTurnos[turno],tblTurnos[hora_fin],"")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B</t>
        </is>
      </c>
      <c r="G307" s="3">
        <f>_xlfn.XLOOKUP(tblAsignaciones[[#This Row],[tecnico]],tblTecnicos[nombre],tblTecnicos[coordinador],"")</f>
        <v/>
      </c>
      <c r="H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7" s="3">
        <f>tblAsignaciones[[#This Row],[semana]]&amp;"|"&amp;tblAsignaciones[[#This Row],[dia]]&amp;"|"&amp;tblAsignaciones[[#This Row],[tecnico]]</f>
        <v/>
      </c>
      <c r="K307" s="3">
        <f>_xlfn.XLOOKUP(tblAsignaciones[[#This Row],[turno]],tblTurnos[turno],tblTurnos[hora_inicio],"")</f>
        <v/>
      </c>
      <c r="L307" s="3">
        <f>_xlfn.XLOOKUP(tblAsignaciones[[#This Row],[turno]],tblTurnos[turno],tblTurnos[hora_fin],"")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B</t>
        </is>
      </c>
      <c r="G308" s="3">
        <f>_xlfn.XLOOKUP(tblAsignaciones[[#This Row],[tecnico]],tblTecnicos[nombre],tblTecnicos[coordinador],"")</f>
        <v/>
      </c>
      <c r="H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8" s="3">
        <f>tblAsignaciones[[#This Row],[semana]]&amp;"|"&amp;tblAsignaciones[[#This Row],[dia]]&amp;"|"&amp;tblAsignaciones[[#This Row],[tecnico]]</f>
        <v/>
      </c>
      <c r="K308" s="3">
        <f>_xlfn.XLOOKUP(tblAsignaciones[[#This Row],[turno]],tblTurnos[turno],tblTurnos[hora_inicio],"")</f>
        <v/>
      </c>
      <c r="L308" s="3">
        <f>_xlfn.XLOOKUP(tblAsignaciones[[#This Row],[turno]],tblTurnos[turno],tblTurnos[hora_fin],"")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B</t>
        </is>
      </c>
      <c r="G309" s="3">
        <f>_xlfn.XLOOKUP(tblAsignaciones[[#This Row],[tecnico]],tblTecnicos[nombre],tblTecnicos[coordinador],"")</f>
        <v/>
      </c>
      <c r="H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9" s="3">
        <f>tblAsignaciones[[#This Row],[semana]]&amp;"|"&amp;tblAsignaciones[[#This Row],[dia]]&amp;"|"&amp;tblAsignaciones[[#This Row],[tecnico]]</f>
        <v/>
      </c>
      <c r="K309" s="3">
        <f>_xlfn.XLOOKUP(tblAsignaciones[[#This Row],[turno]],tblTurnos[turno],tblTurnos[hora_inicio],"")</f>
        <v/>
      </c>
      <c r="L309" s="3">
        <f>_xlfn.XLOOKUP(tblAsignaciones[[#This Row],[turno]],tblTurnos[turno],tblTurnos[hora_fin],"")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>
        <is>
          <t>B</t>
        </is>
      </c>
      <c r="G310" s="3">
        <f>_xlfn.XLOOKUP(tblAsignaciones[[#This Row],[tecnico]],tblTecnicos[nombre],tblTecnicos[coordinador],"")</f>
        <v/>
      </c>
      <c r="H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0" s="3">
        <f>tblAsignaciones[[#This Row],[semana]]&amp;"|"&amp;tblAsignaciones[[#This Row],[dia]]&amp;"|"&amp;tblAsignaciones[[#This Row],[tecnico]]</f>
        <v/>
      </c>
      <c r="K310" s="3">
        <f>_xlfn.XLOOKUP(tblAsignaciones[[#This Row],[turno]],tblTurnos[turno],tblTurnos[hora_inicio],"")</f>
        <v/>
      </c>
      <c r="L310" s="3">
        <f>_xlfn.XLOOKUP(tblAsignaciones[[#This Row],[turno]],tblTurnos[turno],tblTurnos[hora_fin],"")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1" s="3">
        <f>tblAsignaciones[[#This Row],[semana]]&amp;"|"&amp;tblAsignaciones[[#This Row],[dia]]&amp;"|"&amp;tblAsignaciones[[#This Row],[tecnico]]</f>
        <v/>
      </c>
      <c r="K311" s="3">
        <f>_xlfn.XLOOKUP(tblAsignaciones[[#This Row],[turno]],tblTurnos[turno],tblTurnos[hora_inicio],"")</f>
        <v/>
      </c>
      <c r="L311" s="3">
        <f>_xlfn.XLOOKUP(tblAsignaciones[[#This Row],[turno]],tblTurnos[turno],tblTurnos[hora_fin],"")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B</t>
        </is>
      </c>
      <c r="G312" s="3">
        <f>_xlfn.XLOOKUP(tblAsignaciones[[#This Row],[tecnico]],tblTecnicos[nombre],tblTecnicos[coordinador],"")</f>
        <v/>
      </c>
      <c r="H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2" s="3">
        <f>tblAsignaciones[[#This Row],[semana]]&amp;"|"&amp;tblAsignaciones[[#This Row],[dia]]&amp;"|"&amp;tblAsignaciones[[#This Row],[tecnico]]</f>
        <v/>
      </c>
      <c r="K312" s="3">
        <f>_xlfn.XLOOKUP(tblAsignaciones[[#This Row],[turno]],tblTurnos[turno],tblTurnos[hora_inicio],"")</f>
        <v/>
      </c>
      <c r="L312" s="3">
        <f>_xlfn.XLOOKUP(tblAsignaciones[[#This Row],[turno]],tblTurnos[turno],tblTurnos[hora_fin],"")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B</t>
        </is>
      </c>
      <c r="G313" s="3">
        <f>_xlfn.XLOOKUP(tblAsignaciones[[#This Row],[tecnico]],tblTecnicos[nombre],tblTecnicos[coordinador],"")</f>
        <v/>
      </c>
      <c r="H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3" s="3">
        <f>tblAsignaciones[[#This Row],[semana]]&amp;"|"&amp;tblAsignaciones[[#This Row],[dia]]&amp;"|"&amp;tblAsignaciones[[#This Row],[tecnico]]</f>
        <v/>
      </c>
      <c r="K313" s="3">
        <f>_xlfn.XLOOKUP(tblAsignaciones[[#This Row],[turno]],tblTurnos[turno],tblTurnos[hora_inicio],"")</f>
        <v/>
      </c>
      <c r="L313" s="3">
        <f>_xlfn.XLOOKUP(tblAsignaciones[[#This Row],[turno]],tblTurnos[turno],tblTurnos[hora_fin],"")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B</t>
        </is>
      </c>
      <c r="G314" s="3">
        <f>_xlfn.XLOOKUP(tblAsignaciones[[#This Row],[tecnico]],tblTecnicos[nombre],tblTecnicos[coordinador],"")</f>
        <v/>
      </c>
      <c r="H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4" s="3">
        <f>tblAsignaciones[[#This Row],[semana]]&amp;"|"&amp;tblAsignaciones[[#This Row],[dia]]&amp;"|"&amp;tblAsignaciones[[#This Row],[tecnico]]</f>
        <v/>
      </c>
      <c r="K314" s="3">
        <f>_xlfn.XLOOKUP(tblAsignaciones[[#This Row],[turno]],tblTurnos[turno],tblTurnos[hora_inicio],"")</f>
        <v/>
      </c>
      <c r="L314" s="3">
        <f>_xlfn.XLOOKUP(tblAsignaciones[[#This Row],[turno]],tblTurnos[turno],tblTurnos[hora_fin],"")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B</t>
        </is>
      </c>
      <c r="G315" s="3">
        <f>_xlfn.XLOOKUP(tblAsignaciones[[#This Row],[tecnico]],tblTecnicos[nombre],tblTecnicos[coordinador],"")</f>
        <v/>
      </c>
      <c r="H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5" s="3">
        <f>tblAsignaciones[[#This Row],[semana]]&amp;"|"&amp;tblAsignaciones[[#This Row],[dia]]&amp;"|"&amp;tblAsignaciones[[#This Row],[tecnico]]</f>
        <v/>
      </c>
      <c r="K315" s="3">
        <f>_xlfn.XLOOKUP(tblAsignaciones[[#This Row],[turno]],tblTurnos[turno],tblTurnos[hora_inicio],"")</f>
        <v/>
      </c>
      <c r="L315" s="3">
        <f>_xlfn.XLOOKUP(tblAsignaciones[[#This Row],[turno]],tblTurnos[turno],tblTurnos[hora_fin],"")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B</t>
        </is>
      </c>
      <c r="G316" s="3">
        <f>_xlfn.XLOOKUP(tblAsignaciones[[#This Row],[tecnico]],tblTecnicos[nombre],tblTecnicos[coordinador],"")</f>
        <v/>
      </c>
      <c r="H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6" s="3">
        <f>tblAsignaciones[[#This Row],[semana]]&amp;"|"&amp;tblAsignaciones[[#This Row],[dia]]&amp;"|"&amp;tblAsignaciones[[#This Row],[tecnico]]</f>
        <v/>
      </c>
      <c r="K316" s="3">
        <f>_xlfn.XLOOKUP(tblAsignaciones[[#This Row],[turno]],tblTurnos[turno],tblTurnos[hora_inicio],"")</f>
        <v/>
      </c>
      <c r="L316" s="3">
        <f>_xlfn.XLOOKUP(tblAsignaciones[[#This Row],[turno]],tblTurnos[turno],tblTurnos[hora_fin],"")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>
        <is>
          <t>B</t>
        </is>
      </c>
      <c r="G317" s="3">
        <f>_xlfn.XLOOKUP(tblAsignaciones[[#This Row],[tecnico]],tblTecnicos[nombre],tblTecnicos[coordinador],"")</f>
        <v/>
      </c>
      <c r="H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7" s="3">
        <f>tblAsignaciones[[#This Row],[semana]]&amp;"|"&amp;tblAsignaciones[[#This Row],[dia]]&amp;"|"&amp;tblAsignaciones[[#This Row],[tecnico]]</f>
        <v/>
      </c>
      <c r="K317" s="3">
        <f>_xlfn.XLOOKUP(tblAsignaciones[[#This Row],[turno]],tblTurnos[turno],tblTurnos[hora_inicio],"")</f>
        <v/>
      </c>
      <c r="L317" s="3">
        <f>_xlfn.XLOOKUP(tblAsignaciones[[#This Row],[turno]],tblTurnos[turno],tblTurnos[hora_fin],"")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8" s="3">
        <f>tblAsignaciones[[#This Row],[semana]]&amp;"|"&amp;tblAsignaciones[[#This Row],[dia]]&amp;"|"&amp;tblAsignaciones[[#This Row],[tecnico]]</f>
        <v/>
      </c>
      <c r="K318" s="3">
        <f>_xlfn.XLOOKUP(tblAsignaciones[[#This Row],[turno]],tblTurnos[turno],tblTurnos[hora_inicio],"")</f>
        <v/>
      </c>
      <c r="L318" s="3">
        <f>_xlfn.XLOOKUP(tblAsignaciones[[#This Row],[turno]],tblTurnos[turno],tblTurnos[hora_fin],"")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</t>
        </is>
      </c>
      <c r="G319" s="3">
        <f>_xlfn.XLOOKUP(tblAsignaciones[[#This Row],[tecnico]],tblTecnicos[nombre],tblTecnicos[coordinador],"")</f>
        <v/>
      </c>
      <c r="H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9" s="3">
        <f>tblAsignaciones[[#This Row],[semana]]&amp;"|"&amp;tblAsignaciones[[#This Row],[dia]]&amp;"|"&amp;tblAsignaciones[[#This Row],[tecnico]]</f>
        <v/>
      </c>
      <c r="K319" s="3">
        <f>_xlfn.XLOOKUP(tblAsignaciones[[#This Row],[turno]],tblTurnos[turno],tblTurnos[hora_inicio],"")</f>
        <v/>
      </c>
      <c r="L319" s="3">
        <f>_xlfn.XLOOKUP(tblAsignaciones[[#This Row],[turno]],tblTurnos[turno],tblTurnos[hora_fin],"")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</t>
        </is>
      </c>
      <c r="G320" s="3">
        <f>_xlfn.XLOOKUP(tblAsignaciones[[#This Row],[tecnico]],tblTecnicos[nombre],tblTecnicos[coordinador],"")</f>
        <v/>
      </c>
      <c r="H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0" s="3">
        <f>tblAsignaciones[[#This Row],[semana]]&amp;"|"&amp;tblAsignaciones[[#This Row],[dia]]&amp;"|"&amp;tblAsignaciones[[#This Row],[tecnico]]</f>
        <v/>
      </c>
      <c r="K320" s="3">
        <f>_xlfn.XLOOKUP(tblAsignaciones[[#This Row],[turno]],tblTurnos[turno],tblTurnos[hora_inicio],"")</f>
        <v/>
      </c>
      <c r="L320" s="3">
        <f>_xlfn.XLOOKUP(tblAsignaciones[[#This Row],[turno]],tblTurnos[turno],tblTurnos[hora_fin],"")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</t>
        </is>
      </c>
      <c r="G321" s="3">
        <f>_xlfn.XLOOKUP(tblAsignaciones[[#This Row],[tecnico]],tblTecnicos[nombre],tblTecnicos[coordinador],"")</f>
        <v/>
      </c>
      <c r="H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1" s="3">
        <f>tblAsignaciones[[#This Row],[semana]]&amp;"|"&amp;tblAsignaciones[[#This Row],[dia]]&amp;"|"&amp;tblAsignaciones[[#This Row],[tecnico]]</f>
        <v/>
      </c>
      <c r="K321" s="3">
        <f>_xlfn.XLOOKUP(tblAsignaciones[[#This Row],[turno]],tblTurnos[turno],tblTurnos[hora_inicio],"")</f>
        <v/>
      </c>
      <c r="L321" s="3">
        <f>_xlfn.XLOOKUP(tblAsignaciones[[#This Row],[turno]],tblTurnos[turno],tblTurnos[hora_fin],"")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</t>
        </is>
      </c>
      <c r="G322" s="3">
        <f>_xlfn.XLOOKUP(tblAsignaciones[[#This Row],[tecnico]],tblTecnicos[nombre],tblTecnicos[coordinador],"")</f>
        <v/>
      </c>
      <c r="H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2" s="3">
        <f>tblAsignaciones[[#This Row],[semana]]&amp;"|"&amp;tblAsignaciones[[#This Row],[dia]]&amp;"|"&amp;tblAsignaciones[[#This Row],[tecnico]]</f>
        <v/>
      </c>
      <c r="K322" s="3">
        <f>_xlfn.XLOOKUP(tblAsignaciones[[#This Row],[turno]],tblTurnos[turno],tblTurnos[hora_inicio],"")</f>
        <v/>
      </c>
      <c r="L322" s="3">
        <f>_xlfn.XLOOKUP(tblAsignaciones[[#This Row],[turno]],tblTurnos[turno],tblTurnos[hora_fin],"")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</t>
        </is>
      </c>
      <c r="G323" s="3">
        <f>_xlfn.XLOOKUP(tblAsignaciones[[#This Row],[tecnico]],tblTecnicos[nombre],tblTecnicos[coordinador],"")</f>
        <v/>
      </c>
      <c r="H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3" s="3">
        <f>tblAsignaciones[[#This Row],[semana]]&amp;"|"&amp;tblAsignaciones[[#This Row],[dia]]&amp;"|"&amp;tblAsignaciones[[#This Row],[tecnico]]</f>
        <v/>
      </c>
      <c r="K323" s="3">
        <f>_xlfn.XLOOKUP(tblAsignaciones[[#This Row],[turno]],tblTurnos[turno],tblTurnos[hora_inicio],"")</f>
        <v/>
      </c>
      <c r="L323" s="3">
        <f>_xlfn.XLOOKUP(tblAsignaciones[[#This Row],[turno]],tblTurnos[turno],tblTurnos[hora_fin],"")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>
        <is>
          <t>B</t>
        </is>
      </c>
      <c r="G324" s="3">
        <f>_xlfn.XLOOKUP(tblAsignaciones[[#This Row],[tecnico]],tblTecnicos[nombre],tblTecnicos[coordinador],"")</f>
        <v/>
      </c>
      <c r="H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4" s="3">
        <f>tblAsignaciones[[#This Row],[semana]]&amp;"|"&amp;tblAsignaciones[[#This Row],[dia]]&amp;"|"&amp;tblAsignaciones[[#This Row],[tecnico]]</f>
        <v/>
      </c>
      <c r="K324" s="3">
        <f>_xlfn.XLOOKUP(tblAsignaciones[[#This Row],[turno]],tblTurnos[turno],tblTurnos[hora_inicio],"")</f>
        <v/>
      </c>
      <c r="L324" s="3">
        <f>_xlfn.XLOOKUP(tblAsignaciones[[#This Row],[turno]],tblTurnos[turno],tblTurnos[hora_fin],"")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5" s="3">
        <f>tblAsignaciones[[#This Row],[semana]]&amp;"|"&amp;tblAsignaciones[[#This Row],[dia]]&amp;"|"&amp;tblAsignaciones[[#This Row],[tecnico]]</f>
        <v/>
      </c>
      <c r="K325" s="3">
        <f>_xlfn.XLOOKUP(tblAsignaciones[[#This Row],[turno]],tblTurnos[turno],tblTurnos[hora_inicio],"")</f>
        <v/>
      </c>
      <c r="L325" s="3">
        <f>_xlfn.XLOOKUP(tblAsignaciones[[#This Row],[turno]],tblTurnos[turno],tblTurnos[hora_fin],"")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6" s="3">
        <f>tblAsignaciones[[#This Row],[semana]]&amp;"|"&amp;tblAsignaciones[[#This Row],[dia]]&amp;"|"&amp;tblAsignaciones[[#This Row],[tecnico]]</f>
        <v/>
      </c>
      <c r="K326" s="3">
        <f>_xlfn.XLOOKUP(tblAsignaciones[[#This Row],[turno]],tblTurnos[turno],tblTurnos[hora_inicio],"")</f>
        <v/>
      </c>
      <c r="L326" s="3">
        <f>_xlfn.XLOOKUP(tblAsignaciones[[#This Row],[turno]],tblTurnos[turno],tblTurnos[hora_fin],"")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7" s="3">
        <f>tblAsignaciones[[#This Row],[semana]]&amp;"|"&amp;tblAsignaciones[[#This Row],[dia]]&amp;"|"&amp;tblAsignaciones[[#This Row],[tecnico]]</f>
        <v/>
      </c>
      <c r="K327" s="3">
        <f>_xlfn.XLOOKUP(tblAsignaciones[[#This Row],[turno]],tblTurnos[turno],tblTurnos[hora_inicio],"")</f>
        <v/>
      </c>
      <c r="L327" s="3">
        <f>_xlfn.XLOOKUP(tblAsignaciones[[#This Row],[turno]],tblTurnos[turno],tblTurnos[hora_fin],"")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8" s="3">
        <f>tblAsignaciones[[#This Row],[semana]]&amp;"|"&amp;tblAsignaciones[[#This Row],[dia]]&amp;"|"&amp;tblAsignaciones[[#This Row],[tecnico]]</f>
        <v/>
      </c>
      <c r="K328" s="3">
        <f>_xlfn.XLOOKUP(tblAsignaciones[[#This Row],[turno]],tblTurnos[turno],tblTurnos[hora_inicio],"")</f>
        <v/>
      </c>
      <c r="L328" s="3">
        <f>_xlfn.XLOOKUP(tblAsignaciones[[#This Row],[turno]],tblTurnos[turno],tblTurnos[hora_fin],"")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9" s="3">
        <f>tblAsignaciones[[#This Row],[semana]]&amp;"|"&amp;tblAsignaciones[[#This Row],[dia]]&amp;"|"&amp;tblAsignaciones[[#This Row],[tecnico]]</f>
        <v/>
      </c>
      <c r="K329" s="3">
        <f>_xlfn.XLOOKUP(tblAsignaciones[[#This Row],[turno]],tblTurnos[turno],tblTurnos[hora_inicio],"")</f>
        <v/>
      </c>
      <c r="L329" s="3">
        <f>_xlfn.XLOOKUP(tblAsignaciones[[#This Row],[turno]],tblTurnos[turno],tblTurnos[hora_fin],"")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0" s="3">
        <f>tblAsignaciones[[#This Row],[semana]]&amp;"|"&amp;tblAsignaciones[[#This Row],[dia]]&amp;"|"&amp;tblAsignaciones[[#This Row],[tecnico]]</f>
        <v/>
      </c>
      <c r="K330" s="3">
        <f>_xlfn.XLOOKUP(tblAsignaciones[[#This Row],[turno]],tblTurnos[turno],tblTurnos[hora_inicio],"")</f>
        <v/>
      </c>
      <c r="L330" s="3">
        <f>_xlfn.XLOOKUP(tblAsignaciones[[#This Row],[turno]],tblTurnos[turno],tblTurnos[hora_fin],"")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>
        <is>
          <t>T1</t>
        </is>
      </c>
      <c r="G331" s="3">
        <f>_xlfn.XLOOKUP(tblAsignaciones[[#This Row],[tecnico]],tblTecnicos[nombre],tblTecnicos[coordinador],"")</f>
        <v/>
      </c>
      <c r="H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1" s="3">
        <f>tblAsignaciones[[#This Row],[semana]]&amp;"|"&amp;tblAsignaciones[[#This Row],[dia]]&amp;"|"&amp;tblAsignaciones[[#This Row],[tecnico]]</f>
        <v/>
      </c>
      <c r="K331" s="3">
        <f>_xlfn.XLOOKUP(tblAsignaciones[[#This Row],[turno]],tblTurnos[turno],tblTurnos[hora_inicio],"")</f>
        <v/>
      </c>
      <c r="L331" s="3">
        <f>_xlfn.XLOOKUP(tblAsignaciones[[#This Row],[turno]],tblTurnos[turno],tblTurnos[hora_fin],"")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2" s="3">
        <f>tblAsignaciones[[#This Row],[semana]]&amp;"|"&amp;tblAsignaciones[[#This Row],[dia]]&amp;"|"&amp;tblAsignaciones[[#This Row],[tecnico]]</f>
        <v/>
      </c>
      <c r="K332" s="3">
        <f>_xlfn.XLOOKUP(tblAsignaciones[[#This Row],[turno]],tblTurnos[turno],tblTurnos[hora_inicio],"")</f>
        <v/>
      </c>
      <c r="L332" s="3">
        <f>_xlfn.XLOOKUP(tblAsignaciones[[#This Row],[turno]],tblTurnos[turno],tblTurnos[hora_fin],"")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3" s="3">
        <f>tblAsignaciones[[#This Row],[semana]]&amp;"|"&amp;tblAsignaciones[[#This Row],[dia]]&amp;"|"&amp;tblAsignaciones[[#This Row],[tecnico]]</f>
        <v/>
      </c>
      <c r="K333" s="3">
        <f>_xlfn.XLOOKUP(tblAsignaciones[[#This Row],[turno]],tblTurnos[turno],tblTurnos[hora_inicio],"")</f>
        <v/>
      </c>
      <c r="L333" s="3">
        <f>_xlfn.XLOOKUP(tblAsignaciones[[#This Row],[turno]],tblTurnos[turno],tblTurnos[hora_fin],"")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4" s="3">
        <f>tblAsignaciones[[#This Row],[semana]]&amp;"|"&amp;tblAsignaciones[[#This Row],[dia]]&amp;"|"&amp;tblAsignaciones[[#This Row],[tecnico]]</f>
        <v/>
      </c>
      <c r="K334" s="3">
        <f>_xlfn.XLOOKUP(tblAsignaciones[[#This Row],[turno]],tblTurnos[turno],tblTurnos[hora_inicio],"")</f>
        <v/>
      </c>
      <c r="L334" s="3">
        <f>_xlfn.XLOOKUP(tblAsignaciones[[#This Row],[turno]],tblTurnos[turno],tblTurnos[hora_fin],"")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5" s="3">
        <f>tblAsignaciones[[#This Row],[semana]]&amp;"|"&amp;tblAsignaciones[[#This Row],[dia]]&amp;"|"&amp;tblAsignaciones[[#This Row],[tecnico]]</f>
        <v/>
      </c>
      <c r="K335" s="3">
        <f>_xlfn.XLOOKUP(tblAsignaciones[[#This Row],[turno]],tblTurnos[turno],tblTurnos[hora_inicio],"")</f>
        <v/>
      </c>
      <c r="L335" s="3">
        <f>_xlfn.XLOOKUP(tblAsignaciones[[#This Row],[turno]],tblTurnos[turno],tblTurnos[hora_fin],"")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6" s="3">
        <f>tblAsignaciones[[#This Row],[semana]]&amp;"|"&amp;tblAsignaciones[[#This Row],[dia]]&amp;"|"&amp;tblAsignaciones[[#This Row],[tecnico]]</f>
        <v/>
      </c>
      <c r="K336" s="3">
        <f>_xlfn.XLOOKUP(tblAsignaciones[[#This Row],[turno]],tblTurnos[turno],tblTurnos[hora_inicio],"")</f>
        <v/>
      </c>
      <c r="L336" s="3">
        <f>_xlfn.XLOOKUP(tblAsignaciones[[#This Row],[turno]],tblTurnos[turno],tblTurnos[hora_fin],"")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7" s="3">
        <f>tblAsignaciones[[#This Row],[semana]]&amp;"|"&amp;tblAsignaciones[[#This Row],[dia]]&amp;"|"&amp;tblAsignaciones[[#This Row],[tecnico]]</f>
        <v/>
      </c>
      <c r="K337" s="3">
        <f>_xlfn.XLOOKUP(tblAsignaciones[[#This Row],[turno]],tblTurnos[turno],tblTurnos[hora_inicio],"")</f>
        <v/>
      </c>
      <c r="L337" s="3">
        <f>_xlfn.XLOOKUP(tblAsignaciones[[#This Row],[turno]],tblTurnos[turno],tblTurnos[hora_fin],"")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>
        <is>
          <t>T1</t>
        </is>
      </c>
      <c r="G338" s="3">
        <f>_xlfn.XLOOKUP(tblAsignaciones[[#This Row],[tecnico]],tblTecnicos[nombre],tblTecnicos[coordinador],"")</f>
        <v/>
      </c>
      <c r="H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8" s="3">
        <f>tblAsignaciones[[#This Row],[semana]]&amp;"|"&amp;tblAsignaciones[[#This Row],[dia]]&amp;"|"&amp;tblAsignaciones[[#This Row],[tecnico]]</f>
        <v/>
      </c>
      <c r="K338" s="3">
        <f>_xlfn.XLOOKUP(tblAsignaciones[[#This Row],[turno]],tblTurnos[turno],tblTurnos[hora_inicio],"")</f>
        <v/>
      </c>
      <c r="L338" s="3">
        <f>_xlfn.XLOOKUP(tblAsignaciones[[#This Row],[turno]],tblTurnos[turno],tblTurnos[hora_fin],"")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9" s="3">
        <f>tblAsignaciones[[#This Row],[semana]]&amp;"|"&amp;tblAsignaciones[[#This Row],[dia]]&amp;"|"&amp;tblAsignaciones[[#This Row],[tecnico]]</f>
        <v/>
      </c>
      <c r="K339" s="3">
        <f>_xlfn.XLOOKUP(tblAsignaciones[[#This Row],[turno]],tblTurnos[turno],tblTurnos[hora_inicio],"")</f>
        <v/>
      </c>
      <c r="L339" s="3">
        <f>_xlfn.XLOOKUP(tblAsignaciones[[#This Row],[turno]],tblTurnos[turno],tblTurnos[hora_fin],"")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46225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46225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46225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46225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1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 hidden="1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 hidden="1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 hidden="1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COUNTIFS(tblOrdenes[especialidad],$A87,tblOrdenes[es_habil],"sí")</f>
        <v/>
      </c>
      <c r="C87" s="3">
        <f>COUNTIFS(tblOrdenes[especialidad],$A87,tblOrdenes[estado],"Cerrada",tblOrdenes[es_habil],"sí")</f>
        <v/>
      </c>
      <c r="D87" s="18">
        <f>IF(B87=0,"",C87/B87)</f>
        <v/>
      </c>
      <c r="E87" s="17">
        <f>SUMIFS(tblOrdenes[horas_efectivas],tblOrdenes[especialidad],$A87,tblOrdenes[es_habil],"sí")</f>
        <v/>
      </c>
      <c r="F87" s="17">
        <f>SUMIFS(tblOrdenes[horas_efectivas],tblOrdenes[especialidad],$A87,tblOrdenes[estado],"Cerrada",tblOrdenes[es_habil],"sí")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COUNTIFS(tblOrdenes[coordinador],$A93,tblOrdenes[es_habil],"sí")</f>
        <v/>
      </c>
      <c r="C93" s="3">
        <f>COUNTIFS(tblOrdenes[coordinador],$A93,tblOrdenes[estado],"Cerrada",tblOrdenes[es_habil],"sí")</f>
        <v/>
      </c>
      <c r="D93" s="18">
        <f>IF(B93=0,"",C93/B93)</f>
        <v/>
      </c>
      <c r="E93" s="17">
        <f>SUMIFS(tblOrdenes[horas_efectivas],tblOrdenes[coordinador],$A93,tblOrdenes[es_habil],"sí")</f>
        <v/>
      </c>
      <c r="F93" s="17">
        <f>SUMIFS(tblOrdenes[horas_efectivas],tblOrdenes[coordinador],$A93,tblOrdenes[estado],"Cerrada",tblOrdenes[es_habil],"sí")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COUNTIFS(tblOrdenes[clasificacion],$A99,tblOrdenes[es_habil],"sí")</f>
        <v/>
      </c>
      <c r="C99" s="3">
        <f>COUNTIFS(tblOrdenes[clasificacion],$A99,tblOrdenes[estado],"Cerrada",tblOrdenes[es_habil],"sí")</f>
        <v/>
      </c>
      <c r="D99" s="18">
        <f>IF(B99=0,"",C99/B99)</f>
        <v/>
      </c>
      <c r="E99" s="17">
        <f>SUMIFS(tblOrdenes[horas_efectivas],tblOrdenes[clasificacion],$A99,tblOrdenes[es_habil],"sí")</f>
        <v/>
      </c>
      <c r="F99" s="17">
        <f>SUMIFS(tblOrdenes[horas_efectivas],tblOrdenes[clasificacion],$A99,tblOrdenes[estado],"Cerrada",tblOrdenes[es_habil],"sí")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SUMIFS(tblOrdenes[costo_total],tblOrdenes[sub_area],$A28,tblOrdenes[anio],B$26,tblOrdenes[mes],B$27)</f>
        <v/>
      </c>
      <c r="C28" s="10">
        <f>SUMIFS(tblOrdenes[costo_total],tblOrdenes[sub_area],$A28,tblOrdenes[anio],C$26,tblOrdenes[mes],C$27)</f>
        <v/>
      </c>
      <c r="D28" s="10">
        <f>SUMIFS(tblOrdenes[costo_total],tblOrdenes[sub_area],$A28,tblOrdenes[anio],D$26,tblOrdenes[mes],D$27)</f>
        <v/>
      </c>
      <c r="E28" s="10">
        <f>SUMIFS(tblOrdenes[costo_total],tblOrdenes[sub_area],$A28,tblOrdenes[anio],E$26,tblOrdenes[mes],E$27)</f>
        <v/>
      </c>
      <c r="F28" s="10">
        <f>SUMIFS(tblOrdenes[costo_total],tblOrdenes[sub_area],$A28,tblOrdenes[anio],F$26,tblOrdenes[mes],F$27)</f>
        <v/>
      </c>
      <c r="G28" s="10">
        <f>SUMIFS(tblOrdenes[costo_total],tblOrdenes[sub_area],$A28,tblOrdenes[anio],G$26,tblOrdenes[mes],G$27)</f>
        <v/>
      </c>
      <c r="H28" s="10">
        <f>SUMIFS(tblOrdenes[costo_total],tblOrdenes[sub_area],$A28,tblOrdenes[anio],H$26,tblOrdenes[mes],H$27)</f>
        <v/>
      </c>
      <c r="I28" s="10">
        <f>SUMIFS(tblOrdenes[costo_total],tblOrdenes[sub_area],$A28,tblOrdenes[anio],I$26,tblOrdenes[mes],I$27)</f>
        <v/>
      </c>
      <c r="J28" s="10">
        <f>SUMIFS(tblOrdenes[costo_total],tblOrdenes[sub_area],$A28,tblOrdenes[anio],J$26,tblOrdenes[mes],J$27)</f>
        <v/>
      </c>
      <c r="K28" s="10">
        <f>SUMIFS(tblOrdenes[costo_total],tblOrdenes[sub_area],$A28,tblOrdenes[anio],K$26,tblOrdenes[mes],K$27)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SUMIFS(tblOrdenes[costo_total],tblOrdenes[sub_area],$A29,tblOrdenes[anio],B$26,tblOrdenes[mes],B$27)</f>
        <v/>
      </c>
      <c r="C29" s="10">
        <f>SUMIFS(tblOrdenes[costo_total],tblOrdenes[sub_area],$A29,tblOrdenes[anio],C$26,tblOrdenes[mes],C$27)</f>
        <v/>
      </c>
      <c r="D29" s="10">
        <f>SUMIFS(tblOrdenes[costo_total],tblOrdenes[sub_area],$A29,tblOrdenes[anio],D$26,tblOrdenes[mes],D$27)</f>
        <v/>
      </c>
      <c r="E29" s="10">
        <f>SUMIFS(tblOrdenes[costo_total],tblOrdenes[sub_area],$A29,tblOrdenes[anio],E$26,tblOrdenes[mes],E$27)</f>
        <v/>
      </c>
      <c r="F29" s="10">
        <f>SUMIFS(tblOrdenes[costo_total],tblOrdenes[sub_area],$A29,tblOrdenes[anio],F$26,tblOrdenes[mes],F$27)</f>
        <v/>
      </c>
      <c r="G29" s="10">
        <f>SUMIFS(tblOrdenes[costo_total],tblOrdenes[sub_area],$A29,tblOrdenes[anio],G$26,tblOrdenes[mes],G$27)</f>
        <v/>
      </c>
      <c r="H29" s="10">
        <f>SUMIFS(tblOrdenes[costo_total],tblOrdenes[sub_area],$A29,tblOrdenes[anio],H$26,tblOrdenes[mes],H$27)</f>
        <v/>
      </c>
      <c r="I29" s="10">
        <f>SUMIFS(tblOrdenes[costo_total],tblOrdenes[sub_area],$A29,tblOrdenes[anio],I$26,tblOrdenes[mes],I$27)</f>
        <v/>
      </c>
      <c r="J29" s="10">
        <f>SUMIFS(tblOrdenes[costo_total],tblOrdenes[sub_area],$A29,tblOrdenes[anio],J$26,tblOrdenes[mes],J$27)</f>
        <v/>
      </c>
      <c r="K29" s="10">
        <f>SUMIFS(tblOrdenes[costo_total],tblOrdenes[sub_area],$A29,tblOrdenes[anio],K$26,tblOrdenes[mes],K$27)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SUMIFS(tblOrdenes[costo_total],tblOrdenes[sub_area],$A30,tblOrdenes[anio],B$26,tblOrdenes[mes],B$27)</f>
        <v/>
      </c>
      <c r="C30" s="10">
        <f>SUMIFS(tblOrdenes[costo_total],tblOrdenes[sub_area],$A30,tblOrdenes[anio],C$26,tblOrdenes[mes],C$27)</f>
        <v/>
      </c>
      <c r="D30" s="10">
        <f>SUMIFS(tblOrdenes[costo_total],tblOrdenes[sub_area],$A30,tblOrdenes[anio],D$26,tblOrdenes[mes],D$27)</f>
        <v/>
      </c>
      <c r="E30" s="10">
        <f>SUMIFS(tblOrdenes[costo_total],tblOrdenes[sub_area],$A30,tblOrdenes[anio],E$26,tblOrdenes[mes],E$27)</f>
        <v/>
      </c>
      <c r="F30" s="10">
        <f>SUMIFS(tblOrdenes[costo_total],tblOrdenes[sub_area],$A30,tblOrdenes[anio],F$26,tblOrdenes[mes],F$27)</f>
        <v/>
      </c>
      <c r="G30" s="10">
        <f>SUMIFS(tblOrdenes[costo_total],tblOrdenes[sub_area],$A30,tblOrdenes[anio],G$26,tblOrdenes[mes],G$27)</f>
        <v/>
      </c>
      <c r="H30" s="10">
        <f>SUMIFS(tblOrdenes[costo_total],tblOrdenes[sub_area],$A30,tblOrdenes[anio],H$26,tblOrdenes[mes],H$27)</f>
        <v/>
      </c>
      <c r="I30" s="10">
        <f>SUMIFS(tblOrdenes[costo_total],tblOrdenes[sub_area],$A30,tblOrdenes[anio],I$26,tblOrdenes[mes],I$27)</f>
        <v/>
      </c>
      <c r="J30" s="10">
        <f>SUMIFS(tblOrdenes[costo_total],tblOrdenes[sub_area],$A30,tblOrdenes[anio],J$26,tblOrdenes[mes],J$27)</f>
        <v/>
      </c>
      <c r="K30" s="10">
        <f>SUMIFS(tblOrdenes[costo_total],tblOrdenes[sub_area],$A30,tblOrdenes[anio],K$26,tblOrdenes[mes],K$27)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SUMIFS(tblOrdenes[costo_total],tblOrdenes[sub_area],$A31,tblOrdenes[anio],B$26,tblOrdenes[mes],B$27)</f>
        <v/>
      </c>
      <c r="C31" s="10">
        <f>SUMIFS(tblOrdenes[costo_total],tblOrdenes[sub_area],$A31,tblOrdenes[anio],C$26,tblOrdenes[mes],C$27)</f>
        <v/>
      </c>
      <c r="D31" s="10">
        <f>SUMIFS(tblOrdenes[costo_total],tblOrdenes[sub_area],$A31,tblOrdenes[anio],D$26,tblOrdenes[mes],D$27)</f>
        <v/>
      </c>
      <c r="E31" s="10">
        <f>SUMIFS(tblOrdenes[costo_total],tblOrdenes[sub_area],$A31,tblOrdenes[anio],E$26,tblOrdenes[mes],E$27)</f>
        <v/>
      </c>
      <c r="F31" s="10">
        <f>SUMIFS(tblOrdenes[costo_total],tblOrdenes[sub_area],$A31,tblOrdenes[anio],F$26,tblOrdenes[mes],F$27)</f>
        <v/>
      </c>
      <c r="G31" s="10">
        <f>SUMIFS(tblOrdenes[costo_total],tblOrdenes[sub_area],$A31,tblOrdenes[anio],G$26,tblOrdenes[mes],G$27)</f>
        <v/>
      </c>
      <c r="H31" s="10">
        <f>SUMIFS(tblOrdenes[costo_total],tblOrdenes[sub_area],$A31,tblOrdenes[anio],H$26,tblOrdenes[mes],H$27)</f>
        <v/>
      </c>
      <c r="I31" s="10">
        <f>SUMIFS(tblOrdenes[costo_total],tblOrdenes[sub_area],$A31,tblOrdenes[anio],I$26,tblOrdenes[mes],I$27)</f>
        <v/>
      </c>
      <c r="J31" s="10">
        <f>SUMIFS(tblOrdenes[costo_total],tblOrdenes[sub_area],$A31,tblOrdenes[anio],J$26,tblOrdenes[mes],J$27)</f>
        <v/>
      </c>
      <c r="K31" s="10">
        <f>SUMIFS(tblOrdenes[costo_total],tblOrdenes[sub_area],$A31,tblOrdenes[anio],K$26,tblOrdenes[mes],K$27)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SUMIFS(tblOrdenes[costo_total],tblOrdenes[sub_area],$A32,tblOrdenes[anio],B$26,tblOrdenes[mes],B$27)</f>
        <v/>
      </c>
      <c r="C32" s="10">
        <f>SUMIFS(tblOrdenes[costo_total],tblOrdenes[sub_area],$A32,tblOrdenes[anio],C$26,tblOrdenes[mes],C$27)</f>
        <v/>
      </c>
      <c r="D32" s="10">
        <f>SUMIFS(tblOrdenes[costo_total],tblOrdenes[sub_area],$A32,tblOrdenes[anio],D$26,tblOrdenes[mes],D$27)</f>
        <v/>
      </c>
      <c r="E32" s="10">
        <f>SUMIFS(tblOrdenes[costo_total],tblOrdenes[sub_area],$A32,tblOrdenes[anio],E$26,tblOrdenes[mes],E$27)</f>
        <v/>
      </c>
      <c r="F32" s="10">
        <f>SUMIFS(tblOrdenes[costo_total],tblOrdenes[sub_area],$A32,tblOrdenes[anio],F$26,tblOrdenes[mes],F$27)</f>
        <v/>
      </c>
      <c r="G32" s="10">
        <f>SUMIFS(tblOrdenes[costo_total],tblOrdenes[sub_area],$A32,tblOrdenes[anio],G$26,tblOrdenes[mes],G$27)</f>
        <v/>
      </c>
      <c r="H32" s="10">
        <f>SUMIFS(tblOrdenes[costo_total],tblOrdenes[sub_area],$A32,tblOrdenes[anio],H$26,tblOrdenes[mes],H$27)</f>
        <v/>
      </c>
      <c r="I32" s="10">
        <f>SUMIFS(tblOrdenes[costo_total],tblOrdenes[sub_area],$A32,tblOrdenes[anio],I$26,tblOrdenes[mes],I$27)</f>
        <v/>
      </c>
      <c r="J32" s="10">
        <f>SUMIFS(tblOrdenes[costo_total],tblOrdenes[sub_area],$A32,tblOrdenes[anio],J$26,tblOrdenes[mes],J$27)</f>
        <v/>
      </c>
      <c r="K32" s="10">
        <f>SUMIFS(tblOrdenes[costo_total],tblOrdenes[sub_area],$A32,tblOrdenes[anio],K$26,tblOrdenes[mes],K$27)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SUMIFS(tblOrdenes[costo_total],tblOrdenes[sub_area],$A33,tblOrdenes[anio],B$26,tblOrdenes[mes],B$27)</f>
        <v/>
      </c>
      <c r="C33" s="10">
        <f>SUMIFS(tblOrdenes[costo_total],tblOrdenes[sub_area],$A33,tblOrdenes[anio],C$26,tblOrdenes[mes],C$27)</f>
        <v/>
      </c>
      <c r="D33" s="10">
        <f>SUMIFS(tblOrdenes[costo_total],tblOrdenes[sub_area],$A33,tblOrdenes[anio],D$26,tblOrdenes[mes],D$27)</f>
        <v/>
      </c>
      <c r="E33" s="10">
        <f>SUMIFS(tblOrdenes[costo_total],tblOrdenes[sub_area],$A33,tblOrdenes[anio],E$26,tblOrdenes[mes],E$27)</f>
        <v/>
      </c>
      <c r="F33" s="10">
        <f>SUMIFS(tblOrdenes[costo_total],tblOrdenes[sub_area],$A33,tblOrdenes[anio],F$26,tblOrdenes[mes],F$27)</f>
        <v/>
      </c>
      <c r="G33" s="10">
        <f>SUMIFS(tblOrdenes[costo_total],tblOrdenes[sub_area],$A33,tblOrdenes[anio],G$26,tblOrdenes[mes],G$27)</f>
        <v/>
      </c>
      <c r="H33" s="10">
        <f>SUMIFS(tblOrdenes[costo_total],tblOrdenes[sub_area],$A33,tblOrdenes[anio],H$26,tblOrdenes[mes],H$27)</f>
        <v/>
      </c>
      <c r="I33" s="10">
        <f>SUMIFS(tblOrdenes[costo_total],tblOrdenes[sub_area],$A33,tblOrdenes[anio],I$26,tblOrdenes[mes],I$27)</f>
        <v/>
      </c>
      <c r="J33" s="10">
        <f>SUMIFS(tblOrdenes[costo_total],tblOrdenes[sub_area],$A33,tblOrdenes[anio],J$26,tblOrdenes[mes],J$27)</f>
        <v/>
      </c>
      <c r="K33" s="10">
        <f>SUMIFS(tblOrdenes[costo_total],tblOrdenes[sub_area],$A33,tblOrdenes[anio],K$26,tblOrdenes[mes],K$27)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SUMIFS(tblOrdenes[costo_total],tblOrdenes[linea],$A39,tblOrdenes[anio],B$37,tblOrdenes[mes],B$38)</f>
        <v/>
      </c>
      <c r="C39" s="10">
        <f>SUMIFS(tblOrdenes[costo_total],tblOrdenes[linea],$A39,tblOrdenes[anio],C$37,tblOrdenes[mes],C$38)</f>
        <v/>
      </c>
      <c r="D39" s="10">
        <f>SUMIFS(tblOrdenes[costo_total],tblOrdenes[linea],$A39,tblOrdenes[anio],D$37,tblOrdenes[mes],D$38)</f>
        <v/>
      </c>
      <c r="E39" s="10">
        <f>SUMIFS(tblOrdenes[costo_total],tblOrdenes[linea],$A39,tblOrdenes[anio],E$37,tblOrdenes[mes],E$38)</f>
        <v/>
      </c>
      <c r="F39" s="10">
        <f>SUMIFS(tblOrdenes[costo_total],tblOrdenes[linea],$A39,tblOrdenes[anio],F$37,tblOrdenes[mes],F$38)</f>
        <v/>
      </c>
      <c r="G39" s="10">
        <f>SUMIFS(tblOrdenes[costo_total],tblOrdenes[linea],$A39,tblOrdenes[anio],G$37,tblOrdenes[mes],G$38)</f>
        <v/>
      </c>
      <c r="H39" s="10">
        <f>SUMIFS(tblOrdenes[costo_total],tblOrdenes[linea],$A39,tblOrdenes[anio],H$37,tblOrdenes[mes],H$38)</f>
        <v/>
      </c>
      <c r="I39" s="10">
        <f>SUMIFS(tblOrdenes[costo_total],tblOrdenes[linea],$A39,tblOrdenes[anio],I$37,tblOrdenes[mes],I$38)</f>
        <v/>
      </c>
      <c r="J39" s="10">
        <f>SUMIFS(tblOrdenes[costo_total],tblOrdenes[linea],$A39,tblOrdenes[anio],J$37,tblOrdenes[mes],J$38)</f>
        <v/>
      </c>
      <c r="K39" s="10">
        <f>SUMIFS(tblOrdenes[costo_total],tblOrdenes[linea],$A39,tblOrdenes[anio],K$37,tblOrdenes[mes],K$38)</f>
        <v/>
      </c>
      <c r="L39" s="10">
        <f>SUM(B39:K39)</f>
        <v/>
      </c>
    </row>
    <row r="40">
      <c r="A40" s="3" t="inlineStr">
        <is>
          <t>L2</t>
        </is>
      </c>
      <c r="B40" s="10">
        <f>SUMIFS(tblOrdenes[costo_total],tblOrdenes[linea],$A40,tblOrdenes[anio],B$37,tblOrdenes[mes],B$38)</f>
        <v/>
      </c>
      <c r="C40" s="10">
        <f>SUMIFS(tblOrdenes[costo_total],tblOrdenes[linea],$A40,tblOrdenes[anio],C$37,tblOrdenes[mes],C$38)</f>
        <v/>
      </c>
      <c r="D40" s="10">
        <f>SUMIFS(tblOrdenes[costo_total],tblOrdenes[linea],$A40,tblOrdenes[anio],D$37,tblOrdenes[mes],D$38)</f>
        <v/>
      </c>
      <c r="E40" s="10">
        <f>SUMIFS(tblOrdenes[costo_total],tblOrdenes[linea],$A40,tblOrdenes[anio],E$37,tblOrdenes[mes],E$38)</f>
        <v/>
      </c>
      <c r="F40" s="10">
        <f>SUMIFS(tblOrdenes[costo_total],tblOrdenes[linea],$A40,tblOrdenes[anio],F$37,tblOrdenes[mes],F$38)</f>
        <v/>
      </c>
      <c r="G40" s="10">
        <f>SUMIFS(tblOrdenes[costo_total],tblOrdenes[linea],$A40,tblOrdenes[anio],G$37,tblOrdenes[mes],G$38)</f>
        <v/>
      </c>
      <c r="H40" s="10">
        <f>SUMIFS(tblOrdenes[costo_total],tblOrdenes[linea],$A40,tblOrdenes[anio],H$37,tblOrdenes[mes],H$38)</f>
        <v/>
      </c>
      <c r="I40" s="10">
        <f>SUMIFS(tblOrdenes[costo_total],tblOrdenes[linea],$A40,tblOrdenes[anio],I$37,tblOrdenes[mes],I$38)</f>
        <v/>
      </c>
      <c r="J40" s="10">
        <f>SUMIFS(tblOrdenes[costo_total],tblOrdenes[linea],$A40,tblOrdenes[anio],J$37,tblOrdenes[mes],J$38)</f>
        <v/>
      </c>
      <c r="K40" s="10">
        <f>SUMIFS(tblOrdenes[costo_total],tblOrdenes[linea],$A40,tblOrdenes[anio],K$37,tblOrdenes[mes],K$38)</f>
        <v/>
      </c>
      <c r="L40" s="10">
        <f>SUM(B40:K40)</f>
        <v/>
      </c>
    </row>
    <row r="41">
      <c r="A41" s="3" t="inlineStr">
        <is>
          <t>L3</t>
        </is>
      </c>
      <c r="B41" s="10">
        <f>SUMIFS(tblOrdenes[costo_total],tblOrdenes[linea],$A41,tblOrdenes[anio],B$37,tblOrdenes[mes],B$38)</f>
        <v/>
      </c>
      <c r="C41" s="10">
        <f>SUMIFS(tblOrdenes[costo_total],tblOrdenes[linea],$A41,tblOrdenes[anio],C$37,tblOrdenes[mes],C$38)</f>
        <v/>
      </c>
      <c r="D41" s="10">
        <f>SUMIFS(tblOrdenes[costo_total],tblOrdenes[linea],$A41,tblOrdenes[anio],D$37,tblOrdenes[mes],D$38)</f>
        <v/>
      </c>
      <c r="E41" s="10">
        <f>SUMIFS(tblOrdenes[costo_total],tblOrdenes[linea],$A41,tblOrdenes[anio],E$37,tblOrdenes[mes],E$38)</f>
        <v/>
      </c>
      <c r="F41" s="10">
        <f>SUMIFS(tblOrdenes[costo_total],tblOrdenes[linea],$A41,tblOrdenes[anio],F$37,tblOrdenes[mes],F$38)</f>
        <v/>
      </c>
      <c r="G41" s="10">
        <f>SUMIFS(tblOrdenes[costo_total],tblOrdenes[linea],$A41,tblOrdenes[anio],G$37,tblOrdenes[mes],G$38)</f>
        <v/>
      </c>
      <c r="H41" s="10">
        <f>SUMIFS(tblOrdenes[costo_total],tblOrdenes[linea],$A41,tblOrdenes[anio],H$37,tblOrdenes[mes],H$38)</f>
        <v/>
      </c>
      <c r="I41" s="10">
        <f>SUMIFS(tblOrdenes[costo_total],tblOrdenes[linea],$A41,tblOrdenes[anio],I$37,tblOrdenes[mes],I$38)</f>
        <v/>
      </c>
      <c r="J41" s="10">
        <f>SUMIFS(tblOrdenes[costo_total],tblOrdenes[linea],$A41,tblOrdenes[anio],J$37,tblOrdenes[mes],J$38)</f>
        <v/>
      </c>
      <c r="K41" s="10">
        <f>SUMIFS(tblOrdenes[costo_total],tblOrdenes[linea],$A41,tblOrdenes[anio],K$37,tblOrdenes[mes],K$38)</f>
        <v/>
      </c>
      <c r="L41" s="10">
        <f>SUM(B41:K41)</f>
        <v/>
      </c>
    </row>
    <row r="42">
      <c r="A42" s="3" t="inlineStr">
        <is>
          <t>L4</t>
        </is>
      </c>
      <c r="B42" s="10">
        <f>SUMIFS(tblOrdenes[costo_total],tblOrdenes[linea],$A42,tblOrdenes[anio],B$37,tblOrdenes[mes],B$38)</f>
        <v/>
      </c>
      <c r="C42" s="10">
        <f>SUMIFS(tblOrdenes[costo_total],tblOrdenes[linea],$A42,tblOrdenes[anio],C$37,tblOrdenes[mes],C$38)</f>
        <v/>
      </c>
      <c r="D42" s="10">
        <f>SUMIFS(tblOrdenes[costo_total],tblOrdenes[linea],$A42,tblOrdenes[anio],D$37,tblOrdenes[mes],D$38)</f>
        <v/>
      </c>
      <c r="E42" s="10">
        <f>SUMIFS(tblOrdenes[costo_total],tblOrdenes[linea],$A42,tblOrdenes[anio],E$37,tblOrdenes[mes],E$38)</f>
        <v/>
      </c>
      <c r="F42" s="10">
        <f>SUMIFS(tblOrdenes[costo_total],tblOrdenes[linea],$A42,tblOrdenes[anio],F$37,tblOrdenes[mes],F$38)</f>
        <v/>
      </c>
      <c r="G42" s="10">
        <f>SUMIFS(tblOrdenes[costo_total],tblOrdenes[linea],$A42,tblOrdenes[anio],G$37,tblOrdenes[mes],G$38)</f>
        <v/>
      </c>
      <c r="H42" s="10">
        <f>SUMIFS(tblOrdenes[costo_total],tblOrdenes[linea],$A42,tblOrdenes[anio],H$37,tblOrdenes[mes],H$38)</f>
        <v/>
      </c>
      <c r="I42" s="10">
        <f>SUMIFS(tblOrdenes[costo_total],tblOrdenes[linea],$A42,tblOrdenes[anio],I$37,tblOrdenes[mes],I$38)</f>
        <v/>
      </c>
      <c r="J42" s="10">
        <f>SUMIFS(tblOrdenes[costo_total],tblOrdenes[linea],$A42,tblOrdenes[anio],J$37,tblOrdenes[mes],J$38)</f>
        <v/>
      </c>
      <c r="K42" s="10">
        <f>SUMIFS(tblOrdenes[costo_total],tblOrdenes[linea],$A42,tblOrdenes[anio],K$37,tblOrdenes[mes],K$38)</f>
        <v/>
      </c>
      <c r="L42" s="10">
        <f>SUM(B42:K42)</f>
        <v/>
      </c>
    </row>
    <row r="43">
      <c r="A43" s="3" t="inlineStr">
        <is>
          <t>SG</t>
        </is>
      </c>
      <c r="B43" s="10">
        <f>SUMIFS(tblOrdenes[costo_total],tblOrdenes[linea],$A43,tblOrdenes[anio],B$37,tblOrdenes[mes],B$38)</f>
        <v/>
      </c>
      <c r="C43" s="10">
        <f>SUMIFS(tblOrdenes[costo_total],tblOrdenes[linea],$A43,tblOrdenes[anio],C$37,tblOrdenes[mes],C$38)</f>
        <v/>
      </c>
      <c r="D43" s="10">
        <f>SUMIFS(tblOrdenes[costo_total],tblOrdenes[linea],$A43,tblOrdenes[anio],D$37,tblOrdenes[mes],D$38)</f>
        <v/>
      </c>
      <c r="E43" s="10">
        <f>SUMIFS(tblOrdenes[costo_total],tblOrdenes[linea],$A43,tblOrdenes[anio],E$37,tblOrdenes[mes],E$38)</f>
        <v/>
      </c>
      <c r="F43" s="10">
        <f>SUMIFS(tblOrdenes[costo_total],tblOrdenes[linea],$A43,tblOrdenes[anio],F$37,tblOrdenes[mes],F$38)</f>
        <v/>
      </c>
      <c r="G43" s="10">
        <f>SUMIFS(tblOrdenes[costo_total],tblOrdenes[linea],$A43,tblOrdenes[anio],G$37,tblOrdenes[mes],G$38)</f>
        <v/>
      </c>
      <c r="H43" s="10">
        <f>SUMIFS(tblOrdenes[costo_total],tblOrdenes[linea],$A43,tblOrdenes[anio],H$37,tblOrdenes[mes],H$38)</f>
        <v/>
      </c>
      <c r="I43" s="10">
        <f>SUMIFS(tblOrdenes[costo_total],tblOrdenes[linea],$A43,tblOrdenes[anio],I$37,tblOrdenes[mes],I$38)</f>
        <v/>
      </c>
      <c r="J43" s="10">
        <f>SUMIFS(tblOrdenes[costo_total],tblOrdenes[linea],$A43,tblOrdenes[anio],J$37,tblOrdenes[mes],J$38)</f>
        <v/>
      </c>
      <c r="K43" s="10">
        <f>SUMIFS(tblOrdenes[costo_total],tblOrdenes[linea],$A43,tblOrdenes[anio],K$37,tblOrdenes[mes],K$38)</f>
        <v/>
      </c>
      <c r="L43" s="10">
        <f>SUM(B43:K43)</f>
        <v/>
      </c>
    </row>
    <row r="44">
      <c r="A44" s="3" t="inlineStr">
        <is>
          <t>SG</t>
        </is>
      </c>
      <c r="B44" s="10">
        <f>SUMIFS(tblOrdenes[costo_total],tblOrdenes[linea],$A44,tblOrdenes[anio],B$37,tblOrdenes[mes],B$38)</f>
        <v/>
      </c>
      <c r="C44" s="10">
        <f>SUMIFS(tblOrdenes[costo_total],tblOrdenes[linea],$A44,tblOrdenes[anio],C$37,tblOrdenes[mes],C$38)</f>
        <v/>
      </c>
      <c r="D44" s="10">
        <f>SUMIFS(tblOrdenes[costo_total],tblOrdenes[linea],$A44,tblOrdenes[anio],D$37,tblOrdenes[mes],D$38)</f>
        <v/>
      </c>
      <c r="E44" s="10">
        <f>SUMIFS(tblOrdenes[costo_total],tblOrdenes[linea],$A44,tblOrdenes[anio],E$37,tblOrdenes[mes],E$38)</f>
        <v/>
      </c>
      <c r="F44" s="10">
        <f>SUMIFS(tblOrdenes[costo_total],tblOrdenes[linea],$A44,tblOrdenes[anio],F$37,tblOrdenes[mes],F$38)</f>
        <v/>
      </c>
      <c r="G44" s="10">
        <f>SUMIFS(tblOrdenes[costo_total],tblOrdenes[linea],$A44,tblOrdenes[anio],G$37,tblOrdenes[mes],G$38)</f>
        <v/>
      </c>
      <c r="H44" s="10">
        <f>SUMIFS(tblOrdenes[costo_total],tblOrdenes[linea],$A44,tblOrdenes[anio],H$37,tblOrdenes[mes],H$38)</f>
        <v/>
      </c>
      <c r="I44" s="10">
        <f>SUMIFS(tblOrdenes[costo_total],tblOrdenes[linea],$A44,tblOrdenes[anio],I$37,tblOrdenes[mes],I$38)</f>
        <v/>
      </c>
      <c r="J44" s="10">
        <f>SUMIFS(tblOrdenes[costo_total],tblOrdenes[linea],$A44,tblOrdenes[anio],J$37,tblOrdenes[mes],J$38)</f>
        <v/>
      </c>
      <c r="K44" s="10">
        <f>SUMIFS(tblOrdenes[costo_total],tblOrdenes[linea],$A44,tblOrdenes[anio],K$37,tblOrdenes[mes],K$38)</f>
        <v/>
      </c>
      <c r="L44" s="10">
        <f>SUM(B44:K44)</f>
        <v/>
      </c>
    </row>
    <row r="45">
      <c r="A45" s="3" t="inlineStr">
        <is>
          <t>TC</t>
        </is>
      </c>
      <c r="B45" s="10">
        <f>SUMIFS(tblOrdenes[costo_total],tblOrdenes[linea],$A45,tblOrdenes[anio],B$37,tblOrdenes[mes],B$38)</f>
        <v/>
      </c>
      <c r="C45" s="10">
        <f>SUMIFS(tblOrdenes[costo_total],tblOrdenes[linea],$A45,tblOrdenes[anio],C$37,tblOrdenes[mes],C$38)</f>
        <v/>
      </c>
      <c r="D45" s="10">
        <f>SUMIFS(tblOrdenes[costo_total],tblOrdenes[linea],$A45,tblOrdenes[anio],D$37,tblOrdenes[mes],D$38)</f>
        <v/>
      </c>
      <c r="E45" s="10">
        <f>SUMIFS(tblOrdenes[costo_total],tblOrdenes[linea],$A45,tblOrdenes[anio],E$37,tblOrdenes[mes],E$38)</f>
        <v/>
      </c>
      <c r="F45" s="10">
        <f>SUMIFS(tblOrdenes[costo_total],tblOrdenes[linea],$A45,tblOrdenes[anio],F$37,tblOrdenes[mes],F$38)</f>
        <v/>
      </c>
      <c r="G45" s="10">
        <f>SUMIFS(tblOrdenes[costo_total],tblOrdenes[linea],$A45,tblOrdenes[anio],G$37,tblOrdenes[mes],G$38)</f>
        <v/>
      </c>
      <c r="H45" s="10">
        <f>SUMIFS(tblOrdenes[costo_total],tblOrdenes[linea],$A45,tblOrdenes[anio],H$37,tblOrdenes[mes],H$38)</f>
        <v/>
      </c>
      <c r="I45" s="10">
        <f>SUMIFS(tblOrdenes[costo_total],tblOrdenes[linea],$A45,tblOrdenes[anio],I$37,tblOrdenes[mes],I$38)</f>
        <v/>
      </c>
      <c r="J45" s="10">
        <f>SUMIFS(tblOrdenes[costo_total],tblOrdenes[linea],$A45,tblOrdenes[anio],J$37,tblOrdenes[mes],J$38)</f>
        <v/>
      </c>
      <c r="K45" s="10">
        <f>SUMIFS(tblOrdenes[costo_total],tblOrdenes[linea],$A45,tblOrdenes[anio],K$37,tblOrdenes[mes],K$38)</f>
        <v/>
      </c>
      <c r="L45" s="10">
        <f>SUM(B45:K45)</f>
        <v/>
      </c>
    </row>
    <row r="46">
      <c r="A46" s="3" t="inlineStr">
        <is>
          <t>TC</t>
        </is>
      </c>
      <c r="B46" s="10">
        <f>SUMIFS(tblOrdenes[costo_total],tblOrdenes[linea],$A46,tblOrdenes[anio],B$37,tblOrdenes[mes],B$38)</f>
        <v/>
      </c>
      <c r="C46" s="10">
        <f>SUMIFS(tblOrdenes[costo_total],tblOrdenes[linea],$A46,tblOrdenes[anio],C$37,tblOrdenes[mes],C$38)</f>
        <v/>
      </c>
      <c r="D46" s="10">
        <f>SUMIFS(tblOrdenes[costo_total],tblOrdenes[linea],$A46,tblOrdenes[anio],D$37,tblOrdenes[mes],D$38)</f>
        <v/>
      </c>
      <c r="E46" s="10">
        <f>SUMIFS(tblOrdenes[costo_total],tblOrdenes[linea],$A46,tblOrdenes[anio],E$37,tblOrdenes[mes],E$38)</f>
        <v/>
      </c>
      <c r="F46" s="10">
        <f>SUMIFS(tblOrdenes[costo_total],tblOrdenes[linea],$A46,tblOrdenes[anio],F$37,tblOrdenes[mes],F$38)</f>
        <v/>
      </c>
      <c r="G46" s="10">
        <f>SUMIFS(tblOrdenes[costo_total],tblOrdenes[linea],$A46,tblOrdenes[anio],G$37,tblOrdenes[mes],G$38)</f>
        <v/>
      </c>
      <c r="H46" s="10">
        <f>SUMIFS(tblOrdenes[costo_total],tblOrdenes[linea],$A46,tblOrdenes[anio],H$37,tblOrdenes[mes],H$38)</f>
        <v/>
      </c>
      <c r="I46" s="10">
        <f>SUMIFS(tblOrdenes[costo_total],tblOrdenes[linea],$A46,tblOrdenes[anio],I$37,tblOrdenes[mes],I$38)</f>
        <v/>
      </c>
      <c r="J46" s="10">
        <f>SUMIFS(tblOrdenes[costo_total],tblOrdenes[linea],$A46,tblOrdenes[anio],J$37,tblOrdenes[mes],J$38)</f>
        <v/>
      </c>
      <c r="K46" s="10">
        <f>SUMIFS(tblOrdenes[costo_total],tblOrdenes[linea],$A46,tblOrdenes[anio],K$37,tblOrdenes[mes],K$38)</f>
        <v/>
      </c>
      <c r="L46" s="10">
        <f>SUM(B46:K46)</f>
        <v/>
      </c>
    </row>
    <row r="47">
      <c r="A47" s="3" t="inlineStr">
        <is>
          <t>CO</t>
        </is>
      </c>
      <c r="B47" s="10">
        <f>SUMIFS(tblOrdenes[costo_total],tblOrdenes[linea],$A47,tblOrdenes[anio],B$37,tblOrdenes[mes],B$38)</f>
        <v/>
      </c>
      <c r="C47" s="10">
        <f>SUMIFS(tblOrdenes[costo_total],tblOrdenes[linea],$A47,tblOrdenes[anio],C$37,tblOrdenes[mes],C$38)</f>
        <v/>
      </c>
      <c r="D47" s="10">
        <f>SUMIFS(tblOrdenes[costo_total],tblOrdenes[linea],$A47,tblOrdenes[anio],D$37,tblOrdenes[mes],D$38)</f>
        <v/>
      </c>
      <c r="E47" s="10">
        <f>SUMIFS(tblOrdenes[costo_total],tblOrdenes[linea],$A47,tblOrdenes[anio],E$37,tblOrdenes[mes],E$38)</f>
        <v/>
      </c>
      <c r="F47" s="10">
        <f>SUMIFS(tblOrdenes[costo_total],tblOrdenes[linea],$A47,tblOrdenes[anio],F$37,tblOrdenes[mes],F$38)</f>
        <v/>
      </c>
      <c r="G47" s="10">
        <f>SUMIFS(tblOrdenes[costo_total],tblOrdenes[linea],$A47,tblOrdenes[anio],G$37,tblOrdenes[mes],G$38)</f>
        <v/>
      </c>
      <c r="H47" s="10">
        <f>SUMIFS(tblOrdenes[costo_total],tblOrdenes[linea],$A47,tblOrdenes[anio],H$37,tblOrdenes[mes],H$38)</f>
        <v/>
      </c>
      <c r="I47" s="10">
        <f>SUMIFS(tblOrdenes[costo_total],tblOrdenes[linea],$A47,tblOrdenes[anio],I$37,tblOrdenes[mes],I$38)</f>
        <v/>
      </c>
      <c r="J47" s="10">
        <f>SUMIFS(tblOrdenes[costo_total],tblOrdenes[linea],$A47,tblOrdenes[anio],J$37,tblOrdenes[mes],J$38)</f>
        <v/>
      </c>
      <c r="K47" s="10">
        <f>SUMIFS(tblOrdenes[costo_total],tblOrdenes[linea],$A47,tblOrdenes[anio],K$37,tblOrdenes[mes],K$38)</f>
        <v/>
      </c>
      <c r="L47" s="10">
        <f>SUM(B47:K47)</f>
        <v/>
      </c>
    </row>
    <row r="48">
      <c r="A48" s="3" t="inlineStr">
        <is>
          <t>AC</t>
        </is>
      </c>
      <c r="B48" s="10">
        <f>SUMIFS(tblOrdenes[costo_total],tblOrdenes[linea],$A48,tblOrdenes[anio],B$37,tblOrdenes[mes],B$38)</f>
        <v/>
      </c>
      <c r="C48" s="10">
        <f>SUMIFS(tblOrdenes[costo_total],tblOrdenes[linea],$A48,tblOrdenes[anio],C$37,tblOrdenes[mes],C$38)</f>
        <v/>
      </c>
      <c r="D48" s="10">
        <f>SUMIFS(tblOrdenes[costo_total],tblOrdenes[linea],$A48,tblOrdenes[anio],D$37,tblOrdenes[mes],D$38)</f>
        <v/>
      </c>
      <c r="E48" s="10">
        <f>SUMIFS(tblOrdenes[costo_total],tblOrdenes[linea],$A48,tblOrdenes[anio],E$37,tblOrdenes[mes],E$38)</f>
        <v/>
      </c>
      <c r="F48" s="10">
        <f>SUMIFS(tblOrdenes[costo_total],tblOrdenes[linea],$A48,tblOrdenes[anio],F$37,tblOrdenes[mes],F$38)</f>
        <v/>
      </c>
      <c r="G48" s="10">
        <f>SUMIFS(tblOrdenes[costo_total],tblOrdenes[linea],$A48,tblOrdenes[anio],G$37,tblOrdenes[mes],G$38)</f>
        <v/>
      </c>
      <c r="H48" s="10">
        <f>SUMIFS(tblOrdenes[costo_total],tblOrdenes[linea],$A48,tblOrdenes[anio],H$37,tblOrdenes[mes],H$38)</f>
        <v/>
      </c>
      <c r="I48" s="10">
        <f>SUMIFS(tblOrdenes[costo_total],tblOrdenes[linea],$A48,tblOrdenes[anio],I$37,tblOrdenes[mes],I$38)</f>
        <v/>
      </c>
      <c r="J48" s="10">
        <f>SUMIFS(tblOrdenes[costo_total],tblOrdenes[linea],$A48,tblOrdenes[anio],J$37,tblOrdenes[mes],J$38)</f>
        <v/>
      </c>
      <c r="K48" s="10">
        <f>SUMIFS(tblOrdenes[costo_total],tblOrdenes[linea],$A48,tblOrdenes[anio],K$37,tblOrdenes[mes],K$38)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EMPAQUE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Vapor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Refrigeración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CO2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  <row r="31">
      <c r="A31" s="3" t="inlineStr">
        <is>
          <t>Aire comprimido</t>
        </is>
      </c>
      <c r="B31" s="3">
        <f>COUNTIFS(tblOrdenes[estado],"Pendiente",tblOrdenes[backlog_dias],"&gt;=0",tblOrdenes[backlog_dias],"&lt;=30",tblOrdenes[sub_area],$A31)</f>
        <v/>
      </c>
      <c r="C31" s="3">
        <f>COUNTIFS(tblOrdenes[estado],"Pendiente",tblOrdenes[backlog_dias],"&gt;=31",tblOrdenes[backlog_dias],"&lt;=60",tblOrdenes[sub_area],$A31)</f>
        <v/>
      </c>
      <c r="D31" s="3">
        <f>COUNTIFS(tblOrdenes[estado],"Pendiente",tblOrdenes[backlog_dias],"&gt;=61",tblOrdenes[backlog_dias],"&lt;=90",tblOrdenes[sub_area],$A31)</f>
        <v/>
      </c>
      <c r="E31" s="3">
        <f>COUNTIFS(tblOrdenes[estado],"Pendiente",tblOrdenes[backlog_dias],"&gt;90",tblOrdenes[sub_area],$A31)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EQ-106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EQ-103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EQ-102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EQ-105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EQ-108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2026-07-22T20:46:09Z</dcterms:created>
  <dcterms:modified xsi:type="dcterms:W3CDTF">2026-07-22T20:46:10Z</dcterms:modified>
</cp:coreProperties>
</file>