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EXPORTAR" sheetId="22" state="visible" r:id="rId22"/>
    <sheet name="_COMPATIBILIDAD" sheetId="23" state="visible" r:id="rId23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patronHabil">CALENDARIO!$B$5:$B$11</definedName>
    <definedName name="cal_fechas">CALENDARIO!$I$5:$I$764</definedName>
    <definedName name="cal_habil">CALENDARIO!$J$5:$J$764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J339" headerRowCount="1">
  <autoFilter ref="A3:J339"/>
  <tableColumns count="10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fecha"/>
    <tableColumn id="9" name="horas_disponibles"/>
    <tableColumn id="10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2.5.0 · generado 2026-07-22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2-MEDIA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3-BAJA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2-MEDIA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OT-000138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3-BAJA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OT-000139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1-ALTA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OT-000140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2-MEDIA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OT-000141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3-BAJA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OT-000142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1-ALTA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OT-000143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2-MEDIA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OT-000144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3-BAJA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OT-000145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1-ALTA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OT-000146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2-MEDIA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OT-000147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3-BAJA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OT-000148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1-ALTA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OT-000149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2-MEDIA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OT-000150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3-BAJA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OT-000151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1-ALTA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OT-000152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2-MEDIA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OT-000153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3-BAJA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OT-000154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1-ALTA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OT-000155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2-MEDIA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OT-000156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3-BAJA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OT-000157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1-ALTA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OT-000158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2-MEDIA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OT-000159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3-BAJA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OT-000160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1-ALTA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OT-000161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2-MEDIA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OT-000162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3-BAJA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OT-000163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1-ALTA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OT-000164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2-MEDIA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OT-000165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OT-000166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1-ALTA</t>
        </is>
      </c>
      <c r="E139" s="3" t="inlineStr">
        <is>
          <t>PARADO</t>
        </is>
      </c>
      <c r="F139" s="10" t="n">
        <v>40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OT-000167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2-MEDIA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OT-000168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3-BAJA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OT-000169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1-ALTA</t>
        </is>
      </c>
      <c r="E142" s="3" t="inlineStr">
        <is>
          <t>OPERATIVO</t>
        </is>
      </c>
      <c r="F142" s="10" t="n">
        <v>260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OT-000170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2-MEDIA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OT-000171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3-BAJA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OT-000172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1-ALTA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OT-000173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2-MEDIA</t>
        </is>
      </c>
      <c r="E146" s="3" t="inlineStr">
        <is>
          <t>OPERATIVO</t>
        </is>
      </c>
      <c r="F146" s="10" t="n">
        <v>96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OT-000174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3-BAJA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OT-000175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1-ALTA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OT-000176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2-MEDIA</t>
        </is>
      </c>
      <c r="E149" s="3" t="inlineStr">
        <is>
          <t>PARADO</t>
        </is>
      </c>
      <c r="F149" s="10" t="n">
        <v>250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OT-000177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3-BAJA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OT-000178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1-ALTA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OT-000179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2-MEDIA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OT-000180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3-BAJA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3-BAJA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1-ALTA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2-MEDIA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3-BAJA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1-ALTA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2-MEDIA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3-BAJA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1-ALTA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OT-000200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2-MEDIA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OT-000990</t>
        </is>
      </c>
      <c r="B163" s="3" t="inlineStr">
        <is>
          <t>0010</t>
        </is>
      </c>
      <c r="C163" s="3" t="inlineStr">
        <is>
          <t>LIB</t>
        </is>
      </c>
      <c r="D163" s="3" t="inlineStr">
        <is>
          <t>2-MEDIA</t>
        </is>
      </c>
      <c r="E163" s="3" t="inlineStr">
        <is>
          <t>OPERATIVO</t>
        </is>
      </c>
      <c r="F163" s="10" t="n">
        <v>50</v>
      </c>
      <c r="G163" s="10" t="n">
        <v>0</v>
      </c>
      <c r="H163" s="10" t="n">
        <v>150</v>
      </c>
      <c r="I163" s="3" t="inlineStr">
        <is>
          <t>LIBERADA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OT-000991</t>
        </is>
      </c>
      <c r="B164" s="3" t="inlineStr">
        <is>
          <t>0010</t>
        </is>
      </c>
      <c r="C164" s="3" t="inlineStr">
        <is>
          <t>LIB</t>
        </is>
      </c>
      <c r="D164" s="3" t="inlineStr">
        <is>
          <t>2-MEDIA</t>
        </is>
      </c>
      <c r="E164" s="3" t="inlineStr">
        <is>
          <t>OPERATIVO</t>
        </is>
      </c>
      <c r="F164" s="10" t="n">
        <v>50</v>
      </c>
      <c r="G164" s="10" t="n">
        <v>0</v>
      </c>
      <c r="H164" s="10" t="n">
        <v>150</v>
      </c>
      <c r="I164" s="3" t="inlineStr">
        <is>
          <t>LIBERADA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OT-000992</t>
        </is>
      </c>
      <c r="B165" s="3" t="inlineStr">
        <is>
          <t>0010</t>
        </is>
      </c>
      <c r="C165" s="3" t="inlineStr">
        <is>
          <t>LIB</t>
        </is>
      </c>
      <c r="D165" s="3" t="inlineStr">
        <is>
          <t>2-MEDIA</t>
        </is>
      </c>
      <c r="E165" s="3" t="inlineStr">
        <is>
          <t>OPERATIVO</t>
        </is>
      </c>
      <c r="F165" s="10" t="n">
        <v>50</v>
      </c>
      <c r="G165" s="10" t="n">
        <v>0</v>
      </c>
      <c r="H165" s="10" t="n">
        <v>150</v>
      </c>
      <c r="I165" s="3" t="inlineStr">
        <is>
          <t>LIBERADA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n"/>
      <c r="B166" s="3" t="n"/>
      <c r="C166" s="3" t="n"/>
      <c r="D166" s="3" t="n"/>
      <c r="E166" s="3" t="n"/>
      <c r="F166" s="10" t="n"/>
      <c r="G166" s="10" t="n"/>
      <c r="H166" s="10" t="n"/>
      <c r="I166" s="3" t="n"/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n"/>
      <c r="B167" s="3" t="n"/>
      <c r="C167" s="3" t="n"/>
      <c r="D167" s="3" t="n"/>
      <c r="E167" s="3" t="n"/>
      <c r="F167" s="10" t="n"/>
      <c r="G167" s="10" t="n"/>
      <c r="H167" s="10" t="n"/>
      <c r="I167" s="3" t="n"/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n"/>
      <c r="B168" s="3" t="n"/>
      <c r="C168" s="3" t="n"/>
      <c r="D168" s="3" t="n"/>
      <c r="E168" s="3" t="n"/>
      <c r="F168" s="10" t="n"/>
      <c r="G168" s="10" t="n"/>
      <c r="H168" s="10" t="n"/>
      <c r="I168" s="3" t="n"/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n"/>
      <c r="B169" s="3" t="n"/>
      <c r="C169" s="3" t="n"/>
      <c r="D169" s="3" t="n"/>
      <c r="E169" s="3" t="n"/>
      <c r="F169" s="10" t="n"/>
      <c r="G169" s="10" t="n"/>
      <c r="H169" s="10" t="n"/>
      <c r="I169" s="3" t="n"/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3">
        <f>IF(tblOrdenes[[#This Row],[tipo_ot]]="","",_xlfn.XLOOKUP(tblOrdenes[[#This Row],[tipo_ot]],tblTiposOT[codigo],tblTiposOT[clasificacion],"sin_clasificar"))</f>
        <v/>
      </c>
      <c r="U4" s="3">
        <f>IF(tblOrdenes[[#This Row],[centro_costo]]="","",_xlfn.XLOOKUP(tblOrdenes[[#This Row],[centro_costo]],tblCECO[codigo],tblCECO[linea],"(sin catálogo)"))</f>
        <v/>
      </c>
      <c r="V4" s="3">
        <f>IF(tblOrdenes[[#This Row],[centro_costo]]="","",_xlfn.XLOOKUP(tblOrdenes[[#This Row],[centro_costo]],tblCECO[codigo],tblCECO[area],"(sin catálogo)"))</f>
        <v/>
      </c>
      <c r="W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3">
        <f>IF(tblOrdenes[[#This Row],[centro_costo]]="","",_xlfn.XLOOKUP(tblOrdenes[[#This Row],[centro_costo]],tblCECO[codigo],tblCECO[coordinador],"(sin catálogo)"))</f>
        <v/>
      </c>
      <c r="Y4" s="3">
        <f>IF(tblOrdenes[[#This Row],[puesto_trabajo]]="","",_xlfn.XLOOKUP(tblOrdenes[[#This Row],[puesto_trabajo]],tblPuestos[codigo],tblPuestos[especialidad],"(sin catálogo)"))</f>
        <v/>
      </c>
      <c r="Z4" s="3">
        <f>IF(tblOrdenes[[#This Row],[cod_actividad]]="","",_xlfn.XLOOKUP(tblOrdenes[[#This Row],[cod_actividad]],tblActividades[codigo],tblActividades[descripcion],"(sin catálogo)"))</f>
        <v/>
      </c>
      <c r="AA4" s="12">
        <f>IF(tblOrdenes[[#This Row],[fecha_inicio]]="","",TODAY()-tblOrdenes[[#This Row],[fecha_inicio]])</f>
        <v/>
      </c>
      <c r="AB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3">
        <f>IF(tblOrdenes[[#This Row],[backlog_habiles]]="","",IF(tblOrdenes[[#This Row],[backlog_habiles]]&lt;0,"FUTURO",IF(tblOrdenes[[#This Row],[backlog_habiles]]&gt;p_dias_backlog_max,"BACKLOG","MES CORRIENTE")))</f>
        <v/>
      </c>
      <c r="AD4" s="3">
        <f>IF(tblOrdenes[[#This Row],[backlog_habiles]]="",FALSE,AND(tblOrdenes[[#This Row],[backlog_habiles]]&gt;p_dias_backlog_min,tblOrdenes[[#This Row],[backlog_habiles]]&lt;=p_dias_backlog_max))</f>
        <v/>
      </c>
      <c r="AE4" s="6" t="inlineStr">
        <is>
          <t>Técnico 01</t>
        </is>
      </c>
      <c r="AF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0">
        <f>IF(tblOrdenes[[#This Row],[orden]]="","",_xlfn.XLOOKUP(tblOrdenes[[#This Row],[id_operacion]],tblEjecucion[id_operacion],tblEjecucion[precio],0))</f>
        <v/>
      </c>
      <c r="AJ4" s="10">
        <f>IF(tblOrdenes[[#This Row],[orden]]="","",MAX(0,_xlfn.XLOOKUP(tblOrdenes[[#This Row],[id_operacion]],tblEjecucion[id_operacion],tblEjecucion[costo_plan_total],0)-tblOrdenes[[#This Row],[costo_servicio]]))</f>
        <v/>
      </c>
      <c r="AK4" s="10">
        <f>IF(tblOrdenes[[#This Row],[orden]]="","",tblOrdenes[[#This Row],[costo_servicio]]+tblOrdenes[[#This Row],[costo_materiales]])</f>
        <v/>
      </c>
      <c r="AL4" s="6" t="inlineStr"/>
      <c r="AM4" s="6" t="inlineStr"/>
      <c r="AN4" s="6" t="inlineStr">
        <is>
          <t>ACT-02.pdf</t>
        </is>
      </c>
      <c r="AO4" s="3">
        <f>IF(tblOrdenes[[#This Row],[link_checklist]]="","",HYPERLINK(p_ruta_base_checklists&amp;tblOrdenes[[#This Row],[link_checklist]],"abrir"))</f>
        <v/>
      </c>
      <c r="AP4" s="6" t="inlineStr"/>
      <c r="AQ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3">
        <f>IF(tblOrdenes[[#This Row],[tipo_ot]]="","",_xlfn.XLOOKUP(tblOrdenes[[#This Row],[tipo_ot]],tblTiposOT[codigo],tblTiposOT[clasificacion],"sin_clasificar"))</f>
        <v/>
      </c>
      <c r="U5" s="3">
        <f>IF(tblOrdenes[[#This Row],[centro_costo]]="","",_xlfn.XLOOKUP(tblOrdenes[[#This Row],[centro_costo]],tblCECO[codigo],tblCECO[linea],"(sin catálogo)"))</f>
        <v/>
      </c>
      <c r="V5" s="3">
        <f>IF(tblOrdenes[[#This Row],[centro_costo]]="","",_xlfn.XLOOKUP(tblOrdenes[[#This Row],[centro_costo]],tblCECO[codigo],tblCECO[area],"(sin catálogo)"))</f>
        <v/>
      </c>
      <c r="W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3">
        <f>IF(tblOrdenes[[#This Row],[centro_costo]]="","",_xlfn.XLOOKUP(tblOrdenes[[#This Row],[centro_costo]],tblCECO[codigo],tblCECO[coordinador],"(sin catálogo)"))</f>
        <v/>
      </c>
      <c r="Y5" s="3">
        <f>IF(tblOrdenes[[#This Row],[puesto_trabajo]]="","",_xlfn.XLOOKUP(tblOrdenes[[#This Row],[puesto_trabajo]],tblPuestos[codigo],tblPuestos[especialidad],"(sin catálogo)"))</f>
        <v/>
      </c>
      <c r="Z5" s="3">
        <f>IF(tblOrdenes[[#This Row],[cod_actividad]]="","",_xlfn.XLOOKUP(tblOrdenes[[#This Row],[cod_actividad]],tblActividades[codigo],tblActividades[descripcion],"(sin catálogo)"))</f>
        <v/>
      </c>
      <c r="AA5" s="12">
        <f>IF(tblOrdenes[[#This Row],[fecha_inicio]]="","",TODAY()-tblOrdenes[[#This Row],[fecha_inicio]])</f>
        <v/>
      </c>
      <c r="AB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3">
        <f>IF(tblOrdenes[[#This Row],[backlog_habiles]]="","",IF(tblOrdenes[[#This Row],[backlog_habiles]]&lt;0,"FUTURO",IF(tblOrdenes[[#This Row],[backlog_habiles]]&gt;p_dias_backlog_max,"BACKLOG","MES CORRIENTE")))</f>
        <v/>
      </c>
      <c r="AD5" s="3">
        <f>IF(tblOrdenes[[#This Row],[backlog_habiles]]="",FALSE,AND(tblOrdenes[[#This Row],[backlog_habiles]]&gt;p_dias_backlog_min,tblOrdenes[[#This Row],[backlog_habiles]]&lt;=p_dias_backlog_max))</f>
        <v/>
      </c>
      <c r="AE5" s="6" t="inlineStr">
        <is>
          <t>Técnico 02</t>
        </is>
      </c>
      <c r="AF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0">
        <f>IF(tblOrdenes[[#This Row],[orden]]="","",_xlfn.XLOOKUP(tblOrdenes[[#This Row],[id_operacion]],tblEjecucion[id_operacion],tblEjecucion[precio],0))</f>
        <v/>
      </c>
      <c r="AJ5" s="10">
        <f>IF(tblOrdenes[[#This Row],[orden]]="","",MAX(0,_xlfn.XLOOKUP(tblOrdenes[[#This Row],[id_operacion]],tblEjecucion[id_operacion],tblEjecucion[costo_plan_total],0)-tblOrdenes[[#This Row],[costo_servicio]]))</f>
        <v/>
      </c>
      <c r="AK5" s="10">
        <f>IF(tblOrdenes[[#This Row],[orden]]="","",tblOrdenes[[#This Row],[costo_servicio]]+tblOrdenes[[#This Row],[costo_materiales]])</f>
        <v/>
      </c>
      <c r="AL5" s="6" t="inlineStr"/>
      <c r="AM5" s="6" t="inlineStr"/>
      <c r="AN5" s="6" t="inlineStr">
        <is>
          <t>ACT-04.pdf</t>
        </is>
      </c>
      <c r="AO5" s="3">
        <f>IF(tblOrdenes[[#This Row],[link_checklist]]="","",HYPERLINK(p_ruta_base_checklists&amp;tblOrdenes[[#This Row],[link_checklist]],"abrir"))</f>
        <v/>
      </c>
      <c r="AP5" s="6" t="inlineStr"/>
      <c r="AQ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3">
        <f>IF(tblOrdenes[[#This Row],[tipo_ot]]="","",_xlfn.XLOOKUP(tblOrdenes[[#This Row],[tipo_ot]],tblTiposOT[codigo],tblTiposOT[clasificacion],"sin_clasificar"))</f>
        <v/>
      </c>
      <c r="U6" s="3">
        <f>IF(tblOrdenes[[#This Row],[centro_costo]]="","",_xlfn.XLOOKUP(tblOrdenes[[#This Row],[centro_costo]],tblCECO[codigo],tblCECO[linea],"(sin catálogo)"))</f>
        <v/>
      </c>
      <c r="V6" s="3">
        <f>IF(tblOrdenes[[#This Row],[centro_costo]]="","",_xlfn.XLOOKUP(tblOrdenes[[#This Row],[centro_costo]],tblCECO[codigo],tblCECO[area],"(sin catálogo)"))</f>
        <v/>
      </c>
      <c r="W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3">
        <f>IF(tblOrdenes[[#This Row],[centro_costo]]="","",_xlfn.XLOOKUP(tblOrdenes[[#This Row],[centro_costo]],tblCECO[codigo],tblCECO[coordinador],"(sin catálogo)"))</f>
        <v/>
      </c>
      <c r="Y6" s="3">
        <f>IF(tblOrdenes[[#This Row],[puesto_trabajo]]="","",_xlfn.XLOOKUP(tblOrdenes[[#This Row],[puesto_trabajo]],tblPuestos[codigo],tblPuestos[especialidad],"(sin catálogo)"))</f>
        <v/>
      </c>
      <c r="Z6" s="3">
        <f>IF(tblOrdenes[[#This Row],[cod_actividad]]="","",_xlfn.XLOOKUP(tblOrdenes[[#This Row],[cod_actividad]],tblActividades[codigo],tblActividades[descripcion],"(sin catálogo)"))</f>
        <v/>
      </c>
      <c r="AA6" s="12">
        <f>IF(tblOrdenes[[#This Row],[fecha_inicio]]="","",TODAY()-tblOrdenes[[#This Row],[fecha_inicio]])</f>
        <v/>
      </c>
      <c r="AB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3">
        <f>IF(tblOrdenes[[#This Row],[backlog_habiles]]="","",IF(tblOrdenes[[#This Row],[backlog_habiles]]&lt;0,"FUTURO",IF(tblOrdenes[[#This Row],[backlog_habiles]]&gt;p_dias_backlog_max,"BACKLOG","MES CORRIENTE")))</f>
        <v/>
      </c>
      <c r="AD6" s="3">
        <f>IF(tblOrdenes[[#This Row],[backlog_habiles]]="",FALSE,AND(tblOrdenes[[#This Row],[backlog_habiles]]&gt;p_dias_backlog_min,tblOrdenes[[#This Row],[backlog_habiles]]&lt;=p_dias_backlog_max))</f>
        <v/>
      </c>
      <c r="AE6" s="6" t="inlineStr">
        <is>
          <t>Técnico 03</t>
        </is>
      </c>
      <c r="AF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0">
        <f>IF(tblOrdenes[[#This Row],[orden]]="","",_xlfn.XLOOKUP(tblOrdenes[[#This Row],[id_operacion]],tblEjecucion[id_operacion],tblEjecucion[precio],0))</f>
        <v/>
      </c>
      <c r="AJ6" s="10">
        <f>IF(tblOrdenes[[#This Row],[orden]]="","",MAX(0,_xlfn.XLOOKUP(tblOrdenes[[#This Row],[id_operacion]],tblEjecucion[id_operacion],tblEjecucion[costo_plan_total],0)-tblOrdenes[[#This Row],[costo_servicio]]))</f>
        <v/>
      </c>
      <c r="AK6" s="10">
        <f>IF(tblOrdenes[[#This Row],[orden]]="","",tblOrdenes[[#This Row],[costo_servicio]]+tblOrdenes[[#This Row],[costo_materiales]])</f>
        <v/>
      </c>
      <c r="AL6" s="6" t="inlineStr"/>
      <c r="AM6" s="6" t="inlineStr"/>
      <c r="AN6" s="6" t="inlineStr">
        <is>
          <t>ACT-01.pdf</t>
        </is>
      </c>
      <c r="AO6" s="3">
        <f>IF(tblOrdenes[[#This Row],[link_checklist]]="","",HYPERLINK(p_ruta_base_checklists&amp;tblOrdenes[[#This Row],[link_checklist]],"abrir"))</f>
        <v/>
      </c>
      <c r="AP6" s="6" t="inlineStr"/>
      <c r="AQ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3">
        <f>IF(tblOrdenes[[#This Row],[tipo_ot]]="","",_xlfn.XLOOKUP(tblOrdenes[[#This Row],[tipo_ot]],tblTiposOT[codigo],tblTiposOT[clasificacion],"sin_clasificar"))</f>
        <v/>
      </c>
      <c r="U7" s="3">
        <f>IF(tblOrdenes[[#This Row],[centro_costo]]="","",_xlfn.XLOOKUP(tblOrdenes[[#This Row],[centro_costo]],tblCECO[codigo],tblCECO[linea],"(sin catálogo)"))</f>
        <v/>
      </c>
      <c r="V7" s="3">
        <f>IF(tblOrdenes[[#This Row],[centro_costo]]="","",_xlfn.XLOOKUP(tblOrdenes[[#This Row],[centro_costo]],tblCECO[codigo],tblCECO[area],"(sin catálogo)"))</f>
        <v/>
      </c>
      <c r="W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3">
        <f>IF(tblOrdenes[[#This Row],[centro_costo]]="","",_xlfn.XLOOKUP(tblOrdenes[[#This Row],[centro_costo]],tblCECO[codigo],tblCECO[coordinador],"(sin catálogo)"))</f>
        <v/>
      </c>
      <c r="Y7" s="3">
        <f>IF(tblOrdenes[[#This Row],[puesto_trabajo]]="","",_xlfn.XLOOKUP(tblOrdenes[[#This Row],[puesto_trabajo]],tblPuestos[codigo],tblPuestos[especialidad],"(sin catálogo)"))</f>
        <v/>
      </c>
      <c r="Z7" s="3">
        <f>IF(tblOrdenes[[#This Row],[cod_actividad]]="","",_xlfn.XLOOKUP(tblOrdenes[[#This Row],[cod_actividad]],tblActividades[codigo],tblActividades[descripcion],"(sin catálogo)"))</f>
        <v/>
      </c>
      <c r="AA7" s="12">
        <f>IF(tblOrdenes[[#This Row],[fecha_inicio]]="","",TODAY()-tblOrdenes[[#This Row],[fecha_inicio]])</f>
        <v/>
      </c>
      <c r="AB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3">
        <f>IF(tblOrdenes[[#This Row],[backlog_habiles]]="","",IF(tblOrdenes[[#This Row],[backlog_habiles]]&lt;0,"FUTURO",IF(tblOrdenes[[#This Row],[backlog_habiles]]&gt;p_dias_backlog_max,"BACKLOG","MES CORRIENTE")))</f>
        <v/>
      </c>
      <c r="AD7" s="3">
        <f>IF(tblOrdenes[[#This Row],[backlog_habiles]]="",FALSE,AND(tblOrdenes[[#This Row],[backlog_habiles]]&gt;p_dias_backlog_min,tblOrdenes[[#This Row],[backlog_habiles]]&lt;=p_dias_backlog_max))</f>
        <v/>
      </c>
      <c r="AE7" s="6" t="inlineStr">
        <is>
          <t>Técnico 04</t>
        </is>
      </c>
      <c r="AF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0">
        <f>IF(tblOrdenes[[#This Row],[orden]]="","",_xlfn.XLOOKUP(tblOrdenes[[#This Row],[id_operacion]],tblEjecucion[id_operacion],tblEjecucion[precio],0))</f>
        <v/>
      </c>
      <c r="AJ7" s="10">
        <f>IF(tblOrdenes[[#This Row],[orden]]="","",MAX(0,_xlfn.XLOOKUP(tblOrdenes[[#This Row],[id_operacion]],tblEjecucion[id_operacion],tblEjecucion[costo_plan_total],0)-tblOrdenes[[#This Row],[costo_servicio]]))</f>
        <v/>
      </c>
      <c r="AK7" s="10">
        <f>IF(tblOrdenes[[#This Row],[orden]]="","",tblOrdenes[[#This Row],[costo_servicio]]+tblOrdenes[[#This Row],[costo_materiales]])</f>
        <v/>
      </c>
      <c r="AL7" s="6" t="inlineStr"/>
      <c r="AM7" s="6" t="inlineStr"/>
      <c r="AN7" s="6" t="inlineStr">
        <is>
          <t>ACT-02.pdf</t>
        </is>
      </c>
      <c r="AO7" s="3">
        <f>IF(tblOrdenes[[#This Row],[link_checklist]]="","",HYPERLINK(p_ruta_base_checklists&amp;tblOrdenes[[#This Row],[link_checklist]],"abrir"))</f>
        <v/>
      </c>
      <c r="AP7" s="6" t="inlineStr"/>
      <c r="AQ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3">
        <f>IF(tblOrdenes[[#This Row],[tipo_ot]]="","",_xlfn.XLOOKUP(tblOrdenes[[#This Row],[tipo_ot]],tblTiposOT[codigo],tblTiposOT[clasificacion],"sin_clasificar"))</f>
        <v/>
      </c>
      <c r="U8" s="3">
        <f>IF(tblOrdenes[[#This Row],[centro_costo]]="","",_xlfn.XLOOKUP(tblOrdenes[[#This Row],[centro_costo]],tblCECO[codigo],tblCECO[linea],"(sin catálogo)"))</f>
        <v/>
      </c>
      <c r="V8" s="3">
        <f>IF(tblOrdenes[[#This Row],[centro_costo]]="","",_xlfn.XLOOKUP(tblOrdenes[[#This Row],[centro_costo]],tblCECO[codigo],tblCECO[area],"(sin catálogo)"))</f>
        <v/>
      </c>
      <c r="W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3">
        <f>IF(tblOrdenes[[#This Row],[centro_costo]]="","",_xlfn.XLOOKUP(tblOrdenes[[#This Row],[centro_costo]],tblCECO[codigo],tblCECO[coordinador],"(sin catálogo)"))</f>
        <v/>
      </c>
      <c r="Y8" s="3">
        <f>IF(tblOrdenes[[#This Row],[puesto_trabajo]]="","",_xlfn.XLOOKUP(tblOrdenes[[#This Row],[puesto_trabajo]],tblPuestos[codigo],tblPuestos[especialidad],"(sin catálogo)"))</f>
        <v/>
      </c>
      <c r="Z8" s="3">
        <f>IF(tblOrdenes[[#This Row],[cod_actividad]]="","",_xlfn.XLOOKUP(tblOrdenes[[#This Row],[cod_actividad]],tblActividades[codigo],tblActividades[descripcion],"(sin catálogo)"))</f>
        <v/>
      </c>
      <c r="AA8" s="12">
        <f>IF(tblOrdenes[[#This Row],[fecha_inicio]]="","",TODAY()-tblOrdenes[[#This Row],[fecha_inicio]])</f>
        <v/>
      </c>
      <c r="AB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3">
        <f>IF(tblOrdenes[[#This Row],[backlog_habiles]]="","",IF(tblOrdenes[[#This Row],[backlog_habiles]]&lt;0,"FUTURO",IF(tblOrdenes[[#This Row],[backlog_habiles]]&gt;p_dias_backlog_max,"BACKLOG","MES CORRIENTE")))</f>
        <v/>
      </c>
      <c r="AD8" s="3">
        <f>IF(tblOrdenes[[#This Row],[backlog_habiles]]="",FALSE,AND(tblOrdenes[[#This Row],[backlog_habiles]]&gt;p_dias_backlog_min,tblOrdenes[[#This Row],[backlog_habiles]]&lt;=p_dias_backlog_max))</f>
        <v/>
      </c>
      <c r="AE8" s="6" t="inlineStr">
        <is>
          <t>Técnico 01</t>
        </is>
      </c>
      <c r="AF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0">
        <f>IF(tblOrdenes[[#This Row],[orden]]="","",_xlfn.XLOOKUP(tblOrdenes[[#This Row],[id_operacion]],tblEjecucion[id_operacion],tblEjecucion[precio],0))</f>
        <v/>
      </c>
      <c r="AJ8" s="10">
        <f>IF(tblOrdenes[[#This Row],[orden]]="","",MAX(0,_xlfn.XLOOKUP(tblOrdenes[[#This Row],[id_operacion]],tblEjecucion[id_operacion],tblEjecucion[costo_plan_total],0)-tblOrdenes[[#This Row],[costo_servicio]]))</f>
        <v/>
      </c>
      <c r="AK8" s="10">
        <f>IF(tblOrdenes[[#This Row],[orden]]="","",tblOrdenes[[#This Row],[costo_servicio]]+tblOrdenes[[#This Row],[costo_materiales]])</f>
        <v/>
      </c>
      <c r="AL8" s="6" t="inlineStr"/>
      <c r="AM8" s="6" t="inlineStr"/>
      <c r="AN8" s="6" t="inlineStr">
        <is>
          <t>ACT-04.pdf</t>
        </is>
      </c>
      <c r="AO8" s="3">
        <f>IF(tblOrdenes[[#This Row],[link_checklist]]="","",HYPERLINK(p_ruta_base_checklists&amp;tblOrdenes[[#This Row],[link_checklist]],"abrir"))</f>
        <v/>
      </c>
      <c r="AP8" s="6" t="inlineStr"/>
      <c r="AQ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3">
        <f>IF(tblOrdenes[[#This Row],[tipo_ot]]="","",_xlfn.XLOOKUP(tblOrdenes[[#This Row],[tipo_ot]],tblTiposOT[codigo],tblTiposOT[clasificacion],"sin_clasificar"))</f>
        <v/>
      </c>
      <c r="U9" s="3">
        <f>IF(tblOrdenes[[#This Row],[centro_costo]]="","",_xlfn.XLOOKUP(tblOrdenes[[#This Row],[centro_costo]],tblCECO[codigo],tblCECO[linea],"(sin catálogo)"))</f>
        <v/>
      </c>
      <c r="V9" s="3">
        <f>IF(tblOrdenes[[#This Row],[centro_costo]]="","",_xlfn.XLOOKUP(tblOrdenes[[#This Row],[centro_costo]],tblCECO[codigo],tblCECO[area],"(sin catálogo)"))</f>
        <v/>
      </c>
      <c r="W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3">
        <f>IF(tblOrdenes[[#This Row],[centro_costo]]="","",_xlfn.XLOOKUP(tblOrdenes[[#This Row],[centro_costo]],tblCECO[codigo],tblCECO[coordinador],"(sin catálogo)"))</f>
        <v/>
      </c>
      <c r="Y9" s="3">
        <f>IF(tblOrdenes[[#This Row],[puesto_trabajo]]="","",_xlfn.XLOOKUP(tblOrdenes[[#This Row],[puesto_trabajo]],tblPuestos[codigo],tblPuestos[especialidad],"(sin catálogo)"))</f>
        <v/>
      </c>
      <c r="Z9" s="3">
        <f>IF(tblOrdenes[[#This Row],[cod_actividad]]="","",_xlfn.XLOOKUP(tblOrdenes[[#This Row],[cod_actividad]],tblActividades[codigo],tblActividades[descripcion],"(sin catálogo)"))</f>
        <v/>
      </c>
      <c r="AA9" s="12">
        <f>IF(tblOrdenes[[#This Row],[fecha_inicio]]="","",TODAY()-tblOrdenes[[#This Row],[fecha_inicio]])</f>
        <v/>
      </c>
      <c r="AB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3">
        <f>IF(tblOrdenes[[#This Row],[backlog_habiles]]="","",IF(tblOrdenes[[#This Row],[backlog_habiles]]&lt;0,"FUTURO",IF(tblOrdenes[[#This Row],[backlog_habiles]]&gt;p_dias_backlog_max,"BACKLOG","MES CORRIENTE")))</f>
        <v/>
      </c>
      <c r="AD9" s="3">
        <f>IF(tblOrdenes[[#This Row],[backlog_habiles]]="",FALSE,AND(tblOrdenes[[#This Row],[backlog_habiles]]&gt;p_dias_backlog_min,tblOrdenes[[#This Row],[backlog_habiles]]&lt;=p_dias_backlog_max))</f>
        <v/>
      </c>
      <c r="AE9" s="6" t="inlineStr">
        <is>
          <t>Técnico 02</t>
        </is>
      </c>
      <c r="AF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0">
        <f>IF(tblOrdenes[[#This Row],[orden]]="","",_xlfn.XLOOKUP(tblOrdenes[[#This Row],[id_operacion]],tblEjecucion[id_operacion],tblEjecucion[precio],0))</f>
        <v/>
      </c>
      <c r="AJ9" s="10">
        <f>IF(tblOrdenes[[#This Row],[orden]]="","",MAX(0,_xlfn.XLOOKUP(tblOrdenes[[#This Row],[id_operacion]],tblEjecucion[id_operacion],tblEjecucion[costo_plan_total],0)-tblOrdenes[[#This Row],[costo_servicio]]))</f>
        <v/>
      </c>
      <c r="AK9" s="10">
        <f>IF(tblOrdenes[[#This Row],[orden]]="","",tblOrdenes[[#This Row],[costo_servicio]]+tblOrdenes[[#This Row],[costo_materiales]])</f>
        <v/>
      </c>
      <c r="AL9" s="6" t="inlineStr"/>
      <c r="AM9" s="6" t="inlineStr"/>
      <c r="AN9" s="6" t="inlineStr">
        <is>
          <t>ACT-01.pdf</t>
        </is>
      </c>
      <c r="AO9" s="3">
        <f>IF(tblOrdenes[[#This Row],[link_checklist]]="","",HYPERLINK(p_ruta_base_checklists&amp;tblOrdenes[[#This Row],[link_checklist]],"abrir"))</f>
        <v/>
      </c>
      <c r="AP9" s="6" t="inlineStr"/>
      <c r="AQ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3">
        <f>IF(tblOrdenes[[#This Row],[tipo_ot]]="","",_xlfn.XLOOKUP(tblOrdenes[[#This Row],[tipo_ot]],tblTiposOT[codigo],tblTiposOT[clasificacion],"sin_clasificar"))</f>
        <v/>
      </c>
      <c r="U10" s="3">
        <f>IF(tblOrdenes[[#This Row],[centro_costo]]="","",_xlfn.XLOOKUP(tblOrdenes[[#This Row],[centro_costo]],tblCECO[codigo],tblCECO[linea],"(sin catálogo)"))</f>
        <v/>
      </c>
      <c r="V10" s="3">
        <f>IF(tblOrdenes[[#This Row],[centro_costo]]="","",_xlfn.XLOOKUP(tblOrdenes[[#This Row],[centro_costo]],tblCECO[codigo],tblCECO[area],"(sin catálogo)"))</f>
        <v/>
      </c>
      <c r="W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3">
        <f>IF(tblOrdenes[[#This Row],[centro_costo]]="","",_xlfn.XLOOKUP(tblOrdenes[[#This Row],[centro_costo]],tblCECO[codigo],tblCECO[coordinador],"(sin catálogo)"))</f>
        <v/>
      </c>
      <c r="Y10" s="3">
        <f>IF(tblOrdenes[[#This Row],[puesto_trabajo]]="","",_xlfn.XLOOKUP(tblOrdenes[[#This Row],[puesto_trabajo]],tblPuestos[codigo],tblPuestos[especialidad],"(sin catálogo)"))</f>
        <v/>
      </c>
      <c r="Z10" s="3">
        <f>IF(tblOrdenes[[#This Row],[cod_actividad]]="","",_xlfn.XLOOKUP(tblOrdenes[[#This Row],[cod_actividad]],tblActividades[codigo],tblActividades[descripcion],"(sin catálogo)"))</f>
        <v/>
      </c>
      <c r="AA10" s="12">
        <f>IF(tblOrdenes[[#This Row],[fecha_inicio]]="","",TODAY()-tblOrdenes[[#This Row],[fecha_inicio]])</f>
        <v/>
      </c>
      <c r="AB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3">
        <f>IF(tblOrdenes[[#This Row],[backlog_habiles]]="","",IF(tblOrdenes[[#This Row],[backlog_habiles]]&lt;0,"FUTURO",IF(tblOrdenes[[#This Row],[backlog_habiles]]&gt;p_dias_backlog_max,"BACKLOG","MES CORRIENTE")))</f>
        <v/>
      </c>
      <c r="AD10" s="3">
        <f>IF(tblOrdenes[[#This Row],[backlog_habiles]]="",FALSE,AND(tblOrdenes[[#This Row],[backlog_habiles]]&gt;p_dias_backlog_min,tblOrdenes[[#This Row],[backlog_habiles]]&lt;=p_dias_backlog_max))</f>
        <v/>
      </c>
      <c r="AE10" s="6" t="inlineStr">
        <is>
          <t>Técnico 03</t>
        </is>
      </c>
      <c r="AF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0">
        <f>IF(tblOrdenes[[#This Row],[orden]]="","",_xlfn.XLOOKUP(tblOrdenes[[#This Row],[id_operacion]],tblEjecucion[id_operacion],tblEjecucion[precio],0))</f>
        <v/>
      </c>
      <c r="AJ10" s="10">
        <f>IF(tblOrdenes[[#This Row],[orden]]="","",MAX(0,_xlfn.XLOOKUP(tblOrdenes[[#This Row],[id_operacion]],tblEjecucion[id_operacion],tblEjecucion[costo_plan_total],0)-tblOrdenes[[#This Row],[costo_servicio]]))</f>
        <v/>
      </c>
      <c r="AK10" s="10">
        <f>IF(tblOrdenes[[#This Row],[orden]]="","",tblOrdenes[[#This Row],[costo_servicio]]+tblOrdenes[[#This Row],[costo_materiales]])</f>
        <v/>
      </c>
      <c r="AL10" s="6" t="inlineStr"/>
      <c r="AM10" s="6" t="inlineStr"/>
      <c r="AN10" s="6" t="inlineStr">
        <is>
          <t>ACT-02.pdf</t>
        </is>
      </c>
      <c r="AO10" s="3">
        <f>IF(tblOrdenes[[#This Row],[link_checklist]]="","",HYPERLINK(p_ruta_base_checklists&amp;tblOrdenes[[#This Row],[link_checklist]],"abrir"))</f>
        <v/>
      </c>
      <c r="AP10" s="6" t="inlineStr"/>
      <c r="AQ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3">
        <f>IF(tblOrdenes[[#This Row],[tipo_ot]]="","",_xlfn.XLOOKUP(tblOrdenes[[#This Row],[tipo_ot]],tblTiposOT[codigo],tblTiposOT[clasificacion],"sin_clasificar"))</f>
        <v/>
      </c>
      <c r="U11" s="3">
        <f>IF(tblOrdenes[[#This Row],[centro_costo]]="","",_xlfn.XLOOKUP(tblOrdenes[[#This Row],[centro_costo]],tblCECO[codigo],tblCECO[linea],"(sin catálogo)"))</f>
        <v/>
      </c>
      <c r="V11" s="3">
        <f>IF(tblOrdenes[[#This Row],[centro_costo]]="","",_xlfn.XLOOKUP(tblOrdenes[[#This Row],[centro_costo]],tblCECO[codigo],tblCECO[area],"(sin catálogo)"))</f>
        <v/>
      </c>
      <c r="W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3">
        <f>IF(tblOrdenes[[#This Row],[centro_costo]]="","",_xlfn.XLOOKUP(tblOrdenes[[#This Row],[centro_costo]],tblCECO[codigo],tblCECO[coordinador],"(sin catálogo)"))</f>
        <v/>
      </c>
      <c r="Y11" s="3">
        <f>IF(tblOrdenes[[#This Row],[puesto_trabajo]]="","",_xlfn.XLOOKUP(tblOrdenes[[#This Row],[puesto_trabajo]],tblPuestos[codigo],tblPuestos[especialidad],"(sin catálogo)"))</f>
        <v/>
      </c>
      <c r="Z11" s="3">
        <f>IF(tblOrdenes[[#This Row],[cod_actividad]]="","",_xlfn.XLOOKUP(tblOrdenes[[#This Row],[cod_actividad]],tblActividades[codigo],tblActividades[descripcion],"(sin catálogo)"))</f>
        <v/>
      </c>
      <c r="AA11" s="12">
        <f>IF(tblOrdenes[[#This Row],[fecha_inicio]]="","",TODAY()-tblOrdenes[[#This Row],[fecha_inicio]])</f>
        <v/>
      </c>
      <c r="AB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3">
        <f>IF(tblOrdenes[[#This Row],[backlog_habiles]]="","",IF(tblOrdenes[[#This Row],[backlog_habiles]]&lt;0,"FUTURO",IF(tblOrdenes[[#This Row],[backlog_habiles]]&gt;p_dias_backlog_max,"BACKLOG","MES CORRIENTE")))</f>
        <v/>
      </c>
      <c r="AD11" s="3">
        <f>IF(tblOrdenes[[#This Row],[backlog_habiles]]="",FALSE,AND(tblOrdenes[[#This Row],[backlog_habiles]]&gt;p_dias_backlog_min,tblOrdenes[[#This Row],[backlog_habiles]]&lt;=p_dias_backlog_max))</f>
        <v/>
      </c>
      <c r="AE11" s="6" t="inlineStr">
        <is>
          <t>Técnico 04</t>
        </is>
      </c>
      <c r="AF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0">
        <f>IF(tblOrdenes[[#This Row],[orden]]="","",_xlfn.XLOOKUP(tblOrdenes[[#This Row],[id_operacion]],tblEjecucion[id_operacion],tblEjecucion[precio],0))</f>
        <v/>
      </c>
      <c r="AJ11" s="10">
        <f>IF(tblOrdenes[[#This Row],[orden]]="","",MAX(0,_xlfn.XLOOKUP(tblOrdenes[[#This Row],[id_operacion]],tblEjecucion[id_operacion],tblEjecucion[costo_plan_total],0)-tblOrdenes[[#This Row],[costo_servicio]]))</f>
        <v/>
      </c>
      <c r="AK11" s="10">
        <f>IF(tblOrdenes[[#This Row],[orden]]="","",tblOrdenes[[#This Row],[costo_servicio]]+tblOrdenes[[#This Row],[costo_materiales]])</f>
        <v/>
      </c>
      <c r="AL11" s="6" t="inlineStr"/>
      <c r="AM11" s="6" t="inlineStr"/>
      <c r="AN11" s="6" t="inlineStr">
        <is>
          <t>ACT-04.pdf</t>
        </is>
      </c>
      <c r="AO11" s="3">
        <f>IF(tblOrdenes[[#This Row],[link_checklist]]="","",HYPERLINK(p_ruta_base_checklists&amp;tblOrdenes[[#This Row],[link_checklist]],"abrir"))</f>
        <v/>
      </c>
      <c r="AP11" s="6" t="inlineStr"/>
      <c r="AQ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3">
        <f>IF(tblOrdenes[[#This Row],[tipo_ot]]="","",_xlfn.XLOOKUP(tblOrdenes[[#This Row],[tipo_ot]],tblTiposOT[codigo],tblTiposOT[clasificacion],"sin_clasificar"))</f>
        <v/>
      </c>
      <c r="U12" s="3">
        <f>IF(tblOrdenes[[#This Row],[centro_costo]]="","",_xlfn.XLOOKUP(tblOrdenes[[#This Row],[centro_costo]],tblCECO[codigo],tblCECO[linea],"(sin catálogo)"))</f>
        <v/>
      </c>
      <c r="V12" s="3">
        <f>IF(tblOrdenes[[#This Row],[centro_costo]]="","",_xlfn.XLOOKUP(tblOrdenes[[#This Row],[centro_costo]],tblCECO[codigo],tblCECO[area],"(sin catálogo)"))</f>
        <v/>
      </c>
      <c r="W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3">
        <f>IF(tblOrdenes[[#This Row],[centro_costo]]="","",_xlfn.XLOOKUP(tblOrdenes[[#This Row],[centro_costo]],tblCECO[codigo],tblCECO[coordinador],"(sin catálogo)"))</f>
        <v/>
      </c>
      <c r="Y12" s="3">
        <f>IF(tblOrdenes[[#This Row],[puesto_trabajo]]="","",_xlfn.XLOOKUP(tblOrdenes[[#This Row],[puesto_trabajo]],tblPuestos[codigo],tblPuestos[especialidad],"(sin catálogo)"))</f>
        <v/>
      </c>
      <c r="Z12" s="3">
        <f>IF(tblOrdenes[[#This Row],[cod_actividad]]="","",_xlfn.XLOOKUP(tblOrdenes[[#This Row],[cod_actividad]],tblActividades[codigo],tblActividades[descripcion],"(sin catálogo)"))</f>
        <v/>
      </c>
      <c r="AA12" s="12">
        <f>IF(tblOrdenes[[#This Row],[fecha_inicio]]="","",TODAY()-tblOrdenes[[#This Row],[fecha_inicio]])</f>
        <v/>
      </c>
      <c r="AB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3">
        <f>IF(tblOrdenes[[#This Row],[backlog_habiles]]="","",IF(tblOrdenes[[#This Row],[backlog_habiles]]&lt;0,"FUTURO",IF(tblOrdenes[[#This Row],[backlog_habiles]]&gt;p_dias_backlog_max,"BACKLOG","MES CORRIENTE")))</f>
        <v/>
      </c>
      <c r="AD12" s="3">
        <f>IF(tblOrdenes[[#This Row],[backlog_habiles]]="",FALSE,AND(tblOrdenes[[#This Row],[backlog_habiles]]&gt;p_dias_backlog_min,tblOrdenes[[#This Row],[backlog_habiles]]&lt;=p_dias_backlog_max))</f>
        <v/>
      </c>
      <c r="AE12" s="6" t="inlineStr">
        <is>
          <t>Técnico 01</t>
        </is>
      </c>
      <c r="AF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0">
        <f>IF(tblOrdenes[[#This Row],[orden]]="","",_xlfn.XLOOKUP(tblOrdenes[[#This Row],[id_operacion]],tblEjecucion[id_operacion],tblEjecucion[precio],0))</f>
        <v/>
      </c>
      <c r="AJ12" s="10">
        <f>IF(tblOrdenes[[#This Row],[orden]]="","",MAX(0,_xlfn.XLOOKUP(tblOrdenes[[#This Row],[id_operacion]],tblEjecucion[id_operacion],tblEjecucion[costo_plan_total],0)-tblOrdenes[[#This Row],[costo_servicio]]))</f>
        <v/>
      </c>
      <c r="AK12" s="10">
        <f>IF(tblOrdenes[[#This Row],[orden]]="","",tblOrdenes[[#This Row],[costo_servicio]]+tblOrdenes[[#This Row],[costo_materiales]])</f>
        <v/>
      </c>
      <c r="AL12" s="6" t="inlineStr"/>
      <c r="AM12" s="6" t="inlineStr"/>
      <c r="AN12" s="6" t="inlineStr">
        <is>
          <t>ACT-01.pdf</t>
        </is>
      </c>
      <c r="AO12" s="3">
        <f>IF(tblOrdenes[[#This Row],[link_checklist]]="","",HYPERLINK(p_ruta_base_checklists&amp;tblOrdenes[[#This Row],[link_checklist]],"abrir"))</f>
        <v/>
      </c>
      <c r="AP12" s="6" t="inlineStr"/>
      <c r="AQ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3">
        <f>IF(tblOrdenes[[#This Row],[tipo_ot]]="","",_xlfn.XLOOKUP(tblOrdenes[[#This Row],[tipo_ot]],tblTiposOT[codigo],tblTiposOT[clasificacion],"sin_clasificar"))</f>
        <v/>
      </c>
      <c r="U13" s="3">
        <f>IF(tblOrdenes[[#This Row],[centro_costo]]="","",_xlfn.XLOOKUP(tblOrdenes[[#This Row],[centro_costo]],tblCECO[codigo],tblCECO[linea],"(sin catálogo)"))</f>
        <v/>
      </c>
      <c r="V13" s="3">
        <f>IF(tblOrdenes[[#This Row],[centro_costo]]="","",_xlfn.XLOOKUP(tblOrdenes[[#This Row],[centro_costo]],tblCECO[codigo],tblCECO[area],"(sin catálogo)"))</f>
        <v/>
      </c>
      <c r="W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3">
        <f>IF(tblOrdenes[[#This Row],[centro_costo]]="","",_xlfn.XLOOKUP(tblOrdenes[[#This Row],[centro_costo]],tblCECO[codigo],tblCECO[coordinador],"(sin catálogo)"))</f>
        <v/>
      </c>
      <c r="Y13" s="3">
        <f>IF(tblOrdenes[[#This Row],[puesto_trabajo]]="","",_xlfn.XLOOKUP(tblOrdenes[[#This Row],[puesto_trabajo]],tblPuestos[codigo],tblPuestos[especialidad],"(sin catálogo)"))</f>
        <v/>
      </c>
      <c r="Z13" s="3">
        <f>IF(tblOrdenes[[#This Row],[cod_actividad]]="","",_xlfn.XLOOKUP(tblOrdenes[[#This Row],[cod_actividad]],tblActividades[codigo],tblActividades[descripcion],"(sin catálogo)"))</f>
        <v/>
      </c>
      <c r="AA13" s="12">
        <f>IF(tblOrdenes[[#This Row],[fecha_inicio]]="","",TODAY()-tblOrdenes[[#This Row],[fecha_inicio]])</f>
        <v/>
      </c>
      <c r="AB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3">
        <f>IF(tblOrdenes[[#This Row],[backlog_habiles]]="","",IF(tblOrdenes[[#This Row],[backlog_habiles]]&lt;0,"FUTURO",IF(tblOrdenes[[#This Row],[backlog_habiles]]&gt;p_dias_backlog_max,"BACKLOG","MES CORRIENTE")))</f>
        <v/>
      </c>
      <c r="AD13" s="3">
        <f>IF(tblOrdenes[[#This Row],[backlog_habiles]]="",FALSE,AND(tblOrdenes[[#This Row],[backlog_habiles]]&gt;p_dias_backlog_min,tblOrdenes[[#This Row],[backlog_habiles]]&lt;=p_dias_backlog_max))</f>
        <v/>
      </c>
      <c r="AE13" s="6" t="inlineStr">
        <is>
          <t>Técnico 02</t>
        </is>
      </c>
      <c r="AF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0">
        <f>IF(tblOrdenes[[#This Row],[orden]]="","",_xlfn.XLOOKUP(tblOrdenes[[#This Row],[id_operacion]],tblEjecucion[id_operacion],tblEjecucion[precio],0))</f>
        <v/>
      </c>
      <c r="AJ13" s="10">
        <f>IF(tblOrdenes[[#This Row],[orden]]="","",MAX(0,_xlfn.XLOOKUP(tblOrdenes[[#This Row],[id_operacion]],tblEjecucion[id_operacion],tblEjecucion[costo_plan_total],0)-tblOrdenes[[#This Row],[costo_servicio]]))</f>
        <v/>
      </c>
      <c r="AK13" s="10">
        <f>IF(tblOrdenes[[#This Row],[orden]]="","",tblOrdenes[[#This Row],[costo_servicio]]+tblOrdenes[[#This Row],[costo_materiales]])</f>
        <v/>
      </c>
      <c r="AL13" s="6" t="inlineStr"/>
      <c r="AM13" s="6" t="inlineStr"/>
      <c r="AN13" s="6" t="inlineStr">
        <is>
          <t>ACT-02.pdf</t>
        </is>
      </c>
      <c r="AO13" s="3">
        <f>IF(tblOrdenes[[#This Row],[link_checklist]]="","",HYPERLINK(p_ruta_base_checklists&amp;tblOrdenes[[#This Row],[link_checklist]],"abrir"))</f>
        <v/>
      </c>
      <c r="AP13" s="6" t="inlineStr"/>
      <c r="AQ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3">
        <f>IF(tblOrdenes[[#This Row],[tipo_ot]]="","",_xlfn.XLOOKUP(tblOrdenes[[#This Row],[tipo_ot]],tblTiposOT[codigo],tblTiposOT[clasificacion],"sin_clasificar"))</f>
        <v/>
      </c>
      <c r="U14" s="3">
        <f>IF(tblOrdenes[[#This Row],[centro_costo]]="","",_xlfn.XLOOKUP(tblOrdenes[[#This Row],[centro_costo]],tblCECO[codigo],tblCECO[linea],"(sin catálogo)"))</f>
        <v/>
      </c>
      <c r="V14" s="3">
        <f>IF(tblOrdenes[[#This Row],[centro_costo]]="","",_xlfn.XLOOKUP(tblOrdenes[[#This Row],[centro_costo]],tblCECO[codigo],tblCECO[area],"(sin catálogo)"))</f>
        <v/>
      </c>
      <c r="W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3">
        <f>IF(tblOrdenes[[#This Row],[centro_costo]]="","",_xlfn.XLOOKUP(tblOrdenes[[#This Row],[centro_costo]],tblCECO[codigo],tblCECO[coordinador],"(sin catálogo)"))</f>
        <v/>
      </c>
      <c r="Y14" s="3">
        <f>IF(tblOrdenes[[#This Row],[puesto_trabajo]]="","",_xlfn.XLOOKUP(tblOrdenes[[#This Row],[puesto_trabajo]],tblPuestos[codigo],tblPuestos[especialidad],"(sin catálogo)"))</f>
        <v/>
      </c>
      <c r="Z14" s="3">
        <f>IF(tblOrdenes[[#This Row],[cod_actividad]]="","",_xlfn.XLOOKUP(tblOrdenes[[#This Row],[cod_actividad]],tblActividades[codigo],tblActividades[descripcion],"(sin catálogo)"))</f>
        <v/>
      </c>
      <c r="AA14" s="12">
        <f>IF(tblOrdenes[[#This Row],[fecha_inicio]]="","",TODAY()-tblOrdenes[[#This Row],[fecha_inicio]])</f>
        <v/>
      </c>
      <c r="AB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3">
        <f>IF(tblOrdenes[[#This Row],[backlog_habiles]]="","",IF(tblOrdenes[[#This Row],[backlog_habiles]]&lt;0,"FUTURO",IF(tblOrdenes[[#This Row],[backlog_habiles]]&gt;p_dias_backlog_max,"BACKLOG","MES CORRIENTE")))</f>
        <v/>
      </c>
      <c r="AD14" s="3">
        <f>IF(tblOrdenes[[#This Row],[backlog_habiles]]="",FALSE,AND(tblOrdenes[[#This Row],[backlog_habiles]]&gt;p_dias_backlog_min,tblOrdenes[[#This Row],[backlog_habiles]]&lt;=p_dias_backlog_max))</f>
        <v/>
      </c>
      <c r="AE14" s="6" t="inlineStr">
        <is>
          <t>Técnico 03</t>
        </is>
      </c>
      <c r="AF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0">
        <f>IF(tblOrdenes[[#This Row],[orden]]="","",_xlfn.XLOOKUP(tblOrdenes[[#This Row],[id_operacion]],tblEjecucion[id_operacion],tblEjecucion[precio],0))</f>
        <v/>
      </c>
      <c r="AJ14" s="10">
        <f>IF(tblOrdenes[[#This Row],[orden]]="","",MAX(0,_xlfn.XLOOKUP(tblOrdenes[[#This Row],[id_operacion]],tblEjecucion[id_operacion],tblEjecucion[costo_plan_total],0)-tblOrdenes[[#This Row],[costo_servicio]]))</f>
        <v/>
      </c>
      <c r="AK14" s="10">
        <f>IF(tblOrdenes[[#This Row],[orden]]="","",tblOrdenes[[#This Row],[costo_servicio]]+tblOrdenes[[#This Row],[costo_materiales]])</f>
        <v/>
      </c>
      <c r="AL14" s="6" t="inlineStr"/>
      <c r="AM14" s="6" t="inlineStr"/>
      <c r="AN14" s="6" t="inlineStr"/>
      <c r="AO14" s="3">
        <f>IF(tblOrdenes[[#This Row],[link_checklist]]="","",HYPERLINK(p_ruta_base_checklists&amp;tblOrdenes[[#This Row],[link_checklist]],"abrir"))</f>
        <v/>
      </c>
      <c r="AP14" s="6" t="inlineStr"/>
      <c r="AQ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3">
        <f>IF(tblOrdenes[[#This Row],[tipo_ot]]="","",_xlfn.XLOOKUP(tblOrdenes[[#This Row],[tipo_ot]],tblTiposOT[codigo],tblTiposOT[clasificacion],"sin_clasificar"))</f>
        <v/>
      </c>
      <c r="U15" s="3">
        <f>IF(tblOrdenes[[#This Row],[centro_costo]]="","",_xlfn.XLOOKUP(tblOrdenes[[#This Row],[centro_costo]],tblCECO[codigo],tblCECO[linea],"(sin catálogo)"))</f>
        <v/>
      </c>
      <c r="V15" s="3">
        <f>IF(tblOrdenes[[#This Row],[centro_costo]]="","",_xlfn.XLOOKUP(tblOrdenes[[#This Row],[centro_costo]],tblCECO[codigo],tblCECO[area],"(sin catálogo)"))</f>
        <v/>
      </c>
      <c r="W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3">
        <f>IF(tblOrdenes[[#This Row],[centro_costo]]="","",_xlfn.XLOOKUP(tblOrdenes[[#This Row],[centro_costo]],tblCECO[codigo],tblCECO[coordinador],"(sin catálogo)"))</f>
        <v/>
      </c>
      <c r="Y15" s="3">
        <f>IF(tblOrdenes[[#This Row],[puesto_trabajo]]="","",_xlfn.XLOOKUP(tblOrdenes[[#This Row],[puesto_trabajo]],tblPuestos[codigo],tblPuestos[especialidad],"(sin catálogo)"))</f>
        <v/>
      </c>
      <c r="Z15" s="3">
        <f>IF(tblOrdenes[[#This Row],[cod_actividad]]="","",_xlfn.XLOOKUP(tblOrdenes[[#This Row],[cod_actividad]],tblActividades[codigo],tblActividades[descripcion],"(sin catálogo)"))</f>
        <v/>
      </c>
      <c r="AA15" s="12">
        <f>IF(tblOrdenes[[#This Row],[fecha_inicio]]="","",TODAY()-tblOrdenes[[#This Row],[fecha_inicio]])</f>
        <v/>
      </c>
      <c r="AB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3">
        <f>IF(tblOrdenes[[#This Row],[backlog_habiles]]="","",IF(tblOrdenes[[#This Row],[backlog_habiles]]&lt;0,"FUTURO",IF(tblOrdenes[[#This Row],[backlog_habiles]]&gt;p_dias_backlog_max,"BACKLOG","MES CORRIENTE")))</f>
        <v/>
      </c>
      <c r="AD15" s="3">
        <f>IF(tblOrdenes[[#This Row],[backlog_habiles]]="",FALSE,AND(tblOrdenes[[#This Row],[backlog_habiles]]&gt;p_dias_backlog_min,tblOrdenes[[#This Row],[backlog_habiles]]&lt;=p_dias_backlog_max))</f>
        <v/>
      </c>
      <c r="AE15" s="6" t="inlineStr"/>
      <c r="AF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0">
        <f>IF(tblOrdenes[[#This Row],[orden]]="","",_xlfn.XLOOKUP(tblOrdenes[[#This Row],[id_operacion]],tblEjecucion[id_operacion],tblEjecucion[precio],0))</f>
        <v/>
      </c>
      <c r="AJ15" s="10">
        <f>IF(tblOrdenes[[#This Row],[orden]]="","",MAX(0,_xlfn.XLOOKUP(tblOrdenes[[#This Row],[id_operacion]],tblEjecucion[id_operacion],tblEjecucion[costo_plan_total],0)-tblOrdenes[[#This Row],[costo_servicio]]))</f>
        <v/>
      </c>
      <c r="AK15" s="10">
        <f>IF(tblOrdenes[[#This Row],[orden]]="","",tblOrdenes[[#This Row],[costo_servicio]]+tblOrdenes[[#This Row],[costo_materiales]])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IF(tblOrdenes[[#This Row],[link_checklist]]="","",HYPERLINK(p_ruta_base_checklists&amp;tblOrdenes[[#This Row],[link_checklist]],"abrir"))</f>
        <v/>
      </c>
      <c r="AP15" s="6" t="inlineStr"/>
      <c r="AQ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3">
        <f>IF(tblOrdenes[[#This Row],[tipo_ot]]="","",_xlfn.XLOOKUP(tblOrdenes[[#This Row],[tipo_ot]],tblTiposOT[codigo],tblTiposOT[clasificacion],"sin_clasificar"))</f>
        <v/>
      </c>
      <c r="U16" s="3">
        <f>IF(tblOrdenes[[#This Row],[centro_costo]]="","",_xlfn.XLOOKUP(tblOrdenes[[#This Row],[centro_costo]],tblCECO[codigo],tblCECO[linea],"(sin catálogo)"))</f>
        <v/>
      </c>
      <c r="V16" s="3">
        <f>IF(tblOrdenes[[#This Row],[centro_costo]]="","",_xlfn.XLOOKUP(tblOrdenes[[#This Row],[centro_costo]],tblCECO[codigo],tblCECO[area],"(sin catálogo)"))</f>
        <v/>
      </c>
      <c r="W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3">
        <f>IF(tblOrdenes[[#This Row],[centro_costo]]="","",_xlfn.XLOOKUP(tblOrdenes[[#This Row],[centro_costo]],tblCECO[codigo],tblCECO[coordinador],"(sin catálogo)"))</f>
        <v/>
      </c>
      <c r="Y16" s="3">
        <f>IF(tblOrdenes[[#This Row],[puesto_trabajo]]="","",_xlfn.XLOOKUP(tblOrdenes[[#This Row],[puesto_trabajo]],tblPuestos[codigo],tblPuestos[especialidad],"(sin catálogo)"))</f>
        <v/>
      </c>
      <c r="Z16" s="3">
        <f>IF(tblOrdenes[[#This Row],[cod_actividad]]="","",_xlfn.XLOOKUP(tblOrdenes[[#This Row],[cod_actividad]],tblActividades[codigo],tblActividades[descripcion],"(sin catálogo)"))</f>
        <v/>
      </c>
      <c r="AA16" s="12">
        <f>IF(tblOrdenes[[#This Row],[fecha_inicio]]="","",TODAY()-tblOrdenes[[#This Row],[fecha_inicio]])</f>
        <v/>
      </c>
      <c r="AB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3">
        <f>IF(tblOrdenes[[#This Row],[backlog_habiles]]="","",IF(tblOrdenes[[#This Row],[backlog_habiles]]&lt;0,"FUTURO",IF(tblOrdenes[[#This Row],[backlog_habiles]]&gt;p_dias_backlog_max,"BACKLOG","MES CORRIENTE")))</f>
        <v/>
      </c>
      <c r="AD16" s="3">
        <f>IF(tblOrdenes[[#This Row],[backlog_habiles]]="",FALSE,AND(tblOrdenes[[#This Row],[backlog_habiles]]&gt;p_dias_backlog_min,tblOrdenes[[#This Row],[backlog_habiles]]&lt;=p_dias_backlog_max))</f>
        <v/>
      </c>
      <c r="AE16" s="6" t="inlineStr">
        <is>
          <t>Técnico 01</t>
        </is>
      </c>
      <c r="AF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0">
        <f>IF(tblOrdenes[[#This Row],[orden]]="","",_xlfn.XLOOKUP(tblOrdenes[[#This Row],[id_operacion]],tblEjecucion[id_operacion],tblEjecucion[precio],0))</f>
        <v/>
      </c>
      <c r="AJ16" s="10">
        <f>IF(tblOrdenes[[#This Row],[orden]]="","",MAX(0,_xlfn.XLOOKUP(tblOrdenes[[#This Row],[id_operacion]],tblEjecucion[id_operacion],tblEjecucion[costo_plan_total],0)-tblOrdenes[[#This Row],[costo_servicio]]))</f>
        <v/>
      </c>
      <c r="AK16" s="10">
        <f>IF(tblOrdenes[[#This Row],[orden]]="","",tblOrdenes[[#This Row],[costo_servicio]]+tblOrdenes[[#This Row],[costo_materiales]])</f>
        <v/>
      </c>
      <c r="AL16" s="6" t="inlineStr"/>
      <c r="AM16" s="6" t="inlineStr"/>
      <c r="AN16" s="6" t="inlineStr">
        <is>
          <t>ACT-02.pdf</t>
        </is>
      </c>
      <c r="AO16" s="3">
        <f>IF(tblOrdenes[[#This Row],[link_checklist]]="","",HYPERLINK(p_ruta_base_checklists&amp;tblOrdenes[[#This Row],[link_checklist]],"abrir"))</f>
        <v/>
      </c>
      <c r="AP16" s="6" t="inlineStr"/>
      <c r="AQ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3">
        <f>IF(tblOrdenes[[#This Row],[tipo_ot]]="","",_xlfn.XLOOKUP(tblOrdenes[[#This Row],[tipo_ot]],tblTiposOT[codigo],tblTiposOT[clasificacion],"sin_clasificar"))</f>
        <v/>
      </c>
      <c r="U17" s="3">
        <f>IF(tblOrdenes[[#This Row],[centro_costo]]="","",_xlfn.XLOOKUP(tblOrdenes[[#This Row],[centro_costo]],tblCECO[codigo],tblCECO[linea],"(sin catálogo)"))</f>
        <v/>
      </c>
      <c r="V17" s="3">
        <f>IF(tblOrdenes[[#This Row],[centro_costo]]="","",_xlfn.XLOOKUP(tblOrdenes[[#This Row],[centro_costo]],tblCECO[codigo],tblCECO[area],"(sin catálogo)"))</f>
        <v/>
      </c>
      <c r="W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3">
        <f>IF(tblOrdenes[[#This Row],[centro_costo]]="","",_xlfn.XLOOKUP(tblOrdenes[[#This Row],[centro_costo]],tblCECO[codigo],tblCECO[coordinador],"(sin catálogo)"))</f>
        <v/>
      </c>
      <c r="Y17" s="3">
        <f>IF(tblOrdenes[[#This Row],[puesto_trabajo]]="","",_xlfn.XLOOKUP(tblOrdenes[[#This Row],[puesto_trabajo]],tblPuestos[codigo],tblPuestos[especialidad],"(sin catálogo)"))</f>
        <v/>
      </c>
      <c r="Z17" s="3">
        <f>IF(tblOrdenes[[#This Row],[cod_actividad]]="","",_xlfn.XLOOKUP(tblOrdenes[[#This Row],[cod_actividad]],tblActividades[codigo],tblActividades[descripcion],"(sin catálogo)"))</f>
        <v/>
      </c>
      <c r="AA17" s="12">
        <f>IF(tblOrdenes[[#This Row],[fecha_inicio]]="","",TODAY()-tblOrdenes[[#This Row],[fecha_inicio]])</f>
        <v/>
      </c>
      <c r="AB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3">
        <f>IF(tblOrdenes[[#This Row],[backlog_habiles]]="","",IF(tblOrdenes[[#This Row],[backlog_habiles]]&lt;0,"FUTURO",IF(tblOrdenes[[#This Row],[backlog_habiles]]&gt;p_dias_backlog_max,"BACKLOG","MES CORRIENTE")))</f>
        <v/>
      </c>
      <c r="AD17" s="3">
        <f>IF(tblOrdenes[[#This Row],[backlog_habiles]]="",FALSE,AND(tblOrdenes[[#This Row],[backlog_habiles]]&gt;p_dias_backlog_min,tblOrdenes[[#This Row],[backlog_habiles]]&lt;=p_dias_backlog_max))</f>
        <v/>
      </c>
      <c r="AE17" s="6" t="inlineStr">
        <is>
          <t>Técnico 02</t>
        </is>
      </c>
      <c r="AF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0">
        <f>IF(tblOrdenes[[#This Row],[orden]]="","",_xlfn.XLOOKUP(tblOrdenes[[#This Row],[id_operacion]],tblEjecucion[id_operacion],tblEjecucion[precio],0))</f>
        <v/>
      </c>
      <c r="AJ17" s="10">
        <f>IF(tblOrdenes[[#This Row],[orden]]="","",MAX(0,_xlfn.XLOOKUP(tblOrdenes[[#This Row],[id_operacion]],tblEjecucion[id_operacion],tblEjecucion[costo_plan_total],0)-tblOrdenes[[#This Row],[costo_servicio]]))</f>
        <v/>
      </c>
      <c r="AK17" s="10">
        <f>IF(tblOrdenes[[#This Row],[orden]]="","",tblOrdenes[[#This Row],[costo_servicio]]+tblOrdenes[[#This Row],[costo_materiales]])</f>
        <v/>
      </c>
      <c r="AL17" s="6" t="inlineStr"/>
      <c r="AM17" s="6" t="inlineStr"/>
      <c r="AN17" s="6" t="inlineStr">
        <is>
          <t>ACT-04.pdf</t>
        </is>
      </c>
      <c r="AO17" s="3">
        <f>IF(tblOrdenes[[#This Row],[link_checklist]]="","",HYPERLINK(p_ruta_base_checklists&amp;tblOrdenes[[#This Row],[link_checklist]],"abrir"))</f>
        <v/>
      </c>
      <c r="AP17" s="6" t="inlineStr"/>
      <c r="AQ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3">
        <f>IF(tblOrdenes[[#This Row],[tipo_ot]]="","",_xlfn.XLOOKUP(tblOrdenes[[#This Row],[tipo_ot]],tblTiposOT[codigo],tblTiposOT[clasificacion],"sin_clasificar"))</f>
        <v/>
      </c>
      <c r="U18" s="3">
        <f>IF(tblOrdenes[[#This Row],[centro_costo]]="","",_xlfn.XLOOKUP(tblOrdenes[[#This Row],[centro_costo]],tblCECO[codigo],tblCECO[linea],"(sin catálogo)"))</f>
        <v/>
      </c>
      <c r="V18" s="3">
        <f>IF(tblOrdenes[[#This Row],[centro_costo]]="","",_xlfn.XLOOKUP(tblOrdenes[[#This Row],[centro_costo]],tblCECO[codigo],tblCECO[area],"(sin catálogo)"))</f>
        <v/>
      </c>
      <c r="W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3">
        <f>IF(tblOrdenes[[#This Row],[centro_costo]]="","",_xlfn.XLOOKUP(tblOrdenes[[#This Row],[centro_costo]],tblCECO[codigo],tblCECO[coordinador],"(sin catálogo)"))</f>
        <v/>
      </c>
      <c r="Y18" s="3">
        <f>IF(tblOrdenes[[#This Row],[puesto_trabajo]]="","",_xlfn.XLOOKUP(tblOrdenes[[#This Row],[puesto_trabajo]],tblPuestos[codigo],tblPuestos[especialidad],"(sin catálogo)"))</f>
        <v/>
      </c>
      <c r="Z18" s="3">
        <f>IF(tblOrdenes[[#This Row],[cod_actividad]]="","",_xlfn.XLOOKUP(tblOrdenes[[#This Row],[cod_actividad]],tblActividades[codigo],tblActividades[descripcion],"(sin catálogo)"))</f>
        <v/>
      </c>
      <c r="AA18" s="12">
        <f>IF(tblOrdenes[[#This Row],[fecha_inicio]]="","",TODAY()-tblOrdenes[[#This Row],[fecha_inicio]])</f>
        <v/>
      </c>
      <c r="AB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3">
        <f>IF(tblOrdenes[[#This Row],[backlog_habiles]]="","",IF(tblOrdenes[[#This Row],[backlog_habiles]]&lt;0,"FUTURO",IF(tblOrdenes[[#This Row],[backlog_habiles]]&gt;p_dias_backlog_max,"BACKLOG","MES CORRIENTE")))</f>
        <v/>
      </c>
      <c r="AD18" s="3">
        <f>IF(tblOrdenes[[#This Row],[backlog_habiles]]="",FALSE,AND(tblOrdenes[[#This Row],[backlog_habiles]]&gt;p_dias_backlog_min,tblOrdenes[[#This Row],[backlog_habiles]]&lt;=p_dias_backlog_max))</f>
        <v/>
      </c>
      <c r="AE18" s="6" t="inlineStr">
        <is>
          <t>Técnico 03</t>
        </is>
      </c>
      <c r="AF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0">
        <f>IF(tblOrdenes[[#This Row],[orden]]="","",_xlfn.XLOOKUP(tblOrdenes[[#This Row],[id_operacion]],tblEjecucion[id_operacion],tblEjecucion[precio],0))</f>
        <v/>
      </c>
      <c r="AJ18" s="10">
        <f>IF(tblOrdenes[[#This Row],[orden]]="","",MAX(0,_xlfn.XLOOKUP(tblOrdenes[[#This Row],[id_operacion]],tblEjecucion[id_operacion],tblEjecucion[costo_plan_total],0)-tblOrdenes[[#This Row],[costo_servicio]]))</f>
        <v/>
      </c>
      <c r="AK18" s="10">
        <f>IF(tblOrdenes[[#This Row],[orden]]="","",tblOrdenes[[#This Row],[costo_servicio]]+tblOrdenes[[#This Row],[costo_materiales]])</f>
        <v/>
      </c>
      <c r="AL18" s="6" t="inlineStr"/>
      <c r="AM18" s="6" t="inlineStr"/>
      <c r="AN18" s="6" t="inlineStr">
        <is>
          <t>ACT-01.pdf</t>
        </is>
      </c>
      <c r="AO18" s="3">
        <f>IF(tblOrdenes[[#This Row],[link_checklist]]="","",HYPERLINK(p_ruta_base_checklists&amp;tblOrdenes[[#This Row],[link_checklist]],"abrir"))</f>
        <v/>
      </c>
      <c r="AP18" s="6" t="inlineStr"/>
      <c r="AQ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3">
        <f>IF(tblOrdenes[[#This Row],[tipo_ot]]="","",_xlfn.XLOOKUP(tblOrdenes[[#This Row],[tipo_ot]],tblTiposOT[codigo],tblTiposOT[clasificacion],"sin_clasificar"))</f>
        <v/>
      </c>
      <c r="U19" s="3">
        <f>IF(tblOrdenes[[#This Row],[centro_costo]]="","",_xlfn.XLOOKUP(tblOrdenes[[#This Row],[centro_costo]],tblCECO[codigo],tblCECO[linea],"(sin catálogo)"))</f>
        <v/>
      </c>
      <c r="V19" s="3">
        <f>IF(tblOrdenes[[#This Row],[centro_costo]]="","",_xlfn.XLOOKUP(tblOrdenes[[#This Row],[centro_costo]],tblCECO[codigo],tblCECO[area],"(sin catálogo)"))</f>
        <v/>
      </c>
      <c r="W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3">
        <f>IF(tblOrdenes[[#This Row],[centro_costo]]="","",_xlfn.XLOOKUP(tblOrdenes[[#This Row],[centro_costo]],tblCECO[codigo],tblCECO[coordinador],"(sin catálogo)"))</f>
        <v/>
      </c>
      <c r="Y19" s="3">
        <f>IF(tblOrdenes[[#This Row],[puesto_trabajo]]="","",_xlfn.XLOOKUP(tblOrdenes[[#This Row],[puesto_trabajo]],tblPuestos[codigo],tblPuestos[especialidad],"(sin catálogo)"))</f>
        <v/>
      </c>
      <c r="Z19" s="3">
        <f>IF(tblOrdenes[[#This Row],[cod_actividad]]="","",_xlfn.XLOOKUP(tblOrdenes[[#This Row],[cod_actividad]],tblActividades[codigo],tblActividades[descripcion],"(sin catálogo)"))</f>
        <v/>
      </c>
      <c r="AA19" s="12">
        <f>IF(tblOrdenes[[#This Row],[fecha_inicio]]="","",TODAY()-tblOrdenes[[#This Row],[fecha_inicio]])</f>
        <v/>
      </c>
      <c r="AB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3">
        <f>IF(tblOrdenes[[#This Row],[backlog_habiles]]="","",IF(tblOrdenes[[#This Row],[backlog_habiles]]&lt;0,"FUTURO",IF(tblOrdenes[[#This Row],[backlog_habiles]]&gt;p_dias_backlog_max,"BACKLOG","MES CORRIENTE")))</f>
        <v/>
      </c>
      <c r="AD19" s="3">
        <f>IF(tblOrdenes[[#This Row],[backlog_habiles]]="",FALSE,AND(tblOrdenes[[#This Row],[backlog_habiles]]&gt;p_dias_backlog_min,tblOrdenes[[#This Row],[backlog_habiles]]&lt;=p_dias_backlog_max))</f>
        <v/>
      </c>
      <c r="AE19" s="6" t="inlineStr">
        <is>
          <t>Técnico 04</t>
        </is>
      </c>
      <c r="AF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0">
        <f>IF(tblOrdenes[[#This Row],[orden]]="","",_xlfn.XLOOKUP(tblOrdenes[[#This Row],[id_operacion]],tblEjecucion[id_operacion],tblEjecucion[precio],0))</f>
        <v/>
      </c>
      <c r="AJ19" s="10">
        <f>IF(tblOrdenes[[#This Row],[orden]]="","",MAX(0,_xlfn.XLOOKUP(tblOrdenes[[#This Row],[id_operacion]],tblEjecucion[id_operacion],tblEjecucion[costo_plan_total],0)-tblOrdenes[[#This Row],[costo_servicio]]))</f>
        <v/>
      </c>
      <c r="AK19" s="10">
        <f>IF(tblOrdenes[[#This Row],[orden]]="","",tblOrdenes[[#This Row],[costo_servicio]]+tblOrdenes[[#This Row],[costo_materiales]])</f>
        <v/>
      </c>
      <c r="AL19" s="6" t="inlineStr"/>
      <c r="AM19" s="6" t="inlineStr"/>
      <c r="AN19" s="6" t="inlineStr">
        <is>
          <t>ACT-02.pdf</t>
        </is>
      </c>
      <c r="AO19" s="3">
        <f>IF(tblOrdenes[[#This Row],[link_checklist]]="","",HYPERLINK(p_ruta_base_checklists&amp;tblOrdenes[[#This Row],[link_checklist]],"abrir"))</f>
        <v/>
      </c>
      <c r="AP19" s="6" t="inlineStr"/>
      <c r="AQ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3">
        <f>IF(tblOrdenes[[#This Row],[tipo_ot]]="","",_xlfn.XLOOKUP(tblOrdenes[[#This Row],[tipo_ot]],tblTiposOT[codigo],tblTiposOT[clasificacion],"sin_clasificar"))</f>
        <v/>
      </c>
      <c r="U20" s="3">
        <f>IF(tblOrdenes[[#This Row],[centro_costo]]="","",_xlfn.XLOOKUP(tblOrdenes[[#This Row],[centro_costo]],tblCECO[codigo],tblCECO[linea],"(sin catálogo)"))</f>
        <v/>
      </c>
      <c r="V20" s="3">
        <f>IF(tblOrdenes[[#This Row],[centro_costo]]="","",_xlfn.XLOOKUP(tblOrdenes[[#This Row],[centro_costo]],tblCECO[codigo],tblCECO[area],"(sin catálogo)"))</f>
        <v/>
      </c>
      <c r="W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3">
        <f>IF(tblOrdenes[[#This Row],[centro_costo]]="","",_xlfn.XLOOKUP(tblOrdenes[[#This Row],[centro_costo]],tblCECO[codigo],tblCECO[coordinador],"(sin catálogo)"))</f>
        <v/>
      </c>
      <c r="Y20" s="3">
        <f>IF(tblOrdenes[[#This Row],[puesto_trabajo]]="","",_xlfn.XLOOKUP(tblOrdenes[[#This Row],[puesto_trabajo]],tblPuestos[codigo],tblPuestos[especialidad],"(sin catálogo)"))</f>
        <v/>
      </c>
      <c r="Z20" s="3">
        <f>IF(tblOrdenes[[#This Row],[cod_actividad]]="","",_xlfn.XLOOKUP(tblOrdenes[[#This Row],[cod_actividad]],tblActividades[codigo],tblActividades[descripcion],"(sin catálogo)"))</f>
        <v/>
      </c>
      <c r="AA20" s="12">
        <f>IF(tblOrdenes[[#This Row],[fecha_inicio]]="","",TODAY()-tblOrdenes[[#This Row],[fecha_inicio]])</f>
        <v/>
      </c>
      <c r="AB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3">
        <f>IF(tblOrdenes[[#This Row],[backlog_habiles]]="","",IF(tblOrdenes[[#This Row],[backlog_habiles]]&lt;0,"FUTURO",IF(tblOrdenes[[#This Row],[backlog_habiles]]&gt;p_dias_backlog_max,"BACKLOG","MES CORRIENTE")))</f>
        <v/>
      </c>
      <c r="AD20" s="3">
        <f>IF(tblOrdenes[[#This Row],[backlog_habiles]]="",FALSE,AND(tblOrdenes[[#This Row],[backlog_habiles]]&gt;p_dias_backlog_min,tblOrdenes[[#This Row],[backlog_habiles]]&lt;=p_dias_backlog_max))</f>
        <v/>
      </c>
      <c r="AE20" s="6" t="inlineStr">
        <is>
          <t>Técnico 01</t>
        </is>
      </c>
      <c r="AF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0">
        <f>IF(tblOrdenes[[#This Row],[orden]]="","",_xlfn.XLOOKUP(tblOrdenes[[#This Row],[id_operacion]],tblEjecucion[id_operacion],tblEjecucion[precio],0))</f>
        <v/>
      </c>
      <c r="AJ20" s="10">
        <f>IF(tblOrdenes[[#This Row],[orden]]="","",MAX(0,_xlfn.XLOOKUP(tblOrdenes[[#This Row],[id_operacion]],tblEjecucion[id_operacion],tblEjecucion[costo_plan_total],0)-tblOrdenes[[#This Row],[costo_servicio]]))</f>
        <v/>
      </c>
      <c r="AK20" s="10">
        <f>IF(tblOrdenes[[#This Row],[orden]]="","",tblOrdenes[[#This Row],[costo_servicio]]+tblOrdenes[[#This Row],[costo_materiales]])</f>
        <v/>
      </c>
      <c r="AL20" s="6" t="inlineStr"/>
      <c r="AM20" s="6" t="inlineStr"/>
      <c r="AN20" s="6" t="inlineStr">
        <is>
          <t>ACT-04.pdf</t>
        </is>
      </c>
      <c r="AO20" s="3">
        <f>IF(tblOrdenes[[#This Row],[link_checklist]]="","",HYPERLINK(p_ruta_base_checklists&amp;tblOrdenes[[#This Row],[link_checklist]],"abrir"))</f>
        <v/>
      </c>
      <c r="AP20" s="6" t="inlineStr">
        <is>
          <t>Ajuste 8 → 12 h en hoja AJUSTES</t>
        </is>
      </c>
      <c r="AQ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3">
        <f>IF(tblOrdenes[[#This Row],[tipo_ot]]="","",_xlfn.XLOOKUP(tblOrdenes[[#This Row],[tipo_ot]],tblTiposOT[codigo],tblTiposOT[clasificacion],"sin_clasificar"))</f>
        <v/>
      </c>
      <c r="U21" s="3">
        <f>IF(tblOrdenes[[#This Row],[centro_costo]]="","",_xlfn.XLOOKUP(tblOrdenes[[#This Row],[centro_costo]],tblCECO[codigo],tblCECO[linea],"(sin catálogo)"))</f>
        <v/>
      </c>
      <c r="V21" s="3">
        <f>IF(tblOrdenes[[#This Row],[centro_costo]]="","",_xlfn.XLOOKUP(tblOrdenes[[#This Row],[centro_costo]],tblCECO[codigo],tblCECO[area],"(sin catálogo)"))</f>
        <v/>
      </c>
      <c r="W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3">
        <f>IF(tblOrdenes[[#This Row],[centro_costo]]="","",_xlfn.XLOOKUP(tblOrdenes[[#This Row],[centro_costo]],tblCECO[codigo],tblCECO[coordinador],"(sin catálogo)"))</f>
        <v/>
      </c>
      <c r="Y21" s="3">
        <f>IF(tblOrdenes[[#This Row],[puesto_trabajo]]="","",_xlfn.XLOOKUP(tblOrdenes[[#This Row],[puesto_trabajo]],tblPuestos[codigo],tblPuestos[especialidad],"(sin catálogo)"))</f>
        <v/>
      </c>
      <c r="Z21" s="3">
        <f>IF(tblOrdenes[[#This Row],[cod_actividad]]="","",_xlfn.XLOOKUP(tblOrdenes[[#This Row],[cod_actividad]],tblActividades[codigo],tblActividades[descripcion],"(sin catálogo)"))</f>
        <v/>
      </c>
      <c r="AA21" s="12">
        <f>IF(tblOrdenes[[#This Row],[fecha_inicio]]="","",TODAY()-tblOrdenes[[#This Row],[fecha_inicio]])</f>
        <v/>
      </c>
      <c r="AB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3">
        <f>IF(tblOrdenes[[#This Row],[backlog_habiles]]="","",IF(tblOrdenes[[#This Row],[backlog_habiles]]&lt;0,"FUTURO",IF(tblOrdenes[[#This Row],[backlog_habiles]]&gt;p_dias_backlog_max,"BACKLOG","MES CORRIENTE")))</f>
        <v/>
      </c>
      <c r="AD21" s="3">
        <f>IF(tblOrdenes[[#This Row],[backlog_habiles]]="",FALSE,AND(tblOrdenes[[#This Row],[backlog_habiles]]&gt;p_dias_backlog_min,tblOrdenes[[#This Row],[backlog_habiles]]&lt;=p_dias_backlog_max))</f>
        <v/>
      </c>
      <c r="AE21" s="6" t="inlineStr">
        <is>
          <t>Técnico 02</t>
        </is>
      </c>
      <c r="AF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0">
        <f>IF(tblOrdenes[[#This Row],[orden]]="","",_xlfn.XLOOKUP(tblOrdenes[[#This Row],[id_operacion]],tblEjecucion[id_operacion],tblEjecucion[precio],0))</f>
        <v/>
      </c>
      <c r="AJ21" s="10">
        <f>IF(tblOrdenes[[#This Row],[orden]]="","",MAX(0,_xlfn.XLOOKUP(tblOrdenes[[#This Row],[id_operacion]],tblEjecucion[id_operacion],tblEjecucion[costo_plan_total],0)-tblOrdenes[[#This Row],[costo_servicio]]))</f>
        <v/>
      </c>
      <c r="AK21" s="10">
        <f>IF(tblOrdenes[[#This Row],[orden]]="","",tblOrdenes[[#This Row],[costo_servicio]]+tblOrdenes[[#This Row],[costo_materiales]])</f>
        <v/>
      </c>
      <c r="AL21" s="6" t="inlineStr"/>
      <c r="AM21" s="6" t="inlineStr"/>
      <c r="AN21" s="6" t="inlineStr">
        <is>
          <t>ACT-01.pdf</t>
        </is>
      </c>
      <c r="AO21" s="3">
        <f>IF(tblOrdenes[[#This Row],[link_checklist]]="","",HYPERLINK(p_ruta_base_checklists&amp;tblOrdenes[[#This Row],[link_checklist]],"abrir"))</f>
        <v/>
      </c>
      <c r="AP21" s="6" t="inlineStr"/>
      <c r="AQ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3">
        <f>IF(tblOrdenes[[#This Row],[tipo_ot]]="","",_xlfn.XLOOKUP(tblOrdenes[[#This Row],[tipo_ot]],tblTiposOT[codigo],tblTiposOT[clasificacion],"sin_clasificar"))</f>
        <v/>
      </c>
      <c r="U22" s="3">
        <f>IF(tblOrdenes[[#This Row],[centro_costo]]="","",_xlfn.XLOOKUP(tblOrdenes[[#This Row],[centro_costo]],tblCECO[codigo],tblCECO[linea],"(sin catálogo)"))</f>
        <v/>
      </c>
      <c r="V22" s="3">
        <f>IF(tblOrdenes[[#This Row],[centro_costo]]="","",_xlfn.XLOOKUP(tblOrdenes[[#This Row],[centro_costo]],tblCECO[codigo],tblCECO[area],"(sin catálogo)"))</f>
        <v/>
      </c>
      <c r="W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3">
        <f>IF(tblOrdenes[[#This Row],[centro_costo]]="","",_xlfn.XLOOKUP(tblOrdenes[[#This Row],[centro_costo]],tblCECO[codigo],tblCECO[coordinador],"(sin catálogo)"))</f>
        <v/>
      </c>
      <c r="Y22" s="3">
        <f>IF(tblOrdenes[[#This Row],[puesto_trabajo]]="","",_xlfn.XLOOKUP(tblOrdenes[[#This Row],[puesto_trabajo]],tblPuestos[codigo],tblPuestos[especialidad],"(sin catálogo)"))</f>
        <v/>
      </c>
      <c r="Z22" s="3">
        <f>IF(tblOrdenes[[#This Row],[cod_actividad]]="","",_xlfn.XLOOKUP(tblOrdenes[[#This Row],[cod_actividad]],tblActividades[codigo],tblActividades[descripcion],"(sin catálogo)"))</f>
        <v/>
      </c>
      <c r="AA22" s="12">
        <f>IF(tblOrdenes[[#This Row],[fecha_inicio]]="","",TODAY()-tblOrdenes[[#This Row],[fecha_inicio]])</f>
        <v/>
      </c>
      <c r="AB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3">
        <f>IF(tblOrdenes[[#This Row],[backlog_habiles]]="","",IF(tblOrdenes[[#This Row],[backlog_habiles]]&lt;0,"FUTURO",IF(tblOrdenes[[#This Row],[backlog_habiles]]&gt;p_dias_backlog_max,"BACKLOG","MES CORRIENTE")))</f>
        <v/>
      </c>
      <c r="AD22" s="3">
        <f>IF(tblOrdenes[[#This Row],[backlog_habiles]]="",FALSE,AND(tblOrdenes[[#This Row],[backlog_habiles]]&gt;p_dias_backlog_min,tblOrdenes[[#This Row],[backlog_habiles]]&lt;=p_dias_backlog_max))</f>
        <v/>
      </c>
      <c r="AE22" s="6" t="inlineStr">
        <is>
          <t>Técnico 03</t>
        </is>
      </c>
      <c r="AF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0">
        <f>IF(tblOrdenes[[#This Row],[orden]]="","",_xlfn.XLOOKUP(tblOrdenes[[#This Row],[id_operacion]],tblEjecucion[id_operacion],tblEjecucion[precio],0))</f>
        <v/>
      </c>
      <c r="AJ22" s="10">
        <f>IF(tblOrdenes[[#This Row],[orden]]="","",MAX(0,_xlfn.XLOOKUP(tblOrdenes[[#This Row],[id_operacion]],tblEjecucion[id_operacion],tblEjecucion[costo_plan_total],0)-tblOrdenes[[#This Row],[costo_servicio]]))</f>
        <v/>
      </c>
      <c r="AK22" s="10">
        <f>IF(tblOrdenes[[#This Row],[orden]]="","",tblOrdenes[[#This Row],[costo_servicio]]+tblOrdenes[[#This Row],[costo_materiales]])</f>
        <v/>
      </c>
      <c r="AL22" s="6" t="inlineStr"/>
      <c r="AM22" s="6" t="inlineStr"/>
      <c r="AN22" s="6" t="inlineStr">
        <is>
          <t>ACT-02.pdf</t>
        </is>
      </c>
      <c r="AO22" s="3">
        <f>IF(tblOrdenes[[#This Row],[link_checklist]]="","",HYPERLINK(p_ruta_base_checklists&amp;tblOrdenes[[#This Row],[link_checklist]],"abrir"))</f>
        <v/>
      </c>
      <c r="AP22" s="6" t="inlineStr"/>
      <c r="AQ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3">
        <f>IF(tblOrdenes[[#This Row],[tipo_ot]]="","",_xlfn.XLOOKUP(tblOrdenes[[#This Row],[tipo_ot]],tblTiposOT[codigo],tblTiposOT[clasificacion],"sin_clasificar"))</f>
        <v/>
      </c>
      <c r="U23" s="3">
        <f>IF(tblOrdenes[[#This Row],[centro_costo]]="","",_xlfn.XLOOKUP(tblOrdenes[[#This Row],[centro_costo]],tblCECO[codigo],tblCECO[linea],"(sin catálogo)"))</f>
        <v/>
      </c>
      <c r="V23" s="3">
        <f>IF(tblOrdenes[[#This Row],[centro_costo]]="","",_xlfn.XLOOKUP(tblOrdenes[[#This Row],[centro_costo]],tblCECO[codigo],tblCECO[area],"(sin catálogo)"))</f>
        <v/>
      </c>
      <c r="W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3">
        <f>IF(tblOrdenes[[#This Row],[centro_costo]]="","",_xlfn.XLOOKUP(tblOrdenes[[#This Row],[centro_costo]],tblCECO[codigo],tblCECO[coordinador],"(sin catálogo)"))</f>
        <v/>
      </c>
      <c r="Y23" s="3">
        <f>IF(tblOrdenes[[#This Row],[puesto_trabajo]]="","",_xlfn.XLOOKUP(tblOrdenes[[#This Row],[puesto_trabajo]],tblPuestos[codigo],tblPuestos[especialidad],"(sin catálogo)"))</f>
        <v/>
      </c>
      <c r="Z23" s="3">
        <f>IF(tblOrdenes[[#This Row],[cod_actividad]]="","",_xlfn.XLOOKUP(tblOrdenes[[#This Row],[cod_actividad]],tblActividades[codigo],tblActividades[descripcion],"(sin catálogo)"))</f>
        <v/>
      </c>
      <c r="AA23" s="12">
        <f>IF(tblOrdenes[[#This Row],[fecha_inicio]]="","",TODAY()-tblOrdenes[[#This Row],[fecha_inicio]])</f>
        <v/>
      </c>
      <c r="AB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3">
        <f>IF(tblOrdenes[[#This Row],[backlog_habiles]]="","",IF(tblOrdenes[[#This Row],[backlog_habiles]]&lt;0,"FUTURO",IF(tblOrdenes[[#This Row],[backlog_habiles]]&gt;p_dias_backlog_max,"BACKLOG","MES CORRIENTE")))</f>
        <v/>
      </c>
      <c r="AD23" s="3">
        <f>IF(tblOrdenes[[#This Row],[backlog_habiles]]="",FALSE,AND(tblOrdenes[[#This Row],[backlog_habiles]]&gt;p_dias_backlog_min,tblOrdenes[[#This Row],[backlog_habiles]]&lt;=p_dias_backlog_max))</f>
        <v/>
      </c>
      <c r="AE23" s="6" t="inlineStr">
        <is>
          <t>Técnico 04</t>
        </is>
      </c>
      <c r="AF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0">
        <f>IF(tblOrdenes[[#This Row],[orden]]="","",_xlfn.XLOOKUP(tblOrdenes[[#This Row],[id_operacion]],tblEjecucion[id_operacion],tblEjecucion[precio],0))</f>
        <v/>
      </c>
      <c r="AJ23" s="10">
        <f>IF(tblOrdenes[[#This Row],[orden]]="","",MAX(0,_xlfn.XLOOKUP(tblOrdenes[[#This Row],[id_operacion]],tblEjecucion[id_operacion],tblEjecucion[costo_plan_total],0)-tblOrdenes[[#This Row],[costo_servicio]]))</f>
        <v/>
      </c>
      <c r="AK23" s="10">
        <f>IF(tblOrdenes[[#This Row],[orden]]="","",tblOrdenes[[#This Row],[costo_servicio]]+tblOrdenes[[#This Row],[costo_materiales]])</f>
        <v/>
      </c>
      <c r="AL23" s="6" t="inlineStr"/>
      <c r="AM23" s="6" t="inlineStr"/>
      <c r="AN23" s="6" t="inlineStr">
        <is>
          <t>ACT-04.pdf</t>
        </is>
      </c>
      <c r="AO23" s="3">
        <f>IF(tblOrdenes[[#This Row],[link_checklist]]="","",HYPERLINK(p_ruta_base_checklists&amp;tblOrdenes[[#This Row],[link_checklist]],"abrir"))</f>
        <v/>
      </c>
      <c r="AP23" s="6" t="inlineStr"/>
      <c r="AQ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3">
        <f>IF(tblOrdenes[[#This Row],[tipo_ot]]="","",_xlfn.XLOOKUP(tblOrdenes[[#This Row],[tipo_ot]],tblTiposOT[codigo],tblTiposOT[clasificacion],"sin_clasificar"))</f>
        <v/>
      </c>
      <c r="U24" s="3">
        <f>IF(tblOrdenes[[#This Row],[centro_costo]]="","",_xlfn.XLOOKUP(tblOrdenes[[#This Row],[centro_costo]],tblCECO[codigo],tblCECO[linea],"(sin catálogo)"))</f>
        <v/>
      </c>
      <c r="V24" s="3">
        <f>IF(tblOrdenes[[#This Row],[centro_costo]]="","",_xlfn.XLOOKUP(tblOrdenes[[#This Row],[centro_costo]],tblCECO[codigo],tblCECO[area],"(sin catálogo)"))</f>
        <v/>
      </c>
      <c r="W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3">
        <f>IF(tblOrdenes[[#This Row],[centro_costo]]="","",_xlfn.XLOOKUP(tblOrdenes[[#This Row],[centro_costo]],tblCECO[codigo],tblCECO[coordinador],"(sin catálogo)"))</f>
        <v/>
      </c>
      <c r="Y24" s="3">
        <f>IF(tblOrdenes[[#This Row],[puesto_trabajo]]="","",_xlfn.XLOOKUP(tblOrdenes[[#This Row],[puesto_trabajo]],tblPuestos[codigo],tblPuestos[especialidad],"(sin catálogo)"))</f>
        <v/>
      </c>
      <c r="Z24" s="3">
        <f>IF(tblOrdenes[[#This Row],[cod_actividad]]="","",_xlfn.XLOOKUP(tblOrdenes[[#This Row],[cod_actividad]],tblActividades[codigo],tblActividades[descripcion],"(sin catálogo)"))</f>
        <v/>
      </c>
      <c r="AA24" s="12">
        <f>IF(tblOrdenes[[#This Row],[fecha_inicio]]="","",TODAY()-tblOrdenes[[#This Row],[fecha_inicio]])</f>
        <v/>
      </c>
      <c r="AB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3">
        <f>IF(tblOrdenes[[#This Row],[backlog_habiles]]="","",IF(tblOrdenes[[#This Row],[backlog_habiles]]&lt;0,"FUTURO",IF(tblOrdenes[[#This Row],[backlog_habiles]]&gt;p_dias_backlog_max,"BACKLOG","MES CORRIENTE")))</f>
        <v/>
      </c>
      <c r="AD24" s="3">
        <f>IF(tblOrdenes[[#This Row],[backlog_habiles]]="",FALSE,AND(tblOrdenes[[#This Row],[backlog_habiles]]&gt;p_dias_backlog_min,tblOrdenes[[#This Row],[backlog_habiles]]&lt;=p_dias_backlog_max))</f>
        <v/>
      </c>
      <c r="AE24" s="6" t="inlineStr">
        <is>
          <t>Técnico 01</t>
        </is>
      </c>
      <c r="AF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0">
        <f>IF(tblOrdenes[[#This Row],[orden]]="","",_xlfn.XLOOKUP(tblOrdenes[[#This Row],[id_operacion]],tblEjecucion[id_operacion],tblEjecucion[precio],0))</f>
        <v/>
      </c>
      <c r="AJ24" s="10">
        <f>IF(tblOrdenes[[#This Row],[orden]]="","",MAX(0,_xlfn.XLOOKUP(tblOrdenes[[#This Row],[id_operacion]],tblEjecucion[id_operacion],tblEjecucion[costo_plan_total],0)-tblOrdenes[[#This Row],[costo_servicio]]))</f>
        <v/>
      </c>
      <c r="AK24" s="10">
        <f>IF(tblOrdenes[[#This Row],[orden]]="","",tblOrdenes[[#This Row],[costo_servicio]]+tblOrdenes[[#This Row],[costo_materiales]])</f>
        <v/>
      </c>
      <c r="AL24" s="6" t="inlineStr"/>
      <c r="AM24" s="6" t="inlineStr"/>
      <c r="AN24" s="6" t="inlineStr">
        <is>
          <t>ACT-01.pdf</t>
        </is>
      </c>
      <c r="AO24" s="3">
        <f>IF(tblOrdenes[[#This Row],[link_checklist]]="","",HYPERLINK(p_ruta_base_checklists&amp;tblOrdenes[[#This Row],[link_checklist]],"abrir"))</f>
        <v/>
      </c>
      <c r="AP24" s="6" t="inlineStr"/>
      <c r="AQ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3">
        <f>IF(tblOrdenes[[#This Row],[tipo_ot]]="","",_xlfn.XLOOKUP(tblOrdenes[[#This Row],[tipo_ot]],tblTiposOT[codigo],tblTiposOT[clasificacion],"sin_clasificar"))</f>
        <v/>
      </c>
      <c r="U25" s="3">
        <f>IF(tblOrdenes[[#This Row],[centro_costo]]="","",_xlfn.XLOOKUP(tblOrdenes[[#This Row],[centro_costo]],tblCECO[codigo],tblCECO[linea],"(sin catálogo)"))</f>
        <v/>
      </c>
      <c r="V25" s="3">
        <f>IF(tblOrdenes[[#This Row],[centro_costo]]="","",_xlfn.XLOOKUP(tblOrdenes[[#This Row],[centro_costo]],tblCECO[codigo],tblCECO[area],"(sin catálogo)"))</f>
        <v/>
      </c>
      <c r="W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3">
        <f>IF(tblOrdenes[[#This Row],[centro_costo]]="","",_xlfn.XLOOKUP(tblOrdenes[[#This Row],[centro_costo]],tblCECO[codigo],tblCECO[coordinador],"(sin catálogo)"))</f>
        <v/>
      </c>
      <c r="Y25" s="3">
        <f>IF(tblOrdenes[[#This Row],[puesto_trabajo]]="","",_xlfn.XLOOKUP(tblOrdenes[[#This Row],[puesto_trabajo]],tblPuestos[codigo],tblPuestos[especialidad],"(sin catálogo)"))</f>
        <v/>
      </c>
      <c r="Z25" s="3">
        <f>IF(tblOrdenes[[#This Row],[cod_actividad]]="","",_xlfn.XLOOKUP(tblOrdenes[[#This Row],[cod_actividad]],tblActividades[codigo],tblActividades[descripcion],"(sin catálogo)"))</f>
        <v/>
      </c>
      <c r="AA25" s="12">
        <f>IF(tblOrdenes[[#This Row],[fecha_inicio]]="","",TODAY()-tblOrdenes[[#This Row],[fecha_inicio]])</f>
        <v/>
      </c>
      <c r="AB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3">
        <f>IF(tblOrdenes[[#This Row],[backlog_habiles]]="","",IF(tblOrdenes[[#This Row],[backlog_habiles]]&lt;0,"FUTURO",IF(tblOrdenes[[#This Row],[backlog_habiles]]&gt;p_dias_backlog_max,"BACKLOG","MES CORRIENTE")))</f>
        <v/>
      </c>
      <c r="AD25" s="3">
        <f>IF(tblOrdenes[[#This Row],[backlog_habiles]]="",FALSE,AND(tblOrdenes[[#This Row],[backlog_habiles]]&gt;p_dias_backlog_min,tblOrdenes[[#This Row],[backlog_habiles]]&lt;=p_dias_backlog_max))</f>
        <v/>
      </c>
      <c r="AE25" s="6" t="inlineStr">
        <is>
          <t>Técnico 02</t>
        </is>
      </c>
      <c r="AF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0">
        <f>IF(tblOrdenes[[#This Row],[orden]]="","",_xlfn.XLOOKUP(tblOrdenes[[#This Row],[id_operacion]],tblEjecucion[id_operacion],tblEjecucion[precio],0))</f>
        <v/>
      </c>
      <c r="AJ25" s="10">
        <f>IF(tblOrdenes[[#This Row],[orden]]="","",MAX(0,_xlfn.XLOOKUP(tblOrdenes[[#This Row],[id_operacion]],tblEjecucion[id_operacion],tblEjecucion[costo_plan_total],0)-tblOrdenes[[#This Row],[costo_servicio]]))</f>
        <v/>
      </c>
      <c r="AK25" s="10">
        <f>IF(tblOrdenes[[#This Row],[orden]]="","",tblOrdenes[[#This Row],[costo_servicio]]+tblOrdenes[[#This Row],[costo_materiales]])</f>
        <v/>
      </c>
      <c r="AL25" s="6" t="inlineStr"/>
      <c r="AM25" s="6" t="inlineStr"/>
      <c r="AN25" s="6" t="inlineStr">
        <is>
          <t>ACT-02.pdf</t>
        </is>
      </c>
      <c r="AO25" s="3">
        <f>IF(tblOrdenes[[#This Row],[link_checklist]]="","",HYPERLINK(p_ruta_base_checklists&amp;tblOrdenes[[#This Row],[link_checklist]],"abrir"))</f>
        <v/>
      </c>
      <c r="AP25" s="6" t="inlineStr"/>
      <c r="AQ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3">
        <f>IF(tblOrdenes[[#This Row],[tipo_ot]]="","",_xlfn.XLOOKUP(tblOrdenes[[#This Row],[tipo_ot]],tblTiposOT[codigo],tblTiposOT[clasificacion],"sin_clasificar"))</f>
        <v/>
      </c>
      <c r="U26" s="3">
        <f>IF(tblOrdenes[[#This Row],[centro_costo]]="","",_xlfn.XLOOKUP(tblOrdenes[[#This Row],[centro_costo]],tblCECO[codigo],tblCECO[linea],"(sin catálogo)"))</f>
        <v/>
      </c>
      <c r="V26" s="3">
        <f>IF(tblOrdenes[[#This Row],[centro_costo]]="","",_xlfn.XLOOKUP(tblOrdenes[[#This Row],[centro_costo]],tblCECO[codigo],tblCECO[area],"(sin catálogo)"))</f>
        <v/>
      </c>
      <c r="W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3">
        <f>IF(tblOrdenes[[#This Row],[centro_costo]]="","",_xlfn.XLOOKUP(tblOrdenes[[#This Row],[centro_costo]],tblCECO[codigo],tblCECO[coordinador],"(sin catálogo)"))</f>
        <v/>
      </c>
      <c r="Y26" s="3">
        <f>IF(tblOrdenes[[#This Row],[puesto_trabajo]]="","",_xlfn.XLOOKUP(tblOrdenes[[#This Row],[puesto_trabajo]],tblPuestos[codigo],tblPuestos[especialidad],"(sin catálogo)"))</f>
        <v/>
      </c>
      <c r="Z26" s="3">
        <f>IF(tblOrdenes[[#This Row],[cod_actividad]]="","",_xlfn.XLOOKUP(tblOrdenes[[#This Row],[cod_actividad]],tblActividades[codigo],tblActividades[descripcion],"(sin catálogo)"))</f>
        <v/>
      </c>
      <c r="AA26" s="12">
        <f>IF(tblOrdenes[[#This Row],[fecha_inicio]]="","",TODAY()-tblOrdenes[[#This Row],[fecha_inicio]])</f>
        <v/>
      </c>
      <c r="AB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3">
        <f>IF(tblOrdenes[[#This Row],[backlog_habiles]]="","",IF(tblOrdenes[[#This Row],[backlog_habiles]]&lt;0,"FUTURO",IF(tblOrdenes[[#This Row],[backlog_habiles]]&gt;p_dias_backlog_max,"BACKLOG","MES CORRIENTE")))</f>
        <v/>
      </c>
      <c r="AD26" s="3">
        <f>IF(tblOrdenes[[#This Row],[backlog_habiles]]="",FALSE,AND(tblOrdenes[[#This Row],[backlog_habiles]]&gt;p_dias_backlog_min,tblOrdenes[[#This Row],[backlog_habiles]]&lt;=p_dias_backlog_max))</f>
        <v/>
      </c>
      <c r="AE26" s="6" t="inlineStr">
        <is>
          <t>Técnico 03</t>
        </is>
      </c>
      <c r="AF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0">
        <f>IF(tblOrdenes[[#This Row],[orden]]="","",_xlfn.XLOOKUP(tblOrdenes[[#This Row],[id_operacion]],tblEjecucion[id_operacion],tblEjecucion[precio],0))</f>
        <v/>
      </c>
      <c r="AJ26" s="10">
        <f>IF(tblOrdenes[[#This Row],[orden]]="","",MAX(0,_xlfn.XLOOKUP(tblOrdenes[[#This Row],[id_operacion]],tblEjecucion[id_operacion],tblEjecucion[costo_plan_total],0)-tblOrdenes[[#This Row],[costo_servicio]]))</f>
        <v/>
      </c>
      <c r="AK26" s="10">
        <f>IF(tblOrdenes[[#This Row],[orden]]="","",tblOrdenes[[#This Row],[costo_servicio]]+tblOrdenes[[#This Row],[costo_materiales]])</f>
        <v/>
      </c>
      <c r="AL26" s="6" t="inlineStr"/>
      <c r="AM26" s="6" t="inlineStr"/>
      <c r="AN26" s="6" t="inlineStr"/>
      <c r="AO26" s="3">
        <f>IF(tblOrdenes[[#This Row],[link_checklist]]="","",HYPERLINK(p_ruta_base_checklists&amp;tblOrdenes[[#This Row],[link_checklist]],"abrir"))</f>
        <v/>
      </c>
      <c r="AP26" s="6" t="inlineStr"/>
      <c r="AQ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3">
        <f>IF(tblOrdenes[[#This Row],[tipo_ot]]="","",_xlfn.XLOOKUP(tblOrdenes[[#This Row],[tipo_ot]],tblTiposOT[codigo],tblTiposOT[clasificacion],"sin_clasificar"))</f>
        <v/>
      </c>
      <c r="U27" s="3">
        <f>IF(tblOrdenes[[#This Row],[centro_costo]]="","",_xlfn.XLOOKUP(tblOrdenes[[#This Row],[centro_costo]],tblCECO[codigo],tblCECO[linea],"(sin catálogo)"))</f>
        <v/>
      </c>
      <c r="V27" s="3">
        <f>IF(tblOrdenes[[#This Row],[centro_costo]]="","",_xlfn.XLOOKUP(tblOrdenes[[#This Row],[centro_costo]],tblCECO[codigo],tblCECO[area],"(sin catálogo)"))</f>
        <v/>
      </c>
      <c r="W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3">
        <f>IF(tblOrdenes[[#This Row],[centro_costo]]="","",_xlfn.XLOOKUP(tblOrdenes[[#This Row],[centro_costo]],tblCECO[codigo],tblCECO[coordinador],"(sin catálogo)"))</f>
        <v/>
      </c>
      <c r="Y27" s="3">
        <f>IF(tblOrdenes[[#This Row],[puesto_trabajo]]="","",_xlfn.XLOOKUP(tblOrdenes[[#This Row],[puesto_trabajo]],tblPuestos[codigo],tblPuestos[especialidad],"(sin catálogo)"))</f>
        <v/>
      </c>
      <c r="Z27" s="3">
        <f>IF(tblOrdenes[[#This Row],[cod_actividad]]="","",_xlfn.XLOOKUP(tblOrdenes[[#This Row],[cod_actividad]],tblActividades[codigo],tblActividades[descripcion],"(sin catálogo)"))</f>
        <v/>
      </c>
      <c r="AA27" s="12">
        <f>IF(tblOrdenes[[#This Row],[fecha_inicio]]="","",TODAY()-tblOrdenes[[#This Row],[fecha_inicio]])</f>
        <v/>
      </c>
      <c r="AB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3">
        <f>IF(tblOrdenes[[#This Row],[backlog_habiles]]="","",IF(tblOrdenes[[#This Row],[backlog_habiles]]&lt;0,"FUTURO",IF(tblOrdenes[[#This Row],[backlog_habiles]]&gt;p_dias_backlog_max,"BACKLOG","MES CORRIENTE")))</f>
        <v/>
      </c>
      <c r="AD27" s="3">
        <f>IF(tblOrdenes[[#This Row],[backlog_habiles]]="",FALSE,AND(tblOrdenes[[#This Row],[backlog_habiles]]&gt;p_dias_backlog_min,tblOrdenes[[#This Row],[backlog_habiles]]&lt;=p_dias_backlog_max))</f>
        <v/>
      </c>
      <c r="AE27" s="6" t="inlineStr"/>
      <c r="AF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0">
        <f>IF(tblOrdenes[[#This Row],[orden]]="","",_xlfn.XLOOKUP(tblOrdenes[[#This Row],[id_operacion]],tblEjecucion[id_operacion],tblEjecucion[precio],0))</f>
        <v/>
      </c>
      <c r="AJ27" s="10">
        <f>IF(tblOrdenes[[#This Row],[orden]]="","",MAX(0,_xlfn.XLOOKUP(tblOrdenes[[#This Row],[id_operacion]],tblEjecucion[id_operacion],tblEjecucion[costo_plan_total],0)-tblOrdenes[[#This Row],[costo_servicio]]))</f>
        <v/>
      </c>
      <c r="AK27" s="10">
        <f>IF(tblOrdenes[[#This Row],[orden]]="","",tblOrdenes[[#This Row],[costo_servicio]]+tblOrdenes[[#This Row],[costo_materiales]])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IF(tblOrdenes[[#This Row],[link_checklist]]="","",HYPERLINK(p_ruta_base_checklists&amp;tblOrdenes[[#This Row],[link_checklist]],"abrir"))</f>
        <v/>
      </c>
      <c r="AP27" s="6" t="inlineStr"/>
      <c r="AQ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3">
        <f>IF(tblOrdenes[[#This Row],[tipo_ot]]="","",_xlfn.XLOOKUP(tblOrdenes[[#This Row],[tipo_ot]],tblTiposOT[codigo],tblTiposOT[clasificacion],"sin_clasificar"))</f>
        <v/>
      </c>
      <c r="U28" s="3">
        <f>IF(tblOrdenes[[#This Row],[centro_costo]]="","",_xlfn.XLOOKUP(tblOrdenes[[#This Row],[centro_costo]],tblCECO[codigo],tblCECO[linea],"(sin catálogo)"))</f>
        <v/>
      </c>
      <c r="V28" s="3">
        <f>IF(tblOrdenes[[#This Row],[centro_costo]]="","",_xlfn.XLOOKUP(tblOrdenes[[#This Row],[centro_costo]],tblCECO[codigo],tblCECO[area],"(sin catálogo)"))</f>
        <v/>
      </c>
      <c r="W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3">
        <f>IF(tblOrdenes[[#This Row],[centro_costo]]="","",_xlfn.XLOOKUP(tblOrdenes[[#This Row],[centro_costo]],tblCECO[codigo],tblCECO[coordinador],"(sin catálogo)"))</f>
        <v/>
      </c>
      <c r="Y28" s="3">
        <f>IF(tblOrdenes[[#This Row],[puesto_trabajo]]="","",_xlfn.XLOOKUP(tblOrdenes[[#This Row],[puesto_trabajo]],tblPuestos[codigo],tblPuestos[especialidad],"(sin catálogo)"))</f>
        <v/>
      </c>
      <c r="Z28" s="3">
        <f>IF(tblOrdenes[[#This Row],[cod_actividad]]="","",_xlfn.XLOOKUP(tblOrdenes[[#This Row],[cod_actividad]],tblActividades[codigo],tblActividades[descripcion],"(sin catálogo)"))</f>
        <v/>
      </c>
      <c r="AA28" s="12">
        <f>IF(tblOrdenes[[#This Row],[fecha_inicio]]="","",TODAY()-tblOrdenes[[#This Row],[fecha_inicio]])</f>
        <v/>
      </c>
      <c r="AB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3">
        <f>IF(tblOrdenes[[#This Row],[backlog_habiles]]="","",IF(tblOrdenes[[#This Row],[backlog_habiles]]&lt;0,"FUTURO",IF(tblOrdenes[[#This Row],[backlog_habiles]]&gt;p_dias_backlog_max,"BACKLOG","MES CORRIENTE")))</f>
        <v/>
      </c>
      <c r="AD28" s="3">
        <f>IF(tblOrdenes[[#This Row],[backlog_habiles]]="",FALSE,AND(tblOrdenes[[#This Row],[backlog_habiles]]&gt;p_dias_backlog_min,tblOrdenes[[#This Row],[backlog_habiles]]&lt;=p_dias_backlog_max))</f>
        <v/>
      </c>
      <c r="AE28" s="6" t="inlineStr">
        <is>
          <t>Técnico 01</t>
        </is>
      </c>
      <c r="AF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0">
        <f>IF(tblOrdenes[[#This Row],[orden]]="","",_xlfn.XLOOKUP(tblOrdenes[[#This Row],[id_operacion]],tblEjecucion[id_operacion],tblEjecucion[precio],0))</f>
        <v/>
      </c>
      <c r="AJ28" s="10">
        <f>IF(tblOrdenes[[#This Row],[orden]]="","",MAX(0,_xlfn.XLOOKUP(tblOrdenes[[#This Row],[id_operacion]],tblEjecucion[id_operacion],tblEjecucion[costo_plan_total],0)-tblOrdenes[[#This Row],[costo_servicio]]))</f>
        <v/>
      </c>
      <c r="AK28" s="10">
        <f>IF(tblOrdenes[[#This Row],[orden]]="","",tblOrdenes[[#This Row],[costo_servicio]]+tblOrdenes[[#This Row],[costo_materiales]])</f>
        <v/>
      </c>
      <c r="AL28" s="6" t="inlineStr"/>
      <c r="AM28" s="6" t="inlineStr"/>
      <c r="AN28" s="6" t="inlineStr"/>
      <c r="AO28" s="3">
        <f>IF(tblOrdenes[[#This Row],[link_checklist]]="","",HYPERLINK(p_ruta_base_checklists&amp;tblOrdenes[[#This Row],[link_checklist]],"abrir"))</f>
        <v/>
      </c>
      <c r="AP28" s="6" t="inlineStr"/>
      <c r="AQ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3">
        <f>IF(tblOrdenes[[#This Row],[tipo_ot]]="","",_xlfn.XLOOKUP(tblOrdenes[[#This Row],[tipo_ot]],tblTiposOT[codigo],tblTiposOT[clasificacion],"sin_clasificar"))</f>
        <v/>
      </c>
      <c r="U29" s="3">
        <f>IF(tblOrdenes[[#This Row],[centro_costo]]="","",_xlfn.XLOOKUP(tblOrdenes[[#This Row],[centro_costo]],tblCECO[codigo],tblCECO[linea],"(sin catálogo)"))</f>
        <v/>
      </c>
      <c r="V29" s="3">
        <f>IF(tblOrdenes[[#This Row],[centro_costo]]="","",_xlfn.XLOOKUP(tblOrdenes[[#This Row],[centro_costo]],tblCECO[codigo],tblCECO[area],"(sin catálogo)"))</f>
        <v/>
      </c>
      <c r="W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3">
        <f>IF(tblOrdenes[[#This Row],[centro_costo]]="","",_xlfn.XLOOKUP(tblOrdenes[[#This Row],[centro_costo]],tblCECO[codigo],tblCECO[coordinador],"(sin catálogo)"))</f>
        <v/>
      </c>
      <c r="Y29" s="3">
        <f>IF(tblOrdenes[[#This Row],[puesto_trabajo]]="","",_xlfn.XLOOKUP(tblOrdenes[[#This Row],[puesto_trabajo]],tblPuestos[codigo],tblPuestos[especialidad],"(sin catálogo)"))</f>
        <v/>
      </c>
      <c r="Z29" s="3">
        <f>IF(tblOrdenes[[#This Row],[cod_actividad]]="","",_xlfn.XLOOKUP(tblOrdenes[[#This Row],[cod_actividad]],tblActividades[codigo],tblActividades[descripcion],"(sin catálogo)"))</f>
        <v/>
      </c>
      <c r="AA29" s="12">
        <f>IF(tblOrdenes[[#This Row],[fecha_inicio]]="","",TODAY()-tblOrdenes[[#This Row],[fecha_inicio]])</f>
        <v/>
      </c>
      <c r="AB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3">
        <f>IF(tblOrdenes[[#This Row],[backlog_habiles]]="","",IF(tblOrdenes[[#This Row],[backlog_habiles]]&lt;0,"FUTURO",IF(tblOrdenes[[#This Row],[backlog_habiles]]&gt;p_dias_backlog_max,"BACKLOG","MES CORRIENTE")))</f>
        <v/>
      </c>
      <c r="AD29" s="3">
        <f>IF(tblOrdenes[[#This Row],[backlog_habiles]]="",FALSE,AND(tblOrdenes[[#This Row],[backlog_habiles]]&gt;p_dias_backlog_min,tblOrdenes[[#This Row],[backlog_habiles]]&lt;=p_dias_backlog_max))</f>
        <v/>
      </c>
      <c r="AE29" s="6" t="inlineStr">
        <is>
          <t>Técnico 04</t>
        </is>
      </c>
      <c r="AF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0">
        <f>IF(tblOrdenes[[#This Row],[orden]]="","",_xlfn.XLOOKUP(tblOrdenes[[#This Row],[id_operacion]],tblEjecucion[id_operacion],tblEjecucion[precio],0))</f>
        <v/>
      </c>
      <c r="AJ29" s="10">
        <f>IF(tblOrdenes[[#This Row],[orden]]="","",MAX(0,_xlfn.XLOOKUP(tblOrdenes[[#This Row],[id_operacion]],tblEjecucion[id_operacion],tblEjecucion[costo_plan_total],0)-tblOrdenes[[#This Row],[costo_servicio]]))</f>
        <v/>
      </c>
      <c r="AK29" s="10">
        <f>IF(tblOrdenes[[#This Row],[orden]]="","",tblOrdenes[[#This Row],[costo_servicio]]+tblOrdenes[[#This Row],[costo_materiales]])</f>
        <v/>
      </c>
      <c r="AL29" s="6" t="inlineStr"/>
      <c r="AM29" s="6" t="inlineStr"/>
      <c r="AN29" s="6" t="inlineStr">
        <is>
          <t>ACT-04.pdf</t>
        </is>
      </c>
      <c r="AO29" s="3">
        <f>IF(tblOrdenes[[#This Row],[link_checklist]]="","",HYPERLINK(p_ruta_base_checklists&amp;tblOrdenes[[#This Row],[link_checklist]],"abrir"))</f>
        <v/>
      </c>
      <c r="AP29" s="6" t="inlineStr">
        <is>
          <t>Demo: asignada a técnico de vacaciones (HHD = −HHA)</t>
        </is>
      </c>
      <c r="AQ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3">
        <f>IF(tblOrdenes[[#This Row],[tipo_ot]]="","",_xlfn.XLOOKUP(tblOrdenes[[#This Row],[tipo_ot]],tblTiposOT[codigo],tblTiposOT[clasificacion],"sin_clasificar"))</f>
        <v/>
      </c>
      <c r="U30" s="3">
        <f>IF(tblOrdenes[[#This Row],[centro_costo]]="","",_xlfn.XLOOKUP(tblOrdenes[[#This Row],[centro_costo]],tblCECO[codigo],tblCECO[linea],"(sin catálogo)"))</f>
        <v/>
      </c>
      <c r="V30" s="3">
        <f>IF(tblOrdenes[[#This Row],[centro_costo]]="","",_xlfn.XLOOKUP(tblOrdenes[[#This Row],[centro_costo]],tblCECO[codigo],tblCECO[area],"(sin catálogo)"))</f>
        <v/>
      </c>
      <c r="W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3">
        <f>IF(tblOrdenes[[#This Row],[centro_costo]]="","",_xlfn.XLOOKUP(tblOrdenes[[#This Row],[centro_costo]],tblCECO[codigo],tblCECO[coordinador],"(sin catálogo)"))</f>
        <v/>
      </c>
      <c r="Y30" s="3">
        <f>IF(tblOrdenes[[#This Row],[puesto_trabajo]]="","",_xlfn.XLOOKUP(tblOrdenes[[#This Row],[puesto_trabajo]],tblPuestos[codigo],tblPuestos[especialidad],"(sin catálogo)"))</f>
        <v/>
      </c>
      <c r="Z30" s="3">
        <f>IF(tblOrdenes[[#This Row],[cod_actividad]]="","",_xlfn.XLOOKUP(tblOrdenes[[#This Row],[cod_actividad]],tblActividades[codigo],tblActividades[descripcion],"(sin catálogo)"))</f>
        <v/>
      </c>
      <c r="AA30" s="12">
        <f>IF(tblOrdenes[[#This Row],[fecha_inicio]]="","",TODAY()-tblOrdenes[[#This Row],[fecha_inicio]])</f>
        <v/>
      </c>
      <c r="AB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3">
        <f>IF(tblOrdenes[[#This Row],[backlog_habiles]]="","",IF(tblOrdenes[[#This Row],[backlog_habiles]]&lt;0,"FUTURO",IF(tblOrdenes[[#This Row],[backlog_habiles]]&gt;p_dias_backlog_max,"BACKLOG","MES CORRIENTE")))</f>
        <v/>
      </c>
      <c r="AD30" s="3">
        <f>IF(tblOrdenes[[#This Row],[backlog_habiles]]="",FALSE,AND(tblOrdenes[[#This Row],[backlog_habiles]]&gt;p_dias_backlog_min,tblOrdenes[[#This Row],[backlog_habiles]]&lt;=p_dias_backlog_max))</f>
        <v/>
      </c>
      <c r="AE30" s="6" t="inlineStr">
        <is>
          <t>Técnico 03</t>
        </is>
      </c>
      <c r="AF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0">
        <f>IF(tblOrdenes[[#This Row],[orden]]="","",_xlfn.XLOOKUP(tblOrdenes[[#This Row],[id_operacion]],tblEjecucion[id_operacion],tblEjecucion[precio],0))</f>
        <v/>
      </c>
      <c r="AJ30" s="10">
        <f>IF(tblOrdenes[[#This Row],[orden]]="","",MAX(0,_xlfn.XLOOKUP(tblOrdenes[[#This Row],[id_operacion]],tblEjecucion[id_operacion],tblEjecucion[costo_plan_total],0)-tblOrdenes[[#This Row],[costo_servicio]]))</f>
        <v/>
      </c>
      <c r="AK30" s="10">
        <f>IF(tblOrdenes[[#This Row],[orden]]="","",tblOrdenes[[#This Row],[costo_servicio]]+tblOrdenes[[#This Row],[costo_materiales]])</f>
        <v/>
      </c>
      <c r="AL30" s="6" t="inlineStr"/>
      <c r="AM30" s="6" t="inlineStr"/>
      <c r="AN30" s="6" t="inlineStr">
        <is>
          <t>ACT-01.pdf</t>
        </is>
      </c>
      <c r="AO30" s="3">
        <f>IF(tblOrdenes[[#This Row],[link_checklist]]="","",HYPERLINK(p_ruta_base_checklists&amp;tblOrdenes[[#This Row],[link_checklist]],"abrir"))</f>
        <v/>
      </c>
      <c r="AP30" s="6" t="inlineStr"/>
      <c r="AQ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3">
        <f>IF(tblOrdenes[[#This Row],[tipo_ot]]="","",_xlfn.XLOOKUP(tblOrdenes[[#This Row],[tipo_ot]],tblTiposOT[codigo],tblTiposOT[clasificacion],"sin_clasificar"))</f>
        <v/>
      </c>
      <c r="U31" s="3">
        <f>IF(tblOrdenes[[#This Row],[centro_costo]]="","",_xlfn.XLOOKUP(tblOrdenes[[#This Row],[centro_costo]],tblCECO[codigo],tblCECO[linea],"(sin catálogo)"))</f>
        <v/>
      </c>
      <c r="V31" s="3">
        <f>IF(tblOrdenes[[#This Row],[centro_costo]]="","",_xlfn.XLOOKUP(tblOrdenes[[#This Row],[centro_costo]],tblCECO[codigo],tblCECO[area],"(sin catálogo)"))</f>
        <v/>
      </c>
      <c r="W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3">
        <f>IF(tblOrdenes[[#This Row],[centro_costo]]="","",_xlfn.XLOOKUP(tblOrdenes[[#This Row],[centro_costo]],tblCECO[codigo],tblCECO[coordinador],"(sin catálogo)"))</f>
        <v/>
      </c>
      <c r="Y31" s="3">
        <f>IF(tblOrdenes[[#This Row],[puesto_trabajo]]="","",_xlfn.XLOOKUP(tblOrdenes[[#This Row],[puesto_trabajo]],tblPuestos[codigo],tblPuestos[especialidad],"(sin catálogo)"))</f>
        <v/>
      </c>
      <c r="Z31" s="3">
        <f>IF(tblOrdenes[[#This Row],[cod_actividad]]="","",_xlfn.XLOOKUP(tblOrdenes[[#This Row],[cod_actividad]],tblActividades[codigo],tblActividades[descripcion],"(sin catálogo)"))</f>
        <v/>
      </c>
      <c r="AA31" s="12">
        <f>IF(tblOrdenes[[#This Row],[fecha_inicio]]="","",TODAY()-tblOrdenes[[#This Row],[fecha_inicio]])</f>
        <v/>
      </c>
      <c r="AB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3">
        <f>IF(tblOrdenes[[#This Row],[backlog_habiles]]="","",IF(tblOrdenes[[#This Row],[backlog_habiles]]&lt;0,"FUTURO",IF(tblOrdenes[[#This Row],[backlog_habiles]]&gt;p_dias_backlog_max,"BACKLOG","MES CORRIENTE")))</f>
        <v/>
      </c>
      <c r="AD31" s="3">
        <f>IF(tblOrdenes[[#This Row],[backlog_habiles]]="",FALSE,AND(tblOrdenes[[#This Row],[backlog_habiles]]&gt;p_dias_backlog_min,tblOrdenes[[#This Row],[backlog_habiles]]&lt;=p_dias_backlog_max))</f>
        <v/>
      </c>
      <c r="AE31" s="6" t="inlineStr">
        <is>
          <t>Técnico 01</t>
        </is>
      </c>
      <c r="AF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0">
        <f>IF(tblOrdenes[[#This Row],[orden]]="","",_xlfn.XLOOKUP(tblOrdenes[[#This Row],[id_operacion]],tblEjecucion[id_operacion],tblEjecucion[precio],0))</f>
        <v/>
      </c>
      <c r="AJ31" s="10">
        <f>IF(tblOrdenes[[#This Row],[orden]]="","",MAX(0,_xlfn.XLOOKUP(tblOrdenes[[#This Row],[id_operacion]],tblEjecucion[id_operacion],tblEjecucion[costo_plan_total],0)-tblOrdenes[[#This Row],[costo_servicio]]))</f>
        <v/>
      </c>
      <c r="AK31" s="10">
        <f>IF(tblOrdenes[[#This Row],[orden]]="","",tblOrdenes[[#This Row],[costo_servicio]]+tblOrdenes[[#This Row],[costo_materiales]])</f>
        <v/>
      </c>
      <c r="AL31" s="6" t="inlineStr"/>
      <c r="AM31" s="6" t="inlineStr"/>
      <c r="AN31" s="6" t="inlineStr">
        <is>
          <t>ACT-02.pdf</t>
        </is>
      </c>
      <c r="AO31" s="3">
        <f>IF(tblOrdenes[[#This Row],[link_checklist]]="","",HYPERLINK(p_ruta_base_checklists&amp;tblOrdenes[[#This Row],[link_checklist]],"abrir"))</f>
        <v/>
      </c>
      <c r="AP31" s="6" t="inlineStr"/>
      <c r="AQ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3">
        <f>IF(tblOrdenes[[#This Row],[tipo_ot]]="","",_xlfn.XLOOKUP(tblOrdenes[[#This Row],[tipo_ot]],tblTiposOT[codigo],tblTiposOT[clasificacion],"sin_clasificar"))</f>
        <v/>
      </c>
      <c r="U32" s="3">
        <f>IF(tblOrdenes[[#This Row],[centro_costo]]="","",_xlfn.XLOOKUP(tblOrdenes[[#This Row],[centro_costo]],tblCECO[codigo],tblCECO[linea],"(sin catálogo)"))</f>
        <v/>
      </c>
      <c r="V32" s="3">
        <f>IF(tblOrdenes[[#This Row],[centro_costo]]="","",_xlfn.XLOOKUP(tblOrdenes[[#This Row],[centro_costo]],tblCECO[codigo],tblCECO[area],"(sin catálogo)"))</f>
        <v/>
      </c>
      <c r="W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3">
        <f>IF(tblOrdenes[[#This Row],[centro_costo]]="","",_xlfn.XLOOKUP(tblOrdenes[[#This Row],[centro_costo]],tblCECO[codigo],tblCECO[coordinador],"(sin catálogo)"))</f>
        <v/>
      </c>
      <c r="Y32" s="3">
        <f>IF(tblOrdenes[[#This Row],[puesto_trabajo]]="","",_xlfn.XLOOKUP(tblOrdenes[[#This Row],[puesto_trabajo]],tblPuestos[codigo],tblPuestos[especialidad],"(sin catálogo)"))</f>
        <v/>
      </c>
      <c r="Z32" s="3">
        <f>IF(tblOrdenes[[#This Row],[cod_actividad]]="","",_xlfn.XLOOKUP(tblOrdenes[[#This Row],[cod_actividad]],tblActividades[codigo],tblActividades[descripcion],"(sin catálogo)"))</f>
        <v/>
      </c>
      <c r="AA32" s="12">
        <f>IF(tblOrdenes[[#This Row],[fecha_inicio]]="","",TODAY()-tblOrdenes[[#This Row],[fecha_inicio]])</f>
        <v/>
      </c>
      <c r="AB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3">
        <f>IF(tblOrdenes[[#This Row],[backlog_habiles]]="","",IF(tblOrdenes[[#This Row],[backlog_habiles]]&lt;0,"FUTURO",IF(tblOrdenes[[#This Row],[backlog_habiles]]&gt;p_dias_backlog_max,"BACKLOG","MES CORRIENTE")))</f>
        <v/>
      </c>
      <c r="AD32" s="3">
        <f>IF(tblOrdenes[[#This Row],[backlog_habiles]]="",FALSE,AND(tblOrdenes[[#This Row],[backlog_habiles]]&gt;p_dias_backlog_min,tblOrdenes[[#This Row],[backlog_habiles]]&lt;=p_dias_backlog_max))</f>
        <v/>
      </c>
      <c r="AE32" s="6" t="inlineStr">
        <is>
          <t>Técnico 02</t>
        </is>
      </c>
      <c r="AF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0">
        <f>IF(tblOrdenes[[#This Row],[orden]]="","",_xlfn.XLOOKUP(tblOrdenes[[#This Row],[id_operacion]],tblEjecucion[id_operacion],tblEjecucion[precio],0))</f>
        <v/>
      </c>
      <c r="AJ32" s="10">
        <f>IF(tblOrdenes[[#This Row],[orden]]="","",MAX(0,_xlfn.XLOOKUP(tblOrdenes[[#This Row],[id_operacion]],tblEjecucion[id_operacion],tblEjecucion[costo_plan_total],0)-tblOrdenes[[#This Row],[costo_servicio]]))</f>
        <v/>
      </c>
      <c r="AK32" s="10">
        <f>IF(tblOrdenes[[#This Row],[orden]]="","",tblOrdenes[[#This Row],[costo_servicio]]+tblOrdenes[[#This Row],[costo_materiales]])</f>
        <v/>
      </c>
      <c r="AL32" s="6" t="inlineStr"/>
      <c r="AM32" s="6" t="inlineStr"/>
      <c r="AN32" s="6" t="inlineStr">
        <is>
          <t>ACT-04.pdf</t>
        </is>
      </c>
      <c r="AO32" s="3">
        <f>IF(tblOrdenes[[#This Row],[link_checklist]]="","",HYPERLINK(p_ruta_base_checklists&amp;tblOrdenes[[#This Row],[link_checklist]],"abrir"))</f>
        <v/>
      </c>
      <c r="AP32" s="6" t="inlineStr"/>
      <c r="AQ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3">
        <f>IF(tblOrdenes[[#This Row],[tipo_ot]]="","",_xlfn.XLOOKUP(tblOrdenes[[#This Row],[tipo_ot]],tblTiposOT[codigo],tblTiposOT[clasificacion],"sin_clasificar"))</f>
        <v/>
      </c>
      <c r="U33" s="3">
        <f>IF(tblOrdenes[[#This Row],[centro_costo]]="","",_xlfn.XLOOKUP(tblOrdenes[[#This Row],[centro_costo]],tblCECO[codigo],tblCECO[linea],"(sin catálogo)"))</f>
        <v/>
      </c>
      <c r="V33" s="3">
        <f>IF(tblOrdenes[[#This Row],[centro_costo]]="","",_xlfn.XLOOKUP(tblOrdenes[[#This Row],[centro_costo]],tblCECO[codigo],tblCECO[area],"(sin catálogo)"))</f>
        <v/>
      </c>
      <c r="W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3">
        <f>IF(tblOrdenes[[#This Row],[centro_costo]]="","",_xlfn.XLOOKUP(tblOrdenes[[#This Row],[centro_costo]],tblCECO[codigo],tblCECO[coordinador],"(sin catálogo)"))</f>
        <v/>
      </c>
      <c r="Y33" s="3">
        <f>IF(tblOrdenes[[#This Row],[puesto_trabajo]]="","",_xlfn.XLOOKUP(tblOrdenes[[#This Row],[puesto_trabajo]],tblPuestos[codigo],tblPuestos[especialidad],"(sin catálogo)"))</f>
        <v/>
      </c>
      <c r="Z33" s="3">
        <f>IF(tblOrdenes[[#This Row],[cod_actividad]]="","",_xlfn.XLOOKUP(tblOrdenes[[#This Row],[cod_actividad]],tblActividades[codigo],tblActividades[descripcion],"(sin catálogo)"))</f>
        <v/>
      </c>
      <c r="AA33" s="12">
        <f>IF(tblOrdenes[[#This Row],[fecha_inicio]]="","",TODAY()-tblOrdenes[[#This Row],[fecha_inicio]])</f>
        <v/>
      </c>
      <c r="AB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3">
        <f>IF(tblOrdenes[[#This Row],[backlog_habiles]]="","",IF(tblOrdenes[[#This Row],[backlog_habiles]]&lt;0,"FUTURO",IF(tblOrdenes[[#This Row],[backlog_habiles]]&gt;p_dias_backlog_max,"BACKLOG","MES CORRIENTE")))</f>
        <v/>
      </c>
      <c r="AD33" s="3">
        <f>IF(tblOrdenes[[#This Row],[backlog_habiles]]="",FALSE,AND(tblOrdenes[[#This Row],[backlog_habiles]]&gt;p_dias_backlog_min,tblOrdenes[[#This Row],[backlog_habiles]]&lt;=p_dias_backlog_max))</f>
        <v/>
      </c>
      <c r="AE33" s="6" t="inlineStr">
        <is>
          <t>Técnico 03</t>
        </is>
      </c>
      <c r="AF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0">
        <f>IF(tblOrdenes[[#This Row],[orden]]="","",_xlfn.XLOOKUP(tblOrdenes[[#This Row],[id_operacion]],tblEjecucion[id_operacion],tblEjecucion[precio],0))</f>
        <v/>
      </c>
      <c r="AJ33" s="10">
        <f>IF(tblOrdenes[[#This Row],[orden]]="","",MAX(0,_xlfn.XLOOKUP(tblOrdenes[[#This Row],[id_operacion]],tblEjecucion[id_operacion],tblEjecucion[costo_plan_total],0)-tblOrdenes[[#This Row],[costo_servicio]]))</f>
        <v/>
      </c>
      <c r="AK33" s="10">
        <f>IF(tblOrdenes[[#This Row],[orden]]="","",tblOrdenes[[#This Row],[costo_servicio]]+tblOrdenes[[#This Row],[costo_materiales]])</f>
        <v/>
      </c>
      <c r="AL33" s="6" t="inlineStr"/>
      <c r="AM33" s="6" t="inlineStr"/>
      <c r="AN33" s="6" t="inlineStr">
        <is>
          <t>ACT-01.pdf</t>
        </is>
      </c>
      <c r="AO33" s="3">
        <f>IF(tblOrdenes[[#This Row],[link_checklist]]="","",HYPERLINK(p_ruta_base_checklists&amp;tblOrdenes[[#This Row],[link_checklist]],"abrir"))</f>
        <v/>
      </c>
      <c r="AP33" s="6" t="inlineStr"/>
      <c r="AQ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3">
        <f>IF(tblOrdenes[[#This Row],[tipo_ot]]="","",_xlfn.XLOOKUP(tblOrdenes[[#This Row],[tipo_ot]],tblTiposOT[codigo],tblTiposOT[clasificacion],"sin_clasificar"))</f>
        <v/>
      </c>
      <c r="U34" s="3">
        <f>IF(tblOrdenes[[#This Row],[centro_costo]]="","",_xlfn.XLOOKUP(tblOrdenes[[#This Row],[centro_costo]],tblCECO[codigo],tblCECO[linea],"(sin catálogo)"))</f>
        <v/>
      </c>
      <c r="V34" s="3">
        <f>IF(tblOrdenes[[#This Row],[centro_costo]]="","",_xlfn.XLOOKUP(tblOrdenes[[#This Row],[centro_costo]],tblCECO[codigo],tblCECO[area],"(sin catálogo)"))</f>
        <v/>
      </c>
      <c r="W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3">
        <f>IF(tblOrdenes[[#This Row],[centro_costo]]="","",_xlfn.XLOOKUP(tblOrdenes[[#This Row],[centro_costo]],tblCECO[codigo],tblCECO[coordinador],"(sin catálogo)"))</f>
        <v/>
      </c>
      <c r="Y34" s="3">
        <f>IF(tblOrdenes[[#This Row],[puesto_trabajo]]="","",_xlfn.XLOOKUP(tblOrdenes[[#This Row],[puesto_trabajo]],tblPuestos[codigo],tblPuestos[especialidad],"(sin catálogo)"))</f>
        <v/>
      </c>
      <c r="Z34" s="3">
        <f>IF(tblOrdenes[[#This Row],[cod_actividad]]="","",_xlfn.XLOOKUP(tblOrdenes[[#This Row],[cod_actividad]],tblActividades[codigo],tblActividades[descripcion],"(sin catálogo)"))</f>
        <v/>
      </c>
      <c r="AA34" s="12">
        <f>IF(tblOrdenes[[#This Row],[fecha_inicio]]="","",TODAY()-tblOrdenes[[#This Row],[fecha_inicio]])</f>
        <v/>
      </c>
      <c r="AB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3">
        <f>IF(tblOrdenes[[#This Row],[backlog_habiles]]="","",IF(tblOrdenes[[#This Row],[backlog_habiles]]&lt;0,"FUTURO",IF(tblOrdenes[[#This Row],[backlog_habiles]]&gt;p_dias_backlog_max,"BACKLOG","MES CORRIENTE")))</f>
        <v/>
      </c>
      <c r="AD34" s="3">
        <f>IF(tblOrdenes[[#This Row],[backlog_habiles]]="",FALSE,AND(tblOrdenes[[#This Row],[backlog_habiles]]&gt;p_dias_backlog_min,tblOrdenes[[#This Row],[backlog_habiles]]&lt;=p_dias_backlog_max))</f>
        <v/>
      </c>
      <c r="AE34" s="6" t="inlineStr">
        <is>
          <t>Técnico 01</t>
        </is>
      </c>
      <c r="AF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0">
        <f>IF(tblOrdenes[[#This Row],[orden]]="","",_xlfn.XLOOKUP(tblOrdenes[[#This Row],[id_operacion]],tblEjecucion[id_operacion],tblEjecucion[precio],0))</f>
        <v/>
      </c>
      <c r="AJ34" s="10">
        <f>IF(tblOrdenes[[#This Row],[orden]]="","",MAX(0,_xlfn.XLOOKUP(tblOrdenes[[#This Row],[id_operacion]],tblEjecucion[id_operacion],tblEjecucion[costo_plan_total],0)-tblOrdenes[[#This Row],[costo_servicio]]))</f>
        <v/>
      </c>
      <c r="AK34" s="10">
        <f>IF(tblOrdenes[[#This Row],[orden]]="","",tblOrdenes[[#This Row],[costo_servicio]]+tblOrdenes[[#This Row],[costo_materiales]])</f>
        <v/>
      </c>
      <c r="AL34" s="6" t="inlineStr"/>
      <c r="AM34" s="6" t="inlineStr"/>
      <c r="AN34" s="6" t="inlineStr">
        <is>
          <t>ACT-02.pdf</t>
        </is>
      </c>
      <c r="AO34" s="3">
        <f>IF(tblOrdenes[[#This Row],[link_checklist]]="","",HYPERLINK(p_ruta_base_checklists&amp;tblOrdenes[[#This Row],[link_checklist]],"abrir"))</f>
        <v/>
      </c>
      <c r="AP34" s="6" t="inlineStr"/>
      <c r="AQ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3">
        <f>IF(tblOrdenes[[#This Row],[tipo_ot]]="","",_xlfn.XLOOKUP(tblOrdenes[[#This Row],[tipo_ot]],tblTiposOT[codigo],tblTiposOT[clasificacion],"sin_clasificar"))</f>
        <v/>
      </c>
      <c r="U35" s="3">
        <f>IF(tblOrdenes[[#This Row],[centro_costo]]="","",_xlfn.XLOOKUP(tblOrdenes[[#This Row],[centro_costo]],tblCECO[codigo],tblCECO[linea],"(sin catálogo)"))</f>
        <v/>
      </c>
      <c r="V35" s="3">
        <f>IF(tblOrdenes[[#This Row],[centro_costo]]="","",_xlfn.XLOOKUP(tblOrdenes[[#This Row],[centro_costo]],tblCECO[codigo],tblCECO[area],"(sin catálogo)"))</f>
        <v/>
      </c>
      <c r="W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3">
        <f>IF(tblOrdenes[[#This Row],[centro_costo]]="","",_xlfn.XLOOKUP(tblOrdenes[[#This Row],[centro_costo]],tblCECO[codigo],tblCECO[coordinador],"(sin catálogo)"))</f>
        <v/>
      </c>
      <c r="Y35" s="3">
        <f>IF(tblOrdenes[[#This Row],[puesto_trabajo]]="","",_xlfn.XLOOKUP(tblOrdenes[[#This Row],[puesto_trabajo]],tblPuestos[codigo],tblPuestos[especialidad],"(sin catálogo)"))</f>
        <v/>
      </c>
      <c r="Z35" s="3">
        <f>IF(tblOrdenes[[#This Row],[cod_actividad]]="","",_xlfn.XLOOKUP(tblOrdenes[[#This Row],[cod_actividad]],tblActividades[codigo],tblActividades[descripcion],"(sin catálogo)"))</f>
        <v/>
      </c>
      <c r="AA35" s="12">
        <f>IF(tblOrdenes[[#This Row],[fecha_inicio]]="","",TODAY()-tblOrdenes[[#This Row],[fecha_inicio]])</f>
        <v/>
      </c>
      <c r="AB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3">
        <f>IF(tblOrdenes[[#This Row],[backlog_habiles]]="","",IF(tblOrdenes[[#This Row],[backlog_habiles]]&lt;0,"FUTURO",IF(tblOrdenes[[#This Row],[backlog_habiles]]&gt;p_dias_backlog_max,"BACKLOG","MES CORRIENTE")))</f>
        <v/>
      </c>
      <c r="AD35" s="3">
        <f>IF(tblOrdenes[[#This Row],[backlog_habiles]]="",FALSE,AND(tblOrdenes[[#This Row],[backlog_habiles]]&gt;p_dias_backlog_min,tblOrdenes[[#This Row],[backlog_habiles]]&lt;=p_dias_backlog_max))</f>
        <v/>
      </c>
      <c r="AE35" s="6" t="inlineStr">
        <is>
          <t>Técnico 02</t>
        </is>
      </c>
      <c r="AF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0">
        <f>IF(tblOrdenes[[#This Row],[orden]]="","",_xlfn.XLOOKUP(tblOrdenes[[#This Row],[id_operacion]],tblEjecucion[id_operacion],tblEjecucion[precio],0))</f>
        <v/>
      </c>
      <c r="AJ35" s="10">
        <f>IF(tblOrdenes[[#This Row],[orden]]="","",MAX(0,_xlfn.XLOOKUP(tblOrdenes[[#This Row],[id_operacion]],tblEjecucion[id_operacion],tblEjecucion[costo_plan_total],0)-tblOrdenes[[#This Row],[costo_servicio]]))</f>
        <v/>
      </c>
      <c r="AK35" s="10">
        <f>IF(tblOrdenes[[#This Row],[orden]]="","",tblOrdenes[[#This Row],[costo_servicio]]+tblOrdenes[[#This Row],[costo_materiales]])</f>
        <v/>
      </c>
      <c r="AL35" s="6" t="inlineStr"/>
      <c r="AM35" s="6" t="inlineStr"/>
      <c r="AN35" s="6" t="inlineStr">
        <is>
          <t>ACT-04.pdf</t>
        </is>
      </c>
      <c r="AO35" s="3">
        <f>IF(tblOrdenes[[#This Row],[link_checklist]]="","",HYPERLINK(p_ruta_base_checklists&amp;tblOrdenes[[#This Row],[link_checklist]],"abrir"))</f>
        <v/>
      </c>
      <c r="AP35" s="6" t="inlineStr"/>
      <c r="AQ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3">
        <f>IF(tblOrdenes[[#This Row],[tipo_ot]]="","",_xlfn.XLOOKUP(tblOrdenes[[#This Row],[tipo_ot]],tblTiposOT[codigo],tblTiposOT[clasificacion],"sin_clasificar"))</f>
        <v/>
      </c>
      <c r="U36" s="3">
        <f>IF(tblOrdenes[[#This Row],[centro_costo]]="","",_xlfn.XLOOKUP(tblOrdenes[[#This Row],[centro_costo]],tblCECO[codigo],tblCECO[linea],"(sin catálogo)"))</f>
        <v/>
      </c>
      <c r="V36" s="3">
        <f>IF(tblOrdenes[[#This Row],[centro_costo]]="","",_xlfn.XLOOKUP(tblOrdenes[[#This Row],[centro_costo]],tblCECO[codigo],tblCECO[area],"(sin catálogo)"))</f>
        <v/>
      </c>
      <c r="W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3">
        <f>IF(tblOrdenes[[#This Row],[centro_costo]]="","",_xlfn.XLOOKUP(tblOrdenes[[#This Row],[centro_costo]],tblCECO[codigo],tblCECO[coordinador],"(sin catálogo)"))</f>
        <v/>
      </c>
      <c r="Y36" s="3">
        <f>IF(tblOrdenes[[#This Row],[puesto_trabajo]]="","",_xlfn.XLOOKUP(tblOrdenes[[#This Row],[puesto_trabajo]],tblPuestos[codigo],tblPuestos[especialidad],"(sin catálogo)"))</f>
        <v/>
      </c>
      <c r="Z36" s="3">
        <f>IF(tblOrdenes[[#This Row],[cod_actividad]]="","",_xlfn.XLOOKUP(tblOrdenes[[#This Row],[cod_actividad]],tblActividades[codigo],tblActividades[descripcion],"(sin catálogo)"))</f>
        <v/>
      </c>
      <c r="AA36" s="12">
        <f>IF(tblOrdenes[[#This Row],[fecha_inicio]]="","",TODAY()-tblOrdenes[[#This Row],[fecha_inicio]])</f>
        <v/>
      </c>
      <c r="AB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3">
        <f>IF(tblOrdenes[[#This Row],[backlog_habiles]]="","",IF(tblOrdenes[[#This Row],[backlog_habiles]]&lt;0,"FUTURO",IF(tblOrdenes[[#This Row],[backlog_habiles]]&gt;p_dias_backlog_max,"BACKLOG","MES CORRIENTE")))</f>
        <v/>
      </c>
      <c r="AD36" s="3">
        <f>IF(tblOrdenes[[#This Row],[backlog_habiles]]="",FALSE,AND(tblOrdenes[[#This Row],[backlog_habiles]]&gt;p_dias_backlog_min,tblOrdenes[[#This Row],[backlog_habiles]]&lt;=p_dias_backlog_max))</f>
        <v/>
      </c>
      <c r="AE36" s="6" t="inlineStr">
        <is>
          <t>Técnico 03</t>
        </is>
      </c>
      <c r="AF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0">
        <f>IF(tblOrdenes[[#This Row],[orden]]="","",_xlfn.XLOOKUP(tblOrdenes[[#This Row],[id_operacion]],tblEjecucion[id_operacion],tblEjecucion[precio],0))</f>
        <v/>
      </c>
      <c r="AJ36" s="10">
        <f>IF(tblOrdenes[[#This Row],[orden]]="","",MAX(0,_xlfn.XLOOKUP(tblOrdenes[[#This Row],[id_operacion]],tblEjecucion[id_operacion],tblEjecucion[costo_plan_total],0)-tblOrdenes[[#This Row],[costo_servicio]]))</f>
        <v/>
      </c>
      <c r="AK36" s="10">
        <f>IF(tblOrdenes[[#This Row],[orden]]="","",tblOrdenes[[#This Row],[costo_servicio]]+tblOrdenes[[#This Row],[costo_materiales]])</f>
        <v/>
      </c>
      <c r="AL36" s="6" t="inlineStr"/>
      <c r="AM36" s="6" t="inlineStr"/>
      <c r="AN36" s="6" t="inlineStr">
        <is>
          <t>ACT-01.pdf</t>
        </is>
      </c>
      <c r="AO36" s="3">
        <f>IF(tblOrdenes[[#This Row],[link_checklist]]="","",HYPERLINK(p_ruta_base_checklists&amp;tblOrdenes[[#This Row],[link_checklist]],"abrir"))</f>
        <v/>
      </c>
      <c r="AP36" s="6" t="inlineStr"/>
      <c r="AQ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3">
        <f>IF(tblOrdenes[[#This Row],[tipo_ot]]="","",_xlfn.XLOOKUP(tblOrdenes[[#This Row],[tipo_ot]],tblTiposOT[codigo],tblTiposOT[clasificacion],"sin_clasificar"))</f>
        <v/>
      </c>
      <c r="U37" s="3">
        <f>IF(tblOrdenes[[#This Row],[centro_costo]]="","",_xlfn.XLOOKUP(tblOrdenes[[#This Row],[centro_costo]],tblCECO[codigo],tblCECO[linea],"(sin catálogo)"))</f>
        <v/>
      </c>
      <c r="V37" s="3">
        <f>IF(tblOrdenes[[#This Row],[centro_costo]]="","",_xlfn.XLOOKUP(tblOrdenes[[#This Row],[centro_costo]],tblCECO[codigo],tblCECO[area],"(sin catálogo)"))</f>
        <v/>
      </c>
      <c r="W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3">
        <f>IF(tblOrdenes[[#This Row],[centro_costo]]="","",_xlfn.XLOOKUP(tblOrdenes[[#This Row],[centro_costo]],tblCECO[codigo],tblCECO[coordinador],"(sin catálogo)"))</f>
        <v/>
      </c>
      <c r="Y37" s="3">
        <f>IF(tblOrdenes[[#This Row],[puesto_trabajo]]="","",_xlfn.XLOOKUP(tblOrdenes[[#This Row],[puesto_trabajo]],tblPuestos[codigo],tblPuestos[especialidad],"(sin catálogo)"))</f>
        <v/>
      </c>
      <c r="Z37" s="3">
        <f>IF(tblOrdenes[[#This Row],[cod_actividad]]="","",_xlfn.XLOOKUP(tblOrdenes[[#This Row],[cod_actividad]],tblActividades[codigo],tblActividades[descripcion],"(sin catálogo)"))</f>
        <v/>
      </c>
      <c r="AA37" s="12">
        <f>IF(tblOrdenes[[#This Row],[fecha_inicio]]="","",TODAY()-tblOrdenes[[#This Row],[fecha_inicio]])</f>
        <v/>
      </c>
      <c r="AB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3">
        <f>IF(tblOrdenes[[#This Row],[backlog_habiles]]="","",IF(tblOrdenes[[#This Row],[backlog_habiles]]&lt;0,"FUTURO",IF(tblOrdenes[[#This Row],[backlog_habiles]]&gt;p_dias_backlog_max,"BACKLOG","MES CORRIENTE")))</f>
        <v/>
      </c>
      <c r="AD37" s="3">
        <f>IF(tblOrdenes[[#This Row],[backlog_habiles]]="",FALSE,AND(tblOrdenes[[#This Row],[backlog_habiles]]&gt;p_dias_backlog_min,tblOrdenes[[#This Row],[backlog_habiles]]&lt;=p_dias_backlog_max))</f>
        <v/>
      </c>
      <c r="AE37" s="6" t="inlineStr">
        <is>
          <t>Técnico 01</t>
        </is>
      </c>
      <c r="AF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0">
        <f>IF(tblOrdenes[[#This Row],[orden]]="","",_xlfn.XLOOKUP(tblOrdenes[[#This Row],[id_operacion]],tblEjecucion[id_operacion],tblEjecucion[precio],0))</f>
        <v/>
      </c>
      <c r="AJ37" s="10">
        <f>IF(tblOrdenes[[#This Row],[orden]]="","",MAX(0,_xlfn.XLOOKUP(tblOrdenes[[#This Row],[id_operacion]],tblEjecucion[id_operacion],tblEjecucion[costo_plan_total],0)-tblOrdenes[[#This Row],[costo_servicio]]))</f>
        <v/>
      </c>
      <c r="AK37" s="10">
        <f>IF(tblOrdenes[[#This Row],[orden]]="","",tblOrdenes[[#This Row],[costo_servicio]]+tblOrdenes[[#This Row],[costo_materiales]])</f>
        <v/>
      </c>
      <c r="AL37" s="6" t="inlineStr"/>
      <c r="AM37" s="6" t="inlineStr"/>
      <c r="AN37" s="6" t="inlineStr">
        <is>
          <t>ACT-02.pdf</t>
        </is>
      </c>
      <c r="AO37" s="3">
        <f>IF(tblOrdenes[[#This Row],[link_checklist]]="","",HYPERLINK(p_ruta_base_checklists&amp;tblOrdenes[[#This Row],[link_checklist]],"abrir"))</f>
        <v/>
      </c>
      <c r="AP37" s="6" t="inlineStr"/>
      <c r="AQ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3">
        <f>IF(tblOrdenes[[#This Row],[tipo_ot]]="","",_xlfn.XLOOKUP(tblOrdenes[[#This Row],[tipo_ot]],tblTiposOT[codigo],tblTiposOT[clasificacion],"sin_clasificar"))</f>
        <v/>
      </c>
      <c r="U38" s="3">
        <f>IF(tblOrdenes[[#This Row],[centro_costo]]="","",_xlfn.XLOOKUP(tblOrdenes[[#This Row],[centro_costo]],tblCECO[codigo],tblCECO[linea],"(sin catálogo)"))</f>
        <v/>
      </c>
      <c r="V38" s="3">
        <f>IF(tblOrdenes[[#This Row],[centro_costo]]="","",_xlfn.XLOOKUP(tblOrdenes[[#This Row],[centro_costo]],tblCECO[codigo],tblCECO[area],"(sin catálogo)"))</f>
        <v/>
      </c>
      <c r="W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3">
        <f>IF(tblOrdenes[[#This Row],[centro_costo]]="","",_xlfn.XLOOKUP(tblOrdenes[[#This Row],[centro_costo]],tblCECO[codigo],tblCECO[coordinador],"(sin catálogo)"))</f>
        <v/>
      </c>
      <c r="Y38" s="3">
        <f>IF(tblOrdenes[[#This Row],[puesto_trabajo]]="","",_xlfn.XLOOKUP(tblOrdenes[[#This Row],[puesto_trabajo]],tblPuestos[codigo],tblPuestos[especialidad],"(sin catálogo)"))</f>
        <v/>
      </c>
      <c r="Z38" s="3">
        <f>IF(tblOrdenes[[#This Row],[cod_actividad]]="","",_xlfn.XLOOKUP(tblOrdenes[[#This Row],[cod_actividad]],tblActividades[codigo],tblActividades[descripcion],"(sin catálogo)"))</f>
        <v/>
      </c>
      <c r="AA38" s="12">
        <f>IF(tblOrdenes[[#This Row],[fecha_inicio]]="","",TODAY()-tblOrdenes[[#This Row],[fecha_inicio]])</f>
        <v/>
      </c>
      <c r="AB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3">
        <f>IF(tblOrdenes[[#This Row],[backlog_habiles]]="","",IF(tblOrdenes[[#This Row],[backlog_habiles]]&lt;0,"FUTURO",IF(tblOrdenes[[#This Row],[backlog_habiles]]&gt;p_dias_backlog_max,"BACKLOG","MES CORRIENTE")))</f>
        <v/>
      </c>
      <c r="AD38" s="3">
        <f>IF(tblOrdenes[[#This Row],[backlog_habiles]]="",FALSE,AND(tblOrdenes[[#This Row],[backlog_habiles]]&gt;p_dias_backlog_min,tblOrdenes[[#This Row],[backlog_habiles]]&lt;=p_dias_backlog_max))</f>
        <v/>
      </c>
      <c r="AE38" s="6" t="inlineStr">
        <is>
          <t>Técnico 02</t>
        </is>
      </c>
      <c r="AF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0">
        <f>IF(tblOrdenes[[#This Row],[orden]]="","",_xlfn.XLOOKUP(tblOrdenes[[#This Row],[id_operacion]],tblEjecucion[id_operacion],tblEjecucion[precio],0))</f>
        <v/>
      </c>
      <c r="AJ38" s="10">
        <f>IF(tblOrdenes[[#This Row],[orden]]="","",MAX(0,_xlfn.XLOOKUP(tblOrdenes[[#This Row],[id_operacion]],tblEjecucion[id_operacion],tblEjecucion[costo_plan_total],0)-tblOrdenes[[#This Row],[costo_servicio]]))</f>
        <v/>
      </c>
      <c r="AK38" s="10">
        <f>IF(tblOrdenes[[#This Row],[orden]]="","",tblOrdenes[[#This Row],[costo_servicio]]+tblOrdenes[[#This Row],[costo_materiales]])</f>
        <v/>
      </c>
      <c r="AL38" s="6" t="inlineStr"/>
      <c r="AM38" s="6" t="inlineStr"/>
      <c r="AN38" s="6" t="inlineStr">
        <is>
          <t>ACT-04.pdf</t>
        </is>
      </c>
      <c r="AO38" s="3">
        <f>IF(tblOrdenes[[#This Row],[link_checklist]]="","",HYPERLINK(p_ruta_base_checklists&amp;tblOrdenes[[#This Row],[link_checklist]],"abrir"))</f>
        <v/>
      </c>
      <c r="AP38" s="6" t="inlineStr"/>
      <c r="AQ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3">
        <f>IF(tblOrdenes[[#This Row],[tipo_ot]]="","",_xlfn.XLOOKUP(tblOrdenes[[#This Row],[tipo_ot]],tblTiposOT[codigo],tblTiposOT[clasificacion],"sin_clasificar"))</f>
        <v/>
      </c>
      <c r="U39" s="3">
        <f>IF(tblOrdenes[[#This Row],[centro_costo]]="","",_xlfn.XLOOKUP(tblOrdenes[[#This Row],[centro_costo]],tblCECO[codigo],tblCECO[linea],"(sin catálogo)"))</f>
        <v/>
      </c>
      <c r="V39" s="3">
        <f>IF(tblOrdenes[[#This Row],[centro_costo]]="","",_xlfn.XLOOKUP(tblOrdenes[[#This Row],[centro_costo]],tblCECO[codigo],tblCECO[area],"(sin catálogo)"))</f>
        <v/>
      </c>
      <c r="W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3">
        <f>IF(tblOrdenes[[#This Row],[centro_costo]]="","",_xlfn.XLOOKUP(tblOrdenes[[#This Row],[centro_costo]],tblCECO[codigo],tblCECO[coordinador],"(sin catálogo)"))</f>
        <v/>
      </c>
      <c r="Y39" s="3">
        <f>IF(tblOrdenes[[#This Row],[puesto_trabajo]]="","",_xlfn.XLOOKUP(tblOrdenes[[#This Row],[puesto_trabajo]],tblPuestos[codigo],tblPuestos[especialidad],"(sin catálogo)"))</f>
        <v/>
      </c>
      <c r="Z39" s="3">
        <f>IF(tblOrdenes[[#This Row],[cod_actividad]]="","",_xlfn.XLOOKUP(tblOrdenes[[#This Row],[cod_actividad]],tblActividades[codigo],tblActividades[descripcion],"(sin catálogo)"))</f>
        <v/>
      </c>
      <c r="AA39" s="12">
        <f>IF(tblOrdenes[[#This Row],[fecha_inicio]]="","",TODAY()-tblOrdenes[[#This Row],[fecha_inicio]])</f>
        <v/>
      </c>
      <c r="AB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3">
        <f>IF(tblOrdenes[[#This Row],[backlog_habiles]]="","",IF(tblOrdenes[[#This Row],[backlog_habiles]]&lt;0,"FUTURO",IF(tblOrdenes[[#This Row],[backlog_habiles]]&gt;p_dias_backlog_max,"BACKLOG","MES CORRIENTE")))</f>
        <v/>
      </c>
      <c r="AD39" s="3">
        <f>IF(tblOrdenes[[#This Row],[backlog_habiles]]="",FALSE,AND(tblOrdenes[[#This Row],[backlog_habiles]]&gt;p_dias_backlog_min,tblOrdenes[[#This Row],[backlog_habiles]]&lt;=p_dias_backlog_max))</f>
        <v/>
      </c>
      <c r="AE39" s="6" t="inlineStr"/>
      <c r="AF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0">
        <f>IF(tblOrdenes[[#This Row],[orden]]="","",_xlfn.XLOOKUP(tblOrdenes[[#This Row],[id_operacion]],tblEjecucion[id_operacion],tblEjecucion[precio],0))</f>
        <v/>
      </c>
      <c r="AJ39" s="10">
        <f>IF(tblOrdenes[[#This Row],[orden]]="","",MAX(0,_xlfn.XLOOKUP(tblOrdenes[[#This Row],[id_operacion]],tblEjecucion[id_operacion],tblEjecucion[costo_plan_total],0)-tblOrdenes[[#This Row],[costo_servicio]]))</f>
        <v/>
      </c>
      <c r="AK39" s="10">
        <f>IF(tblOrdenes[[#This Row],[orden]]="","",tblOrdenes[[#This Row],[costo_servicio]]+tblOrdenes[[#This Row],[costo_materiales]])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IF(tblOrdenes[[#This Row],[link_checklist]]="","",HYPERLINK(p_ruta_base_checklists&amp;tblOrdenes[[#This Row],[link_checklist]],"abrir"))</f>
        <v/>
      </c>
      <c r="AP39" s="6" t="inlineStr"/>
      <c r="AQ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3">
        <f>IF(tblOrdenes[[#This Row],[tipo_ot]]="","",_xlfn.XLOOKUP(tblOrdenes[[#This Row],[tipo_ot]],tblTiposOT[codigo],tblTiposOT[clasificacion],"sin_clasificar"))</f>
        <v/>
      </c>
      <c r="U40" s="3">
        <f>IF(tblOrdenes[[#This Row],[centro_costo]]="","",_xlfn.XLOOKUP(tblOrdenes[[#This Row],[centro_costo]],tblCECO[codigo],tblCECO[linea],"(sin catálogo)"))</f>
        <v/>
      </c>
      <c r="V40" s="3">
        <f>IF(tblOrdenes[[#This Row],[centro_costo]]="","",_xlfn.XLOOKUP(tblOrdenes[[#This Row],[centro_costo]],tblCECO[codigo],tblCECO[area],"(sin catálogo)"))</f>
        <v/>
      </c>
      <c r="W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3">
        <f>IF(tblOrdenes[[#This Row],[centro_costo]]="","",_xlfn.XLOOKUP(tblOrdenes[[#This Row],[centro_costo]],tblCECO[codigo],tblCECO[coordinador],"(sin catálogo)"))</f>
        <v/>
      </c>
      <c r="Y40" s="3">
        <f>IF(tblOrdenes[[#This Row],[puesto_trabajo]]="","",_xlfn.XLOOKUP(tblOrdenes[[#This Row],[puesto_trabajo]],tblPuestos[codigo],tblPuestos[especialidad],"(sin catálogo)"))</f>
        <v/>
      </c>
      <c r="Z40" s="3">
        <f>IF(tblOrdenes[[#This Row],[cod_actividad]]="","",_xlfn.XLOOKUP(tblOrdenes[[#This Row],[cod_actividad]],tblActividades[codigo],tblActividades[descripcion],"(sin catálogo)"))</f>
        <v/>
      </c>
      <c r="AA40" s="12">
        <f>IF(tblOrdenes[[#This Row],[fecha_inicio]]="","",TODAY()-tblOrdenes[[#This Row],[fecha_inicio]])</f>
        <v/>
      </c>
      <c r="AB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3">
        <f>IF(tblOrdenes[[#This Row],[backlog_habiles]]="","",IF(tblOrdenes[[#This Row],[backlog_habiles]]&lt;0,"FUTURO",IF(tblOrdenes[[#This Row],[backlog_habiles]]&gt;p_dias_backlog_max,"BACKLOG","MES CORRIENTE")))</f>
        <v/>
      </c>
      <c r="AD40" s="3">
        <f>IF(tblOrdenes[[#This Row],[backlog_habiles]]="",FALSE,AND(tblOrdenes[[#This Row],[backlog_habiles]]&gt;p_dias_backlog_min,tblOrdenes[[#This Row],[backlog_habiles]]&lt;=p_dias_backlog_max))</f>
        <v/>
      </c>
      <c r="AE40" s="6" t="inlineStr">
        <is>
          <t>Técnico 01</t>
        </is>
      </c>
      <c r="AF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0">
        <f>IF(tblOrdenes[[#This Row],[orden]]="","",_xlfn.XLOOKUP(tblOrdenes[[#This Row],[id_operacion]],tblEjecucion[id_operacion],tblEjecucion[precio],0))</f>
        <v/>
      </c>
      <c r="AJ40" s="10">
        <f>IF(tblOrdenes[[#This Row],[orden]]="","",MAX(0,_xlfn.XLOOKUP(tblOrdenes[[#This Row],[id_operacion]],tblEjecucion[id_operacion],tblEjecucion[costo_plan_total],0)-tblOrdenes[[#This Row],[costo_servicio]]))</f>
        <v/>
      </c>
      <c r="AK40" s="10">
        <f>IF(tblOrdenes[[#This Row],[orden]]="","",tblOrdenes[[#This Row],[costo_servicio]]+tblOrdenes[[#This Row],[costo_materiales]])</f>
        <v/>
      </c>
      <c r="AL40" s="6" t="inlineStr"/>
      <c r="AM40" s="6" t="inlineStr"/>
      <c r="AN40" s="6" t="inlineStr"/>
      <c r="AO40" s="3">
        <f>IF(tblOrdenes[[#This Row],[link_checklist]]="","",HYPERLINK(p_ruta_base_checklists&amp;tblOrdenes[[#This Row],[link_checklist]],"abrir"))</f>
        <v/>
      </c>
      <c r="AP40" s="6" t="inlineStr"/>
      <c r="AQ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3">
        <f>IF(tblOrdenes[[#This Row],[tipo_ot]]="","",_xlfn.XLOOKUP(tblOrdenes[[#This Row],[tipo_ot]],tblTiposOT[codigo],tblTiposOT[clasificacion],"sin_clasificar"))</f>
        <v/>
      </c>
      <c r="U41" s="3">
        <f>IF(tblOrdenes[[#This Row],[centro_costo]]="","",_xlfn.XLOOKUP(tblOrdenes[[#This Row],[centro_costo]],tblCECO[codigo],tblCECO[linea],"(sin catálogo)"))</f>
        <v/>
      </c>
      <c r="V41" s="3">
        <f>IF(tblOrdenes[[#This Row],[centro_costo]]="","",_xlfn.XLOOKUP(tblOrdenes[[#This Row],[centro_costo]],tblCECO[codigo],tblCECO[area],"(sin catálogo)"))</f>
        <v/>
      </c>
      <c r="W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3">
        <f>IF(tblOrdenes[[#This Row],[centro_costo]]="","",_xlfn.XLOOKUP(tblOrdenes[[#This Row],[centro_costo]],tblCECO[codigo],tblCECO[coordinador],"(sin catálogo)"))</f>
        <v/>
      </c>
      <c r="Y41" s="3">
        <f>IF(tblOrdenes[[#This Row],[puesto_trabajo]]="","",_xlfn.XLOOKUP(tblOrdenes[[#This Row],[puesto_trabajo]],tblPuestos[codigo],tblPuestos[especialidad],"(sin catálogo)"))</f>
        <v/>
      </c>
      <c r="Z41" s="3">
        <f>IF(tblOrdenes[[#This Row],[cod_actividad]]="","",_xlfn.XLOOKUP(tblOrdenes[[#This Row],[cod_actividad]],tblActividades[codigo],tblActividades[descripcion],"(sin catálogo)"))</f>
        <v/>
      </c>
      <c r="AA41" s="12">
        <f>IF(tblOrdenes[[#This Row],[fecha_inicio]]="","",TODAY()-tblOrdenes[[#This Row],[fecha_inicio]])</f>
        <v/>
      </c>
      <c r="AB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3">
        <f>IF(tblOrdenes[[#This Row],[backlog_habiles]]="","",IF(tblOrdenes[[#This Row],[backlog_habiles]]&lt;0,"FUTURO",IF(tblOrdenes[[#This Row],[backlog_habiles]]&gt;p_dias_backlog_max,"BACKLOG","MES CORRIENTE")))</f>
        <v/>
      </c>
      <c r="AD41" s="3">
        <f>IF(tblOrdenes[[#This Row],[backlog_habiles]]="",FALSE,AND(tblOrdenes[[#This Row],[backlog_habiles]]&gt;p_dias_backlog_min,tblOrdenes[[#This Row],[backlog_habiles]]&lt;=p_dias_backlog_max))</f>
        <v/>
      </c>
      <c r="AE41" s="6" t="inlineStr">
        <is>
          <t>Técnico 02</t>
        </is>
      </c>
      <c r="AF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0">
        <f>IF(tblOrdenes[[#This Row],[orden]]="","",_xlfn.XLOOKUP(tblOrdenes[[#This Row],[id_operacion]],tblEjecucion[id_operacion],tblEjecucion[precio],0))</f>
        <v/>
      </c>
      <c r="AJ41" s="10">
        <f>IF(tblOrdenes[[#This Row],[orden]]="","",MAX(0,_xlfn.XLOOKUP(tblOrdenes[[#This Row],[id_operacion]],tblEjecucion[id_operacion],tblEjecucion[costo_plan_total],0)-tblOrdenes[[#This Row],[costo_servicio]]))</f>
        <v/>
      </c>
      <c r="AK41" s="10">
        <f>IF(tblOrdenes[[#This Row],[orden]]="","",tblOrdenes[[#This Row],[costo_servicio]]+tblOrdenes[[#This Row],[costo_materiales]])</f>
        <v/>
      </c>
      <c r="AL41" s="6" t="inlineStr"/>
      <c r="AM41" s="6" t="inlineStr"/>
      <c r="AN41" s="6" t="inlineStr">
        <is>
          <t>ACT-04.pdf</t>
        </is>
      </c>
      <c r="AO41" s="3">
        <f>IF(tblOrdenes[[#This Row],[link_checklist]]="","",HYPERLINK(p_ruta_base_checklists&amp;tblOrdenes[[#This Row],[link_checklist]],"abrir"))</f>
        <v/>
      </c>
      <c r="AP41" s="6" t="inlineStr"/>
      <c r="AQ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3">
        <f>IF(tblOrdenes[[#This Row],[tipo_ot]]="","",_xlfn.XLOOKUP(tblOrdenes[[#This Row],[tipo_ot]],tblTiposOT[codigo],tblTiposOT[clasificacion],"sin_clasificar"))</f>
        <v/>
      </c>
      <c r="U42" s="3">
        <f>IF(tblOrdenes[[#This Row],[centro_costo]]="","",_xlfn.XLOOKUP(tblOrdenes[[#This Row],[centro_costo]],tblCECO[codigo],tblCECO[linea],"(sin catálogo)"))</f>
        <v/>
      </c>
      <c r="V42" s="3">
        <f>IF(tblOrdenes[[#This Row],[centro_costo]]="","",_xlfn.XLOOKUP(tblOrdenes[[#This Row],[centro_costo]],tblCECO[codigo],tblCECO[area],"(sin catálogo)"))</f>
        <v/>
      </c>
      <c r="W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3">
        <f>IF(tblOrdenes[[#This Row],[centro_costo]]="","",_xlfn.XLOOKUP(tblOrdenes[[#This Row],[centro_costo]],tblCECO[codigo],tblCECO[coordinador],"(sin catálogo)"))</f>
        <v/>
      </c>
      <c r="Y42" s="3">
        <f>IF(tblOrdenes[[#This Row],[puesto_trabajo]]="","",_xlfn.XLOOKUP(tblOrdenes[[#This Row],[puesto_trabajo]],tblPuestos[codigo],tblPuestos[especialidad],"(sin catálogo)"))</f>
        <v/>
      </c>
      <c r="Z42" s="3">
        <f>IF(tblOrdenes[[#This Row],[cod_actividad]]="","",_xlfn.XLOOKUP(tblOrdenes[[#This Row],[cod_actividad]],tblActividades[codigo],tblActividades[descripcion],"(sin catálogo)"))</f>
        <v/>
      </c>
      <c r="AA42" s="12">
        <f>IF(tblOrdenes[[#This Row],[fecha_inicio]]="","",TODAY()-tblOrdenes[[#This Row],[fecha_inicio]])</f>
        <v/>
      </c>
      <c r="AB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3">
        <f>IF(tblOrdenes[[#This Row],[backlog_habiles]]="","",IF(tblOrdenes[[#This Row],[backlog_habiles]]&lt;0,"FUTURO",IF(tblOrdenes[[#This Row],[backlog_habiles]]&gt;p_dias_backlog_max,"BACKLOG","MES CORRIENTE")))</f>
        <v/>
      </c>
      <c r="AD42" s="3">
        <f>IF(tblOrdenes[[#This Row],[backlog_habiles]]="",FALSE,AND(tblOrdenes[[#This Row],[backlog_habiles]]&gt;p_dias_backlog_min,tblOrdenes[[#This Row],[backlog_habiles]]&lt;=p_dias_backlog_max))</f>
        <v/>
      </c>
      <c r="AE42" s="6" t="inlineStr">
        <is>
          <t>Técnico 03</t>
        </is>
      </c>
      <c r="AF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0">
        <f>IF(tblOrdenes[[#This Row],[orden]]="","",_xlfn.XLOOKUP(tblOrdenes[[#This Row],[id_operacion]],tblEjecucion[id_operacion],tblEjecucion[precio],0))</f>
        <v/>
      </c>
      <c r="AJ42" s="10">
        <f>IF(tblOrdenes[[#This Row],[orden]]="","",MAX(0,_xlfn.XLOOKUP(tblOrdenes[[#This Row],[id_operacion]],tblEjecucion[id_operacion],tblEjecucion[costo_plan_total],0)-tblOrdenes[[#This Row],[costo_servicio]]))</f>
        <v/>
      </c>
      <c r="AK42" s="10">
        <f>IF(tblOrdenes[[#This Row],[orden]]="","",tblOrdenes[[#This Row],[costo_servicio]]+tblOrdenes[[#This Row],[costo_materiales]])</f>
        <v/>
      </c>
      <c r="AL42" s="6" t="inlineStr"/>
      <c r="AM42" s="6" t="inlineStr"/>
      <c r="AN42" s="6" t="inlineStr">
        <is>
          <t>ACT-01.pdf</t>
        </is>
      </c>
      <c r="AO42" s="3">
        <f>IF(tblOrdenes[[#This Row],[link_checklist]]="","",HYPERLINK(p_ruta_base_checklists&amp;tblOrdenes[[#This Row],[link_checklist]],"abrir"))</f>
        <v/>
      </c>
      <c r="AP42" s="6" t="inlineStr"/>
      <c r="AQ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3">
        <f>IF(tblOrdenes[[#This Row],[tipo_ot]]="","",_xlfn.XLOOKUP(tblOrdenes[[#This Row],[tipo_ot]],tblTiposOT[codigo],tblTiposOT[clasificacion],"sin_clasificar"))</f>
        <v/>
      </c>
      <c r="U43" s="3">
        <f>IF(tblOrdenes[[#This Row],[centro_costo]]="","",_xlfn.XLOOKUP(tblOrdenes[[#This Row],[centro_costo]],tblCECO[codigo],tblCECO[linea],"(sin catálogo)"))</f>
        <v/>
      </c>
      <c r="V43" s="3">
        <f>IF(tblOrdenes[[#This Row],[centro_costo]]="","",_xlfn.XLOOKUP(tblOrdenes[[#This Row],[centro_costo]],tblCECO[codigo],tblCECO[area],"(sin catálogo)"))</f>
        <v/>
      </c>
      <c r="W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3">
        <f>IF(tblOrdenes[[#This Row],[centro_costo]]="","",_xlfn.XLOOKUP(tblOrdenes[[#This Row],[centro_costo]],tblCECO[codigo],tblCECO[coordinador],"(sin catálogo)"))</f>
        <v/>
      </c>
      <c r="Y43" s="3">
        <f>IF(tblOrdenes[[#This Row],[puesto_trabajo]]="","",_xlfn.XLOOKUP(tblOrdenes[[#This Row],[puesto_trabajo]],tblPuestos[codigo],tblPuestos[especialidad],"(sin catálogo)"))</f>
        <v/>
      </c>
      <c r="Z43" s="3">
        <f>IF(tblOrdenes[[#This Row],[cod_actividad]]="","",_xlfn.XLOOKUP(tblOrdenes[[#This Row],[cod_actividad]],tblActividades[codigo],tblActividades[descripcion],"(sin catálogo)"))</f>
        <v/>
      </c>
      <c r="AA43" s="12">
        <f>IF(tblOrdenes[[#This Row],[fecha_inicio]]="","",TODAY()-tblOrdenes[[#This Row],[fecha_inicio]])</f>
        <v/>
      </c>
      <c r="AB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3">
        <f>IF(tblOrdenes[[#This Row],[backlog_habiles]]="","",IF(tblOrdenes[[#This Row],[backlog_habiles]]&lt;0,"FUTURO",IF(tblOrdenes[[#This Row],[backlog_habiles]]&gt;p_dias_backlog_max,"BACKLOG","MES CORRIENTE")))</f>
        <v/>
      </c>
      <c r="AD43" s="3">
        <f>IF(tblOrdenes[[#This Row],[backlog_habiles]]="",FALSE,AND(tblOrdenes[[#This Row],[backlog_habiles]]&gt;p_dias_backlog_min,tblOrdenes[[#This Row],[backlog_habiles]]&lt;=p_dias_backlog_max))</f>
        <v/>
      </c>
      <c r="AE43" s="6" t="inlineStr">
        <is>
          <t>Técnico 04</t>
        </is>
      </c>
      <c r="AF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0">
        <f>IF(tblOrdenes[[#This Row],[orden]]="","",_xlfn.XLOOKUP(tblOrdenes[[#This Row],[id_operacion]],tblEjecucion[id_operacion],tblEjecucion[precio],0))</f>
        <v/>
      </c>
      <c r="AJ43" s="10">
        <f>IF(tblOrdenes[[#This Row],[orden]]="","",MAX(0,_xlfn.XLOOKUP(tblOrdenes[[#This Row],[id_operacion]],tblEjecucion[id_operacion],tblEjecucion[costo_plan_total],0)-tblOrdenes[[#This Row],[costo_servicio]]))</f>
        <v/>
      </c>
      <c r="AK43" s="10">
        <f>IF(tblOrdenes[[#This Row],[orden]]="","",tblOrdenes[[#This Row],[costo_servicio]]+tblOrdenes[[#This Row],[costo_materiales]])</f>
        <v/>
      </c>
      <c r="AL43" s="6" t="inlineStr"/>
      <c r="AM43" s="6" t="inlineStr"/>
      <c r="AN43" s="6" t="inlineStr">
        <is>
          <t>ACT-02.pdf</t>
        </is>
      </c>
      <c r="AO43" s="3">
        <f>IF(tblOrdenes[[#This Row],[link_checklist]]="","",HYPERLINK(p_ruta_base_checklists&amp;tblOrdenes[[#This Row],[link_checklist]],"abrir"))</f>
        <v/>
      </c>
      <c r="AP43" s="6" t="inlineStr"/>
      <c r="AQ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3">
        <f>IF(tblOrdenes[[#This Row],[tipo_ot]]="","",_xlfn.XLOOKUP(tblOrdenes[[#This Row],[tipo_ot]],tblTiposOT[codigo],tblTiposOT[clasificacion],"sin_clasificar"))</f>
        <v/>
      </c>
      <c r="U44" s="3">
        <f>IF(tblOrdenes[[#This Row],[centro_costo]]="","",_xlfn.XLOOKUP(tblOrdenes[[#This Row],[centro_costo]],tblCECO[codigo],tblCECO[linea],"(sin catálogo)"))</f>
        <v/>
      </c>
      <c r="V44" s="3">
        <f>IF(tblOrdenes[[#This Row],[centro_costo]]="","",_xlfn.XLOOKUP(tblOrdenes[[#This Row],[centro_costo]],tblCECO[codigo],tblCECO[area],"(sin catálogo)"))</f>
        <v/>
      </c>
      <c r="W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3">
        <f>IF(tblOrdenes[[#This Row],[centro_costo]]="","",_xlfn.XLOOKUP(tblOrdenes[[#This Row],[centro_costo]],tblCECO[codigo],tblCECO[coordinador],"(sin catálogo)"))</f>
        <v/>
      </c>
      <c r="Y44" s="3">
        <f>IF(tblOrdenes[[#This Row],[puesto_trabajo]]="","",_xlfn.XLOOKUP(tblOrdenes[[#This Row],[puesto_trabajo]],tblPuestos[codigo],tblPuestos[especialidad],"(sin catálogo)"))</f>
        <v/>
      </c>
      <c r="Z44" s="3">
        <f>IF(tblOrdenes[[#This Row],[cod_actividad]]="","",_xlfn.XLOOKUP(tblOrdenes[[#This Row],[cod_actividad]],tblActividades[codigo],tblActividades[descripcion],"(sin catálogo)"))</f>
        <v/>
      </c>
      <c r="AA44" s="12">
        <f>IF(tblOrdenes[[#This Row],[fecha_inicio]]="","",TODAY()-tblOrdenes[[#This Row],[fecha_inicio]])</f>
        <v/>
      </c>
      <c r="AB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3">
        <f>IF(tblOrdenes[[#This Row],[backlog_habiles]]="","",IF(tblOrdenes[[#This Row],[backlog_habiles]]&lt;0,"FUTURO",IF(tblOrdenes[[#This Row],[backlog_habiles]]&gt;p_dias_backlog_max,"BACKLOG","MES CORRIENTE")))</f>
        <v/>
      </c>
      <c r="AD44" s="3">
        <f>IF(tblOrdenes[[#This Row],[backlog_habiles]]="",FALSE,AND(tblOrdenes[[#This Row],[backlog_habiles]]&gt;p_dias_backlog_min,tblOrdenes[[#This Row],[backlog_habiles]]&lt;=p_dias_backlog_max))</f>
        <v/>
      </c>
      <c r="AE44" s="6" t="inlineStr">
        <is>
          <t>Técnico 01</t>
        </is>
      </c>
      <c r="AF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0">
        <f>IF(tblOrdenes[[#This Row],[orden]]="","",_xlfn.XLOOKUP(tblOrdenes[[#This Row],[id_operacion]],tblEjecucion[id_operacion],tblEjecucion[precio],0))</f>
        <v/>
      </c>
      <c r="AJ44" s="10">
        <f>IF(tblOrdenes[[#This Row],[orden]]="","",MAX(0,_xlfn.XLOOKUP(tblOrdenes[[#This Row],[id_operacion]],tblEjecucion[id_operacion],tblEjecucion[costo_plan_total],0)-tblOrdenes[[#This Row],[costo_servicio]]))</f>
        <v/>
      </c>
      <c r="AK44" s="10">
        <f>IF(tblOrdenes[[#This Row],[orden]]="","",tblOrdenes[[#This Row],[costo_servicio]]+tblOrdenes[[#This Row],[costo_materiales]])</f>
        <v/>
      </c>
      <c r="AL44" s="6" t="inlineStr"/>
      <c r="AM44" s="6" t="inlineStr"/>
      <c r="AN44" s="6" t="inlineStr">
        <is>
          <t>ACT-04.pdf</t>
        </is>
      </c>
      <c r="AO44" s="3">
        <f>IF(tblOrdenes[[#This Row],[link_checklist]]="","",HYPERLINK(p_ruta_base_checklists&amp;tblOrdenes[[#This Row],[link_checklist]],"abrir"))</f>
        <v/>
      </c>
      <c r="AP44" s="6" t="inlineStr"/>
      <c r="AQ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3">
        <f>IF(tblOrdenes[[#This Row],[tipo_ot]]="","",_xlfn.XLOOKUP(tblOrdenes[[#This Row],[tipo_ot]],tblTiposOT[codigo],tblTiposOT[clasificacion],"sin_clasificar"))</f>
        <v/>
      </c>
      <c r="U45" s="3">
        <f>IF(tblOrdenes[[#This Row],[centro_costo]]="","",_xlfn.XLOOKUP(tblOrdenes[[#This Row],[centro_costo]],tblCECO[codigo],tblCECO[linea],"(sin catálogo)"))</f>
        <v/>
      </c>
      <c r="V45" s="3">
        <f>IF(tblOrdenes[[#This Row],[centro_costo]]="","",_xlfn.XLOOKUP(tblOrdenes[[#This Row],[centro_costo]],tblCECO[codigo],tblCECO[area],"(sin catálogo)"))</f>
        <v/>
      </c>
      <c r="W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3">
        <f>IF(tblOrdenes[[#This Row],[centro_costo]]="","",_xlfn.XLOOKUP(tblOrdenes[[#This Row],[centro_costo]],tblCECO[codigo],tblCECO[coordinador],"(sin catálogo)"))</f>
        <v/>
      </c>
      <c r="Y45" s="3">
        <f>IF(tblOrdenes[[#This Row],[puesto_trabajo]]="","",_xlfn.XLOOKUP(tblOrdenes[[#This Row],[puesto_trabajo]],tblPuestos[codigo],tblPuestos[especialidad],"(sin catálogo)"))</f>
        <v/>
      </c>
      <c r="Z45" s="3">
        <f>IF(tblOrdenes[[#This Row],[cod_actividad]]="","",_xlfn.XLOOKUP(tblOrdenes[[#This Row],[cod_actividad]],tblActividades[codigo],tblActividades[descripcion],"(sin catálogo)"))</f>
        <v/>
      </c>
      <c r="AA45" s="12">
        <f>IF(tblOrdenes[[#This Row],[fecha_inicio]]="","",TODAY()-tblOrdenes[[#This Row],[fecha_inicio]])</f>
        <v/>
      </c>
      <c r="AB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3">
        <f>IF(tblOrdenes[[#This Row],[backlog_habiles]]="","",IF(tblOrdenes[[#This Row],[backlog_habiles]]&lt;0,"FUTURO",IF(tblOrdenes[[#This Row],[backlog_habiles]]&gt;p_dias_backlog_max,"BACKLOG","MES CORRIENTE")))</f>
        <v/>
      </c>
      <c r="AD45" s="3">
        <f>IF(tblOrdenes[[#This Row],[backlog_habiles]]="",FALSE,AND(tblOrdenes[[#This Row],[backlog_habiles]]&gt;p_dias_backlog_min,tblOrdenes[[#This Row],[backlog_habiles]]&lt;=p_dias_backlog_max))</f>
        <v/>
      </c>
      <c r="AE45" s="6" t="inlineStr">
        <is>
          <t>Técnico 02</t>
        </is>
      </c>
      <c r="AF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0">
        <f>IF(tblOrdenes[[#This Row],[orden]]="","",_xlfn.XLOOKUP(tblOrdenes[[#This Row],[id_operacion]],tblEjecucion[id_operacion],tblEjecucion[precio],0))</f>
        <v/>
      </c>
      <c r="AJ45" s="10">
        <f>IF(tblOrdenes[[#This Row],[orden]]="","",MAX(0,_xlfn.XLOOKUP(tblOrdenes[[#This Row],[id_operacion]],tblEjecucion[id_operacion],tblEjecucion[costo_plan_total],0)-tblOrdenes[[#This Row],[costo_servicio]]))</f>
        <v/>
      </c>
      <c r="AK45" s="10">
        <f>IF(tblOrdenes[[#This Row],[orden]]="","",tblOrdenes[[#This Row],[costo_servicio]]+tblOrdenes[[#This Row],[costo_materiales]])</f>
        <v/>
      </c>
      <c r="AL45" s="6" t="inlineStr"/>
      <c r="AM45" s="6" t="inlineStr"/>
      <c r="AN45" s="6" t="inlineStr">
        <is>
          <t>ACT-01.pdf</t>
        </is>
      </c>
      <c r="AO45" s="3">
        <f>IF(tblOrdenes[[#This Row],[link_checklist]]="","",HYPERLINK(p_ruta_base_checklists&amp;tblOrdenes[[#This Row],[link_checklist]],"abrir"))</f>
        <v/>
      </c>
      <c r="AP45" s="6" t="inlineStr"/>
      <c r="AQ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3">
        <f>IF(tblOrdenes[[#This Row],[tipo_ot]]="","",_xlfn.XLOOKUP(tblOrdenes[[#This Row],[tipo_ot]],tblTiposOT[codigo],tblTiposOT[clasificacion],"sin_clasificar"))</f>
        <v/>
      </c>
      <c r="U46" s="3">
        <f>IF(tblOrdenes[[#This Row],[centro_costo]]="","",_xlfn.XLOOKUP(tblOrdenes[[#This Row],[centro_costo]],tblCECO[codigo],tblCECO[linea],"(sin catálogo)"))</f>
        <v/>
      </c>
      <c r="V46" s="3">
        <f>IF(tblOrdenes[[#This Row],[centro_costo]]="","",_xlfn.XLOOKUP(tblOrdenes[[#This Row],[centro_costo]],tblCECO[codigo],tblCECO[area],"(sin catálogo)"))</f>
        <v/>
      </c>
      <c r="W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3">
        <f>IF(tblOrdenes[[#This Row],[centro_costo]]="","",_xlfn.XLOOKUP(tblOrdenes[[#This Row],[centro_costo]],tblCECO[codigo],tblCECO[coordinador],"(sin catálogo)"))</f>
        <v/>
      </c>
      <c r="Y46" s="3">
        <f>IF(tblOrdenes[[#This Row],[puesto_trabajo]]="","",_xlfn.XLOOKUP(tblOrdenes[[#This Row],[puesto_trabajo]],tblPuestos[codigo],tblPuestos[especialidad],"(sin catálogo)"))</f>
        <v/>
      </c>
      <c r="Z46" s="3">
        <f>IF(tblOrdenes[[#This Row],[cod_actividad]]="","",_xlfn.XLOOKUP(tblOrdenes[[#This Row],[cod_actividad]],tblActividades[codigo],tblActividades[descripcion],"(sin catálogo)"))</f>
        <v/>
      </c>
      <c r="AA46" s="12">
        <f>IF(tblOrdenes[[#This Row],[fecha_inicio]]="","",TODAY()-tblOrdenes[[#This Row],[fecha_inicio]])</f>
        <v/>
      </c>
      <c r="AB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3">
        <f>IF(tblOrdenes[[#This Row],[backlog_habiles]]="","",IF(tblOrdenes[[#This Row],[backlog_habiles]]&lt;0,"FUTURO",IF(tblOrdenes[[#This Row],[backlog_habiles]]&gt;p_dias_backlog_max,"BACKLOG","MES CORRIENTE")))</f>
        <v/>
      </c>
      <c r="AD46" s="3">
        <f>IF(tblOrdenes[[#This Row],[backlog_habiles]]="",FALSE,AND(tblOrdenes[[#This Row],[backlog_habiles]]&gt;p_dias_backlog_min,tblOrdenes[[#This Row],[backlog_habiles]]&lt;=p_dias_backlog_max))</f>
        <v/>
      </c>
      <c r="AE46" s="6" t="inlineStr">
        <is>
          <t>Técnico 03</t>
        </is>
      </c>
      <c r="AF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0">
        <f>IF(tblOrdenes[[#This Row],[orden]]="","",_xlfn.XLOOKUP(tblOrdenes[[#This Row],[id_operacion]],tblEjecucion[id_operacion],tblEjecucion[precio],0))</f>
        <v/>
      </c>
      <c r="AJ46" s="10">
        <f>IF(tblOrdenes[[#This Row],[orden]]="","",MAX(0,_xlfn.XLOOKUP(tblOrdenes[[#This Row],[id_operacion]],tblEjecucion[id_operacion],tblEjecucion[costo_plan_total],0)-tblOrdenes[[#This Row],[costo_servicio]]))</f>
        <v/>
      </c>
      <c r="AK46" s="10">
        <f>IF(tblOrdenes[[#This Row],[orden]]="","",tblOrdenes[[#This Row],[costo_servicio]]+tblOrdenes[[#This Row],[costo_materiales]])</f>
        <v/>
      </c>
      <c r="AL46" s="6" t="inlineStr"/>
      <c r="AM46" s="6" t="inlineStr"/>
      <c r="AN46" s="6" t="inlineStr">
        <is>
          <t>ACT-02.pdf</t>
        </is>
      </c>
      <c r="AO46" s="3">
        <f>IF(tblOrdenes[[#This Row],[link_checklist]]="","",HYPERLINK(p_ruta_base_checklists&amp;tblOrdenes[[#This Row],[link_checklist]],"abrir"))</f>
        <v/>
      </c>
      <c r="AP46" s="6" t="inlineStr"/>
      <c r="AQ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3">
        <f>IF(tblOrdenes[[#This Row],[tipo_ot]]="","",_xlfn.XLOOKUP(tblOrdenes[[#This Row],[tipo_ot]],tblTiposOT[codigo],tblTiposOT[clasificacion],"sin_clasificar"))</f>
        <v/>
      </c>
      <c r="U47" s="3">
        <f>IF(tblOrdenes[[#This Row],[centro_costo]]="","",_xlfn.XLOOKUP(tblOrdenes[[#This Row],[centro_costo]],tblCECO[codigo],tblCECO[linea],"(sin catálogo)"))</f>
        <v/>
      </c>
      <c r="V47" s="3">
        <f>IF(tblOrdenes[[#This Row],[centro_costo]]="","",_xlfn.XLOOKUP(tblOrdenes[[#This Row],[centro_costo]],tblCECO[codigo],tblCECO[area],"(sin catálogo)"))</f>
        <v/>
      </c>
      <c r="W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3">
        <f>IF(tblOrdenes[[#This Row],[centro_costo]]="","",_xlfn.XLOOKUP(tblOrdenes[[#This Row],[centro_costo]],tblCECO[codigo],tblCECO[coordinador],"(sin catálogo)"))</f>
        <v/>
      </c>
      <c r="Y47" s="3">
        <f>IF(tblOrdenes[[#This Row],[puesto_trabajo]]="","",_xlfn.XLOOKUP(tblOrdenes[[#This Row],[puesto_trabajo]],tblPuestos[codigo],tblPuestos[especialidad],"(sin catálogo)"))</f>
        <v/>
      </c>
      <c r="Z47" s="3">
        <f>IF(tblOrdenes[[#This Row],[cod_actividad]]="","",_xlfn.XLOOKUP(tblOrdenes[[#This Row],[cod_actividad]],tblActividades[codigo],tblActividades[descripcion],"(sin catálogo)"))</f>
        <v/>
      </c>
      <c r="AA47" s="12">
        <f>IF(tblOrdenes[[#This Row],[fecha_inicio]]="","",TODAY()-tblOrdenes[[#This Row],[fecha_inicio]])</f>
        <v/>
      </c>
      <c r="AB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3">
        <f>IF(tblOrdenes[[#This Row],[backlog_habiles]]="","",IF(tblOrdenes[[#This Row],[backlog_habiles]]&lt;0,"FUTURO",IF(tblOrdenes[[#This Row],[backlog_habiles]]&gt;p_dias_backlog_max,"BACKLOG","MES CORRIENTE")))</f>
        <v/>
      </c>
      <c r="AD47" s="3">
        <f>IF(tblOrdenes[[#This Row],[backlog_habiles]]="",FALSE,AND(tblOrdenes[[#This Row],[backlog_habiles]]&gt;p_dias_backlog_min,tblOrdenes[[#This Row],[backlog_habiles]]&lt;=p_dias_backlog_max))</f>
        <v/>
      </c>
      <c r="AE47" s="6" t="inlineStr">
        <is>
          <t>Técnico 04</t>
        </is>
      </c>
      <c r="AF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0">
        <f>IF(tblOrdenes[[#This Row],[orden]]="","",_xlfn.XLOOKUP(tblOrdenes[[#This Row],[id_operacion]],tblEjecucion[id_operacion],tblEjecucion[precio],0))</f>
        <v/>
      </c>
      <c r="AJ47" s="10">
        <f>IF(tblOrdenes[[#This Row],[orden]]="","",MAX(0,_xlfn.XLOOKUP(tblOrdenes[[#This Row],[id_operacion]],tblEjecucion[id_operacion],tblEjecucion[costo_plan_total],0)-tblOrdenes[[#This Row],[costo_servicio]]))</f>
        <v/>
      </c>
      <c r="AK47" s="10">
        <f>IF(tblOrdenes[[#This Row],[orden]]="","",tblOrdenes[[#This Row],[costo_servicio]]+tblOrdenes[[#This Row],[costo_materiales]])</f>
        <v/>
      </c>
      <c r="AL47" s="6" t="inlineStr"/>
      <c r="AM47" s="6" t="inlineStr"/>
      <c r="AN47" s="6" t="inlineStr">
        <is>
          <t>ACT-04.pdf</t>
        </is>
      </c>
      <c r="AO47" s="3">
        <f>IF(tblOrdenes[[#This Row],[link_checklist]]="","",HYPERLINK(p_ruta_base_checklists&amp;tblOrdenes[[#This Row],[link_checklist]],"abrir"))</f>
        <v/>
      </c>
      <c r="AP47" s="6" t="inlineStr"/>
      <c r="AQ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3">
        <f>IF(tblOrdenes[[#This Row],[tipo_ot]]="","",_xlfn.XLOOKUP(tblOrdenes[[#This Row],[tipo_ot]],tblTiposOT[codigo],tblTiposOT[clasificacion],"sin_clasificar"))</f>
        <v/>
      </c>
      <c r="U48" s="3">
        <f>IF(tblOrdenes[[#This Row],[centro_costo]]="","",_xlfn.XLOOKUP(tblOrdenes[[#This Row],[centro_costo]],tblCECO[codigo],tblCECO[linea],"(sin catálogo)"))</f>
        <v/>
      </c>
      <c r="V48" s="3">
        <f>IF(tblOrdenes[[#This Row],[centro_costo]]="","",_xlfn.XLOOKUP(tblOrdenes[[#This Row],[centro_costo]],tblCECO[codigo],tblCECO[area],"(sin catálogo)"))</f>
        <v/>
      </c>
      <c r="W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3">
        <f>IF(tblOrdenes[[#This Row],[centro_costo]]="","",_xlfn.XLOOKUP(tblOrdenes[[#This Row],[centro_costo]],tblCECO[codigo],tblCECO[coordinador],"(sin catálogo)"))</f>
        <v/>
      </c>
      <c r="Y48" s="3">
        <f>IF(tblOrdenes[[#This Row],[puesto_trabajo]]="","",_xlfn.XLOOKUP(tblOrdenes[[#This Row],[puesto_trabajo]],tblPuestos[codigo],tblPuestos[especialidad],"(sin catálogo)"))</f>
        <v/>
      </c>
      <c r="Z48" s="3">
        <f>IF(tblOrdenes[[#This Row],[cod_actividad]]="","",_xlfn.XLOOKUP(tblOrdenes[[#This Row],[cod_actividad]],tblActividades[codigo],tblActividades[descripcion],"(sin catálogo)"))</f>
        <v/>
      </c>
      <c r="AA48" s="12">
        <f>IF(tblOrdenes[[#This Row],[fecha_inicio]]="","",TODAY()-tblOrdenes[[#This Row],[fecha_inicio]])</f>
        <v/>
      </c>
      <c r="AB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3">
        <f>IF(tblOrdenes[[#This Row],[backlog_habiles]]="","",IF(tblOrdenes[[#This Row],[backlog_habiles]]&lt;0,"FUTURO",IF(tblOrdenes[[#This Row],[backlog_habiles]]&gt;p_dias_backlog_max,"BACKLOG","MES CORRIENTE")))</f>
        <v/>
      </c>
      <c r="AD48" s="3">
        <f>IF(tblOrdenes[[#This Row],[backlog_habiles]]="",FALSE,AND(tblOrdenes[[#This Row],[backlog_habiles]]&gt;p_dias_backlog_min,tblOrdenes[[#This Row],[backlog_habiles]]&lt;=p_dias_backlog_max))</f>
        <v/>
      </c>
      <c r="AE48" s="6" t="inlineStr">
        <is>
          <t>Técnico 01</t>
        </is>
      </c>
      <c r="AF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0">
        <f>IF(tblOrdenes[[#This Row],[orden]]="","",_xlfn.XLOOKUP(tblOrdenes[[#This Row],[id_operacion]],tblEjecucion[id_operacion],tblEjecucion[precio],0))</f>
        <v/>
      </c>
      <c r="AJ48" s="10">
        <f>IF(tblOrdenes[[#This Row],[orden]]="","",MAX(0,_xlfn.XLOOKUP(tblOrdenes[[#This Row],[id_operacion]],tblEjecucion[id_operacion],tblEjecucion[costo_plan_total],0)-tblOrdenes[[#This Row],[costo_servicio]]))</f>
        <v/>
      </c>
      <c r="AK48" s="10">
        <f>IF(tblOrdenes[[#This Row],[orden]]="","",tblOrdenes[[#This Row],[costo_servicio]]+tblOrdenes[[#This Row],[costo_materiales]])</f>
        <v/>
      </c>
      <c r="AL48" s="6" t="inlineStr"/>
      <c r="AM48" s="6" t="inlineStr"/>
      <c r="AN48" s="6" t="inlineStr">
        <is>
          <t>ACT-01.pdf</t>
        </is>
      </c>
      <c r="AO48" s="3">
        <f>IF(tblOrdenes[[#This Row],[link_checklist]]="","",HYPERLINK(p_ruta_base_checklists&amp;tblOrdenes[[#This Row],[link_checklist]],"abrir"))</f>
        <v/>
      </c>
      <c r="AP48" s="6" t="inlineStr"/>
      <c r="AQ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3">
        <f>IF(tblOrdenes[[#This Row],[tipo_ot]]="","",_xlfn.XLOOKUP(tblOrdenes[[#This Row],[tipo_ot]],tblTiposOT[codigo],tblTiposOT[clasificacion],"sin_clasificar"))</f>
        <v/>
      </c>
      <c r="U49" s="3">
        <f>IF(tblOrdenes[[#This Row],[centro_costo]]="","",_xlfn.XLOOKUP(tblOrdenes[[#This Row],[centro_costo]],tblCECO[codigo],tblCECO[linea],"(sin catálogo)"))</f>
        <v/>
      </c>
      <c r="V49" s="3">
        <f>IF(tblOrdenes[[#This Row],[centro_costo]]="","",_xlfn.XLOOKUP(tblOrdenes[[#This Row],[centro_costo]],tblCECO[codigo],tblCECO[area],"(sin catálogo)"))</f>
        <v/>
      </c>
      <c r="W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3">
        <f>IF(tblOrdenes[[#This Row],[centro_costo]]="","",_xlfn.XLOOKUP(tblOrdenes[[#This Row],[centro_costo]],tblCECO[codigo],tblCECO[coordinador],"(sin catálogo)"))</f>
        <v/>
      </c>
      <c r="Y49" s="3">
        <f>IF(tblOrdenes[[#This Row],[puesto_trabajo]]="","",_xlfn.XLOOKUP(tblOrdenes[[#This Row],[puesto_trabajo]],tblPuestos[codigo],tblPuestos[especialidad],"(sin catálogo)"))</f>
        <v/>
      </c>
      <c r="Z49" s="3">
        <f>IF(tblOrdenes[[#This Row],[cod_actividad]]="","",_xlfn.XLOOKUP(tblOrdenes[[#This Row],[cod_actividad]],tblActividades[codigo],tblActividades[descripcion],"(sin catálogo)"))</f>
        <v/>
      </c>
      <c r="AA49" s="12">
        <f>IF(tblOrdenes[[#This Row],[fecha_inicio]]="","",TODAY()-tblOrdenes[[#This Row],[fecha_inicio]])</f>
        <v/>
      </c>
      <c r="AB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3">
        <f>IF(tblOrdenes[[#This Row],[backlog_habiles]]="","",IF(tblOrdenes[[#This Row],[backlog_habiles]]&lt;0,"FUTURO",IF(tblOrdenes[[#This Row],[backlog_habiles]]&gt;p_dias_backlog_max,"BACKLOG","MES CORRIENTE")))</f>
        <v/>
      </c>
      <c r="AD49" s="3">
        <f>IF(tblOrdenes[[#This Row],[backlog_habiles]]="",FALSE,AND(tblOrdenes[[#This Row],[backlog_habiles]]&gt;p_dias_backlog_min,tblOrdenes[[#This Row],[backlog_habiles]]&lt;=p_dias_backlog_max))</f>
        <v/>
      </c>
      <c r="AE49" s="6" t="inlineStr">
        <is>
          <t>Técnico 02</t>
        </is>
      </c>
      <c r="AF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0">
        <f>IF(tblOrdenes[[#This Row],[orden]]="","",_xlfn.XLOOKUP(tblOrdenes[[#This Row],[id_operacion]],tblEjecucion[id_operacion],tblEjecucion[precio],0))</f>
        <v/>
      </c>
      <c r="AJ49" s="10">
        <f>IF(tblOrdenes[[#This Row],[orden]]="","",MAX(0,_xlfn.XLOOKUP(tblOrdenes[[#This Row],[id_operacion]],tblEjecucion[id_operacion],tblEjecucion[costo_plan_total],0)-tblOrdenes[[#This Row],[costo_servicio]]))</f>
        <v/>
      </c>
      <c r="AK49" s="10">
        <f>IF(tblOrdenes[[#This Row],[orden]]="","",tblOrdenes[[#This Row],[costo_servicio]]+tblOrdenes[[#This Row],[costo_materiales]])</f>
        <v/>
      </c>
      <c r="AL49" s="6" t="inlineStr"/>
      <c r="AM49" s="6" t="inlineStr"/>
      <c r="AN49" s="6" t="inlineStr">
        <is>
          <t>ACT-02.pdf</t>
        </is>
      </c>
      <c r="AO49" s="3">
        <f>IF(tblOrdenes[[#This Row],[link_checklist]]="","",HYPERLINK(p_ruta_base_checklists&amp;tblOrdenes[[#This Row],[link_checklist]],"abrir"))</f>
        <v/>
      </c>
      <c r="AP49" s="6" t="inlineStr"/>
      <c r="AQ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3">
        <f>IF(tblOrdenes[[#This Row],[tipo_ot]]="","",_xlfn.XLOOKUP(tblOrdenes[[#This Row],[tipo_ot]],tblTiposOT[codigo],tblTiposOT[clasificacion],"sin_clasificar"))</f>
        <v/>
      </c>
      <c r="U50" s="3">
        <f>IF(tblOrdenes[[#This Row],[centro_costo]]="","",_xlfn.XLOOKUP(tblOrdenes[[#This Row],[centro_costo]],tblCECO[codigo],tblCECO[linea],"(sin catálogo)"))</f>
        <v/>
      </c>
      <c r="V50" s="3">
        <f>IF(tblOrdenes[[#This Row],[centro_costo]]="","",_xlfn.XLOOKUP(tblOrdenes[[#This Row],[centro_costo]],tblCECO[codigo],tblCECO[area],"(sin catálogo)"))</f>
        <v/>
      </c>
      <c r="W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3">
        <f>IF(tblOrdenes[[#This Row],[centro_costo]]="","",_xlfn.XLOOKUP(tblOrdenes[[#This Row],[centro_costo]],tblCECO[codigo],tblCECO[coordinador],"(sin catálogo)"))</f>
        <v/>
      </c>
      <c r="Y50" s="3">
        <f>IF(tblOrdenes[[#This Row],[puesto_trabajo]]="","",_xlfn.XLOOKUP(tblOrdenes[[#This Row],[puesto_trabajo]],tblPuestos[codigo],tblPuestos[especialidad],"(sin catálogo)"))</f>
        <v/>
      </c>
      <c r="Z50" s="3">
        <f>IF(tblOrdenes[[#This Row],[cod_actividad]]="","",_xlfn.XLOOKUP(tblOrdenes[[#This Row],[cod_actividad]],tblActividades[codigo],tblActividades[descripcion],"(sin catálogo)"))</f>
        <v/>
      </c>
      <c r="AA50" s="12">
        <f>IF(tblOrdenes[[#This Row],[fecha_inicio]]="","",TODAY()-tblOrdenes[[#This Row],[fecha_inicio]])</f>
        <v/>
      </c>
      <c r="AB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3">
        <f>IF(tblOrdenes[[#This Row],[backlog_habiles]]="","",IF(tblOrdenes[[#This Row],[backlog_habiles]]&lt;0,"FUTURO",IF(tblOrdenes[[#This Row],[backlog_habiles]]&gt;p_dias_backlog_max,"BACKLOG","MES CORRIENTE")))</f>
        <v/>
      </c>
      <c r="AD50" s="3">
        <f>IF(tblOrdenes[[#This Row],[backlog_habiles]]="",FALSE,AND(tblOrdenes[[#This Row],[backlog_habiles]]&gt;p_dias_backlog_min,tblOrdenes[[#This Row],[backlog_habiles]]&lt;=p_dias_backlog_max))</f>
        <v/>
      </c>
      <c r="AE50" s="6" t="inlineStr">
        <is>
          <t>Técnico 03</t>
        </is>
      </c>
      <c r="AF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0">
        <f>IF(tblOrdenes[[#This Row],[orden]]="","",_xlfn.XLOOKUP(tblOrdenes[[#This Row],[id_operacion]],tblEjecucion[id_operacion],tblEjecucion[precio],0))</f>
        <v/>
      </c>
      <c r="AJ50" s="10">
        <f>IF(tblOrdenes[[#This Row],[orden]]="","",MAX(0,_xlfn.XLOOKUP(tblOrdenes[[#This Row],[id_operacion]],tblEjecucion[id_operacion],tblEjecucion[costo_plan_total],0)-tblOrdenes[[#This Row],[costo_servicio]]))</f>
        <v/>
      </c>
      <c r="AK50" s="10">
        <f>IF(tblOrdenes[[#This Row],[orden]]="","",tblOrdenes[[#This Row],[costo_servicio]]+tblOrdenes[[#This Row],[costo_materiales]])</f>
        <v/>
      </c>
      <c r="AL50" s="6" t="inlineStr"/>
      <c r="AM50" s="6" t="inlineStr"/>
      <c r="AN50" s="6" t="inlineStr"/>
      <c r="AO50" s="3">
        <f>IF(tblOrdenes[[#This Row],[link_checklist]]="","",HYPERLINK(p_ruta_base_checklists&amp;tblOrdenes[[#This Row],[link_checklist]],"abrir"))</f>
        <v/>
      </c>
      <c r="AP50" s="6" t="inlineStr"/>
      <c r="AQ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3">
        <f>IF(tblOrdenes[[#This Row],[tipo_ot]]="","",_xlfn.XLOOKUP(tblOrdenes[[#This Row],[tipo_ot]],tblTiposOT[codigo],tblTiposOT[clasificacion],"sin_clasificar"))</f>
        <v/>
      </c>
      <c r="U51" s="3">
        <f>IF(tblOrdenes[[#This Row],[centro_costo]]="","",_xlfn.XLOOKUP(tblOrdenes[[#This Row],[centro_costo]],tblCECO[codigo],tblCECO[linea],"(sin catálogo)"))</f>
        <v/>
      </c>
      <c r="V51" s="3">
        <f>IF(tblOrdenes[[#This Row],[centro_costo]]="","",_xlfn.XLOOKUP(tblOrdenes[[#This Row],[centro_costo]],tblCECO[codigo],tblCECO[area],"(sin catálogo)"))</f>
        <v/>
      </c>
      <c r="W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3">
        <f>IF(tblOrdenes[[#This Row],[centro_costo]]="","",_xlfn.XLOOKUP(tblOrdenes[[#This Row],[centro_costo]],tblCECO[codigo],tblCECO[coordinador],"(sin catálogo)"))</f>
        <v/>
      </c>
      <c r="Y51" s="3">
        <f>IF(tblOrdenes[[#This Row],[puesto_trabajo]]="","",_xlfn.XLOOKUP(tblOrdenes[[#This Row],[puesto_trabajo]],tblPuestos[codigo],tblPuestos[especialidad],"(sin catálogo)"))</f>
        <v/>
      </c>
      <c r="Z51" s="3">
        <f>IF(tblOrdenes[[#This Row],[cod_actividad]]="","",_xlfn.XLOOKUP(tblOrdenes[[#This Row],[cod_actividad]],tblActividades[codigo],tblActividades[descripcion],"(sin catálogo)"))</f>
        <v/>
      </c>
      <c r="AA51" s="12">
        <f>IF(tblOrdenes[[#This Row],[fecha_inicio]]="","",TODAY()-tblOrdenes[[#This Row],[fecha_inicio]])</f>
        <v/>
      </c>
      <c r="AB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3">
        <f>IF(tblOrdenes[[#This Row],[backlog_habiles]]="","",IF(tblOrdenes[[#This Row],[backlog_habiles]]&lt;0,"FUTURO",IF(tblOrdenes[[#This Row],[backlog_habiles]]&gt;p_dias_backlog_max,"BACKLOG","MES CORRIENTE")))</f>
        <v/>
      </c>
      <c r="AD51" s="3">
        <f>IF(tblOrdenes[[#This Row],[backlog_habiles]]="",FALSE,AND(tblOrdenes[[#This Row],[backlog_habiles]]&gt;p_dias_backlog_min,tblOrdenes[[#This Row],[backlog_habiles]]&lt;=p_dias_backlog_max))</f>
        <v/>
      </c>
      <c r="AE51" s="6" t="inlineStr"/>
      <c r="AF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0">
        <f>IF(tblOrdenes[[#This Row],[orden]]="","",_xlfn.XLOOKUP(tblOrdenes[[#This Row],[id_operacion]],tblEjecucion[id_operacion],tblEjecucion[precio],0))</f>
        <v/>
      </c>
      <c r="AJ51" s="10">
        <f>IF(tblOrdenes[[#This Row],[orden]]="","",MAX(0,_xlfn.XLOOKUP(tblOrdenes[[#This Row],[id_operacion]],tblEjecucion[id_operacion],tblEjecucion[costo_plan_total],0)-tblOrdenes[[#This Row],[costo_servicio]]))</f>
        <v/>
      </c>
      <c r="AK51" s="10">
        <f>IF(tblOrdenes[[#This Row],[orden]]="","",tblOrdenes[[#This Row],[costo_servicio]]+tblOrdenes[[#This Row],[costo_materiales]])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IF(tblOrdenes[[#This Row],[link_checklist]]="","",HYPERLINK(p_ruta_base_checklists&amp;tblOrdenes[[#This Row],[link_checklist]],"abrir"))</f>
        <v/>
      </c>
      <c r="AP51" s="6" t="inlineStr"/>
      <c r="AQ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3">
        <f>IF(tblOrdenes[[#This Row],[tipo_ot]]="","",_xlfn.XLOOKUP(tblOrdenes[[#This Row],[tipo_ot]],tblTiposOT[codigo],tblTiposOT[clasificacion],"sin_clasificar"))</f>
        <v/>
      </c>
      <c r="U52" s="3">
        <f>IF(tblOrdenes[[#This Row],[centro_costo]]="","",_xlfn.XLOOKUP(tblOrdenes[[#This Row],[centro_costo]],tblCECO[codigo],tblCECO[linea],"(sin catálogo)"))</f>
        <v/>
      </c>
      <c r="V52" s="3">
        <f>IF(tblOrdenes[[#This Row],[centro_costo]]="","",_xlfn.XLOOKUP(tblOrdenes[[#This Row],[centro_costo]],tblCECO[codigo],tblCECO[area],"(sin catálogo)"))</f>
        <v/>
      </c>
      <c r="W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3">
        <f>IF(tblOrdenes[[#This Row],[centro_costo]]="","",_xlfn.XLOOKUP(tblOrdenes[[#This Row],[centro_costo]],tblCECO[codigo],tblCECO[coordinador],"(sin catálogo)"))</f>
        <v/>
      </c>
      <c r="Y52" s="3">
        <f>IF(tblOrdenes[[#This Row],[puesto_trabajo]]="","",_xlfn.XLOOKUP(tblOrdenes[[#This Row],[puesto_trabajo]],tblPuestos[codigo],tblPuestos[especialidad],"(sin catálogo)"))</f>
        <v/>
      </c>
      <c r="Z52" s="3">
        <f>IF(tblOrdenes[[#This Row],[cod_actividad]]="","",_xlfn.XLOOKUP(tblOrdenes[[#This Row],[cod_actividad]],tblActividades[codigo],tblActividades[descripcion],"(sin catálogo)"))</f>
        <v/>
      </c>
      <c r="AA52" s="12">
        <f>IF(tblOrdenes[[#This Row],[fecha_inicio]]="","",TODAY()-tblOrdenes[[#This Row],[fecha_inicio]])</f>
        <v/>
      </c>
      <c r="AB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3">
        <f>IF(tblOrdenes[[#This Row],[backlog_habiles]]="","",IF(tblOrdenes[[#This Row],[backlog_habiles]]&lt;0,"FUTURO",IF(tblOrdenes[[#This Row],[backlog_habiles]]&gt;p_dias_backlog_max,"BACKLOG","MES CORRIENTE")))</f>
        <v/>
      </c>
      <c r="AD52" s="3">
        <f>IF(tblOrdenes[[#This Row],[backlog_habiles]]="",FALSE,AND(tblOrdenes[[#This Row],[backlog_habiles]]&gt;p_dias_backlog_min,tblOrdenes[[#This Row],[backlog_habiles]]&lt;=p_dias_backlog_max))</f>
        <v/>
      </c>
      <c r="AE52" s="6" t="inlineStr">
        <is>
          <t>Técnico 05</t>
        </is>
      </c>
      <c r="AF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0">
        <f>IF(tblOrdenes[[#This Row],[orden]]="","",_xlfn.XLOOKUP(tblOrdenes[[#This Row],[id_operacion]],tblEjecucion[id_operacion],tblEjecucion[precio],0))</f>
        <v/>
      </c>
      <c r="AJ52" s="10">
        <f>IF(tblOrdenes[[#This Row],[orden]]="","",MAX(0,_xlfn.XLOOKUP(tblOrdenes[[#This Row],[id_operacion]],tblEjecucion[id_operacion],tblEjecucion[costo_plan_total],0)-tblOrdenes[[#This Row],[costo_servicio]]))</f>
        <v/>
      </c>
      <c r="AK52" s="10">
        <f>IF(tblOrdenes[[#This Row],[orden]]="","",tblOrdenes[[#This Row],[costo_servicio]]+tblOrdenes[[#This Row],[costo_materiales]])</f>
        <v/>
      </c>
      <c r="AL52" s="6" t="inlineStr"/>
      <c r="AM52" s="6" t="inlineStr"/>
      <c r="AN52" s="6" t="inlineStr">
        <is>
          <t>ACT-02.pdf</t>
        </is>
      </c>
      <c r="AO52" s="3">
        <f>IF(tblOrdenes[[#This Row],[link_checklist]]="","",HYPERLINK(p_ruta_base_checklists&amp;tblOrdenes[[#This Row],[link_checklist]],"abrir"))</f>
        <v/>
      </c>
      <c r="AP52" s="6" t="inlineStr"/>
      <c r="AQ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3">
        <f>IF(tblOrdenes[[#This Row],[tipo_ot]]="","",_xlfn.XLOOKUP(tblOrdenes[[#This Row],[tipo_ot]],tblTiposOT[codigo],tblTiposOT[clasificacion],"sin_clasificar"))</f>
        <v/>
      </c>
      <c r="U53" s="3">
        <f>IF(tblOrdenes[[#This Row],[centro_costo]]="","",_xlfn.XLOOKUP(tblOrdenes[[#This Row],[centro_costo]],tblCECO[codigo],tblCECO[linea],"(sin catálogo)"))</f>
        <v/>
      </c>
      <c r="V53" s="3">
        <f>IF(tblOrdenes[[#This Row],[centro_costo]]="","",_xlfn.XLOOKUP(tblOrdenes[[#This Row],[centro_costo]],tblCECO[codigo],tblCECO[area],"(sin catálogo)"))</f>
        <v/>
      </c>
      <c r="W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3">
        <f>IF(tblOrdenes[[#This Row],[centro_costo]]="","",_xlfn.XLOOKUP(tblOrdenes[[#This Row],[centro_costo]],tblCECO[codigo],tblCECO[coordinador],"(sin catálogo)"))</f>
        <v/>
      </c>
      <c r="Y53" s="3">
        <f>IF(tblOrdenes[[#This Row],[puesto_trabajo]]="","",_xlfn.XLOOKUP(tblOrdenes[[#This Row],[puesto_trabajo]],tblPuestos[codigo],tblPuestos[especialidad],"(sin catálogo)"))</f>
        <v/>
      </c>
      <c r="Z53" s="3">
        <f>IF(tblOrdenes[[#This Row],[cod_actividad]]="","",_xlfn.XLOOKUP(tblOrdenes[[#This Row],[cod_actividad]],tblActividades[codigo],tblActividades[descripcion],"(sin catálogo)"))</f>
        <v/>
      </c>
      <c r="AA53" s="12">
        <f>IF(tblOrdenes[[#This Row],[fecha_inicio]]="","",TODAY()-tblOrdenes[[#This Row],[fecha_inicio]])</f>
        <v/>
      </c>
      <c r="AB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3">
        <f>IF(tblOrdenes[[#This Row],[backlog_habiles]]="","",IF(tblOrdenes[[#This Row],[backlog_habiles]]&lt;0,"FUTURO",IF(tblOrdenes[[#This Row],[backlog_habiles]]&gt;p_dias_backlog_max,"BACKLOG","MES CORRIENTE")))</f>
        <v/>
      </c>
      <c r="AD53" s="3">
        <f>IF(tblOrdenes[[#This Row],[backlog_habiles]]="",FALSE,AND(tblOrdenes[[#This Row],[backlog_habiles]]&gt;p_dias_backlog_min,tblOrdenes[[#This Row],[backlog_habiles]]&lt;=p_dias_backlog_max))</f>
        <v/>
      </c>
      <c r="AE53" s="6" t="inlineStr">
        <is>
          <t>Técnico 06</t>
        </is>
      </c>
      <c r="AF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0">
        <f>IF(tblOrdenes[[#This Row],[orden]]="","",_xlfn.XLOOKUP(tblOrdenes[[#This Row],[id_operacion]],tblEjecucion[id_operacion],tblEjecucion[precio],0))</f>
        <v/>
      </c>
      <c r="AJ53" s="10">
        <f>IF(tblOrdenes[[#This Row],[orden]]="","",MAX(0,_xlfn.XLOOKUP(tblOrdenes[[#This Row],[id_operacion]],tblEjecucion[id_operacion],tblEjecucion[costo_plan_total],0)-tblOrdenes[[#This Row],[costo_servicio]]))</f>
        <v/>
      </c>
      <c r="AK53" s="10">
        <f>IF(tblOrdenes[[#This Row],[orden]]="","",tblOrdenes[[#This Row],[costo_servicio]]+tblOrdenes[[#This Row],[costo_materiales]])</f>
        <v/>
      </c>
      <c r="AL53" s="6" t="inlineStr"/>
      <c r="AM53" s="6" t="inlineStr"/>
      <c r="AN53" s="6" t="inlineStr">
        <is>
          <t>ACT-04.pdf</t>
        </is>
      </c>
      <c r="AO53" s="3">
        <f>IF(tblOrdenes[[#This Row],[link_checklist]]="","",HYPERLINK(p_ruta_base_checklists&amp;tblOrdenes[[#This Row],[link_checklist]],"abrir"))</f>
        <v/>
      </c>
      <c r="AP53" s="6" t="inlineStr"/>
      <c r="AQ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3">
        <f>IF(tblOrdenes[[#This Row],[tipo_ot]]="","",_xlfn.XLOOKUP(tblOrdenes[[#This Row],[tipo_ot]],tblTiposOT[codigo],tblTiposOT[clasificacion],"sin_clasificar"))</f>
        <v/>
      </c>
      <c r="U54" s="3">
        <f>IF(tblOrdenes[[#This Row],[centro_costo]]="","",_xlfn.XLOOKUP(tblOrdenes[[#This Row],[centro_costo]],tblCECO[codigo],tblCECO[linea],"(sin catálogo)"))</f>
        <v/>
      </c>
      <c r="V54" s="3">
        <f>IF(tblOrdenes[[#This Row],[centro_costo]]="","",_xlfn.XLOOKUP(tblOrdenes[[#This Row],[centro_costo]],tblCECO[codigo],tblCECO[area],"(sin catálogo)"))</f>
        <v/>
      </c>
      <c r="W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3">
        <f>IF(tblOrdenes[[#This Row],[centro_costo]]="","",_xlfn.XLOOKUP(tblOrdenes[[#This Row],[centro_costo]],tblCECO[codigo],tblCECO[coordinador],"(sin catálogo)"))</f>
        <v/>
      </c>
      <c r="Y54" s="3">
        <f>IF(tblOrdenes[[#This Row],[puesto_trabajo]]="","",_xlfn.XLOOKUP(tblOrdenes[[#This Row],[puesto_trabajo]],tblPuestos[codigo],tblPuestos[especialidad],"(sin catálogo)"))</f>
        <v/>
      </c>
      <c r="Z54" s="3">
        <f>IF(tblOrdenes[[#This Row],[cod_actividad]]="","",_xlfn.XLOOKUP(tblOrdenes[[#This Row],[cod_actividad]],tblActividades[codigo],tblActividades[descripcion],"(sin catálogo)"))</f>
        <v/>
      </c>
      <c r="AA54" s="12">
        <f>IF(tblOrdenes[[#This Row],[fecha_inicio]]="","",TODAY()-tblOrdenes[[#This Row],[fecha_inicio]])</f>
        <v/>
      </c>
      <c r="AB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3">
        <f>IF(tblOrdenes[[#This Row],[backlog_habiles]]="","",IF(tblOrdenes[[#This Row],[backlog_habiles]]&lt;0,"FUTURO",IF(tblOrdenes[[#This Row],[backlog_habiles]]&gt;p_dias_backlog_max,"BACKLOG","MES CORRIENTE")))</f>
        <v/>
      </c>
      <c r="AD54" s="3">
        <f>IF(tblOrdenes[[#This Row],[backlog_habiles]]="",FALSE,AND(tblOrdenes[[#This Row],[backlog_habiles]]&gt;p_dias_backlog_min,tblOrdenes[[#This Row],[backlog_habiles]]&lt;=p_dias_backlog_max))</f>
        <v/>
      </c>
      <c r="AE54" s="6" t="inlineStr">
        <is>
          <t>Técnico 07</t>
        </is>
      </c>
      <c r="AF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0">
        <f>IF(tblOrdenes[[#This Row],[orden]]="","",_xlfn.XLOOKUP(tblOrdenes[[#This Row],[id_operacion]],tblEjecucion[id_operacion],tblEjecucion[precio],0))</f>
        <v/>
      </c>
      <c r="AJ54" s="10">
        <f>IF(tblOrdenes[[#This Row],[orden]]="","",MAX(0,_xlfn.XLOOKUP(tblOrdenes[[#This Row],[id_operacion]],tblEjecucion[id_operacion],tblEjecucion[costo_plan_total],0)-tblOrdenes[[#This Row],[costo_servicio]]))</f>
        <v/>
      </c>
      <c r="AK54" s="10">
        <f>IF(tblOrdenes[[#This Row],[orden]]="","",tblOrdenes[[#This Row],[costo_servicio]]+tblOrdenes[[#This Row],[costo_materiales]])</f>
        <v/>
      </c>
      <c r="AL54" s="6" t="inlineStr"/>
      <c r="AM54" s="6" t="inlineStr"/>
      <c r="AN54" s="6" t="inlineStr">
        <is>
          <t>ACT-01.pdf</t>
        </is>
      </c>
      <c r="AO54" s="3">
        <f>IF(tblOrdenes[[#This Row],[link_checklist]]="","",HYPERLINK(p_ruta_base_checklists&amp;tblOrdenes[[#This Row],[link_checklist]],"abrir"))</f>
        <v/>
      </c>
      <c r="AP54" s="6" t="inlineStr"/>
      <c r="AQ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3">
        <f>IF(tblOrdenes[[#This Row],[tipo_ot]]="","",_xlfn.XLOOKUP(tblOrdenes[[#This Row],[tipo_ot]],tblTiposOT[codigo],tblTiposOT[clasificacion],"sin_clasificar"))</f>
        <v/>
      </c>
      <c r="U55" s="3">
        <f>IF(tblOrdenes[[#This Row],[centro_costo]]="","",_xlfn.XLOOKUP(tblOrdenes[[#This Row],[centro_costo]],tblCECO[codigo],tblCECO[linea],"(sin catálogo)"))</f>
        <v/>
      </c>
      <c r="V55" s="3">
        <f>IF(tblOrdenes[[#This Row],[centro_costo]]="","",_xlfn.XLOOKUP(tblOrdenes[[#This Row],[centro_costo]],tblCECO[codigo],tblCECO[area],"(sin catálogo)"))</f>
        <v/>
      </c>
      <c r="W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3">
        <f>IF(tblOrdenes[[#This Row],[centro_costo]]="","",_xlfn.XLOOKUP(tblOrdenes[[#This Row],[centro_costo]],tblCECO[codigo],tblCECO[coordinador],"(sin catálogo)"))</f>
        <v/>
      </c>
      <c r="Y55" s="3">
        <f>IF(tblOrdenes[[#This Row],[puesto_trabajo]]="","",_xlfn.XLOOKUP(tblOrdenes[[#This Row],[puesto_trabajo]],tblPuestos[codigo],tblPuestos[especialidad],"(sin catálogo)"))</f>
        <v/>
      </c>
      <c r="Z55" s="3">
        <f>IF(tblOrdenes[[#This Row],[cod_actividad]]="","",_xlfn.XLOOKUP(tblOrdenes[[#This Row],[cod_actividad]],tblActividades[codigo],tblActividades[descripcion],"(sin catálogo)"))</f>
        <v/>
      </c>
      <c r="AA55" s="12">
        <f>IF(tblOrdenes[[#This Row],[fecha_inicio]]="","",TODAY()-tblOrdenes[[#This Row],[fecha_inicio]])</f>
        <v/>
      </c>
      <c r="AB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3">
        <f>IF(tblOrdenes[[#This Row],[backlog_habiles]]="","",IF(tblOrdenes[[#This Row],[backlog_habiles]]&lt;0,"FUTURO",IF(tblOrdenes[[#This Row],[backlog_habiles]]&gt;p_dias_backlog_max,"BACKLOG","MES CORRIENTE")))</f>
        <v/>
      </c>
      <c r="AD55" s="3">
        <f>IF(tblOrdenes[[#This Row],[backlog_habiles]]="",FALSE,AND(tblOrdenes[[#This Row],[backlog_habiles]]&gt;p_dias_backlog_min,tblOrdenes[[#This Row],[backlog_habiles]]&lt;=p_dias_backlog_max))</f>
        <v/>
      </c>
      <c r="AE55" s="6" t="inlineStr">
        <is>
          <t>Técnico 05</t>
        </is>
      </c>
      <c r="AF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0">
        <f>IF(tblOrdenes[[#This Row],[orden]]="","",_xlfn.XLOOKUP(tblOrdenes[[#This Row],[id_operacion]],tblEjecucion[id_operacion],tblEjecucion[precio],0))</f>
        <v/>
      </c>
      <c r="AJ55" s="10">
        <f>IF(tblOrdenes[[#This Row],[orden]]="","",MAX(0,_xlfn.XLOOKUP(tblOrdenes[[#This Row],[id_operacion]],tblEjecucion[id_operacion],tblEjecucion[costo_plan_total],0)-tblOrdenes[[#This Row],[costo_servicio]]))</f>
        <v/>
      </c>
      <c r="AK55" s="10">
        <f>IF(tblOrdenes[[#This Row],[orden]]="","",tblOrdenes[[#This Row],[costo_servicio]]+tblOrdenes[[#This Row],[costo_materiales]])</f>
        <v/>
      </c>
      <c r="AL55" s="6" t="inlineStr"/>
      <c r="AM55" s="6" t="inlineStr"/>
      <c r="AN55" s="6" t="inlineStr">
        <is>
          <t>ACT-02.pdf</t>
        </is>
      </c>
      <c r="AO55" s="3">
        <f>IF(tblOrdenes[[#This Row],[link_checklist]]="","",HYPERLINK(p_ruta_base_checklists&amp;tblOrdenes[[#This Row],[link_checklist]],"abrir"))</f>
        <v/>
      </c>
      <c r="AP55" s="6" t="inlineStr"/>
      <c r="AQ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3">
        <f>IF(tblOrdenes[[#This Row],[tipo_ot]]="","",_xlfn.XLOOKUP(tblOrdenes[[#This Row],[tipo_ot]],tblTiposOT[codigo],tblTiposOT[clasificacion],"sin_clasificar"))</f>
        <v/>
      </c>
      <c r="U56" s="3">
        <f>IF(tblOrdenes[[#This Row],[centro_costo]]="","",_xlfn.XLOOKUP(tblOrdenes[[#This Row],[centro_costo]],tblCECO[codigo],tblCECO[linea],"(sin catálogo)"))</f>
        <v/>
      </c>
      <c r="V56" s="3">
        <f>IF(tblOrdenes[[#This Row],[centro_costo]]="","",_xlfn.XLOOKUP(tblOrdenes[[#This Row],[centro_costo]],tblCECO[codigo],tblCECO[area],"(sin catálogo)"))</f>
        <v/>
      </c>
      <c r="W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3">
        <f>IF(tblOrdenes[[#This Row],[centro_costo]]="","",_xlfn.XLOOKUP(tblOrdenes[[#This Row],[centro_costo]],tblCECO[codigo],tblCECO[coordinador],"(sin catálogo)"))</f>
        <v/>
      </c>
      <c r="Y56" s="3">
        <f>IF(tblOrdenes[[#This Row],[puesto_trabajo]]="","",_xlfn.XLOOKUP(tblOrdenes[[#This Row],[puesto_trabajo]],tblPuestos[codigo],tblPuestos[especialidad],"(sin catálogo)"))</f>
        <v/>
      </c>
      <c r="Z56" s="3">
        <f>IF(tblOrdenes[[#This Row],[cod_actividad]]="","",_xlfn.XLOOKUP(tblOrdenes[[#This Row],[cod_actividad]],tblActividades[codigo],tblActividades[descripcion],"(sin catálogo)"))</f>
        <v/>
      </c>
      <c r="AA56" s="12">
        <f>IF(tblOrdenes[[#This Row],[fecha_inicio]]="","",TODAY()-tblOrdenes[[#This Row],[fecha_inicio]])</f>
        <v/>
      </c>
      <c r="AB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3">
        <f>IF(tblOrdenes[[#This Row],[backlog_habiles]]="","",IF(tblOrdenes[[#This Row],[backlog_habiles]]&lt;0,"FUTURO",IF(tblOrdenes[[#This Row],[backlog_habiles]]&gt;p_dias_backlog_max,"BACKLOG","MES CORRIENTE")))</f>
        <v/>
      </c>
      <c r="AD56" s="3">
        <f>IF(tblOrdenes[[#This Row],[backlog_habiles]]="",FALSE,AND(tblOrdenes[[#This Row],[backlog_habiles]]&gt;p_dias_backlog_min,tblOrdenes[[#This Row],[backlog_habiles]]&lt;=p_dias_backlog_max))</f>
        <v/>
      </c>
      <c r="AE56" s="6" t="inlineStr">
        <is>
          <t>Técnico 06</t>
        </is>
      </c>
      <c r="AF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0">
        <f>IF(tblOrdenes[[#This Row],[orden]]="","",_xlfn.XLOOKUP(tblOrdenes[[#This Row],[id_operacion]],tblEjecucion[id_operacion],tblEjecucion[precio],0))</f>
        <v/>
      </c>
      <c r="AJ56" s="10">
        <f>IF(tblOrdenes[[#This Row],[orden]]="","",MAX(0,_xlfn.XLOOKUP(tblOrdenes[[#This Row],[id_operacion]],tblEjecucion[id_operacion],tblEjecucion[costo_plan_total],0)-tblOrdenes[[#This Row],[costo_servicio]]))</f>
        <v/>
      </c>
      <c r="AK56" s="10">
        <f>IF(tblOrdenes[[#This Row],[orden]]="","",tblOrdenes[[#This Row],[costo_servicio]]+tblOrdenes[[#This Row],[costo_materiales]])</f>
        <v/>
      </c>
      <c r="AL56" s="6" t="inlineStr"/>
      <c r="AM56" s="6" t="inlineStr"/>
      <c r="AN56" s="6" t="inlineStr">
        <is>
          <t>ACT-04.pdf</t>
        </is>
      </c>
      <c r="AO56" s="3">
        <f>IF(tblOrdenes[[#This Row],[link_checklist]]="","",HYPERLINK(p_ruta_base_checklists&amp;tblOrdenes[[#This Row],[link_checklist]],"abrir"))</f>
        <v/>
      </c>
      <c r="AP56" s="6" t="inlineStr"/>
      <c r="AQ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3">
        <f>IF(tblOrdenes[[#This Row],[tipo_ot]]="","",_xlfn.XLOOKUP(tblOrdenes[[#This Row],[tipo_ot]],tblTiposOT[codigo],tblTiposOT[clasificacion],"sin_clasificar"))</f>
        <v/>
      </c>
      <c r="U57" s="3">
        <f>IF(tblOrdenes[[#This Row],[centro_costo]]="","",_xlfn.XLOOKUP(tblOrdenes[[#This Row],[centro_costo]],tblCECO[codigo],tblCECO[linea],"(sin catálogo)"))</f>
        <v/>
      </c>
      <c r="V57" s="3">
        <f>IF(tblOrdenes[[#This Row],[centro_costo]]="","",_xlfn.XLOOKUP(tblOrdenes[[#This Row],[centro_costo]],tblCECO[codigo],tblCECO[area],"(sin catálogo)"))</f>
        <v/>
      </c>
      <c r="W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3">
        <f>IF(tblOrdenes[[#This Row],[centro_costo]]="","",_xlfn.XLOOKUP(tblOrdenes[[#This Row],[centro_costo]],tblCECO[codigo],tblCECO[coordinador],"(sin catálogo)"))</f>
        <v/>
      </c>
      <c r="Y57" s="3">
        <f>IF(tblOrdenes[[#This Row],[puesto_trabajo]]="","",_xlfn.XLOOKUP(tblOrdenes[[#This Row],[puesto_trabajo]],tblPuestos[codigo],tblPuestos[especialidad],"(sin catálogo)"))</f>
        <v/>
      </c>
      <c r="Z57" s="3">
        <f>IF(tblOrdenes[[#This Row],[cod_actividad]]="","",_xlfn.XLOOKUP(tblOrdenes[[#This Row],[cod_actividad]],tblActividades[codigo],tblActividades[descripcion],"(sin catálogo)"))</f>
        <v/>
      </c>
      <c r="AA57" s="12">
        <f>IF(tblOrdenes[[#This Row],[fecha_inicio]]="","",TODAY()-tblOrdenes[[#This Row],[fecha_inicio]])</f>
        <v/>
      </c>
      <c r="AB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3">
        <f>IF(tblOrdenes[[#This Row],[backlog_habiles]]="","",IF(tblOrdenes[[#This Row],[backlog_habiles]]&lt;0,"FUTURO",IF(tblOrdenes[[#This Row],[backlog_habiles]]&gt;p_dias_backlog_max,"BACKLOG","MES CORRIENTE")))</f>
        <v/>
      </c>
      <c r="AD57" s="3">
        <f>IF(tblOrdenes[[#This Row],[backlog_habiles]]="",FALSE,AND(tblOrdenes[[#This Row],[backlog_habiles]]&gt;p_dias_backlog_min,tblOrdenes[[#This Row],[backlog_habiles]]&lt;=p_dias_backlog_max))</f>
        <v/>
      </c>
      <c r="AE57" s="6" t="inlineStr">
        <is>
          <t>Técnico 07</t>
        </is>
      </c>
      <c r="AF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0">
        <f>IF(tblOrdenes[[#This Row],[orden]]="","",_xlfn.XLOOKUP(tblOrdenes[[#This Row],[id_operacion]],tblEjecucion[id_operacion],tblEjecucion[precio],0))</f>
        <v/>
      </c>
      <c r="AJ57" s="10">
        <f>IF(tblOrdenes[[#This Row],[orden]]="","",MAX(0,_xlfn.XLOOKUP(tblOrdenes[[#This Row],[id_operacion]],tblEjecucion[id_operacion],tblEjecucion[costo_plan_total],0)-tblOrdenes[[#This Row],[costo_servicio]]))</f>
        <v/>
      </c>
      <c r="AK57" s="10">
        <f>IF(tblOrdenes[[#This Row],[orden]]="","",tblOrdenes[[#This Row],[costo_servicio]]+tblOrdenes[[#This Row],[costo_materiales]])</f>
        <v/>
      </c>
      <c r="AL57" s="6" t="inlineStr"/>
      <c r="AM57" s="6" t="inlineStr"/>
      <c r="AN57" s="6" t="inlineStr">
        <is>
          <t>ACT-01.pdf</t>
        </is>
      </c>
      <c r="AO57" s="3">
        <f>IF(tblOrdenes[[#This Row],[link_checklist]]="","",HYPERLINK(p_ruta_base_checklists&amp;tblOrdenes[[#This Row],[link_checklist]],"abrir"))</f>
        <v/>
      </c>
      <c r="AP57" s="6" t="inlineStr"/>
      <c r="AQ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3">
        <f>IF(tblOrdenes[[#This Row],[tipo_ot]]="","",_xlfn.XLOOKUP(tblOrdenes[[#This Row],[tipo_ot]],tblTiposOT[codigo],tblTiposOT[clasificacion],"sin_clasificar"))</f>
        <v/>
      </c>
      <c r="U58" s="3">
        <f>IF(tblOrdenes[[#This Row],[centro_costo]]="","",_xlfn.XLOOKUP(tblOrdenes[[#This Row],[centro_costo]],tblCECO[codigo],tblCECO[linea],"(sin catálogo)"))</f>
        <v/>
      </c>
      <c r="V58" s="3">
        <f>IF(tblOrdenes[[#This Row],[centro_costo]]="","",_xlfn.XLOOKUP(tblOrdenes[[#This Row],[centro_costo]],tblCECO[codigo],tblCECO[area],"(sin catálogo)"))</f>
        <v/>
      </c>
      <c r="W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3">
        <f>IF(tblOrdenes[[#This Row],[centro_costo]]="","",_xlfn.XLOOKUP(tblOrdenes[[#This Row],[centro_costo]],tblCECO[codigo],tblCECO[coordinador],"(sin catálogo)"))</f>
        <v/>
      </c>
      <c r="Y58" s="3">
        <f>IF(tblOrdenes[[#This Row],[puesto_trabajo]]="","",_xlfn.XLOOKUP(tblOrdenes[[#This Row],[puesto_trabajo]],tblPuestos[codigo],tblPuestos[especialidad],"(sin catálogo)"))</f>
        <v/>
      </c>
      <c r="Z58" s="3">
        <f>IF(tblOrdenes[[#This Row],[cod_actividad]]="","",_xlfn.XLOOKUP(tblOrdenes[[#This Row],[cod_actividad]],tblActividades[codigo],tblActividades[descripcion],"(sin catálogo)"))</f>
        <v/>
      </c>
      <c r="AA58" s="12">
        <f>IF(tblOrdenes[[#This Row],[fecha_inicio]]="","",TODAY()-tblOrdenes[[#This Row],[fecha_inicio]])</f>
        <v/>
      </c>
      <c r="AB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3">
        <f>IF(tblOrdenes[[#This Row],[backlog_habiles]]="","",IF(tblOrdenes[[#This Row],[backlog_habiles]]&lt;0,"FUTURO",IF(tblOrdenes[[#This Row],[backlog_habiles]]&gt;p_dias_backlog_max,"BACKLOG","MES CORRIENTE")))</f>
        <v/>
      </c>
      <c r="AD58" s="3">
        <f>IF(tblOrdenes[[#This Row],[backlog_habiles]]="",FALSE,AND(tblOrdenes[[#This Row],[backlog_habiles]]&gt;p_dias_backlog_min,tblOrdenes[[#This Row],[backlog_habiles]]&lt;=p_dias_backlog_max))</f>
        <v/>
      </c>
      <c r="AE58" s="6" t="inlineStr">
        <is>
          <t>Técnico 05</t>
        </is>
      </c>
      <c r="AF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0">
        <f>IF(tblOrdenes[[#This Row],[orden]]="","",_xlfn.XLOOKUP(tblOrdenes[[#This Row],[id_operacion]],tblEjecucion[id_operacion],tblEjecucion[precio],0))</f>
        <v/>
      </c>
      <c r="AJ58" s="10">
        <f>IF(tblOrdenes[[#This Row],[orden]]="","",MAX(0,_xlfn.XLOOKUP(tblOrdenes[[#This Row],[id_operacion]],tblEjecucion[id_operacion],tblEjecucion[costo_plan_total],0)-tblOrdenes[[#This Row],[costo_servicio]]))</f>
        <v/>
      </c>
      <c r="AK58" s="10">
        <f>IF(tblOrdenes[[#This Row],[orden]]="","",tblOrdenes[[#This Row],[costo_servicio]]+tblOrdenes[[#This Row],[costo_materiales]])</f>
        <v/>
      </c>
      <c r="AL58" s="6" t="inlineStr"/>
      <c r="AM58" s="6" t="inlineStr"/>
      <c r="AN58" s="6" t="inlineStr">
        <is>
          <t>ACT-02.pdf</t>
        </is>
      </c>
      <c r="AO58" s="3">
        <f>IF(tblOrdenes[[#This Row],[link_checklist]]="","",HYPERLINK(p_ruta_base_checklists&amp;tblOrdenes[[#This Row],[link_checklist]],"abrir"))</f>
        <v/>
      </c>
      <c r="AP58" s="6" t="inlineStr"/>
      <c r="AQ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3">
        <f>IF(tblOrdenes[[#This Row],[tipo_ot]]="","",_xlfn.XLOOKUP(tblOrdenes[[#This Row],[tipo_ot]],tblTiposOT[codigo],tblTiposOT[clasificacion],"sin_clasificar"))</f>
        <v/>
      </c>
      <c r="U59" s="3">
        <f>IF(tblOrdenes[[#This Row],[centro_costo]]="","",_xlfn.XLOOKUP(tblOrdenes[[#This Row],[centro_costo]],tblCECO[codigo],tblCECO[linea],"(sin catálogo)"))</f>
        <v/>
      </c>
      <c r="V59" s="3">
        <f>IF(tblOrdenes[[#This Row],[centro_costo]]="","",_xlfn.XLOOKUP(tblOrdenes[[#This Row],[centro_costo]],tblCECO[codigo],tblCECO[area],"(sin catálogo)"))</f>
        <v/>
      </c>
      <c r="W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3">
        <f>IF(tblOrdenes[[#This Row],[centro_costo]]="","",_xlfn.XLOOKUP(tblOrdenes[[#This Row],[centro_costo]],tblCECO[codigo],tblCECO[coordinador],"(sin catálogo)"))</f>
        <v/>
      </c>
      <c r="Y59" s="3">
        <f>IF(tblOrdenes[[#This Row],[puesto_trabajo]]="","",_xlfn.XLOOKUP(tblOrdenes[[#This Row],[puesto_trabajo]],tblPuestos[codigo],tblPuestos[especialidad],"(sin catálogo)"))</f>
        <v/>
      </c>
      <c r="Z59" s="3">
        <f>IF(tblOrdenes[[#This Row],[cod_actividad]]="","",_xlfn.XLOOKUP(tblOrdenes[[#This Row],[cod_actividad]],tblActividades[codigo],tblActividades[descripcion],"(sin catálogo)"))</f>
        <v/>
      </c>
      <c r="AA59" s="12">
        <f>IF(tblOrdenes[[#This Row],[fecha_inicio]]="","",TODAY()-tblOrdenes[[#This Row],[fecha_inicio]])</f>
        <v/>
      </c>
      <c r="AB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3">
        <f>IF(tblOrdenes[[#This Row],[backlog_habiles]]="","",IF(tblOrdenes[[#This Row],[backlog_habiles]]&lt;0,"FUTURO",IF(tblOrdenes[[#This Row],[backlog_habiles]]&gt;p_dias_backlog_max,"BACKLOG","MES CORRIENTE")))</f>
        <v/>
      </c>
      <c r="AD59" s="3">
        <f>IF(tblOrdenes[[#This Row],[backlog_habiles]]="",FALSE,AND(tblOrdenes[[#This Row],[backlog_habiles]]&gt;p_dias_backlog_min,tblOrdenes[[#This Row],[backlog_habiles]]&lt;=p_dias_backlog_max))</f>
        <v/>
      </c>
      <c r="AE59" s="6" t="inlineStr">
        <is>
          <t>Técnico 06</t>
        </is>
      </c>
      <c r="AF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0">
        <f>IF(tblOrdenes[[#This Row],[orden]]="","",_xlfn.XLOOKUP(tblOrdenes[[#This Row],[id_operacion]],tblEjecucion[id_operacion],tblEjecucion[precio],0))</f>
        <v/>
      </c>
      <c r="AJ59" s="10">
        <f>IF(tblOrdenes[[#This Row],[orden]]="","",MAX(0,_xlfn.XLOOKUP(tblOrdenes[[#This Row],[id_operacion]],tblEjecucion[id_operacion],tblEjecucion[costo_plan_total],0)-tblOrdenes[[#This Row],[costo_servicio]]))</f>
        <v/>
      </c>
      <c r="AK59" s="10">
        <f>IF(tblOrdenes[[#This Row],[orden]]="","",tblOrdenes[[#This Row],[costo_servicio]]+tblOrdenes[[#This Row],[costo_materiales]])</f>
        <v/>
      </c>
      <c r="AL59" s="6" t="inlineStr"/>
      <c r="AM59" s="6" t="inlineStr"/>
      <c r="AN59" s="6" t="inlineStr">
        <is>
          <t>ACT-04.pdf</t>
        </is>
      </c>
      <c r="AO59" s="3">
        <f>IF(tblOrdenes[[#This Row],[link_checklist]]="","",HYPERLINK(p_ruta_base_checklists&amp;tblOrdenes[[#This Row],[link_checklist]],"abrir"))</f>
        <v/>
      </c>
      <c r="AP59" s="6" t="inlineStr"/>
      <c r="AQ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3">
        <f>IF(tblOrdenes[[#This Row],[tipo_ot]]="","",_xlfn.XLOOKUP(tblOrdenes[[#This Row],[tipo_ot]],tblTiposOT[codigo],tblTiposOT[clasificacion],"sin_clasificar"))</f>
        <v/>
      </c>
      <c r="U60" s="3">
        <f>IF(tblOrdenes[[#This Row],[centro_costo]]="","",_xlfn.XLOOKUP(tblOrdenes[[#This Row],[centro_costo]],tblCECO[codigo],tblCECO[linea],"(sin catálogo)"))</f>
        <v/>
      </c>
      <c r="V60" s="3">
        <f>IF(tblOrdenes[[#This Row],[centro_costo]]="","",_xlfn.XLOOKUP(tblOrdenes[[#This Row],[centro_costo]],tblCECO[codigo],tblCECO[area],"(sin catálogo)"))</f>
        <v/>
      </c>
      <c r="W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3">
        <f>IF(tblOrdenes[[#This Row],[centro_costo]]="","",_xlfn.XLOOKUP(tblOrdenes[[#This Row],[centro_costo]],tblCECO[codigo],tblCECO[coordinador],"(sin catálogo)"))</f>
        <v/>
      </c>
      <c r="Y60" s="3">
        <f>IF(tblOrdenes[[#This Row],[puesto_trabajo]]="","",_xlfn.XLOOKUP(tblOrdenes[[#This Row],[puesto_trabajo]],tblPuestos[codigo],tblPuestos[especialidad],"(sin catálogo)"))</f>
        <v/>
      </c>
      <c r="Z60" s="3">
        <f>IF(tblOrdenes[[#This Row],[cod_actividad]]="","",_xlfn.XLOOKUP(tblOrdenes[[#This Row],[cod_actividad]],tblActividades[codigo],tblActividades[descripcion],"(sin catálogo)"))</f>
        <v/>
      </c>
      <c r="AA60" s="12">
        <f>IF(tblOrdenes[[#This Row],[fecha_inicio]]="","",TODAY()-tblOrdenes[[#This Row],[fecha_inicio]])</f>
        <v/>
      </c>
      <c r="AB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3">
        <f>IF(tblOrdenes[[#This Row],[backlog_habiles]]="","",IF(tblOrdenes[[#This Row],[backlog_habiles]]&lt;0,"FUTURO",IF(tblOrdenes[[#This Row],[backlog_habiles]]&gt;p_dias_backlog_max,"BACKLOG","MES CORRIENTE")))</f>
        <v/>
      </c>
      <c r="AD60" s="3">
        <f>IF(tblOrdenes[[#This Row],[backlog_habiles]]="",FALSE,AND(tblOrdenes[[#This Row],[backlog_habiles]]&gt;p_dias_backlog_min,tblOrdenes[[#This Row],[backlog_habiles]]&lt;=p_dias_backlog_max))</f>
        <v/>
      </c>
      <c r="AE60" s="6" t="inlineStr">
        <is>
          <t>Técnico 07</t>
        </is>
      </c>
      <c r="AF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0">
        <f>IF(tblOrdenes[[#This Row],[orden]]="","",_xlfn.XLOOKUP(tblOrdenes[[#This Row],[id_operacion]],tblEjecucion[id_operacion],tblEjecucion[precio],0))</f>
        <v/>
      </c>
      <c r="AJ60" s="10">
        <f>IF(tblOrdenes[[#This Row],[orden]]="","",MAX(0,_xlfn.XLOOKUP(tblOrdenes[[#This Row],[id_operacion]],tblEjecucion[id_operacion],tblEjecucion[costo_plan_total],0)-tblOrdenes[[#This Row],[costo_servicio]]))</f>
        <v/>
      </c>
      <c r="AK60" s="10">
        <f>IF(tblOrdenes[[#This Row],[orden]]="","",tblOrdenes[[#This Row],[costo_servicio]]+tblOrdenes[[#This Row],[costo_materiales]])</f>
        <v/>
      </c>
      <c r="AL60" s="6" t="inlineStr"/>
      <c r="AM60" s="6" t="inlineStr"/>
      <c r="AN60" s="6" t="inlineStr"/>
      <c r="AO60" s="3">
        <f>IF(tblOrdenes[[#This Row],[link_checklist]]="","",HYPERLINK(p_ruta_base_checklists&amp;tblOrdenes[[#This Row],[link_checklist]],"abrir"))</f>
        <v/>
      </c>
      <c r="AP60" s="6" t="inlineStr"/>
      <c r="AQ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3">
        <f>IF(tblOrdenes[[#This Row],[tipo_ot]]="","",_xlfn.XLOOKUP(tblOrdenes[[#This Row],[tipo_ot]],tblTiposOT[codigo],tblTiposOT[clasificacion],"sin_clasificar"))</f>
        <v/>
      </c>
      <c r="U61" s="3">
        <f>IF(tblOrdenes[[#This Row],[centro_costo]]="","",_xlfn.XLOOKUP(tblOrdenes[[#This Row],[centro_costo]],tblCECO[codigo],tblCECO[linea],"(sin catálogo)"))</f>
        <v/>
      </c>
      <c r="V61" s="3">
        <f>IF(tblOrdenes[[#This Row],[centro_costo]]="","",_xlfn.XLOOKUP(tblOrdenes[[#This Row],[centro_costo]],tblCECO[codigo],tblCECO[area],"(sin catálogo)"))</f>
        <v/>
      </c>
      <c r="W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3">
        <f>IF(tblOrdenes[[#This Row],[centro_costo]]="","",_xlfn.XLOOKUP(tblOrdenes[[#This Row],[centro_costo]],tblCECO[codigo],tblCECO[coordinador],"(sin catálogo)"))</f>
        <v/>
      </c>
      <c r="Y61" s="3">
        <f>IF(tblOrdenes[[#This Row],[puesto_trabajo]]="","",_xlfn.XLOOKUP(tblOrdenes[[#This Row],[puesto_trabajo]],tblPuestos[codigo],tblPuestos[especialidad],"(sin catálogo)"))</f>
        <v/>
      </c>
      <c r="Z61" s="3">
        <f>IF(tblOrdenes[[#This Row],[cod_actividad]]="","",_xlfn.XLOOKUP(tblOrdenes[[#This Row],[cod_actividad]],tblActividades[codigo],tblActividades[descripcion],"(sin catálogo)"))</f>
        <v/>
      </c>
      <c r="AA61" s="12">
        <f>IF(tblOrdenes[[#This Row],[fecha_inicio]]="","",TODAY()-tblOrdenes[[#This Row],[fecha_inicio]])</f>
        <v/>
      </c>
      <c r="AB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3">
        <f>IF(tblOrdenes[[#This Row],[backlog_habiles]]="","",IF(tblOrdenes[[#This Row],[backlog_habiles]]&lt;0,"FUTURO",IF(tblOrdenes[[#This Row],[backlog_habiles]]&gt;p_dias_backlog_max,"BACKLOG","MES CORRIENTE")))</f>
        <v/>
      </c>
      <c r="AD61" s="3">
        <f>IF(tblOrdenes[[#This Row],[backlog_habiles]]="",FALSE,AND(tblOrdenes[[#This Row],[backlog_habiles]]&gt;p_dias_backlog_min,tblOrdenes[[#This Row],[backlog_habiles]]&lt;=p_dias_backlog_max))</f>
        <v/>
      </c>
      <c r="AE61" s="6" t="inlineStr">
        <is>
          <t>Técnico 05</t>
        </is>
      </c>
      <c r="AF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0">
        <f>IF(tblOrdenes[[#This Row],[orden]]="","",_xlfn.XLOOKUP(tblOrdenes[[#This Row],[id_operacion]],tblEjecucion[id_operacion],tblEjecucion[precio],0))</f>
        <v/>
      </c>
      <c r="AJ61" s="10">
        <f>IF(tblOrdenes[[#This Row],[orden]]="","",MAX(0,_xlfn.XLOOKUP(tblOrdenes[[#This Row],[id_operacion]],tblEjecucion[id_operacion],tblEjecucion[costo_plan_total],0)-tblOrdenes[[#This Row],[costo_servicio]]))</f>
        <v/>
      </c>
      <c r="AK61" s="10">
        <f>IF(tblOrdenes[[#This Row],[orden]]="","",tblOrdenes[[#This Row],[costo_servicio]]+tblOrdenes[[#This Row],[costo_materiales]])</f>
        <v/>
      </c>
      <c r="AL61" s="6" t="inlineStr"/>
      <c r="AM61" s="6" t="inlineStr"/>
      <c r="AN61" s="6" t="inlineStr"/>
      <c r="AO61" s="3">
        <f>IF(tblOrdenes[[#This Row],[link_checklist]]="","",HYPERLINK(p_ruta_base_checklists&amp;tblOrdenes[[#This Row],[link_checklist]],"abrir"))</f>
        <v/>
      </c>
      <c r="AP61" s="6" t="inlineStr"/>
      <c r="AQ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3">
        <f>IF(tblOrdenes[[#This Row],[tipo_ot]]="","",_xlfn.XLOOKUP(tblOrdenes[[#This Row],[tipo_ot]],tblTiposOT[codigo],tblTiposOT[clasificacion],"sin_clasificar"))</f>
        <v/>
      </c>
      <c r="U62" s="3">
        <f>IF(tblOrdenes[[#This Row],[centro_costo]]="","",_xlfn.XLOOKUP(tblOrdenes[[#This Row],[centro_costo]],tblCECO[codigo],tblCECO[linea],"(sin catálogo)"))</f>
        <v/>
      </c>
      <c r="V62" s="3">
        <f>IF(tblOrdenes[[#This Row],[centro_costo]]="","",_xlfn.XLOOKUP(tblOrdenes[[#This Row],[centro_costo]],tblCECO[codigo],tblCECO[area],"(sin catálogo)"))</f>
        <v/>
      </c>
      <c r="W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3">
        <f>IF(tblOrdenes[[#This Row],[centro_costo]]="","",_xlfn.XLOOKUP(tblOrdenes[[#This Row],[centro_costo]],tblCECO[codigo],tblCECO[coordinador],"(sin catálogo)"))</f>
        <v/>
      </c>
      <c r="Y62" s="3">
        <f>IF(tblOrdenes[[#This Row],[puesto_trabajo]]="","",_xlfn.XLOOKUP(tblOrdenes[[#This Row],[puesto_trabajo]],tblPuestos[codigo],tblPuestos[especialidad],"(sin catálogo)"))</f>
        <v/>
      </c>
      <c r="Z62" s="3">
        <f>IF(tblOrdenes[[#This Row],[cod_actividad]]="","",_xlfn.XLOOKUP(tblOrdenes[[#This Row],[cod_actividad]],tblActividades[codigo],tblActividades[descripcion],"(sin catálogo)"))</f>
        <v/>
      </c>
      <c r="AA62" s="12">
        <f>IF(tblOrdenes[[#This Row],[fecha_inicio]]="","",TODAY()-tblOrdenes[[#This Row],[fecha_inicio]])</f>
        <v/>
      </c>
      <c r="AB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3">
        <f>IF(tblOrdenes[[#This Row],[backlog_habiles]]="","",IF(tblOrdenes[[#This Row],[backlog_habiles]]&lt;0,"FUTURO",IF(tblOrdenes[[#This Row],[backlog_habiles]]&gt;p_dias_backlog_max,"BACKLOG","MES CORRIENTE")))</f>
        <v/>
      </c>
      <c r="AD62" s="3">
        <f>IF(tblOrdenes[[#This Row],[backlog_habiles]]="",FALSE,AND(tblOrdenes[[#This Row],[backlog_habiles]]&gt;p_dias_backlog_min,tblOrdenes[[#This Row],[backlog_habiles]]&lt;=p_dias_backlog_max))</f>
        <v/>
      </c>
      <c r="AE62" s="6" t="inlineStr">
        <is>
          <t>Técnico 06</t>
        </is>
      </c>
      <c r="AF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0">
        <f>IF(tblOrdenes[[#This Row],[orden]]="","",_xlfn.XLOOKUP(tblOrdenes[[#This Row],[id_operacion]],tblEjecucion[id_operacion],tblEjecucion[precio],0))</f>
        <v/>
      </c>
      <c r="AJ62" s="10">
        <f>IF(tblOrdenes[[#This Row],[orden]]="","",MAX(0,_xlfn.XLOOKUP(tblOrdenes[[#This Row],[id_operacion]],tblEjecucion[id_operacion],tblEjecucion[costo_plan_total],0)-tblOrdenes[[#This Row],[costo_servicio]]))</f>
        <v/>
      </c>
      <c r="AK62" s="10">
        <f>IF(tblOrdenes[[#This Row],[orden]]="","",tblOrdenes[[#This Row],[costo_servicio]]+tblOrdenes[[#This Row],[costo_materiales]])</f>
        <v/>
      </c>
      <c r="AL62" s="6" t="inlineStr"/>
      <c r="AM62" s="6" t="inlineStr"/>
      <c r="AN62" s="6" t="inlineStr">
        <is>
          <t>ACT-04.pdf</t>
        </is>
      </c>
      <c r="AO62" s="3">
        <f>IF(tblOrdenes[[#This Row],[link_checklist]]="","",HYPERLINK(p_ruta_base_checklists&amp;tblOrdenes[[#This Row],[link_checklist]],"abrir"))</f>
        <v/>
      </c>
      <c r="AP62" s="6" t="inlineStr"/>
      <c r="AQ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3">
        <f>IF(tblOrdenes[[#This Row],[tipo_ot]]="","",_xlfn.XLOOKUP(tblOrdenes[[#This Row],[tipo_ot]],tblTiposOT[codigo],tblTiposOT[clasificacion],"sin_clasificar"))</f>
        <v/>
      </c>
      <c r="U63" s="3">
        <f>IF(tblOrdenes[[#This Row],[centro_costo]]="","",_xlfn.XLOOKUP(tblOrdenes[[#This Row],[centro_costo]],tblCECO[codigo],tblCECO[linea],"(sin catálogo)"))</f>
        <v/>
      </c>
      <c r="V63" s="3">
        <f>IF(tblOrdenes[[#This Row],[centro_costo]]="","",_xlfn.XLOOKUP(tblOrdenes[[#This Row],[centro_costo]],tblCECO[codigo],tblCECO[area],"(sin catálogo)"))</f>
        <v/>
      </c>
      <c r="W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3">
        <f>IF(tblOrdenes[[#This Row],[centro_costo]]="","",_xlfn.XLOOKUP(tblOrdenes[[#This Row],[centro_costo]],tblCECO[codigo],tblCECO[coordinador],"(sin catálogo)"))</f>
        <v/>
      </c>
      <c r="Y63" s="3">
        <f>IF(tblOrdenes[[#This Row],[puesto_trabajo]]="","",_xlfn.XLOOKUP(tblOrdenes[[#This Row],[puesto_trabajo]],tblPuestos[codigo],tblPuestos[especialidad],"(sin catálogo)"))</f>
        <v/>
      </c>
      <c r="Z63" s="3">
        <f>IF(tblOrdenes[[#This Row],[cod_actividad]]="","",_xlfn.XLOOKUP(tblOrdenes[[#This Row],[cod_actividad]],tblActividades[codigo],tblActividades[descripcion],"(sin catálogo)"))</f>
        <v/>
      </c>
      <c r="AA63" s="12">
        <f>IF(tblOrdenes[[#This Row],[fecha_inicio]]="","",TODAY()-tblOrdenes[[#This Row],[fecha_inicio]])</f>
        <v/>
      </c>
      <c r="AB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3">
        <f>IF(tblOrdenes[[#This Row],[backlog_habiles]]="","",IF(tblOrdenes[[#This Row],[backlog_habiles]]&lt;0,"FUTURO",IF(tblOrdenes[[#This Row],[backlog_habiles]]&gt;p_dias_backlog_max,"BACKLOG","MES CORRIENTE")))</f>
        <v/>
      </c>
      <c r="AD63" s="3">
        <f>IF(tblOrdenes[[#This Row],[backlog_habiles]]="",FALSE,AND(tblOrdenes[[#This Row],[backlog_habiles]]&gt;p_dias_backlog_min,tblOrdenes[[#This Row],[backlog_habiles]]&lt;=p_dias_backlog_max))</f>
        <v/>
      </c>
      <c r="AE63" s="6" t="inlineStr"/>
      <c r="AF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0">
        <f>IF(tblOrdenes[[#This Row],[orden]]="","",_xlfn.XLOOKUP(tblOrdenes[[#This Row],[id_operacion]],tblEjecucion[id_operacion],tblEjecucion[precio],0))</f>
        <v/>
      </c>
      <c r="AJ63" s="10">
        <f>IF(tblOrdenes[[#This Row],[orden]]="","",MAX(0,_xlfn.XLOOKUP(tblOrdenes[[#This Row],[id_operacion]],tblEjecucion[id_operacion],tblEjecucion[costo_plan_total],0)-tblOrdenes[[#This Row],[costo_servicio]]))</f>
        <v/>
      </c>
      <c r="AK63" s="10">
        <f>IF(tblOrdenes[[#This Row],[orden]]="","",tblOrdenes[[#This Row],[costo_servicio]]+tblOrdenes[[#This Row],[costo_materiales]])</f>
        <v/>
      </c>
      <c r="AL63" s="6" t="inlineStr"/>
      <c r="AM63" s="6" t="inlineStr"/>
      <c r="AN63" s="6" t="inlineStr">
        <is>
          <t>ACT-01.pdf</t>
        </is>
      </c>
      <c r="AO63" s="3">
        <f>IF(tblOrdenes[[#This Row],[link_checklist]]="","",HYPERLINK(p_ruta_base_checklists&amp;tblOrdenes[[#This Row],[link_checklist]],"abrir"))</f>
        <v/>
      </c>
      <c r="AP63" s="6" t="inlineStr"/>
      <c r="AQ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3">
        <f>IF(tblOrdenes[[#This Row],[tipo_ot]]="","",_xlfn.XLOOKUP(tblOrdenes[[#This Row],[tipo_ot]],tblTiposOT[codigo],tblTiposOT[clasificacion],"sin_clasificar"))</f>
        <v/>
      </c>
      <c r="U64" s="3">
        <f>IF(tblOrdenes[[#This Row],[centro_costo]]="","",_xlfn.XLOOKUP(tblOrdenes[[#This Row],[centro_costo]],tblCECO[codigo],tblCECO[linea],"(sin catálogo)"))</f>
        <v/>
      </c>
      <c r="V64" s="3">
        <f>IF(tblOrdenes[[#This Row],[centro_costo]]="","",_xlfn.XLOOKUP(tblOrdenes[[#This Row],[centro_costo]],tblCECO[codigo],tblCECO[area],"(sin catálogo)"))</f>
        <v/>
      </c>
      <c r="W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3">
        <f>IF(tblOrdenes[[#This Row],[centro_costo]]="","",_xlfn.XLOOKUP(tblOrdenes[[#This Row],[centro_costo]],tblCECO[codigo],tblCECO[coordinador],"(sin catálogo)"))</f>
        <v/>
      </c>
      <c r="Y64" s="3">
        <f>IF(tblOrdenes[[#This Row],[puesto_trabajo]]="","",_xlfn.XLOOKUP(tblOrdenes[[#This Row],[puesto_trabajo]],tblPuestos[codigo],tblPuestos[especialidad],"(sin catálogo)"))</f>
        <v/>
      </c>
      <c r="Z64" s="3">
        <f>IF(tblOrdenes[[#This Row],[cod_actividad]]="","",_xlfn.XLOOKUP(tblOrdenes[[#This Row],[cod_actividad]],tblActividades[codigo],tblActividades[descripcion],"(sin catálogo)"))</f>
        <v/>
      </c>
      <c r="AA64" s="12">
        <f>IF(tblOrdenes[[#This Row],[fecha_inicio]]="","",TODAY()-tblOrdenes[[#This Row],[fecha_inicio]])</f>
        <v/>
      </c>
      <c r="AB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3">
        <f>IF(tblOrdenes[[#This Row],[backlog_habiles]]="","",IF(tblOrdenes[[#This Row],[backlog_habiles]]&lt;0,"FUTURO",IF(tblOrdenes[[#This Row],[backlog_habiles]]&gt;p_dias_backlog_max,"BACKLOG","MES CORRIENTE")))</f>
        <v/>
      </c>
      <c r="AD64" s="3">
        <f>IF(tblOrdenes[[#This Row],[backlog_habiles]]="",FALSE,AND(tblOrdenes[[#This Row],[backlog_habiles]]&gt;p_dias_backlog_min,tblOrdenes[[#This Row],[backlog_habiles]]&lt;=p_dias_backlog_max))</f>
        <v/>
      </c>
      <c r="AE64" s="6" t="inlineStr">
        <is>
          <t>Técnico 05</t>
        </is>
      </c>
      <c r="AF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0">
        <f>IF(tblOrdenes[[#This Row],[orden]]="","",_xlfn.XLOOKUP(tblOrdenes[[#This Row],[id_operacion]],tblEjecucion[id_operacion],tblEjecucion[precio],0))</f>
        <v/>
      </c>
      <c r="AJ64" s="10">
        <f>IF(tblOrdenes[[#This Row],[orden]]="","",MAX(0,_xlfn.XLOOKUP(tblOrdenes[[#This Row],[id_operacion]],tblEjecucion[id_operacion],tblEjecucion[costo_plan_total],0)-tblOrdenes[[#This Row],[costo_servicio]]))</f>
        <v/>
      </c>
      <c r="AK64" s="10">
        <f>IF(tblOrdenes[[#This Row],[orden]]="","",tblOrdenes[[#This Row],[costo_servicio]]+tblOrdenes[[#This Row],[costo_materiales]])</f>
        <v/>
      </c>
      <c r="AL64" s="6" t="inlineStr"/>
      <c r="AM64" s="6" t="inlineStr"/>
      <c r="AN64" s="6" t="inlineStr">
        <is>
          <t>ACT-02.pdf</t>
        </is>
      </c>
      <c r="AO64" s="3">
        <f>IF(tblOrdenes[[#This Row],[link_checklist]]="","",HYPERLINK(p_ruta_base_checklists&amp;tblOrdenes[[#This Row],[link_checklist]],"abrir"))</f>
        <v/>
      </c>
      <c r="AP64" s="6" t="inlineStr">
        <is>
          <t>Ajuste 6 → 4 h en hoja AJUSTES</t>
        </is>
      </c>
      <c r="AQ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3">
        <f>IF(tblOrdenes[[#This Row],[tipo_ot]]="","",_xlfn.XLOOKUP(tblOrdenes[[#This Row],[tipo_ot]],tblTiposOT[codigo],tblTiposOT[clasificacion],"sin_clasificar"))</f>
        <v/>
      </c>
      <c r="U65" s="3">
        <f>IF(tblOrdenes[[#This Row],[centro_costo]]="","",_xlfn.XLOOKUP(tblOrdenes[[#This Row],[centro_costo]],tblCECO[codigo],tblCECO[linea],"(sin catálogo)"))</f>
        <v/>
      </c>
      <c r="V65" s="3">
        <f>IF(tblOrdenes[[#This Row],[centro_costo]]="","",_xlfn.XLOOKUP(tblOrdenes[[#This Row],[centro_costo]],tblCECO[codigo],tblCECO[area],"(sin catálogo)"))</f>
        <v/>
      </c>
      <c r="W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3">
        <f>IF(tblOrdenes[[#This Row],[centro_costo]]="","",_xlfn.XLOOKUP(tblOrdenes[[#This Row],[centro_costo]],tblCECO[codigo],tblCECO[coordinador],"(sin catálogo)"))</f>
        <v/>
      </c>
      <c r="Y65" s="3">
        <f>IF(tblOrdenes[[#This Row],[puesto_trabajo]]="","",_xlfn.XLOOKUP(tblOrdenes[[#This Row],[puesto_trabajo]],tblPuestos[codigo],tblPuestos[especialidad],"(sin catálogo)"))</f>
        <v/>
      </c>
      <c r="Z65" s="3">
        <f>IF(tblOrdenes[[#This Row],[cod_actividad]]="","",_xlfn.XLOOKUP(tblOrdenes[[#This Row],[cod_actividad]],tblActividades[codigo],tblActividades[descripcion],"(sin catálogo)"))</f>
        <v/>
      </c>
      <c r="AA65" s="12">
        <f>IF(tblOrdenes[[#This Row],[fecha_inicio]]="","",TODAY()-tblOrdenes[[#This Row],[fecha_inicio]])</f>
        <v/>
      </c>
      <c r="AB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3">
        <f>IF(tblOrdenes[[#This Row],[backlog_habiles]]="","",IF(tblOrdenes[[#This Row],[backlog_habiles]]&lt;0,"FUTURO",IF(tblOrdenes[[#This Row],[backlog_habiles]]&gt;p_dias_backlog_max,"BACKLOG","MES CORRIENTE")))</f>
        <v/>
      </c>
      <c r="AD65" s="3">
        <f>IF(tblOrdenes[[#This Row],[backlog_habiles]]="",FALSE,AND(tblOrdenes[[#This Row],[backlog_habiles]]&gt;p_dias_backlog_min,tblOrdenes[[#This Row],[backlog_habiles]]&lt;=p_dias_backlog_max))</f>
        <v/>
      </c>
      <c r="AE65" s="6" t="inlineStr">
        <is>
          <t>Técnico 06</t>
        </is>
      </c>
      <c r="AF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0">
        <f>IF(tblOrdenes[[#This Row],[orden]]="","",_xlfn.XLOOKUP(tblOrdenes[[#This Row],[id_operacion]],tblEjecucion[id_operacion],tblEjecucion[precio],0))</f>
        <v/>
      </c>
      <c r="AJ65" s="10">
        <f>IF(tblOrdenes[[#This Row],[orden]]="","",MAX(0,_xlfn.XLOOKUP(tblOrdenes[[#This Row],[id_operacion]],tblEjecucion[id_operacion],tblEjecucion[costo_plan_total],0)-tblOrdenes[[#This Row],[costo_servicio]]))</f>
        <v/>
      </c>
      <c r="AK65" s="10">
        <f>IF(tblOrdenes[[#This Row],[orden]]="","",tblOrdenes[[#This Row],[costo_servicio]]+tblOrdenes[[#This Row],[costo_materiales]])</f>
        <v/>
      </c>
      <c r="AL65" s="6" t="inlineStr"/>
      <c r="AM65" s="6" t="inlineStr"/>
      <c r="AN65" s="6" t="inlineStr">
        <is>
          <t>ACT-04.pdf</t>
        </is>
      </c>
      <c r="AO65" s="3">
        <f>IF(tblOrdenes[[#This Row],[link_checklist]]="","",HYPERLINK(p_ruta_base_checklists&amp;tblOrdenes[[#This Row],[link_checklist]],"abrir"))</f>
        <v/>
      </c>
      <c r="AP65" s="6" t="inlineStr"/>
      <c r="AQ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3">
        <f>IF(tblOrdenes[[#This Row],[tipo_ot]]="","",_xlfn.XLOOKUP(tblOrdenes[[#This Row],[tipo_ot]],tblTiposOT[codigo],tblTiposOT[clasificacion],"sin_clasificar"))</f>
        <v/>
      </c>
      <c r="U66" s="3">
        <f>IF(tblOrdenes[[#This Row],[centro_costo]]="","",_xlfn.XLOOKUP(tblOrdenes[[#This Row],[centro_costo]],tblCECO[codigo],tblCECO[linea],"(sin catálogo)"))</f>
        <v/>
      </c>
      <c r="V66" s="3">
        <f>IF(tblOrdenes[[#This Row],[centro_costo]]="","",_xlfn.XLOOKUP(tblOrdenes[[#This Row],[centro_costo]],tblCECO[codigo],tblCECO[area],"(sin catálogo)"))</f>
        <v/>
      </c>
      <c r="W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3">
        <f>IF(tblOrdenes[[#This Row],[centro_costo]]="","",_xlfn.XLOOKUP(tblOrdenes[[#This Row],[centro_costo]],tblCECO[codigo],tblCECO[coordinador],"(sin catálogo)"))</f>
        <v/>
      </c>
      <c r="Y66" s="3">
        <f>IF(tblOrdenes[[#This Row],[puesto_trabajo]]="","",_xlfn.XLOOKUP(tblOrdenes[[#This Row],[puesto_trabajo]],tblPuestos[codigo],tblPuestos[especialidad],"(sin catálogo)"))</f>
        <v/>
      </c>
      <c r="Z66" s="3">
        <f>IF(tblOrdenes[[#This Row],[cod_actividad]]="","",_xlfn.XLOOKUP(tblOrdenes[[#This Row],[cod_actividad]],tblActividades[codigo],tblActividades[descripcion],"(sin catálogo)"))</f>
        <v/>
      </c>
      <c r="AA66" s="12">
        <f>IF(tblOrdenes[[#This Row],[fecha_inicio]]="","",TODAY()-tblOrdenes[[#This Row],[fecha_inicio]])</f>
        <v/>
      </c>
      <c r="AB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3">
        <f>IF(tblOrdenes[[#This Row],[backlog_habiles]]="","",IF(tblOrdenes[[#This Row],[backlog_habiles]]&lt;0,"FUTURO",IF(tblOrdenes[[#This Row],[backlog_habiles]]&gt;p_dias_backlog_max,"BACKLOG","MES CORRIENTE")))</f>
        <v/>
      </c>
      <c r="AD66" s="3">
        <f>IF(tblOrdenes[[#This Row],[backlog_habiles]]="",FALSE,AND(tblOrdenes[[#This Row],[backlog_habiles]]&gt;p_dias_backlog_min,tblOrdenes[[#This Row],[backlog_habiles]]&lt;=p_dias_backlog_max))</f>
        <v/>
      </c>
      <c r="AE66" s="6" t="inlineStr">
        <is>
          <t>Técnico 07</t>
        </is>
      </c>
      <c r="AF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0">
        <f>IF(tblOrdenes[[#This Row],[orden]]="","",_xlfn.XLOOKUP(tblOrdenes[[#This Row],[id_operacion]],tblEjecucion[id_operacion],tblEjecucion[precio],0))</f>
        <v/>
      </c>
      <c r="AJ66" s="10">
        <f>IF(tblOrdenes[[#This Row],[orden]]="","",MAX(0,_xlfn.XLOOKUP(tblOrdenes[[#This Row],[id_operacion]],tblEjecucion[id_operacion],tblEjecucion[costo_plan_total],0)-tblOrdenes[[#This Row],[costo_servicio]]))</f>
        <v/>
      </c>
      <c r="AK66" s="10">
        <f>IF(tblOrdenes[[#This Row],[orden]]="","",tblOrdenes[[#This Row],[costo_servicio]]+tblOrdenes[[#This Row],[costo_materiales]])</f>
        <v/>
      </c>
      <c r="AL66" s="6" t="inlineStr"/>
      <c r="AM66" s="6" t="inlineStr"/>
      <c r="AN66" s="6" t="inlineStr">
        <is>
          <t>ACT-01.pdf</t>
        </is>
      </c>
      <c r="AO66" s="3">
        <f>IF(tblOrdenes[[#This Row],[link_checklist]]="","",HYPERLINK(p_ruta_base_checklists&amp;tblOrdenes[[#This Row],[link_checklist]],"abrir"))</f>
        <v/>
      </c>
      <c r="AP66" s="6" t="inlineStr"/>
      <c r="AQ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3">
        <f>IF(tblOrdenes[[#This Row],[tipo_ot]]="","",_xlfn.XLOOKUP(tblOrdenes[[#This Row],[tipo_ot]],tblTiposOT[codigo],tblTiposOT[clasificacion],"sin_clasificar"))</f>
        <v/>
      </c>
      <c r="U67" s="3">
        <f>IF(tblOrdenes[[#This Row],[centro_costo]]="","",_xlfn.XLOOKUP(tblOrdenes[[#This Row],[centro_costo]],tblCECO[codigo],tblCECO[linea],"(sin catálogo)"))</f>
        <v/>
      </c>
      <c r="V67" s="3">
        <f>IF(tblOrdenes[[#This Row],[centro_costo]]="","",_xlfn.XLOOKUP(tblOrdenes[[#This Row],[centro_costo]],tblCECO[codigo],tblCECO[area],"(sin catálogo)"))</f>
        <v/>
      </c>
      <c r="W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3">
        <f>IF(tblOrdenes[[#This Row],[centro_costo]]="","",_xlfn.XLOOKUP(tblOrdenes[[#This Row],[centro_costo]],tblCECO[codigo],tblCECO[coordinador],"(sin catálogo)"))</f>
        <v/>
      </c>
      <c r="Y67" s="3">
        <f>IF(tblOrdenes[[#This Row],[puesto_trabajo]]="","",_xlfn.XLOOKUP(tblOrdenes[[#This Row],[puesto_trabajo]],tblPuestos[codigo],tblPuestos[especialidad],"(sin catálogo)"))</f>
        <v/>
      </c>
      <c r="Z67" s="3">
        <f>IF(tblOrdenes[[#This Row],[cod_actividad]]="","",_xlfn.XLOOKUP(tblOrdenes[[#This Row],[cod_actividad]],tblActividades[codigo],tblActividades[descripcion],"(sin catálogo)"))</f>
        <v/>
      </c>
      <c r="AA67" s="12">
        <f>IF(tblOrdenes[[#This Row],[fecha_inicio]]="","",TODAY()-tblOrdenes[[#This Row],[fecha_inicio]])</f>
        <v/>
      </c>
      <c r="AB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3">
        <f>IF(tblOrdenes[[#This Row],[backlog_habiles]]="","",IF(tblOrdenes[[#This Row],[backlog_habiles]]&lt;0,"FUTURO",IF(tblOrdenes[[#This Row],[backlog_habiles]]&gt;p_dias_backlog_max,"BACKLOG","MES CORRIENTE")))</f>
        <v/>
      </c>
      <c r="AD67" s="3">
        <f>IF(tblOrdenes[[#This Row],[backlog_habiles]]="",FALSE,AND(tblOrdenes[[#This Row],[backlog_habiles]]&gt;p_dias_backlog_min,tblOrdenes[[#This Row],[backlog_habiles]]&lt;=p_dias_backlog_max))</f>
        <v/>
      </c>
      <c r="AE67" s="6" t="inlineStr">
        <is>
          <t>Técnico 05</t>
        </is>
      </c>
      <c r="AF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0">
        <f>IF(tblOrdenes[[#This Row],[orden]]="","",_xlfn.XLOOKUP(tblOrdenes[[#This Row],[id_operacion]],tblEjecucion[id_operacion],tblEjecucion[precio],0))</f>
        <v/>
      </c>
      <c r="AJ67" s="10">
        <f>IF(tblOrdenes[[#This Row],[orden]]="","",MAX(0,_xlfn.XLOOKUP(tblOrdenes[[#This Row],[id_operacion]],tblEjecucion[id_operacion],tblEjecucion[costo_plan_total],0)-tblOrdenes[[#This Row],[costo_servicio]]))</f>
        <v/>
      </c>
      <c r="AK67" s="10">
        <f>IF(tblOrdenes[[#This Row],[orden]]="","",tblOrdenes[[#This Row],[costo_servicio]]+tblOrdenes[[#This Row],[costo_materiales]])</f>
        <v/>
      </c>
      <c r="AL67" s="6" t="inlineStr"/>
      <c r="AM67" s="6" t="inlineStr"/>
      <c r="AN67" s="6" t="inlineStr">
        <is>
          <t>ACT-02.pdf</t>
        </is>
      </c>
      <c r="AO67" s="3">
        <f>IF(tblOrdenes[[#This Row],[link_checklist]]="","",HYPERLINK(p_ruta_base_checklists&amp;tblOrdenes[[#This Row],[link_checklist]],"abrir"))</f>
        <v/>
      </c>
      <c r="AP67" s="6" t="inlineStr"/>
      <c r="AQ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3">
        <f>IF(tblOrdenes[[#This Row],[tipo_ot]]="","",_xlfn.XLOOKUP(tblOrdenes[[#This Row],[tipo_ot]],tblTiposOT[codigo],tblTiposOT[clasificacion],"sin_clasificar"))</f>
        <v/>
      </c>
      <c r="U68" s="3">
        <f>IF(tblOrdenes[[#This Row],[centro_costo]]="","",_xlfn.XLOOKUP(tblOrdenes[[#This Row],[centro_costo]],tblCECO[codigo],tblCECO[linea],"(sin catálogo)"))</f>
        <v/>
      </c>
      <c r="V68" s="3">
        <f>IF(tblOrdenes[[#This Row],[centro_costo]]="","",_xlfn.XLOOKUP(tblOrdenes[[#This Row],[centro_costo]],tblCECO[codigo],tblCECO[area],"(sin catálogo)"))</f>
        <v/>
      </c>
      <c r="W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3">
        <f>IF(tblOrdenes[[#This Row],[centro_costo]]="","",_xlfn.XLOOKUP(tblOrdenes[[#This Row],[centro_costo]],tblCECO[codigo],tblCECO[coordinador],"(sin catálogo)"))</f>
        <v/>
      </c>
      <c r="Y68" s="3">
        <f>IF(tblOrdenes[[#This Row],[puesto_trabajo]]="","",_xlfn.XLOOKUP(tblOrdenes[[#This Row],[puesto_trabajo]],tblPuestos[codigo],tblPuestos[especialidad],"(sin catálogo)"))</f>
        <v/>
      </c>
      <c r="Z68" s="3">
        <f>IF(tblOrdenes[[#This Row],[cod_actividad]]="","",_xlfn.XLOOKUP(tblOrdenes[[#This Row],[cod_actividad]],tblActividades[codigo],tblActividades[descripcion],"(sin catálogo)"))</f>
        <v/>
      </c>
      <c r="AA68" s="12">
        <f>IF(tblOrdenes[[#This Row],[fecha_inicio]]="","",TODAY()-tblOrdenes[[#This Row],[fecha_inicio]])</f>
        <v/>
      </c>
      <c r="AB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3">
        <f>IF(tblOrdenes[[#This Row],[backlog_habiles]]="","",IF(tblOrdenes[[#This Row],[backlog_habiles]]&lt;0,"FUTURO",IF(tblOrdenes[[#This Row],[backlog_habiles]]&gt;p_dias_backlog_max,"BACKLOG","MES CORRIENTE")))</f>
        <v/>
      </c>
      <c r="AD68" s="3">
        <f>IF(tblOrdenes[[#This Row],[backlog_habiles]]="",FALSE,AND(tblOrdenes[[#This Row],[backlog_habiles]]&gt;p_dias_backlog_min,tblOrdenes[[#This Row],[backlog_habiles]]&lt;=p_dias_backlog_max))</f>
        <v/>
      </c>
      <c r="AE68" s="6" t="inlineStr">
        <is>
          <t>Técnico 06</t>
        </is>
      </c>
      <c r="AF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0">
        <f>IF(tblOrdenes[[#This Row],[orden]]="","",_xlfn.XLOOKUP(tblOrdenes[[#This Row],[id_operacion]],tblEjecucion[id_operacion],tblEjecucion[precio],0))</f>
        <v/>
      </c>
      <c r="AJ68" s="10">
        <f>IF(tblOrdenes[[#This Row],[orden]]="","",MAX(0,_xlfn.XLOOKUP(tblOrdenes[[#This Row],[id_operacion]],tblEjecucion[id_operacion],tblEjecucion[costo_plan_total],0)-tblOrdenes[[#This Row],[costo_servicio]]))</f>
        <v/>
      </c>
      <c r="AK68" s="10">
        <f>IF(tblOrdenes[[#This Row],[orden]]="","",tblOrdenes[[#This Row],[costo_servicio]]+tblOrdenes[[#This Row],[costo_materiales]])</f>
        <v/>
      </c>
      <c r="AL68" s="6" t="inlineStr"/>
      <c r="AM68" s="6" t="inlineStr"/>
      <c r="AN68" s="6" t="inlineStr">
        <is>
          <t>ACT-04.pdf</t>
        </is>
      </c>
      <c r="AO68" s="3">
        <f>IF(tblOrdenes[[#This Row],[link_checklist]]="","",HYPERLINK(p_ruta_base_checklists&amp;tblOrdenes[[#This Row],[link_checklist]],"abrir"))</f>
        <v/>
      </c>
      <c r="AP68" s="6" t="inlineStr"/>
      <c r="AQ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3">
        <f>IF(tblOrdenes[[#This Row],[tipo_ot]]="","",_xlfn.XLOOKUP(tblOrdenes[[#This Row],[tipo_ot]],tblTiposOT[codigo],tblTiposOT[clasificacion],"sin_clasificar"))</f>
        <v/>
      </c>
      <c r="U69" s="3">
        <f>IF(tblOrdenes[[#This Row],[centro_costo]]="","",_xlfn.XLOOKUP(tblOrdenes[[#This Row],[centro_costo]],tblCECO[codigo],tblCECO[linea],"(sin catálogo)"))</f>
        <v/>
      </c>
      <c r="V69" s="3">
        <f>IF(tblOrdenes[[#This Row],[centro_costo]]="","",_xlfn.XLOOKUP(tblOrdenes[[#This Row],[centro_costo]],tblCECO[codigo],tblCECO[area],"(sin catálogo)"))</f>
        <v/>
      </c>
      <c r="W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3">
        <f>IF(tblOrdenes[[#This Row],[centro_costo]]="","",_xlfn.XLOOKUP(tblOrdenes[[#This Row],[centro_costo]],tblCECO[codigo],tblCECO[coordinador],"(sin catálogo)"))</f>
        <v/>
      </c>
      <c r="Y69" s="3">
        <f>IF(tblOrdenes[[#This Row],[puesto_trabajo]]="","",_xlfn.XLOOKUP(tblOrdenes[[#This Row],[puesto_trabajo]],tblPuestos[codigo],tblPuestos[especialidad],"(sin catálogo)"))</f>
        <v/>
      </c>
      <c r="Z69" s="3">
        <f>IF(tblOrdenes[[#This Row],[cod_actividad]]="","",_xlfn.XLOOKUP(tblOrdenes[[#This Row],[cod_actividad]],tblActividades[codigo],tblActividades[descripcion],"(sin catálogo)"))</f>
        <v/>
      </c>
      <c r="AA69" s="12">
        <f>IF(tblOrdenes[[#This Row],[fecha_inicio]]="","",TODAY()-tblOrdenes[[#This Row],[fecha_inicio]])</f>
        <v/>
      </c>
      <c r="AB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3">
        <f>IF(tblOrdenes[[#This Row],[backlog_habiles]]="","",IF(tblOrdenes[[#This Row],[backlog_habiles]]&lt;0,"FUTURO",IF(tblOrdenes[[#This Row],[backlog_habiles]]&gt;p_dias_backlog_max,"BACKLOG","MES CORRIENTE")))</f>
        <v/>
      </c>
      <c r="AD69" s="3">
        <f>IF(tblOrdenes[[#This Row],[backlog_habiles]]="",FALSE,AND(tblOrdenes[[#This Row],[backlog_habiles]]&gt;p_dias_backlog_min,tblOrdenes[[#This Row],[backlog_habiles]]&lt;=p_dias_backlog_max))</f>
        <v/>
      </c>
      <c r="AE69" s="6" t="inlineStr">
        <is>
          <t>Técnico 07</t>
        </is>
      </c>
      <c r="AF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0">
        <f>IF(tblOrdenes[[#This Row],[orden]]="","",_xlfn.XLOOKUP(tblOrdenes[[#This Row],[id_operacion]],tblEjecucion[id_operacion],tblEjecucion[precio],0))</f>
        <v/>
      </c>
      <c r="AJ69" s="10">
        <f>IF(tblOrdenes[[#This Row],[orden]]="","",MAX(0,_xlfn.XLOOKUP(tblOrdenes[[#This Row],[id_operacion]],tblEjecucion[id_operacion],tblEjecucion[costo_plan_total],0)-tblOrdenes[[#This Row],[costo_servicio]]))</f>
        <v/>
      </c>
      <c r="AK69" s="10">
        <f>IF(tblOrdenes[[#This Row],[orden]]="","",tblOrdenes[[#This Row],[costo_servicio]]+tblOrdenes[[#This Row],[costo_materiales]])</f>
        <v/>
      </c>
      <c r="AL69" s="6" t="inlineStr"/>
      <c r="AM69" s="6" t="inlineStr"/>
      <c r="AN69" s="6" t="inlineStr">
        <is>
          <t>ACT-01.pdf</t>
        </is>
      </c>
      <c r="AO69" s="3">
        <f>IF(tblOrdenes[[#This Row],[link_checklist]]="","",HYPERLINK(p_ruta_base_checklists&amp;tblOrdenes[[#This Row],[link_checklist]],"abrir"))</f>
        <v/>
      </c>
      <c r="AP69" s="6" t="inlineStr"/>
      <c r="AQ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3">
        <f>IF(tblOrdenes[[#This Row],[tipo_ot]]="","",_xlfn.XLOOKUP(tblOrdenes[[#This Row],[tipo_ot]],tblTiposOT[codigo],tblTiposOT[clasificacion],"sin_clasificar"))</f>
        <v/>
      </c>
      <c r="U70" s="3">
        <f>IF(tblOrdenes[[#This Row],[centro_costo]]="","",_xlfn.XLOOKUP(tblOrdenes[[#This Row],[centro_costo]],tblCECO[codigo],tblCECO[linea],"(sin catálogo)"))</f>
        <v/>
      </c>
      <c r="V70" s="3">
        <f>IF(tblOrdenes[[#This Row],[centro_costo]]="","",_xlfn.XLOOKUP(tblOrdenes[[#This Row],[centro_costo]],tblCECO[codigo],tblCECO[area],"(sin catálogo)"))</f>
        <v/>
      </c>
      <c r="W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3">
        <f>IF(tblOrdenes[[#This Row],[centro_costo]]="","",_xlfn.XLOOKUP(tblOrdenes[[#This Row],[centro_costo]],tblCECO[codigo],tblCECO[coordinador],"(sin catálogo)"))</f>
        <v/>
      </c>
      <c r="Y70" s="3">
        <f>IF(tblOrdenes[[#This Row],[puesto_trabajo]]="","",_xlfn.XLOOKUP(tblOrdenes[[#This Row],[puesto_trabajo]],tblPuestos[codigo],tblPuestos[especialidad],"(sin catálogo)"))</f>
        <v/>
      </c>
      <c r="Z70" s="3">
        <f>IF(tblOrdenes[[#This Row],[cod_actividad]]="","",_xlfn.XLOOKUP(tblOrdenes[[#This Row],[cod_actividad]],tblActividades[codigo],tblActividades[descripcion],"(sin catálogo)"))</f>
        <v/>
      </c>
      <c r="AA70" s="12">
        <f>IF(tblOrdenes[[#This Row],[fecha_inicio]]="","",TODAY()-tblOrdenes[[#This Row],[fecha_inicio]])</f>
        <v/>
      </c>
      <c r="AB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3">
        <f>IF(tblOrdenes[[#This Row],[backlog_habiles]]="","",IF(tblOrdenes[[#This Row],[backlog_habiles]]&lt;0,"FUTURO",IF(tblOrdenes[[#This Row],[backlog_habiles]]&gt;p_dias_backlog_max,"BACKLOG","MES CORRIENTE")))</f>
        <v/>
      </c>
      <c r="AD70" s="3">
        <f>IF(tblOrdenes[[#This Row],[backlog_habiles]]="",FALSE,AND(tblOrdenes[[#This Row],[backlog_habiles]]&gt;p_dias_backlog_min,tblOrdenes[[#This Row],[backlog_habiles]]&lt;=p_dias_backlog_max))</f>
        <v/>
      </c>
      <c r="AE70" s="6" t="inlineStr">
        <is>
          <t>Técnico 05</t>
        </is>
      </c>
      <c r="AF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0">
        <f>IF(tblOrdenes[[#This Row],[orden]]="","",_xlfn.XLOOKUP(tblOrdenes[[#This Row],[id_operacion]],tblEjecucion[id_operacion],tblEjecucion[precio],0))</f>
        <v/>
      </c>
      <c r="AJ70" s="10">
        <f>IF(tblOrdenes[[#This Row],[orden]]="","",MAX(0,_xlfn.XLOOKUP(tblOrdenes[[#This Row],[id_operacion]],tblEjecucion[id_operacion],tblEjecucion[costo_plan_total],0)-tblOrdenes[[#This Row],[costo_servicio]]))</f>
        <v/>
      </c>
      <c r="AK70" s="10">
        <f>IF(tblOrdenes[[#This Row],[orden]]="","",tblOrdenes[[#This Row],[costo_servicio]]+tblOrdenes[[#This Row],[costo_materiales]])</f>
        <v/>
      </c>
      <c r="AL70" s="6" t="inlineStr"/>
      <c r="AM70" s="6" t="inlineStr"/>
      <c r="AN70" s="6" t="inlineStr"/>
      <c r="AO70" s="3">
        <f>IF(tblOrdenes[[#This Row],[link_checklist]]="","",HYPERLINK(p_ruta_base_checklists&amp;tblOrdenes[[#This Row],[link_checklist]],"abrir"))</f>
        <v/>
      </c>
      <c r="AP70" s="6" t="inlineStr"/>
      <c r="AQ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3">
        <f>IF(tblOrdenes[[#This Row],[tipo_ot]]="","",_xlfn.XLOOKUP(tblOrdenes[[#This Row],[tipo_ot]],tblTiposOT[codigo],tblTiposOT[clasificacion],"sin_clasificar"))</f>
        <v/>
      </c>
      <c r="U71" s="3">
        <f>IF(tblOrdenes[[#This Row],[centro_costo]]="","",_xlfn.XLOOKUP(tblOrdenes[[#This Row],[centro_costo]],tblCECO[codigo],tblCECO[linea],"(sin catálogo)"))</f>
        <v/>
      </c>
      <c r="V71" s="3">
        <f>IF(tblOrdenes[[#This Row],[centro_costo]]="","",_xlfn.XLOOKUP(tblOrdenes[[#This Row],[centro_costo]],tblCECO[codigo],tblCECO[area],"(sin catálogo)"))</f>
        <v/>
      </c>
      <c r="W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3">
        <f>IF(tblOrdenes[[#This Row],[centro_costo]]="","",_xlfn.XLOOKUP(tblOrdenes[[#This Row],[centro_costo]],tblCECO[codigo],tblCECO[coordinador],"(sin catálogo)"))</f>
        <v/>
      </c>
      <c r="Y71" s="3">
        <f>IF(tblOrdenes[[#This Row],[puesto_trabajo]]="","",_xlfn.XLOOKUP(tblOrdenes[[#This Row],[puesto_trabajo]],tblPuestos[codigo],tblPuestos[especialidad],"(sin catálogo)"))</f>
        <v/>
      </c>
      <c r="Z71" s="3">
        <f>IF(tblOrdenes[[#This Row],[cod_actividad]]="","",_xlfn.XLOOKUP(tblOrdenes[[#This Row],[cod_actividad]],tblActividades[codigo],tblActividades[descripcion],"(sin catálogo)"))</f>
        <v/>
      </c>
      <c r="AA71" s="12">
        <f>IF(tblOrdenes[[#This Row],[fecha_inicio]]="","",TODAY()-tblOrdenes[[#This Row],[fecha_inicio]])</f>
        <v/>
      </c>
      <c r="AB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3">
        <f>IF(tblOrdenes[[#This Row],[backlog_habiles]]="","",IF(tblOrdenes[[#This Row],[backlog_habiles]]&lt;0,"FUTURO",IF(tblOrdenes[[#This Row],[backlog_habiles]]&gt;p_dias_backlog_max,"BACKLOG","MES CORRIENTE")))</f>
        <v/>
      </c>
      <c r="AD71" s="3">
        <f>IF(tblOrdenes[[#This Row],[backlog_habiles]]="",FALSE,AND(tblOrdenes[[#This Row],[backlog_habiles]]&gt;p_dias_backlog_min,tblOrdenes[[#This Row],[backlog_habiles]]&lt;=p_dias_backlog_max))</f>
        <v/>
      </c>
      <c r="AE71" s="6" t="inlineStr">
        <is>
          <t>Técnico 06</t>
        </is>
      </c>
      <c r="AF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0">
        <f>IF(tblOrdenes[[#This Row],[orden]]="","",_xlfn.XLOOKUP(tblOrdenes[[#This Row],[id_operacion]],tblEjecucion[id_operacion],tblEjecucion[precio],0))</f>
        <v/>
      </c>
      <c r="AJ71" s="10">
        <f>IF(tblOrdenes[[#This Row],[orden]]="","",MAX(0,_xlfn.XLOOKUP(tblOrdenes[[#This Row],[id_operacion]],tblEjecucion[id_operacion],tblEjecucion[costo_plan_total],0)-tblOrdenes[[#This Row],[costo_servicio]]))</f>
        <v/>
      </c>
      <c r="AK71" s="10">
        <f>IF(tblOrdenes[[#This Row],[orden]]="","",tblOrdenes[[#This Row],[costo_servicio]]+tblOrdenes[[#This Row],[costo_materiales]])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IF(tblOrdenes[[#This Row],[link_checklist]]="","",HYPERLINK(p_ruta_base_checklists&amp;tblOrdenes[[#This Row],[link_checklist]],"abrir"))</f>
        <v/>
      </c>
      <c r="AP71" s="6" t="inlineStr"/>
      <c r="AQ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3">
        <f>IF(tblOrdenes[[#This Row],[tipo_ot]]="","",_xlfn.XLOOKUP(tblOrdenes[[#This Row],[tipo_ot]],tblTiposOT[codigo],tblTiposOT[clasificacion],"sin_clasificar"))</f>
        <v/>
      </c>
      <c r="U72" s="3">
        <f>IF(tblOrdenes[[#This Row],[centro_costo]]="","",_xlfn.XLOOKUP(tblOrdenes[[#This Row],[centro_costo]],tblCECO[codigo],tblCECO[linea],"(sin catálogo)"))</f>
        <v/>
      </c>
      <c r="V72" s="3">
        <f>IF(tblOrdenes[[#This Row],[centro_costo]]="","",_xlfn.XLOOKUP(tblOrdenes[[#This Row],[centro_costo]],tblCECO[codigo],tblCECO[area],"(sin catálogo)"))</f>
        <v/>
      </c>
      <c r="W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3">
        <f>IF(tblOrdenes[[#This Row],[centro_costo]]="","",_xlfn.XLOOKUP(tblOrdenes[[#This Row],[centro_costo]],tblCECO[codigo],tblCECO[coordinador],"(sin catálogo)"))</f>
        <v/>
      </c>
      <c r="Y72" s="3">
        <f>IF(tblOrdenes[[#This Row],[puesto_trabajo]]="","",_xlfn.XLOOKUP(tblOrdenes[[#This Row],[puesto_trabajo]],tblPuestos[codigo],tblPuestos[especialidad],"(sin catálogo)"))</f>
        <v/>
      </c>
      <c r="Z72" s="3">
        <f>IF(tblOrdenes[[#This Row],[cod_actividad]]="","",_xlfn.XLOOKUP(tblOrdenes[[#This Row],[cod_actividad]],tblActividades[codigo],tblActividades[descripcion],"(sin catálogo)"))</f>
        <v/>
      </c>
      <c r="AA72" s="12">
        <f>IF(tblOrdenes[[#This Row],[fecha_inicio]]="","",TODAY()-tblOrdenes[[#This Row],[fecha_inicio]])</f>
        <v/>
      </c>
      <c r="AB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3">
        <f>IF(tblOrdenes[[#This Row],[backlog_habiles]]="","",IF(tblOrdenes[[#This Row],[backlog_habiles]]&lt;0,"FUTURO",IF(tblOrdenes[[#This Row],[backlog_habiles]]&gt;p_dias_backlog_max,"BACKLOG","MES CORRIENTE")))</f>
        <v/>
      </c>
      <c r="AD72" s="3">
        <f>IF(tblOrdenes[[#This Row],[backlog_habiles]]="",FALSE,AND(tblOrdenes[[#This Row],[backlog_habiles]]&gt;p_dias_backlog_min,tblOrdenes[[#This Row],[backlog_habiles]]&lt;=p_dias_backlog_max))</f>
        <v/>
      </c>
      <c r="AE72" s="6" t="inlineStr">
        <is>
          <t>Técnico 07</t>
        </is>
      </c>
      <c r="AF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0">
        <f>IF(tblOrdenes[[#This Row],[orden]]="","",_xlfn.XLOOKUP(tblOrdenes[[#This Row],[id_operacion]],tblEjecucion[id_operacion],tblEjecucion[precio],0))</f>
        <v/>
      </c>
      <c r="AJ72" s="10">
        <f>IF(tblOrdenes[[#This Row],[orden]]="","",MAX(0,_xlfn.XLOOKUP(tblOrdenes[[#This Row],[id_operacion]],tblEjecucion[id_operacion],tblEjecucion[costo_plan_total],0)-tblOrdenes[[#This Row],[costo_servicio]]))</f>
        <v/>
      </c>
      <c r="AK72" s="10">
        <f>IF(tblOrdenes[[#This Row],[orden]]="","",tblOrdenes[[#This Row],[costo_servicio]]+tblOrdenes[[#This Row],[costo_materiales]])</f>
        <v/>
      </c>
      <c r="AL72" s="6" t="inlineStr"/>
      <c r="AM72" s="6" t="inlineStr"/>
      <c r="AN72" s="6" t="inlineStr">
        <is>
          <t>ACT-01.pdf</t>
        </is>
      </c>
      <c r="AO72" s="3">
        <f>IF(tblOrdenes[[#This Row],[link_checklist]]="","",HYPERLINK(p_ruta_base_checklists&amp;tblOrdenes[[#This Row],[link_checklist]],"abrir"))</f>
        <v/>
      </c>
      <c r="AP72" s="6" t="inlineStr"/>
      <c r="AQ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3">
        <f>IF(tblOrdenes[[#This Row],[tipo_ot]]="","",_xlfn.XLOOKUP(tblOrdenes[[#This Row],[tipo_ot]],tblTiposOT[codigo],tblTiposOT[clasificacion],"sin_clasificar"))</f>
        <v/>
      </c>
      <c r="U73" s="3">
        <f>IF(tblOrdenes[[#This Row],[centro_costo]]="","",_xlfn.XLOOKUP(tblOrdenes[[#This Row],[centro_costo]],tblCECO[codigo],tblCECO[linea],"(sin catálogo)"))</f>
        <v/>
      </c>
      <c r="V73" s="3">
        <f>IF(tblOrdenes[[#This Row],[centro_costo]]="","",_xlfn.XLOOKUP(tblOrdenes[[#This Row],[centro_costo]],tblCECO[codigo],tblCECO[area],"(sin catálogo)"))</f>
        <v/>
      </c>
      <c r="W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3">
        <f>IF(tblOrdenes[[#This Row],[centro_costo]]="","",_xlfn.XLOOKUP(tblOrdenes[[#This Row],[centro_costo]],tblCECO[codigo],tblCECO[coordinador],"(sin catálogo)"))</f>
        <v/>
      </c>
      <c r="Y73" s="3">
        <f>IF(tblOrdenes[[#This Row],[puesto_trabajo]]="","",_xlfn.XLOOKUP(tblOrdenes[[#This Row],[puesto_trabajo]],tblPuestos[codigo],tblPuestos[especialidad],"(sin catálogo)"))</f>
        <v/>
      </c>
      <c r="Z73" s="3">
        <f>IF(tblOrdenes[[#This Row],[cod_actividad]]="","",_xlfn.XLOOKUP(tblOrdenes[[#This Row],[cod_actividad]],tblActividades[codigo],tblActividades[descripcion],"(sin catálogo)"))</f>
        <v/>
      </c>
      <c r="AA73" s="12">
        <f>IF(tblOrdenes[[#This Row],[fecha_inicio]]="","",TODAY()-tblOrdenes[[#This Row],[fecha_inicio]])</f>
        <v/>
      </c>
      <c r="AB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3">
        <f>IF(tblOrdenes[[#This Row],[backlog_habiles]]="","",IF(tblOrdenes[[#This Row],[backlog_habiles]]&lt;0,"FUTURO",IF(tblOrdenes[[#This Row],[backlog_habiles]]&gt;p_dias_backlog_max,"BACKLOG","MES CORRIENTE")))</f>
        <v/>
      </c>
      <c r="AD73" s="3">
        <f>IF(tblOrdenes[[#This Row],[backlog_habiles]]="",FALSE,AND(tblOrdenes[[#This Row],[backlog_habiles]]&gt;p_dias_backlog_min,tblOrdenes[[#This Row],[backlog_habiles]]&lt;=p_dias_backlog_max))</f>
        <v/>
      </c>
      <c r="AE73" s="6" t="inlineStr">
        <is>
          <t>Técnico 05</t>
        </is>
      </c>
      <c r="AF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0">
        <f>IF(tblOrdenes[[#This Row],[orden]]="","",_xlfn.XLOOKUP(tblOrdenes[[#This Row],[id_operacion]],tblEjecucion[id_operacion],tblEjecucion[precio],0))</f>
        <v/>
      </c>
      <c r="AJ73" s="10">
        <f>IF(tblOrdenes[[#This Row],[orden]]="","",MAX(0,_xlfn.XLOOKUP(tblOrdenes[[#This Row],[id_operacion]],tblEjecucion[id_operacion],tblEjecucion[costo_plan_total],0)-tblOrdenes[[#This Row],[costo_servicio]]))</f>
        <v/>
      </c>
      <c r="AK73" s="10">
        <f>IF(tblOrdenes[[#This Row],[orden]]="","",tblOrdenes[[#This Row],[costo_servicio]]+tblOrdenes[[#This Row],[costo_materiales]])</f>
        <v/>
      </c>
      <c r="AL73" s="6" t="inlineStr"/>
      <c r="AM73" s="6" t="inlineStr"/>
      <c r="AN73" s="6" t="inlineStr">
        <is>
          <t>ACT-02.pdf</t>
        </is>
      </c>
      <c r="AO73" s="3">
        <f>IF(tblOrdenes[[#This Row],[link_checklist]]="","",HYPERLINK(p_ruta_base_checklists&amp;tblOrdenes[[#This Row],[link_checklist]],"abrir"))</f>
        <v/>
      </c>
      <c r="AP73" s="6" t="inlineStr"/>
      <c r="AQ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3">
        <f>IF(tblOrdenes[[#This Row],[tipo_ot]]="","",_xlfn.XLOOKUP(tblOrdenes[[#This Row],[tipo_ot]],tblTiposOT[codigo],tblTiposOT[clasificacion],"sin_clasificar"))</f>
        <v/>
      </c>
      <c r="U74" s="3">
        <f>IF(tblOrdenes[[#This Row],[centro_costo]]="","",_xlfn.XLOOKUP(tblOrdenes[[#This Row],[centro_costo]],tblCECO[codigo],tblCECO[linea],"(sin catálogo)"))</f>
        <v/>
      </c>
      <c r="V74" s="3">
        <f>IF(tblOrdenes[[#This Row],[centro_costo]]="","",_xlfn.XLOOKUP(tblOrdenes[[#This Row],[centro_costo]],tblCECO[codigo],tblCECO[area],"(sin catálogo)"))</f>
        <v/>
      </c>
      <c r="W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3">
        <f>IF(tblOrdenes[[#This Row],[centro_costo]]="","",_xlfn.XLOOKUP(tblOrdenes[[#This Row],[centro_costo]],tblCECO[codigo],tblCECO[coordinador],"(sin catálogo)"))</f>
        <v/>
      </c>
      <c r="Y74" s="3">
        <f>IF(tblOrdenes[[#This Row],[puesto_trabajo]]="","",_xlfn.XLOOKUP(tblOrdenes[[#This Row],[puesto_trabajo]],tblPuestos[codigo],tblPuestos[especialidad],"(sin catálogo)"))</f>
        <v/>
      </c>
      <c r="Z74" s="3">
        <f>IF(tblOrdenes[[#This Row],[cod_actividad]]="","",_xlfn.XLOOKUP(tblOrdenes[[#This Row],[cod_actividad]],tblActividades[codigo],tblActividades[descripcion],"(sin catálogo)"))</f>
        <v/>
      </c>
      <c r="AA74" s="12">
        <f>IF(tblOrdenes[[#This Row],[fecha_inicio]]="","",TODAY()-tblOrdenes[[#This Row],[fecha_inicio]])</f>
        <v/>
      </c>
      <c r="AB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3">
        <f>IF(tblOrdenes[[#This Row],[backlog_habiles]]="","",IF(tblOrdenes[[#This Row],[backlog_habiles]]&lt;0,"FUTURO",IF(tblOrdenes[[#This Row],[backlog_habiles]]&gt;p_dias_backlog_max,"BACKLOG","MES CORRIENTE")))</f>
        <v/>
      </c>
      <c r="AD74" s="3">
        <f>IF(tblOrdenes[[#This Row],[backlog_habiles]]="",FALSE,AND(tblOrdenes[[#This Row],[backlog_habiles]]&gt;p_dias_backlog_min,tblOrdenes[[#This Row],[backlog_habiles]]&lt;=p_dias_backlog_max))</f>
        <v/>
      </c>
      <c r="AE74" s="6" t="inlineStr">
        <is>
          <t>Técnico 06</t>
        </is>
      </c>
      <c r="AF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0">
        <f>IF(tblOrdenes[[#This Row],[orden]]="","",_xlfn.XLOOKUP(tblOrdenes[[#This Row],[id_operacion]],tblEjecucion[id_operacion],tblEjecucion[precio],0))</f>
        <v/>
      </c>
      <c r="AJ74" s="10">
        <f>IF(tblOrdenes[[#This Row],[orden]]="","",MAX(0,_xlfn.XLOOKUP(tblOrdenes[[#This Row],[id_operacion]],tblEjecucion[id_operacion],tblEjecucion[costo_plan_total],0)-tblOrdenes[[#This Row],[costo_servicio]]))</f>
        <v/>
      </c>
      <c r="AK74" s="10">
        <f>IF(tblOrdenes[[#This Row],[orden]]="","",tblOrdenes[[#This Row],[costo_servicio]]+tblOrdenes[[#This Row],[costo_materiales]])</f>
        <v/>
      </c>
      <c r="AL74" s="6" t="inlineStr"/>
      <c r="AM74" s="6" t="inlineStr"/>
      <c r="AN74" s="6" t="inlineStr">
        <is>
          <t>ACT-04.pdf</t>
        </is>
      </c>
      <c r="AO74" s="3">
        <f>IF(tblOrdenes[[#This Row],[link_checklist]]="","",HYPERLINK(p_ruta_base_checklists&amp;tblOrdenes[[#This Row],[link_checklist]],"abrir"))</f>
        <v/>
      </c>
      <c r="AP74" s="6" t="inlineStr"/>
      <c r="AQ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3">
        <f>IF(tblOrdenes[[#This Row],[tipo_ot]]="","",_xlfn.XLOOKUP(tblOrdenes[[#This Row],[tipo_ot]],tblTiposOT[codigo],tblTiposOT[clasificacion],"sin_clasificar"))</f>
        <v/>
      </c>
      <c r="U75" s="3">
        <f>IF(tblOrdenes[[#This Row],[centro_costo]]="","",_xlfn.XLOOKUP(tblOrdenes[[#This Row],[centro_costo]],tblCECO[codigo],tblCECO[linea],"(sin catálogo)"))</f>
        <v/>
      </c>
      <c r="V75" s="3">
        <f>IF(tblOrdenes[[#This Row],[centro_costo]]="","",_xlfn.XLOOKUP(tblOrdenes[[#This Row],[centro_costo]],tblCECO[codigo],tblCECO[area],"(sin catálogo)"))</f>
        <v/>
      </c>
      <c r="W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3">
        <f>IF(tblOrdenes[[#This Row],[centro_costo]]="","",_xlfn.XLOOKUP(tblOrdenes[[#This Row],[centro_costo]],tblCECO[codigo],tblCECO[coordinador],"(sin catálogo)"))</f>
        <v/>
      </c>
      <c r="Y75" s="3">
        <f>IF(tblOrdenes[[#This Row],[puesto_trabajo]]="","",_xlfn.XLOOKUP(tblOrdenes[[#This Row],[puesto_trabajo]],tblPuestos[codigo],tblPuestos[especialidad],"(sin catálogo)"))</f>
        <v/>
      </c>
      <c r="Z75" s="3">
        <f>IF(tblOrdenes[[#This Row],[cod_actividad]]="","",_xlfn.XLOOKUP(tblOrdenes[[#This Row],[cod_actividad]],tblActividades[codigo],tblActividades[descripcion],"(sin catálogo)"))</f>
        <v/>
      </c>
      <c r="AA75" s="12">
        <f>IF(tblOrdenes[[#This Row],[fecha_inicio]]="","",TODAY()-tblOrdenes[[#This Row],[fecha_inicio]])</f>
        <v/>
      </c>
      <c r="AB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3">
        <f>IF(tblOrdenes[[#This Row],[backlog_habiles]]="","",IF(tblOrdenes[[#This Row],[backlog_habiles]]&lt;0,"FUTURO",IF(tblOrdenes[[#This Row],[backlog_habiles]]&gt;p_dias_backlog_max,"BACKLOG","MES CORRIENTE")))</f>
        <v/>
      </c>
      <c r="AD75" s="3">
        <f>IF(tblOrdenes[[#This Row],[backlog_habiles]]="",FALSE,AND(tblOrdenes[[#This Row],[backlog_habiles]]&gt;p_dias_backlog_min,tblOrdenes[[#This Row],[backlog_habiles]]&lt;=p_dias_backlog_max))</f>
        <v/>
      </c>
      <c r="AE75" s="6" t="inlineStr"/>
      <c r="AF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0">
        <f>IF(tblOrdenes[[#This Row],[orden]]="","",_xlfn.XLOOKUP(tblOrdenes[[#This Row],[id_operacion]],tblEjecucion[id_operacion],tblEjecucion[precio],0))</f>
        <v/>
      </c>
      <c r="AJ75" s="10">
        <f>IF(tblOrdenes[[#This Row],[orden]]="","",MAX(0,_xlfn.XLOOKUP(tblOrdenes[[#This Row],[id_operacion]],tblEjecucion[id_operacion],tblEjecucion[costo_plan_total],0)-tblOrdenes[[#This Row],[costo_servicio]]))</f>
        <v/>
      </c>
      <c r="AK75" s="10">
        <f>IF(tblOrdenes[[#This Row],[orden]]="","",tblOrdenes[[#This Row],[costo_servicio]]+tblOrdenes[[#This Row],[costo_materiales]])</f>
        <v/>
      </c>
      <c r="AL75" s="6" t="inlineStr"/>
      <c r="AM75" s="6" t="inlineStr"/>
      <c r="AN75" s="6" t="inlineStr">
        <is>
          <t>ACT-01.pdf</t>
        </is>
      </c>
      <c r="AO75" s="3">
        <f>IF(tblOrdenes[[#This Row],[link_checklist]]="","",HYPERLINK(p_ruta_base_checklists&amp;tblOrdenes[[#This Row],[link_checklist]],"abrir"))</f>
        <v/>
      </c>
      <c r="AP75" s="6" t="inlineStr"/>
      <c r="AQ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3">
        <f>IF(tblOrdenes[[#This Row],[tipo_ot]]="","",_xlfn.XLOOKUP(tblOrdenes[[#This Row],[tipo_ot]],tblTiposOT[codigo],tblTiposOT[clasificacion],"sin_clasificar"))</f>
        <v/>
      </c>
      <c r="U76" s="3">
        <f>IF(tblOrdenes[[#This Row],[centro_costo]]="","",_xlfn.XLOOKUP(tblOrdenes[[#This Row],[centro_costo]],tblCECO[codigo],tblCECO[linea],"(sin catálogo)"))</f>
        <v/>
      </c>
      <c r="V76" s="3">
        <f>IF(tblOrdenes[[#This Row],[centro_costo]]="","",_xlfn.XLOOKUP(tblOrdenes[[#This Row],[centro_costo]],tblCECO[codigo],tblCECO[area],"(sin catálogo)"))</f>
        <v/>
      </c>
      <c r="W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3">
        <f>IF(tblOrdenes[[#This Row],[centro_costo]]="","",_xlfn.XLOOKUP(tblOrdenes[[#This Row],[centro_costo]],tblCECO[codigo],tblCECO[coordinador],"(sin catálogo)"))</f>
        <v/>
      </c>
      <c r="Y76" s="3">
        <f>IF(tblOrdenes[[#This Row],[puesto_trabajo]]="","",_xlfn.XLOOKUP(tblOrdenes[[#This Row],[puesto_trabajo]],tblPuestos[codigo],tblPuestos[especialidad],"(sin catálogo)"))</f>
        <v/>
      </c>
      <c r="Z76" s="3">
        <f>IF(tblOrdenes[[#This Row],[cod_actividad]]="","",_xlfn.XLOOKUP(tblOrdenes[[#This Row],[cod_actividad]],tblActividades[codigo],tblActividades[descripcion],"(sin catálogo)"))</f>
        <v/>
      </c>
      <c r="AA76" s="12">
        <f>IF(tblOrdenes[[#This Row],[fecha_inicio]]="","",TODAY()-tblOrdenes[[#This Row],[fecha_inicio]])</f>
        <v/>
      </c>
      <c r="AB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3">
        <f>IF(tblOrdenes[[#This Row],[backlog_habiles]]="","",IF(tblOrdenes[[#This Row],[backlog_habiles]]&lt;0,"FUTURO",IF(tblOrdenes[[#This Row],[backlog_habiles]]&gt;p_dias_backlog_max,"BACKLOG","MES CORRIENTE")))</f>
        <v/>
      </c>
      <c r="AD76" s="3">
        <f>IF(tblOrdenes[[#This Row],[backlog_habiles]]="",FALSE,AND(tblOrdenes[[#This Row],[backlog_habiles]]&gt;p_dias_backlog_min,tblOrdenes[[#This Row],[backlog_habiles]]&lt;=p_dias_backlog_max))</f>
        <v/>
      </c>
      <c r="AE76" s="6" t="inlineStr">
        <is>
          <t>Técnico 05</t>
        </is>
      </c>
      <c r="AF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0">
        <f>IF(tblOrdenes[[#This Row],[orden]]="","",_xlfn.XLOOKUP(tblOrdenes[[#This Row],[id_operacion]],tblEjecucion[id_operacion],tblEjecucion[precio],0))</f>
        <v/>
      </c>
      <c r="AJ76" s="10">
        <f>IF(tblOrdenes[[#This Row],[orden]]="","",MAX(0,_xlfn.XLOOKUP(tblOrdenes[[#This Row],[id_operacion]],tblEjecucion[id_operacion],tblEjecucion[costo_plan_total],0)-tblOrdenes[[#This Row],[costo_servicio]]))</f>
        <v/>
      </c>
      <c r="AK76" s="10">
        <f>IF(tblOrdenes[[#This Row],[orden]]="","",tblOrdenes[[#This Row],[costo_servicio]]+tblOrdenes[[#This Row],[costo_materiales]])</f>
        <v/>
      </c>
      <c r="AL76" s="6" t="inlineStr"/>
      <c r="AM76" s="6" t="inlineStr"/>
      <c r="AN76" s="6" t="inlineStr">
        <is>
          <t>ACT-02.pdf</t>
        </is>
      </c>
      <c r="AO76" s="3">
        <f>IF(tblOrdenes[[#This Row],[link_checklist]]="","",HYPERLINK(p_ruta_base_checklists&amp;tblOrdenes[[#This Row],[link_checklist]],"abrir"))</f>
        <v/>
      </c>
      <c r="AP76" s="6" t="inlineStr"/>
      <c r="AQ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3">
        <f>IF(tblOrdenes[[#This Row],[tipo_ot]]="","",_xlfn.XLOOKUP(tblOrdenes[[#This Row],[tipo_ot]],tblTiposOT[codigo],tblTiposOT[clasificacion],"sin_clasificar"))</f>
        <v/>
      </c>
      <c r="U77" s="3">
        <f>IF(tblOrdenes[[#This Row],[centro_costo]]="","",_xlfn.XLOOKUP(tblOrdenes[[#This Row],[centro_costo]],tblCECO[codigo],tblCECO[linea],"(sin catálogo)"))</f>
        <v/>
      </c>
      <c r="V77" s="3">
        <f>IF(tblOrdenes[[#This Row],[centro_costo]]="","",_xlfn.XLOOKUP(tblOrdenes[[#This Row],[centro_costo]],tblCECO[codigo],tblCECO[area],"(sin catálogo)"))</f>
        <v/>
      </c>
      <c r="W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3">
        <f>IF(tblOrdenes[[#This Row],[centro_costo]]="","",_xlfn.XLOOKUP(tblOrdenes[[#This Row],[centro_costo]],tblCECO[codigo],tblCECO[coordinador],"(sin catálogo)"))</f>
        <v/>
      </c>
      <c r="Y77" s="3">
        <f>IF(tblOrdenes[[#This Row],[puesto_trabajo]]="","",_xlfn.XLOOKUP(tblOrdenes[[#This Row],[puesto_trabajo]],tblPuestos[codigo],tblPuestos[especialidad],"(sin catálogo)"))</f>
        <v/>
      </c>
      <c r="Z77" s="3">
        <f>IF(tblOrdenes[[#This Row],[cod_actividad]]="","",_xlfn.XLOOKUP(tblOrdenes[[#This Row],[cod_actividad]],tblActividades[codigo],tblActividades[descripcion],"(sin catálogo)"))</f>
        <v/>
      </c>
      <c r="AA77" s="12">
        <f>IF(tblOrdenes[[#This Row],[fecha_inicio]]="","",TODAY()-tblOrdenes[[#This Row],[fecha_inicio]])</f>
        <v/>
      </c>
      <c r="AB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3">
        <f>IF(tblOrdenes[[#This Row],[backlog_habiles]]="","",IF(tblOrdenes[[#This Row],[backlog_habiles]]&lt;0,"FUTURO",IF(tblOrdenes[[#This Row],[backlog_habiles]]&gt;p_dias_backlog_max,"BACKLOG","MES CORRIENTE")))</f>
        <v/>
      </c>
      <c r="AD77" s="3">
        <f>IF(tblOrdenes[[#This Row],[backlog_habiles]]="",FALSE,AND(tblOrdenes[[#This Row],[backlog_habiles]]&gt;p_dias_backlog_min,tblOrdenes[[#This Row],[backlog_habiles]]&lt;=p_dias_backlog_max))</f>
        <v/>
      </c>
      <c r="AE77" s="6" t="inlineStr">
        <is>
          <t>Técnico 06</t>
        </is>
      </c>
      <c r="AF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0">
        <f>IF(tblOrdenes[[#This Row],[orden]]="","",_xlfn.XLOOKUP(tblOrdenes[[#This Row],[id_operacion]],tblEjecucion[id_operacion],tblEjecucion[precio],0))</f>
        <v/>
      </c>
      <c r="AJ77" s="10">
        <f>IF(tblOrdenes[[#This Row],[orden]]="","",MAX(0,_xlfn.XLOOKUP(tblOrdenes[[#This Row],[id_operacion]],tblEjecucion[id_operacion],tblEjecucion[costo_plan_total],0)-tblOrdenes[[#This Row],[costo_servicio]]))</f>
        <v/>
      </c>
      <c r="AK77" s="10">
        <f>IF(tblOrdenes[[#This Row],[orden]]="","",tblOrdenes[[#This Row],[costo_servicio]]+tblOrdenes[[#This Row],[costo_materiales]])</f>
        <v/>
      </c>
      <c r="AL77" s="6" t="inlineStr"/>
      <c r="AM77" s="6" t="inlineStr"/>
      <c r="AN77" s="6" t="inlineStr">
        <is>
          <t>ACT-04.pdf</t>
        </is>
      </c>
      <c r="AO77" s="3">
        <f>IF(tblOrdenes[[#This Row],[link_checklist]]="","",HYPERLINK(p_ruta_base_checklists&amp;tblOrdenes[[#This Row],[link_checklist]],"abrir"))</f>
        <v/>
      </c>
      <c r="AP77" s="6" t="inlineStr"/>
      <c r="AQ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3">
        <f>IF(tblOrdenes[[#This Row],[tipo_ot]]="","",_xlfn.XLOOKUP(tblOrdenes[[#This Row],[tipo_ot]],tblTiposOT[codigo],tblTiposOT[clasificacion],"sin_clasificar"))</f>
        <v/>
      </c>
      <c r="U78" s="3">
        <f>IF(tblOrdenes[[#This Row],[centro_costo]]="","",_xlfn.XLOOKUP(tblOrdenes[[#This Row],[centro_costo]],tblCECO[codigo],tblCECO[linea],"(sin catálogo)"))</f>
        <v/>
      </c>
      <c r="V78" s="3">
        <f>IF(tblOrdenes[[#This Row],[centro_costo]]="","",_xlfn.XLOOKUP(tblOrdenes[[#This Row],[centro_costo]],tblCECO[codigo],tblCECO[area],"(sin catálogo)"))</f>
        <v/>
      </c>
      <c r="W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3">
        <f>IF(tblOrdenes[[#This Row],[centro_costo]]="","",_xlfn.XLOOKUP(tblOrdenes[[#This Row],[centro_costo]],tblCECO[codigo],tblCECO[coordinador],"(sin catálogo)"))</f>
        <v/>
      </c>
      <c r="Y78" s="3">
        <f>IF(tblOrdenes[[#This Row],[puesto_trabajo]]="","",_xlfn.XLOOKUP(tblOrdenes[[#This Row],[puesto_trabajo]],tblPuestos[codigo],tblPuestos[especialidad],"(sin catálogo)"))</f>
        <v/>
      </c>
      <c r="Z78" s="3">
        <f>IF(tblOrdenes[[#This Row],[cod_actividad]]="","",_xlfn.XLOOKUP(tblOrdenes[[#This Row],[cod_actividad]],tblActividades[codigo],tblActividades[descripcion],"(sin catálogo)"))</f>
        <v/>
      </c>
      <c r="AA78" s="12">
        <f>IF(tblOrdenes[[#This Row],[fecha_inicio]]="","",TODAY()-tblOrdenes[[#This Row],[fecha_inicio]])</f>
        <v/>
      </c>
      <c r="AB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3">
        <f>IF(tblOrdenes[[#This Row],[backlog_habiles]]="","",IF(tblOrdenes[[#This Row],[backlog_habiles]]&lt;0,"FUTURO",IF(tblOrdenes[[#This Row],[backlog_habiles]]&gt;p_dias_backlog_max,"BACKLOG","MES CORRIENTE")))</f>
        <v/>
      </c>
      <c r="AD78" s="3">
        <f>IF(tblOrdenes[[#This Row],[backlog_habiles]]="",FALSE,AND(tblOrdenes[[#This Row],[backlog_habiles]]&gt;p_dias_backlog_min,tblOrdenes[[#This Row],[backlog_habiles]]&lt;=p_dias_backlog_max))</f>
        <v/>
      </c>
      <c r="AE78" s="6" t="inlineStr">
        <is>
          <t>Técnico 07</t>
        </is>
      </c>
      <c r="AF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0">
        <f>IF(tblOrdenes[[#This Row],[orden]]="","",_xlfn.XLOOKUP(tblOrdenes[[#This Row],[id_operacion]],tblEjecucion[id_operacion],tblEjecucion[precio],0))</f>
        <v/>
      </c>
      <c r="AJ78" s="10">
        <f>IF(tblOrdenes[[#This Row],[orden]]="","",MAX(0,_xlfn.XLOOKUP(tblOrdenes[[#This Row],[id_operacion]],tblEjecucion[id_operacion],tblEjecucion[costo_plan_total],0)-tblOrdenes[[#This Row],[costo_servicio]]))</f>
        <v/>
      </c>
      <c r="AK78" s="10">
        <f>IF(tblOrdenes[[#This Row],[orden]]="","",tblOrdenes[[#This Row],[costo_servicio]]+tblOrdenes[[#This Row],[costo_materiales]])</f>
        <v/>
      </c>
      <c r="AL78" s="6" t="inlineStr"/>
      <c r="AM78" s="6" t="inlineStr"/>
      <c r="AN78" s="6" t="inlineStr">
        <is>
          <t>ACT-01.pdf</t>
        </is>
      </c>
      <c r="AO78" s="3">
        <f>IF(tblOrdenes[[#This Row],[link_checklist]]="","",HYPERLINK(p_ruta_base_checklists&amp;tblOrdenes[[#This Row],[link_checklist]],"abrir"))</f>
        <v/>
      </c>
      <c r="AP78" s="6" t="inlineStr"/>
      <c r="AQ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3">
        <f>IF(tblOrdenes[[#This Row],[tipo_ot]]="","",_xlfn.XLOOKUP(tblOrdenes[[#This Row],[tipo_ot]],tblTiposOT[codigo],tblTiposOT[clasificacion],"sin_clasificar"))</f>
        <v/>
      </c>
      <c r="U79" s="3">
        <f>IF(tblOrdenes[[#This Row],[centro_costo]]="","",_xlfn.XLOOKUP(tblOrdenes[[#This Row],[centro_costo]],tblCECO[codigo],tblCECO[linea],"(sin catálogo)"))</f>
        <v/>
      </c>
      <c r="V79" s="3">
        <f>IF(tblOrdenes[[#This Row],[centro_costo]]="","",_xlfn.XLOOKUP(tblOrdenes[[#This Row],[centro_costo]],tblCECO[codigo],tblCECO[area],"(sin catálogo)"))</f>
        <v/>
      </c>
      <c r="W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3">
        <f>IF(tblOrdenes[[#This Row],[centro_costo]]="","",_xlfn.XLOOKUP(tblOrdenes[[#This Row],[centro_costo]],tblCECO[codigo],tblCECO[coordinador],"(sin catálogo)"))</f>
        <v/>
      </c>
      <c r="Y79" s="3">
        <f>IF(tblOrdenes[[#This Row],[puesto_trabajo]]="","",_xlfn.XLOOKUP(tblOrdenes[[#This Row],[puesto_trabajo]],tblPuestos[codigo],tblPuestos[especialidad],"(sin catálogo)"))</f>
        <v/>
      </c>
      <c r="Z79" s="3">
        <f>IF(tblOrdenes[[#This Row],[cod_actividad]]="","",_xlfn.XLOOKUP(tblOrdenes[[#This Row],[cod_actividad]],tblActividades[codigo],tblActividades[descripcion],"(sin catálogo)"))</f>
        <v/>
      </c>
      <c r="AA79" s="12">
        <f>IF(tblOrdenes[[#This Row],[fecha_inicio]]="","",TODAY()-tblOrdenes[[#This Row],[fecha_inicio]])</f>
        <v/>
      </c>
      <c r="AB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3">
        <f>IF(tblOrdenes[[#This Row],[backlog_habiles]]="","",IF(tblOrdenes[[#This Row],[backlog_habiles]]&lt;0,"FUTURO",IF(tblOrdenes[[#This Row],[backlog_habiles]]&gt;p_dias_backlog_max,"BACKLOG","MES CORRIENTE")))</f>
        <v/>
      </c>
      <c r="AD79" s="3">
        <f>IF(tblOrdenes[[#This Row],[backlog_habiles]]="",FALSE,AND(tblOrdenes[[#This Row],[backlog_habiles]]&gt;p_dias_backlog_min,tblOrdenes[[#This Row],[backlog_habiles]]&lt;=p_dias_backlog_max))</f>
        <v/>
      </c>
      <c r="AE79" s="6" t="inlineStr">
        <is>
          <t>Técnico 05</t>
        </is>
      </c>
      <c r="AF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0">
        <f>IF(tblOrdenes[[#This Row],[orden]]="","",_xlfn.XLOOKUP(tblOrdenes[[#This Row],[id_operacion]],tblEjecucion[id_operacion],tblEjecucion[precio],0))</f>
        <v/>
      </c>
      <c r="AJ79" s="10">
        <f>IF(tblOrdenes[[#This Row],[orden]]="","",MAX(0,_xlfn.XLOOKUP(tblOrdenes[[#This Row],[id_operacion]],tblEjecucion[id_operacion],tblEjecucion[costo_plan_total],0)-tblOrdenes[[#This Row],[costo_servicio]]))</f>
        <v/>
      </c>
      <c r="AK79" s="10">
        <f>IF(tblOrdenes[[#This Row],[orden]]="","",tblOrdenes[[#This Row],[costo_servicio]]+tblOrdenes[[#This Row],[costo_materiales]])</f>
        <v/>
      </c>
      <c r="AL79" s="6" t="inlineStr"/>
      <c r="AM79" s="6" t="inlineStr"/>
      <c r="AN79" s="6" t="inlineStr">
        <is>
          <t>ACT-02.pdf</t>
        </is>
      </c>
      <c r="AO79" s="3">
        <f>IF(tblOrdenes[[#This Row],[link_checklist]]="","",HYPERLINK(p_ruta_base_checklists&amp;tblOrdenes[[#This Row],[link_checklist]],"abrir"))</f>
        <v/>
      </c>
      <c r="AP79" s="6" t="inlineStr"/>
      <c r="AQ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3">
        <f>IF(tblOrdenes[[#This Row],[tipo_ot]]="","",_xlfn.XLOOKUP(tblOrdenes[[#This Row],[tipo_ot]],tblTiposOT[codigo],tblTiposOT[clasificacion],"sin_clasificar"))</f>
        <v/>
      </c>
      <c r="U80" s="3">
        <f>IF(tblOrdenes[[#This Row],[centro_costo]]="","",_xlfn.XLOOKUP(tblOrdenes[[#This Row],[centro_costo]],tblCECO[codigo],tblCECO[linea],"(sin catálogo)"))</f>
        <v/>
      </c>
      <c r="V80" s="3">
        <f>IF(tblOrdenes[[#This Row],[centro_costo]]="","",_xlfn.XLOOKUP(tblOrdenes[[#This Row],[centro_costo]],tblCECO[codigo],tblCECO[area],"(sin catálogo)"))</f>
        <v/>
      </c>
      <c r="W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3">
        <f>IF(tblOrdenes[[#This Row],[centro_costo]]="","",_xlfn.XLOOKUP(tblOrdenes[[#This Row],[centro_costo]],tblCECO[codigo],tblCECO[coordinador],"(sin catálogo)"))</f>
        <v/>
      </c>
      <c r="Y80" s="3">
        <f>IF(tblOrdenes[[#This Row],[puesto_trabajo]]="","",_xlfn.XLOOKUP(tblOrdenes[[#This Row],[puesto_trabajo]],tblPuestos[codigo],tblPuestos[especialidad],"(sin catálogo)"))</f>
        <v/>
      </c>
      <c r="Z80" s="3">
        <f>IF(tblOrdenes[[#This Row],[cod_actividad]]="","",_xlfn.XLOOKUP(tblOrdenes[[#This Row],[cod_actividad]],tblActividades[codigo],tblActividades[descripcion],"(sin catálogo)"))</f>
        <v/>
      </c>
      <c r="AA80" s="12">
        <f>IF(tblOrdenes[[#This Row],[fecha_inicio]]="","",TODAY()-tblOrdenes[[#This Row],[fecha_inicio]])</f>
        <v/>
      </c>
      <c r="AB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3">
        <f>IF(tblOrdenes[[#This Row],[backlog_habiles]]="","",IF(tblOrdenes[[#This Row],[backlog_habiles]]&lt;0,"FUTURO",IF(tblOrdenes[[#This Row],[backlog_habiles]]&gt;p_dias_backlog_max,"BACKLOG","MES CORRIENTE")))</f>
        <v/>
      </c>
      <c r="AD80" s="3">
        <f>IF(tblOrdenes[[#This Row],[backlog_habiles]]="",FALSE,AND(tblOrdenes[[#This Row],[backlog_habiles]]&gt;p_dias_backlog_min,tblOrdenes[[#This Row],[backlog_habiles]]&lt;=p_dias_backlog_max))</f>
        <v/>
      </c>
      <c r="AE80" s="6" t="inlineStr">
        <is>
          <t>Técnico 06</t>
        </is>
      </c>
      <c r="AF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0">
        <f>IF(tblOrdenes[[#This Row],[orden]]="","",_xlfn.XLOOKUP(tblOrdenes[[#This Row],[id_operacion]],tblEjecucion[id_operacion],tblEjecucion[precio],0))</f>
        <v/>
      </c>
      <c r="AJ80" s="10">
        <f>IF(tblOrdenes[[#This Row],[orden]]="","",MAX(0,_xlfn.XLOOKUP(tblOrdenes[[#This Row],[id_operacion]],tblEjecucion[id_operacion],tblEjecucion[costo_plan_total],0)-tblOrdenes[[#This Row],[costo_servicio]]))</f>
        <v/>
      </c>
      <c r="AK80" s="10">
        <f>IF(tblOrdenes[[#This Row],[orden]]="","",tblOrdenes[[#This Row],[costo_servicio]]+tblOrdenes[[#This Row],[costo_materiales]])</f>
        <v/>
      </c>
      <c r="AL80" s="6" t="inlineStr"/>
      <c r="AM80" s="6" t="inlineStr"/>
      <c r="AN80" s="6" t="inlineStr"/>
      <c r="AO80" s="3">
        <f>IF(tblOrdenes[[#This Row],[link_checklist]]="","",HYPERLINK(p_ruta_base_checklists&amp;tblOrdenes[[#This Row],[link_checklist]],"abrir"))</f>
        <v/>
      </c>
      <c r="AP80" s="6" t="inlineStr"/>
      <c r="AQ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3">
        <f>IF(tblOrdenes[[#This Row],[tipo_ot]]="","",_xlfn.XLOOKUP(tblOrdenes[[#This Row],[tipo_ot]],tblTiposOT[codigo],tblTiposOT[clasificacion],"sin_clasificar"))</f>
        <v/>
      </c>
      <c r="U81" s="3">
        <f>IF(tblOrdenes[[#This Row],[centro_costo]]="","",_xlfn.XLOOKUP(tblOrdenes[[#This Row],[centro_costo]],tblCECO[codigo],tblCECO[linea],"(sin catálogo)"))</f>
        <v/>
      </c>
      <c r="V81" s="3">
        <f>IF(tblOrdenes[[#This Row],[centro_costo]]="","",_xlfn.XLOOKUP(tblOrdenes[[#This Row],[centro_costo]],tblCECO[codigo],tblCECO[area],"(sin catálogo)"))</f>
        <v/>
      </c>
      <c r="W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3">
        <f>IF(tblOrdenes[[#This Row],[centro_costo]]="","",_xlfn.XLOOKUP(tblOrdenes[[#This Row],[centro_costo]],tblCECO[codigo],tblCECO[coordinador],"(sin catálogo)"))</f>
        <v/>
      </c>
      <c r="Y81" s="3">
        <f>IF(tblOrdenes[[#This Row],[puesto_trabajo]]="","",_xlfn.XLOOKUP(tblOrdenes[[#This Row],[puesto_trabajo]],tblPuestos[codigo],tblPuestos[especialidad],"(sin catálogo)"))</f>
        <v/>
      </c>
      <c r="Z81" s="3">
        <f>IF(tblOrdenes[[#This Row],[cod_actividad]]="","",_xlfn.XLOOKUP(tblOrdenes[[#This Row],[cod_actividad]],tblActividades[codigo],tblActividades[descripcion],"(sin catálogo)"))</f>
        <v/>
      </c>
      <c r="AA81" s="12">
        <f>IF(tblOrdenes[[#This Row],[fecha_inicio]]="","",TODAY()-tblOrdenes[[#This Row],[fecha_inicio]])</f>
        <v/>
      </c>
      <c r="AB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3">
        <f>IF(tblOrdenes[[#This Row],[backlog_habiles]]="","",IF(tblOrdenes[[#This Row],[backlog_habiles]]&lt;0,"FUTURO",IF(tblOrdenes[[#This Row],[backlog_habiles]]&gt;p_dias_backlog_max,"BACKLOG","MES CORRIENTE")))</f>
        <v/>
      </c>
      <c r="AD81" s="3">
        <f>IF(tblOrdenes[[#This Row],[backlog_habiles]]="",FALSE,AND(tblOrdenes[[#This Row],[backlog_habiles]]&gt;p_dias_backlog_min,tblOrdenes[[#This Row],[backlog_habiles]]&lt;=p_dias_backlog_max))</f>
        <v/>
      </c>
      <c r="AE81" s="6" t="inlineStr">
        <is>
          <t>Técnico 07</t>
        </is>
      </c>
      <c r="AF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0">
        <f>IF(tblOrdenes[[#This Row],[orden]]="","",_xlfn.XLOOKUP(tblOrdenes[[#This Row],[id_operacion]],tblEjecucion[id_operacion],tblEjecucion[precio],0))</f>
        <v/>
      </c>
      <c r="AJ81" s="10">
        <f>IF(tblOrdenes[[#This Row],[orden]]="","",MAX(0,_xlfn.XLOOKUP(tblOrdenes[[#This Row],[id_operacion]],tblEjecucion[id_operacion],tblEjecucion[costo_plan_total],0)-tblOrdenes[[#This Row],[costo_servicio]]))</f>
        <v/>
      </c>
      <c r="AK81" s="10">
        <f>IF(tblOrdenes[[#This Row],[orden]]="","",tblOrdenes[[#This Row],[costo_servicio]]+tblOrdenes[[#This Row],[costo_materiales]])</f>
        <v/>
      </c>
      <c r="AL81" s="6" t="inlineStr"/>
      <c r="AM81" s="6" t="inlineStr"/>
      <c r="AN81" s="6" t="inlineStr">
        <is>
          <t>ACT-01.pdf</t>
        </is>
      </c>
      <c r="AO81" s="3">
        <f>IF(tblOrdenes[[#This Row],[link_checklist]]="","",HYPERLINK(p_ruta_base_checklists&amp;tblOrdenes[[#This Row],[link_checklist]],"abrir"))</f>
        <v/>
      </c>
      <c r="AP81" s="6" t="inlineStr"/>
      <c r="AQ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3">
        <f>IF(tblOrdenes[[#This Row],[tipo_ot]]="","",_xlfn.XLOOKUP(tblOrdenes[[#This Row],[tipo_ot]],tblTiposOT[codigo],tblTiposOT[clasificacion],"sin_clasificar"))</f>
        <v/>
      </c>
      <c r="U82" s="3">
        <f>IF(tblOrdenes[[#This Row],[centro_costo]]="","",_xlfn.XLOOKUP(tblOrdenes[[#This Row],[centro_costo]],tblCECO[codigo],tblCECO[linea],"(sin catálogo)"))</f>
        <v/>
      </c>
      <c r="V82" s="3">
        <f>IF(tblOrdenes[[#This Row],[centro_costo]]="","",_xlfn.XLOOKUP(tblOrdenes[[#This Row],[centro_costo]],tblCECO[codigo],tblCECO[area],"(sin catálogo)"))</f>
        <v/>
      </c>
      <c r="W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3">
        <f>IF(tblOrdenes[[#This Row],[centro_costo]]="","",_xlfn.XLOOKUP(tblOrdenes[[#This Row],[centro_costo]],tblCECO[codigo],tblCECO[coordinador],"(sin catálogo)"))</f>
        <v/>
      </c>
      <c r="Y82" s="3">
        <f>IF(tblOrdenes[[#This Row],[puesto_trabajo]]="","",_xlfn.XLOOKUP(tblOrdenes[[#This Row],[puesto_trabajo]],tblPuestos[codigo],tblPuestos[especialidad],"(sin catálogo)"))</f>
        <v/>
      </c>
      <c r="Z82" s="3">
        <f>IF(tblOrdenes[[#This Row],[cod_actividad]]="","",_xlfn.XLOOKUP(tblOrdenes[[#This Row],[cod_actividad]],tblActividades[codigo],tblActividades[descripcion],"(sin catálogo)"))</f>
        <v/>
      </c>
      <c r="AA82" s="12">
        <f>IF(tblOrdenes[[#This Row],[fecha_inicio]]="","",TODAY()-tblOrdenes[[#This Row],[fecha_inicio]])</f>
        <v/>
      </c>
      <c r="AB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3">
        <f>IF(tblOrdenes[[#This Row],[backlog_habiles]]="","",IF(tblOrdenes[[#This Row],[backlog_habiles]]&lt;0,"FUTURO",IF(tblOrdenes[[#This Row],[backlog_habiles]]&gt;p_dias_backlog_max,"BACKLOG","MES CORRIENTE")))</f>
        <v/>
      </c>
      <c r="AD82" s="3">
        <f>IF(tblOrdenes[[#This Row],[backlog_habiles]]="",FALSE,AND(tblOrdenes[[#This Row],[backlog_habiles]]&gt;p_dias_backlog_min,tblOrdenes[[#This Row],[backlog_habiles]]&lt;=p_dias_backlog_max))</f>
        <v/>
      </c>
      <c r="AE82" s="6" t="inlineStr">
        <is>
          <t>Técnico 05</t>
        </is>
      </c>
      <c r="AF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0">
        <f>IF(tblOrdenes[[#This Row],[orden]]="","",_xlfn.XLOOKUP(tblOrdenes[[#This Row],[id_operacion]],tblEjecucion[id_operacion],tblEjecucion[precio],0))</f>
        <v/>
      </c>
      <c r="AJ82" s="10">
        <f>IF(tblOrdenes[[#This Row],[orden]]="","",MAX(0,_xlfn.XLOOKUP(tblOrdenes[[#This Row],[id_operacion]],tblEjecucion[id_operacion],tblEjecucion[costo_plan_total],0)-tblOrdenes[[#This Row],[costo_servicio]]))</f>
        <v/>
      </c>
      <c r="AK82" s="10">
        <f>IF(tblOrdenes[[#This Row],[orden]]="","",tblOrdenes[[#This Row],[costo_servicio]]+tblOrdenes[[#This Row],[costo_materiales]])</f>
        <v/>
      </c>
      <c r="AL82" s="6" t="inlineStr"/>
      <c r="AM82" s="6" t="inlineStr"/>
      <c r="AN82" s="6" t="inlineStr">
        <is>
          <t>ACT-02.pdf</t>
        </is>
      </c>
      <c r="AO82" s="3">
        <f>IF(tblOrdenes[[#This Row],[link_checklist]]="","",HYPERLINK(p_ruta_base_checklists&amp;tblOrdenes[[#This Row],[link_checklist]],"abrir"))</f>
        <v/>
      </c>
      <c r="AP82" s="6" t="inlineStr"/>
      <c r="AQ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3">
        <f>IF(tblOrdenes[[#This Row],[tipo_ot]]="","",_xlfn.XLOOKUP(tblOrdenes[[#This Row],[tipo_ot]],tblTiposOT[codigo],tblTiposOT[clasificacion],"sin_clasificar"))</f>
        <v/>
      </c>
      <c r="U83" s="3">
        <f>IF(tblOrdenes[[#This Row],[centro_costo]]="","",_xlfn.XLOOKUP(tblOrdenes[[#This Row],[centro_costo]],tblCECO[codigo],tblCECO[linea],"(sin catálogo)"))</f>
        <v/>
      </c>
      <c r="V83" s="3">
        <f>IF(tblOrdenes[[#This Row],[centro_costo]]="","",_xlfn.XLOOKUP(tblOrdenes[[#This Row],[centro_costo]],tblCECO[codigo],tblCECO[area],"(sin catálogo)"))</f>
        <v/>
      </c>
      <c r="W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3">
        <f>IF(tblOrdenes[[#This Row],[centro_costo]]="","",_xlfn.XLOOKUP(tblOrdenes[[#This Row],[centro_costo]],tblCECO[codigo],tblCECO[coordinador],"(sin catálogo)"))</f>
        <v/>
      </c>
      <c r="Y83" s="3">
        <f>IF(tblOrdenes[[#This Row],[puesto_trabajo]]="","",_xlfn.XLOOKUP(tblOrdenes[[#This Row],[puesto_trabajo]],tblPuestos[codigo],tblPuestos[especialidad],"(sin catálogo)"))</f>
        <v/>
      </c>
      <c r="Z83" s="3">
        <f>IF(tblOrdenes[[#This Row],[cod_actividad]]="","",_xlfn.XLOOKUP(tblOrdenes[[#This Row],[cod_actividad]],tblActividades[codigo],tblActividades[descripcion],"(sin catálogo)"))</f>
        <v/>
      </c>
      <c r="AA83" s="12">
        <f>IF(tblOrdenes[[#This Row],[fecha_inicio]]="","",TODAY()-tblOrdenes[[#This Row],[fecha_inicio]])</f>
        <v/>
      </c>
      <c r="AB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3">
        <f>IF(tblOrdenes[[#This Row],[backlog_habiles]]="","",IF(tblOrdenes[[#This Row],[backlog_habiles]]&lt;0,"FUTURO",IF(tblOrdenes[[#This Row],[backlog_habiles]]&gt;p_dias_backlog_max,"BACKLOG","MES CORRIENTE")))</f>
        <v/>
      </c>
      <c r="AD83" s="3">
        <f>IF(tblOrdenes[[#This Row],[backlog_habiles]]="",FALSE,AND(tblOrdenes[[#This Row],[backlog_habiles]]&gt;p_dias_backlog_min,tblOrdenes[[#This Row],[backlog_habiles]]&lt;=p_dias_backlog_max))</f>
        <v/>
      </c>
      <c r="AE83" s="6" t="inlineStr">
        <is>
          <t>Técnico 06</t>
        </is>
      </c>
      <c r="AF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0">
        <f>IF(tblOrdenes[[#This Row],[orden]]="","",_xlfn.XLOOKUP(tblOrdenes[[#This Row],[id_operacion]],tblEjecucion[id_operacion],tblEjecucion[precio],0))</f>
        <v/>
      </c>
      <c r="AJ83" s="10">
        <f>IF(tblOrdenes[[#This Row],[orden]]="","",MAX(0,_xlfn.XLOOKUP(tblOrdenes[[#This Row],[id_operacion]],tblEjecucion[id_operacion],tblEjecucion[costo_plan_total],0)-tblOrdenes[[#This Row],[costo_servicio]]))</f>
        <v/>
      </c>
      <c r="AK83" s="10">
        <f>IF(tblOrdenes[[#This Row],[orden]]="","",tblOrdenes[[#This Row],[costo_servicio]]+tblOrdenes[[#This Row],[costo_materiales]])</f>
        <v/>
      </c>
      <c r="AL83" s="6" t="inlineStr"/>
      <c r="AM83" s="6" t="inlineStr"/>
      <c r="AN83" s="6" t="inlineStr">
        <is>
          <t>ACT-04.pdf</t>
        </is>
      </c>
      <c r="AO83" s="3">
        <f>IF(tblOrdenes[[#This Row],[link_checklist]]="","",HYPERLINK(p_ruta_base_checklists&amp;tblOrdenes[[#This Row],[link_checklist]],"abrir"))</f>
        <v/>
      </c>
      <c r="AP83" s="6" t="inlineStr"/>
      <c r="AQ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3">
        <f>IF(tblOrdenes[[#This Row],[tipo_ot]]="","",_xlfn.XLOOKUP(tblOrdenes[[#This Row],[tipo_ot]],tblTiposOT[codigo],tblTiposOT[clasificacion],"sin_clasificar"))</f>
        <v/>
      </c>
      <c r="U84" s="3">
        <f>IF(tblOrdenes[[#This Row],[centro_costo]]="","",_xlfn.XLOOKUP(tblOrdenes[[#This Row],[centro_costo]],tblCECO[codigo],tblCECO[linea],"(sin catálogo)"))</f>
        <v/>
      </c>
      <c r="V84" s="3">
        <f>IF(tblOrdenes[[#This Row],[centro_costo]]="","",_xlfn.XLOOKUP(tblOrdenes[[#This Row],[centro_costo]],tblCECO[codigo],tblCECO[area],"(sin catálogo)"))</f>
        <v/>
      </c>
      <c r="W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3">
        <f>IF(tblOrdenes[[#This Row],[centro_costo]]="","",_xlfn.XLOOKUP(tblOrdenes[[#This Row],[centro_costo]],tblCECO[codigo],tblCECO[coordinador],"(sin catálogo)"))</f>
        <v/>
      </c>
      <c r="Y84" s="3">
        <f>IF(tblOrdenes[[#This Row],[puesto_trabajo]]="","",_xlfn.XLOOKUP(tblOrdenes[[#This Row],[puesto_trabajo]],tblPuestos[codigo],tblPuestos[especialidad],"(sin catálogo)"))</f>
        <v/>
      </c>
      <c r="Z84" s="3">
        <f>IF(tblOrdenes[[#This Row],[cod_actividad]]="","",_xlfn.XLOOKUP(tblOrdenes[[#This Row],[cod_actividad]],tblActividades[codigo],tblActividades[descripcion],"(sin catálogo)"))</f>
        <v/>
      </c>
      <c r="AA84" s="12">
        <f>IF(tblOrdenes[[#This Row],[fecha_inicio]]="","",TODAY()-tblOrdenes[[#This Row],[fecha_inicio]])</f>
        <v/>
      </c>
      <c r="AB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3">
        <f>IF(tblOrdenes[[#This Row],[backlog_habiles]]="","",IF(tblOrdenes[[#This Row],[backlog_habiles]]&lt;0,"FUTURO",IF(tblOrdenes[[#This Row],[backlog_habiles]]&gt;p_dias_backlog_max,"BACKLOG","MES CORRIENTE")))</f>
        <v/>
      </c>
      <c r="AD84" s="3">
        <f>IF(tblOrdenes[[#This Row],[backlog_habiles]]="",FALSE,AND(tblOrdenes[[#This Row],[backlog_habiles]]&gt;p_dias_backlog_min,tblOrdenes[[#This Row],[backlog_habiles]]&lt;=p_dias_backlog_max))</f>
        <v/>
      </c>
      <c r="AE84" s="6" t="inlineStr">
        <is>
          <t>Técnico 07</t>
        </is>
      </c>
      <c r="AF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0">
        <f>IF(tblOrdenes[[#This Row],[orden]]="","",_xlfn.XLOOKUP(tblOrdenes[[#This Row],[id_operacion]],tblEjecucion[id_operacion],tblEjecucion[precio],0))</f>
        <v/>
      </c>
      <c r="AJ84" s="10">
        <f>IF(tblOrdenes[[#This Row],[orden]]="","",MAX(0,_xlfn.XLOOKUP(tblOrdenes[[#This Row],[id_operacion]],tblEjecucion[id_operacion],tblEjecucion[costo_plan_total],0)-tblOrdenes[[#This Row],[costo_servicio]]))</f>
        <v/>
      </c>
      <c r="AK84" s="10">
        <f>IF(tblOrdenes[[#This Row],[orden]]="","",tblOrdenes[[#This Row],[costo_servicio]]+tblOrdenes[[#This Row],[costo_materiales]])</f>
        <v/>
      </c>
      <c r="AL84" s="6" t="inlineStr"/>
      <c r="AM84" s="6" t="inlineStr"/>
      <c r="AN84" s="6" t="inlineStr">
        <is>
          <t>ACT-01.pdf</t>
        </is>
      </c>
      <c r="AO84" s="3">
        <f>IF(tblOrdenes[[#This Row],[link_checklist]]="","",HYPERLINK(p_ruta_base_checklists&amp;tblOrdenes[[#This Row],[link_checklist]],"abrir"))</f>
        <v/>
      </c>
      <c r="AP84" s="6" t="inlineStr"/>
      <c r="AQ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3">
        <f>IF(tblOrdenes[[#This Row],[tipo_ot]]="","",_xlfn.XLOOKUP(tblOrdenes[[#This Row],[tipo_ot]],tblTiposOT[codigo],tblTiposOT[clasificacion],"sin_clasificar"))</f>
        <v/>
      </c>
      <c r="U85" s="3">
        <f>IF(tblOrdenes[[#This Row],[centro_costo]]="","",_xlfn.XLOOKUP(tblOrdenes[[#This Row],[centro_costo]],tblCECO[codigo],tblCECO[linea],"(sin catálogo)"))</f>
        <v/>
      </c>
      <c r="V85" s="3">
        <f>IF(tblOrdenes[[#This Row],[centro_costo]]="","",_xlfn.XLOOKUP(tblOrdenes[[#This Row],[centro_costo]],tblCECO[codigo],tblCECO[area],"(sin catálogo)"))</f>
        <v/>
      </c>
      <c r="W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3">
        <f>IF(tblOrdenes[[#This Row],[centro_costo]]="","",_xlfn.XLOOKUP(tblOrdenes[[#This Row],[centro_costo]],tblCECO[codigo],tblCECO[coordinador],"(sin catálogo)"))</f>
        <v/>
      </c>
      <c r="Y85" s="3">
        <f>IF(tblOrdenes[[#This Row],[puesto_trabajo]]="","",_xlfn.XLOOKUP(tblOrdenes[[#This Row],[puesto_trabajo]],tblPuestos[codigo],tblPuestos[especialidad],"(sin catálogo)"))</f>
        <v/>
      </c>
      <c r="Z85" s="3">
        <f>IF(tblOrdenes[[#This Row],[cod_actividad]]="","",_xlfn.XLOOKUP(tblOrdenes[[#This Row],[cod_actividad]],tblActividades[codigo],tblActividades[descripcion],"(sin catálogo)"))</f>
        <v/>
      </c>
      <c r="AA85" s="12">
        <f>IF(tblOrdenes[[#This Row],[fecha_inicio]]="","",TODAY()-tblOrdenes[[#This Row],[fecha_inicio]])</f>
        <v/>
      </c>
      <c r="AB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3">
        <f>IF(tblOrdenes[[#This Row],[backlog_habiles]]="","",IF(tblOrdenes[[#This Row],[backlog_habiles]]&lt;0,"FUTURO",IF(tblOrdenes[[#This Row],[backlog_habiles]]&gt;p_dias_backlog_max,"BACKLOG","MES CORRIENTE")))</f>
        <v/>
      </c>
      <c r="AD85" s="3">
        <f>IF(tblOrdenes[[#This Row],[backlog_habiles]]="",FALSE,AND(tblOrdenes[[#This Row],[backlog_habiles]]&gt;p_dias_backlog_min,tblOrdenes[[#This Row],[backlog_habiles]]&lt;=p_dias_backlog_max))</f>
        <v/>
      </c>
      <c r="AE85" s="6" t="inlineStr">
        <is>
          <t>Técnico 05</t>
        </is>
      </c>
      <c r="AF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0">
        <f>IF(tblOrdenes[[#This Row],[orden]]="","",_xlfn.XLOOKUP(tblOrdenes[[#This Row],[id_operacion]],tblEjecucion[id_operacion],tblEjecucion[precio],0))</f>
        <v/>
      </c>
      <c r="AJ85" s="10">
        <f>IF(tblOrdenes[[#This Row],[orden]]="","",MAX(0,_xlfn.XLOOKUP(tblOrdenes[[#This Row],[id_operacion]],tblEjecucion[id_operacion],tblEjecucion[costo_plan_total],0)-tblOrdenes[[#This Row],[costo_servicio]]))</f>
        <v/>
      </c>
      <c r="AK85" s="10">
        <f>IF(tblOrdenes[[#This Row],[orden]]="","",tblOrdenes[[#This Row],[costo_servicio]]+tblOrdenes[[#This Row],[costo_materiales]])</f>
        <v/>
      </c>
      <c r="AL85" s="6" t="inlineStr"/>
      <c r="AM85" s="6" t="inlineStr"/>
      <c r="AN85" s="6" t="inlineStr">
        <is>
          <t>ACT-02.pdf</t>
        </is>
      </c>
      <c r="AO85" s="3">
        <f>IF(tblOrdenes[[#This Row],[link_checklist]]="","",HYPERLINK(p_ruta_base_checklists&amp;tblOrdenes[[#This Row],[link_checklist]],"abrir"))</f>
        <v/>
      </c>
      <c r="AP85" s="6" t="inlineStr"/>
      <c r="AQ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3">
        <f>IF(tblOrdenes[[#This Row],[tipo_ot]]="","",_xlfn.XLOOKUP(tblOrdenes[[#This Row],[tipo_ot]],tblTiposOT[codigo],tblTiposOT[clasificacion],"sin_clasificar"))</f>
        <v/>
      </c>
      <c r="U86" s="3">
        <f>IF(tblOrdenes[[#This Row],[centro_costo]]="","",_xlfn.XLOOKUP(tblOrdenes[[#This Row],[centro_costo]],tblCECO[codigo],tblCECO[linea],"(sin catálogo)"))</f>
        <v/>
      </c>
      <c r="V86" s="3">
        <f>IF(tblOrdenes[[#This Row],[centro_costo]]="","",_xlfn.XLOOKUP(tblOrdenes[[#This Row],[centro_costo]],tblCECO[codigo],tblCECO[area],"(sin catálogo)"))</f>
        <v/>
      </c>
      <c r="W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3">
        <f>IF(tblOrdenes[[#This Row],[centro_costo]]="","",_xlfn.XLOOKUP(tblOrdenes[[#This Row],[centro_costo]],tblCECO[codigo],tblCECO[coordinador],"(sin catálogo)"))</f>
        <v/>
      </c>
      <c r="Y86" s="3">
        <f>IF(tblOrdenes[[#This Row],[puesto_trabajo]]="","",_xlfn.XLOOKUP(tblOrdenes[[#This Row],[puesto_trabajo]],tblPuestos[codigo],tblPuestos[especialidad],"(sin catálogo)"))</f>
        <v/>
      </c>
      <c r="Z86" s="3">
        <f>IF(tblOrdenes[[#This Row],[cod_actividad]]="","",_xlfn.XLOOKUP(tblOrdenes[[#This Row],[cod_actividad]],tblActividades[codigo],tblActividades[descripcion],"(sin catálogo)"))</f>
        <v/>
      </c>
      <c r="AA86" s="12">
        <f>IF(tblOrdenes[[#This Row],[fecha_inicio]]="","",TODAY()-tblOrdenes[[#This Row],[fecha_inicio]])</f>
        <v/>
      </c>
      <c r="AB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3">
        <f>IF(tblOrdenes[[#This Row],[backlog_habiles]]="","",IF(tblOrdenes[[#This Row],[backlog_habiles]]&lt;0,"FUTURO",IF(tblOrdenes[[#This Row],[backlog_habiles]]&gt;p_dias_backlog_max,"BACKLOG","MES CORRIENTE")))</f>
        <v/>
      </c>
      <c r="AD86" s="3">
        <f>IF(tblOrdenes[[#This Row],[backlog_habiles]]="",FALSE,AND(tblOrdenes[[#This Row],[backlog_habiles]]&gt;p_dias_backlog_min,tblOrdenes[[#This Row],[backlog_habiles]]&lt;=p_dias_backlog_max))</f>
        <v/>
      </c>
      <c r="AE86" s="6" t="inlineStr">
        <is>
          <t>Técnico 06</t>
        </is>
      </c>
      <c r="AF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0">
        <f>IF(tblOrdenes[[#This Row],[orden]]="","",_xlfn.XLOOKUP(tblOrdenes[[#This Row],[id_operacion]],tblEjecucion[id_operacion],tblEjecucion[precio],0))</f>
        <v/>
      </c>
      <c r="AJ86" s="10">
        <f>IF(tblOrdenes[[#This Row],[orden]]="","",MAX(0,_xlfn.XLOOKUP(tblOrdenes[[#This Row],[id_operacion]],tblEjecucion[id_operacion],tblEjecucion[costo_plan_total],0)-tblOrdenes[[#This Row],[costo_servicio]]))</f>
        <v/>
      </c>
      <c r="AK86" s="10">
        <f>IF(tblOrdenes[[#This Row],[orden]]="","",tblOrdenes[[#This Row],[costo_servicio]]+tblOrdenes[[#This Row],[costo_materiales]])</f>
        <v/>
      </c>
      <c r="AL86" s="6" t="inlineStr"/>
      <c r="AM86" s="6" t="inlineStr"/>
      <c r="AN86" s="6" t="inlineStr">
        <is>
          <t>ACT-04.pdf</t>
        </is>
      </c>
      <c r="AO86" s="3">
        <f>IF(tblOrdenes[[#This Row],[link_checklist]]="","",HYPERLINK(p_ruta_base_checklists&amp;tblOrdenes[[#This Row],[link_checklist]],"abrir"))</f>
        <v/>
      </c>
      <c r="AP86" s="6" t="inlineStr"/>
      <c r="AQ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3">
        <f>IF(tblOrdenes[[#This Row],[tipo_ot]]="","",_xlfn.XLOOKUP(tblOrdenes[[#This Row],[tipo_ot]],tblTiposOT[codigo],tblTiposOT[clasificacion],"sin_clasificar"))</f>
        <v/>
      </c>
      <c r="U87" s="3">
        <f>IF(tblOrdenes[[#This Row],[centro_costo]]="","",_xlfn.XLOOKUP(tblOrdenes[[#This Row],[centro_costo]],tblCECO[codigo],tblCECO[linea],"(sin catálogo)"))</f>
        <v/>
      </c>
      <c r="V87" s="3">
        <f>IF(tblOrdenes[[#This Row],[centro_costo]]="","",_xlfn.XLOOKUP(tblOrdenes[[#This Row],[centro_costo]],tblCECO[codigo],tblCECO[area],"(sin catálogo)"))</f>
        <v/>
      </c>
      <c r="W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3">
        <f>IF(tblOrdenes[[#This Row],[centro_costo]]="","",_xlfn.XLOOKUP(tblOrdenes[[#This Row],[centro_costo]],tblCECO[codigo],tblCECO[coordinador],"(sin catálogo)"))</f>
        <v/>
      </c>
      <c r="Y87" s="3">
        <f>IF(tblOrdenes[[#This Row],[puesto_trabajo]]="","",_xlfn.XLOOKUP(tblOrdenes[[#This Row],[puesto_trabajo]],tblPuestos[codigo],tblPuestos[especialidad],"(sin catálogo)"))</f>
        <v/>
      </c>
      <c r="Z87" s="3">
        <f>IF(tblOrdenes[[#This Row],[cod_actividad]]="","",_xlfn.XLOOKUP(tblOrdenes[[#This Row],[cod_actividad]],tblActividades[codigo],tblActividades[descripcion],"(sin catálogo)"))</f>
        <v/>
      </c>
      <c r="AA87" s="12">
        <f>IF(tblOrdenes[[#This Row],[fecha_inicio]]="","",TODAY()-tblOrdenes[[#This Row],[fecha_inicio]])</f>
        <v/>
      </c>
      <c r="AB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3">
        <f>IF(tblOrdenes[[#This Row],[backlog_habiles]]="","",IF(tblOrdenes[[#This Row],[backlog_habiles]]&lt;0,"FUTURO",IF(tblOrdenes[[#This Row],[backlog_habiles]]&gt;p_dias_backlog_max,"BACKLOG","MES CORRIENTE")))</f>
        <v/>
      </c>
      <c r="AD87" s="3">
        <f>IF(tblOrdenes[[#This Row],[backlog_habiles]]="",FALSE,AND(tblOrdenes[[#This Row],[backlog_habiles]]&gt;p_dias_backlog_min,tblOrdenes[[#This Row],[backlog_habiles]]&lt;=p_dias_backlog_max))</f>
        <v/>
      </c>
      <c r="AE87" s="6" t="inlineStr"/>
      <c r="AF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0">
        <f>IF(tblOrdenes[[#This Row],[orden]]="","",_xlfn.XLOOKUP(tblOrdenes[[#This Row],[id_operacion]],tblEjecucion[id_operacion],tblEjecucion[precio],0))</f>
        <v/>
      </c>
      <c r="AJ87" s="10">
        <f>IF(tblOrdenes[[#This Row],[orden]]="","",MAX(0,_xlfn.XLOOKUP(tblOrdenes[[#This Row],[id_operacion]],tblEjecucion[id_operacion],tblEjecucion[costo_plan_total],0)-tblOrdenes[[#This Row],[costo_servicio]]))</f>
        <v/>
      </c>
      <c r="AK87" s="10">
        <f>IF(tblOrdenes[[#This Row],[orden]]="","",tblOrdenes[[#This Row],[costo_servicio]]+tblOrdenes[[#This Row],[costo_materiales]])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IF(tblOrdenes[[#This Row],[link_checklist]]="","",HYPERLINK(p_ruta_base_checklists&amp;tblOrdenes[[#This Row],[link_checklist]],"abrir"))</f>
        <v/>
      </c>
      <c r="AP87" s="6" t="inlineStr"/>
      <c r="AQ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3">
        <f>IF(tblOrdenes[[#This Row],[tipo_ot]]="","",_xlfn.XLOOKUP(tblOrdenes[[#This Row],[tipo_ot]],tblTiposOT[codigo],tblTiposOT[clasificacion],"sin_clasificar"))</f>
        <v/>
      </c>
      <c r="U88" s="3">
        <f>IF(tblOrdenes[[#This Row],[centro_costo]]="","",_xlfn.XLOOKUP(tblOrdenes[[#This Row],[centro_costo]],tblCECO[codigo],tblCECO[linea],"(sin catálogo)"))</f>
        <v/>
      </c>
      <c r="V88" s="3">
        <f>IF(tblOrdenes[[#This Row],[centro_costo]]="","",_xlfn.XLOOKUP(tblOrdenes[[#This Row],[centro_costo]],tblCECO[codigo],tblCECO[area],"(sin catálogo)"))</f>
        <v/>
      </c>
      <c r="W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3">
        <f>IF(tblOrdenes[[#This Row],[centro_costo]]="","",_xlfn.XLOOKUP(tblOrdenes[[#This Row],[centro_costo]],tblCECO[codigo],tblCECO[coordinador],"(sin catálogo)"))</f>
        <v/>
      </c>
      <c r="Y88" s="3">
        <f>IF(tblOrdenes[[#This Row],[puesto_trabajo]]="","",_xlfn.XLOOKUP(tblOrdenes[[#This Row],[puesto_trabajo]],tblPuestos[codigo],tblPuestos[especialidad],"(sin catálogo)"))</f>
        <v/>
      </c>
      <c r="Z88" s="3">
        <f>IF(tblOrdenes[[#This Row],[cod_actividad]]="","",_xlfn.XLOOKUP(tblOrdenes[[#This Row],[cod_actividad]],tblActividades[codigo],tblActividades[descripcion],"(sin catálogo)"))</f>
        <v/>
      </c>
      <c r="AA88" s="12">
        <f>IF(tblOrdenes[[#This Row],[fecha_inicio]]="","",TODAY()-tblOrdenes[[#This Row],[fecha_inicio]])</f>
        <v/>
      </c>
      <c r="AB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3">
        <f>IF(tblOrdenes[[#This Row],[backlog_habiles]]="","",IF(tblOrdenes[[#This Row],[backlog_habiles]]&lt;0,"FUTURO",IF(tblOrdenes[[#This Row],[backlog_habiles]]&gt;p_dias_backlog_max,"BACKLOG","MES CORRIENTE")))</f>
        <v/>
      </c>
      <c r="AD88" s="3">
        <f>IF(tblOrdenes[[#This Row],[backlog_habiles]]="",FALSE,AND(tblOrdenes[[#This Row],[backlog_habiles]]&gt;p_dias_backlog_min,tblOrdenes[[#This Row],[backlog_habiles]]&lt;=p_dias_backlog_max))</f>
        <v/>
      </c>
      <c r="AE88" s="6" t="inlineStr">
        <is>
          <t>Técnico 08</t>
        </is>
      </c>
      <c r="AF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0">
        <f>IF(tblOrdenes[[#This Row],[orden]]="","",_xlfn.XLOOKUP(tblOrdenes[[#This Row],[id_operacion]],tblEjecucion[id_operacion],tblEjecucion[precio],0))</f>
        <v/>
      </c>
      <c r="AJ88" s="10">
        <f>IF(tblOrdenes[[#This Row],[orden]]="","",MAX(0,_xlfn.XLOOKUP(tblOrdenes[[#This Row],[id_operacion]],tblEjecucion[id_operacion],tblEjecucion[costo_plan_total],0)-tblOrdenes[[#This Row],[costo_servicio]]))</f>
        <v/>
      </c>
      <c r="AK88" s="10">
        <f>IF(tblOrdenes[[#This Row],[orden]]="","",tblOrdenes[[#This Row],[costo_servicio]]+tblOrdenes[[#This Row],[costo_materiales]])</f>
        <v/>
      </c>
      <c r="AL88" s="6" t="inlineStr"/>
      <c r="AM88" s="6" t="inlineStr"/>
      <c r="AN88" s="6" t="inlineStr">
        <is>
          <t>ACT-02.pdf</t>
        </is>
      </c>
      <c r="AO88" s="3">
        <f>IF(tblOrdenes[[#This Row],[link_checklist]]="","",HYPERLINK(p_ruta_base_checklists&amp;tblOrdenes[[#This Row],[link_checklist]],"abrir"))</f>
        <v/>
      </c>
      <c r="AP88" s="6" t="inlineStr"/>
      <c r="AQ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3">
        <f>IF(tblOrdenes[[#This Row],[tipo_ot]]="","",_xlfn.XLOOKUP(tblOrdenes[[#This Row],[tipo_ot]],tblTiposOT[codigo],tblTiposOT[clasificacion],"sin_clasificar"))</f>
        <v/>
      </c>
      <c r="U89" s="3">
        <f>IF(tblOrdenes[[#This Row],[centro_costo]]="","",_xlfn.XLOOKUP(tblOrdenes[[#This Row],[centro_costo]],tblCECO[codigo],tblCECO[linea],"(sin catálogo)"))</f>
        <v/>
      </c>
      <c r="V89" s="3">
        <f>IF(tblOrdenes[[#This Row],[centro_costo]]="","",_xlfn.XLOOKUP(tblOrdenes[[#This Row],[centro_costo]],tblCECO[codigo],tblCECO[area],"(sin catálogo)"))</f>
        <v/>
      </c>
      <c r="W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3">
        <f>IF(tblOrdenes[[#This Row],[centro_costo]]="","",_xlfn.XLOOKUP(tblOrdenes[[#This Row],[centro_costo]],tblCECO[codigo],tblCECO[coordinador],"(sin catálogo)"))</f>
        <v/>
      </c>
      <c r="Y89" s="3">
        <f>IF(tblOrdenes[[#This Row],[puesto_trabajo]]="","",_xlfn.XLOOKUP(tblOrdenes[[#This Row],[puesto_trabajo]],tblPuestos[codigo],tblPuestos[especialidad],"(sin catálogo)"))</f>
        <v/>
      </c>
      <c r="Z89" s="3">
        <f>IF(tblOrdenes[[#This Row],[cod_actividad]]="","",_xlfn.XLOOKUP(tblOrdenes[[#This Row],[cod_actividad]],tblActividades[codigo],tblActividades[descripcion],"(sin catálogo)"))</f>
        <v/>
      </c>
      <c r="AA89" s="12">
        <f>IF(tblOrdenes[[#This Row],[fecha_inicio]]="","",TODAY()-tblOrdenes[[#This Row],[fecha_inicio]])</f>
        <v/>
      </c>
      <c r="AB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3">
        <f>IF(tblOrdenes[[#This Row],[backlog_habiles]]="","",IF(tblOrdenes[[#This Row],[backlog_habiles]]&lt;0,"FUTURO",IF(tblOrdenes[[#This Row],[backlog_habiles]]&gt;p_dias_backlog_max,"BACKLOG","MES CORRIENTE")))</f>
        <v/>
      </c>
      <c r="AD89" s="3">
        <f>IF(tblOrdenes[[#This Row],[backlog_habiles]]="",FALSE,AND(tblOrdenes[[#This Row],[backlog_habiles]]&gt;p_dias_backlog_min,tblOrdenes[[#This Row],[backlog_habiles]]&lt;=p_dias_backlog_max))</f>
        <v/>
      </c>
      <c r="AE89" s="6" t="inlineStr">
        <is>
          <t>Técnico 09</t>
        </is>
      </c>
      <c r="AF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0">
        <f>IF(tblOrdenes[[#This Row],[orden]]="","",_xlfn.XLOOKUP(tblOrdenes[[#This Row],[id_operacion]],tblEjecucion[id_operacion],tblEjecucion[precio],0))</f>
        <v/>
      </c>
      <c r="AJ89" s="10">
        <f>IF(tblOrdenes[[#This Row],[orden]]="","",MAX(0,_xlfn.XLOOKUP(tblOrdenes[[#This Row],[id_operacion]],tblEjecucion[id_operacion],tblEjecucion[costo_plan_total],0)-tblOrdenes[[#This Row],[costo_servicio]]))</f>
        <v/>
      </c>
      <c r="AK89" s="10">
        <f>IF(tblOrdenes[[#This Row],[orden]]="","",tblOrdenes[[#This Row],[costo_servicio]]+tblOrdenes[[#This Row],[costo_materiales]])</f>
        <v/>
      </c>
      <c r="AL89" s="6" t="inlineStr"/>
      <c r="AM89" s="6" t="inlineStr"/>
      <c r="AN89" s="6" t="inlineStr">
        <is>
          <t>ACT-04.pdf</t>
        </is>
      </c>
      <c r="AO89" s="3">
        <f>IF(tblOrdenes[[#This Row],[link_checklist]]="","",HYPERLINK(p_ruta_base_checklists&amp;tblOrdenes[[#This Row],[link_checklist]],"abrir"))</f>
        <v/>
      </c>
      <c r="AP89" s="6" t="inlineStr"/>
      <c r="AQ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3">
        <f>IF(tblOrdenes[[#This Row],[tipo_ot]]="","",_xlfn.XLOOKUP(tblOrdenes[[#This Row],[tipo_ot]],tblTiposOT[codigo],tblTiposOT[clasificacion],"sin_clasificar"))</f>
        <v/>
      </c>
      <c r="U90" s="3">
        <f>IF(tblOrdenes[[#This Row],[centro_costo]]="","",_xlfn.XLOOKUP(tblOrdenes[[#This Row],[centro_costo]],tblCECO[codigo],tblCECO[linea],"(sin catálogo)"))</f>
        <v/>
      </c>
      <c r="V90" s="3">
        <f>IF(tblOrdenes[[#This Row],[centro_costo]]="","",_xlfn.XLOOKUP(tblOrdenes[[#This Row],[centro_costo]],tblCECO[codigo],tblCECO[area],"(sin catálogo)"))</f>
        <v/>
      </c>
      <c r="W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3">
        <f>IF(tblOrdenes[[#This Row],[centro_costo]]="","",_xlfn.XLOOKUP(tblOrdenes[[#This Row],[centro_costo]],tblCECO[codigo],tblCECO[coordinador],"(sin catálogo)"))</f>
        <v/>
      </c>
      <c r="Y90" s="3">
        <f>IF(tblOrdenes[[#This Row],[puesto_trabajo]]="","",_xlfn.XLOOKUP(tblOrdenes[[#This Row],[puesto_trabajo]],tblPuestos[codigo],tblPuestos[especialidad],"(sin catálogo)"))</f>
        <v/>
      </c>
      <c r="Z90" s="3">
        <f>IF(tblOrdenes[[#This Row],[cod_actividad]]="","",_xlfn.XLOOKUP(tblOrdenes[[#This Row],[cod_actividad]],tblActividades[codigo],tblActividades[descripcion],"(sin catálogo)"))</f>
        <v/>
      </c>
      <c r="AA90" s="12">
        <f>IF(tblOrdenes[[#This Row],[fecha_inicio]]="","",TODAY()-tblOrdenes[[#This Row],[fecha_inicio]])</f>
        <v/>
      </c>
      <c r="AB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3">
        <f>IF(tblOrdenes[[#This Row],[backlog_habiles]]="","",IF(tblOrdenes[[#This Row],[backlog_habiles]]&lt;0,"FUTURO",IF(tblOrdenes[[#This Row],[backlog_habiles]]&gt;p_dias_backlog_max,"BACKLOG","MES CORRIENTE")))</f>
        <v/>
      </c>
      <c r="AD90" s="3">
        <f>IF(tblOrdenes[[#This Row],[backlog_habiles]]="",FALSE,AND(tblOrdenes[[#This Row],[backlog_habiles]]&gt;p_dias_backlog_min,tblOrdenes[[#This Row],[backlog_habiles]]&lt;=p_dias_backlog_max))</f>
        <v/>
      </c>
      <c r="AE90" s="6" t="inlineStr">
        <is>
          <t>Técnico 08</t>
        </is>
      </c>
      <c r="AF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0">
        <f>IF(tblOrdenes[[#This Row],[orden]]="","",_xlfn.XLOOKUP(tblOrdenes[[#This Row],[id_operacion]],tblEjecucion[id_operacion],tblEjecucion[precio],0))</f>
        <v/>
      </c>
      <c r="AJ90" s="10">
        <f>IF(tblOrdenes[[#This Row],[orden]]="","",MAX(0,_xlfn.XLOOKUP(tblOrdenes[[#This Row],[id_operacion]],tblEjecucion[id_operacion],tblEjecucion[costo_plan_total],0)-tblOrdenes[[#This Row],[costo_servicio]]))</f>
        <v/>
      </c>
      <c r="AK90" s="10">
        <f>IF(tblOrdenes[[#This Row],[orden]]="","",tblOrdenes[[#This Row],[costo_servicio]]+tblOrdenes[[#This Row],[costo_materiales]])</f>
        <v/>
      </c>
      <c r="AL90" s="6" t="inlineStr"/>
      <c r="AM90" s="6" t="inlineStr"/>
      <c r="AN90" s="6" t="inlineStr">
        <is>
          <t>ACT-01.pdf</t>
        </is>
      </c>
      <c r="AO90" s="3">
        <f>IF(tblOrdenes[[#This Row],[link_checklist]]="","",HYPERLINK(p_ruta_base_checklists&amp;tblOrdenes[[#This Row],[link_checklist]],"abrir"))</f>
        <v/>
      </c>
      <c r="AP90" s="6" t="inlineStr"/>
      <c r="AQ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3">
        <f>IF(tblOrdenes[[#This Row],[tipo_ot]]="","",_xlfn.XLOOKUP(tblOrdenes[[#This Row],[tipo_ot]],tblTiposOT[codigo],tblTiposOT[clasificacion],"sin_clasificar"))</f>
        <v/>
      </c>
      <c r="U91" s="3">
        <f>IF(tblOrdenes[[#This Row],[centro_costo]]="","",_xlfn.XLOOKUP(tblOrdenes[[#This Row],[centro_costo]],tblCECO[codigo],tblCECO[linea],"(sin catálogo)"))</f>
        <v/>
      </c>
      <c r="V91" s="3">
        <f>IF(tblOrdenes[[#This Row],[centro_costo]]="","",_xlfn.XLOOKUP(tblOrdenes[[#This Row],[centro_costo]],tblCECO[codigo],tblCECO[area],"(sin catálogo)"))</f>
        <v/>
      </c>
      <c r="W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3">
        <f>IF(tblOrdenes[[#This Row],[centro_costo]]="","",_xlfn.XLOOKUP(tblOrdenes[[#This Row],[centro_costo]],tblCECO[codigo],tblCECO[coordinador],"(sin catálogo)"))</f>
        <v/>
      </c>
      <c r="Y91" s="3">
        <f>IF(tblOrdenes[[#This Row],[puesto_trabajo]]="","",_xlfn.XLOOKUP(tblOrdenes[[#This Row],[puesto_trabajo]],tblPuestos[codigo],tblPuestos[especialidad],"(sin catálogo)"))</f>
        <v/>
      </c>
      <c r="Z91" s="3">
        <f>IF(tblOrdenes[[#This Row],[cod_actividad]]="","",_xlfn.XLOOKUP(tblOrdenes[[#This Row],[cod_actividad]],tblActividades[codigo],tblActividades[descripcion],"(sin catálogo)"))</f>
        <v/>
      </c>
      <c r="AA91" s="12">
        <f>IF(tblOrdenes[[#This Row],[fecha_inicio]]="","",TODAY()-tblOrdenes[[#This Row],[fecha_inicio]])</f>
        <v/>
      </c>
      <c r="AB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3">
        <f>IF(tblOrdenes[[#This Row],[backlog_habiles]]="","",IF(tblOrdenes[[#This Row],[backlog_habiles]]&lt;0,"FUTURO",IF(tblOrdenes[[#This Row],[backlog_habiles]]&gt;p_dias_backlog_max,"BACKLOG","MES CORRIENTE")))</f>
        <v/>
      </c>
      <c r="AD91" s="3">
        <f>IF(tblOrdenes[[#This Row],[backlog_habiles]]="",FALSE,AND(tblOrdenes[[#This Row],[backlog_habiles]]&gt;p_dias_backlog_min,tblOrdenes[[#This Row],[backlog_habiles]]&lt;=p_dias_backlog_max))</f>
        <v/>
      </c>
      <c r="AE91" s="6" t="inlineStr">
        <is>
          <t>Técnico 09</t>
        </is>
      </c>
      <c r="AF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0">
        <f>IF(tblOrdenes[[#This Row],[orden]]="","",_xlfn.XLOOKUP(tblOrdenes[[#This Row],[id_operacion]],tblEjecucion[id_operacion],tblEjecucion[precio],0))</f>
        <v/>
      </c>
      <c r="AJ91" s="10">
        <f>IF(tblOrdenes[[#This Row],[orden]]="","",MAX(0,_xlfn.XLOOKUP(tblOrdenes[[#This Row],[id_operacion]],tblEjecucion[id_operacion],tblEjecucion[costo_plan_total],0)-tblOrdenes[[#This Row],[costo_servicio]]))</f>
        <v/>
      </c>
      <c r="AK91" s="10">
        <f>IF(tblOrdenes[[#This Row],[orden]]="","",tblOrdenes[[#This Row],[costo_servicio]]+tblOrdenes[[#This Row],[costo_materiales]])</f>
        <v/>
      </c>
      <c r="AL91" s="6" t="inlineStr"/>
      <c r="AM91" s="6" t="inlineStr"/>
      <c r="AN91" s="6" t="inlineStr">
        <is>
          <t>ACT-02.pdf</t>
        </is>
      </c>
      <c r="AO91" s="3">
        <f>IF(tblOrdenes[[#This Row],[link_checklist]]="","",HYPERLINK(p_ruta_base_checklists&amp;tblOrdenes[[#This Row],[link_checklist]],"abrir"))</f>
        <v/>
      </c>
      <c r="AP91" s="6" t="inlineStr"/>
      <c r="AQ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3">
        <f>IF(tblOrdenes[[#This Row],[tipo_ot]]="","",_xlfn.XLOOKUP(tblOrdenes[[#This Row],[tipo_ot]],tblTiposOT[codigo],tblTiposOT[clasificacion],"sin_clasificar"))</f>
        <v/>
      </c>
      <c r="U92" s="3">
        <f>IF(tblOrdenes[[#This Row],[centro_costo]]="","",_xlfn.XLOOKUP(tblOrdenes[[#This Row],[centro_costo]],tblCECO[codigo],tblCECO[linea],"(sin catálogo)"))</f>
        <v/>
      </c>
      <c r="V92" s="3">
        <f>IF(tblOrdenes[[#This Row],[centro_costo]]="","",_xlfn.XLOOKUP(tblOrdenes[[#This Row],[centro_costo]],tblCECO[codigo],tblCECO[area],"(sin catálogo)"))</f>
        <v/>
      </c>
      <c r="W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3">
        <f>IF(tblOrdenes[[#This Row],[centro_costo]]="","",_xlfn.XLOOKUP(tblOrdenes[[#This Row],[centro_costo]],tblCECO[codigo],tblCECO[coordinador],"(sin catálogo)"))</f>
        <v/>
      </c>
      <c r="Y92" s="3">
        <f>IF(tblOrdenes[[#This Row],[puesto_trabajo]]="","",_xlfn.XLOOKUP(tblOrdenes[[#This Row],[puesto_trabajo]],tblPuestos[codigo],tblPuestos[especialidad],"(sin catálogo)"))</f>
        <v/>
      </c>
      <c r="Z92" s="3">
        <f>IF(tblOrdenes[[#This Row],[cod_actividad]]="","",_xlfn.XLOOKUP(tblOrdenes[[#This Row],[cod_actividad]],tblActividades[codigo],tblActividades[descripcion],"(sin catálogo)"))</f>
        <v/>
      </c>
      <c r="AA92" s="12">
        <f>IF(tblOrdenes[[#This Row],[fecha_inicio]]="","",TODAY()-tblOrdenes[[#This Row],[fecha_inicio]])</f>
        <v/>
      </c>
      <c r="AB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3">
        <f>IF(tblOrdenes[[#This Row],[backlog_habiles]]="","",IF(tblOrdenes[[#This Row],[backlog_habiles]]&lt;0,"FUTURO",IF(tblOrdenes[[#This Row],[backlog_habiles]]&gt;p_dias_backlog_max,"BACKLOG","MES CORRIENTE")))</f>
        <v/>
      </c>
      <c r="AD92" s="3">
        <f>IF(tblOrdenes[[#This Row],[backlog_habiles]]="",FALSE,AND(tblOrdenes[[#This Row],[backlog_habiles]]&gt;p_dias_backlog_min,tblOrdenes[[#This Row],[backlog_habiles]]&lt;=p_dias_backlog_max))</f>
        <v/>
      </c>
      <c r="AE92" s="6" t="inlineStr">
        <is>
          <t>Técnico 08</t>
        </is>
      </c>
      <c r="AF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0">
        <f>IF(tblOrdenes[[#This Row],[orden]]="","",_xlfn.XLOOKUP(tblOrdenes[[#This Row],[id_operacion]],tblEjecucion[id_operacion],tblEjecucion[precio],0))</f>
        <v/>
      </c>
      <c r="AJ92" s="10">
        <f>IF(tblOrdenes[[#This Row],[orden]]="","",MAX(0,_xlfn.XLOOKUP(tblOrdenes[[#This Row],[id_operacion]],tblEjecucion[id_operacion],tblEjecucion[costo_plan_total],0)-tblOrdenes[[#This Row],[costo_servicio]]))</f>
        <v/>
      </c>
      <c r="AK92" s="10">
        <f>IF(tblOrdenes[[#This Row],[orden]]="","",tblOrdenes[[#This Row],[costo_servicio]]+tblOrdenes[[#This Row],[costo_materiales]])</f>
        <v/>
      </c>
      <c r="AL92" s="6" t="inlineStr"/>
      <c r="AM92" s="6" t="inlineStr"/>
      <c r="AN92" s="6" t="inlineStr">
        <is>
          <t>ACT-04.pdf</t>
        </is>
      </c>
      <c r="AO92" s="3">
        <f>IF(tblOrdenes[[#This Row],[link_checklist]]="","",HYPERLINK(p_ruta_base_checklists&amp;tblOrdenes[[#This Row],[link_checklist]],"abrir"))</f>
        <v/>
      </c>
      <c r="AP92" s="6" t="inlineStr"/>
      <c r="AQ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3">
        <f>IF(tblOrdenes[[#This Row],[tipo_ot]]="","",_xlfn.XLOOKUP(tblOrdenes[[#This Row],[tipo_ot]],tblTiposOT[codigo],tblTiposOT[clasificacion],"sin_clasificar"))</f>
        <v/>
      </c>
      <c r="U93" s="3">
        <f>IF(tblOrdenes[[#This Row],[centro_costo]]="","",_xlfn.XLOOKUP(tblOrdenes[[#This Row],[centro_costo]],tblCECO[codigo],tblCECO[linea],"(sin catálogo)"))</f>
        <v/>
      </c>
      <c r="V93" s="3">
        <f>IF(tblOrdenes[[#This Row],[centro_costo]]="","",_xlfn.XLOOKUP(tblOrdenes[[#This Row],[centro_costo]],tblCECO[codigo],tblCECO[area],"(sin catálogo)"))</f>
        <v/>
      </c>
      <c r="W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3">
        <f>IF(tblOrdenes[[#This Row],[centro_costo]]="","",_xlfn.XLOOKUP(tblOrdenes[[#This Row],[centro_costo]],tblCECO[codigo],tblCECO[coordinador],"(sin catálogo)"))</f>
        <v/>
      </c>
      <c r="Y93" s="3">
        <f>IF(tblOrdenes[[#This Row],[puesto_trabajo]]="","",_xlfn.XLOOKUP(tblOrdenes[[#This Row],[puesto_trabajo]],tblPuestos[codigo],tblPuestos[especialidad],"(sin catálogo)"))</f>
        <v/>
      </c>
      <c r="Z93" s="3">
        <f>IF(tblOrdenes[[#This Row],[cod_actividad]]="","",_xlfn.XLOOKUP(tblOrdenes[[#This Row],[cod_actividad]],tblActividades[codigo],tblActividades[descripcion],"(sin catálogo)"))</f>
        <v/>
      </c>
      <c r="AA93" s="12">
        <f>IF(tblOrdenes[[#This Row],[fecha_inicio]]="","",TODAY()-tblOrdenes[[#This Row],[fecha_inicio]])</f>
        <v/>
      </c>
      <c r="AB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3">
        <f>IF(tblOrdenes[[#This Row],[backlog_habiles]]="","",IF(tblOrdenes[[#This Row],[backlog_habiles]]&lt;0,"FUTURO",IF(tblOrdenes[[#This Row],[backlog_habiles]]&gt;p_dias_backlog_max,"BACKLOG","MES CORRIENTE")))</f>
        <v/>
      </c>
      <c r="AD93" s="3">
        <f>IF(tblOrdenes[[#This Row],[backlog_habiles]]="",FALSE,AND(tblOrdenes[[#This Row],[backlog_habiles]]&gt;p_dias_backlog_min,tblOrdenes[[#This Row],[backlog_habiles]]&lt;=p_dias_backlog_max))</f>
        <v/>
      </c>
      <c r="AE93" s="6" t="inlineStr">
        <is>
          <t>Técnico 09</t>
        </is>
      </c>
      <c r="AF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0">
        <f>IF(tblOrdenes[[#This Row],[orden]]="","",_xlfn.XLOOKUP(tblOrdenes[[#This Row],[id_operacion]],tblEjecucion[id_operacion],tblEjecucion[precio],0))</f>
        <v/>
      </c>
      <c r="AJ93" s="10">
        <f>IF(tblOrdenes[[#This Row],[orden]]="","",MAX(0,_xlfn.XLOOKUP(tblOrdenes[[#This Row],[id_operacion]],tblEjecucion[id_operacion],tblEjecucion[costo_plan_total],0)-tblOrdenes[[#This Row],[costo_servicio]]))</f>
        <v/>
      </c>
      <c r="AK93" s="10">
        <f>IF(tblOrdenes[[#This Row],[orden]]="","",tblOrdenes[[#This Row],[costo_servicio]]+tblOrdenes[[#This Row],[costo_materiales]])</f>
        <v/>
      </c>
      <c r="AL93" s="6" t="inlineStr"/>
      <c r="AM93" s="6" t="inlineStr"/>
      <c r="AN93" s="6" t="inlineStr"/>
      <c r="AO93" s="3">
        <f>IF(tblOrdenes[[#This Row],[link_checklist]]="","",HYPERLINK(p_ruta_base_checklists&amp;tblOrdenes[[#This Row],[link_checklist]],"abrir"))</f>
        <v/>
      </c>
      <c r="AP93" s="6" t="inlineStr"/>
      <c r="AQ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3">
        <f>IF(tblOrdenes[[#This Row],[tipo_ot]]="","",_xlfn.XLOOKUP(tblOrdenes[[#This Row],[tipo_ot]],tblTiposOT[codigo],tblTiposOT[clasificacion],"sin_clasificar"))</f>
        <v/>
      </c>
      <c r="U94" s="3">
        <f>IF(tblOrdenes[[#This Row],[centro_costo]]="","",_xlfn.XLOOKUP(tblOrdenes[[#This Row],[centro_costo]],tblCECO[codigo],tblCECO[linea],"(sin catálogo)"))</f>
        <v/>
      </c>
      <c r="V94" s="3">
        <f>IF(tblOrdenes[[#This Row],[centro_costo]]="","",_xlfn.XLOOKUP(tblOrdenes[[#This Row],[centro_costo]],tblCECO[codigo],tblCECO[area],"(sin catálogo)"))</f>
        <v/>
      </c>
      <c r="W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3">
        <f>IF(tblOrdenes[[#This Row],[centro_costo]]="","",_xlfn.XLOOKUP(tblOrdenes[[#This Row],[centro_costo]],tblCECO[codigo],tblCECO[coordinador],"(sin catálogo)"))</f>
        <v/>
      </c>
      <c r="Y94" s="3">
        <f>IF(tblOrdenes[[#This Row],[puesto_trabajo]]="","",_xlfn.XLOOKUP(tblOrdenes[[#This Row],[puesto_trabajo]],tblPuestos[codigo],tblPuestos[especialidad],"(sin catálogo)"))</f>
        <v/>
      </c>
      <c r="Z94" s="3">
        <f>IF(tblOrdenes[[#This Row],[cod_actividad]]="","",_xlfn.XLOOKUP(tblOrdenes[[#This Row],[cod_actividad]],tblActividades[codigo],tblActividades[descripcion],"(sin catálogo)"))</f>
        <v/>
      </c>
      <c r="AA94" s="12">
        <f>IF(tblOrdenes[[#This Row],[fecha_inicio]]="","",TODAY()-tblOrdenes[[#This Row],[fecha_inicio]])</f>
        <v/>
      </c>
      <c r="AB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3">
        <f>IF(tblOrdenes[[#This Row],[backlog_habiles]]="","",IF(tblOrdenes[[#This Row],[backlog_habiles]]&lt;0,"FUTURO",IF(tblOrdenes[[#This Row],[backlog_habiles]]&gt;p_dias_backlog_max,"BACKLOG","MES CORRIENTE")))</f>
        <v/>
      </c>
      <c r="AD94" s="3">
        <f>IF(tblOrdenes[[#This Row],[backlog_habiles]]="",FALSE,AND(tblOrdenes[[#This Row],[backlog_habiles]]&gt;p_dias_backlog_min,tblOrdenes[[#This Row],[backlog_habiles]]&lt;=p_dias_backlog_max))</f>
        <v/>
      </c>
      <c r="AE94" s="6" t="inlineStr">
        <is>
          <t>Técnico 08</t>
        </is>
      </c>
      <c r="AF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0">
        <f>IF(tblOrdenes[[#This Row],[orden]]="","",_xlfn.XLOOKUP(tblOrdenes[[#This Row],[id_operacion]],tblEjecucion[id_operacion],tblEjecucion[precio],0))</f>
        <v/>
      </c>
      <c r="AJ94" s="10">
        <f>IF(tblOrdenes[[#This Row],[orden]]="","",MAX(0,_xlfn.XLOOKUP(tblOrdenes[[#This Row],[id_operacion]],tblEjecucion[id_operacion],tblEjecucion[costo_plan_total],0)-tblOrdenes[[#This Row],[costo_servicio]]))</f>
        <v/>
      </c>
      <c r="AK94" s="10">
        <f>IF(tblOrdenes[[#This Row],[orden]]="","",tblOrdenes[[#This Row],[costo_servicio]]+tblOrdenes[[#This Row],[costo_materiales]])</f>
        <v/>
      </c>
      <c r="AL94" s="6" t="inlineStr"/>
      <c r="AM94" s="6" t="inlineStr"/>
      <c r="AN94" s="6" t="inlineStr">
        <is>
          <t>ACT-02.pdf</t>
        </is>
      </c>
      <c r="AO94" s="3">
        <f>IF(tblOrdenes[[#This Row],[link_checklist]]="","",HYPERLINK(p_ruta_base_checklists&amp;tblOrdenes[[#This Row],[link_checklist]],"abrir"))</f>
        <v/>
      </c>
      <c r="AP94" s="6" t="inlineStr"/>
      <c r="AQ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3">
        <f>IF(tblOrdenes[[#This Row],[tipo_ot]]="","",_xlfn.XLOOKUP(tblOrdenes[[#This Row],[tipo_ot]],tblTiposOT[codigo],tblTiposOT[clasificacion],"sin_clasificar"))</f>
        <v/>
      </c>
      <c r="U95" s="3">
        <f>IF(tblOrdenes[[#This Row],[centro_costo]]="","",_xlfn.XLOOKUP(tblOrdenes[[#This Row],[centro_costo]],tblCECO[codigo],tblCECO[linea],"(sin catálogo)"))</f>
        <v/>
      </c>
      <c r="V95" s="3">
        <f>IF(tblOrdenes[[#This Row],[centro_costo]]="","",_xlfn.XLOOKUP(tblOrdenes[[#This Row],[centro_costo]],tblCECO[codigo],tblCECO[area],"(sin catálogo)"))</f>
        <v/>
      </c>
      <c r="W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3">
        <f>IF(tblOrdenes[[#This Row],[centro_costo]]="","",_xlfn.XLOOKUP(tblOrdenes[[#This Row],[centro_costo]],tblCECO[codigo],tblCECO[coordinador],"(sin catálogo)"))</f>
        <v/>
      </c>
      <c r="Y95" s="3">
        <f>IF(tblOrdenes[[#This Row],[puesto_trabajo]]="","",_xlfn.XLOOKUP(tblOrdenes[[#This Row],[puesto_trabajo]],tblPuestos[codigo],tblPuestos[especialidad],"(sin catálogo)"))</f>
        <v/>
      </c>
      <c r="Z95" s="3">
        <f>IF(tblOrdenes[[#This Row],[cod_actividad]]="","",_xlfn.XLOOKUP(tblOrdenes[[#This Row],[cod_actividad]],tblActividades[codigo],tblActividades[descripcion],"(sin catálogo)"))</f>
        <v/>
      </c>
      <c r="AA95" s="12">
        <f>IF(tblOrdenes[[#This Row],[fecha_inicio]]="","",TODAY()-tblOrdenes[[#This Row],[fecha_inicio]])</f>
        <v/>
      </c>
      <c r="AB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3">
        <f>IF(tblOrdenes[[#This Row],[backlog_habiles]]="","",IF(tblOrdenes[[#This Row],[backlog_habiles]]&lt;0,"FUTURO",IF(tblOrdenes[[#This Row],[backlog_habiles]]&gt;p_dias_backlog_max,"BACKLOG","MES CORRIENTE")))</f>
        <v/>
      </c>
      <c r="AD95" s="3">
        <f>IF(tblOrdenes[[#This Row],[backlog_habiles]]="",FALSE,AND(tblOrdenes[[#This Row],[backlog_habiles]]&gt;p_dias_backlog_min,tblOrdenes[[#This Row],[backlog_habiles]]&lt;=p_dias_backlog_max))</f>
        <v/>
      </c>
      <c r="AE95" s="6" t="inlineStr">
        <is>
          <t>Técnico 09</t>
        </is>
      </c>
      <c r="AF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0">
        <f>IF(tblOrdenes[[#This Row],[orden]]="","",_xlfn.XLOOKUP(tblOrdenes[[#This Row],[id_operacion]],tblEjecucion[id_operacion],tblEjecucion[precio],0))</f>
        <v/>
      </c>
      <c r="AJ95" s="10">
        <f>IF(tblOrdenes[[#This Row],[orden]]="","",MAX(0,_xlfn.XLOOKUP(tblOrdenes[[#This Row],[id_operacion]],tblEjecucion[id_operacion],tblEjecucion[costo_plan_total],0)-tblOrdenes[[#This Row],[costo_servicio]]))</f>
        <v/>
      </c>
      <c r="AK95" s="10">
        <f>IF(tblOrdenes[[#This Row],[orden]]="","",tblOrdenes[[#This Row],[costo_servicio]]+tblOrdenes[[#This Row],[costo_materiales]])</f>
        <v/>
      </c>
      <c r="AL95" s="6" t="inlineStr"/>
      <c r="AM95" s="6" t="inlineStr"/>
      <c r="AN95" s="6" t="inlineStr">
        <is>
          <t>ACT-04.pdf</t>
        </is>
      </c>
      <c r="AO95" s="3">
        <f>IF(tblOrdenes[[#This Row],[link_checklist]]="","",HYPERLINK(p_ruta_base_checklists&amp;tblOrdenes[[#This Row],[link_checklist]],"abrir"))</f>
        <v/>
      </c>
      <c r="AP95" s="6" t="inlineStr"/>
      <c r="AQ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3">
        <f>IF(tblOrdenes[[#This Row],[tipo_ot]]="","",_xlfn.XLOOKUP(tblOrdenes[[#This Row],[tipo_ot]],tblTiposOT[codigo],tblTiposOT[clasificacion],"sin_clasificar"))</f>
        <v/>
      </c>
      <c r="U96" s="3">
        <f>IF(tblOrdenes[[#This Row],[centro_costo]]="","",_xlfn.XLOOKUP(tblOrdenes[[#This Row],[centro_costo]],tblCECO[codigo],tblCECO[linea],"(sin catálogo)"))</f>
        <v/>
      </c>
      <c r="V96" s="3">
        <f>IF(tblOrdenes[[#This Row],[centro_costo]]="","",_xlfn.XLOOKUP(tblOrdenes[[#This Row],[centro_costo]],tblCECO[codigo],tblCECO[area],"(sin catálogo)"))</f>
        <v/>
      </c>
      <c r="W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3">
        <f>IF(tblOrdenes[[#This Row],[centro_costo]]="","",_xlfn.XLOOKUP(tblOrdenes[[#This Row],[centro_costo]],tblCECO[codigo],tblCECO[coordinador],"(sin catálogo)"))</f>
        <v/>
      </c>
      <c r="Y96" s="3">
        <f>IF(tblOrdenes[[#This Row],[puesto_trabajo]]="","",_xlfn.XLOOKUP(tblOrdenes[[#This Row],[puesto_trabajo]],tblPuestos[codigo],tblPuestos[especialidad],"(sin catálogo)"))</f>
        <v/>
      </c>
      <c r="Z96" s="3">
        <f>IF(tblOrdenes[[#This Row],[cod_actividad]]="","",_xlfn.XLOOKUP(tblOrdenes[[#This Row],[cod_actividad]],tblActividades[codigo],tblActividades[descripcion],"(sin catálogo)"))</f>
        <v/>
      </c>
      <c r="AA96" s="12">
        <f>IF(tblOrdenes[[#This Row],[fecha_inicio]]="","",TODAY()-tblOrdenes[[#This Row],[fecha_inicio]])</f>
        <v/>
      </c>
      <c r="AB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3">
        <f>IF(tblOrdenes[[#This Row],[backlog_habiles]]="","",IF(tblOrdenes[[#This Row],[backlog_habiles]]&lt;0,"FUTURO",IF(tblOrdenes[[#This Row],[backlog_habiles]]&gt;p_dias_backlog_max,"BACKLOG","MES CORRIENTE")))</f>
        <v/>
      </c>
      <c r="AD96" s="3">
        <f>IF(tblOrdenes[[#This Row],[backlog_habiles]]="",FALSE,AND(tblOrdenes[[#This Row],[backlog_habiles]]&gt;p_dias_backlog_min,tblOrdenes[[#This Row],[backlog_habiles]]&lt;=p_dias_backlog_max))</f>
        <v/>
      </c>
      <c r="AE96" s="6" t="inlineStr">
        <is>
          <t>Técnico 08</t>
        </is>
      </c>
      <c r="AF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0">
        <f>IF(tblOrdenes[[#This Row],[orden]]="","",_xlfn.XLOOKUP(tblOrdenes[[#This Row],[id_operacion]],tblEjecucion[id_operacion],tblEjecucion[precio],0))</f>
        <v/>
      </c>
      <c r="AJ96" s="10">
        <f>IF(tblOrdenes[[#This Row],[orden]]="","",MAX(0,_xlfn.XLOOKUP(tblOrdenes[[#This Row],[id_operacion]],tblEjecucion[id_operacion],tblEjecucion[costo_plan_total],0)-tblOrdenes[[#This Row],[costo_servicio]]))</f>
        <v/>
      </c>
      <c r="AK96" s="10">
        <f>IF(tblOrdenes[[#This Row],[orden]]="","",tblOrdenes[[#This Row],[costo_servicio]]+tblOrdenes[[#This Row],[costo_materiales]])</f>
        <v/>
      </c>
      <c r="AL96" s="6" t="inlineStr"/>
      <c r="AM96" s="6" t="inlineStr"/>
      <c r="AN96" s="6" t="inlineStr">
        <is>
          <t>ACT-01.pdf</t>
        </is>
      </c>
      <c r="AO96" s="3">
        <f>IF(tblOrdenes[[#This Row],[link_checklist]]="","",HYPERLINK(p_ruta_base_checklists&amp;tblOrdenes[[#This Row],[link_checklist]],"abrir"))</f>
        <v/>
      </c>
      <c r="AP96" s="6" t="inlineStr"/>
      <c r="AQ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3">
        <f>IF(tblOrdenes[[#This Row],[tipo_ot]]="","",_xlfn.XLOOKUP(tblOrdenes[[#This Row],[tipo_ot]],tblTiposOT[codigo],tblTiposOT[clasificacion],"sin_clasificar"))</f>
        <v/>
      </c>
      <c r="U97" s="3">
        <f>IF(tblOrdenes[[#This Row],[centro_costo]]="","",_xlfn.XLOOKUP(tblOrdenes[[#This Row],[centro_costo]],tblCECO[codigo],tblCECO[linea],"(sin catálogo)"))</f>
        <v/>
      </c>
      <c r="V97" s="3">
        <f>IF(tblOrdenes[[#This Row],[centro_costo]]="","",_xlfn.XLOOKUP(tblOrdenes[[#This Row],[centro_costo]],tblCECO[codigo],tblCECO[area],"(sin catálogo)"))</f>
        <v/>
      </c>
      <c r="W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3">
        <f>IF(tblOrdenes[[#This Row],[centro_costo]]="","",_xlfn.XLOOKUP(tblOrdenes[[#This Row],[centro_costo]],tblCECO[codigo],tblCECO[coordinador],"(sin catálogo)"))</f>
        <v/>
      </c>
      <c r="Y97" s="3">
        <f>IF(tblOrdenes[[#This Row],[puesto_trabajo]]="","",_xlfn.XLOOKUP(tblOrdenes[[#This Row],[puesto_trabajo]],tblPuestos[codigo],tblPuestos[especialidad],"(sin catálogo)"))</f>
        <v/>
      </c>
      <c r="Z97" s="3">
        <f>IF(tblOrdenes[[#This Row],[cod_actividad]]="","",_xlfn.XLOOKUP(tblOrdenes[[#This Row],[cod_actividad]],tblActividades[codigo],tblActividades[descripcion],"(sin catálogo)"))</f>
        <v/>
      </c>
      <c r="AA97" s="12">
        <f>IF(tblOrdenes[[#This Row],[fecha_inicio]]="","",TODAY()-tblOrdenes[[#This Row],[fecha_inicio]])</f>
        <v/>
      </c>
      <c r="AB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3">
        <f>IF(tblOrdenes[[#This Row],[backlog_habiles]]="","",IF(tblOrdenes[[#This Row],[backlog_habiles]]&lt;0,"FUTURO",IF(tblOrdenes[[#This Row],[backlog_habiles]]&gt;p_dias_backlog_max,"BACKLOG","MES CORRIENTE")))</f>
        <v/>
      </c>
      <c r="AD97" s="3">
        <f>IF(tblOrdenes[[#This Row],[backlog_habiles]]="",FALSE,AND(tblOrdenes[[#This Row],[backlog_habiles]]&gt;p_dias_backlog_min,tblOrdenes[[#This Row],[backlog_habiles]]&lt;=p_dias_backlog_max))</f>
        <v/>
      </c>
      <c r="AE97" s="6" t="inlineStr">
        <is>
          <t>Técnico 09</t>
        </is>
      </c>
      <c r="AF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0">
        <f>IF(tblOrdenes[[#This Row],[orden]]="","",_xlfn.XLOOKUP(tblOrdenes[[#This Row],[id_operacion]],tblEjecucion[id_operacion],tblEjecucion[precio],0))</f>
        <v/>
      </c>
      <c r="AJ97" s="10">
        <f>IF(tblOrdenes[[#This Row],[orden]]="","",MAX(0,_xlfn.XLOOKUP(tblOrdenes[[#This Row],[id_operacion]],tblEjecucion[id_operacion],tblEjecucion[costo_plan_total],0)-tblOrdenes[[#This Row],[costo_servicio]]))</f>
        <v/>
      </c>
      <c r="AK97" s="10">
        <f>IF(tblOrdenes[[#This Row],[orden]]="","",tblOrdenes[[#This Row],[costo_servicio]]+tblOrdenes[[#This Row],[costo_materiales]])</f>
        <v/>
      </c>
      <c r="AL97" s="6" t="inlineStr"/>
      <c r="AM97" s="6" t="inlineStr"/>
      <c r="AN97" s="6" t="inlineStr">
        <is>
          <t>ACT-02.pdf</t>
        </is>
      </c>
      <c r="AO97" s="3">
        <f>IF(tblOrdenes[[#This Row],[link_checklist]]="","",HYPERLINK(p_ruta_base_checklists&amp;tblOrdenes[[#This Row],[link_checklist]],"abrir"))</f>
        <v/>
      </c>
      <c r="AP97" s="6" t="inlineStr"/>
      <c r="AQ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3">
        <f>IF(tblOrdenes[[#This Row],[tipo_ot]]="","",_xlfn.XLOOKUP(tblOrdenes[[#This Row],[tipo_ot]],tblTiposOT[codigo],tblTiposOT[clasificacion],"sin_clasificar"))</f>
        <v/>
      </c>
      <c r="U98" s="3">
        <f>IF(tblOrdenes[[#This Row],[centro_costo]]="","",_xlfn.XLOOKUP(tblOrdenes[[#This Row],[centro_costo]],tblCECO[codigo],tblCECO[linea],"(sin catálogo)"))</f>
        <v/>
      </c>
      <c r="V98" s="3">
        <f>IF(tblOrdenes[[#This Row],[centro_costo]]="","",_xlfn.XLOOKUP(tblOrdenes[[#This Row],[centro_costo]],tblCECO[codigo],tblCECO[area],"(sin catálogo)"))</f>
        <v/>
      </c>
      <c r="W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3">
        <f>IF(tblOrdenes[[#This Row],[centro_costo]]="","",_xlfn.XLOOKUP(tblOrdenes[[#This Row],[centro_costo]],tblCECO[codigo],tblCECO[coordinador],"(sin catálogo)"))</f>
        <v/>
      </c>
      <c r="Y98" s="3">
        <f>IF(tblOrdenes[[#This Row],[puesto_trabajo]]="","",_xlfn.XLOOKUP(tblOrdenes[[#This Row],[puesto_trabajo]],tblPuestos[codigo],tblPuestos[especialidad],"(sin catálogo)"))</f>
        <v/>
      </c>
      <c r="Z98" s="3">
        <f>IF(tblOrdenes[[#This Row],[cod_actividad]]="","",_xlfn.XLOOKUP(tblOrdenes[[#This Row],[cod_actividad]],tblActividades[codigo],tblActividades[descripcion],"(sin catálogo)"))</f>
        <v/>
      </c>
      <c r="AA98" s="12">
        <f>IF(tblOrdenes[[#This Row],[fecha_inicio]]="","",TODAY()-tblOrdenes[[#This Row],[fecha_inicio]])</f>
        <v/>
      </c>
      <c r="AB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3">
        <f>IF(tblOrdenes[[#This Row],[backlog_habiles]]="","",IF(tblOrdenes[[#This Row],[backlog_habiles]]&lt;0,"FUTURO",IF(tblOrdenes[[#This Row],[backlog_habiles]]&gt;p_dias_backlog_max,"BACKLOG","MES CORRIENTE")))</f>
        <v/>
      </c>
      <c r="AD98" s="3">
        <f>IF(tblOrdenes[[#This Row],[backlog_habiles]]="",FALSE,AND(tblOrdenes[[#This Row],[backlog_habiles]]&gt;p_dias_backlog_min,tblOrdenes[[#This Row],[backlog_habiles]]&lt;=p_dias_backlog_max))</f>
        <v/>
      </c>
      <c r="AE98" s="6" t="inlineStr">
        <is>
          <t>Técnico 08</t>
        </is>
      </c>
      <c r="AF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0">
        <f>IF(tblOrdenes[[#This Row],[orden]]="","",_xlfn.XLOOKUP(tblOrdenes[[#This Row],[id_operacion]],tblEjecucion[id_operacion],tblEjecucion[precio],0))</f>
        <v/>
      </c>
      <c r="AJ98" s="10">
        <f>IF(tblOrdenes[[#This Row],[orden]]="","",MAX(0,_xlfn.XLOOKUP(tblOrdenes[[#This Row],[id_operacion]],tblEjecucion[id_operacion],tblEjecucion[costo_plan_total],0)-tblOrdenes[[#This Row],[costo_servicio]]))</f>
        <v/>
      </c>
      <c r="AK98" s="10">
        <f>IF(tblOrdenes[[#This Row],[orden]]="","",tblOrdenes[[#This Row],[costo_servicio]]+tblOrdenes[[#This Row],[costo_materiales]])</f>
        <v/>
      </c>
      <c r="AL98" s="6" t="inlineStr"/>
      <c r="AM98" s="6" t="inlineStr"/>
      <c r="AN98" s="6" t="inlineStr">
        <is>
          <t>ACT-04.pdf</t>
        </is>
      </c>
      <c r="AO98" s="3">
        <f>IF(tblOrdenes[[#This Row],[link_checklist]]="","",HYPERLINK(p_ruta_base_checklists&amp;tblOrdenes[[#This Row],[link_checklist]],"abrir"))</f>
        <v/>
      </c>
      <c r="AP98" s="6" t="inlineStr"/>
      <c r="AQ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3">
        <f>IF(tblOrdenes[[#This Row],[tipo_ot]]="","",_xlfn.XLOOKUP(tblOrdenes[[#This Row],[tipo_ot]],tblTiposOT[codigo],tblTiposOT[clasificacion],"sin_clasificar"))</f>
        <v/>
      </c>
      <c r="U99" s="3">
        <f>IF(tblOrdenes[[#This Row],[centro_costo]]="","",_xlfn.XLOOKUP(tblOrdenes[[#This Row],[centro_costo]],tblCECO[codigo],tblCECO[linea],"(sin catálogo)"))</f>
        <v/>
      </c>
      <c r="V99" s="3">
        <f>IF(tblOrdenes[[#This Row],[centro_costo]]="","",_xlfn.XLOOKUP(tblOrdenes[[#This Row],[centro_costo]],tblCECO[codigo],tblCECO[area],"(sin catálogo)"))</f>
        <v/>
      </c>
      <c r="W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3">
        <f>IF(tblOrdenes[[#This Row],[centro_costo]]="","",_xlfn.XLOOKUP(tblOrdenes[[#This Row],[centro_costo]],tblCECO[codigo],tblCECO[coordinador],"(sin catálogo)"))</f>
        <v/>
      </c>
      <c r="Y99" s="3">
        <f>IF(tblOrdenes[[#This Row],[puesto_trabajo]]="","",_xlfn.XLOOKUP(tblOrdenes[[#This Row],[puesto_trabajo]],tblPuestos[codigo],tblPuestos[especialidad],"(sin catálogo)"))</f>
        <v/>
      </c>
      <c r="Z99" s="3">
        <f>IF(tblOrdenes[[#This Row],[cod_actividad]]="","",_xlfn.XLOOKUP(tblOrdenes[[#This Row],[cod_actividad]],tblActividades[codigo],tblActividades[descripcion],"(sin catálogo)"))</f>
        <v/>
      </c>
      <c r="AA99" s="12">
        <f>IF(tblOrdenes[[#This Row],[fecha_inicio]]="","",TODAY()-tblOrdenes[[#This Row],[fecha_inicio]])</f>
        <v/>
      </c>
      <c r="AB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3">
        <f>IF(tblOrdenes[[#This Row],[backlog_habiles]]="","",IF(tblOrdenes[[#This Row],[backlog_habiles]]&lt;0,"FUTURO",IF(tblOrdenes[[#This Row],[backlog_habiles]]&gt;p_dias_backlog_max,"BACKLOG","MES CORRIENTE")))</f>
        <v/>
      </c>
      <c r="AD99" s="3">
        <f>IF(tblOrdenes[[#This Row],[backlog_habiles]]="",FALSE,AND(tblOrdenes[[#This Row],[backlog_habiles]]&gt;p_dias_backlog_min,tblOrdenes[[#This Row],[backlog_habiles]]&lt;=p_dias_backlog_max))</f>
        <v/>
      </c>
      <c r="AE99" s="6" t="inlineStr"/>
      <c r="AF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0">
        <f>IF(tblOrdenes[[#This Row],[orden]]="","",_xlfn.XLOOKUP(tblOrdenes[[#This Row],[id_operacion]],tblEjecucion[id_operacion],tblEjecucion[precio],0))</f>
        <v/>
      </c>
      <c r="AJ99" s="10">
        <f>IF(tblOrdenes[[#This Row],[orden]]="","",MAX(0,_xlfn.XLOOKUP(tblOrdenes[[#This Row],[id_operacion]],tblEjecucion[id_operacion],tblEjecucion[costo_plan_total],0)-tblOrdenes[[#This Row],[costo_servicio]]))</f>
        <v/>
      </c>
      <c r="AK99" s="10">
        <f>IF(tblOrdenes[[#This Row],[orden]]="","",tblOrdenes[[#This Row],[costo_servicio]]+tblOrdenes[[#This Row],[costo_materiales]])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IF(tblOrdenes[[#This Row],[link_checklist]]="","",HYPERLINK(p_ruta_base_checklists&amp;tblOrdenes[[#This Row],[link_checklist]],"abrir"))</f>
        <v/>
      </c>
      <c r="AP99" s="6" t="inlineStr"/>
      <c r="AQ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3">
        <f>IF(tblOrdenes[[#This Row],[tipo_ot]]="","",_xlfn.XLOOKUP(tblOrdenes[[#This Row],[tipo_ot]],tblTiposOT[codigo],tblTiposOT[clasificacion],"sin_clasificar"))</f>
        <v/>
      </c>
      <c r="U100" s="3">
        <f>IF(tblOrdenes[[#This Row],[centro_costo]]="","",_xlfn.XLOOKUP(tblOrdenes[[#This Row],[centro_costo]],tblCECO[codigo],tblCECO[linea],"(sin catálogo)"))</f>
        <v/>
      </c>
      <c r="V100" s="3">
        <f>IF(tblOrdenes[[#This Row],[centro_costo]]="","",_xlfn.XLOOKUP(tblOrdenes[[#This Row],[centro_costo]],tblCECO[codigo],tblCECO[area],"(sin catálogo)"))</f>
        <v/>
      </c>
      <c r="W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3">
        <f>IF(tblOrdenes[[#This Row],[centro_costo]]="","",_xlfn.XLOOKUP(tblOrdenes[[#This Row],[centro_costo]],tblCECO[codigo],tblCECO[coordinador],"(sin catálogo)"))</f>
        <v/>
      </c>
      <c r="Y100" s="3">
        <f>IF(tblOrdenes[[#This Row],[puesto_trabajo]]="","",_xlfn.XLOOKUP(tblOrdenes[[#This Row],[puesto_trabajo]],tblPuestos[codigo],tblPuestos[especialidad],"(sin catálogo)"))</f>
        <v/>
      </c>
      <c r="Z100" s="3">
        <f>IF(tblOrdenes[[#This Row],[cod_actividad]]="","",_xlfn.XLOOKUP(tblOrdenes[[#This Row],[cod_actividad]],tblActividades[codigo],tblActividades[descripcion],"(sin catálogo)"))</f>
        <v/>
      </c>
      <c r="AA100" s="12">
        <f>IF(tblOrdenes[[#This Row],[fecha_inicio]]="","",TODAY()-tblOrdenes[[#This Row],[fecha_inicio]])</f>
        <v/>
      </c>
      <c r="AB1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3">
        <f>IF(tblOrdenes[[#This Row],[backlog_habiles]]="","",IF(tblOrdenes[[#This Row],[backlog_habiles]]&lt;0,"FUTURO",IF(tblOrdenes[[#This Row],[backlog_habiles]]&gt;p_dias_backlog_max,"BACKLOG","MES CORRIENTE")))</f>
        <v/>
      </c>
      <c r="AD100" s="3">
        <f>IF(tblOrdenes[[#This Row],[backlog_habiles]]="",FALSE,AND(tblOrdenes[[#This Row],[backlog_habiles]]&gt;p_dias_backlog_min,tblOrdenes[[#This Row],[backlog_habiles]]&lt;=p_dias_backlog_max))</f>
        <v/>
      </c>
      <c r="AE100" s="6" t="inlineStr">
        <is>
          <t>Técnico 08</t>
        </is>
      </c>
      <c r="AF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0">
        <f>IF(tblOrdenes[[#This Row],[orden]]="","",_xlfn.XLOOKUP(tblOrdenes[[#This Row],[id_operacion]],tblEjecucion[id_operacion],tblEjecucion[precio],0))</f>
        <v/>
      </c>
      <c r="AJ100" s="10">
        <f>IF(tblOrdenes[[#This Row],[orden]]="","",MAX(0,_xlfn.XLOOKUP(tblOrdenes[[#This Row],[id_operacion]],tblEjecucion[id_operacion],tblEjecucion[costo_plan_total],0)-tblOrdenes[[#This Row],[costo_servicio]]))</f>
        <v/>
      </c>
      <c r="AK100" s="10">
        <f>IF(tblOrdenes[[#This Row],[orden]]="","",tblOrdenes[[#This Row],[costo_servicio]]+tblOrdenes[[#This Row],[costo_materiales]])</f>
        <v/>
      </c>
      <c r="AL100" s="6" t="inlineStr"/>
      <c r="AM100" s="6" t="inlineStr"/>
      <c r="AN100" s="6" t="inlineStr">
        <is>
          <t>ACT-02.pdf</t>
        </is>
      </c>
      <c r="AO100" s="3">
        <f>IF(tblOrdenes[[#This Row],[link_checklist]]="","",HYPERLINK(p_ruta_base_checklists&amp;tblOrdenes[[#This Row],[link_checklist]],"abrir"))</f>
        <v/>
      </c>
      <c r="AP100" s="6" t="inlineStr"/>
      <c r="AQ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3">
        <f>IF(tblOrdenes[[#This Row],[tipo_ot]]="","",_xlfn.XLOOKUP(tblOrdenes[[#This Row],[tipo_ot]],tblTiposOT[codigo],tblTiposOT[clasificacion],"sin_clasificar"))</f>
        <v/>
      </c>
      <c r="U101" s="3">
        <f>IF(tblOrdenes[[#This Row],[centro_costo]]="","",_xlfn.XLOOKUP(tblOrdenes[[#This Row],[centro_costo]],tblCECO[codigo],tblCECO[linea],"(sin catálogo)"))</f>
        <v/>
      </c>
      <c r="V101" s="3">
        <f>IF(tblOrdenes[[#This Row],[centro_costo]]="","",_xlfn.XLOOKUP(tblOrdenes[[#This Row],[centro_costo]],tblCECO[codigo],tblCECO[area],"(sin catálogo)"))</f>
        <v/>
      </c>
      <c r="W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3">
        <f>IF(tblOrdenes[[#This Row],[centro_costo]]="","",_xlfn.XLOOKUP(tblOrdenes[[#This Row],[centro_costo]],tblCECO[codigo],tblCECO[coordinador],"(sin catálogo)"))</f>
        <v/>
      </c>
      <c r="Y101" s="3">
        <f>IF(tblOrdenes[[#This Row],[puesto_trabajo]]="","",_xlfn.XLOOKUP(tblOrdenes[[#This Row],[puesto_trabajo]],tblPuestos[codigo],tblPuestos[especialidad],"(sin catálogo)"))</f>
        <v/>
      </c>
      <c r="Z101" s="3">
        <f>IF(tblOrdenes[[#This Row],[cod_actividad]]="","",_xlfn.XLOOKUP(tblOrdenes[[#This Row],[cod_actividad]],tblActividades[codigo],tblActividades[descripcion],"(sin catálogo)"))</f>
        <v/>
      </c>
      <c r="AA101" s="12">
        <f>IF(tblOrdenes[[#This Row],[fecha_inicio]]="","",TODAY()-tblOrdenes[[#This Row],[fecha_inicio]])</f>
        <v/>
      </c>
      <c r="AB1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3">
        <f>IF(tblOrdenes[[#This Row],[backlog_habiles]]="","",IF(tblOrdenes[[#This Row],[backlog_habiles]]&lt;0,"FUTURO",IF(tblOrdenes[[#This Row],[backlog_habiles]]&gt;p_dias_backlog_max,"BACKLOG","MES CORRIENTE")))</f>
        <v/>
      </c>
      <c r="AD101" s="3">
        <f>IF(tblOrdenes[[#This Row],[backlog_habiles]]="",FALSE,AND(tblOrdenes[[#This Row],[backlog_habiles]]&gt;p_dias_backlog_min,tblOrdenes[[#This Row],[backlog_habiles]]&lt;=p_dias_backlog_max))</f>
        <v/>
      </c>
      <c r="AE101" s="6" t="inlineStr">
        <is>
          <t>Técnico 09</t>
        </is>
      </c>
      <c r="AF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0">
        <f>IF(tblOrdenes[[#This Row],[orden]]="","",_xlfn.XLOOKUP(tblOrdenes[[#This Row],[id_operacion]],tblEjecucion[id_operacion],tblEjecucion[precio],0))</f>
        <v/>
      </c>
      <c r="AJ101" s="10">
        <f>IF(tblOrdenes[[#This Row],[orden]]="","",MAX(0,_xlfn.XLOOKUP(tblOrdenes[[#This Row],[id_operacion]],tblEjecucion[id_operacion],tblEjecucion[costo_plan_total],0)-tblOrdenes[[#This Row],[costo_servicio]]))</f>
        <v/>
      </c>
      <c r="AK101" s="10">
        <f>IF(tblOrdenes[[#This Row],[orden]]="","",tblOrdenes[[#This Row],[costo_servicio]]+tblOrdenes[[#This Row],[costo_materiales]])</f>
        <v/>
      </c>
      <c r="AL101" s="6" t="inlineStr"/>
      <c r="AM101" s="6" t="inlineStr"/>
      <c r="AN101" s="6" t="inlineStr">
        <is>
          <t>ACT-04.pdf</t>
        </is>
      </c>
      <c r="AO101" s="3">
        <f>IF(tblOrdenes[[#This Row],[link_checklist]]="","",HYPERLINK(p_ruta_base_checklists&amp;tblOrdenes[[#This Row],[link_checklist]],"abrir"))</f>
        <v/>
      </c>
      <c r="AP101" s="6" t="inlineStr"/>
      <c r="AQ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3">
        <f>IF(tblOrdenes[[#This Row],[tipo_ot]]="","",_xlfn.XLOOKUP(tblOrdenes[[#This Row],[tipo_ot]],tblTiposOT[codigo],tblTiposOT[clasificacion],"sin_clasificar"))</f>
        <v/>
      </c>
      <c r="U102" s="3">
        <f>IF(tblOrdenes[[#This Row],[centro_costo]]="","",_xlfn.XLOOKUP(tblOrdenes[[#This Row],[centro_costo]],tblCECO[codigo],tblCECO[linea],"(sin catálogo)"))</f>
        <v/>
      </c>
      <c r="V102" s="3">
        <f>IF(tblOrdenes[[#This Row],[centro_costo]]="","",_xlfn.XLOOKUP(tblOrdenes[[#This Row],[centro_costo]],tblCECO[codigo],tblCECO[area],"(sin catálogo)"))</f>
        <v/>
      </c>
      <c r="W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3">
        <f>IF(tblOrdenes[[#This Row],[centro_costo]]="","",_xlfn.XLOOKUP(tblOrdenes[[#This Row],[centro_costo]],tblCECO[codigo],tblCECO[coordinador],"(sin catálogo)"))</f>
        <v/>
      </c>
      <c r="Y102" s="3">
        <f>IF(tblOrdenes[[#This Row],[puesto_trabajo]]="","",_xlfn.XLOOKUP(tblOrdenes[[#This Row],[puesto_trabajo]],tblPuestos[codigo],tblPuestos[especialidad],"(sin catálogo)"))</f>
        <v/>
      </c>
      <c r="Z102" s="3">
        <f>IF(tblOrdenes[[#This Row],[cod_actividad]]="","",_xlfn.XLOOKUP(tblOrdenes[[#This Row],[cod_actividad]],tblActividades[codigo],tblActividades[descripcion],"(sin catálogo)"))</f>
        <v/>
      </c>
      <c r="AA102" s="12">
        <f>IF(tblOrdenes[[#This Row],[fecha_inicio]]="","",TODAY()-tblOrdenes[[#This Row],[fecha_inicio]])</f>
        <v/>
      </c>
      <c r="AB1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3">
        <f>IF(tblOrdenes[[#This Row],[backlog_habiles]]="","",IF(tblOrdenes[[#This Row],[backlog_habiles]]&lt;0,"FUTURO",IF(tblOrdenes[[#This Row],[backlog_habiles]]&gt;p_dias_backlog_max,"BACKLOG","MES CORRIENTE")))</f>
        <v/>
      </c>
      <c r="AD102" s="3">
        <f>IF(tblOrdenes[[#This Row],[backlog_habiles]]="",FALSE,AND(tblOrdenes[[#This Row],[backlog_habiles]]&gt;p_dias_backlog_min,tblOrdenes[[#This Row],[backlog_habiles]]&lt;=p_dias_backlog_max))</f>
        <v/>
      </c>
      <c r="AE102" s="6" t="inlineStr">
        <is>
          <t>Técnico 08</t>
        </is>
      </c>
      <c r="AF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0">
        <f>IF(tblOrdenes[[#This Row],[orden]]="","",_xlfn.XLOOKUP(tblOrdenes[[#This Row],[id_operacion]],tblEjecucion[id_operacion],tblEjecucion[precio],0))</f>
        <v/>
      </c>
      <c r="AJ102" s="10">
        <f>IF(tblOrdenes[[#This Row],[orden]]="","",MAX(0,_xlfn.XLOOKUP(tblOrdenes[[#This Row],[id_operacion]],tblEjecucion[id_operacion],tblEjecucion[costo_plan_total],0)-tblOrdenes[[#This Row],[costo_servicio]]))</f>
        <v/>
      </c>
      <c r="AK102" s="10">
        <f>IF(tblOrdenes[[#This Row],[orden]]="","",tblOrdenes[[#This Row],[costo_servicio]]+tblOrdenes[[#This Row],[costo_materiales]])</f>
        <v/>
      </c>
      <c r="AL102" s="6" t="inlineStr"/>
      <c r="AM102" s="6" t="inlineStr"/>
      <c r="AN102" s="6" t="inlineStr">
        <is>
          <t>ACT-01.pdf</t>
        </is>
      </c>
      <c r="AO102" s="3">
        <f>IF(tblOrdenes[[#This Row],[link_checklist]]="","",HYPERLINK(p_ruta_base_checklists&amp;tblOrdenes[[#This Row],[link_checklist]],"abrir"))</f>
        <v/>
      </c>
      <c r="AP102" s="6" t="inlineStr"/>
      <c r="AQ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3">
        <f>IF(tblOrdenes[[#This Row],[tipo_ot]]="","",_xlfn.XLOOKUP(tblOrdenes[[#This Row],[tipo_ot]],tblTiposOT[codigo],tblTiposOT[clasificacion],"sin_clasificar"))</f>
        <v/>
      </c>
      <c r="U103" s="3">
        <f>IF(tblOrdenes[[#This Row],[centro_costo]]="","",_xlfn.XLOOKUP(tblOrdenes[[#This Row],[centro_costo]],tblCECO[codigo],tblCECO[linea],"(sin catálogo)"))</f>
        <v/>
      </c>
      <c r="V103" s="3">
        <f>IF(tblOrdenes[[#This Row],[centro_costo]]="","",_xlfn.XLOOKUP(tblOrdenes[[#This Row],[centro_costo]],tblCECO[codigo],tblCECO[area],"(sin catálogo)"))</f>
        <v/>
      </c>
      <c r="W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3">
        <f>IF(tblOrdenes[[#This Row],[centro_costo]]="","",_xlfn.XLOOKUP(tblOrdenes[[#This Row],[centro_costo]],tblCECO[codigo],tblCECO[coordinador],"(sin catálogo)"))</f>
        <v/>
      </c>
      <c r="Y103" s="3">
        <f>IF(tblOrdenes[[#This Row],[puesto_trabajo]]="","",_xlfn.XLOOKUP(tblOrdenes[[#This Row],[puesto_trabajo]],tblPuestos[codigo],tblPuestos[especialidad],"(sin catálogo)"))</f>
        <v/>
      </c>
      <c r="Z103" s="3">
        <f>IF(tblOrdenes[[#This Row],[cod_actividad]]="","",_xlfn.XLOOKUP(tblOrdenes[[#This Row],[cod_actividad]],tblActividades[codigo],tblActividades[descripcion],"(sin catálogo)"))</f>
        <v/>
      </c>
      <c r="AA103" s="12">
        <f>IF(tblOrdenes[[#This Row],[fecha_inicio]]="","",TODAY()-tblOrdenes[[#This Row],[fecha_inicio]])</f>
        <v/>
      </c>
      <c r="AB1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3">
        <f>IF(tblOrdenes[[#This Row],[backlog_habiles]]="","",IF(tblOrdenes[[#This Row],[backlog_habiles]]&lt;0,"FUTURO",IF(tblOrdenes[[#This Row],[backlog_habiles]]&gt;p_dias_backlog_max,"BACKLOG","MES CORRIENTE")))</f>
        <v/>
      </c>
      <c r="AD103" s="3">
        <f>IF(tblOrdenes[[#This Row],[backlog_habiles]]="",FALSE,AND(tblOrdenes[[#This Row],[backlog_habiles]]&gt;p_dias_backlog_min,tblOrdenes[[#This Row],[backlog_habiles]]&lt;=p_dias_backlog_max))</f>
        <v/>
      </c>
      <c r="AE103" s="6" t="inlineStr">
        <is>
          <t>Técnico 09</t>
        </is>
      </c>
      <c r="AF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0">
        <f>IF(tblOrdenes[[#This Row],[orden]]="","",_xlfn.XLOOKUP(tblOrdenes[[#This Row],[id_operacion]],tblEjecucion[id_operacion],tblEjecucion[precio],0))</f>
        <v/>
      </c>
      <c r="AJ103" s="10">
        <f>IF(tblOrdenes[[#This Row],[orden]]="","",MAX(0,_xlfn.XLOOKUP(tblOrdenes[[#This Row],[id_operacion]],tblEjecucion[id_operacion],tblEjecucion[costo_plan_total],0)-tblOrdenes[[#This Row],[costo_servicio]]))</f>
        <v/>
      </c>
      <c r="AK103" s="10">
        <f>IF(tblOrdenes[[#This Row],[orden]]="","",tblOrdenes[[#This Row],[costo_servicio]]+tblOrdenes[[#This Row],[costo_materiales]])</f>
        <v/>
      </c>
      <c r="AL103" s="6" t="inlineStr"/>
      <c r="AM103" s="6" t="inlineStr"/>
      <c r="AN103" s="6" t="inlineStr">
        <is>
          <t>ACT-02.pdf</t>
        </is>
      </c>
      <c r="AO103" s="3">
        <f>IF(tblOrdenes[[#This Row],[link_checklist]]="","",HYPERLINK(p_ruta_base_checklists&amp;tblOrdenes[[#This Row],[link_checklist]],"abrir"))</f>
        <v/>
      </c>
      <c r="AP103" s="6" t="inlineStr"/>
      <c r="AQ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3">
        <f>IF(tblOrdenes[[#This Row],[tipo_ot]]="","",_xlfn.XLOOKUP(tblOrdenes[[#This Row],[tipo_ot]],tblTiposOT[codigo],tblTiposOT[clasificacion],"sin_clasificar"))</f>
        <v/>
      </c>
      <c r="U104" s="3">
        <f>IF(tblOrdenes[[#This Row],[centro_costo]]="","",_xlfn.XLOOKUP(tblOrdenes[[#This Row],[centro_costo]],tblCECO[codigo],tblCECO[linea],"(sin catálogo)"))</f>
        <v/>
      </c>
      <c r="V104" s="3">
        <f>IF(tblOrdenes[[#This Row],[centro_costo]]="","",_xlfn.XLOOKUP(tblOrdenes[[#This Row],[centro_costo]],tblCECO[codigo],tblCECO[area],"(sin catálogo)"))</f>
        <v/>
      </c>
      <c r="W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3">
        <f>IF(tblOrdenes[[#This Row],[centro_costo]]="","",_xlfn.XLOOKUP(tblOrdenes[[#This Row],[centro_costo]],tblCECO[codigo],tblCECO[coordinador],"(sin catálogo)"))</f>
        <v/>
      </c>
      <c r="Y104" s="3">
        <f>IF(tblOrdenes[[#This Row],[puesto_trabajo]]="","",_xlfn.XLOOKUP(tblOrdenes[[#This Row],[puesto_trabajo]],tblPuestos[codigo],tblPuestos[especialidad],"(sin catálogo)"))</f>
        <v/>
      </c>
      <c r="Z104" s="3">
        <f>IF(tblOrdenes[[#This Row],[cod_actividad]]="","",_xlfn.XLOOKUP(tblOrdenes[[#This Row],[cod_actividad]],tblActividades[codigo],tblActividades[descripcion],"(sin catálogo)"))</f>
        <v/>
      </c>
      <c r="AA104" s="12">
        <f>IF(tblOrdenes[[#This Row],[fecha_inicio]]="","",TODAY()-tblOrdenes[[#This Row],[fecha_inicio]])</f>
        <v/>
      </c>
      <c r="AB1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3">
        <f>IF(tblOrdenes[[#This Row],[backlog_habiles]]="","",IF(tblOrdenes[[#This Row],[backlog_habiles]]&lt;0,"FUTURO",IF(tblOrdenes[[#This Row],[backlog_habiles]]&gt;p_dias_backlog_max,"BACKLOG","MES CORRIENTE")))</f>
        <v/>
      </c>
      <c r="AD104" s="3">
        <f>IF(tblOrdenes[[#This Row],[backlog_habiles]]="",FALSE,AND(tblOrdenes[[#This Row],[backlog_habiles]]&gt;p_dias_backlog_min,tblOrdenes[[#This Row],[backlog_habiles]]&lt;=p_dias_backlog_max))</f>
        <v/>
      </c>
      <c r="AE104" s="6" t="inlineStr">
        <is>
          <t>Técnico 08</t>
        </is>
      </c>
      <c r="AF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0">
        <f>IF(tblOrdenes[[#This Row],[orden]]="","",_xlfn.XLOOKUP(tblOrdenes[[#This Row],[id_operacion]],tblEjecucion[id_operacion],tblEjecucion[precio],0))</f>
        <v/>
      </c>
      <c r="AJ104" s="10">
        <f>IF(tblOrdenes[[#This Row],[orden]]="","",MAX(0,_xlfn.XLOOKUP(tblOrdenes[[#This Row],[id_operacion]],tblEjecucion[id_operacion],tblEjecucion[costo_plan_total],0)-tblOrdenes[[#This Row],[costo_servicio]]))</f>
        <v/>
      </c>
      <c r="AK104" s="10">
        <f>IF(tblOrdenes[[#This Row],[orden]]="","",tblOrdenes[[#This Row],[costo_servicio]]+tblOrdenes[[#This Row],[costo_materiales]])</f>
        <v/>
      </c>
      <c r="AL104" s="6" t="inlineStr"/>
      <c r="AM104" s="6" t="inlineStr"/>
      <c r="AN104" s="6" t="inlineStr"/>
      <c r="AO104" s="3">
        <f>IF(tblOrdenes[[#This Row],[link_checklist]]="","",HYPERLINK(p_ruta_base_checklists&amp;tblOrdenes[[#This Row],[link_checklist]],"abrir"))</f>
        <v/>
      </c>
      <c r="AP104" s="6" t="inlineStr"/>
      <c r="AQ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3">
        <f>IF(tblOrdenes[[#This Row],[tipo_ot]]="","",_xlfn.XLOOKUP(tblOrdenes[[#This Row],[tipo_ot]],tblTiposOT[codigo],tblTiposOT[clasificacion],"sin_clasificar"))</f>
        <v/>
      </c>
      <c r="U105" s="3">
        <f>IF(tblOrdenes[[#This Row],[centro_costo]]="","",_xlfn.XLOOKUP(tblOrdenes[[#This Row],[centro_costo]],tblCECO[codigo],tblCECO[linea],"(sin catálogo)"))</f>
        <v/>
      </c>
      <c r="V105" s="3">
        <f>IF(tblOrdenes[[#This Row],[centro_costo]]="","",_xlfn.XLOOKUP(tblOrdenes[[#This Row],[centro_costo]],tblCECO[codigo],tblCECO[area],"(sin catálogo)"))</f>
        <v/>
      </c>
      <c r="W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3">
        <f>IF(tblOrdenes[[#This Row],[centro_costo]]="","",_xlfn.XLOOKUP(tblOrdenes[[#This Row],[centro_costo]],tblCECO[codigo],tblCECO[coordinador],"(sin catálogo)"))</f>
        <v/>
      </c>
      <c r="Y105" s="3">
        <f>IF(tblOrdenes[[#This Row],[puesto_trabajo]]="","",_xlfn.XLOOKUP(tblOrdenes[[#This Row],[puesto_trabajo]],tblPuestos[codigo],tblPuestos[especialidad],"(sin catálogo)"))</f>
        <v/>
      </c>
      <c r="Z105" s="3">
        <f>IF(tblOrdenes[[#This Row],[cod_actividad]]="","",_xlfn.XLOOKUP(tblOrdenes[[#This Row],[cod_actividad]],tblActividades[codigo],tblActividades[descripcion],"(sin catálogo)"))</f>
        <v/>
      </c>
      <c r="AA105" s="12">
        <f>IF(tblOrdenes[[#This Row],[fecha_inicio]]="","",TODAY()-tblOrdenes[[#This Row],[fecha_inicio]])</f>
        <v/>
      </c>
      <c r="AB1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3">
        <f>IF(tblOrdenes[[#This Row],[backlog_habiles]]="","",IF(tblOrdenes[[#This Row],[backlog_habiles]]&lt;0,"FUTURO",IF(tblOrdenes[[#This Row],[backlog_habiles]]&gt;p_dias_backlog_max,"BACKLOG","MES CORRIENTE")))</f>
        <v/>
      </c>
      <c r="AD105" s="3">
        <f>IF(tblOrdenes[[#This Row],[backlog_habiles]]="",FALSE,AND(tblOrdenes[[#This Row],[backlog_habiles]]&gt;p_dias_backlog_min,tblOrdenes[[#This Row],[backlog_habiles]]&lt;=p_dias_backlog_max))</f>
        <v/>
      </c>
      <c r="AE105" s="6" t="inlineStr">
        <is>
          <t>Técnico 09</t>
        </is>
      </c>
      <c r="AF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0">
        <f>IF(tblOrdenes[[#This Row],[orden]]="","",_xlfn.XLOOKUP(tblOrdenes[[#This Row],[id_operacion]],tblEjecucion[id_operacion],tblEjecucion[precio],0))</f>
        <v/>
      </c>
      <c r="AJ105" s="10">
        <f>IF(tblOrdenes[[#This Row],[orden]]="","",MAX(0,_xlfn.XLOOKUP(tblOrdenes[[#This Row],[id_operacion]],tblEjecucion[id_operacion],tblEjecucion[costo_plan_total],0)-tblOrdenes[[#This Row],[costo_servicio]]))</f>
        <v/>
      </c>
      <c r="AK105" s="10">
        <f>IF(tblOrdenes[[#This Row],[orden]]="","",tblOrdenes[[#This Row],[costo_servicio]]+tblOrdenes[[#This Row],[costo_materiales]])</f>
        <v/>
      </c>
      <c r="AL105" s="6" t="inlineStr"/>
      <c r="AM105" s="6" t="inlineStr"/>
      <c r="AN105" s="6" t="inlineStr">
        <is>
          <t>ACT-01.pdf</t>
        </is>
      </c>
      <c r="AO105" s="3">
        <f>IF(tblOrdenes[[#This Row],[link_checklist]]="","",HYPERLINK(p_ruta_base_checklists&amp;tblOrdenes[[#This Row],[link_checklist]],"abrir"))</f>
        <v/>
      </c>
      <c r="AP105" s="6" t="inlineStr"/>
      <c r="AQ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3">
        <f>IF(tblOrdenes[[#This Row],[tipo_ot]]="","",_xlfn.XLOOKUP(tblOrdenes[[#This Row],[tipo_ot]],tblTiposOT[codigo],tblTiposOT[clasificacion],"sin_clasificar"))</f>
        <v/>
      </c>
      <c r="U106" s="3">
        <f>IF(tblOrdenes[[#This Row],[centro_costo]]="","",_xlfn.XLOOKUP(tblOrdenes[[#This Row],[centro_costo]],tblCECO[codigo],tblCECO[linea],"(sin catálogo)"))</f>
        <v/>
      </c>
      <c r="V106" s="3">
        <f>IF(tblOrdenes[[#This Row],[centro_costo]]="","",_xlfn.XLOOKUP(tblOrdenes[[#This Row],[centro_costo]],tblCECO[codigo],tblCECO[area],"(sin catálogo)"))</f>
        <v/>
      </c>
      <c r="W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3">
        <f>IF(tblOrdenes[[#This Row],[centro_costo]]="","",_xlfn.XLOOKUP(tblOrdenes[[#This Row],[centro_costo]],tblCECO[codigo],tblCECO[coordinador],"(sin catálogo)"))</f>
        <v/>
      </c>
      <c r="Y106" s="3">
        <f>IF(tblOrdenes[[#This Row],[puesto_trabajo]]="","",_xlfn.XLOOKUP(tblOrdenes[[#This Row],[puesto_trabajo]],tblPuestos[codigo],tblPuestos[especialidad],"(sin catálogo)"))</f>
        <v/>
      </c>
      <c r="Z106" s="3">
        <f>IF(tblOrdenes[[#This Row],[cod_actividad]]="","",_xlfn.XLOOKUP(tblOrdenes[[#This Row],[cod_actividad]],tblActividades[codigo],tblActividades[descripcion],"(sin catálogo)"))</f>
        <v/>
      </c>
      <c r="AA106" s="12">
        <f>IF(tblOrdenes[[#This Row],[fecha_inicio]]="","",TODAY()-tblOrdenes[[#This Row],[fecha_inicio]])</f>
        <v/>
      </c>
      <c r="AB1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3">
        <f>IF(tblOrdenes[[#This Row],[backlog_habiles]]="","",IF(tblOrdenes[[#This Row],[backlog_habiles]]&lt;0,"FUTURO",IF(tblOrdenes[[#This Row],[backlog_habiles]]&gt;p_dias_backlog_max,"BACKLOG","MES CORRIENTE")))</f>
        <v/>
      </c>
      <c r="AD106" s="3">
        <f>IF(tblOrdenes[[#This Row],[backlog_habiles]]="",FALSE,AND(tblOrdenes[[#This Row],[backlog_habiles]]&gt;p_dias_backlog_min,tblOrdenes[[#This Row],[backlog_habiles]]&lt;=p_dias_backlog_max))</f>
        <v/>
      </c>
      <c r="AE106" s="6" t="inlineStr">
        <is>
          <t>Técnico 08</t>
        </is>
      </c>
      <c r="AF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0">
        <f>IF(tblOrdenes[[#This Row],[orden]]="","",_xlfn.XLOOKUP(tblOrdenes[[#This Row],[id_operacion]],tblEjecucion[id_operacion],tblEjecucion[precio],0))</f>
        <v/>
      </c>
      <c r="AJ106" s="10">
        <f>IF(tblOrdenes[[#This Row],[orden]]="","",MAX(0,_xlfn.XLOOKUP(tblOrdenes[[#This Row],[id_operacion]],tblEjecucion[id_operacion],tblEjecucion[costo_plan_total],0)-tblOrdenes[[#This Row],[costo_servicio]]))</f>
        <v/>
      </c>
      <c r="AK106" s="10">
        <f>IF(tblOrdenes[[#This Row],[orden]]="","",tblOrdenes[[#This Row],[costo_servicio]]+tblOrdenes[[#This Row],[costo_materiales]])</f>
        <v/>
      </c>
      <c r="AL106" s="6" t="inlineStr"/>
      <c r="AM106" s="6" t="inlineStr"/>
      <c r="AN106" s="6" t="inlineStr">
        <is>
          <t>ACT-02.pdf</t>
        </is>
      </c>
      <c r="AO106" s="3">
        <f>IF(tblOrdenes[[#This Row],[link_checklist]]="","",HYPERLINK(p_ruta_base_checklists&amp;tblOrdenes[[#This Row],[link_checklist]],"abrir"))</f>
        <v/>
      </c>
      <c r="AP106" s="6" t="inlineStr"/>
      <c r="AQ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3">
        <f>IF(tblOrdenes[[#This Row],[tipo_ot]]="","",_xlfn.XLOOKUP(tblOrdenes[[#This Row],[tipo_ot]],tblTiposOT[codigo],tblTiposOT[clasificacion],"sin_clasificar"))</f>
        <v/>
      </c>
      <c r="U107" s="3">
        <f>IF(tblOrdenes[[#This Row],[centro_costo]]="","",_xlfn.XLOOKUP(tblOrdenes[[#This Row],[centro_costo]],tblCECO[codigo],tblCECO[linea],"(sin catálogo)"))</f>
        <v/>
      </c>
      <c r="V107" s="3">
        <f>IF(tblOrdenes[[#This Row],[centro_costo]]="","",_xlfn.XLOOKUP(tblOrdenes[[#This Row],[centro_costo]],tblCECO[codigo],tblCECO[area],"(sin catálogo)"))</f>
        <v/>
      </c>
      <c r="W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3">
        <f>IF(tblOrdenes[[#This Row],[centro_costo]]="","",_xlfn.XLOOKUP(tblOrdenes[[#This Row],[centro_costo]],tblCECO[codigo],tblCECO[coordinador],"(sin catálogo)"))</f>
        <v/>
      </c>
      <c r="Y107" s="3">
        <f>IF(tblOrdenes[[#This Row],[puesto_trabajo]]="","",_xlfn.XLOOKUP(tblOrdenes[[#This Row],[puesto_trabajo]],tblPuestos[codigo],tblPuestos[especialidad],"(sin catálogo)"))</f>
        <v/>
      </c>
      <c r="Z107" s="3">
        <f>IF(tblOrdenes[[#This Row],[cod_actividad]]="","",_xlfn.XLOOKUP(tblOrdenes[[#This Row],[cod_actividad]],tblActividades[codigo],tblActividades[descripcion],"(sin catálogo)"))</f>
        <v/>
      </c>
      <c r="AA107" s="12">
        <f>IF(tblOrdenes[[#This Row],[fecha_inicio]]="","",TODAY()-tblOrdenes[[#This Row],[fecha_inicio]])</f>
        <v/>
      </c>
      <c r="AB1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3">
        <f>IF(tblOrdenes[[#This Row],[backlog_habiles]]="","",IF(tblOrdenes[[#This Row],[backlog_habiles]]&lt;0,"FUTURO",IF(tblOrdenes[[#This Row],[backlog_habiles]]&gt;p_dias_backlog_max,"BACKLOG","MES CORRIENTE")))</f>
        <v/>
      </c>
      <c r="AD107" s="3">
        <f>IF(tblOrdenes[[#This Row],[backlog_habiles]]="",FALSE,AND(tblOrdenes[[#This Row],[backlog_habiles]]&gt;p_dias_backlog_min,tblOrdenes[[#This Row],[backlog_habiles]]&lt;=p_dias_backlog_max))</f>
        <v/>
      </c>
      <c r="AE107" s="6" t="inlineStr">
        <is>
          <t>Técnico 09</t>
        </is>
      </c>
      <c r="AF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0">
        <f>IF(tblOrdenes[[#This Row],[orden]]="","",_xlfn.XLOOKUP(tblOrdenes[[#This Row],[id_operacion]],tblEjecucion[id_operacion],tblEjecucion[precio],0))</f>
        <v/>
      </c>
      <c r="AJ107" s="10">
        <f>IF(tblOrdenes[[#This Row],[orden]]="","",MAX(0,_xlfn.XLOOKUP(tblOrdenes[[#This Row],[id_operacion]],tblEjecucion[id_operacion],tblEjecucion[costo_plan_total],0)-tblOrdenes[[#This Row],[costo_servicio]]))</f>
        <v/>
      </c>
      <c r="AK107" s="10">
        <f>IF(tblOrdenes[[#This Row],[orden]]="","",tblOrdenes[[#This Row],[costo_servicio]]+tblOrdenes[[#This Row],[costo_materiales]])</f>
        <v/>
      </c>
      <c r="AL107" s="6" t="inlineStr"/>
      <c r="AM107" s="6" t="inlineStr"/>
      <c r="AN107" s="6" t="inlineStr">
        <is>
          <t>ACT-04.pdf</t>
        </is>
      </c>
      <c r="AO107" s="3">
        <f>IF(tblOrdenes[[#This Row],[link_checklist]]="","",HYPERLINK(p_ruta_base_checklists&amp;tblOrdenes[[#This Row],[link_checklist]],"abrir"))</f>
        <v/>
      </c>
      <c r="AP107" s="6" t="inlineStr"/>
      <c r="AQ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3">
        <f>IF(tblOrdenes[[#This Row],[tipo_ot]]="","",_xlfn.XLOOKUP(tblOrdenes[[#This Row],[tipo_ot]],tblTiposOT[codigo],tblTiposOT[clasificacion],"sin_clasificar"))</f>
        <v/>
      </c>
      <c r="U108" s="3">
        <f>IF(tblOrdenes[[#This Row],[centro_costo]]="","",_xlfn.XLOOKUP(tblOrdenes[[#This Row],[centro_costo]],tblCECO[codigo],tblCECO[linea],"(sin catálogo)"))</f>
        <v/>
      </c>
      <c r="V108" s="3">
        <f>IF(tblOrdenes[[#This Row],[centro_costo]]="","",_xlfn.XLOOKUP(tblOrdenes[[#This Row],[centro_costo]],tblCECO[codigo],tblCECO[area],"(sin catálogo)"))</f>
        <v/>
      </c>
      <c r="W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3">
        <f>IF(tblOrdenes[[#This Row],[centro_costo]]="","",_xlfn.XLOOKUP(tblOrdenes[[#This Row],[centro_costo]],tblCECO[codigo],tblCECO[coordinador],"(sin catálogo)"))</f>
        <v/>
      </c>
      <c r="Y108" s="3">
        <f>IF(tblOrdenes[[#This Row],[puesto_trabajo]]="","",_xlfn.XLOOKUP(tblOrdenes[[#This Row],[puesto_trabajo]],tblPuestos[codigo],tblPuestos[especialidad],"(sin catálogo)"))</f>
        <v/>
      </c>
      <c r="Z108" s="3">
        <f>IF(tblOrdenes[[#This Row],[cod_actividad]]="","",_xlfn.XLOOKUP(tblOrdenes[[#This Row],[cod_actividad]],tblActividades[codigo],tblActividades[descripcion],"(sin catálogo)"))</f>
        <v/>
      </c>
      <c r="AA108" s="12">
        <f>IF(tblOrdenes[[#This Row],[fecha_inicio]]="","",TODAY()-tblOrdenes[[#This Row],[fecha_inicio]])</f>
        <v/>
      </c>
      <c r="AB1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3">
        <f>IF(tblOrdenes[[#This Row],[backlog_habiles]]="","",IF(tblOrdenes[[#This Row],[backlog_habiles]]&lt;0,"FUTURO",IF(tblOrdenes[[#This Row],[backlog_habiles]]&gt;p_dias_backlog_max,"BACKLOG","MES CORRIENTE")))</f>
        <v/>
      </c>
      <c r="AD108" s="3">
        <f>IF(tblOrdenes[[#This Row],[backlog_habiles]]="",FALSE,AND(tblOrdenes[[#This Row],[backlog_habiles]]&gt;p_dias_backlog_min,tblOrdenes[[#This Row],[backlog_habiles]]&lt;=p_dias_backlog_max))</f>
        <v/>
      </c>
      <c r="AE108" s="6" t="inlineStr">
        <is>
          <t>Técnico 08</t>
        </is>
      </c>
      <c r="AF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0">
        <f>IF(tblOrdenes[[#This Row],[orden]]="","",_xlfn.XLOOKUP(tblOrdenes[[#This Row],[id_operacion]],tblEjecucion[id_operacion],tblEjecucion[precio],0))</f>
        <v/>
      </c>
      <c r="AJ108" s="10">
        <f>IF(tblOrdenes[[#This Row],[orden]]="","",MAX(0,_xlfn.XLOOKUP(tblOrdenes[[#This Row],[id_operacion]],tblEjecucion[id_operacion],tblEjecucion[costo_plan_total],0)-tblOrdenes[[#This Row],[costo_servicio]]))</f>
        <v/>
      </c>
      <c r="AK108" s="10">
        <f>IF(tblOrdenes[[#This Row],[orden]]="","",tblOrdenes[[#This Row],[costo_servicio]]+tblOrdenes[[#This Row],[costo_materiales]])</f>
        <v/>
      </c>
      <c r="AL108" s="6" t="inlineStr"/>
      <c r="AM108" s="6" t="inlineStr"/>
      <c r="AN108" s="6" t="inlineStr">
        <is>
          <t>ACT-01.pdf</t>
        </is>
      </c>
      <c r="AO108" s="3">
        <f>IF(tblOrdenes[[#This Row],[link_checklist]]="","",HYPERLINK(p_ruta_base_checklists&amp;tblOrdenes[[#This Row],[link_checklist]],"abrir"))</f>
        <v/>
      </c>
      <c r="AP108" s="6" t="inlineStr"/>
      <c r="AQ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3">
        <f>IF(tblOrdenes[[#This Row],[tipo_ot]]="","",_xlfn.XLOOKUP(tblOrdenes[[#This Row],[tipo_ot]],tblTiposOT[codigo],tblTiposOT[clasificacion],"sin_clasificar"))</f>
        <v/>
      </c>
      <c r="U109" s="3">
        <f>IF(tblOrdenes[[#This Row],[centro_costo]]="","",_xlfn.XLOOKUP(tblOrdenes[[#This Row],[centro_costo]],tblCECO[codigo],tblCECO[linea],"(sin catálogo)"))</f>
        <v/>
      </c>
      <c r="V109" s="3">
        <f>IF(tblOrdenes[[#This Row],[centro_costo]]="","",_xlfn.XLOOKUP(tblOrdenes[[#This Row],[centro_costo]],tblCECO[codigo],tblCECO[area],"(sin catálogo)"))</f>
        <v/>
      </c>
      <c r="W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3">
        <f>IF(tblOrdenes[[#This Row],[centro_costo]]="","",_xlfn.XLOOKUP(tblOrdenes[[#This Row],[centro_costo]],tblCECO[codigo],tblCECO[coordinador],"(sin catálogo)"))</f>
        <v/>
      </c>
      <c r="Y109" s="3">
        <f>IF(tblOrdenes[[#This Row],[puesto_trabajo]]="","",_xlfn.XLOOKUP(tblOrdenes[[#This Row],[puesto_trabajo]],tblPuestos[codigo],tblPuestos[especialidad],"(sin catálogo)"))</f>
        <v/>
      </c>
      <c r="Z109" s="3">
        <f>IF(tblOrdenes[[#This Row],[cod_actividad]]="","",_xlfn.XLOOKUP(tblOrdenes[[#This Row],[cod_actividad]],tblActividades[codigo],tblActividades[descripcion],"(sin catálogo)"))</f>
        <v/>
      </c>
      <c r="AA109" s="12">
        <f>IF(tblOrdenes[[#This Row],[fecha_inicio]]="","",TODAY()-tblOrdenes[[#This Row],[fecha_inicio]])</f>
        <v/>
      </c>
      <c r="AB1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3">
        <f>IF(tblOrdenes[[#This Row],[backlog_habiles]]="","",IF(tblOrdenes[[#This Row],[backlog_habiles]]&lt;0,"FUTURO",IF(tblOrdenes[[#This Row],[backlog_habiles]]&gt;p_dias_backlog_max,"BACKLOG","MES CORRIENTE")))</f>
        <v/>
      </c>
      <c r="AD109" s="3">
        <f>IF(tblOrdenes[[#This Row],[backlog_habiles]]="",FALSE,AND(tblOrdenes[[#This Row],[backlog_habiles]]&gt;p_dias_backlog_min,tblOrdenes[[#This Row],[backlog_habiles]]&lt;=p_dias_backlog_max))</f>
        <v/>
      </c>
      <c r="AE109" s="6" t="inlineStr">
        <is>
          <t>Técnico 09</t>
        </is>
      </c>
      <c r="AF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0">
        <f>IF(tblOrdenes[[#This Row],[orden]]="","",_xlfn.XLOOKUP(tblOrdenes[[#This Row],[id_operacion]],tblEjecucion[id_operacion],tblEjecucion[precio],0))</f>
        <v/>
      </c>
      <c r="AJ109" s="10">
        <f>IF(tblOrdenes[[#This Row],[orden]]="","",MAX(0,_xlfn.XLOOKUP(tblOrdenes[[#This Row],[id_operacion]],tblEjecucion[id_operacion],tblEjecucion[costo_plan_total],0)-tblOrdenes[[#This Row],[costo_servicio]]))</f>
        <v/>
      </c>
      <c r="AK109" s="10">
        <f>IF(tblOrdenes[[#This Row],[orden]]="","",tblOrdenes[[#This Row],[costo_servicio]]+tblOrdenes[[#This Row],[costo_materiales]])</f>
        <v/>
      </c>
      <c r="AL109" s="6" t="inlineStr"/>
      <c r="AM109" s="6" t="inlineStr"/>
      <c r="AN109" s="6" t="inlineStr"/>
      <c r="AO109" s="3">
        <f>IF(tblOrdenes[[#This Row],[link_checklist]]="","",HYPERLINK(p_ruta_base_checklists&amp;tblOrdenes[[#This Row],[link_checklist]],"abrir"))</f>
        <v/>
      </c>
      <c r="AP109" s="6" t="inlineStr"/>
      <c r="AQ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3">
        <f>IF(tblOrdenes[[#This Row],[tipo_ot]]="","",_xlfn.XLOOKUP(tblOrdenes[[#This Row],[tipo_ot]],tblTiposOT[codigo],tblTiposOT[clasificacion],"sin_clasificar"))</f>
        <v/>
      </c>
      <c r="U110" s="3">
        <f>IF(tblOrdenes[[#This Row],[centro_costo]]="","",_xlfn.XLOOKUP(tblOrdenes[[#This Row],[centro_costo]],tblCECO[codigo],tblCECO[linea],"(sin catálogo)"))</f>
        <v/>
      </c>
      <c r="V110" s="3">
        <f>IF(tblOrdenes[[#This Row],[centro_costo]]="","",_xlfn.XLOOKUP(tblOrdenes[[#This Row],[centro_costo]],tblCECO[codigo],tblCECO[area],"(sin catálogo)"))</f>
        <v/>
      </c>
      <c r="W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3">
        <f>IF(tblOrdenes[[#This Row],[centro_costo]]="","",_xlfn.XLOOKUP(tblOrdenes[[#This Row],[centro_costo]],tblCECO[codigo],tblCECO[coordinador],"(sin catálogo)"))</f>
        <v/>
      </c>
      <c r="Y110" s="3">
        <f>IF(tblOrdenes[[#This Row],[puesto_trabajo]]="","",_xlfn.XLOOKUP(tblOrdenes[[#This Row],[puesto_trabajo]],tblPuestos[codigo],tblPuestos[especialidad],"(sin catálogo)"))</f>
        <v/>
      </c>
      <c r="Z110" s="3">
        <f>IF(tblOrdenes[[#This Row],[cod_actividad]]="","",_xlfn.XLOOKUP(tblOrdenes[[#This Row],[cod_actividad]],tblActividades[codigo],tblActividades[descripcion],"(sin catálogo)"))</f>
        <v/>
      </c>
      <c r="AA110" s="12">
        <f>IF(tblOrdenes[[#This Row],[fecha_inicio]]="","",TODAY()-tblOrdenes[[#This Row],[fecha_inicio]])</f>
        <v/>
      </c>
      <c r="AB1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3">
        <f>IF(tblOrdenes[[#This Row],[backlog_habiles]]="","",IF(tblOrdenes[[#This Row],[backlog_habiles]]&lt;0,"FUTURO",IF(tblOrdenes[[#This Row],[backlog_habiles]]&gt;p_dias_backlog_max,"BACKLOG","MES CORRIENTE")))</f>
        <v/>
      </c>
      <c r="AD110" s="3">
        <f>IF(tblOrdenes[[#This Row],[backlog_habiles]]="",FALSE,AND(tblOrdenes[[#This Row],[backlog_habiles]]&gt;p_dias_backlog_min,tblOrdenes[[#This Row],[backlog_habiles]]&lt;=p_dias_backlog_max))</f>
        <v/>
      </c>
      <c r="AE110" s="6" t="inlineStr">
        <is>
          <t>Técnico 11</t>
        </is>
      </c>
      <c r="AF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0">
        <f>IF(tblOrdenes[[#This Row],[orden]]="","",_xlfn.XLOOKUP(tblOrdenes[[#This Row],[id_operacion]],tblEjecucion[id_operacion],tblEjecucion[precio],0))</f>
        <v/>
      </c>
      <c r="AJ110" s="10">
        <f>IF(tblOrdenes[[#This Row],[orden]]="","",MAX(0,_xlfn.XLOOKUP(tblOrdenes[[#This Row],[id_operacion]],tblEjecucion[id_operacion],tblEjecucion[costo_plan_total],0)-tblOrdenes[[#This Row],[costo_servicio]]))</f>
        <v/>
      </c>
      <c r="AK110" s="10">
        <f>IF(tblOrdenes[[#This Row],[orden]]="","",tblOrdenes[[#This Row],[costo_servicio]]+tblOrdenes[[#This Row],[costo_materiales]])</f>
        <v/>
      </c>
      <c r="AL110" s="6" t="inlineStr"/>
      <c r="AM110" s="6" t="inlineStr"/>
      <c r="AN110" s="6" t="inlineStr">
        <is>
          <t>ACT-04.pdf</t>
        </is>
      </c>
      <c r="AO110" s="3">
        <f>IF(tblOrdenes[[#This Row],[link_checklist]]="","",HYPERLINK(p_ruta_base_checklists&amp;tblOrdenes[[#This Row],[link_checklist]],"abrir"))</f>
        <v/>
      </c>
      <c r="AP110" s="6" t="inlineStr"/>
      <c r="AQ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3">
        <f>IF(tblOrdenes[[#This Row],[tipo_ot]]="","",_xlfn.XLOOKUP(tblOrdenes[[#This Row],[tipo_ot]],tblTiposOT[codigo],tblTiposOT[clasificacion],"sin_clasificar"))</f>
        <v/>
      </c>
      <c r="U111" s="3">
        <f>IF(tblOrdenes[[#This Row],[centro_costo]]="","",_xlfn.XLOOKUP(tblOrdenes[[#This Row],[centro_costo]],tblCECO[codigo],tblCECO[linea],"(sin catálogo)"))</f>
        <v/>
      </c>
      <c r="V111" s="3">
        <f>IF(tblOrdenes[[#This Row],[centro_costo]]="","",_xlfn.XLOOKUP(tblOrdenes[[#This Row],[centro_costo]],tblCECO[codigo],tblCECO[area],"(sin catálogo)"))</f>
        <v/>
      </c>
      <c r="W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3">
        <f>IF(tblOrdenes[[#This Row],[centro_costo]]="","",_xlfn.XLOOKUP(tblOrdenes[[#This Row],[centro_costo]],tblCECO[codigo],tblCECO[coordinador],"(sin catálogo)"))</f>
        <v/>
      </c>
      <c r="Y111" s="3">
        <f>IF(tblOrdenes[[#This Row],[puesto_trabajo]]="","",_xlfn.XLOOKUP(tblOrdenes[[#This Row],[puesto_trabajo]],tblPuestos[codigo],tblPuestos[especialidad],"(sin catálogo)"))</f>
        <v/>
      </c>
      <c r="Z111" s="3">
        <f>IF(tblOrdenes[[#This Row],[cod_actividad]]="","",_xlfn.XLOOKUP(tblOrdenes[[#This Row],[cod_actividad]],tblActividades[codigo],tblActividades[descripcion],"(sin catálogo)"))</f>
        <v/>
      </c>
      <c r="AA111" s="12">
        <f>IF(tblOrdenes[[#This Row],[fecha_inicio]]="","",TODAY()-tblOrdenes[[#This Row],[fecha_inicio]])</f>
        <v/>
      </c>
      <c r="AB1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3">
        <f>IF(tblOrdenes[[#This Row],[backlog_habiles]]="","",IF(tblOrdenes[[#This Row],[backlog_habiles]]&lt;0,"FUTURO",IF(tblOrdenes[[#This Row],[backlog_habiles]]&gt;p_dias_backlog_max,"BACKLOG","MES CORRIENTE")))</f>
        <v/>
      </c>
      <c r="AD111" s="3">
        <f>IF(tblOrdenes[[#This Row],[backlog_habiles]]="",FALSE,AND(tblOrdenes[[#This Row],[backlog_habiles]]&gt;p_dias_backlog_min,tblOrdenes[[#This Row],[backlog_habiles]]&lt;=p_dias_backlog_max))</f>
        <v/>
      </c>
      <c r="AE111" s="6" t="inlineStr"/>
      <c r="AF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0">
        <f>IF(tblOrdenes[[#This Row],[orden]]="","",_xlfn.XLOOKUP(tblOrdenes[[#This Row],[id_operacion]],tblEjecucion[id_operacion],tblEjecucion[precio],0))</f>
        <v/>
      </c>
      <c r="AJ111" s="10">
        <f>IF(tblOrdenes[[#This Row],[orden]]="","",MAX(0,_xlfn.XLOOKUP(tblOrdenes[[#This Row],[id_operacion]],tblEjecucion[id_operacion],tblEjecucion[costo_plan_total],0)-tblOrdenes[[#This Row],[costo_servicio]]))</f>
        <v/>
      </c>
      <c r="AK111" s="10">
        <f>IF(tblOrdenes[[#This Row],[orden]]="","",tblOrdenes[[#This Row],[costo_servicio]]+tblOrdenes[[#This Row],[costo_materiales]])</f>
        <v/>
      </c>
      <c r="AL111" s="6" t="inlineStr"/>
      <c r="AM111" s="6" t="inlineStr"/>
      <c r="AN111" s="6" t="inlineStr">
        <is>
          <t>ACT-01.pdf</t>
        </is>
      </c>
      <c r="AO111" s="3">
        <f>IF(tblOrdenes[[#This Row],[link_checklist]]="","",HYPERLINK(p_ruta_base_checklists&amp;tblOrdenes[[#This Row],[link_checklist]],"abrir"))</f>
        <v/>
      </c>
      <c r="AP111" s="6" t="inlineStr"/>
      <c r="AQ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3">
        <f>IF(tblOrdenes[[#This Row],[tipo_ot]]="","",_xlfn.XLOOKUP(tblOrdenes[[#This Row],[tipo_ot]],tblTiposOT[codigo],tblTiposOT[clasificacion],"sin_clasificar"))</f>
        <v/>
      </c>
      <c r="U112" s="3">
        <f>IF(tblOrdenes[[#This Row],[centro_costo]]="","",_xlfn.XLOOKUP(tblOrdenes[[#This Row],[centro_costo]],tblCECO[codigo],tblCECO[linea],"(sin catálogo)"))</f>
        <v/>
      </c>
      <c r="V112" s="3">
        <f>IF(tblOrdenes[[#This Row],[centro_costo]]="","",_xlfn.XLOOKUP(tblOrdenes[[#This Row],[centro_costo]],tblCECO[codigo],tblCECO[area],"(sin catálogo)"))</f>
        <v/>
      </c>
      <c r="W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3">
        <f>IF(tblOrdenes[[#This Row],[centro_costo]]="","",_xlfn.XLOOKUP(tblOrdenes[[#This Row],[centro_costo]],tblCECO[codigo],tblCECO[coordinador],"(sin catálogo)"))</f>
        <v/>
      </c>
      <c r="Y112" s="3">
        <f>IF(tblOrdenes[[#This Row],[puesto_trabajo]]="","",_xlfn.XLOOKUP(tblOrdenes[[#This Row],[puesto_trabajo]],tblPuestos[codigo],tblPuestos[especialidad],"(sin catálogo)"))</f>
        <v/>
      </c>
      <c r="Z112" s="3">
        <f>IF(tblOrdenes[[#This Row],[cod_actividad]]="","",_xlfn.XLOOKUP(tblOrdenes[[#This Row],[cod_actividad]],tblActividades[codigo],tblActividades[descripcion],"(sin catálogo)"))</f>
        <v/>
      </c>
      <c r="AA112" s="12">
        <f>IF(tblOrdenes[[#This Row],[fecha_inicio]]="","",TODAY()-tblOrdenes[[#This Row],[fecha_inicio]])</f>
        <v/>
      </c>
      <c r="AB1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3">
        <f>IF(tblOrdenes[[#This Row],[backlog_habiles]]="","",IF(tblOrdenes[[#This Row],[backlog_habiles]]&lt;0,"FUTURO",IF(tblOrdenes[[#This Row],[backlog_habiles]]&gt;p_dias_backlog_max,"BACKLOG","MES CORRIENTE")))</f>
        <v/>
      </c>
      <c r="AD112" s="3">
        <f>IF(tblOrdenes[[#This Row],[backlog_habiles]]="",FALSE,AND(tblOrdenes[[#This Row],[backlog_habiles]]&gt;p_dias_backlog_min,tblOrdenes[[#This Row],[backlog_habiles]]&lt;=p_dias_backlog_max))</f>
        <v/>
      </c>
      <c r="AE112" s="6" t="inlineStr">
        <is>
          <t>Técnico 10</t>
        </is>
      </c>
      <c r="AF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0">
        <f>IF(tblOrdenes[[#This Row],[orden]]="","",_xlfn.XLOOKUP(tblOrdenes[[#This Row],[id_operacion]],tblEjecucion[id_operacion],tblEjecucion[precio],0))</f>
        <v/>
      </c>
      <c r="AJ112" s="10">
        <f>IF(tblOrdenes[[#This Row],[orden]]="","",MAX(0,_xlfn.XLOOKUP(tblOrdenes[[#This Row],[id_operacion]],tblEjecucion[id_operacion],tblEjecucion[costo_plan_total],0)-tblOrdenes[[#This Row],[costo_servicio]]))</f>
        <v/>
      </c>
      <c r="AK112" s="10">
        <f>IF(tblOrdenes[[#This Row],[orden]]="","",tblOrdenes[[#This Row],[costo_servicio]]+tblOrdenes[[#This Row],[costo_materiales]])</f>
        <v/>
      </c>
      <c r="AL112" s="6" t="inlineStr"/>
      <c r="AM112" s="6" t="inlineStr"/>
      <c r="AN112" s="6" t="inlineStr">
        <is>
          <t>ACT-02.pdf</t>
        </is>
      </c>
      <c r="AO112" s="3">
        <f>IF(tblOrdenes[[#This Row],[link_checklist]]="","",HYPERLINK(p_ruta_base_checklists&amp;tblOrdenes[[#This Row],[link_checklist]],"abrir"))</f>
        <v/>
      </c>
      <c r="AP112" s="6" t="inlineStr"/>
      <c r="AQ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3">
        <f>IF(tblOrdenes[[#This Row],[tipo_ot]]="","",_xlfn.XLOOKUP(tblOrdenes[[#This Row],[tipo_ot]],tblTiposOT[codigo],tblTiposOT[clasificacion],"sin_clasificar"))</f>
        <v/>
      </c>
      <c r="U113" s="3">
        <f>IF(tblOrdenes[[#This Row],[centro_costo]]="","",_xlfn.XLOOKUP(tblOrdenes[[#This Row],[centro_costo]],tblCECO[codigo],tblCECO[linea],"(sin catálogo)"))</f>
        <v/>
      </c>
      <c r="V113" s="3">
        <f>IF(tblOrdenes[[#This Row],[centro_costo]]="","",_xlfn.XLOOKUP(tblOrdenes[[#This Row],[centro_costo]],tblCECO[codigo],tblCECO[area],"(sin catálogo)"))</f>
        <v/>
      </c>
      <c r="W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3">
        <f>IF(tblOrdenes[[#This Row],[centro_costo]]="","",_xlfn.XLOOKUP(tblOrdenes[[#This Row],[centro_costo]],tblCECO[codigo],tblCECO[coordinador],"(sin catálogo)"))</f>
        <v/>
      </c>
      <c r="Y113" s="3">
        <f>IF(tblOrdenes[[#This Row],[puesto_trabajo]]="","",_xlfn.XLOOKUP(tblOrdenes[[#This Row],[puesto_trabajo]],tblPuestos[codigo],tblPuestos[especialidad],"(sin catálogo)"))</f>
        <v/>
      </c>
      <c r="Z113" s="3">
        <f>IF(tblOrdenes[[#This Row],[cod_actividad]]="","",_xlfn.XLOOKUP(tblOrdenes[[#This Row],[cod_actividad]],tblActividades[codigo],tblActividades[descripcion],"(sin catálogo)"))</f>
        <v/>
      </c>
      <c r="AA113" s="12">
        <f>IF(tblOrdenes[[#This Row],[fecha_inicio]]="","",TODAY()-tblOrdenes[[#This Row],[fecha_inicio]])</f>
        <v/>
      </c>
      <c r="AB1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3">
        <f>IF(tblOrdenes[[#This Row],[backlog_habiles]]="","",IF(tblOrdenes[[#This Row],[backlog_habiles]]&lt;0,"FUTURO",IF(tblOrdenes[[#This Row],[backlog_habiles]]&gt;p_dias_backlog_max,"BACKLOG","MES CORRIENTE")))</f>
        <v/>
      </c>
      <c r="AD113" s="3">
        <f>IF(tblOrdenes[[#This Row],[backlog_habiles]]="",FALSE,AND(tblOrdenes[[#This Row],[backlog_habiles]]&gt;p_dias_backlog_min,tblOrdenes[[#This Row],[backlog_habiles]]&lt;=p_dias_backlog_max))</f>
        <v/>
      </c>
      <c r="AE113" s="6" t="inlineStr">
        <is>
          <t>Técnico 11</t>
        </is>
      </c>
      <c r="AF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0">
        <f>IF(tblOrdenes[[#This Row],[orden]]="","",_xlfn.XLOOKUP(tblOrdenes[[#This Row],[id_operacion]],tblEjecucion[id_operacion],tblEjecucion[precio],0))</f>
        <v/>
      </c>
      <c r="AJ113" s="10">
        <f>IF(tblOrdenes[[#This Row],[orden]]="","",MAX(0,_xlfn.XLOOKUP(tblOrdenes[[#This Row],[id_operacion]],tblEjecucion[id_operacion],tblEjecucion[costo_plan_total],0)-tblOrdenes[[#This Row],[costo_servicio]]))</f>
        <v/>
      </c>
      <c r="AK113" s="10">
        <f>IF(tblOrdenes[[#This Row],[orden]]="","",tblOrdenes[[#This Row],[costo_servicio]]+tblOrdenes[[#This Row],[costo_materiales]])</f>
        <v/>
      </c>
      <c r="AL113" s="6" t="inlineStr"/>
      <c r="AM113" s="6" t="inlineStr"/>
      <c r="AN113" s="6" t="inlineStr">
        <is>
          <t>ACT-04.pdf</t>
        </is>
      </c>
      <c r="AO113" s="3">
        <f>IF(tblOrdenes[[#This Row],[link_checklist]]="","",HYPERLINK(p_ruta_base_checklists&amp;tblOrdenes[[#This Row],[link_checklist]],"abrir"))</f>
        <v/>
      </c>
      <c r="AP113" s="6" t="inlineStr"/>
      <c r="AQ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3">
        <f>IF(tblOrdenes[[#This Row],[tipo_ot]]="","",_xlfn.XLOOKUP(tblOrdenes[[#This Row],[tipo_ot]],tblTiposOT[codigo],tblTiposOT[clasificacion],"sin_clasificar"))</f>
        <v/>
      </c>
      <c r="U114" s="3">
        <f>IF(tblOrdenes[[#This Row],[centro_costo]]="","",_xlfn.XLOOKUP(tblOrdenes[[#This Row],[centro_costo]],tblCECO[codigo],tblCECO[linea],"(sin catálogo)"))</f>
        <v/>
      </c>
      <c r="V114" s="3">
        <f>IF(tblOrdenes[[#This Row],[centro_costo]]="","",_xlfn.XLOOKUP(tblOrdenes[[#This Row],[centro_costo]],tblCECO[codigo],tblCECO[area],"(sin catálogo)"))</f>
        <v/>
      </c>
      <c r="W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3">
        <f>IF(tblOrdenes[[#This Row],[centro_costo]]="","",_xlfn.XLOOKUP(tblOrdenes[[#This Row],[centro_costo]],tblCECO[codigo],tblCECO[coordinador],"(sin catálogo)"))</f>
        <v/>
      </c>
      <c r="Y114" s="3">
        <f>IF(tblOrdenes[[#This Row],[puesto_trabajo]]="","",_xlfn.XLOOKUP(tblOrdenes[[#This Row],[puesto_trabajo]],tblPuestos[codigo],tblPuestos[especialidad],"(sin catálogo)"))</f>
        <v/>
      </c>
      <c r="Z114" s="3">
        <f>IF(tblOrdenes[[#This Row],[cod_actividad]]="","",_xlfn.XLOOKUP(tblOrdenes[[#This Row],[cod_actividad]],tblActividades[codigo],tblActividades[descripcion],"(sin catálogo)"))</f>
        <v/>
      </c>
      <c r="AA114" s="12">
        <f>IF(tblOrdenes[[#This Row],[fecha_inicio]]="","",TODAY()-tblOrdenes[[#This Row],[fecha_inicio]])</f>
        <v/>
      </c>
      <c r="AB1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3">
        <f>IF(tblOrdenes[[#This Row],[backlog_habiles]]="","",IF(tblOrdenes[[#This Row],[backlog_habiles]]&lt;0,"FUTURO",IF(tblOrdenes[[#This Row],[backlog_habiles]]&gt;p_dias_backlog_max,"BACKLOG","MES CORRIENTE")))</f>
        <v/>
      </c>
      <c r="AD114" s="3">
        <f>IF(tblOrdenes[[#This Row],[backlog_habiles]]="",FALSE,AND(tblOrdenes[[#This Row],[backlog_habiles]]&gt;p_dias_backlog_min,tblOrdenes[[#This Row],[backlog_habiles]]&lt;=p_dias_backlog_max))</f>
        <v/>
      </c>
      <c r="AE114" s="6" t="inlineStr">
        <is>
          <t>Técnico 12</t>
        </is>
      </c>
      <c r="AF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0">
        <f>IF(tblOrdenes[[#This Row],[orden]]="","",_xlfn.XLOOKUP(tblOrdenes[[#This Row],[id_operacion]],tblEjecucion[id_operacion],tblEjecucion[precio],0))</f>
        <v/>
      </c>
      <c r="AJ114" s="10">
        <f>IF(tblOrdenes[[#This Row],[orden]]="","",MAX(0,_xlfn.XLOOKUP(tblOrdenes[[#This Row],[id_operacion]],tblEjecucion[id_operacion],tblEjecucion[costo_plan_total],0)-tblOrdenes[[#This Row],[costo_servicio]]))</f>
        <v/>
      </c>
      <c r="AK114" s="10">
        <f>IF(tblOrdenes[[#This Row],[orden]]="","",tblOrdenes[[#This Row],[costo_servicio]]+tblOrdenes[[#This Row],[costo_materiales]])</f>
        <v/>
      </c>
      <c r="AL114" s="6" t="inlineStr"/>
      <c r="AM114" s="6" t="inlineStr"/>
      <c r="AN114" s="6" t="inlineStr"/>
      <c r="AO114" s="3">
        <f>IF(tblOrdenes[[#This Row],[link_checklist]]="","",HYPERLINK(p_ruta_base_checklists&amp;tblOrdenes[[#This Row],[link_checklist]],"abrir"))</f>
        <v/>
      </c>
      <c r="AP114" s="6" t="inlineStr"/>
      <c r="AQ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3">
        <f>IF(tblOrdenes[[#This Row],[tipo_ot]]="","",_xlfn.XLOOKUP(tblOrdenes[[#This Row],[tipo_ot]],tblTiposOT[codigo],tblTiposOT[clasificacion],"sin_clasificar"))</f>
        <v/>
      </c>
      <c r="U115" s="3">
        <f>IF(tblOrdenes[[#This Row],[centro_costo]]="","",_xlfn.XLOOKUP(tblOrdenes[[#This Row],[centro_costo]],tblCECO[codigo],tblCECO[linea],"(sin catálogo)"))</f>
        <v/>
      </c>
      <c r="V115" s="3">
        <f>IF(tblOrdenes[[#This Row],[centro_costo]]="","",_xlfn.XLOOKUP(tblOrdenes[[#This Row],[centro_costo]],tblCECO[codigo],tblCECO[area],"(sin catálogo)"))</f>
        <v/>
      </c>
      <c r="W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3">
        <f>IF(tblOrdenes[[#This Row],[centro_costo]]="","",_xlfn.XLOOKUP(tblOrdenes[[#This Row],[centro_costo]],tblCECO[codigo],tblCECO[coordinador],"(sin catálogo)"))</f>
        <v/>
      </c>
      <c r="Y115" s="3">
        <f>IF(tblOrdenes[[#This Row],[puesto_trabajo]]="","",_xlfn.XLOOKUP(tblOrdenes[[#This Row],[puesto_trabajo]],tblPuestos[codigo],tblPuestos[especialidad],"(sin catálogo)"))</f>
        <v/>
      </c>
      <c r="Z115" s="3">
        <f>IF(tblOrdenes[[#This Row],[cod_actividad]]="","",_xlfn.XLOOKUP(tblOrdenes[[#This Row],[cod_actividad]],tblActividades[codigo],tblActividades[descripcion],"(sin catálogo)"))</f>
        <v/>
      </c>
      <c r="AA115" s="12">
        <f>IF(tblOrdenes[[#This Row],[fecha_inicio]]="","",TODAY()-tblOrdenes[[#This Row],[fecha_inicio]])</f>
        <v/>
      </c>
      <c r="AB1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3">
        <f>IF(tblOrdenes[[#This Row],[backlog_habiles]]="","",IF(tblOrdenes[[#This Row],[backlog_habiles]]&lt;0,"FUTURO",IF(tblOrdenes[[#This Row],[backlog_habiles]]&gt;p_dias_backlog_max,"BACKLOG","MES CORRIENTE")))</f>
        <v/>
      </c>
      <c r="AD115" s="3">
        <f>IF(tblOrdenes[[#This Row],[backlog_habiles]]="",FALSE,AND(tblOrdenes[[#This Row],[backlog_habiles]]&gt;p_dias_backlog_min,tblOrdenes[[#This Row],[backlog_habiles]]&lt;=p_dias_backlog_max))</f>
        <v/>
      </c>
      <c r="AE115" s="6" t="inlineStr">
        <is>
          <t>Técnico 10</t>
        </is>
      </c>
      <c r="AF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0">
        <f>IF(tblOrdenes[[#This Row],[orden]]="","",_xlfn.XLOOKUP(tblOrdenes[[#This Row],[id_operacion]],tblEjecucion[id_operacion],tblEjecucion[precio],0))</f>
        <v/>
      </c>
      <c r="AJ115" s="10">
        <f>IF(tblOrdenes[[#This Row],[orden]]="","",MAX(0,_xlfn.XLOOKUP(tblOrdenes[[#This Row],[id_operacion]],tblEjecucion[id_operacion],tblEjecucion[costo_plan_total],0)-tblOrdenes[[#This Row],[costo_servicio]]))</f>
        <v/>
      </c>
      <c r="AK115" s="10">
        <f>IF(tblOrdenes[[#This Row],[orden]]="","",tblOrdenes[[#This Row],[costo_servicio]]+tblOrdenes[[#This Row],[costo_materiales]])</f>
        <v/>
      </c>
      <c r="AL115" s="6" t="inlineStr"/>
      <c r="AM115" s="6" t="inlineStr"/>
      <c r="AN115" s="6" t="inlineStr">
        <is>
          <t>ACT-02.pdf</t>
        </is>
      </c>
      <c r="AO115" s="3">
        <f>IF(tblOrdenes[[#This Row],[link_checklist]]="","",HYPERLINK(p_ruta_base_checklists&amp;tblOrdenes[[#This Row],[link_checklist]],"abrir"))</f>
        <v/>
      </c>
      <c r="AP115" s="6" t="inlineStr"/>
      <c r="AQ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3">
        <f>IF(tblOrdenes[[#This Row],[tipo_ot]]="","",_xlfn.XLOOKUP(tblOrdenes[[#This Row],[tipo_ot]],tblTiposOT[codigo],tblTiposOT[clasificacion],"sin_clasificar"))</f>
        <v/>
      </c>
      <c r="U116" s="3">
        <f>IF(tblOrdenes[[#This Row],[centro_costo]]="","",_xlfn.XLOOKUP(tblOrdenes[[#This Row],[centro_costo]],tblCECO[codigo],tblCECO[linea],"(sin catálogo)"))</f>
        <v/>
      </c>
      <c r="V116" s="3">
        <f>IF(tblOrdenes[[#This Row],[centro_costo]]="","",_xlfn.XLOOKUP(tblOrdenes[[#This Row],[centro_costo]],tblCECO[codigo],tblCECO[area],"(sin catálogo)"))</f>
        <v/>
      </c>
      <c r="W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3">
        <f>IF(tblOrdenes[[#This Row],[centro_costo]]="","",_xlfn.XLOOKUP(tblOrdenes[[#This Row],[centro_costo]],tblCECO[codigo],tblCECO[coordinador],"(sin catálogo)"))</f>
        <v/>
      </c>
      <c r="Y116" s="3">
        <f>IF(tblOrdenes[[#This Row],[puesto_trabajo]]="","",_xlfn.XLOOKUP(tblOrdenes[[#This Row],[puesto_trabajo]],tblPuestos[codigo],tblPuestos[especialidad],"(sin catálogo)"))</f>
        <v/>
      </c>
      <c r="Z116" s="3">
        <f>IF(tblOrdenes[[#This Row],[cod_actividad]]="","",_xlfn.XLOOKUP(tblOrdenes[[#This Row],[cod_actividad]],tblActividades[codigo],tblActividades[descripcion],"(sin catálogo)"))</f>
        <v/>
      </c>
      <c r="AA116" s="12">
        <f>IF(tblOrdenes[[#This Row],[fecha_inicio]]="","",TODAY()-tblOrdenes[[#This Row],[fecha_inicio]])</f>
        <v/>
      </c>
      <c r="AB1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3">
        <f>IF(tblOrdenes[[#This Row],[backlog_habiles]]="","",IF(tblOrdenes[[#This Row],[backlog_habiles]]&lt;0,"FUTURO",IF(tblOrdenes[[#This Row],[backlog_habiles]]&gt;p_dias_backlog_max,"BACKLOG","MES CORRIENTE")))</f>
        <v/>
      </c>
      <c r="AD116" s="3">
        <f>IF(tblOrdenes[[#This Row],[backlog_habiles]]="",FALSE,AND(tblOrdenes[[#This Row],[backlog_habiles]]&gt;p_dias_backlog_min,tblOrdenes[[#This Row],[backlog_habiles]]&lt;=p_dias_backlog_max))</f>
        <v/>
      </c>
      <c r="AE116" s="6" t="inlineStr">
        <is>
          <t>Técnico 11</t>
        </is>
      </c>
      <c r="AF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0">
        <f>IF(tblOrdenes[[#This Row],[orden]]="","",_xlfn.XLOOKUP(tblOrdenes[[#This Row],[id_operacion]],tblEjecucion[id_operacion],tblEjecucion[precio],0))</f>
        <v/>
      </c>
      <c r="AJ116" s="10">
        <f>IF(tblOrdenes[[#This Row],[orden]]="","",MAX(0,_xlfn.XLOOKUP(tblOrdenes[[#This Row],[id_operacion]],tblEjecucion[id_operacion],tblEjecucion[costo_plan_total],0)-tblOrdenes[[#This Row],[costo_servicio]]))</f>
        <v/>
      </c>
      <c r="AK116" s="10">
        <f>IF(tblOrdenes[[#This Row],[orden]]="","",tblOrdenes[[#This Row],[costo_servicio]]+tblOrdenes[[#This Row],[costo_materiales]])</f>
        <v/>
      </c>
      <c r="AL116" s="6" t="inlineStr"/>
      <c r="AM116" s="6" t="inlineStr"/>
      <c r="AN116" s="6" t="inlineStr">
        <is>
          <t>ACT-04.pdf</t>
        </is>
      </c>
      <c r="AO116" s="3">
        <f>IF(tblOrdenes[[#This Row],[link_checklist]]="","",HYPERLINK(p_ruta_base_checklists&amp;tblOrdenes[[#This Row],[link_checklist]],"abrir"))</f>
        <v/>
      </c>
      <c r="AP116" s="6" t="inlineStr"/>
      <c r="AQ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3">
        <f>IF(tblOrdenes[[#This Row],[tipo_ot]]="","",_xlfn.XLOOKUP(tblOrdenes[[#This Row],[tipo_ot]],tblTiposOT[codigo],tblTiposOT[clasificacion],"sin_clasificar"))</f>
        <v/>
      </c>
      <c r="U117" s="3">
        <f>IF(tblOrdenes[[#This Row],[centro_costo]]="","",_xlfn.XLOOKUP(tblOrdenes[[#This Row],[centro_costo]],tblCECO[codigo],tblCECO[linea],"(sin catálogo)"))</f>
        <v/>
      </c>
      <c r="V117" s="3">
        <f>IF(tblOrdenes[[#This Row],[centro_costo]]="","",_xlfn.XLOOKUP(tblOrdenes[[#This Row],[centro_costo]],tblCECO[codigo],tblCECO[area],"(sin catálogo)"))</f>
        <v/>
      </c>
      <c r="W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3">
        <f>IF(tblOrdenes[[#This Row],[centro_costo]]="","",_xlfn.XLOOKUP(tblOrdenes[[#This Row],[centro_costo]],tblCECO[codigo],tblCECO[coordinador],"(sin catálogo)"))</f>
        <v/>
      </c>
      <c r="Y117" s="3">
        <f>IF(tblOrdenes[[#This Row],[puesto_trabajo]]="","",_xlfn.XLOOKUP(tblOrdenes[[#This Row],[puesto_trabajo]],tblPuestos[codigo],tblPuestos[especialidad],"(sin catálogo)"))</f>
        <v/>
      </c>
      <c r="Z117" s="3">
        <f>IF(tblOrdenes[[#This Row],[cod_actividad]]="","",_xlfn.XLOOKUP(tblOrdenes[[#This Row],[cod_actividad]],tblActividades[codigo],tblActividades[descripcion],"(sin catálogo)"))</f>
        <v/>
      </c>
      <c r="AA117" s="12">
        <f>IF(tblOrdenes[[#This Row],[fecha_inicio]]="","",TODAY()-tblOrdenes[[#This Row],[fecha_inicio]])</f>
        <v/>
      </c>
      <c r="AB1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3">
        <f>IF(tblOrdenes[[#This Row],[backlog_habiles]]="","",IF(tblOrdenes[[#This Row],[backlog_habiles]]&lt;0,"FUTURO",IF(tblOrdenes[[#This Row],[backlog_habiles]]&gt;p_dias_backlog_max,"BACKLOG","MES CORRIENTE")))</f>
        <v/>
      </c>
      <c r="AD117" s="3">
        <f>IF(tblOrdenes[[#This Row],[backlog_habiles]]="",FALSE,AND(tblOrdenes[[#This Row],[backlog_habiles]]&gt;p_dias_backlog_min,tblOrdenes[[#This Row],[backlog_habiles]]&lt;=p_dias_backlog_max))</f>
        <v/>
      </c>
      <c r="AE117" s="6" t="inlineStr">
        <is>
          <t>Técnico 12</t>
        </is>
      </c>
      <c r="AF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0">
        <f>IF(tblOrdenes[[#This Row],[orden]]="","",_xlfn.XLOOKUP(tblOrdenes[[#This Row],[id_operacion]],tblEjecucion[id_operacion],tblEjecucion[precio],0))</f>
        <v/>
      </c>
      <c r="AJ117" s="10">
        <f>IF(tblOrdenes[[#This Row],[orden]]="","",MAX(0,_xlfn.XLOOKUP(tblOrdenes[[#This Row],[id_operacion]],tblEjecucion[id_operacion],tblEjecucion[costo_plan_total],0)-tblOrdenes[[#This Row],[costo_servicio]]))</f>
        <v/>
      </c>
      <c r="AK117" s="10">
        <f>IF(tblOrdenes[[#This Row],[orden]]="","",tblOrdenes[[#This Row],[costo_servicio]]+tblOrdenes[[#This Row],[costo_materiales]])</f>
        <v/>
      </c>
      <c r="AL117" s="6" t="inlineStr"/>
      <c r="AM117" s="6" t="inlineStr"/>
      <c r="AN117" s="6" t="inlineStr">
        <is>
          <t>ACT-01.pdf</t>
        </is>
      </c>
      <c r="AO117" s="3">
        <f>IF(tblOrdenes[[#This Row],[link_checklist]]="","",HYPERLINK(p_ruta_base_checklists&amp;tblOrdenes[[#This Row],[link_checklist]],"abrir"))</f>
        <v/>
      </c>
      <c r="AP117" s="6" t="inlineStr"/>
      <c r="AQ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3">
        <f>IF(tblOrdenes[[#This Row],[tipo_ot]]="","",_xlfn.XLOOKUP(tblOrdenes[[#This Row],[tipo_ot]],tblTiposOT[codigo],tblTiposOT[clasificacion],"sin_clasificar"))</f>
        <v/>
      </c>
      <c r="U118" s="3">
        <f>IF(tblOrdenes[[#This Row],[centro_costo]]="","",_xlfn.XLOOKUP(tblOrdenes[[#This Row],[centro_costo]],tblCECO[codigo],tblCECO[linea],"(sin catálogo)"))</f>
        <v/>
      </c>
      <c r="V118" s="3">
        <f>IF(tblOrdenes[[#This Row],[centro_costo]]="","",_xlfn.XLOOKUP(tblOrdenes[[#This Row],[centro_costo]],tblCECO[codigo],tblCECO[area],"(sin catálogo)"))</f>
        <v/>
      </c>
      <c r="W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3">
        <f>IF(tblOrdenes[[#This Row],[centro_costo]]="","",_xlfn.XLOOKUP(tblOrdenes[[#This Row],[centro_costo]],tblCECO[codigo],tblCECO[coordinador],"(sin catálogo)"))</f>
        <v/>
      </c>
      <c r="Y118" s="3">
        <f>IF(tblOrdenes[[#This Row],[puesto_trabajo]]="","",_xlfn.XLOOKUP(tblOrdenes[[#This Row],[puesto_trabajo]],tblPuestos[codigo],tblPuestos[especialidad],"(sin catálogo)"))</f>
        <v/>
      </c>
      <c r="Z118" s="3">
        <f>IF(tblOrdenes[[#This Row],[cod_actividad]]="","",_xlfn.XLOOKUP(tblOrdenes[[#This Row],[cod_actividad]],tblActividades[codigo],tblActividades[descripcion],"(sin catálogo)"))</f>
        <v/>
      </c>
      <c r="AA118" s="12">
        <f>IF(tblOrdenes[[#This Row],[fecha_inicio]]="","",TODAY()-tblOrdenes[[#This Row],[fecha_inicio]])</f>
        <v/>
      </c>
      <c r="AB1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3">
        <f>IF(tblOrdenes[[#This Row],[backlog_habiles]]="","",IF(tblOrdenes[[#This Row],[backlog_habiles]]&lt;0,"FUTURO",IF(tblOrdenes[[#This Row],[backlog_habiles]]&gt;p_dias_backlog_max,"BACKLOG","MES CORRIENTE")))</f>
        <v/>
      </c>
      <c r="AD118" s="3">
        <f>IF(tblOrdenes[[#This Row],[backlog_habiles]]="",FALSE,AND(tblOrdenes[[#This Row],[backlog_habiles]]&gt;p_dias_backlog_min,tblOrdenes[[#This Row],[backlog_habiles]]&lt;=p_dias_backlog_max))</f>
        <v/>
      </c>
      <c r="AE118" s="6" t="inlineStr">
        <is>
          <t>Técnico 10</t>
        </is>
      </c>
      <c r="AF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0">
        <f>IF(tblOrdenes[[#This Row],[orden]]="","",_xlfn.XLOOKUP(tblOrdenes[[#This Row],[id_operacion]],tblEjecucion[id_operacion],tblEjecucion[precio],0))</f>
        <v/>
      </c>
      <c r="AJ118" s="10">
        <f>IF(tblOrdenes[[#This Row],[orden]]="","",MAX(0,_xlfn.XLOOKUP(tblOrdenes[[#This Row],[id_operacion]],tblEjecucion[id_operacion],tblEjecucion[costo_plan_total],0)-tblOrdenes[[#This Row],[costo_servicio]]))</f>
        <v/>
      </c>
      <c r="AK118" s="10">
        <f>IF(tblOrdenes[[#This Row],[orden]]="","",tblOrdenes[[#This Row],[costo_servicio]]+tblOrdenes[[#This Row],[costo_materiales]])</f>
        <v/>
      </c>
      <c r="AL118" s="6" t="inlineStr"/>
      <c r="AM118" s="6" t="inlineStr"/>
      <c r="AN118" s="6" t="inlineStr">
        <is>
          <t>ACT-02.pdf</t>
        </is>
      </c>
      <c r="AO118" s="3">
        <f>IF(tblOrdenes[[#This Row],[link_checklist]]="","",HYPERLINK(p_ruta_base_checklists&amp;tblOrdenes[[#This Row],[link_checklist]],"abrir"))</f>
        <v/>
      </c>
      <c r="AP118" s="6" t="inlineStr"/>
      <c r="AQ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3">
        <f>IF(tblOrdenes[[#This Row],[tipo_ot]]="","",_xlfn.XLOOKUP(tblOrdenes[[#This Row],[tipo_ot]],tblTiposOT[codigo],tblTiposOT[clasificacion],"sin_clasificar"))</f>
        <v/>
      </c>
      <c r="U119" s="3">
        <f>IF(tblOrdenes[[#This Row],[centro_costo]]="","",_xlfn.XLOOKUP(tblOrdenes[[#This Row],[centro_costo]],tblCECO[codigo],tblCECO[linea],"(sin catálogo)"))</f>
        <v/>
      </c>
      <c r="V119" s="3">
        <f>IF(tblOrdenes[[#This Row],[centro_costo]]="","",_xlfn.XLOOKUP(tblOrdenes[[#This Row],[centro_costo]],tblCECO[codigo],tblCECO[area],"(sin catálogo)"))</f>
        <v/>
      </c>
      <c r="W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3">
        <f>IF(tblOrdenes[[#This Row],[centro_costo]]="","",_xlfn.XLOOKUP(tblOrdenes[[#This Row],[centro_costo]],tblCECO[codigo],tblCECO[coordinador],"(sin catálogo)"))</f>
        <v/>
      </c>
      <c r="Y119" s="3">
        <f>IF(tblOrdenes[[#This Row],[puesto_trabajo]]="","",_xlfn.XLOOKUP(tblOrdenes[[#This Row],[puesto_trabajo]],tblPuestos[codigo],tblPuestos[especialidad],"(sin catálogo)"))</f>
        <v/>
      </c>
      <c r="Z119" s="3">
        <f>IF(tblOrdenes[[#This Row],[cod_actividad]]="","",_xlfn.XLOOKUP(tblOrdenes[[#This Row],[cod_actividad]],tblActividades[codigo],tblActividades[descripcion],"(sin catálogo)"))</f>
        <v/>
      </c>
      <c r="AA119" s="12">
        <f>IF(tblOrdenes[[#This Row],[fecha_inicio]]="","",TODAY()-tblOrdenes[[#This Row],[fecha_inicio]])</f>
        <v/>
      </c>
      <c r="AB1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3">
        <f>IF(tblOrdenes[[#This Row],[backlog_habiles]]="","",IF(tblOrdenes[[#This Row],[backlog_habiles]]&lt;0,"FUTURO",IF(tblOrdenes[[#This Row],[backlog_habiles]]&gt;p_dias_backlog_max,"BACKLOG","MES CORRIENTE")))</f>
        <v/>
      </c>
      <c r="AD119" s="3">
        <f>IF(tblOrdenes[[#This Row],[backlog_habiles]]="",FALSE,AND(tblOrdenes[[#This Row],[backlog_habiles]]&gt;p_dias_backlog_min,tblOrdenes[[#This Row],[backlog_habiles]]&lt;=p_dias_backlog_max))</f>
        <v/>
      </c>
      <c r="AE119" s="6" t="inlineStr">
        <is>
          <t>Técnico 11</t>
        </is>
      </c>
      <c r="AF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0">
        <f>IF(tblOrdenes[[#This Row],[orden]]="","",_xlfn.XLOOKUP(tblOrdenes[[#This Row],[id_operacion]],tblEjecucion[id_operacion],tblEjecucion[precio],0))</f>
        <v/>
      </c>
      <c r="AJ119" s="10">
        <f>IF(tblOrdenes[[#This Row],[orden]]="","",MAX(0,_xlfn.XLOOKUP(tblOrdenes[[#This Row],[id_operacion]],tblEjecucion[id_operacion],tblEjecucion[costo_plan_total],0)-tblOrdenes[[#This Row],[costo_servicio]]))</f>
        <v/>
      </c>
      <c r="AK119" s="10">
        <f>IF(tblOrdenes[[#This Row],[orden]]="","",tblOrdenes[[#This Row],[costo_servicio]]+tblOrdenes[[#This Row],[costo_materiales]])</f>
        <v/>
      </c>
      <c r="AL119" s="6" t="inlineStr"/>
      <c r="AM119" s="6" t="inlineStr"/>
      <c r="AN119" s="6" t="inlineStr">
        <is>
          <t>ACT-04.pdf</t>
        </is>
      </c>
      <c r="AO119" s="3">
        <f>IF(tblOrdenes[[#This Row],[link_checklist]]="","",HYPERLINK(p_ruta_base_checklists&amp;tblOrdenes[[#This Row],[link_checklist]],"abrir"))</f>
        <v/>
      </c>
      <c r="AP119" s="6" t="inlineStr"/>
      <c r="AQ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3">
        <f>IF(tblOrdenes[[#This Row],[tipo_ot]]="","",_xlfn.XLOOKUP(tblOrdenes[[#This Row],[tipo_ot]],tblTiposOT[codigo],tblTiposOT[clasificacion],"sin_clasificar"))</f>
        <v/>
      </c>
      <c r="U120" s="3">
        <f>IF(tblOrdenes[[#This Row],[centro_costo]]="","",_xlfn.XLOOKUP(tblOrdenes[[#This Row],[centro_costo]],tblCECO[codigo],tblCECO[linea],"(sin catálogo)"))</f>
        <v/>
      </c>
      <c r="V120" s="3">
        <f>IF(tblOrdenes[[#This Row],[centro_costo]]="","",_xlfn.XLOOKUP(tblOrdenes[[#This Row],[centro_costo]],tblCECO[codigo],tblCECO[area],"(sin catálogo)"))</f>
        <v/>
      </c>
      <c r="W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3">
        <f>IF(tblOrdenes[[#This Row],[centro_costo]]="","",_xlfn.XLOOKUP(tblOrdenes[[#This Row],[centro_costo]],tblCECO[codigo],tblCECO[coordinador],"(sin catálogo)"))</f>
        <v/>
      </c>
      <c r="Y120" s="3">
        <f>IF(tblOrdenes[[#This Row],[puesto_trabajo]]="","",_xlfn.XLOOKUP(tblOrdenes[[#This Row],[puesto_trabajo]],tblPuestos[codigo],tblPuestos[especialidad],"(sin catálogo)"))</f>
        <v/>
      </c>
      <c r="Z120" s="3">
        <f>IF(tblOrdenes[[#This Row],[cod_actividad]]="","",_xlfn.XLOOKUP(tblOrdenes[[#This Row],[cod_actividad]],tblActividades[codigo],tblActividades[descripcion],"(sin catálogo)"))</f>
        <v/>
      </c>
      <c r="AA120" s="12">
        <f>IF(tblOrdenes[[#This Row],[fecha_inicio]]="","",TODAY()-tblOrdenes[[#This Row],[fecha_inicio]])</f>
        <v/>
      </c>
      <c r="AB1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3">
        <f>IF(tblOrdenes[[#This Row],[backlog_habiles]]="","",IF(tblOrdenes[[#This Row],[backlog_habiles]]&lt;0,"FUTURO",IF(tblOrdenes[[#This Row],[backlog_habiles]]&gt;p_dias_backlog_max,"BACKLOG","MES CORRIENTE")))</f>
        <v/>
      </c>
      <c r="AD120" s="3">
        <f>IF(tblOrdenes[[#This Row],[backlog_habiles]]="",FALSE,AND(tblOrdenes[[#This Row],[backlog_habiles]]&gt;p_dias_backlog_min,tblOrdenes[[#This Row],[backlog_habiles]]&lt;=p_dias_backlog_max))</f>
        <v/>
      </c>
      <c r="AE120" s="6" t="inlineStr">
        <is>
          <t>Técnico 12</t>
        </is>
      </c>
      <c r="AF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0">
        <f>IF(tblOrdenes[[#This Row],[orden]]="","",_xlfn.XLOOKUP(tblOrdenes[[#This Row],[id_operacion]],tblEjecucion[id_operacion],tblEjecucion[precio],0))</f>
        <v/>
      </c>
      <c r="AJ120" s="10">
        <f>IF(tblOrdenes[[#This Row],[orden]]="","",MAX(0,_xlfn.XLOOKUP(tblOrdenes[[#This Row],[id_operacion]],tblEjecucion[id_operacion],tblEjecucion[costo_plan_total],0)-tblOrdenes[[#This Row],[costo_servicio]]))</f>
        <v/>
      </c>
      <c r="AK120" s="10">
        <f>IF(tblOrdenes[[#This Row],[orden]]="","",tblOrdenes[[#This Row],[costo_servicio]]+tblOrdenes[[#This Row],[costo_materiales]])</f>
        <v/>
      </c>
      <c r="AL120" s="6" t="inlineStr"/>
      <c r="AM120" s="6" t="inlineStr"/>
      <c r="AN120" s="6" t="inlineStr"/>
      <c r="AO120" s="3">
        <f>IF(tblOrdenes[[#This Row],[link_checklist]]="","",HYPERLINK(p_ruta_base_checklists&amp;tblOrdenes[[#This Row],[link_checklist]],"abrir"))</f>
        <v/>
      </c>
      <c r="AP120" s="6" t="inlineStr"/>
      <c r="AQ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3">
        <f>IF(tblOrdenes[[#This Row],[tipo_ot]]="","",_xlfn.XLOOKUP(tblOrdenes[[#This Row],[tipo_ot]],tblTiposOT[codigo],tblTiposOT[clasificacion],"sin_clasificar"))</f>
        <v/>
      </c>
      <c r="U121" s="3">
        <f>IF(tblOrdenes[[#This Row],[centro_costo]]="","",_xlfn.XLOOKUP(tblOrdenes[[#This Row],[centro_costo]],tblCECO[codigo],tblCECO[linea],"(sin catálogo)"))</f>
        <v/>
      </c>
      <c r="V121" s="3">
        <f>IF(tblOrdenes[[#This Row],[centro_costo]]="","",_xlfn.XLOOKUP(tblOrdenes[[#This Row],[centro_costo]],tblCECO[codigo],tblCECO[area],"(sin catálogo)"))</f>
        <v/>
      </c>
      <c r="W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3">
        <f>IF(tblOrdenes[[#This Row],[centro_costo]]="","",_xlfn.XLOOKUP(tblOrdenes[[#This Row],[centro_costo]],tblCECO[codigo],tblCECO[coordinador],"(sin catálogo)"))</f>
        <v/>
      </c>
      <c r="Y121" s="3">
        <f>IF(tblOrdenes[[#This Row],[puesto_trabajo]]="","",_xlfn.XLOOKUP(tblOrdenes[[#This Row],[puesto_trabajo]],tblPuestos[codigo],tblPuestos[especialidad],"(sin catálogo)"))</f>
        <v/>
      </c>
      <c r="Z121" s="3">
        <f>IF(tblOrdenes[[#This Row],[cod_actividad]]="","",_xlfn.XLOOKUP(tblOrdenes[[#This Row],[cod_actividad]],tblActividades[codigo],tblActividades[descripcion],"(sin catálogo)"))</f>
        <v/>
      </c>
      <c r="AA121" s="12">
        <f>IF(tblOrdenes[[#This Row],[fecha_inicio]]="","",TODAY()-tblOrdenes[[#This Row],[fecha_inicio]])</f>
        <v/>
      </c>
      <c r="AB1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3">
        <f>IF(tblOrdenes[[#This Row],[backlog_habiles]]="","",IF(tblOrdenes[[#This Row],[backlog_habiles]]&lt;0,"FUTURO",IF(tblOrdenes[[#This Row],[backlog_habiles]]&gt;p_dias_backlog_max,"BACKLOG","MES CORRIENTE")))</f>
        <v/>
      </c>
      <c r="AD121" s="3">
        <f>IF(tblOrdenes[[#This Row],[backlog_habiles]]="",FALSE,AND(tblOrdenes[[#This Row],[backlog_habiles]]&gt;p_dias_backlog_min,tblOrdenes[[#This Row],[backlog_habiles]]&lt;=p_dias_backlog_max))</f>
        <v/>
      </c>
      <c r="AE121" s="6" t="inlineStr">
        <is>
          <t>Técnico 10</t>
        </is>
      </c>
      <c r="AF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0">
        <f>IF(tblOrdenes[[#This Row],[orden]]="","",_xlfn.XLOOKUP(tblOrdenes[[#This Row],[id_operacion]],tblEjecucion[id_operacion],tblEjecucion[precio],0))</f>
        <v/>
      </c>
      <c r="AJ121" s="10">
        <f>IF(tblOrdenes[[#This Row],[orden]]="","",MAX(0,_xlfn.XLOOKUP(tblOrdenes[[#This Row],[id_operacion]],tblEjecucion[id_operacion],tblEjecucion[costo_plan_total],0)-tblOrdenes[[#This Row],[costo_servicio]]))</f>
        <v/>
      </c>
      <c r="AK121" s="10">
        <f>IF(tblOrdenes[[#This Row],[orden]]="","",tblOrdenes[[#This Row],[costo_servicio]]+tblOrdenes[[#This Row],[costo_materiales]])</f>
        <v/>
      </c>
      <c r="AL121" s="6" t="inlineStr"/>
      <c r="AM121" s="6" t="inlineStr"/>
      <c r="AN121" s="6" t="inlineStr">
        <is>
          <t>ACT-02.pdf</t>
        </is>
      </c>
      <c r="AO121" s="3">
        <f>IF(tblOrdenes[[#This Row],[link_checklist]]="","",HYPERLINK(p_ruta_base_checklists&amp;tblOrdenes[[#This Row],[link_checklist]],"abrir"))</f>
        <v/>
      </c>
      <c r="AP121" s="6" t="inlineStr"/>
      <c r="AQ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3">
        <f>IF(tblOrdenes[[#This Row],[tipo_ot]]="","",_xlfn.XLOOKUP(tblOrdenes[[#This Row],[tipo_ot]],tblTiposOT[codigo],tblTiposOT[clasificacion],"sin_clasificar"))</f>
        <v/>
      </c>
      <c r="U122" s="3">
        <f>IF(tblOrdenes[[#This Row],[centro_costo]]="","",_xlfn.XLOOKUP(tblOrdenes[[#This Row],[centro_costo]],tblCECO[codigo],tblCECO[linea],"(sin catálogo)"))</f>
        <v/>
      </c>
      <c r="V122" s="3">
        <f>IF(tblOrdenes[[#This Row],[centro_costo]]="","",_xlfn.XLOOKUP(tblOrdenes[[#This Row],[centro_costo]],tblCECO[codigo],tblCECO[area],"(sin catálogo)"))</f>
        <v/>
      </c>
      <c r="W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3">
        <f>IF(tblOrdenes[[#This Row],[centro_costo]]="","",_xlfn.XLOOKUP(tblOrdenes[[#This Row],[centro_costo]],tblCECO[codigo],tblCECO[coordinador],"(sin catálogo)"))</f>
        <v/>
      </c>
      <c r="Y122" s="3">
        <f>IF(tblOrdenes[[#This Row],[puesto_trabajo]]="","",_xlfn.XLOOKUP(tblOrdenes[[#This Row],[puesto_trabajo]],tblPuestos[codigo],tblPuestos[especialidad],"(sin catálogo)"))</f>
        <v/>
      </c>
      <c r="Z122" s="3">
        <f>IF(tblOrdenes[[#This Row],[cod_actividad]]="","",_xlfn.XLOOKUP(tblOrdenes[[#This Row],[cod_actividad]],tblActividades[codigo],tblActividades[descripcion],"(sin catálogo)"))</f>
        <v/>
      </c>
      <c r="AA122" s="12">
        <f>IF(tblOrdenes[[#This Row],[fecha_inicio]]="","",TODAY()-tblOrdenes[[#This Row],[fecha_inicio]])</f>
        <v/>
      </c>
      <c r="AB1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3">
        <f>IF(tblOrdenes[[#This Row],[backlog_habiles]]="","",IF(tblOrdenes[[#This Row],[backlog_habiles]]&lt;0,"FUTURO",IF(tblOrdenes[[#This Row],[backlog_habiles]]&gt;p_dias_backlog_max,"BACKLOG","MES CORRIENTE")))</f>
        <v/>
      </c>
      <c r="AD122" s="3">
        <f>IF(tblOrdenes[[#This Row],[backlog_habiles]]="",FALSE,AND(tblOrdenes[[#This Row],[backlog_habiles]]&gt;p_dias_backlog_min,tblOrdenes[[#This Row],[backlog_habiles]]&lt;=p_dias_backlog_max))</f>
        <v/>
      </c>
      <c r="AE122" s="6" t="inlineStr">
        <is>
          <t>Técnico 11</t>
        </is>
      </c>
      <c r="AF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0">
        <f>IF(tblOrdenes[[#This Row],[orden]]="","",_xlfn.XLOOKUP(tblOrdenes[[#This Row],[id_operacion]],tblEjecucion[id_operacion],tblEjecucion[precio],0))</f>
        <v/>
      </c>
      <c r="AJ122" s="10">
        <f>IF(tblOrdenes[[#This Row],[orden]]="","",MAX(0,_xlfn.XLOOKUP(tblOrdenes[[#This Row],[id_operacion]],tblEjecucion[id_operacion],tblEjecucion[costo_plan_total],0)-tblOrdenes[[#This Row],[costo_servicio]]))</f>
        <v/>
      </c>
      <c r="AK122" s="10">
        <f>IF(tblOrdenes[[#This Row],[orden]]="","",tblOrdenes[[#This Row],[costo_servicio]]+tblOrdenes[[#This Row],[costo_materiales]])</f>
        <v/>
      </c>
      <c r="AL122" s="6" t="inlineStr"/>
      <c r="AM122" s="6" t="inlineStr"/>
      <c r="AN122" s="6" t="inlineStr">
        <is>
          <t>ACT-04.pdf</t>
        </is>
      </c>
      <c r="AO122" s="3">
        <f>IF(tblOrdenes[[#This Row],[link_checklist]]="","",HYPERLINK(p_ruta_base_checklists&amp;tblOrdenes[[#This Row],[link_checklist]],"abrir"))</f>
        <v/>
      </c>
      <c r="AP122" s="6" t="inlineStr"/>
      <c r="AQ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3">
        <f>IF(tblOrdenes[[#This Row],[tipo_ot]]="","",_xlfn.XLOOKUP(tblOrdenes[[#This Row],[tipo_ot]],tblTiposOT[codigo],tblTiposOT[clasificacion],"sin_clasificar"))</f>
        <v/>
      </c>
      <c r="U123" s="3">
        <f>IF(tblOrdenes[[#This Row],[centro_costo]]="","",_xlfn.XLOOKUP(tblOrdenes[[#This Row],[centro_costo]],tblCECO[codigo],tblCECO[linea],"(sin catálogo)"))</f>
        <v/>
      </c>
      <c r="V123" s="3">
        <f>IF(tblOrdenes[[#This Row],[centro_costo]]="","",_xlfn.XLOOKUP(tblOrdenes[[#This Row],[centro_costo]],tblCECO[codigo],tblCECO[area],"(sin catálogo)"))</f>
        <v/>
      </c>
      <c r="W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3">
        <f>IF(tblOrdenes[[#This Row],[centro_costo]]="","",_xlfn.XLOOKUP(tblOrdenes[[#This Row],[centro_costo]],tblCECO[codigo],tblCECO[coordinador],"(sin catálogo)"))</f>
        <v/>
      </c>
      <c r="Y123" s="3">
        <f>IF(tblOrdenes[[#This Row],[puesto_trabajo]]="","",_xlfn.XLOOKUP(tblOrdenes[[#This Row],[puesto_trabajo]],tblPuestos[codigo],tblPuestos[especialidad],"(sin catálogo)"))</f>
        <v/>
      </c>
      <c r="Z123" s="3">
        <f>IF(tblOrdenes[[#This Row],[cod_actividad]]="","",_xlfn.XLOOKUP(tblOrdenes[[#This Row],[cod_actividad]],tblActividades[codigo],tblActividades[descripcion],"(sin catálogo)"))</f>
        <v/>
      </c>
      <c r="AA123" s="12">
        <f>IF(tblOrdenes[[#This Row],[fecha_inicio]]="","",TODAY()-tblOrdenes[[#This Row],[fecha_inicio]])</f>
        <v/>
      </c>
      <c r="AB1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3">
        <f>IF(tblOrdenes[[#This Row],[backlog_habiles]]="","",IF(tblOrdenes[[#This Row],[backlog_habiles]]&lt;0,"FUTURO",IF(tblOrdenes[[#This Row],[backlog_habiles]]&gt;p_dias_backlog_max,"BACKLOG","MES CORRIENTE")))</f>
        <v/>
      </c>
      <c r="AD123" s="3">
        <f>IF(tblOrdenes[[#This Row],[backlog_habiles]]="",FALSE,AND(tblOrdenes[[#This Row],[backlog_habiles]]&gt;p_dias_backlog_min,tblOrdenes[[#This Row],[backlog_habiles]]&lt;=p_dias_backlog_max))</f>
        <v/>
      </c>
      <c r="AE123" s="6" t="inlineStr"/>
      <c r="AF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0">
        <f>IF(tblOrdenes[[#This Row],[orden]]="","",_xlfn.XLOOKUP(tblOrdenes[[#This Row],[id_operacion]],tblEjecucion[id_operacion],tblEjecucion[precio],0))</f>
        <v/>
      </c>
      <c r="AJ123" s="10">
        <f>IF(tblOrdenes[[#This Row],[orden]]="","",MAX(0,_xlfn.XLOOKUP(tblOrdenes[[#This Row],[id_operacion]],tblEjecucion[id_operacion],tblEjecucion[costo_plan_total],0)-tblOrdenes[[#This Row],[costo_servicio]]))</f>
        <v/>
      </c>
      <c r="AK123" s="10">
        <f>IF(tblOrdenes[[#This Row],[orden]]="","",tblOrdenes[[#This Row],[costo_servicio]]+tblOrdenes[[#This Row],[costo_materiales]])</f>
        <v/>
      </c>
      <c r="AL123" s="6" t="inlineStr"/>
      <c r="AM123" s="6" t="inlineStr"/>
      <c r="AN123" s="6" t="inlineStr">
        <is>
          <t>ACT-01.pdf</t>
        </is>
      </c>
      <c r="AO123" s="3">
        <f>IF(tblOrdenes[[#This Row],[link_checklist]]="","",HYPERLINK(p_ruta_base_checklists&amp;tblOrdenes[[#This Row],[link_checklist]],"abrir"))</f>
        <v/>
      </c>
      <c r="AP123" s="6" t="inlineStr"/>
      <c r="AQ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3">
        <f>IF(tblOrdenes[[#This Row],[tipo_ot]]="","",_xlfn.XLOOKUP(tblOrdenes[[#This Row],[tipo_ot]],tblTiposOT[codigo],tblTiposOT[clasificacion],"sin_clasificar"))</f>
        <v/>
      </c>
      <c r="U124" s="3">
        <f>IF(tblOrdenes[[#This Row],[centro_costo]]="","",_xlfn.XLOOKUP(tblOrdenes[[#This Row],[centro_costo]],tblCECO[codigo],tblCECO[linea],"(sin catálogo)"))</f>
        <v/>
      </c>
      <c r="V124" s="3">
        <f>IF(tblOrdenes[[#This Row],[centro_costo]]="","",_xlfn.XLOOKUP(tblOrdenes[[#This Row],[centro_costo]],tblCECO[codigo],tblCECO[area],"(sin catálogo)"))</f>
        <v/>
      </c>
      <c r="W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3">
        <f>IF(tblOrdenes[[#This Row],[centro_costo]]="","",_xlfn.XLOOKUP(tblOrdenes[[#This Row],[centro_costo]],tblCECO[codigo],tblCECO[coordinador],"(sin catálogo)"))</f>
        <v/>
      </c>
      <c r="Y124" s="3">
        <f>IF(tblOrdenes[[#This Row],[puesto_trabajo]]="","",_xlfn.XLOOKUP(tblOrdenes[[#This Row],[puesto_trabajo]],tblPuestos[codigo],tblPuestos[especialidad],"(sin catálogo)"))</f>
        <v/>
      </c>
      <c r="Z124" s="3">
        <f>IF(tblOrdenes[[#This Row],[cod_actividad]]="","",_xlfn.XLOOKUP(tblOrdenes[[#This Row],[cod_actividad]],tblActividades[codigo],tblActividades[descripcion],"(sin catálogo)"))</f>
        <v/>
      </c>
      <c r="AA124" s="12">
        <f>IF(tblOrdenes[[#This Row],[fecha_inicio]]="","",TODAY()-tblOrdenes[[#This Row],[fecha_inicio]])</f>
        <v/>
      </c>
      <c r="AB1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3">
        <f>IF(tblOrdenes[[#This Row],[backlog_habiles]]="","",IF(tblOrdenes[[#This Row],[backlog_habiles]]&lt;0,"FUTURO",IF(tblOrdenes[[#This Row],[backlog_habiles]]&gt;p_dias_backlog_max,"BACKLOG","MES CORRIENTE")))</f>
        <v/>
      </c>
      <c r="AD124" s="3">
        <f>IF(tblOrdenes[[#This Row],[backlog_habiles]]="",FALSE,AND(tblOrdenes[[#This Row],[backlog_habiles]]&gt;p_dias_backlog_min,tblOrdenes[[#This Row],[backlog_habiles]]&lt;=p_dias_backlog_max))</f>
        <v/>
      </c>
      <c r="AE124" s="6" t="inlineStr">
        <is>
          <t>Técnico 10</t>
        </is>
      </c>
      <c r="AF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0">
        <f>IF(tblOrdenes[[#This Row],[orden]]="","",_xlfn.XLOOKUP(tblOrdenes[[#This Row],[id_operacion]],tblEjecucion[id_operacion],tblEjecucion[precio],0))</f>
        <v/>
      </c>
      <c r="AJ124" s="10">
        <f>IF(tblOrdenes[[#This Row],[orden]]="","",MAX(0,_xlfn.XLOOKUP(tblOrdenes[[#This Row],[id_operacion]],tblEjecucion[id_operacion],tblEjecucion[costo_plan_total],0)-tblOrdenes[[#This Row],[costo_servicio]]))</f>
        <v/>
      </c>
      <c r="AK124" s="10">
        <f>IF(tblOrdenes[[#This Row],[orden]]="","",tblOrdenes[[#This Row],[costo_servicio]]+tblOrdenes[[#This Row],[costo_materiales]])</f>
        <v/>
      </c>
      <c r="AL124" s="6" t="inlineStr"/>
      <c r="AM124" s="6" t="inlineStr"/>
      <c r="AN124" s="6" t="inlineStr"/>
      <c r="AO124" s="3">
        <f>IF(tblOrdenes[[#This Row],[link_checklist]]="","",HYPERLINK(p_ruta_base_checklists&amp;tblOrdenes[[#This Row],[link_checklist]],"abrir"))</f>
        <v/>
      </c>
      <c r="AP124" s="6" t="inlineStr"/>
      <c r="AQ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3">
        <f>IF(tblOrdenes[[#This Row],[tipo_ot]]="","",_xlfn.XLOOKUP(tblOrdenes[[#This Row],[tipo_ot]],tblTiposOT[codigo],tblTiposOT[clasificacion],"sin_clasificar"))</f>
        <v/>
      </c>
      <c r="U125" s="3">
        <f>IF(tblOrdenes[[#This Row],[centro_costo]]="","",_xlfn.XLOOKUP(tblOrdenes[[#This Row],[centro_costo]],tblCECO[codigo],tblCECO[linea],"(sin catálogo)"))</f>
        <v/>
      </c>
      <c r="V125" s="3">
        <f>IF(tblOrdenes[[#This Row],[centro_costo]]="","",_xlfn.XLOOKUP(tblOrdenes[[#This Row],[centro_costo]],tblCECO[codigo],tblCECO[area],"(sin catálogo)"))</f>
        <v/>
      </c>
      <c r="W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3">
        <f>IF(tblOrdenes[[#This Row],[centro_costo]]="","",_xlfn.XLOOKUP(tblOrdenes[[#This Row],[centro_costo]],tblCECO[codigo],tblCECO[coordinador],"(sin catálogo)"))</f>
        <v/>
      </c>
      <c r="Y125" s="3">
        <f>IF(tblOrdenes[[#This Row],[puesto_trabajo]]="","",_xlfn.XLOOKUP(tblOrdenes[[#This Row],[puesto_trabajo]],tblPuestos[codigo],tblPuestos[especialidad],"(sin catálogo)"))</f>
        <v/>
      </c>
      <c r="Z125" s="3">
        <f>IF(tblOrdenes[[#This Row],[cod_actividad]]="","",_xlfn.XLOOKUP(tblOrdenes[[#This Row],[cod_actividad]],tblActividades[codigo],tblActividades[descripcion],"(sin catálogo)"))</f>
        <v/>
      </c>
      <c r="AA125" s="12">
        <f>IF(tblOrdenes[[#This Row],[fecha_inicio]]="","",TODAY()-tblOrdenes[[#This Row],[fecha_inicio]])</f>
        <v/>
      </c>
      <c r="AB1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3">
        <f>IF(tblOrdenes[[#This Row],[backlog_habiles]]="","",IF(tblOrdenes[[#This Row],[backlog_habiles]]&lt;0,"FUTURO",IF(tblOrdenes[[#This Row],[backlog_habiles]]&gt;p_dias_backlog_max,"BACKLOG","MES CORRIENTE")))</f>
        <v/>
      </c>
      <c r="AD125" s="3">
        <f>IF(tblOrdenes[[#This Row],[backlog_habiles]]="",FALSE,AND(tblOrdenes[[#This Row],[backlog_habiles]]&gt;p_dias_backlog_min,tblOrdenes[[#This Row],[backlog_habiles]]&lt;=p_dias_backlog_max))</f>
        <v/>
      </c>
      <c r="AE125" s="6" t="inlineStr">
        <is>
          <t>Técnico 11</t>
        </is>
      </c>
      <c r="AF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0">
        <f>IF(tblOrdenes[[#This Row],[orden]]="","",_xlfn.XLOOKUP(tblOrdenes[[#This Row],[id_operacion]],tblEjecucion[id_operacion],tblEjecucion[precio],0))</f>
        <v/>
      </c>
      <c r="AJ125" s="10">
        <f>IF(tblOrdenes[[#This Row],[orden]]="","",MAX(0,_xlfn.XLOOKUP(tblOrdenes[[#This Row],[id_operacion]],tblEjecucion[id_operacion],tblEjecucion[costo_plan_total],0)-tblOrdenes[[#This Row],[costo_servicio]]))</f>
        <v/>
      </c>
      <c r="AK125" s="10">
        <f>IF(tblOrdenes[[#This Row],[orden]]="","",tblOrdenes[[#This Row],[costo_servicio]]+tblOrdenes[[#This Row],[costo_materiales]])</f>
        <v/>
      </c>
      <c r="AL125" s="6" t="inlineStr"/>
      <c r="AM125" s="6" t="inlineStr"/>
      <c r="AN125" s="6" t="inlineStr">
        <is>
          <t>ACT-04.pdf</t>
        </is>
      </c>
      <c r="AO125" s="3">
        <f>IF(tblOrdenes[[#This Row],[link_checklist]]="","",HYPERLINK(p_ruta_base_checklists&amp;tblOrdenes[[#This Row],[link_checklist]],"abrir"))</f>
        <v/>
      </c>
      <c r="AP125" s="6" t="inlineStr"/>
      <c r="AQ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3">
        <f>IF(tblOrdenes[[#This Row],[tipo_ot]]="","",_xlfn.XLOOKUP(tblOrdenes[[#This Row],[tipo_ot]],tblTiposOT[codigo],tblTiposOT[clasificacion],"sin_clasificar"))</f>
        <v/>
      </c>
      <c r="U126" s="3">
        <f>IF(tblOrdenes[[#This Row],[centro_costo]]="","",_xlfn.XLOOKUP(tblOrdenes[[#This Row],[centro_costo]],tblCECO[codigo],tblCECO[linea],"(sin catálogo)"))</f>
        <v/>
      </c>
      <c r="V126" s="3">
        <f>IF(tblOrdenes[[#This Row],[centro_costo]]="","",_xlfn.XLOOKUP(tblOrdenes[[#This Row],[centro_costo]],tblCECO[codigo],tblCECO[area],"(sin catálogo)"))</f>
        <v/>
      </c>
      <c r="W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3">
        <f>IF(tblOrdenes[[#This Row],[centro_costo]]="","",_xlfn.XLOOKUP(tblOrdenes[[#This Row],[centro_costo]],tblCECO[codigo],tblCECO[coordinador],"(sin catálogo)"))</f>
        <v/>
      </c>
      <c r="Y126" s="3">
        <f>IF(tblOrdenes[[#This Row],[puesto_trabajo]]="","",_xlfn.XLOOKUP(tblOrdenes[[#This Row],[puesto_trabajo]],tblPuestos[codigo],tblPuestos[especialidad],"(sin catálogo)"))</f>
        <v/>
      </c>
      <c r="Z126" s="3">
        <f>IF(tblOrdenes[[#This Row],[cod_actividad]]="","",_xlfn.XLOOKUP(tblOrdenes[[#This Row],[cod_actividad]],tblActividades[codigo],tblActividades[descripcion],"(sin catálogo)"))</f>
        <v/>
      </c>
      <c r="AA126" s="12">
        <f>IF(tblOrdenes[[#This Row],[fecha_inicio]]="","",TODAY()-tblOrdenes[[#This Row],[fecha_inicio]])</f>
        <v/>
      </c>
      <c r="AB1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3">
        <f>IF(tblOrdenes[[#This Row],[backlog_habiles]]="","",IF(tblOrdenes[[#This Row],[backlog_habiles]]&lt;0,"FUTURO",IF(tblOrdenes[[#This Row],[backlog_habiles]]&gt;p_dias_backlog_max,"BACKLOG","MES CORRIENTE")))</f>
        <v/>
      </c>
      <c r="AD126" s="3">
        <f>IF(tblOrdenes[[#This Row],[backlog_habiles]]="",FALSE,AND(tblOrdenes[[#This Row],[backlog_habiles]]&gt;p_dias_backlog_min,tblOrdenes[[#This Row],[backlog_habiles]]&lt;=p_dias_backlog_max))</f>
        <v/>
      </c>
      <c r="AE126" s="6" t="inlineStr">
        <is>
          <t>Técnico 12</t>
        </is>
      </c>
      <c r="AF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0">
        <f>IF(tblOrdenes[[#This Row],[orden]]="","",_xlfn.XLOOKUP(tblOrdenes[[#This Row],[id_operacion]],tblEjecucion[id_operacion],tblEjecucion[precio],0))</f>
        <v/>
      </c>
      <c r="AJ126" s="10">
        <f>IF(tblOrdenes[[#This Row],[orden]]="","",MAX(0,_xlfn.XLOOKUP(tblOrdenes[[#This Row],[id_operacion]],tblEjecucion[id_operacion],tblEjecucion[costo_plan_total],0)-tblOrdenes[[#This Row],[costo_servicio]]))</f>
        <v/>
      </c>
      <c r="AK126" s="10">
        <f>IF(tblOrdenes[[#This Row],[orden]]="","",tblOrdenes[[#This Row],[costo_servicio]]+tblOrdenes[[#This Row],[costo_materiales]])</f>
        <v/>
      </c>
      <c r="AL126" s="6" t="inlineStr"/>
      <c r="AM126" s="6" t="inlineStr"/>
      <c r="AN126" s="6" t="inlineStr">
        <is>
          <t>ACT-01.pdf</t>
        </is>
      </c>
      <c r="AO126" s="3">
        <f>IF(tblOrdenes[[#This Row],[link_checklist]]="","",HYPERLINK(p_ruta_base_checklists&amp;tblOrdenes[[#This Row],[link_checklist]],"abrir"))</f>
        <v/>
      </c>
      <c r="AP126" s="6" t="inlineStr"/>
      <c r="AQ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3">
        <f>IF(tblOrdenes[[#This Row],[tipo_ot]]="","",_xlfn.XLOOKUP(tblOrdenes[[#This Row],[tipo_ot]],tblTiposOT[codigo],tblTiposOT[clasificacion],"sin_clasificar"))</f>
        <v/>
      </c>
      <c r="U127" s="3">
        <f>IF(tblOrdenes[[#This Row],[centro_costo]]="","",_xlfn.XLOOKUP(tblOrdenes[[#This Row],[centro_costo]],tblCECO[codigo],tblCECO[linea],"(sin catálogo)"))</f>
        <v/>
      </c>
      <c r="V127" s="3">
        <f>IF(tblOrdenes[[#This Row],[centro_costo]]="","",_xlfn.XLOOKUP(tblOrdenes[[#This Row],[centro_costo]],tblCECO[codigo],tblCECO[area],"(sin catálogo)"))</f>
        <v/>
      </c>
      <c r="W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3">
        <f>IF(tblOrdenes[[#This Row],[centro_costo]]="","",_xlfn.XLOOKUP(tblOrdenes[[#This Row],[centro_costo]],tblCECO[codigo],tblCECO[coordinador],"(sin catálogo)"))</f>
        <v/>
      </c>
      <c r="Y127" s="3">
        <f>IF(tblOrdenes[[#This Row],[puesto_trabajo]]="","",_xlfn.XLOOKUP(tblOrdenes[[#This Row],[puesto_trabajo]],tblPuestos[codigo],tblPuestos[especialidad],"(sin catálogo)"))</f>
        <v/>
      </c>
      <c r="Z127" s="3">
        <f>IF(tblOrdenes[[#This Row],[cod_actividad]]="","",_xlfn.XLOOKUP(tblOrdenes[[#This Row],[cod_actividad]],tblActividades[codigo],tblActividades[descripcion],"(sin catálogo)"))</f>
        <v/>
      </c>
      <c r="AA127" s="12">
        <f>IF(tblOrdenes[[#This Row],[fecha_inicio]]="","",TODAY()-tblOrdenes[[#This Row],[fecha_inicio]])</f>
        <v/>
      </c>
      <c r="AB1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3">
        <f>IF(tblOrdenes[[#This Row],[backlog_habiles]]="","",IF(tblOrdenes[[#This Row],[backlog_habiles]]&lt;0,"FUTURO",IF(tblOrdenes[[#This Row],[backlog_habiles]]&gt;p_dias_backlog_max,"BACKLOG","MES CORRIENTE")))</f>
        <v/>
      </c>
      <c r="AD127" s="3">
        <f>IF(tblOrdenes[[#This Row],[backlog_habiles]]="",FALSE,AND(tblOrdenes[[#This Row],[backlog_habiles]]&gt;p_dias_backlog_min,tblOrdenes[[#This Row],[backlog_habiles]]&lt;=p_dias_backlog_max))</f>
        <v/>
      </c>
      <c r="AE127" s="6" t="inlineStr">
        <is>
          <t>Técnico 10</t>
        </is>
      </c>
      <c r="AF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0">
        <f>IF(tblOrdenes[[#This Row],[orden]]="","",_xlfn.XLOOKUP(tblOrdenes[[#This Row],[id_operacion]],tblEjecucion[id_operacion],tblEjecucion[precio],0))</f>
        <v/>
      </c>
      <c r="AJ127" s="10">
        <f>IF(tblOrdenes[[#This Row],[orden]]="","",MAX(0,_xlfn.XLOOKUP(tblOrdenes[[#This Row],[id_operacion]],tblEjecucion[id_operacion],tblEjecucion[costo_plan_total],0)-tblOrdenes[[#This Row],[costo_servicio]]))</f>
        <v/>
      </c>
      <c r="AK127" s="10">
        <f>IF(tblOrdenes[[#This Row],[orden]]="","",tblOrdenes[[#This Row],[costo_servicio]]+tblOrdenes[[#This Row],[costo_materiales]])</f>
        <v/>
      </c>
      <c r="AL127" s="6" t="inlineStr"/>
      <c r="AM127" s="6" t="inlineStr"/>
      <c r="AN127" s="6" t="inlineStr">
        <is>
          <t>ACT-02.pdf</t>
        </is>
      </c>
      <c r="AO127" s="3">
        <f>IF(tblOrdenes[[#This Row],[link_checklist]]="","",HYPERLINK(p_ruta_base_checklists&amp;tblOrdenes[[#This Row],[link_checklist]],"abrir"))</f>
        <v/>
      </c>
      <c r="AP127" s="6" t="inlineStr"/>
      <c r="AQ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3">
        <f>IF(tblOrdenes[[#This Row],[tipo_ot]]="","",_xlfn.XLOOKUP(tblOrdenes[[#This Row],[tipo_ot]],tblTiposOT[codigo],tblTiposOT[clasificacion],"sin_clasificar"))</f>
        <v/>
      </c>
      <c r="U128" s="3">
        <f>IF(tblOrdenes[[#This Row],[centro_costo]]="","",_xlfn.XLOOKUP(tblOrdenes[[#This Row],[centro_costo]],tblCECO[codigo],tblCECO[linea],"(sin catálogo)"))</f>
        <v/>
      </c>
      <c r="V128" s="3">
        <f>IF(tblOrdenes[[#This Row],[centro_costo]]="","",_xlfn.XLOOKUP(tblOrdenes[[#This Row],[centro_costo]],tblCECO[codigo],tblCECO[area],"(sin catálogo)"))</f>
        <v/>
      </c>
      <c r="W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3">
        <f>IF(tblOrdenes[[#This Row],[centro_costo]]="","",_xlfn.XLOOKUP(tblOrdenes[[#This Row],[centro_costo]],tblCECO[codigo],tblCECO[coordinador],"(sin catálogo)"))</f>
        <v/>
      </c>
      <c r="Y128" s="3">
        <f>IF(tblOrdenes[[#This Row],[puesto_trabajo]]="","",_xlfn.XLOOKUP(tblOrdenes[[#This Row],[puesto_trabajo]],tblPuestos[codigo],tblPuestos[especialidad],"(sin catálogo)"))</f>
        <v/>
      </c>
      <c r="Z128" s="3">
        <f>IF(tblOrdenes[[#This Row],[cod_actividad]]="","",_xlfn.XLOOKUP(tblOrdenes[[#This Row],[cod_actividad]],tblActividades[codigo],tblActividades[descripcion],"(sin catálogo)"))</f>
        <v/>
      </c>
      <c r="AA128" s="12">
        <f>IF(tblOrdenes[[#This Row],[fecha_inicio]]="","",TODAY()-tblOrdenes[[#This Row],[fecha_inicio]])</f>
        <v/>
      </c>
      <c r="AB1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3">
        <f>IF(tblOrdenes[[#This Row],[backlog_habiles]]="","",IF(tblOrdenes[[#This Row],[backlog_habiles]]&lt;0,"FUTURO",IF(tblOrdenes[[#This Row],[backlog_habiles]]&gt;p_dias_backlog_max,"BACKLOG","MES CORRIENTE")))</f>
        <v/>
      </c>
      <c r="AD128" s="3">
        <f>IF(tblOrdenes[[#This Row],[backlog_habiles]]="",FALSE,AND(tblOrdenes[[#This Row],[backlog_habiles]]&gt;p_dias_backlog_min,tblOrdenes[[#This Row],[backlog_habiles]]&lt;=p_dias_backlog_max))</f>
        <v/>
      </c>
      <c r="AE128" s="6" t="inlineStr">
        <is>
          <t>Técnico 11</t>
        </is>
      </c>
      <c r="AF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0">
        <f>IF(tblOrdenes[[#This Row],[orden]]="","",_xlfn.XLOOKUP(tblOrdenes[[#This Row],[id_operacion]],tblEjecucion[id_operacion],tblEjecucion[precio],0))</f>
        <v/>
      </c>
      <c r="AJ128" s="10">
        <f>IF(tblOrdenes[[#This Row],[orden]]="","",MAX(0,_xlfn.XLOOKUP(tblOrdenes[[#This Row],[id_operacion]],tblEjecucion[id_operacion],tblEjecucion[costo_plan_total],0)-tblOrdenes[[#This Row],[costo_servicio]]))</f>
        <v/>
      </c>
      <c r="AK128" s="10">
        <f>IF(tblOrdenes[[#This Row],[orden]]="","",tblOrdenes[[#This Row],[costo_servicio]]+tblOrdenes[[#This Row],[costo_materiales]])</f>
        <v/>
      </c>
      <c r="AL128" s="6" t="inlineStr"/>
      <c r="AM128" s="6" t="inlineStr"/>
      <c r="AN128" s="6" t="inlineStr"/>
      <c r="AO128" s="3">
        <f>IF(tblOrdenes[[#This Row],[link_checklist]]="","",HYPERLINK(p_ruta_base_checklists&amp;tblOrdenes[[#This Row],[link_checklist]],"abrir"))</f>
        <v/>
      </c>
      <c r="AP128" s="6" t="inlineStr"/>
      <c r="AQ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3">
        <f>IF(tblOrdenes[[#This Row],[tipo_ot]]="","",_xlfn.XLOOKUP(tblOrdenes[[#This Row],[tipo_ot]],tblTiposOT[codigo],tblTiposOT[clasificacion],"sin_clasificar"))</f>
        <v/>
      </c>
      <c r="U129" s="3">
        <f>IF(tblOrdenes[[#This Row],[centro_costo]]="","",_xlfn.XLOOKUP(tblOrdenes[[#This Row],[centro_costo]],tblCECO[codigo],tblCECO[linea],"(sin catálogo)"))</f>
        <v/>
      </c>
      <c r="V129" s="3">
        <f>IF(tblOrdenes[[#This Row],[centro_costo]]="","",_xlfn.XLOOKUP(tblOrdenes[[#This Row],[centro_costo]],tblCECO[codigo],tblCECO[area],"(sin catálogo)"))</f>
        <v/>
      </c>
      <c r="W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3">
        <f>IF(tblOrdenes[[#This Row],[centro_costo]]="","",_xlfn.XLOOKUP(tblOrdenes[[#This Row],[centro_costo]],tblCECO[codigo],tblCECO[coordinador],"(sin catálogo)"))</f>
        <v/>
      </c>
      <c r="Y129" s="3">
        <f>IF(tblOrdenes[[#This Row],[puesto_trabajo]]="","",_xlfn.XLOOKUP(tblOrdenes[[#This Row],[puesto_trabajo]],tblPuestos[codigo],tblPuestos[especialidad],"(sin catálogo)"))</f>
        <v/>
      </c>
      <c r="Z129" s="3">
        <f>IF(tblOrdenes[[#This Row],[cod_actividad]]="","",_xlfn.XLOOKUP(tblOrdenes[[#This Row],[cod_actividad]],tblActividades[codigo],tblActividades[descripcion],"(sin catálogo)"))</f>
        <v/>
      </c>
      <c r="AA129" s="12">
        <f>IF(tblOrdenes[[#This Row],[fecha_inicio]]="","",TODAY()-tblOrdenes[[#This Row],[fecha_inicio]])</f>
        <v/>
      </c>
      <c r="AB1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3">
        <f>IF(tblOrdenes[[#This Row],[backlog_habiles]]="","",IF(tblOrdenes[[#This Row],[backlog_habiles]]&lt;0,"FUTURO",IF(tblOrdenes[[#This Row],[backlog_habiles]]&gt;p_dias_backlog_max,"BACKLOG","MES CORRIENTE")))</f>
        <v/>
      </c>
      <c r="AD129" s="3">
        <f>IF(tblOrdenes[[#This Row],[backlog_habiles]]="",FALSE,AND(tblOrdenes[[#This Row],[backlog_habiles]]&gt;p_dias_backlog_min,tblOrdenes[[#This Row],[backlog_habiles]]&lt;=p_dias_backlog_max))</f>
        <v/>
      </c>
      <c r="AE129" s="6" t="inlineStr"/>
      <c r="AF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0">
        <f>IF(tblOrdenes[[#This Row],[orden]]="","",_xlfn.XLOOKUP(tblOrdenes[[#This Row],[id_operacion]],tblEjecucion[id_operacion],tblEjecucion[precio],0))</f>
        <v/>
      </c>
      <c r="AJ129" s="10">
        <f>IF(tblOrdenes[[#This Row],[orden]]="","",MAX(0,_xlfn.XLOOKUP(tblOrdenes[[#This Row],[id_operacion]],tblEjecucion[id_operacion],tblEjecucion[costo_plan_total],0)-tblOrdenes[[#This Row],[costo_servicio]]))</f>
        <v/>
      </c>
      <c r="AK129" s="10">
        <f>IF(tblOrdenes[[#This Row],[orden]]="","",tblOrdenes[[#This Row],[costo_servicio]]+tblOrdenes[[#This Row],[costo_materiales]])</f>
        <v/>
      </c>
      <c r="AL129" s="6" t="inlineStr"/>
      <c r="AM129" s="6" t="inlineStr"/>
      <c r="AN129" s="6" t="inlineStr"/>
      <c r="AO129" s="3">
        <f>IF(tblOrdenes[[#This Row],[link_checklist]]="","",HYPERLINK(p_ruta_base_checklists&amp;tblOrdenes[[#This Row],[link_checklist]],"abrir"))</f>
        <v/>
      </c>
      <c r="AP129" s="6" t="inlineStr"/>
      <c r="AQ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3">
        <f>IF(tblOrdenes[[#This Row],[tipo_ot]]="","",_xlfn.XLOOKUP(tblOrdenes[[#This Row],[tipo_ot]],tblTiposOT[codigo],tblTiposOT[clasificacion],"sin_clasificar"))</f>
        <v/>
      </c>
      <c r="U130" s="3">
        <f>IF(tblOrdenes[[#This Row],[centro_costo]]="","",_xlfn.XLOOKUP(tblOrdenes[[#This Row],[centro_costo]],tblCECO[codigo],tblCECO[linea],"(sin catálogo)"))</f>
        <v/>
      </c>
      <c r="V130" s="3">
        <f>IF(tblOrdenes[[#This Row],[centro_costo]]="","",_xlfn.XLOOKUP(tblOrdenes[[#This Row],[centro_costo]],tblCECO[codigo],tblCECO[area],"(sin catálogo)"))</f>
        <v/>
      </c>
      <c r="W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3">
        <f>IF(tblOrdenes[[#This Row],[centro_costo]]="","",_xlfn.XLOOKUP(tblOrdenes[[#This Row],[centro_costo]],tblCECO[codigo],tblCECO[coordinador],"(sin catálogo)"))</f>
        <v/>
      </c>
      <c r="Y130" s="3">
        <f>IF(tblOrdenes[[#This Row],[puesto_trabajo]]="","",_xlfn.XLOOKUP(tblOrdenes[[#This Row],[puesto_trabajo]],tblPuestos[codigo],tblPuestos[especialidad],"(sin catálogo)"))</f>
        <v/>
      </c>
      <c r="Z130" s="3">
        <f>IF(tblOrdenes[[#This Row],[cod_actividad]]="","",_xlfn.XLOOKUP(tblOrdenes[[#This Row],[cod_actividad]],tblActividades[codigo],tblActividades[descripcion],"(sin catálogo)"))</f>
        <v/>
      </c>
      <c r="AA130" s="12">
        <f>IF(tblOrdenes[[#This Row],[fecha_inicio]]="","",TODAY()-tblOrdenes[[#This Row],[fecha_inicio]])</f>
        <v/>
      </c>
      <c r="AB1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3">
        <f>IF(tblOrdenes[[#This Row],[backlog_habiles]]="","",IF(tblOrdenes[[#This Row],[backlog_habiles]]&lt;0,"FUTURO",IF(tblOrdenes[[#This Row],[backlog_habiles]]&gt;p_dias_backlog_max,"BACKLOG","MES CORRIENTE")))</f>
        <v/>
      </c>
      <c r="AD130" s="3">
        <f>IF(tblOrdenes[[#This Row],[backlog_habiles]]="",FALSE,AND(tblOrdenes[[#This Row],[backlog_habiles]]&gt;p_dias_backlog_min,tblOrdenes[[#This Row],[backlog_habiles]]&lt;=p_dias_backlog_max))</f>
        <v/>
      </c>
      <c r="AE130" s="6" t="inlineStr"/>
      <c r="AF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0">
        <f>IF(tblOrdenes[[#This Row],[orden]]="","",_xlfn.XLOOKUP(tblOrdenes[[#This Row],[id_operacion]],tblEjecucion[id_operacion],tblEjecucion[precio],0))</f>
        <v/>
      </c>
      <c r="AJ130" s="10">
        <f>IF(tblOrdenes[[#This Row],[orden]]="","",MAX(0,_xlfn.XLOOKUP(tblOrdenes[[#This Row],[id_operacion]],tblEjecucion[id_operacion],tblEjecucion[costo_plan_total],0)-tblOrdenes[[#This Row],[costo_servicio]]))</f>
        <v/>
      </c>
      <c r="AK130" s="10">
        <f>IF(tblOrdenes[[#This Row],[orden]]="","",tblOrdenes[[#This Row],[costo_servicio]]+tblOrdenes[[#This Row],[costo_materiales]])</f>
        <v/>
      </c>
      <c r="AL130" s="6" t="inlineStr"/>
      <c r="AM130" s="6" t="inlineStr"/>
      <c r="AN130" s="6" t="inlineStr"/>
      <c r="AO130" s="3">
        <f>IF(tblOrdenes[[#This Row],[link_checklist]]="","",HYPERLINK(p_ruta_base_checklists&amp;tblOrdenes[[#This Row],[link_checklist]],"abrir"))</f>
        <v/>
      </c>
      <c r="AP130" s="6" t="inlineStr"/>
      <c r="AQ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3">
        <f>IF(tblOrdenes[[#This Row],[tipo_ot]]="","",_xlfn.XLOOKUP(tblOrdenes[[#This Row],[tipo_ot]],tblTiposOT[codigo],tblTiposOT[clasificacion],"sin_clasificar"))</f>
        <v/>
      </c>
      <c r="U131" s="3">
        <f>IF(tblOrdenes[[#This Row],[centro_costo]]="","",_xlfn.XLOOKUP(tblOrdenes[[#This Row],[centro_costo]],tblCECO[codigo],tblCECO[linea],"(sin catálogo)"))</f>
        <v/>
      </c>
      <c r="V131" s="3">
        <f>IF(tblOrdenes[[#This Row],[centro_costo]]="","",_xlfn.XLOOKUP(tblOrdenes[[#This Row],[centro_costo]],tblCECO[codigo],tblCECO[area],"(sin catálogo)"))</f>
        <v/>
      </c>
      <c r="W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3">
        <f>IF(tblOrdenes[[#This Row],[centro_costo]]="","",_xlfn.XLOOKUP(tblOrdenes[[#This Row],[centro_costo]],tblCECO[codigo],tblCECO[coordinador],"(sin catálogo)"))</f>
        <v/>
      </c>
      <c r="Y131" s="3">
        <f>IF(tblOrdenes[[#This Row],[puesto_trabajo]]="","",_xlfn.XLOOKUP(tblOrdenes[[#This Row],[puesto_trabajo]],tblPuestos[codigo],tblPuestos[especialidad],"(sin catálogo)"))</f>
        <v/>
      </c>
      <c r="Z131" s="3">
        <f>IF(tblOrdenes[[#This Row],[cod_actividad]]="","",_xlfn.XLOOKUP(tblOrdenes[[#This Row],[cod_actividad]],tblActividades[codigo],tblActividades[descripcion],"(sin catálogo)"))</f>
        <v/>
      </c>
      <c r="AA131" s="12">
        <f>IF(tblOrdenes[[#This Row],[fecha_inicio]]="","",TODAY()-tblOrdenes[[#This Row],[fecha_inicio]])</f>
        <v/>
      </c>
      <c r="AB1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3">
        <f>IF(tblOrdenes[[#This Row],[backlog_habiles]]="","",IF(tblOrdenes[[#This Row],[backlog_habiles]]&lt;0,"FUTURO",IF(tblOrdenes[[#This Row],[backlog_habiles]]&gt;p_dias_backlog_max,"BACKLOG","MES CORRIENTE")))</f>
        <v/>
      </c>
      <c r="AD131" s="3">
        <f>IF(tblOrdenes[[#This Row],[backlog_habiles]]="",FALSE,AND(tblOrdenes[[#This Row],[backlog_habiles]]&gt;p_dias_backlog_min,tblOrdenes[[#This Row],[backlog_habiles]]&lt;=p_dias_backlog_max))</f>
        <v/>
      </c>
      <c r="AE131" s="6" t="inlineStr"/>
      <c r="AF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0">
        <f>IF(tblOrdenes[[#This Row],[orden]]="","",_xlfn.XLOOKUP(tblOrdenes[[#This Row],[id_operacion]],tblEjecucion[id_operacion],tblEjecucion[precio],0))</f>
        <v/>
      </c>
      <c r="AJ131" s="10">
        <f>IF(tblOrdenes[[#This Row],[orden]]="","",MAX(0,_xlfn.XLOOKUP(tblOrdenes[[#This Row],[id_operacion]],tblEjecucion[id_operacion],tblEjecucion[costo_plan_total],0)-tblOrdenes[[#This Row],[costo_servicio]]))</f>
        <v/>
      </c>
      <c r="AK131" s="10">
        <f>IF(tblOrdenes[[#This Row],[orden]]="","",tblOrdenes[[#This Row],[costo_servicio]]+tblOrdenes[[#This Row],[costo_materiales]])</f>
        <v/>
      </c>
      <c r="AL131" s="6" t="inlineStr"/>
      <c r="AM131" s="6" t="inlineStr"/>
      <c r="AN131" s="6" t="inlineStr"/>
      <c r="AO131" s="3">
        <f>IF(tblOrdenes[[#This Row],[link_checklist]]="","",HYPERLINK(p_ruta_base_checklists&amp;tblOrdenes[[#This Row],[link_checklist]],"abrir"))</f>
        <v/>
      </c>
      <c r="AP131" s="6" t="inlineStr"/>
      <c r="AQ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3">
        <f>IF(tblOrdenes[[#This Row],[tipo_ot]]="","",_xlfn.XLOOKUP(tblOrdenes[[#This Row],[tipo_ot]],tblTiposOT[codigo],tblTiposOT[clasificacion],"sin_clasificar"))</f>
        <v/>
      </c>
      <c r="U132" s="3">
        <f>IF(tblOrdenes[[#This Row],[centro_costo]]="","",_xlfn.XLOOKUP(tblOrdenes[[#This Row],[centro_costo]],tblCECO[codigo],tblCECO[linea],"(sin catálogo)"))</f>
        <v/>
      </c>
      <c r="V132" s="3">
        <f>IF(tblOrdenes[[#This Row],[centro_costo]]="","",_xlfn.XLOOKUP(tblOrdenes[[#This Row],[centro_costo]],tblCECO[codigo],tblCECO[area],"(sin catálogo)"))</f>
        <v/>
      </c>
      <c r="W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3">
        <f>IF(tblOrdenes[[#This Row],[centro_costo]]="","",_xlfn.XLOOKUP(tblOrdenes[[#This Row],[centro_costo]],tblCECO[codigo],tblCECO[coordinador],"(sin catálogo)"))</f>
        <v/>
      </c>
      <c r="Y132" s="3">
        <f>IF(tblOrdenes[[#This Row],[puesto_trabajo]]="","",_xlfn.XLOOKUP(tblOrdenes[[#This Row],[puesto_trabajo]],tblPuestos[codigo],tblPuestos[especialidad],"(sin catálogo)"))</f>
        <v/>
      </c>
      <c r="Z132" s="3">
        <f>IF(tblOrdenes[[#This Row],[cod_actividad]]="","",_xlfn.XLOOKUP(tblOrdenes[[#This Row],[cod_actividad]],tblActividades[codigo],tblActividades[descripcion],"(sin catálogo)"))</f>
        <v/>
      </c>
      <c r="AA132" s="12">
        <f>IF(tblOrdenes[[#This Row],[fecha_inicio]]="","",TODAY()-tblOrdenes[[#This Row],[fecha_inicio]])</f>
        <v/>
      </c>
      <c r="AB1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3">
        <f>IF(tblOrdenes[[#This Row],[backlog_habiles]]="","",IF(tblOrdenes[[#This Row],[backlog_habiles]]&lt;0,"FUTURO",IF(tblOrdenes[[#This Row],[backlog_habiles]]&gt;p_dias_backlog_max,"BACKLOG","MES CORRIENTE")))</f>
        <v/>
      </c>
      <c r="AD132" s="3">
        <f>IF(tblOrdenes[[#This Row],[backlog_habiles]]="",FALSE,AND(tblOrdenes[[#This Row],[backlog_habiles]]&gt;p_dias_backlog_min,tblOrdenes[[#This Row],[backlog_habiles]]&lt;=p_dias_backlog_max))</f>
        <v/>
      </c>
      <c r="AE132" s="6" t="inlineStr"/>
      <c r="AF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0">
        <f>IF(tblOrdenes[[#This Row],[orden]]="","",_xlfn.XLOOKUP(tblOrdenes[[#This Row],[id_operacion]],tblEjecucion[id_operacion],tblEjecucion[precio],0))</f>
        <v/>
      </c>
      <c r="AJ132" s="10">
        <f>IF(tblOrdenes[[#This Row],[orden]]="","",MAX(0,_xlfn.XLOOKUP(tblOrdenes[[#This Row],[id_operacion]],tblEjecucion[id_operacion],tblEjecucion[costo_plan_total],0)-tblOrdenes[[#This Row],[costo_servicio]]))</f>
        <v/>
      </c>
      <c r="AK132" s="10">
        <f>IF(tblOrdenes[[#This Row],[orden]]="","",tblOrdenes[[#This Row],[costo_servicio]]+tblOrdenes[[#This Row],[costo_materiales]])</f>
        <v/>
      </c>
      <c r="AL132" s="6" t="inlineStr"/>
      <c r="AM132" s="6" t="inlineStr"/>
      <c r="AN132" s="6" t="inlineStr"/>
      <c r="AO132" s="3">
        <f>IF(tblOrdenes[[#This Row],[link_checklist]]="","",HYPERLINK(p_ruta_base_checklists&amp;tblOrdenes[[#This Row],[link_checklist]],"abrir"))</f>
        <v/>
      </c>
      <c r="AP132" s="6" t="inlineStr"/>
      <c r="AQ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EQ-101</t>
        </is>
      </c>
      <c r="D133" s="3" t="inlineStr">
        <is>
          <t>Reparación de falla en EQ-101</t>
        </is>
      </c>
      <c r="E133" s="3" t="inlineStr">
        <is>
          <t>EQ-101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1" t="n">
        <v>46228</v>
      </c>
      <c r="K133" s="3" t="n">
        <v>6</v>
      </c>
      <c r="L133" s="10" t="n">
        <v>240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3">
        <f>IF(tblOrdenes[[#This Row],[tipo_ot]]="","",_xlfn.XLOOKUP(tblOrdenes[[#This Row],[tipo_ot]],tblTiposOT[codigo],tblTiposOT[clasificacion],"sin_clasificar"))</f>
        <v/>
      </c>
      <c r="U133" s="3">
        <f>IF(tblOrdenes[[#This Row],[centro_costo]]="","",_xlfn.XLOOKUP(tblOrdenes[[#This Row],[centro_costo]],tblCECO[codigo],tblCECO[linea],"(sin catálogo)"))</f>
        <v/>
      </c>
      <c r="V133" s="3">
        <f>IF(tblOrdenes[[#This Row],[centro_costo]]="","",_xlfn.XLOOKUP(tblOrdenes[[#This Row],[centro_costo]],tblCECO[codigo],tblCECO[area],"(sin catálogo)"))</f>
        <v/>
      </c>
      <c r="W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3">
        <f>IF(tblOrdenes[[#This Row],[centro_costo]]="","",_xlfn.XLOOKUP(tblOrdenes[[#This Row],[centro_costo]],tblCECO[codigo],tblCECO[coordinador],"(sin catálogo)"))</f>
        <v/>
      </c>
      <c r="Y133" s="3">
        <f>IF(tblOrdenes[[#This Row],[puesto_trabajo]]="","",_xlfn.XLOOKUP(tblOrdenes[[#This Row],[puesto_trabajo]],tblPuestos[codigo],tblPuestos[especialidad],"(sin catálogo)"))</f>
        <v/>
      </c>
      <c r="Z133" s="3">
        <f>IF(tblOrdenes[[#This Row],[cod_actividad]]="","",_xlfn.XLOOKUP(tblOrdenes[[#This Row],[cod_actividad]],tblActividades[codigo],tblActividades[descripcion],"(sin catálogo)"))</f>
        <v/>
      </c>
      <c r="AA133" s="12">
        <f>IF(tblOrdenes[[#This Row],[fecha_inicio]]="","",TODAY()-tblOrdenes[[#This Row],[fecha_inicio]])</f>
        <v/>
      </c>
      <c r="AB1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3">
        <f>IF(tblOrdenes[[#This Row],[backlog_habiles]]="","",IF(tblOrdenes[[#This Row],[backlog_habiles]]&lt;0,"FUTURO",IF(tblOrdenes[[#This Row],[backlog_habiles]]&gt;p_dias_backlog_max,"BACKLOG","MES CORRIENTE")))</f>
        <v/>
      </c>
      <c r="AD133" s="3">
        <f>IF(tblOrdenes[[#This Row],[backlog_habiles]]="",FALSE,AND(tblOrdenes[[#This Row],[backlog_habiles]]&gt;p_dias_backlog_min,tblOrdenes[[#This Row],[backlog_habiles]]&lt;=p_dias_backlog_max))</f>
        <v/>
      </c>
      <c r="AE133" s="6" t="inlineStr">
        <is>
          <t>Técnico 01</t>
        </is>
      </c>
      <c r="AF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0">
        <f>IF(tblOrdenes[[#This Row],[orden]]="","",_xlfn.XLOOKUP(tblOrdenes[[#This Row],[id_operacion]],tblEjecucion[id_operacion],tblEjecucion[precio],0))</f>
        <v/>
      </c>
      <c r="AJ133" s="10">
        <f>IF(tblOrdenes[[#This Row],[orden]]="","",MAX(0,_xlfn.XLOOKUP(tblOrdenes[[#This Row],[id_operacion]],tblEjecucion[id_operacion],tblEjecucion[costo_plan_total],0)-tblOrdenes[[#This Row],[costo_servicio]]))</f>
        <v/>
      </c>
      <c r="AK133" s="10">
        <f>IF(tblOrdenes[[#This Row],[orden]]="","",tblOrdenes[[#This Row],[costo_servicio]]+tblOrdenes[[#This Row],[costo_materiales]])</f>
        <v/>
      </c>
      <c r="AL133" s="6" t="inlineStr"/>
      <c r="AM133" s="6" t="inlineStr"/>
      <c r="AN133" s="6" t="inlineStr"/>
      <c r="AO133" s="3">
        <f>IF(tblOrdenes[[#This Row],[link_checklist]]="","",HYPERLINK(p_ruta_base_checklists&amp;tblOrdenes[[#This Row],[link_checklist]],"abrir"))</f>
        <v/>
      </c>
      <c r="AP133" s="6" t="inlineStr"/>
      <c r="AQ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EQ-102</t>
        </is>
      </c>
      <c r="D134" s="3" t="inlineStr">
        <is>
          <t>Reparación de falla en EQ-102</t>
        </is>
      </c>
      <c r="E134" s="3" t="inlineStr">
        <is>
          <t>EQ-102</t>
        </is>
      </c>
      <c r="F134" s="3" t="inlineStr">
        <is>
          <t>CC-120</t>
        </is>
      </c>
      <c r="G134" s="3" t="inlineStr">
        <is>
          <t>PU-ELE</t>
        </is>
      </c>
      <c r="H134" s="3" t="inlineStr">
        <is>
          <t>ACT-03</t>
        </is>
      </c>
      <c r="I134" s="3" t="inlineStr">
        <is>
          <t>TIPO-C2</t>
        </is>
      </c>
      <c r="J134" s="11" t="n">
        <v>46228</v>
      </c>
      <c r="K134" s="3" t="n">
        <v>4</v>
      </c>
      <c r="L134" s="10" t="n">
        <v>160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3">
        <f>IF(tblOrdenes[[#This Row],[tipo_ot]]="","",_xlfn.XLOOKUP(tblOrdenes[[#This Row],[tipo_ot]],tblTiposOT[codigo],tblTiposOT[clasificacion],"sin_clasificar"))</f>
        <v/>
      </c>
      <c r="U134" s="3">
        <f>IF(tblOrdenes[[#This Row],[centro_costo]]="","",_xlfn.XLOOKUP(tblOrdenes[[#This Row],[centro_costo]],tblCECO[codigo],tblCECO[linea],"(sin catálogo)"))</f>
        <v/>
      </c>
      <c r="V134" s="3">
        <f>IF(tblOrdenes[[#This Row],[centro_costo]]="","",_xlfn.XLOOKUP(tblOrdenes[[#This Row],[centro_costo]],tblCECO[codigo],tblCECO[area],"(sin catálogo)"))</f>
        <v/>
      </c>
      <c r="W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3">
        <f>IF(tblOrdenes[[#This Row],[centro_costo]]="","",_xlfn.XLOOKUP(tblOrdenes[[#This Row],[centro_costo]],tblCECO[codigo],tblCECO[coordinador],"(sin catálogo)"))</f>
        <v/>
      </c>
      <c r="Y134" s="3">
        <f>IF(tblOrdenes[[#This Row],[puesto_trabajo]]="","",_xlfn.XLOOKUP(tblOrdenes[[#This Row],[puesto_trabajo]],tblPuestos[codigo],tblPuestos[especialidad],"(sin catálogo)"))</f>
        <v/>
      </c>
      <c r="Z134" s="3">
        <f>IF(tblOrdenes[[#This Row],[cod_actividad]]="","",_xlfn.XLOOKUP(tblOrdenes[[#This Row],[cod_actividad]],tblActividades[codigo],tblActividades[descripcion],"(sin catálogo)"))</f>
        <v/>
      </c>
      <c r="AA134" s="12">
        <f>IF(tblOrdenes[[#This Row],[fecha_inicio]]="","",TODAY()-tblOrdenes[[#This Row],[fecha_inicio]])</f>
        <v/>
      </c>
      <c r="AB1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3">
        <f>IF(tblOrdenes[[#This Row],[backlog_habiles]]="","",IF(tblOrdenes[[#This Row],[backlog_habiles]]&lt;0,"FUTURO",IF(tblOrdenes[[#This Row],[backlog_habiles]]&gt;p_dias_backlog_max,"BACKLOG","MES CORRIENTE")))</f>
        <v/>
      </c>
      <c r="AD134" s="3">
        <f>IF(tblOrdenes[[#This Row],[backlog_habiles]]="",FALSE,AND(tblOrdenes[[#This Row],[backlog_habiles]]&gt;p_dias_backlog_min,tblOrdenes[[#This Row],[backlog_habiles]]&lt;=p_dias_backlog_max))</f>
        <v/>
      </c>
      <c r="AE134" s="6" t="inlineStr">
        <is>
          <t>Técnico 05</t>
        </is>
      </c>
      <c r="AF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0">
        <f>IF(tblOrdenes[[#This Row],[orden]]="","",_xlfn.XLOOKUP(tblOrdenes[[#This Row],[id_operacion]],tblEjecucion[id_operacion],tblEjecucion[precio],0))</f>
        <v/>
      </c>
      <c r="AJ134" s="10">
        <f>IF(tblOrdenes[[#This Row],[orden]]="","",MAX(0,_xlfn.XLOOKUP(tblOrdenes[[#This Row],[id_operacion]],tblEjecucion[id_operacion],tblEjecucion[costo_plan_total],0)-tblOrdenes[[#This Row],[costo_servicio]]))</f>
        <v/>
      </c>
      <c r="AK134" s="10">
        <f>IF(tblOrdenes[[#This Row],[orden]]="","",tblOrdenes[[#This Row],[costo_servicio]]+tblOrdenes[[#This Row],[costo_materiales]])</f>
        <v/>
      </c>
      <c r="AL134" s="6" t="inlineStr"/>
      <c r="AM134" s="6" t="inlineStr"/>
      <c r="AN134" s="6" t="inlineStr"/>
      <c r="AO134" s="3">
        <f>IF(tblOrdenes[[#This Row],[link_checklist]]="","",HYPERLINK(p_ruta_base_checklists&amp;tblOrdenes[[#This Row],[link_checklist]],"abrir"))</f>
        <v/>
      </c>
      <c r="AP134" s="6" t="inlineStr"/>
      <c r="AQ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CC-210</t>
        </is>
      </c>
      <c r="G135" s="3" t="inlineStr">
        <is>
          <t>PU-OP</t>
        </is>
      </c>
      <c r="H135" s="3" t="inlineStr">
        <is>
          <t>ACT-03</t>
        </is>
      </c>
      <c r="I135" s="3" t="inlineStr">
        <is>
          <t>TIPO-C1</t>
        </is>
      </c>
      <c r="J135" s="11" t="n">
        <v>46229</v>
      </c>
      <c r="K135" s="3" t="n">
        <v>8</v>
      </c>
      <c r="L135" s="10" t="n">
        <v>320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3">
        <f>IF(tblOrdenes[[#This Row],[tipo_ot]]="","",_xlfn.XLOOKUP(tblOrdenes[[#This Row],[tipo_ot]],tblTiposOT[codigo],tblTiposOT[clasificacion],"sin_clasificar"))</f>
        <v/>
      </c>
      <c r="U135" s="3">
        <f>IF(tblOrdenes[[#This Row],[centro_costo]]="","",_xlfn.XLOOKUP(tblOrdenes[[#This Row],[centro_costo]],tblCECO[codigo],tblCECO[linea],"(sin catálogo)"))</f>
        <v/>
      </c>
      <c r="V135" s="3">
        <f>IF(tblOrdenes[[#This Row],[centro_costo]]="","",_xlfn.XLOOKUP(tblOrdenes[[#This Row],[centro_costo]],tblCECO[codigo],tblCECO[area],"(sin catálogo)"))</f>
        <v/>
      </c>
      <c r="W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3">
        <f>IF(tblOrdenes[[#This Row],[centro_costo]]="","",_xlfn.XLOOKUP(tblOrdenes[[#This Row],[centro_costo]],tblCECO[codigo],tblCECO[coordinador],"(sin catálogo)"))</f>
        <v/>
      </c>
      <c r="Y135" s="3">
        <f>IF(tblOrdenes[[#This Row],[puesto_trabajo]]="","",_xlfn.XLOOKUP(tblOrdenes[[#This Row],[puesto_trabajo]],tblPuestos[codigo],tblPuestos[especialidad],"(sin catálogo)"))</f>
        <v/>
      </c>
      <c r="Z135" s="3">
        <f>IF(tblOrdenes[[#This Row],[cod_actividad]]="","",_xlfn.XLOOKUP(tblOrdenes[[#This Row],[cod_actividad]],tblActividades[codigo],tblActividades[descripcion],"(sin catálogo)"))</f>
        <v/>
      </c>
      <c r="AA135" s="12">
        <f>IF(tblOrdenes[[#This Row],[fecha_inicio]]="","",TODAY()-tblOrdenes[[#This Row],[fecha_inicio]])</f>
        <v/>
      </c>
      <c r="AB1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3">
        <f>IF(tblOrdenes[[#This Row],[backlog_habiles]]="","",IF(tblOrdenes[[#This Row],[backlog_habiles]]&lt;0,"FUTURO",IF(tblOrdenes[[#This Row],[backlog_habiles]]&gt;p_dias_backlog_max,"BACKLOG","MES CORRIENTE")))</f>
        <v/>
      </c>
      <c r="AD135" s="3">
        <f>IF(tblOrdenes[[#This Row],[backlog_habiles]]="",FALSE,AND(tblOrdenes[[#This Row],[backlog_habiles]]&gt;p_dias_backlog_min,tblOrdenes[[#This Row],[backlog_habiles]]&lt;=p_dias_backlog_max))</f>
        <v/>
      </c>
      <c r="AE135" s="6" t="inlineStr"/>
      <c r="AF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0">
        <f>IF(tblOrdenes[[#This Row],[orden]]="","",_xlfn.XLOOKUP(tblOrdenes[[#This Row],[id_operacion]],tblEjecucion[id_operacion],tblEjecucion[precio],0))</f>
        <v/>
      </c>
      <c r="AJ135" s="10">
        <f>IF(tblOrdenes[[#This Row],[orden]]="","",MAX(0,_xlfn.XLOOKUP(tblOrdenes[[#This Row],[id_operacion]],tblEjecucion[id_operacion],tblEjecucion[costo_plan_total],0)-tblOrdenes[[#This Row],[costo_servicio]]))</f>
        <v/>
      </c>
      <c r="AK135" s="10">
        <f>IF(tblOrdenes[[#This Row],[orden]]="","",tblOrdenes[[#This Row],[costo_servicio]]+tblOrdenes[[#This Row],[costo_materiales]])</f>
        <v/>
      </c>
      <c r="AL135" s="6" t="inlineStr"/>
      <c r="AM135" s="6" t="inlineStr"/>
      <c r="AN135" s="6" t="inlineStr"/>
      <c r="AO135" s="3">
        <f>IF(tblOrdenes[[#This Row],[link_checklist]]="","",HYPERLINK(p_ruta_base_checklists&amp;tblOrdenes[[#This Row],[link_checklist]],"abrir"))</f>
        <v/>
      </c>
      <c r="AP135" s="6" t="inlineStr"/>
      <c r="AQ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Lubricación programada — EQ-111</t>
        </is>
      </c>
      <c r="D136" s="3" t="inlineStr">
        <is>
          <t>Mantenimiento especial de CO2 (domingo laborable)</t>
        </is>
      </c>
      <c r="E136" s="3" t="inlineStr">
        <is>
          <t>EQ-111</t>
        </is>
      </c>
      <c r="F136" s="3" t="inlineStr">
        <is>
          <t>CC-330</t>
        </is>
      </c>
      <c r="G136" s="3" t="inlineStr">
        <is>
          <t>PU-OP</t>
        </is>
      </c>
      <c r="H136" s="3" t="inlineStr">
        <is>
          <t>ACT-02</t>
        </is>
      </c>
      <c r="I136" s="3" t="inlineStr">
        <is>
          <t>TIPO-P1</t>
        </is>
      </c>
      <c r="J136" s="11" t="n">
        <v>46236</v>
      </c>
      <c r="K136" s="3" t="n">
        <v>6</v>
      </c>
      <c r="L136" s="10" t="n">
        <v>150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3">
        <f>IF(tblOrdenes[[#This Row],[tipo_ot]]="","",_xlfn.XLOOKUP(tblOrdenes[[#This Row],[tipo_ot]],tblTiposOT[codigo],tblTiposOT[clasificacion],"sin_clasificar"))</f>
        <v/>
      </c>
      <c r="U136" s="3">
        <f>IF(tblOrdenes[[#This Row],[centro_costo]]="","",_xlfn.XLOOKUP(tblOrdenes[[#This Row],[centro_costo]],tblCECO[codigo],tblCECO[linea],"(sin catálogo)"))</f>
        <v/>
      </c>
      <c r="V136" s="3">
        <f>IF(tblOrdenes[[#This Row],[centro_costo]]="","",_xlfn.XLOOKUP(tblOrdenes[[#This Row],[centro_costo]],tblCECO[codigo],tblCECO[area],"(sin catálogo)"))</f>
        <v/>
      </c>
      <c r="W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3">
        <f>IF(tblOrdenes[[#This Row],[centro_costo]]="","",_xlfn.XLOOKUP(tblOrdenes[[#This Row],[centro_costo]],tblCECO[codigo],tblCECO[coordinador],"(sin catálogo)"))</f>
        <v/>
      </c>
      <c r="Y136" s="3">
        <f>IF(tblOrdenes[[#This Row],[puesto_trabajo]]="","",_xlfn.XLOOKUP(tblOrdenes[[#This Row],[puesto_trabajo]],tblPuestos[codigo],tblPuestos[especialidad],"(sin catálogo)"))</f>
        <v/>
      </c>
      <c r="Z136" s="3">
        <f>IF(tblOrdenes[[#This Row],[cod_actividad]]="","",_xlfn.XLOOKUP(tblOrdenes[[#This Row],[cod_actividad]],tblActividades[codigo],tblActividades[descripcion],"(sin catálogo)"))</f>
        <v/>
      </c>
      <c r="AA136" s="12">
        <f>IF(tblOrdenes[[#This Row],[fecha_inicio]]="","",TODAY()-tblOrdenes[[#This Row],[fecha_inicio]])</f>
        <v/>
      </c>
      <c r="AB1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3">
        <f>IF(tblOrdenes[[#This Row],[backlog_habiles]]="","",IF(tblOrdenes[[#This Row],[backlog_habiles]]&lt;0,"FUTURO",IF(tblOrdenes[[#This Row],[backlog_habiles]]&gt;p_dias_backlog_max,"BACKLOG","MES CORRIENTE")))</f>
        <v/>
      </c>
      <c r="AD136" s="3">
        <f>IF(tblOrdenes[[#This Row],[backlog_habiles]]="",FALSE,AND(tblOrdenes[[#This Row],[backlog_habiles]]&gt;p_dias_backlog_min,tblOrdenes[[#This Row],[backlog_habiles]]&lt;=p_dias_backlog_max))</f>
        <v/>
      </c>
      <c r="AE136" s="6" t="inlineStr">
        <is>
          <t>Técnico 12</t>
        </is>
      </c>
      <c r="AF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0">
        <f>IF(tblOrdenes[[#This Row],[orden]]="","",_xlfn.XLOOKUP(tblOrdenes[[#This Row],[id_operacion]],tblEjecucion[id_operacion],tblEjecucion[precio],0))</f>
        <v/>
      </c>
      <c r="AJ136" s="10">
        <f>IF(tblOrdenes[[#This Row],[orden]]="","",MAX(0,_xlfn.XLOOKUP(tblOrdenes[[#This Row],[id_operacion]],tblEjecucion[id_operacion],tblEjecucion[costo_plan_total],0)-tblOrdenes[[#This Row],[costo_servicio]]))</f>
        <v/>
      </c>
      <c r="AK136" s="10">
        <f>IF(tblOrdenes[[#This Row],[orden]]="","",tblOrdenes[[#This Row],[costo_servicio]]+tblOrdenes[[#This Row],[costo_materiales]])</f>
        <v/>
      </c>
      <c r="AL136" s="6" t="inlineStr"/>
      <c r="AM136" s="6" t="inlineStr"/>
      <c r="AN136" s="6" t="inlineStr"/>
      <c r="AO136" s="3">
        <f>IF(tblOrdenes[[#This Row],[link_checklist]]="","",HYPERLINK(p_ruta_base_checklists&amp;tblOrdenes[[#This Row],[link_checklist]],"abrir"))</f>
        <v/>
      </c>
      <c r="AP136" s="6" t="inlineStr"/>
      <c r="AQ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OT-000001</t>
        </is>
      </c>
      <c r="B137" s="3" t="inlineStr">
        <is>
          <t>0020</t>
        </is>
      </c>
      <c r="C137" s="3" t="inlineStr">
        <is>
          <t>Lubricación programada — EQ-102</t>
        </is>
      </c>
      <c r="D137" s="3" t="inlineStr">
        <is>
          <t>Segunda operación — EQ-102</t>
        </is>
      </c>
      <c r="E137" s="3" t="inlineStr">
        <is>
          <t>EQ-102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ACT-02</t>
        </is>
      </c>
      <c r="I137" s="3" t="inlineStr">
        <is>
          <t>TIPO-P2</t>
        </is>
      </c>
      <c r="J137" s="11" t="n">
        <v>46216</v>
      </c>
      <c r="K137" s="3" t="n">
        <v>2</v>
      </c>
      <c r="L137" s="10" t="n">
        <v>50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3">
        <f>IF(tblOrdenes[[#This Row],[tipo_ot]]="","",_xlfn.XLOOKUP(tblOrdenes[[#This Row],[tipo_ot]],tblTiposOT[codigo],tblTiposOT[clasificacion],"sin_clasificar"))</f>
        <v/>
      </c>
      <c r="U137" s="3">
        <f>IF(tblOrdenes[[#This Row],[centro_costo]]="","",_xlfn.XLOOKUP(tblOrdenes[[#This Row],[centro_costo]],tblCECO[codigo],tblCECO[linea],"(sin catálogo)"))</f>
        <v/>
      </c>
      <c r="V137" s="3">
        <f>IF(tblOrdenes[[#This Row],[centro_costo]]="","",_xlfn.XLOOKUP(tblOrdenes[[#This Row],[centro_costo]],tblCECO[codigo],tblCECO[area],"(sin catálogo)"))</f>
        <v/>
      </c>
      <c r="W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3">
        <f>IF(tblOrdenes[[#This Row],[centro_costo]]="","",_xlfn.XLOOKUP(tblOrdenes[[#This Row],[centro_costo]],tblCECO[codigo],tblCECO[coordinador],"(sin catálogo)"))</f>
        <v/>
      </c>
      <c r="Y137" s="3">
        <f>IF(tblOrdenes[[#This Row],[puesto_trabajo]]="","",_xlfn.XLOOKUP(tblOrdenes[[#This Row],[puesto_trabajo]],tblPuestos[codigo],tblPuestos[especialidad],"(sin catálogo)"))</f>
        <v/>
      </c>
      <c r="Z137" s="3">
        <f>IF(tblOrdenes[[#This Row],[cod_actividad]]="","",_xlfn.XLOOKUP(tblOrdenes[[#This Row],[cod_actividad]],tblActividades[codigo],tblActividades[descripcion],"(sin catálogo)"))</f>
        <v/>
      </c>
      <c r="AA137" s="12">
        <f>IF(tblOrdenes[[#This Row],[fecha_inicio]]="","",TODAY()-tblOrdenes[[#This Row],[fecha_inicio]])</f>
        <v/>
      </c>
      <c r="AB1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3">
        <f>IF(tblOrdenes[[#This Row],[backlog_habiles]]="","",IF(tblOrdenes[[#This Row],[backlog_habiles]]&lt;0,"FUTURO",IF(tblOrdenes[[#This Row],[backlog_habiles]]&gt;p_dias_backlog_max,"BACKLOG","MES CORRIENTE")))</f>
        <v/>
      </c>
      <c r="AD137" s="3">
        <f>IF(tblOrdenes[[#This Row],[backlog_habiles]]="",FALSE,AND(tblOrdenes[[#This Row],[backlog_habiles]]&gt;p_dias_backlog_min,tblOrdenes[[#This Row],[backlog_habiles]]&lt;=p_dias_backlog_max))</f>
        <v/>
      </c>
      <c r="AE137" s="6" t="inlineStr">
        <is>
          <t>Técnico 01</t>
        </is>
      </c>
      <c r="AF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0">
        <f>IF(tblOrdenes[[#This Row],[orden]]="","",_xlfn.XLOOKUP(tblOrdenes[[#This Row],[id_operacion]],tblEjecucion[id_operacion],tblEjecucion[precio],0))</f>
        <v/>
      </c>
      <c r="AJ137" s="10">
        <f>IF(tblOrdenes[[#This Row],[orden]]="","",MAX(0,_xlfn.XLOOKUP(tblOrdenes[[#This Row],[id_operacion]],tblEjecucion[id_operacion],tblEjecucion[costo_plan_total],0)-tblOrdenes[[#This Row],[costo_servicio]]))</f>
        <v/>
      </c>
      <c r="AK137" s="10">
        <f>IF(tblOrdenes[[#This Row],[orden]]="","",tblOrdenes[[#This Row],[costo_servicio]]+tblOrdenes[[#This Row],[costo_materiales]])</f>
        <v/>
      </c>
      <c r="AL137" s="6" t="inlineStr"/>
      <c r="AM137" s="6" t="inlineStr"/>
      <c r="AN137" s="6" t="inlineStr"/>
      <c r="AO137" s="3">
        <f>IF(tblOrdenes[[#This Row],[link_checklist]]="","",HYPERLINK(p_ruta_base_checklists&amp;tblOrdenes[[#This Row],[link_checklist]],"abrir"))</f>
        <v/>
      </c>
      <c r="AP137" s="6" t="inlineStr"/>
      <c r="AQ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OT-000041</t>
        </is>
      </c>
      <c r="B138" s="3" t="inlineStr">
        <is>
          <t>0020</t>
        </is>
      </c>
      <c r="C138" s="3" t="inlineStr">
        <is>
          <t>Análisis predictivo — EQ-107</t>
        </is>
      </c>
      <c r="D138" s="3" t="inlineStr">
        <is>
          <t>Segunda operación — EQ-107</t>
        </is>
      </c>
      <c r="E138" s="3" t="inlineStr">
        <is>
          <t>EQ-107</t>
        </is>
      </c>
      <c r="F138" s="3" t="inlineStr">
        <is>
          <t>CC-210</t>
        </is>
      </c>
      <c r="G138" s="3" t="inlineStr">
        <is>
          <t>PU-MEC</t>
        </is>
      </c>
      <c r="H138" s="3" t="inlineStr">
        <is>
          <t>ACT-04</t>
        </is>
      </c>
      <c r="I138" s="3" t="inlineStr">
        <is>
          <t>TIPO-P2</t>
        </is>
      </c>
      <c r="J138" s="11" t="n">
        <v>46237</v>
      </c>
      <c r="K138" s="3" t="n">
        <v>2</v>
      </c>
      <c r="L138" s="10" t="n">
        <v>50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3">
        <f>IF(tblOrdenes[[#This Row],[tipo_ot]]="","",_xlfn.XLOOKUP(tblOrdenes[[#This Row],[tipo_ot]],tblTiposOT[codigo],tblTiposOT[clasificacion],"sin_clasificar"))</f>
        <v/>
      </c>
      <c r="U138" s="3">
        <f>IF(tblOrdenes[[#This Row],[centro_costo]]="","",_xlfn.XLOOKUP(tblOrdenes[[#This Row],[centro_costo]],tblCECO[codigo],tblCECO[linea],"(sin catálogo)"))</f>
        <v/>
      </c>
      <c r="V138" s="3">
        <f>IF(tblOrdenes[[#This Row],[centro_costo]]="","",_xlfn.XLOOKUP(tblOrdenes[[#This Row],[centro_costo]],tblCECO[codigo],tblCECO[area],"(sin catálogo)"))</f>
        <v/>
      </c>
      <c r="W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3">
        <f>IF(tblOrdenes[[#This Row],[centro_costo]]="","",_xlfn.XLOOKUP(tblOrdenes[[#This Row],[centro_costo]],tblCECO[codigo],tblCECO[coordinador],"(sin catálogo)"))</f>
        <v/>
      </c>
      <c r="Y138" s="3">
        <f>IF(tblOrdenes[[#This Row],[puesto_trabajo]]="","",_xlfn.XLOOKUP(tblOrdenes[[#This Row],[puesto_trabajo]],tblPuestos[codigo],tblPuestos[especialidad],"(sin catálogo)"))</f>
        <v/>
      </c>
      <c r="Z138" s="3">
        <f>IF(tblOrdenes[[#This Row],[cod_actividad]]="","",_xlfn.XLOOKUP(tblOrdenes[[#This Row],[cod_actividad]],tblActividades[codigo],tblActividades[descripcion],"(sin catálogo)"))</f>
        <v/>
      </c>
      <c r="AA138" s="12">
        <f>IF(tblOrdenes[[#This Row],[fecha_inicio]]="","",TODAY()-tblOrdenes[[#This Row],[fecha_inicio]])</f>
        <v/>
      </c>
      <c r="AB1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3">
        <f>IF(tblOrdenes[[#This Row],[backlog_habiles]]="","",IF(tblOrdenes[[#This Row],[backlog_habiles]]&lt;0,"FUTURO",IF(tblOrdenes[[#This Row],[backlog_habiles]]&gt;p_dias_backlog_max,"BACKLOG","MES CORRIENTE")))</f>
        <v/>
      </c>
      <c r="AD138" s="3">
        <f>IF(tblOrdenes[[#This Row],[backlog_habiles]]="",FALSE,AND(tblOrdenes[[#This Row],[backlog_habiles]]&gt;p_dias_backlog_min,tblOrdenes[[#This Row],[backlog_habiles]]&lt;=p_dias_backlog_max))</f>
        <v/>
      </c>
      <c r="AE138" s="6" t="inlineStr">
        <is>
          <t>Técnico 01</t>
        </is>
      </c>
      <c r="AF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0">
        <f>IF(tblOrdenes[[#This Row],[orden]]="","",_xlfn.XLOOKUP(tblOrdenes[[#This Row],[id_operacion]],tblEjecucion[id_operacion],tblEjecucion[precio],0))</f>
        <v/>
      </c>
      <c r="AJ138" s="10">
        <f>IF(tblOrdenes[[#This Row],[orden]]="","",MAX(0,_xlfn.XLOOKUP(tblOrdenes[[#This Row],[id_operacion]],tblEjecucion[id_operacion],tblEjecucion[costo_plan_total],0)-tblOrdenes[[#This Row],[costo_servicio]]))</f>
        <v/>
      </c>
      <c r="AK138" s="10">
        <f>IF(tblOrdenes[[#This Row],[orden]]="","",tblOrdenes[[#This Row],[costo_servicio]]+tblOrdenes[[#This Row],[costo_materiales]])</f>
        <v/>
      </c>
      <c r="AL138" s="6" t="inlineStr"/>
      <c r="AM138" s="6" t="inlineStr"/>
      <c r="AN138" s="6" t="inlineStr"/>
      <c r="AO138" s="3">
        <f>IF(tblOrdenes[[#This Row],[link_checklist]]="","",HYPERLINK(p_ruta_base_checklists&amp;tblOrdenes[[#This Row],[link_checklist]],"abrir"))</f>
        <v/>
      </c>
      <c r="AP138" s="6" t="inlineStr"/>
      <c r="AQ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OT-000081</t>
        </is>
      </c>
      <c r="B139" s="3" t="inlineStr">
        <is>
          <t>0020</t>
        </is>
      </c>
      <c r="C139" s="3" t="inlineStr">
        <is>
          <t>Inspección de rutina — EQ-102</t>
        </is>
      </c>
      <c r="D139" s="3" t="inlineStr">
        <is>
          <t>Segunda operación — EQ-102</t>
        </is>
      </c>
      <c r="E139" s="3" t="inlineStr">
        <is>
          <t>EQ-102</t>
        </is>
      </c>
      <c r="F139" s="3" t="inlineStr">
        <is>
          <t>CC-120</t>
        </is>
      </c>
      <c r="G139" s="3" t="inlineStr">
        <is>
          <t>PU-ELE</t>
        </is>
      </c>
      <c r="H139" s="3" t="inlineStr">
        <is>
          <t>ACT-01</t>
        </is>
      </c>
      <c r="I139" s="3" t="inlineStr">
        <is>
          <t>TIPO-P2</t>
        </is>
      </c>
      <c r="J139" s="11" t="n">
        <v>46237</v>
      </c>
      <c r="K139" s="3" t="n">
        <v>2</v>
      </c>
      <c r="L139" s="10" t="n">
        <v>50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3">
        <f>IF(tblOrdenes[[#This Row],[tipo_ot]]="","",_xlfn.XLOOKUP(tblOrdenes[[#This Row],[tipo_ot]],tblTiposOT[codigo],tblTiposOT[clasificacion],"sin_clasificar"))</f>
        <v/>
      </c>
      <c r="U139" s="3">
        <f>IF(tblOrdenes[[#This Row],[centro_costo]]="","",_xlfn.XLOOKUP(tblOrdenes[[#This Row],[centro_costo]],tblCECO[codigo],tblCECO[linea],"(sin catálogo)"))</f>
        <v/>
      </c>
      <c r="V139" s="3">
        <f>IF(tblOrdenes[[#This Row],[centro_costo]]="","",_xlfn.XLOOKUP(tblOrdenes[[#This Row],[centro_costo]],tblCECO[codigo],tblCECO[area],"(sin catálogo)"))</f>
        <v/>
      </c>
      <c r="W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3">
        <f>IF(tblOrdenes[[#This Row],[centro_costo]]="","",_xlfn.XLOOKUP(tblOrdenes[[#This Row],[centro_costo]],tblCECO[codigo],tblCECO[coordinador],"(sin catálogo)"))</f>
        <v/>
      </c>
      <c r="Y139" s="3">
        <f>IF(tblOrdenes[[#This Row],[puesto_trabajo]]="","",_xlfn.XLOOKUP(tblOrdenes[[#This Row],[puesto_trabajo]],tblPuestos[codigo],tblPuestos[especialidad],"(sin catálogo)"))</f>
        <v/>
      </c>
      <c r="Z139" s="3">
        <f>IF(tblOrdenes[[#This Row],[cod_actividad]]="","",_xlfn.XLOOKUP(tblOrdenes[[#This Row],[cod_actividad]],tblActividades[codigo],tblActividades[descripcion],"(sin catálogo)"))</f>
        <v/>
      </c>
      <c r="AA139" s="12">
        <f>IF(tblOrdenes[[#This Row],[fecha_inicio]]="","",TODAY()-tblOrdenes[[#This Row],[fecha_inicio]])</f>
        <v/>
      </c>
      <c r="AB1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3">
        <f>IF(tblOrdenes[[#This Row],[backlog_habiles]]="","",IF(tblOrdenes[[#This Row],[backlog_habiles]]&lt;0,"FUTURO",IF(tblOrdenes[[#This Row],[backlog_habiles]]&gt;p_dias_backlog_max,"BACKLOG","MES CORRIENTE")))</f>
        <v/>
      </c>
      <c r="AD139" s="3">
        <f>IF(tblOrdenes[[#This Row],[backlog_habiles]]="",FALSE,AND(tblOrdenes[[#This Row],[backlog_habiles]]&gt;p_dias_backlog_min,tblOrdenes[[#This Row],[backlog_habiles]]&lt;=p_dias_backlog_max))</f>
        <v/>
      </c>
      <c r="AE139" s="6" t="inlineStr">
        <is>
          <t>Técnico 07</t>
        </is>
      </c>
      <c r="AF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0">
        <f>IF(tblOrdenes[[#This Row],[orden]]="","",_xlfn.XLOOKUP(tblOrdenes[[#This Row],[id_operacion]],tblEjecucion[id_operacion],tblEjecucion[precio],0))</f>
        <v/>
      </c>
      <c r="AJ139" s="10">
        <f>IF(tblOrdenes[[#This Row],[orden]]="","",MAX(0,_xlfn.XLOOKUP(tblOrdenes[[#This Row],[id_operacion]],tblEjecucion[id_operacion],tblEjecucion[costo_plan_total],0)-tblOrdenes[[#This Row],[costo_servicio]]))</f>
        <v/>
      </c>
      <c r="AK139" s="10">
        <f>IF(tblOrdenes[[#This Row],[orden]]="","",tblOrdenes[[#This Row],[costo_servicio]]+tblOrdenes[[#This Row],[costo_materiales]])</f>
        <v/>
      </c>
      <c r="AL139" s="6" t="inlineStr"/>
      <c r="AM139" s="6" t="inlineStr"/>
      <c r="AN139" s="6" t="inlineStr"/>
      <c r="AO139" s="3">
        <f>IF(tblOrdenes[[#This Row],[link_checklist]]="","",HYPERLINK(p_ruta_base_checklists&amp;tblOrdenes[[#This Row],[link_checklist]],"abrir"))</f>
        <v/>
      </c>
      <c r="AP139" s="6" t="inlineStr"/>
      <c r="AQ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OT-000121</t>
        </is>
      </c>
      <c r="B140" s="3" t="inlineStr">
        <is>
          <t>0020</t>
        </is>
      </c>
      <c r="C140" s="3" t="inlineStr">
        <is>
          <t>Reparación de falla — EQ-102</t>
        </is>
      </c>
      <c r="D140" s="3" t="inlineStr">
        <is>
          <t>Segunda operación — EQ-102</t>
        </is>
      </c>
      <c r="E140" s="3" t="inlineStr">
        <is>
          <t>EQ-102</t>
        </is>
      </c>
      <c r="F140" s="3" t="inlineStr">
        <is>
          <t>CC-120</t>
        </is>
      </c>
      <c r="G140" s="3" t="inlineStr">
        <is>
          <t>PU-OP</t>
        </is>
      </c>
      <c r="H140" s="3" t="inlineStr">
        <is>
          <t>ACT-03</t>
        </is>
      </c>
      <c r="I140" s="3" t="inlineStr">
        <is>
          <t>TIPO-C2</t>
        </is>
      </c>
      <c r="J140" s="11" t="n">
        <v>46230</v>
      </c>
      <c r="K140" s="3" t="n">
        <v>2</v>
      </c>
      <c r="L140" s="10" t="n">
        <v>80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3">
        <f>IF(tblOrdenes[[#This Row],[tipo_ot]]="","",_xlfn.XLOOKUP(tblOrdenes[[#This Row],[tipo_ot]],tblTiposOT[codigo],tblTiposOT[clasificacion],"sin_clasificar"))</f>
        <v/>
      </c>
      <c r="U140" s="3">
        <f>IF(tblOrdenes[[#This Row],[centro_costo]]="","",_xlfn.XLOOKUP(tblOrdenes[[#This Row],[centro_costo]],tblCECO[codigo],tblCECO[linea],"(sin catálogo)"))</f>
        <v/>
      </c>
      <c r="V140" s="3">
        <f>IF(tblOrdenes[[#This Row],[centro_costo]]="","",_xlfn.XLOOKUP(tblOrdenes[[#This Row],[centro_costo]],tblCECO[codigo],tblCECO[area],"(sin catálogo)"))</f>
        <v/>
      </c>
      <c r="W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3">
        <f>IF(tblOrdenes[[#This Row],[centro_costo]]="","",_xlfn.XLOOKUP(tblOrdenes[[#This Row],[centro_costo]],tblCECO[codigo],tblCECO[coordinador],"(sin catálogo)"))</f>
        <v/>
      </c>
      <c r="Y140" s="3">
        <f>IF(tblOrdenes[[#This Row],[puesto_trabajo]]="","",_xlfn.XLOOKUP(tblOrdenes[[#This Row],[puesto_trabajo]],tblPuestos[codigo],tblPuestos[especialidad],"(sin catálogo)"))</f>
        <v/>
      </c>
      <c r="Z140" s="3">
        <f>IF(tblOrdenes[[#This Row],[cod_actividad]]="","",_xlfn.XLOOKUP(tblOrdenes[[#This Row],[cod_actividad]],tblActividades[codigo],tblActividades[descripcion],"(sin catálogo)"))</f>
        <v/>
      </c>
      <c r="AA140" s="12">
        <f>IF(tblOrdenes[[#This Row],[fecha_inicio]]="","",TODAY()-tblOrdenes[[#This Row],[fecha_inicio]])</f>
        <v/>
      </c>
      <c r="AB1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3">
        <f>IF(tblOrdenes[[#This Row],[backlog_habiles]]="","",IF(tblOrdenes[[#This Row],[backlog_habiles]]&lt;0,"FUTURO",IF(tblOrdenes[[#This Row],[backlog_habiles]]&gt;p_dias_backlog_max,"BACKLOG","MES CORRIENTE")))</f>
        <v/>
      </c>
      <c r="AD140" s="3">
        <f>IF(tblOrdenes[[#This Row],[backlog_habiles]]="",FALSE,AND(tblOrdenes[[#This Row],[backlog_habiles]]&gt;p_dias_backlog_min,tblOrdenes[[#This Row],[backlog_habiles]]&lt;=p_dias_backlog_max))</f>
        <v/>
      </c>
      <c r="AE140" s="6" t="inlineStr">
        <is>
          <t>Técnico 10</t>
        </is>
      </c>
      <c r="AF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0">
        <f>IF(tblOrdenes[[#This Row],[orden]]="","",_xlfn.XLOOKUP(tblOrdenes[[#This Row],[id_operacion]],tblEjecucion[id_operacion],tblEjecucion[precio],0))</f>
        <v/>
      </c>
      <c r="AJ140" s="10">
        <f>IF(tblOrdenes[[#This Row],[orden]]="","",MAX(0,_xlfn.XLOOKUP(tblOrdenes[[#This Row],[id_operacion]],tblEjecucion[id_operacion],tblEjecucion[costo_plan_total],0)-tblOrdenes[[#This Row],[costo_servicio]]))</f>
        <v/>
      </c>
      <c r="AK140" s="10">
        <f>IF(tblOrdenes[[#This Row],[orden]]="","",tblOrdenes[[#This Row],[costo_servicio]]+tblOrdenes[[#This Row],[costo_materiales]])</f>
        <v/>
      </c>
      <c r="AL140" s="6" t="inlineStr"/>
      <c r="AM140" s="6" t="inlineStr"/>
      <c r="AN140" s="6" t="inlineStr"/>
      <c r="AO140" s="3">
        <f>IF(tblOrdenes[[#This Row],[link_checklist]]="","",HYPERLINK(p_ruta_base_checklists&amp;tblOrdenes[[#This Row],[link_checklist]],"abrir"))</f>
        <v/>
      </c>
      <c r="AP140" s="6" t="inlineStr"/>
      <c r="AQ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EQ-104</t>
        </is>
      </c>
      <c r="D141" s="3" t="inlineStr">
        <is>
          <t>Reparación de falla en EQ-104</t>
        </is>
      </c>
      <c r="E141" s="3" t="inlineStr">
        <is>
          <t>EQ-104</t>
        </is>
      </c>
      <c r="F141" s="3" t="inlineStr">
        <is>
          <t>CC-110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46180</v>
      </c>
      <c r="K141" s="3" t="n">
        <v>4</v>
      </c>
      <c r="L141" s="10" t="n">
        <v>160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3">
        <f>IF(tblOrdenes[[#This Row],[tipo_ot]]="","",_xlfn.XLOOKUP(tblOrdenes[[#This Row],[tipo_ot]],tblTiposOT[codigo],tblTiposOT[clasificacion],"sin_clasificar"))</f>
        <v/>
      </c>
      <c r="U141" s="3">
        <f>IF(tblOrdenes[[#This Row],[centro_costo]]="","",_xlfn.XLOOKUP(tblOrdenes[[#This Row],[centro_costo]],tblCECO[codigo],tblCECO[linea],"(sin catálogo)"))</f>
        <v/>
      </c>
      <c r="V141" s="3">
        <f>IF(tblOrdenes[[#This Row],[centro_costo]]="","",_xlfn.XLOOKUP(tblOrdenes[[#This Row],[centro_costo]],tblCECO[codigo],tblCECO[area],"(sin catálogo)"))</f>
        <v/>
      </c>
      <c r="W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3">
        <f>IF(tblOrdenes[[#This Row],[centro_costo]]="","",_xlfn.XLOOKUP(tblOrdenes[[#This Row],[centro_costo]],tblCECO[codigo],tblCECO[coordinador],"(sin catálogo)"))</f>
        <v/>
      </c>
      <c r="Y141" s="3">
        <f>IF(tblOrdenes[[#This Row],[puesto_trabajo]]="","",_xlfn.XLOOKUP(tblOrdenes[[#This Row],[puesto_trabajo]],tblPuestos[codigo],tblPuestos[especialidad],"(sin catálogo)"))</f>
        <v/>
      </c>
      <c r="Z141" s="3">
        <f>IF(tblOrdenes[[#This Row],[cod_actividad]]="","",_xlfn.XLOOKUP(tblOrdenes[[#This Row],[cod_actividad]],tblActividades[codigo],tblActividades[descripcion],"(sin catálogo)"))</f>
        <v/>
      </c>
      <c r="AA141" s="12">
        <f>IF(tblOrdenes[[#This Row],[fecha_inicio]]="","",TODAY()-tblOrdenes[[#This Row],[fecha_inicio]])</f>
        <v/>
      </c>
      <c r="AB1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3">
        <f>IF(tblOrdenes[[#This Row],[backlog_habiles]]="","",IF(tblOrdenes[[#This Row],[backlog_habiles]]&lt;0,"FUTURO",IF(tblOrdenes[[#This Row],[backlog_habiles]]&gt;p_dias_backlog_max,"BACKLOG","MES CORRIENTE")))</f>
        <v/>
      </c>
      <c r="AD141" s="3">
        <f>IF(tblOrdenes[[#This Row],[backlog_habiles]]="",FALSE,AND(tblOrdenes[[#This Row],[backlog_habiles]]&gt;p_dias_backlog_min,tblOrdenes[[#This Row],[backlog_habiles]]&lt;=p_dias_backlog_max))</f>
        <v/>
      </c>
      <c r="AE141" s="6" t="inlineStr"/>
      <c r="AF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0">
        <f>IF(tblOrdenes[[#This Row],[orden]]="","",_xlfn.XLOOKUP(tblOrdenes[[#This Row],[id_operacion]],tblEjecucion[id_operacion],tblEjecucion[precio],0))</f>
        <v/>
      </c>
      <c r="AJ141" s="10">
        <f>IF(tblOrdenes[[#This Row],[orden]]="","",MAX(0,_xlfn.XLOOKUP(tblOrdenes[[#This Row],[id_operacion]],tblEjecucion[id_operacion],tblEjecucion[costo_plan_total],0)-tblOrdenes[[#This Row],[costo_servicio]]))</f>
        <v/>
      </c>
      <c r="AK141" s="10">
        <f>IF(tblOrdenes[[#This Row],[orden]]="","",tblOrdenes[[#This Row],[costo_servicio]]+tblOrdenes[[#This Row],[costo_materiales]])</f>
        <v/>
      </c>
      <c r="AL141" s="6" t="inlineStr"/>
      <c r="AM141" s="6" t="inlineStr"/>
      <c r="AN141" s="6" t="inlineStr"/>
      <c r="AO141" s="3">
        <f>IF(tblOrdenes[[#This Row],[link_checklist]]="","",HYPERLINK(p_ruta_base_checklists&amp;tblOrdenes[[#This Row],[link_checklist]],"abrir"))</f>
        <v/>
      </c>
      <c r="AP141" s="6" t="inlineStr"/>
      <c r="AQ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EQ-105</t>
        </is>
      </c>
      <c r="D142" s="3" t="inlineStr">
        <is>
          <t>Reparación de falla en EQ-105</t>
        </is>
      </c>
      <c r="E142" s="3" t="inlineStr">
        <is>
          <t>EQ-105</t>
        </is>
      </c>
      <c r="F142" s="3" t="inlineStr">
        <is>
          <t>CC-120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46180</v>
      </c>
      <c r="K142" s="3" t="n">
        <v>6</v>
      </c>
      <c r="L142" s="10" t="n">
        <v>240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3">
        <f>IF(tblOrdenes[[#This Row],[tipo_ot]]="","",_xlfn.XLOOKUP(tblOrdenes[[#This Row],[tipo_ot]],tblTiposOT[codigo],tblTiposOT[clasificacion],"sin_clasificar"))</f>
        <v/>
      </c>
      <c r="U142" s="3">
        <f>IF(tblOrdenes[[#This Row],[centro_costo]]="","",_xlfn.XLOOKUP(tblOrdenes[[#This Row],[centro_costo]],tblCECO[codigo],tblCECO[linea],"(sin catálogo)"))</f>
        <v/>
      </c>
      <c r="V142" s="3">
        <f>IF(tblOrdenes[[#This Row],[centro_costo]]="","",_xlfn.XLOOKUP(tblOrdenes[[#This Row],[centro_costo]],tblCECO[codigo],tblCECO[area],"(sin catálogo)"))</f>
        <v/>
      </c>
      <c r="W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3">
        <f>IF(tblOrdenes[[#This Row],[centro_costo]]="","",_xlfn.XLOOKUP(tblOrdenes[[#This Row],[centro_costo]],tblCECO[codigo],tblCECO[coordinador],"(sin catálogo)"))</f>
        <v/>
      </c>
      <c r="Y142" s="3">
        <f>IF(tblOrdenes[[#This Row],[puesto_trabajo]]="","",_xlfn.XLOOKUP(tblOrdenes[[#This Row],[puesto_trabajo]],tblPuestos[codigo],tblPuestos[especialidad],"(sin catálogo)"))</f>
        <v/>
      </c>
      <c r="Z142" s="3">
        <f>IF(tblOrdenes[[#This Row],[cod_actividad]]="","",_xlfn.XLOOKUP(tblOrdenes[[#This Row],[cod_actividad]],tblActividades[codigo],tblActividades[descripcion],"(sin catálogo)"))</f>
        <v/>
      </c>
      <c r="AA142" s="12">
        <f>IF(tblOrdenes[[#This Row],[fecha_inicio]]="","",TODAY()-tblOrdenes[[#This Row],[fecha_inicio]])</f>
        <v/>
      </c>
      <c r="AB1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3">
        <f>IF(tblOrdenes[[#This Row],[backlog_habiles]]="","",IF(tblOrdenes[[#This Row],[backlog_habiles]]&lt;0,"FUTURO",IF(tblOrdenes[[#This Row],[backlog_habiles]]&gt;p_dias_backlog_max,"BACKLOG","MES CORRIENTE")))</f>
        <v/>
      </c>
      <c r="AD142" s="3">
        <f>IF(tblOrdenes[[#This Row],[backlog_habiles]]="",FALSE,AND(tblOrdenes[[#This Row],[backlog_habiles]]&gt;p_dias_backlog_min,tblOrdenes[[#This Row],[backlog_habiles]]&lt;=p_dias_backlog_max))</f>
        <v/>
      </c>
      <c r="AE142" s="6" t="inlineStr"/>
      <c r="AF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0">
        <f>IF(tblOrdenes[[#This Row],[orden]]="","",_xlfn.XLOOKUP(tblOrdenes[[#This Row],[id_operacion]],tblEjecucion[id_operacion],tblEjecucion[precio],0))</f>
        <v/>
      </c>
      <c r="AJ142" s="10">
        <f>IF(tblOrdenes[[#This Row],[orden]]="","",MAX(0,_xlfn.XLOOKUP(tblOrdenes[[#This Row],[id_operacion]],tblEjecucion[id_operacion],tblEjecucion[costo_plan_total],0)-tblOrdenes[[#This Row],[costo_servicio]]))</f>
        <v/>
      </c>
      <c r="AK142" s="10">
        <f>IF(tblOrdenes[[#This Row],[orden]]="","",tblOrdenes[[#This Row],[costo_servicio]]+tblOrdenes[[#This Row],[costo_materiales]])</f>
        <v/>
      </c>
      <c r="AL142" s="6" t="inlineStr"/>
      <c r="AM142" s="6" t="inlineStr"/>
      <c r="AN142" s="6" t="inlineStr"/>
      <c r="AO142" s="3">
        <f>IF(tblOrdenes[[#This Row],[link_checklist]]="","",HYPERLINK(p_ruta_base_checklists&amp;tblOrdenes[[#This Row],[link_checklist]],"abrir"))</f>
        <v/>
      </c>
      <c r="AP142" s="6" t="inlineStr"/>
      <c r="AQ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EQ-106</t>
        </is>
      </c>
      <c r="D143" s="3" t="inlineStr">
        <is>
          <t>Reparación de falla en EQ-106</t>
        </is>
      </c>
      <c r="E143" s="3" t="inlineStr">
        <is>
          <t>EQ-106</t>
        </is>
      </c>
      <c r="F143" s="3" t="inlineStr">
        <is>
          <t>CC-210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46180</v>
      </c>
      <c r="K143" s="3" t="n">
        <v>8</v>
      </c>
      <c r="L143" s="10" t="n">
        <v>320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3">
        <f>IF(tblOrdenes[[#This Row],[tipo_ot]]="","",_xlfn.XLOOKUP(tblOrdenes[[#This Row],[tipo_ot]],tblTiposOT[codigo],tblTiposOT[clasificacion],"sin_clasificar"))</f>
        <v/>
      </c>
      <c r="U143" s="3">
        <f>IF(tblOrdenes[[#This Row],[centro_costo]]="","",_xlfn.XLOOKUP(tblOrdenes[[#This Row],[centro_costo]],tblCECO[codigo],tblCECO[linea],"(sin catálogo)"))</f>
        <v/>
      </c>
      <c r="V143" s="3">
        <f>IF(tblOrdenes[[#This Row],[centro_costo]]="","",_xlfn.XLOOKUP(tblOrdenes[[#This Row],[centro_costo]],tblCECO[codigo],tblCECO[area],"(sin catálogo)"))</f>
        <v/>
      </c>
      <c r="W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3">
        <f>IF(tblOrdenes[[#This Row],[centro_costo]]="","",_xlfn.XLOOKUP(tblOrdenes[[#This Row],[centro_costo]],tblCECO[codigo],tblCECO[coordinador],"(sin catálogo)"))</f>
        <v/>
      </c>
      <c r="Y143" s="3">
        <f>IF(tblOrdenes[[#This Row],[puesto_trabajo]]="","",_xlfn.XLOOKUP(tblOrdenes[[#This Row],[puesto_trabajo]],tblPuestos[codigo],tblPuestos[especialidad],"(sin catálogo)"))</f>
        <v/>
      </c>
      <c r="Z143" s="3">
        <f>IF(tblOrdenes[[#This Row],[cod_actividad]]="","",_xlfn.XLOOKUP(tblOrdenes[[#This Row],[cod_actividad]],tblActividades[codigo],tblActividades[descripcion],"(sin catálogo)"))</f>
        <v/>
      </c>
      <c r="AA143" s="12">
        <f>IF(tblOrdenes[[#This Row],[fecha_inicio]]="","",TODAY()-tblOrdenes[[#This Row],[fecha_inicio]])</f>
        <v/>
      </c>
      <c r="AB1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3">
        <f>IF(tblOrdenes[[#This Row],[backlog_habiles]]="","",IF(tblOrdenes[[#This Row],[backlog_habiles]]&lt;0,"FUTURO",IF(tblOrdenes[[#This Row],[backlog_habiles]]&gt;p_dias_backlog_max,"BACKLOG","MES CORRIENTE")))</f>
        <v/>
      </c>
      <c r="AD143" s="3">
        <f>IF(tblOrdenes[[#This Row],[backlog_habiles]]="",FALSE,AND(tblOrdenes[[#This Row],[backlog_habiles]]&gt;p_dias_backlog_min,tblOrdenes[[#This Row],[backlog_habiles]]&lt;=p_dias_backlog_max))</f>
        <v/>
      </c>
      <c r="AE143" s="6" t="inlineStr"/>
      <c r="AF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0">
        <f>IF(tblOrdenes[[#This Row],[orden]]="","",_xlfn.XLOOKUP(tblOrdenes[[#This Row],[id_operacion]],tblEjecucion[id_operacion],tblEjecucion[precio],0))</f>
        <v/>
      </c>
      <c r="AJ143" s="10">
        <f>IF(tblOrdenes[[#This Row],[orden]]="","",MAX(0,_xlfn.XLOOKUP(tblOrdenes[[#This Row],[id_operacion]],tblEjecucion[id_operacion],tblEjecucion[costo_plan_total],0)-tblOrdenes[[#This Row],[costo_servicio]]))</f>
        <v/>
      </c>
      <c r="AK143" s="10">
        <f>IF(tblOrdenes[[#This Row],[orden]]="","",tblOrdenes[[#This Row],[costo_servicio]]+tblOrdenes[[#This Row],[costo_materiales]])</f>
        <v/>
      </c>
      <c r="AL143" s="6" t="inlineStr"/>
      <c r="AM143" s="6" t="inlineStr"/>
      <c r="AN143" s="6" t="inlineStr"/>
      <c r="AO143" s="3">
        <f>IF(tblOrdenes[[#This Row],[link_checklist]]="","",HYPERLINK(p_ruta_base_checklists&amp;tblOrdenes[[#This Row],[link_checklist]],"abrir"))</f>
        <v/>
      </c>
      <c r="AP143" s="6" t="inlineStr"/>
      <c r="AQ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EQ-107</t>
        </is>
      </c>
      <c r="D144" s="3" t="inlineStr">
        <is>
          <t>Inspección de rutina en EQ-107</t>
        </is>
      </c>
      <c r="E144" s="3" t="inlineStr">
        <is>
          <t>EQ-107</t>
        </is>
      </c>
      <c r="F144" s="3" t="inlineStr">
        <is>
          <t>CC-220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46180</v>
      </c>
      <c r="K144" s="3" t="n">
        <v>4</v>
      </c>
      <c r="L144" s="10" t="n">
        <v>100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3">
        <f>IF(tblOrdenes[[#This Row],[tipo_ot]]="","",_xlfn.XLOOKUP(tblOrdenes[[#This Row],[tipo_ot]],tblTiposOT[codigo],tblTiposOT[clasificacion],"sin_clasificar"))</f>
        <v/>
      </c>
      <c r="U144" s="3">
        <f>IF(tblOrdenes[[#This Row],[centro_costo]]="","",_xlfn.XLOOKUP(tblOrdenes[[#This Row],[centro_costo]],tblCECO[codigo],tblCECO[linea],"(sin catálogo)"))</f>
        <v/>
      </c>
      <c r="V144" s="3">
        <f>IF(tblOrdenes[[#This Row],[centro_costo]]="","",_xlfn.XLOOKUP(tblOrdenes[[#This Row],[centro_costo]],tblCECO[codigo],tblCECO[area],"(sin catálogo)"))</f>
        <v/>
      </c>
      <c r="W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3">
        <f>IF(tblOrdenes[[#This Row],[centro_costo]]="","",_xlfn.XLOOKUP(tblOrdenes[[#This Row],[centro_costo]],tblCECO[codigo],tblCECO[coordinador],"(sin catálogo)"))</f>
        <v/>
      </c>
      <c r="Y144" s="3">
        <f>IF(tblOrdenes[[#This Row],[puesto_trabajo]]="","",_xlfn.XLOOKUP(tblOrdenes[[#This Row],[puesto_trabajo]],tblPuestos[codigo],tblPuestos[especialidad],"(sin catálogo)"))</f>
        <v/>
      </c>
      <c r="Z144" s="3">
        <f>IF(tblOrdenes[[#This Row],[cod_actividad]]="","",_xlfn.XLOOKUP(tblOrdenes[[#This Row],[cod_actividad]],tblActividades[codigo],tblActividades[descripcion],"(sin catálogo)"))</f>
        <v/>
      </c>
      <c r="AA144" s="12">
        <f>IF(tblOrdenes[[#This Row],[fecha_inicio]]="","",TODAY()-tblOrdenes[[#This Row],[fecha_inicio]])</f>
        <v/>
      </c>
      <c r="AB1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3">
        <f>IF(tblOrdenes[[#This Row],[backlog_habiles]]="","",IF(tblOrdenes[[#This Row],[backlog_habiles]]&lt;0,"FUTURO",IF(tblOrdenes[[#This Row],[backlog_habiles]]&gt;p_dias_backlog_max,"BACKLOG","MES CORRIENTE")))</f>
        <v/>
      </c>
      <c r="AD144" s="3">
        <f>IF(tblOrdenes[[#This Row],[backlog_habiles]]="",FALSE,AND(tblOrdenes[[#This Row],[backlog_habiles]]&gt;p_dias_backlog_min,tblOrdenes[[#This Row],[backlog_habiles]]&lt;=p_dias_backlog_max))</f>
        <v/>
      </c>
      <c r="AE144" s="6" t="inlineStr"/>
      <c r="AF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0">
        <f>IF(tblOrdenes[[#This Row],[orden]]="","",_xlfn.XLOOKUP(tblOrdenes[[#This Row],[id_operacion]],tblEjecucion[id_operacion],tblEjecucion[precio],0))</f>
        <v/>
      </c>
      <c r="AJ144" s="10">
        <f>IF(tblOrdenes[[#This Row],[orden]]="","",MAX(0,_xlfn.XLOOKUP(tblOrdenes[[#This Row],[id_operacion]],tblEjecucion[id_operacion],tblEjecucion[costo_plan_total],0)-tblOrdenes[[#This Row],[costo_servicio]]))</f>
        <v/>
      </c>
      <c r="AK144" s="10">
        <f>IF(tblOrdenes[[#This Row],[orden]]="","",tblOrdenes[[#This Row],[costo_servicio]]+tblOrdenes[[#This Row],[costo_materiales]])</f>
        <v/>
      </c>
      <c r="AL144" s="6" t="inlineStr"/>
      <c r="AM144" s="6" t="inlineStr"/>
      <c r="AN144" s="6" t="inlineStr"/>
      <c r="AO144" s="3">
        <f>IF(tblOrdenes[[#This Row],[link_checklist]]="","",HYPERLINK(p_ruta_base_checklists&amp;tblOrdenes[[#This Row],[link_checklist]],"abrir"))</f>
        <v/>
      </c>
      <c r="AP144" s="6" t="inlineStr"/>
      <c r="AQ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CC-310</t>
        </is>
      </c>
      <c r="G145" s="3" t="inlineStr">
        <is>
          <t>PU-MEC</t>
        </is>
      </c>
      <c r="H145" s="3" t="inlineStr">
        <is>
          <t>ACT-03</t>
        </is>
      </c>
      <c r="I145" s="3" t="inlineStr">
        <is>
          <t>TIPO-C1</t>
        </is>
      </c>
      <c r="J145" s="11" t="n">
        <v>46180</v>
      </c>
      <c r="K145" s="3" t="n">
        <v>6</v>
      </c>
      <c r="L145" s="10" t="n">
        <v>240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3">
        <f>IF(tblOrdenes[[#This Row],[tipo_ot]]="","",_xlfn.XLOOKUP(tblOrdenes[[#This Row],[tipo_ot]],tblTiposOT[codigo],tblTiposOT[clasificacion],"sin_clasificar"))</f>
        <v/>
      </c>
      <c r="U145" s="3">
        <f>IF(tblOrdenes[[#This Row],[centro_costo]]="","",_xlfn.XLOOKUP(tblOrdenes[[#This Row],[centro_costo]],tblCECO[codigo],tblCECO[linea],"(sin catálogo)"))</f>
        <v/>
      </c>
      <c r="V145" s="3">
        <f>IF(tblOrdenes[[#This Row],[centro_costo]]="","",_xlfn.XLOOKUP(tblOrdenes[[#This Row],[centro_costo]],tblCECO[codigo],tblCECO[area],"(sin catálogo)"))</f>
        <v/>
      </c>
      <c r="W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3">
        <f>IF(tblOrdenes[[#This Row],[centro_costo]]="","",_xlfn.XLOOKUP(tblOrdenes[[#This Row],[centro_costo]],tblCECO[codigo],tblCECO[coordinador],"(sin catálogo)"))</f>
        <v/>
      </c>
      <c r="Y145" s="3">
        <f>IF(tblOrdenes[[#This Row],[puesto_trabajo]]="","",_xlfn.XLOOKUP(tblOrdenes[[#This Row],[puesto_trabajo]],tblPuestos[codigo],tblPuestos[especialidad],"(sin catálogo)"))</f>
        <v/>
      </c>
      <c r="Z145" s="3">
        <f>IF(tblOrdenes[[#This Row],[cod_actividad]]="","",_xlfn.XLOOKUP(tblOrdenes[[#This Row],[cod_actividad]],tblActividades[codigo],tblActividades[descripcion],"(sin catálogo)"))</f>
        <v/>
      </c>
      <c r="AA145" s="12">
        <f>IF(tblOrdenes[[#This Row],[fecha_inicio]]="","",TODAY()-tblOrdenes[[#This Row],[fecha_inicio]])</f>
        <v/>
      </c>
      <c r="AB1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3">
        <f>IF(tblOrdenes[[#This Row],[backlog_habiles]]="","",IF(tblOrdenes[[#This Row],[backlog_habiles]]&lt;0,"FUTURO",IF(tblOrdenes[[#This Row],[backlog_habiles]]&gt;p_dias_backlog_max,"BACKLOG","MES CORRIENTE")))</f>
        <v/>
      </c>
      <c r="AD145" s="3">
        <f>IF(tblOrdenes[[#This Row],[backlog_habiles]]="",FALSE,AND(tblOrdenes[[#This Row],[backlog_habiles]]&gt;p_dias_backlog_min,tblOrdenes[[#This Row],[backlog_habiles]]&lt;=p_dias_backlog_max))</f>
        <v/>
      </c>
      <c r="AE145" s="6" t="inlineStr"/>
      <c r="AF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0">
        <f>IF(tblOrdenes[[#This Row],[orden]]="","",_xlfn.XLOOKUP(tblOrdenes[[#This Row],[id_operacion]],tblEjecucion[id_operacion],tblEjecucion[precio],0))</f>
        <v/>
      </c>
      <c r="AJ145" s="10">
        <f>IF(tblOrdenes[[#This Row],[orden]]="","",MAX(0,_xlfn.XLOOKUP(tblOrdenes[[#This Row],[id_operacion]],tblEjecucion[id_operacion],tblEjecucion[costo_plan_total],0)-tblOrdenes[[#This Row],[costo_servicio]]))</f>
        <v/>
      </c>
      <c r="AK145" s="10">
        <f>IF(tblOrdenes[[#This Row],[orden]]="","",tblOrdenes[[#This Row],[costo_servicio]]+tblOrdenes[[#This Row],[costo_materiales]])</f>
        <v/>
      </c>
      <c r="AL145" s="6" t="inlineStr"/>
      <c r="AM145" s="6" t="inlineStr"/>
      <c r="AN145" s="6" t="inlineStr"/>
      <c r="AO145" s="3">
        <f>IF(tblOrdenes[[#This Row],[link_checklist]]="","",HYPERLINK(p_ruta_base_checklists&amp;tblOrdenes[[#This Row],[link_checklist]],"abrir"))</f>
        <v/>
      </c>
      <c r="AP145" s="6" t="inlineStr"/>
      <c r="AQ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CC-311</t>
        </is>
      </c>
      <c r="G146" s="3" t="inlineStr">
        <is>
          <t>PU-ELE</t>
        </is>
      </c>
      <c r="H146" s="3" t="inlineStr">
        <is>
          <t>ACT-03</t>
        </is>
      </c>
      <c r="I146" s="3" t="inlineStr">
        <is>
          <t>TIPO-C2</t>
        </is>
      </c>
      <c r="J146" s="11" t="n">
        <v>46180</v>
      </c>
      <c r="K146" s="3" t="n">
        <v>8</v>
      </c>
      <c r="L146" s="10" t="n">
        <v>320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3">
        <f>IF(tblOrdenes[[#This Row],[tipo_ot]]="","",_xlfn.XLOOKUP(tblOrdenes[[#This Row],[tipo_ot]],tblTiposOT[codigo],tblTiposOT[clasificacion],"sin_clasificar"))</f>
        <v/>
      </c>
      <c r="U146" s="3">
        <f>IF(tblOrdenes[[#This Row],[centro_costo]]="","",_xlfn.XLOOKUP(tblOrdenes[[#This Row],[centro_costo]],tblCECO[codigo],tblCECO[linea],"(sin catálogo)"))</f>
        <v/>
      </c>
      <c r="V146" s="3">
        <f>IF(tblOrdenes[[#This Row],[centro_costo]]="","",_xlfn.XLOOKUP(tblOrdenes[[#This Row],[centro_costo]],tblCECO[codigo],tblCECO[area],"(sin catálogo)"))</f>
        <v/>
      </c>
      <c r="W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3">
        <f>IF(tblOrdenes[[#This Row],[centro_costo]]="","",_xlfn.XLOOKUP(tblOrdenes[[#This Row],[centro_costo]],tblCECO[codigo],tblCECO[coordinador],"(sin catálogo)"))</f>
        <v/>
      </c>
      <c r="Y146" s="3">
        <f>IF(tblOrdenes[[#This Row],[puesto_trabajo]]="","",_xlfn.XLOOKUP(tblOrdenes[[#This Row],[puesto_trabajo]],tblPuestos[codigo],tblPuestos[especialidad],"(sin catálogo)"))</f>
        <v/>
      </c>
      <c r="Z146" s="3">
        <f>IF(tblOrdenes[[#This Row],[cod_actividad]]="","",_xlfn.XLOOKUP(tblOrdenes[[#This Row],[cod_actividad]],tblActividades[codigo],tblActividades[descripcion],"(sin catálogo)"))</f>
        <v/>
      </c>
      <c r="AA146" s="12">
        <f>IF(tblOrdenes[[#This Row],[fecha_inicio]]="","",TODAY()-tblOrdenes[[#This Row],[fecha_inicio]])</f>
        <v/>
      </c>
      <c r="AB1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3">
        <f>IF(tblOrdenes[[#This Row],[backlog_habiles]]="","",IF(tblOrdenes[[#This Row],[backlog_habiles]]&lt;0,"FUTURO",IF(tblOrdenes[[#This Row],[backlog_habiles]]&gt;p_dias_backlog_max,"BACKLOG","MES CORRIENTE")))</f>
        <v/>
      </c>
      <c r="AD146" s="3">
        <f>IF(tblOrdenes[[#This Row],[backlog_habiles]]="",FALSE,AND(tblOrdenes[[#This Row],[backlog_habiles]]&gt;p_dias_backlog_min,tblOrdenes[[#This Row],[backlog_habiles]]&lt;=p_dias_backlog_max))</f>
        <v/>
      </c>
      <c r="AE146" s="6" t="inlineStr"/>
      <c r="AF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0">
        <f>IF(tblOrdenes[[#This Row],[orden]]="","",_xlfn.XLOOKUP(tblOrdenes[[#This Row],[id_operacion]],tblEjecucion[id_operacion],tblEjecucion[precio],0))</f>
        <v/>
      </c>
      <c r="AJ146" s="10">
        <f>IF(tblOrdenes[[#This Row],[orden]]="","",MAX(0,_xlfn.XLOOKUP(tblOrdenes[[#This Row],[id_operacion]],tblEjecucion[id_operacion],tblEjecucion[costo_plan_total],0)-tblOrdenes[[#This Row],[costo_servicio]]))</f>
        <v/>
      </c>
      <c r="AK146" s="10">
        <f>IF(tblOrdenes[[#This Row],[orden]]="","",tblOrdenes[[#This Row],[costo_servicio]]+tblOrdenes[[#This Row],[costo_materiales]])</f>
        <v/>
      </c>
      <c r="AL146" s="6" t="inlineStr"/>
      <c r="AM146" s="6" t="inlineStr"/>
      <c r="AN146" s="6" t="inlineStr"/>
      <c r="AO146" s="3">
        <f>IF(tblOrdenes[[#This Row],[link_checklist]]="","",HYPERLINK(p_ruta_base_checklists&amp;tblOrdenes[[#This Row],[link_checklist]],"abrir"))</f>
        <v/>
      </c>
      <c r="AP146" s="6" t="inlineStr"/>
      <c r="AQ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EQ-110</t>
        </is>
      </c>
      <c r="D147" s="3" t="inlineStr">
        <is>
          <t>Reparación de falla en EQ-110</t>
        </is>
      </c>
      <c r="E147" s="3" t="inlineStr">
        <is>
          <t>EQ-110</t>
        </is>
      </c>
      <c r="F147" s="3" t="inlineStr">
        <is>
          <t>CC-320</t>
        </is>
      </c>
      <c r="G147" s="3" t="inlineStr">
        <is>
          <t>PU-AUT</t>
        </is>
      </c>
      <c r="H147" s="3" t="inlineStr">
        <is>
          <t>ACT-03</t>
        </is>
      </c>
      <c r="I147" s="3" t="inlineStr">
        <is>
          <t>TIPO-C1</t>
        </is>
      </c>
      <c r="J147" s="11" t="n">
        <v>46180</v>
      </c>
      <c r="K147" s="3" t="n">
        <v>4</v>
      </c>
      <c r="L147" s="10" t="n">
        <v>160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3">
        <f>IF(tblOrdenes[[#This Row],[tipo_ot]]="","",_xlfn.XLOOKUP(tblOrdenes[[#This Row],[tipo_ot]],tblTiposOT[codigo],tblTiposOT[clasificacion],"sin_clasificar"))</f>
        <v/>
      </c>
      <c r="U147" s="3">
        <f>IF(tblOrdenes[[#This Row],[centro_costo]]="","",_xlfn.XLOOKUP(tblOrdenes[[#This Row],[centro_costo]],tblCECO[codigo],tblCECO[linea],"(sin catálogo)"))</f>
        <v/>
      </c>
      <c r="V147" s="3">
        <f>IF(tblOrdenes[[#This Row],[centro_costo]]="","",_xlfn.XLOOKUP(tblOrdenes[[#This Row],[centro_costo]],tblCECO[codigo],tblCECO[area],"(sin catálogo)"))</f>
        <v/>
      </c>
      <c r="W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3">
        <f>IF(tblOrdenes[[#This Row],[centro_costo]]="","",_xlfn.XLOOKUP(tblOrdenes[[#This Row],[centro_costo]],tblCECO[codigo],tblCECO[coordinador],"(sin catálogo)"))</f>
        <v/>
      </c>
      <c r="Y147" s="3">
        <f>IF(tblOrdenes[[#This Row],[puesto_trabajo]]="","",_xlfn.XLOOKUP(tblOrdenes[[#This Row],[puesto_trabajo]],tblPuestos[codigo],tblPuestos[especialidad],"(sin catálogo)"))</f>
        <v/>
      </c>
      <c r="Z147" s="3">
        <f>IF(tblOrdenes[[#This Row],[cod_actividad]]="","",_xlfn.XLOOKUP(tblOrdenes[[#This Row],[cod_actividad]],tblActividades[codigo],tblActividades[descripcion],"(sin catálogo)"))</f>
        <v/>
      </c>
      <c r="AA147" s="12">
        <f>IF(tblOrdenes[[#This Row],[fecha_inicio]]="","",TODAY()-tblOrdenes[[#This Row],[fecha_inicio]])</f>
        <v/>
      </c>
      <c r="AB1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3">
        <f>IF(tblOrdenes[[#This Row],[backlog_habiles]]="","",IF(tblOrdenes[[#This Row],[backlog_habiles]]&lt;0,"FUTURO",IF(tblOrdenes[[#This Row],[backlog_habiles]]&gt;p_dias_backlog_max,"BACKLOG","MES CORRIENTE")))</f>
        <v/>
      </c>
      <c r="AD147" s="3">
        <f>IF(tblOrdenes[[#This Row],[backlog_habiles]]="",FALSE,AND(tblOrdenes[[#This Row],[backlog_habiles]]&gt;p_dias_backlog_min,tblOrdenes[[#This Row],[backlog_habiles]]&lt;=p_dias_backlog_max))</f>
        <v/>
      </c>
      <c r="AE147" s="6" t="inlineStr"/>
      <c r="AF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0">
        <f>IF(tblOrdenes[[#This Row],[orden]]="","",_xlfn.XLOOKUP(tblOrdenes[[#This Row],[id_operacion]],tblEjecucion[id_operacion],tblEjecucion[precio],0))</f>
        <v/>
      </c>
      <c r="AJ147" s="10">
        <f>IF(tblOrdenes[[#This Row],[orden]]="","",MAX(0,_xlfn.XLOOKUP(tblOrdenes[[#This Row],[id_operacion]],tblEjecucion[id_operacion],tblEjecucion[costo_plan_total],0)-tblOrdenes[[#This Row],[costo_servicio]]))</f>
        <v/>
      </c>
      <c r="AK147" s="10">
        <f>IF(tblOrdenes[[#This Row],[orden]]="","",tblOrdenes[[#This Row],[costo_servicio]]+tblOrdenes[[#This Row],[costo_materiales]])</f>
        <v/>
      </c>
      <c r="AL147" s="6" t="inlineStr"/>
      <c r="AM147" s="6" t="inlineStr"/>
      <c r="AN147" s="6" t="inlineStr"/>
      <c r="AO147" s="3">
        <f>IF(tblOrdenes[[#This Row],[link_checklist]]="","",HYPERLINK(p_ruta_base_checklists&amp;tblOrdenes[[#This Row],[link_checklist]],"abrir"))</f>
        <v/>
      </c>
      <c r="AP147" s="6" t="inlineStr"/>
      <c r="AQ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CC-321</t>
        </is>
      </c>
      <c r="G148" s="3" t="inlineStr">
        <is>
          <t>PU-OP</t>
        </is>
      </c>
      <c r="H148" s="3" t="inlineStr">
        <is>
          <t>ACT-02</t>
        </is>
      </c>
      <c r="I148" s="3" t="inlineStr">
        <is>
          <t>TIPO-P2</t>
        </is>
      </c>
      <c r="J148" s="11" t="n">
        <v>46180</v>
      </c>
      <c r="K148" s="3" t="n">
        <v>6</v>
      </c>
      <c r="L148" s="10" t="n">
        <v>150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3">
        <f>IF(tblOrdenes[[#This Row],[tipo_ot]]="","",_xlfn.XLOOKUP(tblOrdenes[[#This Row],[tipo_ot]],tblTiposOT[codigo],tblTiposOT[clasificacion],"sin_clasificar"))</f>
        <v/>
      </c>
      <c r="U148" s="3">
        <f>IF(tblOrdenes[[#This Row],[centro_costo]]="","",_xlfn.XLOOKUP(tblOrdenes[[#This Row],[centro_costo]],tblCECO[codigo],tblCECO[linea],"(sin catálogo)"))</f>
        <v/>
      </c>
      <c r="V148" s="3">
        <f>IF(tblOrdenes[[#This Row],[centro_costo]]="","",_xlfn.XLOOKUP(tblOrdenes[[#This Row],[centro_costo]],tblCECO[codigo],tblCECO[area],"(sin catálogo)"))</f>
        <v/>
      </c>
      <c r="W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3">
        <f>IF(tblOrdenes[[#This Row],[centro_costo]]="","",_xlfn.XLOOKUP(tblOrdenes[[#This Row],[centro_costo]],tblCECO[codigo],tblCECO[coordinador],"(sin catálogo)"))</f>
        <v/>
      </c>
      <c r="Y148" s="3">
        <f>IF(tblOrdenes[[#This Row],[puesto_trabajo]]="","",_xlfn.XLOOKUP(tblOrdenes[[#This Row],[puesto_trabajo]],tblPuestos[codigo],tblPuestos[especialidad],"(sin catálogo)"))</f>
        <v/>
      </c>
      <c r="Z148" s="3">
        <f>IF(tblOrdenes[[#This Row],[cod_actividad]]="","",_xlfn.XLOOKUP(tblOrdenes[[#This Row],[cod_actividad]],tblActividades[codigo],tblActividades[descripcion],"(sin catálogo)"))</f>
        <v/>
      </c>
      <c r="AA148" s="12">
        <f>IF(tblOrdenes[[#This Row],[fecha_inicio]]="","",TODAY()-tblOrdenes[[#This Row],[fecha_inicio]])</f>
        <v/>
      </c>
      <c r="AB1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3">
        <f>IF(tblOrdenes[[#This Row],[backlog_habiles]]="","",IF(tblOrdenes[[#This Row],[backlog_habiles]]&lt;0,"FUTURO",IF(tblOrdenes[[#This Row],[backlog_habiles]]&gt;p_dias_backlog_max,"BACKLOG","MES CORRIENTE")))</f>
        <v/>
      </c>
      <c r="AD148" s="3">
        <f>IF(tblOrdenes[[#This Row],[backlog_habiles]]="",FALSE,AND(tblOrdenes[[#This Row],[backlog_habiles]]&gt;p_dias_backlog_min,tblOrdenes[[#This Row],[backlog_habiles]]&lt;=p_dias_backlog_max))</f>
        <v/>
      </c>
      <c r="AE148" s="6" t="inlineStr"/>
      <c r="AF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0">
        <f>IF(tblOrdenes[[#This Row],[orden]]="","",_xlfn.XLOOKUP(tblOrdenes[[#This Row],[id_operacion]],tblEjecucion[id_operacion],tblEjecucion[precio],0))</f>
        <v/>
      </c>
      <c r="AJ148" s="10">
        <f>IF(tblOrdenes[[#This Row],[orden]]="","",MAX(0,_xlfn.XLOOKUP(tblOrdenes[[#This Row],[id_operacion]],tblEjecucion[id_operacion],tblEjecucion[costo_plan_total],0)-tblOrdenes[[#This Row],[costo_servicio]]))</f>
        <v/>
      </c>
      <c r="AK148" s="10">
        <f>IF(tblOrdenes[[#This Row],[orden]]="","",tblOrdenes[[#This Row],[costo_servicio]]+tblOrdenes[[#This Row],[costo_materiales]])</f>
        <v/>
      </c>
      <c r="AL148" s="6" t="inlineStr"/>
      <c r="AM148" s="6" t="inlineStr"/>
      <c r="AN148" s="6" t="inlineStr"/>
      <c r="AO148" s="3">
        <f>IF(tblOrdenes[[#This Row],[link_checklist]]="","",HYPERLINK(p_ruta_base_checklists&amp;tblOrdenes[[#This Row],[link_checklist]],"abrir"))</f>
        <v/>
      </c>
      <c r="AP148" s="6" t="inlineStr"/>
      <c r="AQ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46150</v>
      </c>
      <c r="K149" s="3" t="n">
        <v>4</v>
      </c>
      <c r="L149" s="10" t="n">
        <v>160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3">
        <f>IF(tblOrdenes[[#This Row],[tipo_ot]]="","",_xlfn.XLOOKUP(tblOrdenes[[#This Row],[tipo_ot]],tblTiposOT[codigo],tblTiposOT[clasificacion],"sin_clasificar"))</f>
        <v/>
      </c>
      <c r="U149" s="3">
        <f>IF(tblOrdenes[[#This Row],[centro_costo]]="","",_xlfn.XLOOKUP(tblOrdenes[[#This Row],[centro_costo]],tblCECO[codigo],tblCECO[linea],"(sin catálogo)"))</f>
        <v/>
      </c>
      <c r="V149" s="3">
        <f>IF(tblOrdenes[[#This Row],[centro_costo]]="","",_xlfn.XLOOKUP(tblOrdenes[[#This Row],[centro_costo]],tblCECO[codigo],tblCECO[area],"(sin catálogo)"))</f>
        <v/>
      </c>
      <c r="W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3">
        <f>IF(tblOrdenes[[#This Row],[centro_costo]]="","",_xlfn.XLOOKUP(tblOrdenes[[#This Row],[centro_costo]],tblCECO[codigo],tblCECO[coordinador],"(sin catálogo)"))</f>
        <v/>
      </c>
      <c r="Y149" s="3">
        <f>IF(tblOrdenes[[#This Row],[puesto_trabajo]]="","",_xlfn.XLOOKUP(tblOrdenes[[#This Row],[puesto_trabajo]],tblPuestos[codigo],tblPuestos[especialidad],"(sin catálogo)"))</f>
        <v/>
      </c>
      <c r="Z149" s="3">
        <f>IF(tblOrdenes[[#This Row],[cod_actividad]]="","",_xlfn.XLOOKUP(tblOrdenes[[#This Row],[cod_actividad]],tblActividades[codigo],tblActividades[descripcion],"(sin catálogo)"))</f>
        <v/>
      </c>
      <c r="AA149" s="12">
        <f>IF(tblOrdenes[[#This Row],[fecha_inicio]]="","",TODAY()-tblOrdenes[[#This Row],[fecha_inicio]])</f>
        <v/>
      </c>
      <c r="AB1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3">
        <f>IF(tblOrdenes[[#This Row],[backlog_habiles]]="","",IF(tblOrdenes[[#This Row],[backlog_habiles]]&lt;0,"FUTURO",IF(tblOrdenes[[#This Row],[backlog_habiles]]&gt;p_dias_backlog_max,"BACKLOG","MES CORRIENTE")))</f>
        <v/>
      </c>
      <c r="AD149" s="3">
        <f>IF(tblOrdenes[[#This Row],[backlog_habiles]]="",FALSE,AND(tblOrdenes[[#This Row],[backlog_habiles]]&gt;p_dias_backlog_min,tblOrdenes[[#This Row],[backlog_habiles]]&lt;=p_dias_backlog_max))</f>
        <v/>
      </c>
      <c r="AE149" s="6" t="inlineStr"/>
      <c r="AF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0">
        <f>IF(tblOrdenes[[#This Row],[orden]]="","",_xlfn.XLOOKUP(tblOrdenes[[#This Row],[id_operacion]],tblEjecucion[id_operacion],tblEjecucion[precio],0))</f>
        <v/>
      </c>
      <c r="AJ149" s="10">
        <f>IF(tblOrdenes[[#This Row],[orden]]="","",MAX(0,_xlfn.XLOOKUP(tblOrdenes[[#This Row],[id_operacion]],tblEjecucion[id_operacion],tblEjecucion[costo_plan_total],0)-tblOrdenes[[#This Row],[costo_servicio]]))</f>
        <v/>
      </c>
      <c r="AK149" s="10">
        <f>IF(tblOrdenes[[#This Row],[orden]]="","",tblOrdenes[[#This Row],[costo_servicio]]+tblOrdenes[[#This Row],[costo_materiales]])</f>
        <v/>
      </c>
      <c r="AL149" s="6" t="inlineStr"/>
      <c r="AM149" s="6" t="inlineStr"/>
      <c r="AN149" s="6" t="inlineStr"/>
      <c r="AO149" s="3">
        <f>IF(tblOrdenes[[#This Row],[link_checklist]]="","",HYPERLINK(p_ruta_base_checklists&amp;tblOrdenes[[#This Row],[link_checklist]],"abrir"))</f>
        <v/>
      </c>
      <c r="AP149" s="6" t="inlineStr"/>
      <c r="AQ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EQ-109</t>
        </is>
      </c>
      <c r="D150" s="3" t="inlineStr">
        <is>
          <t>Reparación de falla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46150</v>
      </c>
      <c r="K150" s="3" t="n">
        <v>6</v>
      </c>
      <c r="L150" s="10" t="n">
        <v>240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3">
        <f>IF(tblOrdenes[[#This Row],[tipo_ot]]="","",_xlfn.XLOOKUP(tblOrdenes[[#This Row],[tipo_ot]],tblTiposOT[codigo],tblTiposOT[clasificacion],"sin_clasificar"))</f>
        <v/>
      </c>
      <c r="U150" s="3">
        <f>IF(tblOrdenes[[#This Row],[centro_costo]]="","",_xlfn.XLOOKUP(tblOrdenes[[#This Row],[centro_costo]],tblCECO[codigo],tblCECO[linea],"(sin catálogo)"))</f>
        <v/>
      </c>
      <c r="V150" s="3">
        <f>IF(tblOrdenes[[#This Row],[centro_costo]]="","",_xlfn.XLOOKUP(tblOrdenes[[#This Row],[centro_costo]],tblCECO[codigo],tblCECO[area],"(sin catálogo)"))</f>
        <v/>
      </c>
      <c r="W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3">
        <f>IF(tblOrdenes[[#This Row],[centro_costo]]="","",_xlfn.XLOOKUP(tblOrdenes[[#This Row],[centro_costo]],tblCECO[codigo],tblCECO[coordinador],"(sin catálogo)"))</f>
        <v/>
      </c>
      <c r="Y150" s="3">
        <f>IF(tblOrdenes[[#This Row],[puesto_trabajo]]="","",_xlfn.XLOOKUP(tblOrdenes[[#This Row],[puesto_trabajo]],tblPuestos[codigo],tblPuestos[especialidad],"(sin catálogo)"))</f>
        <v/>
      </c>
      <c r="Z150" s="3">
        <f>IF(tblOrdenes[[#This Row],[cod_actividad]]="","",_xlfn.XLOOKUP(tblOrdenes[[#This Row],[cod_actividad]],tblActividades[codigo],tblActividades[descripcion],"(sin catálogo)"))</f>
        <v/>
      </c>
      <c r="AA150" s="12">
        <f>IF(tblOrdenes[[#This Row],[fecha_inicio]]="","",TODAY()-tblOrdenes[[#This Row],[fecha_inicio]])</f>
        <v/>
      </c>
      <c r="AB1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3">
        <f>IF(tblOrdenes[[#This Row],[backlog_habiles]]="","",IF(tblOrdenes[[#This Row],[backlog_habiles]]&lt;0,"FUTURO",IF(tblOrdenes[[#This Row],[backlog_habiles]]&gt;p_dias_backlog_max,"BACKLOG","MES CORRIENTE")))</f>
        <v/>
      </c>
      <c r="AD150" s="3">
        <f>IF(tblOrdenes[[#This Row],[backlog_habiles]]="",FALSE,AND(tblOrdenes[[#This Row],[backlog_habiles]]&gt;p_dias_backlog_min,tblOrdenes[[#This Row],[backlog_habiles]]&lt;=p_dias_backlog_max))</f>
        <v/>
      </c>
      <c r="AE150" s="6" t="inlineStr"/>
      <c r="AF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0">
        <f>IF(tblOrdenes[[#This Row],[orden]]="","",_xlfn.XLOOKUP(tblOrdenes[[#This Row],[id_operacion]],tblEjecucion[id_operacion],tblEjecucion[precio],0))</f>
        <v/>
      </c>
      <c r="AJ150" s="10">
        <f>IF(tblOrdenes[[#This Row],[orden]]="","",MAX(0,_xlfn.XLOOKUP(tblOrdenes[[#This Row],[id_operacion]],tblEjecucion[id_operacion],tblEjecucion[costo_plan_total],0)-tblOrdenes[[#This Row],[costo_servicio]]))</f>
        <v/>
      </c>
      <c r="AK150" s="10">
        <f>IF(tblOrdenes[[#This Row],[orden]]="","",tblOrdenes[[#This Row],[costo_servicio]]+tblOrdenes[[#This Row],[costo_materiales]])</f>
        <v/>
      </c>
      <c r="AL150" s="6" t="inlineStr"/>
      <c r="AM150" s="6" t="inlineStr"/>
      <c r="AN150" s="6" t="inlineStr"/>
      <c r="AO150" s="3">
        <f>IF(tblOrdenes[[#This Row],[link_checklist]]="","",HYPERLINK(p_ruta_base_checklists&amp;tblOrdenes[[#This Row],[link_checklist]],"abrir"))</f>
        <v/>
      </c>
      <c r="AP150" s="6" t="inlineStr"/>
      <c r="AQ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PU-OP</t>
        </is>
      </c>
      <c r="H151" s="3" t="inlineStr">
        <is>
          <t>ACT-03</t>
        </is>
      </c>
      <c r="I151" s="3" t="inlineStr">
        <is>
          <t>TIPO-C1</t>
        </is>
      </c>
      <c r="J151" s="11" t="n">
        <v>46150</v>
      </c>
      <c r="K151" s="3" t="n">
        <v>8</v>
      </c>
      <c r="L151" s="10" t="n">
        <v>320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3">
        <f>IF(tblOrdenes[[#This Row],[tipo_ot]]="","",_xlfn.XLOOKUP(tblOrdenes[[#This Row],[tipo_ot]],tblTiposOT[codigo],tblTiposOT[clasificacion],"sin_clasificar"))</f>
        <v/>
      </c>
      <c r="U151" s="3">
        <f>IF(tblOrdenes[[#This Row],[centro_costo]]="","",_xlfn.XLOOKUP(tblOrdenes[[#This Row],[centro_costo]],tblCECO[codigo],tblCECO[linea],"(sin catálogo)"))</f>
        <v/>
      </c>
      <c r="V151" s="3">
        <f>IF(tblOrdenes[[#This Row],[centro_costo]]="","",_xlfn.XLOOKUP(tblOrdenes[[#This Row],[centro_costo]],tblCECO[codigo],tblCECO[area],"(sin catálogo)"))</f>
        <v/>
      </c>
      <c r="W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3">
        <f>IF(tblOrdenes[[#This Row],[centro_costo]]="","",_xlfn.XLOOKUP(tblOrdenes[[#This Row],[centro_costo]],tblCECO[codigo],tblCECO[coordinador],"(sin catálogo)"))</f>
        <v/>
      </c>
      <c r="Y151" s="3">
        <f>IF(tblOrdenes[[#This Row],[puesto_trabajo]]="","",_xlfn.XLOOKUP(tblOrdenes[[#This Row],[puesto_trabajo]],tblPuestos[codigo],tblPuestos[especialidad],"(sin catálogo)"))</f>
        <v/>
      </c>
      <c r="Z151" s="3">
        <f>IF(tblOrdenes[[#This Row],[cod_actividad]]="","",_xlfn.XLOOKUP(tblOrdenes[[#This Row],[cod_actividad]],tblActividades[codigo],tblActividades[descripcion],"(sin catálogo)"))</f>
        <v/>
      </c>
      <c r="AA151" s="12">
        <f>IF(tblOrdenes[[#This Row],[fecha_inicio]]="","",TODAY()-tblOrdenes[[#This Row],[fecha_inicio]])</f>
        <v/>
      </c>
      <c r="AB1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3">
        <f>IF(tblOrdenes[[#This Row],[backlog_habiles]]="","",IF(tblOrdenes[[#This Row],[backlog_habiles]]&lt;0,"FUTURO",IF(tblOrdenes[[#This Row],[backlog_habiles]]&gt;p_dias_backlog_max,"BACKLOG","MES CORRIENTE")))</f>
        <v/>
      </c>
      <c r="AD151" s="3">
        <f>IF(tblOrdenes[[#This Row],[backlog_habiles]]="",FALSE,AND(tblOrdenes[[#This Row],[backlog_habiles]]&gt;p_dias_backlog_min,tblOrdenes[[#This Row],[backlog_habiles]]&lt;=p_dias_backlog_max))</f>
        <v/>
      </c>
      <c r="AE151" s="6" t="inlineStr"/>
      <c r="AF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0">
        <f>IF(tblOrdenes[[#This Row],[orden]]="","",_xlfn.XLOOKUP(tblOrdenes[[#This Row],[id_operacion]],tblEjecucion[id_operacion],tblEjecucion[precio],0))</f>
        <v/>
      </c>
      <c r="AJ151" s="10">
        <f>IF(tblOrdenes[[#This Row],[orden]]="","",MAX(0,_xlfn.XLOOKUP(tblOrdenes[[#This Row],[id_operacion]],tblEjecucion[id_operacion],tblEjecucion[costo_plan_total],0)-tblOrdenes[[#This Row],[costo_servicio]]))</f>
        <v/>
      </c>
      <c r="AK151" s="10">
        <f>IF(tblOrdenes[[#This Row],[orden]]="","",tblOrdenes[[#This Row],[costo_servicio]]+tblOrdenes[[#This Row],[costo_materiales]])</f>
        <v/>
      </c>
      <c r="AL151" s="6" t="inlineStr"/>
      <c r="AM151" s="6" t="inlineStr"/>
      <c r="AN151" s="6" t="inlineStr"/>
      <c r="AO151" s="3">
        <f>IF(tblOrdenes[[#This Row],[link_checklist]]="","",HYPERLINK(p_ruta_base_checklists&amp;tblOrdenes[[#This Row],[link_checklist]],"abrir"))</f>
        <v/>
      </c>
      <c r="AP151" s="6" t="inlineStr"/>
      <c r="AQ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PU-MEC</t>
        </is>
      </c>
      <c r="H152" s="3" t="inlineStr">
        <is>
          <t>ACT-04</t>
        </is>
      </c>
      <c r="I152" s="3" t="inlineStr">
        <is>
          <t>TIPO-P2</t>
        </is>
      </c>
      <c r="J152" s="11" t="n">
        <v>46150</v>
      </c>
      <c r="K152" s="3" t="n">
        <v>4</v>
      </c>
      <c r="L152" s="10" t="n">
        <v>100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3">
        <f>IF(tblOrdenes[[#This Row],[tipo_ot]]="","",_xlfn.XLOOKUP(tblOrdenes[[#This Row],[tipo_ot]],tblTiposOT[codigo],tblTiposOT[clasificacion],"sin_clasificar"))</f>
        <v/>
      </c>
      <c r="U152" s="3">
        <f>IF(tblOrdenes[[#This Row],[centro_costo]]="","",_xlfn.XLOOKUP(tblOrdenes[[#This Row],[centro_costo]],tblCECO[codigo],tblCECO[linea],"(sin catálogo)"))</f>
        <v/>
      </c>
      <c r="V152" s="3">
        <f>IF(tblOrdenes[[#This Row],[centro_costo]]="","",_xlfn.XLOOKUP(tblOrdenes[[#This Row],[centro_costo]],tblCECO[codigo],tblCECO[area],"(sin catálogo)"))</f>
        <v/>
      </c>
      <c r="W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3">
        <f>IF(tblOrdenes[[#This Row],[centro_costo]]="","",_xlfn.XLOOKUP(tblOrdenes[[#This Row],[centro_costo]],tblCECO[codigo],tblCECO[coordinador],"(sin catálogo)"))</f>
        <v/>
      </c>
      <c r="Y152" s="3">
        <f>IF(tblOrdenes[[#This Row],[puesto_trabajo]]="","",_xlfn.XLOOKUP(tblOrdenes[[#This Row],[puesto_trabajo]],tblPuestos[codigo],tblPuestos[especialidad],"(sin catálogo)"))</f>
        <v/>
      </c>
      <c r="Z152" s="3">
        <f>IF(tblOrdenes[[#This Row],[cod_actividad]]="","",_xlfn.XLOOKUP(tblOrdenes[[#This Row],[cod_actividad]],tblActividades[codigo],tblActividades[descripcion],"(sin catálogo)"))</f>
        <v/>
      </c>
      <c r="AA152" s="12">
        <f>IF(tblOrdenes[[#This Row],[fecha_inicio]]="","",TODAY()-tblOrdenes[[#This Row],[fecha_inicio]])</f>
        <v/>
      </c>
      <c r="AB1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3">
        <f>IF(tblOrdenes[[#This Row],[backlog_habiles]]="","",IF(tblOrdenes[[#This Row],[backlog_habiles]]&lt;0,"FUTURO",IF(tblOrdenes[[#This Row],[backlog_habiles]]&gt;p_dias_backlog_max,"BACKLOG","MES CORRIENTE")))</f>
        <v/>
      </c>
      <c r="AD152" s="3">
        <f>IF(tblOrdenes[[#This Row],[backlog_habiles]]="",FALSE,AND(tblOrdenes[[#This Row],[backlog_habiles]]&gt;p_dias_backlog_min,tblOrdenes[[#This Row],[backlog_habiles]]&lt;=p_dias_backlog_max))</f>
        <v/>
      </c>
      <c r="AE152" s="6" t="inlineStr"/>
      <c r="AF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0">
        <f>IF(tblOrdenes[[#This Row],[orden]]="","",_xlfn.XLOOKUP(tblOrdenes[[#This Row],[id_operacion]],tblEjecucion[id_operacion],tblEjecucion[precio],0))</f>
        <v/>
      </c>
      <c r="AJ152" s="10">
        <f>IF(tblOrdenes[[#This Row],[orden]]="","",MAX(0,_xlfn.XLOOKUP(tblOrdenes[[#This Row],[id_operacion]],tblEjecucion[id_operacion],tblEjecucion[costo_plan_total],0)-tblOrdenes[[#This Row],[costo_servicio]]))</f>
        <v/>
      </c>
      <c r="AK152" s="10">
        <f>IF(tblOrdenes[[#This Row],[orden]]="","",tblOrdenes[[#This Row],[costo_servicio]]+tblOrdenes[[#This Row],[costo_materiales]])</f>
        <v/>
      </c>
      <c r="AL152" s="6" t="inlineStr"/>
      <c r="AM152" s="6" t="inlineStr"/>
      <c r="AN152" s="6" t="inlineStr"/>
      <c r="AO152" s="3">
        <f>IF(tblOrdenes[[#This Row],[link_checklist]]="","",HYPERLINK(p_ruta_base_checklists&amp;tblOrdenes[[#This Row],[link_checklist]],"abrir"))</f>
        <v/>
      </c>
      <c r="AP152" s="6" t="inlineStr"/>
      <c r="AQ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PU-ELE</t>
        </is>
      </c>
      <c r="H153" s="3" t="inlineStr">
        <is>
          <t>ACT-03</t>
        </is>
      </c>
      <c r="I153" s="3" t="inlineStr">
        <is>
          <t>TIPO-C1</t>
        </is>
      </c>
      <c r="J153" s="11" t="n">
        <v>46150</v>
      </c>
      <c r="K153" s="3" t="n">
        <v>6</v>
      </c>
      <c r="L153" s="10" t="n">
        <v>240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3">
        <f>IF(tblOrdenes[[#This Row],[tipo_ot]]="","",_xlfn.XLOOKUP(tblOrdenes[[#This Row],[tipo_ot]],tblTiposOT[codigo],tblTiposOT[clasificacion],"sin_clasificar"))</f>
        <v/>
      </c>
      <c r="U153" s="3">
        <f>IF(tblOrdenes[[#This Row],[centro_costo]]="","",_xlfn.XLOOKUP(tblOrdenes[[#This Row],[centro_costo]],tblCECO[codigo],tblCECO[linea],"(sin catálogo)"))</f>
        <v/>
      </c>
      <c r="V153" s="3">
        <f>IF(tblOrdenes[[#This Row],[centro_costo]]="","",_xlfn.XLOOKUP(tblOrdenes[[#This Row],[centro_costo]],tblCECO[codigo],tblCECO[area],"(sin catálogo)"))</f>
        <v/>
      </c>
      <c r="W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3">
        <f>IF(tblOrdenes[[#This Row],[centro_costo]]="","",_xlfn.XLOOKUP(tblOrdenes[[#This Row],[centro_costo]],tblCECO[codigo],tblCECO[coordinador],"(sin catálogo)"))</f>
        <v/>
      </c>
      <c r="Y153" s="3">
        <f>IF(tblOrdenes[[#This Row],[puesto_trabajo]]="","",_xlfn.XLOOKUP(tblOrdenes[[#This Row],[puesto_trabajo]],tblPuestos[codigo],tblPuestos[especialidad],"(sin catálogo)"))</f>
        <v/>
      </c>
      <c r="Z153" s="3">
        <f>IF(tblOrdenes[[#This Row],[cod_actividad]]="","",_xlfn.XLOOKUP(tblOrdenes[[#This Row],[cod_actividad]],tblActividades[codigo],tblActividades[descripcion],"(sin catálogo)"))</f>
        <v/>
      </c>
      <c r="AA153" s="12">
        <f>IF(tblOrdenes[[#This Row],[fecha_inicio]]="","",TODAY()-tblOrdenes[[#This Row],[fecha_inicio]])</f>
        <v/>
      </c>
      <c r="AB1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3">
        <f>IF(tblOrdenes[[#This Row],[backlog_habiles]]="","",IF(tblOrdenes[[#This Row],[backlog_habiles]]&lt;0,"FUTURO",IF(tblOrdenes[[#This Row],[backlog_habiles]]&gt;p_dias_backlog_max,"BACKLOG","MES CORRIENTE")))</f>
        <v/>
      </c>
      <c r="AD153" s="3">
        <f>IF(tblOrdenes[[#This Row],[backlog_habiles]]="",FALSE,AND(tblOrdenes[[#This Row],[backlog_habiles]]&gt;p_dias_backlog_min,tblOrdenes[[#This Row],[backlog_habiles]]&lt;=p_dias_backlog_max))</f>
        <v/>
      </c>
      <c r="AE153" s="6" t="inlineStr"/>
      <c r="AF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0">
        <f>IF(tblOrdenes[[#This Row],[orden]]="","",_xlfn.XLOOKUP(tblOrdenes[[#This Row],[id_operacion]],tblEjecucion[id_operacion],tblEjecucion[precio],0))</f>
        <v/>
      </c>
      <c r="AJ153" s="10">
        <f>IF(tblOrdenes[[#This Row],[orden]]="","",MAX(0,_xlfn.XLOOKUP(tblOrdenes[[#This Row],[id_operacion]],tblEjecucion[id_operacion],tblEjecucion[costo_plan_total],0)-tblOrdenes[[#This Row],[costo_servicio]]))</f>
        <v/>
      </c>
      <c r="AK153" s="10">
        <f>IF(tblOrdenes[[#This Row],[orden]]="","",tblOrdenes[[#This Row],[costo_servicio]]+tblOrdenes[[#This Row],[costo_materiales]])</f>
        <v/>
      </c>
      <c r="AL153" s="6" t="inlineStr"/>
      <c r="AM153" s="6" t="inlineStr"/>
      <c r="AN153" s="6" t="inlineStr"/>
      <c r="AO153" s="3">
        <f>IF(tblOrdenes[[#This Row],[link_checklist]]="","",HYPERLINK(p_ruta_base_checklists&amp;tblOrdenes[[#This Row],[link_checklist]],"abrir"))</f>
        <v/>
      </c>
      <c r="AP153" s="6" t="inlineStr"/>
      <c r="AQ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Reparación de falla — EQ-111</t>
        </is>
      </c>
      <c r="D154" s="3" t="inlineStr">
        <is>
          <t>Reparación de falla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PU-AUT</t>
        </is>
      </c>
      <c r="H154" s="3" t="inlineStr">
        <is>
          <t>ACT-03</t>
        </is>
      </c>
      <c r="I154" s="3" t="inlineStr">
        <is>
          <t>TIPO-C2</t>
        </is>
      </c>
      <c r="J154" s="11" t="n">
        <v>46150</v>
      </c>
      <c r="K154" s="3" t="n">
        <v>8</v>
      </c>
      <c r="L154" s="10" t="n">
        <v>320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3">
        <f>IF(tblOrdenes[[#This Row],[tipo_ot]]="","",_xlfn.XLOOKUP(tblOrdenes[[#This Row],[tipo_ot]],tblTiposOT[codigo],tblTiposOT[clasificacion],"sin_clasificar"))</f>
        <v/>
      </c>
      <c r="U154" s="3">
        <f>IF(tblOrdenes[[#This Row],[centro_costo]]="","",_xlfn.XLOOKUP(tblOrdenes[[#This Row],[centro_costo]],tblCECO[codigo],tblCECO[linea],"(sin catálogo)"))</f>
        <v/>
      </c>
      <c r="V154" s="3">
        <f>IF(tblOrdenes[[#This Row],[centro_costo]]="","",_xlfn.XLOOKUP(tblOrdenes[[#This Row],[centro_costo]],tblCECO[codigo],tblCECO[area],"(sin catálogo)"))</f>
        <v/>
      </c>
      <c r="W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3">
        <f>IF(tblOrdenes[[#This Row],[centro_costo]]="","",_xlfn.XLOOKUP(tblOrdenes[[#This Row],[centro_costo]],tblCECO[codigo],tblCECO[coordinador],"(sin catálogo)"))</f>
        <v/>
      </c>
      <c r="Y154" s="3">
        <f>IF(tblOrdenes[[#This Row],[puesto_trabajo]]="","",_xlfn.XLOOKUP(tblOrdenes[[#This Row],[puesto_trabajo]],tblPuestos[codigo],tblPuestos[especialidad],"(sin catálogo)"))</f>
        <v/>
      </c>
      <c r="Z154" s="3">
        <f>IF(tblOrdenes[[#This Row],[cod_actividad]]="","",_xlfn.XLOOKUP(tblOrdenes[[#This Row],[cod_actividad]],tblActividades[codigo],tblActividades[descripcion],"(sin catálogo)"))</f>
        <v/>
      </c>
      <c r="AA154" s="12">
        <f>IF(tblOrdenes[[#This Row],[fecha_inicio]]="","",TODAY()-tblOrdenes[[#This Row],[fecha_inicio]])</f>
        <v/>
      </c>
      <c r="AB1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3">
        <f>IF(tblOrdenes[[#This Row],[backlog_habiles]]="","",IF(tblOrdenes[[#This Row],[backlog_habiles]]&lt;0,"FUTURO",IF(tblOrdenes[[#This Row],[backlog_habiles]]&gt;p_dias_backlog_max,"BACKLOG","MES CORRIENTE")))</f>
        <v/>
      </c>
      <c r="AD154" s="3">
        <f>IF(tblOrdenes[[#This Row],[backlog_habiles]]="",FALSE,AND(tblOrdenes[[#This Row],[backlog_habiles]]&gt;p_dias_backlog_min,tblOrdenes[[#This Row],[backlog_habiles]]&lt;=p_dias_backlog_max))</f>
        <v/>
      </c>
      <c r="AE154" s="6" t="inlineStr"/>
      <c r="AF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0">
        <f>IF(tblOrdenes[[#This Row],[orden]]="","",_xlfn.XLOOKUP(tblOrdenes[[#This Row],[id_operacion]],tblEjecucion[id_operacion],tblEjecucion[precio],0))</f>
        <v/>
      </c>
      <c r="AJ154" s="10">
        <f>IF(tblOrdenes[[#This Row],[orden]]="","",MAX(0,_xlfn.XLOOKUP(tblOrdenes[[#This Row],[id_operacion]],tblEjecucion[id_operacion],tblEjecucion[costo_plan_total],0)-tblOrdenes[[#This Row],[costo_servicio]]))</f>
        <v/>
      </c>
      <c r="AK154" s="10">
        <f>IF(tblOrdenes[[#This Row],[orden]]="","",tblOrdenes[[#This Row],[costo_servicio]]+tblOrdenes[[#This Row],[costo_materiales]])</f>
        <v/>
      </c>
      <c r="AL154" s="6" t="inlineStr"/>
      <c r="AM154" s="6" t="inlineStr"/>
      <c r="AN154" s="6" t="inlineStr"/>
      <c r="AO154" s="3">
        <f>IF(tblOrdenes[[#This Row],[link_checklist]]="","",HYPERLINK(p_ruta_base_checklists&amp;tblOrdenes[[#This Row],[link_checklist]],"abrir"))</f>
        <v/>
      </c>
      <c r="AP154" s="6" t="inlineStr"/>
      <c r="AQ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EQ-106</t>
        </is>
      </c>
      <c r="D155" s="3" t="inlineStr">
        <is>
          <t>Reparación de falla en EQ-106</t>
        </is>
      </c>
      <c r="E155" s="3" t="inlineStr">
        <is>
          <t>EQ-106</t>
        </is>
      </c>
      <c r="F155" s="3" t="inlineStr">
        <is>
          <t>CC-210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46125</v>
      </c>
      <c r="K155" s="3" t="n">
        <v>4</v>
      </c>
      <c r="L155" s="10" t="n">
        <v>160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3">
        <f>IF(tblOrdenes[[#This Row],[tipo_ot]]="","",_xlfn.XLOOKUP(tblOrdenes[[#This Row],[tipo_ot]],tblTiposOT[codigo],tblTiposOT[clasificacion],"sin_clasificar"))</f>
        <v/>
      </c>
      <c r="U155" s="3">
        <f>IF(tblOrdenes[[#This Row],[centro_costo]]="","",_xlfn.XLOOKUP(tblOrdenes[[#This Row],[centro_costo]],tblCECO[codigo],tblCECO[linea],"(sin catálogo)"))</f>
        <v/>
      </c>
      <c r="V155" s="3">
        <f>IF(tblOrdenes[[#This Row],[centro_costo]]="","",_xlfn.XLOOKUP(tblOrdenes[[#This Row],[centro_costo]],tblCECO[codigo],tblCECO[area],"(sin catálogo)"))</f>
        <v/>
      </c>
      <c r="W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3">
        <f>IF(tblOrdenes[[#This Row],[centro_costo]]="","",_xlfn.XLOOKUP(tblOrdenes[[#This Row],[centro_costo]],tblCECO[codigo],tblCECO[coordinador],"(sin catálogo)"))</f>
        <v/>
      </c>
      <c r="Y155" s="3">
        <f>IF(tblOrdenes[[#This Row],[puesto_trabajo]]="","",_xlfn.XLOOKUP(tblOrdenes[[#This Row],[puesto_trabajo]],tblPuestos[codigo],tblPuestos[especialidad],"(sin catálogo)"))</f>
        <v/>
      </c>
      <c r="Z155" s="3">
        <f>IF(tblOrdenes[[#This Row],[cod_actividad]]="","",_xlfn.XLOOKUP(tblOrdenes[[#This Row],[cod_actividad]],tblActividades[codigo],tblActividades[descripcion],"(sin catálogo)"))</f>
        <v/>
      </c>
      <c r="AA155" s="12">
        <f>IF(tblOrdenes[[#This Row],[fecha_inicio]]="","",TODAY()-tblOrdenes[[#This Row],[fecha_inicio]])</f>
        <v/>
      </c>
      <c r="AB1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3">
        <f>IF(tblOrdenes[[#This Row],[backlog_habiles]]="","",IF(tblOrdenes[[#This Row],[backlog_habiles]]&lt;0,"FUTURO",IF(tblOrdenes[[#This Row],[backlog_habiles]]&gt;p_dias_backlog_max,"BACKLOG","MES CORRIENTE")))</f>
        <v/>
      </c>
      <c r="AD155" s="3">
        <f>IF(tblOrdenes[[#This Row],[backlog_habiles]]="",FALSE,AND(tblOrdenes[[#This Row],[backlog_habiles]]&gt;p_dias_backlog_min,tblOrdenes[[#This Row],[backlog_habiles]]&lt;=p_dias_backlog_max))</f>
        <v/>
      </c>
      <c r="AE155" s="6" t="inlineStr"/>
      <c r="AF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0">
        <f>IF(tblOrdenes[[#This Row],[orden]]="","",_xlfn.XLOOKUP(tblOrdenes[[#This Row],[id_operacion]],tblEjecucion[id_operacion],tblEjecucion[precio],0))</f>
        <v/>
      </c>
      <c r="AJ155" s="10">
        <f>IF(tblOrdenes[[#This Row],[orden]]="","",MAX(0,_xlfn.XLOOKUP(tblOrdenes[[#This Row],[id_operacion]],tblEjecucion[id_operacion],tblEjecucion[costo_plan_total],0)-tblOrdenes[[#This Row],[costo_servicio]]))</f>
        <v/>
      </c>
      <c r="AK155" s="10">
        <f>IF(tblOrdenes[[#This Row],[orden]]="","",tblOrdenes[[#This Row],[costo_servicio]]+tblOrdenes[[#This Row],[costo_materiales]])</f>
        <v/>
      </c>
      <c r="AL155" s="6" t="inlineStr"/>
      <c r="AM155" s="6" t="inlineStr"/>
      <c r="AN155" s="6" t="inlineStr"/>
      <c r="AO155" s="3">
        <f>IF(tblOrdenes[[#This Row],[link_checklist]]="","",HYPERLINK(p_ruta_base_checklists&amp;tblOrdenes[[#This Row],[link_checklist]],"abrir"))</f>
        <v/>
      </c>
      <c r="AP155" s="6" t="inlineStr"/>
      <c r="AQ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EQ-107</t>
        </is>
      </c>
      <c r="D156" s="3" t="inlineStr">
        <is>
          <t>Reparación de falla en EQ-107</t>
        </is>
      </c>
      <c r="E156" s="3" t="inlineStr">
        <is>
          <t>EQ-107</t>
        </is>
      </c>
      <c r="F156" s="3" t="inlineStr">
        <is>
          <t>CC-220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46125</v>
      </c>
      <c r="K156" s="3" t="n">
        <v>6</v>
      </c>
      <c r="L156" s="10" t="n">
        <v>240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3">
        <f>IF(tblOrdenes[[#This Row],[tipo_ot]]="","",_xlfn.XLOOKUP(tblOrdenes[[#This Row],[tipo_ot]],tblTiposOT[codigo],tblTiposOT[clasificacion],"sin_clasificar"))</f>
        <v/>
      </c>
      <c r="U156" s="3">
        <f>IF(tblOrdenes[[#This Row],[centro_costo]]="","",_xlfn.XLOOKUP(tblOrdenes[[#This Row],[centro_costo]],tblCECO[codigo],tblCECO[linea],"(sin catálogo)"))</f>
        <v/>
      </c>
      <c r="V156" s="3">
        <f>IF(tblOrdenes[[#This Row],[centro_costo]]="","",_xlfn.XLOOKUP(tblOrdenes[[#This Row],[centro_costo]],tblCECO[codigo],tblCECO[area],"(sin catálogo)"))</f>
        <v/>
      </c>
      <c r="W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3">
        <f>IF(tblOrdenes[[#This Row],[centro_costo]]="","",_xlfn.XLOOKUP(tblOrdenes[[#This Row],[centro_costo]],tblCECO[codigo],tblCECO[coordinador],"(sin catálogo)"))</f>
        <v/>
      </c>
      <c r="Y156" s="3">
        <f>IF(tblOrdenes[[#This Row],[puesto_trabajo]]="","",_xlfn.XLOOKUP(tblOrdenes[[#This Row],[puesto_trabajo]],tblPuestos[codigo],tblPuestos[especialidad],"(sin catálogo)"))</f>
        <v/>
      </c>
      <c r="Z156" s="3">
        <f>IF(tblOrdenes[[#This Row],[cod_actividad]]="","",_xlfn.XLOOKUP(tblOrdenes[[#This Row],[cod_actividad]],tblActividades[codigo],tblActividades[descripcion],"(sin catálogo)"))</f>
        <v/>
      </c>
      <c r="AA156" s="12">
        <f>IF(tblOrdenes[[#This Row],[fecha_inicio]]="","",TODAY()-tblOrdenes[[#This Row],[fecha_inicio]])</f>
        <v/>
      </c>
      <c r="AB1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3">
        <f>IF(tblOrdenes[[#This Row],[backlog_habiles]]="","",IF(tblOrdenes[[#This Row],[backlog_habiles]]&lt;0,"FUTURO",IF(tblOrdenes[[#This Row],[backlog_habiles]]&gt;p_dias_backlog_max,"BACKLOG","MES CORRIENTE")))</f>
        <v/>
      </c>
      <c r="AD156" s="3">
        <f>IF(tblOrdenes[[#This Row],[backlog_habiles]]="",FALSE,AND(tblOrdenes[[#This Row],[backlog_habiles]]&gt;p_dias_backlog_min,tblOrdenes[[#This Row],[backlog_habiles]]&lt;=p_dias_backlog_max))</f>
        <v/>
      </c>
      <c r="AE156" s="6" t="inlineStr"/>
      <c r="AF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0">
        <f>IF(tblOrdenes[[#This Row],[orden]]="","",_xlfn.XLOOKUP(tblOrdenes[[#This Row],[id_operacion]],tblEjecucion[id_operacion],tblEjecucion[precio],0))</f>
        <v/>
      </c>
      <c r="AJ156" s="10">
        <f>IF(tblOrdenes[[#This Row],[orden]]="","",MAX(0,_xlfn.XLOOKUP(tblOrdenes[[#This Row],[id_operacion]],tblEjecucion[id_operacion],tblEjecucion[costo_plan_total],0)-tblOrdenes[[#This Row],[costo_servicio]]))</f>
        <v/>
      </c>
      <c r="AK156" s="10">
        <f>IF(tblOrdenes[[#This Row],[orden]]="","",tblOrdenes[[#This Row],[costo_servicio]]+tblOrdenes[[#This Row],[costo_materiales]])</f>
        <v/>
      </c>
      <c r="AL156" s="6" t="inlineStr"/>
      <c r="AM156" s="6" t="inlineStr"/>
      <c r="AN156" s="6" t="inlineStr"/>
      <c r="AO156" s="3">
        <f>IF(tblOrdenes[[#This Row],[link_checklist]]="","",HYPERLINK(p_ruta_base_checklists&amp;tblOrdenes[[#This Row],[link_checklist]],"abrir"))</f>
        <v/>
      </c>
      <c r="AP156" s="6" t="inlineStr"/>
      <c r="AQ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CC-310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1" t="n">
        <v>46125</v>
      </c>
      <c r="K157" s="3" t="n">
        <v>8</v>
      </c>
      <c r="L157" s="10" t="n">
        <v>320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3">
        <f>IF(tblOrdenes[[#This Row],[tipo_ot]]="","",_xlfn.XLOOKUP(tblOrdenes[[#This Row],[tipo_ot]],tblTiposOT[codigo],tblTiposOT[clasificacion],"sin_clasificar"))</f>
        <v/>
      </c>
      <c r="U157" s="3">
        <f>IF(tblOrdenes[[#This Row],[centro_costo]]="","",_xlfn.XLOOKUP(tblOrdenes[[#This Row],[centro_costo]],tblCECO[codigo],tblCECO[linea],"(sin catálogo)"))</f>
        <v/>
      </c>
      <c r="V157" s="3">
        <f>IF(tblOrdenes[[#This Row],[centro_costo]]="","",_xlfn.XLOOKUP(tblOrdenes[[#This Row],[centro_costo]],tblCECO[codigo],tblCECO[area],"(sin catálogo)"))</f>
        <v/>
      </c>
      <c r="W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3">
        <f>IF(tblOrdenes[[#This Row],[centro_costo]]="","",_xlfn.XLOOKUP(tblOrdenes[[#This Row],[centro_costo]],tblCECO[codigo],tblCECO[coordinador],"(sin catálogo)"))</f>
        <v/>
      </c>
      <c r="Y157" s="3">
        <f>IF(tblOrdenes[[#This Row],[puesto_trabajo]]="","",_xlfn.XLOOKUP(tblOrdenes[[#This Row],[puesto_trabajo]],tblPuestos[codigo],tblPuestos[especialidad],"(sin catálogo)"))</f>
        <v/>
      </c>
      <c r="Z157" s="3">
        <f>IF(tblOrdenes[[#This Row],[cod_actividad]]="","",_xlfn.XLOOKUP(tblOrdenes[[#This Row],[cod_actividad]],tblActividades[codigo],tblActividades[descripcion],"(sin catálogo)"))</f>
        <v/>
      </c>
      <c r="AA157" s="12">
        <f>IF(tblOrdenes[[#This Row],[fecha_inicio]]="","",TODAY()-tblOrdenes[[#This Row],[fecha_inicio]])</f>
        <v/>
      </c>
      <c r="AB1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3">
        <f>IF(tblOrdenes[[#This Row],[backlog_habiles]]="","",IF(tblOrdenes[[#This Row],[backlog_habiles]]&lt;0,"FUTURO",IF(tblOrdenes[[#This Row],[backlog_habiles]]&gt;p_dias_backlog_max,"BACKLOG","MES CORRIENTE")))</f>
        <v/>
      </c>
      <c r="AD157" s="3">
        <f>IF(tblOrdenes[[#This Row],[backlog_habiles]]="",FALSE,AND(tblOrdenes[[#This Row],[backlog_habiles]]&gt;p_dias_backlog_min,tblOrdenes[[#This Row],[backlog_habiles]]&lt;=p_dias_backlog_max))</f>
        <v/>
      </c>
      <c r="AE157" s="6" t="inlineStr"/>
      <c r="AF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0">
        <f>IF(tblOrdenes[[#This Row],[orden]]="","",_xlfn.XLOOKUP(tblOrdenes[[#This Row],[id_operacion]],tblEjecucion[id_operacion],tblEjecucion[precio],0))</f>
        <v/>
      </c>
      <c r="AJ157" s="10">
        <f>IF(tblOrdenes[[#This Row],[orden]]="","",MAX(0,_xlfn.XLOOKUP(tblOrdenes[[#This Row],[id_operacion]],tblEjecucion[id_operacion],tblEjecucion[costo_plan_total],0)-tblOrdenes[[#This Row],[costo_servicio]]))</f>
        <v/>
      </c>
      <c r="AK157" s="10">
        <f>IF(tblOrdenes[[#This Row],[orden]]="","",tblOrdenes[[#This Row],[costo_servicio]]+tblOrdenes[[#This Row],[costo_materiales]])</f>
        <v/>
      </c>
      <c r="AL157" s="6" t="inlineStr"/>
      <c r="AM157" s="6" t="inlineStr"/>
      <c r="AN157" s="6" t="inlineStr"/>
      <c r="AO157" s="3">
        <f>IF(tblOrdenes[[#This Row],[link_checklist]]="","",HYPERLINK(p_ruta_base_checklists&amp;tblOrdenes[[#This Row],[link_checklist]],"abrir"))</f>
        <v/>
      </c>
      <c r="AP157" s="6" t="inlineStr"/>
      <c r="AQ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EQ-112</t>
        </is>
      </c>
      <c r="D158" s="3" t="inlineStr">
        <is>
          <t>Análisis predictivo en EQ-112</t>
        </is>
      </c>
      <c r="E158" s="3" t="inlineStr">
        <is>
          <t>EQ-112</t>
        </is>
      </c>
      <c r="F158" s="3" t="inlineStr">
        <is>
          <t>CC-311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1" t="n">
        <v>46125</v>
      </c>
      <c r="K158" s="3" t="n">
        <v>4</v>
      </c>
      <c r="L158" s="10" t="n">
        <v>100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3">
        <f>IF(tblOrdenes[[#This Row],[tipo_ot]]="","",_xlfn.XLOOKUP(tblOrdenes[[#This Row],[tipo_ot]],tblTiposOT[codigo],tblTiposOT[clasificacion],"sin_clasificar"))</f>
        <v/>
      </c>
      <c r="U158" s="3">
        <f>IF(tblOrdenes[[#This Row],[centro_costo]]="","",_xlfn.XLOOKUP(tblOrdenes[[#This Row],[centro_costo]],tblCECO[codigo],tblCECO[linea],"(sin catálogo)"))</f>
        <v/>
      </c>
      <c r="V158" s="3">
        <f>IF(tblOrdenes[[#This Row],[centro_costo]]="","",_xlfn.XLOOKUP(tblOrdenes[[#This Row],[centro_costo]],tblCECO[codigo],tblCECO[area],"(sin catálogo)"))</f>
        <v/>
      </c>
      <c r="W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3">
        <f>IF(tblOrdenes[[#This Row],[centro_costo]]="","",_xlfn.XLOOKUP(tblOrdenes[[#This Row],[centro_costo]],tblCECO[codigo],tblCECO[coordinador],"(sin catálogo)"))</f>
        <v/>
      </c>
      <c r="Y158" s="3">
        <f>IF(tblOrdenes[[#This Row],[puesto_trabajo]]="","",_xlfn.XLOOKUP(tblOrdenes[[#This Row],[puesto_trabajo]],tblPuestos[codigo],tblPuestos[especialidad],"(sin catálogo)"))</f>
        <v/>
      </c>
      <c r="Z158" s="3">
        <f>IF(tblOrdenes[[#This Row],[cod_actividad]]="","",_xlfn.XLOOKUP(tblOrdenes[[#This Row],[cod_actividad]],tblActividades[codigo],tblActividades[descripcion],"(sin catálogo)"))</f>
        <v/>
      </c>
      <c r="AA158" s="12">
        <f>IF(tblOrdenes[[#This Row],[fecha_inicio]]="","",TODAY()-tblOrdenes[[#This Row],[fecha_inicio]])</f>
        <v/>
      </c>
      <c r="AB1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3">
        <f>IF(tblOrdenes[[#This Row],[backlog_habiles]]="","",IF(tblOrdenes[[#This Row],[backlog_habiles]]&lt;0,"FUTURO",IF(tblOrdenes[[#This Row],[backlog_habiles]]&gt;p_dias_backlog_max,"BACKLOG","MES CORRIENTE")))</f>
        <v/>
      </c>
      <c r="AD158" s="3">
        <f>IF(tblOrdenes[[#This Row],[backlog_habiles]]="",FALSE,AND(tblOrdenes[[#This Row],[backlog_habiles]]&gt;p_dias_backlog_min,tblOrdenes[[#This Row],[backlog_habiles]]&lt;=p_dias_backlog_max))</f>
        <v/>
      </c>
      <c r="AE158" s="6" t="inlineStr"/>
      <c r="AF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0">
        <f>IF(tblOrdenes[[#This Row],[orden]]="","",_xlfn.XLOOKUP(tblOrdenes[[#This Row],[id_operacion]],tblEjecucion[id_operacion],tblEjecucion[precio],0))</f>
        <v/>
      </c>
      <c r="AJ158" s="10">
        <f>IF(tblOrdenes[[#This Row],[orden]]="","",MAX(0,_xlfn.XLOOKUP(tblOrdenes[[#This Row],[id_operacion]],tblEjecucion[id_operacion],tblEjecucion[costo_plan_total],0)-tblOrdenes[[#This Row],[costo_servicio]]))</f>
        <v/>
      </c>
      <c r="AK158" s="10">
        <f>IF(tblOrdenes[[#This Row],[orden]]="","",tblOrdenes[[#This Row],[costo_servicio]]+tblOrdenes[[#This Row],[costo_materiales]])</f>
        <v/>
      </c>
      <c r="AL158" s="6" t="inlineStr"/>
      <c r="AM158" s="6" t="inlineStr"/>
      <c r="AN158" s="6" t="inlineStr"/>
      <c r="AO158" s="3">
        <f>IF(tblOrdenes[[#This Row],[link_checklist]]="","",HYPERLINK(p_ruta_base_checklists&amp;tblOrdenes[[#This Row],[link_checklist]],"abrir"))</f>
        <v/>
      </c>
      <c r="AP158" s="6" t="inlineStr"/>
      <c r="AQ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1" t="n">
        <v>46125</v>
      </c>
      <c r="K159" s="3" t="n">
        <v>6</v>
      </c>
      <c r="L159" s="10" t="n">
        <v>240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3">
        <f>IF(tblOrdenes[[#This Row],[tipo_ot]]="","",_xlfn.XLOOKUP(tblOrdenes[[#This Row],[tipo_ot]],tblTiposOT[codigo],tblTiposOT[clasificacion],"sin_clasificar"))</f>
        <v/>
      </c>
      <c r="U159" s="3">
        <f>IF(tblOrdenes[[#This Row],[centro_costo]]="","",_xlfn.XLOOKUP(tblOrdenes[[#This Row],[centro_costo]],tblCECO[codigo],tblCECO[linea],"(sin catálogo)"))</f>
        <v/>
      </c>
      <c r="V159" s="3">
        <f>IF(tblOrdenes[[#This Row],[centro_costo]]="","",_xlfn.XLOOKUP(tblOrdenes[[#This Row],[centro_costo]],tblCECO[codigo],tblCECO[area],"(sin catálogo)"))</f>
        <v/>
      </c>
      <c r="W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3">
        <f>IF(tblOrdenes[[#This Row],[centro_costo]]="","",_xlfn.XLOOKUP(tblOrdenes[[#This Row],[centro_costo]],tblCECO[codigo],tblCECO[coordinador],"(sin catálogo)"))</f>
        <v/>
      </c>
      <c r="Y159" s="3">
        <f>IF(tblOrdenes[[#This Row],[puesto_trabajo]]="","",_xlfn.XLOOKUP(tblOrdenes[[#This Row],[puesto_trabajo]],tblPuestos[codigo],tblPuestos[especialidad],"(sin catálogo)"))</f>
        <v/>
      </c>
      <c r="Z159" s="3">
        <f>IF(tblOrdenes[[#This Row],[cod_actividad]]="","",_xlfn.XLOOKUP(tblOrdenes[[#This Row],[cod_actividad]],tblActividades[codigo],tblActividades[descripcion],"(sin catálogo)"))</f>
        <v/>
      </c>
      <c r="AA159" s="12">
        <f>IF(tblOrdenes[[#This Row],[fecha_inicio]]="","",TODAY()-tblOrdenes[[#This Row],[fecha_inicio]])</f>
        <v/>
      </c>
      <c r="AB1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3">
        <f>IF(tblOrdenes[[#This Row],[backlog_habiles]]="","",IF(tblOrdenes[[#This Row],[backlog_habiles]]&lt;0,"FUTURO",IF(tblOrdenes[[#This Row],[backlog_habiles]]&gt;p_dias_backlog_max,"BACKLOG","MES CORRIENTE")))</f>
        <v/>
      </c>
      <c r="AD159" s="3">
        <f>IF(tblOrdenes[[#This Row],[backlog_habiles]]="",FALSE,AND(tblOrdenes[[#This Row],[backlog_habiles]]&gt;p_dias_backlog_min,tblOrdenes[[#This Row],[backlog_habiles]]&lt;=p_dias_backlog_max))</f>
        <v/>
      </c>
      <c r="AE159" s="6" t="inlineStr"/>
      <c r="AF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0">
        <f>IF(tblOrdenes[[#This Row],[orden]]="","",_xlfn.XLOOKUP(tblOrdenes[[#This Row],[id_operacion]],tblEjecucion[id_operacion],tblEjecucion[precio],0))</f>
        <v/>
      </c>
      <c r="AJ159" s="10">
        <f>IF(tblOrdenes[[#This Row],[orden]]="","",MAX(0,_xlfn.XLOOKUP(tblOrdenes[[#This Row],[id_operacion]],tblEjecucion[id_operacion],tblEjecucion[costo_plan_total],0)-tblOrdenes[[#This Row],[costo_servicio]]))</f>
        <v/>
      </c>
      <c r="AK159" s="10">
        <f>IF(tblOrdenes[[#This Row],[orden]]="","",tblOrdenes[[#This Row],[costo_servicio]]+tblOrdenes[[#This Row],[costo_materiales]])</f>
        <v/>
      </c>
      <c r="AL159" s="6" t="inlineStr"/>
      <c r="AM159" s="6" t="inlineStr"/>
      <c r="AN159" s="6" t="inlineStr"/>
      <c r="AO159" s="3">
        <f>IF(tblOrdenes[[#This Row],[link_checklist]]="","",HYPERLINK(p_ruta_base_checklists&amp;tblOrdenes[[#This Row],[link_checklist]],"abrir"))</f>
        <v/>
      </c>
      <c r="AP159" s="6" t="inlineStr"/>
      <c r="AQ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Reparación de falla — EQ-111</t>
        </is>
      </c>
      <c r="D160" s="3" t="inlineStr">
        <is>
          <t>Reparación de falla en EQ-111</t>
        </is>
      </c>
      <c r="E160" s="3" t="inlineStr">
        <is>
          <t>EQ-111</t>
        </is>
      </c>
      <c r="F160" s="3" t="inlineStr">
        <is>
          <t>CC-321</t>
        </is>
      </c>
      <c r="G160" s="3" t="inlineStr">
        <is>
          <t>PU-OP</t>
        </is>
      </c>
      <c r="H160" s="3" t="inlineStr">
        <is>
          <t>ACT-03</t>
        </is>
      </c>
      <c r="I160" s="3" t="inlineStr">
        <is>
          <t>TIPO-C2</t>
        </is>
      </c>
      <c r="J160" s="11" t="n">
        <v>46125</v>
      </c>
      <c r="K160" s="3" t="n">
        <v>8</v>
      </c>
      <c r="L160" s="10" t="n">
        <v>320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3">
        <f>IF(tblOrdenes[[#This Row],[tipo_ot]]="","",_xlfn.XLOOKUP(tblOrdenes[[#This Row],[tipo_ot]],tblTiposOT[codigo],tblTiposOT[clasificacion],"sin_clasificar"))</f>
        <v/>
      </c>
      <c r="U160" s="3">
        <f>IF(tblOrdenes[[#This Row],[centro_costo]]="","",_xlfn.XLOOKUP(tblOrdenes[[#This Row],[centro_costo]],tblCECO[codigo],tblCECO[linea],"(sin catálogo)"))</f>
        <v/>
      </c>
      <c r="V160" s="3">
        <f>IF(tblOrdenes[[#This Row],[centro_costo]]="","",_xlfn.XLOOKUP(tblOrdenes[[#This Row],[centro_costo]],tblCECO[codigo],tblCECO[area],"(sin catálogo)"))</f>
        <v/>
      </c>
      <c r="W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3">
        <f>IF(tblOrdenes[[#This Row],[centro_costo]]="","",_xlfn.XLOOKUP(tblOrdenes[[#This Row],[centro_costo]],tblCECO[codigo],tblCECO[coordinador],"(sin catálogo)"))</f>
        <v/>
      </c>
      <c r="Y160" s="3">
        <f>IF(tblOrdenes[[#This Row],[puesto_trabajo]]="","",_xlfn.XLOOKUP(tblOrdenes[[#This Row],[puesto_trabajo]],tblPuestos[codigo],tblPuestos[especialidad],"(sin catálogo)"))</f>
        <v/>
      </c>
      <c r="Z160" s="3">
        <f>IF(tblOrdenes[[#This Row],[cod_actividad]]="","",_xlfn.XLOOKUP(tblOrdenes[[#This Row],[cod_actividad]],tblActividades[codigo],tblActividades[descripcion],"(sin catálogo)"))</f>
        <v/>
      </c>
      <c r="AA160" s="12">
        <f>IF(tblOrdenes[[#This Row],[fecha_inicio]]="","",TODAY()-tblOrdenes[[#This Row],[fecha_inicio]])</f>
        <v/>
      </c>
      <c r="AB1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3">
        <f>IF(tblOrdenes[[#This Row],[backlog_habiles]]="","",IF(tblOrdenes[[#This Row],[backlog_habiles]]&lt;0,"FUTURO",IF(tblOrdenes[[#This Row],[backlog_habiles]]&gt;p_dias_backlog_max,"BACKLOG","MES CORRIENTE")))</f>
        <v/>
      </c>
      <c r="AD160" s="3">
        <f>IF(tblOrdenes[[#This Row],[backlog_habiles]]="",FALSE,AND(tblOrdenes[[#This Row],[backlog_habiles]]&gt;p_dias_backlog_min,tblOrdenes[[#This Row],[backlog_habiles]]&lt;=p_dias_backlog_max))</f>
        <v/>
      </c>
      <c r="AE160" s="6" t="inlineStr"/>
      <c r="AF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0">
        <f>IF(tblOrdenes[[#This Row],[orden]]="","",_xlfn.XLOOKUP(tblOrdenes[[#This Row],[id_operacion]],tblEjecucion[id_operacion],tblEjecucion[precio],0))</f>
        <v/>
      </c>
      <c r="AJ160" s="10">
        <f>IF(tblOrdenes[[#This Row],[orden]]="","",MAX(0,_xlfn.XLOOKUP(tblOrdenes[[#This Row],[id_operacion]],tblEjecucion[id_operacion],tblEjecucion[costo_plan_total],0)-tblOrdenes[[#This Row],[costo_servicio]]))</f>
        <v/>
      </c>
      <c r="AK160" s="10">
        <f>IF(tblOrdenes[[#This Row],[orden]]="","",tblOrdenes[[#This Row],[costo_servicio]]+tblOrdenes[[#This Row],[costo_materiales]])</f>
        <v/>
      </c>
      <c r="AL160" s="6" t="inlineStr"/>
      <c r="AM160" s="6" t="inlineStr"/>
      <c r="AN160" s="6" t="inlineStr"/>
      <c r="AO160" s="3">
        <f>IF(tblOrdenes[[#This Row],[link_checklist]]="","",HYPERLINK(p_ruta_base_checklists&amp;tblOrdenes[[#This Row],[link_checklist]],"abrir"))</f>
        <v/>
      </c>
      <c r="AP160" s="6" t="inlineStr"/>
      <c r="AQ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PU-OP</t>
        </is>
      </c>
      <c r="H161" s="3" t="inlineStr">
        <is>
          <t>ACT-03</t>
        </is>
      </c>
      <c r="I161" s="3" t="inlineStr">
        <is>
          <t>TIPO-C1</t>
        </is>
      </c>
      <c r="J161" s="11" t="n">
        <v>46105</v>
      </c>
      <c r="K161" s="3" t="n">
        <v>4</v>
      </c>
      <c r="L161" s="10" t="n">
        <v>160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3">
        <f>IF(tblOrdenes[[#This Row],[tipo_ot]]="","",_xlfn.XLOOKUP(tblOrdenes[[#This Row],[tipo_ot]],tblTiposOT[codigo],tblTiposOT[clasificacion],"sin_clasificar"))</f>
        <v/>
      </c>
      <c r="U161" s="3">
        <f>IF(tblOrdenes[[#This Row],[centro_costo]]="","",_xlfn.XLOOKUP(tblOrdenes[[#This Row],[centro_costo]],tblCECO[codigo],tblCECO[linea],"(sin catálogo)"))</f>
        <v/>
      </c>
      <c r="V161" s="3">
        <f>IF(tblOrdenes[[#This Row],[centro_costo]]="","",_xlfn.XLOOKUP(tblOrdenes[[#This Row],[centro_costo]],tblCECO[codigo],tblCECO[area],"(sin catálogo)"))</f>
        <v/>
      </c>
      <c r="W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3">
        <f>IF(tblOrdenes[[#This Row],[centro_costo]]="","",_xlfn.XLOOKUP(tblOrdenes[[#This Row],[centro_costo]],tblCECO[codigo],tblCECO[coordinador],"(sin catálogo)"))</f>
        <v/>
      </c>
      <c r="Y161" s="3">
        <f>IF(tblOrdenes[[#This Row],[puesto_trabajo]]="","",_xlfn.XLOOKUP(tblOrdenes[[#This Row],[puesto_trabajo]],tblPuestos[codigo],tblPuestos[especialidad],"(sin catálogo)"))</f>
        <v/>
      </c>
      <c r="Z161" s="3">
        <f>IF(tblOrdenes[[#This Row],[cod_actividad]]="","",_xlfn.XLOOKUP(tblOrdenes[[#This Row],[cod_actividad]],tblActividades[codigo],tblActividades[descripcion],"(sin catálogo)"))</f>
        <v/>
      </c>
      <c r="AA161" s="12">
        <f>IF(tblOrdenes[[#This Row],[fecha_inicio]]="","",TODAY()-tblOrdenes[[#This Row],[fecha_inicio]])</f>
        <v/>
      </c>
      <c r="AB1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3">
        <f>IF(tblOrdenes[[#This Row],[backlog_habiles]]="","",IF(tblOrdenes[[#This Row],[backlog_habiles]]&lt;0,"FUTURO",IF(tblOrdenes[[#This Row],[backlog_habiles]]&gt;p_dias_backlog_max,"BACKLOG","MES CORRIENTE")))</f>
        <v/>
      </c>
      <c r="AD161" s="3">
        <f>IF(tblOrdenes[[#This Row],[backlog_habiles]]="",FALSE,AND(tblOrdenes[[#This Row],[backlog_habiles]]&gt;p_dias_backlog_min,tblOrdenes[[#This Row],[backlog_habiles]]&lt;=p_dias_backlog_max))</f>
        <v/>
      </c>
      <c r="AE161" s="6" t="inlineStr"/>
      <c r="AF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0">
        <f>IF(tblOrdenes[[#This Row],[orden]]="","",_xlfn.XLOOKUP(tblOrdenes[[#This Row],[id_operacion]],tblEjecucion[id_operacion],tblEjecucion[precio],0))</f>
        <v/>
      </c>
      <c r="AJ161" s="10">
        <f>IF(tblOrdenes[[#This Row],[orden]]="","",MAX(0,_xlfn.XLOOKUP(tblOrdenes[[#This Row],[id_operacion]],tblEjecucion[id_operacion],tblEjecucion[costo_plan_total],0)-tblOrdenes[[#This Row],[costo_servicio]]))</f>
        <v/>
      </c>
      <c r="AK161" s="10">
        <f>IF(tblOrdenes[[#This Row],[orden]]="","",tblOrdenes[[#This Row],[costo_servicio]]+tblOrdenes[[#This Row],[costo_materiales]])</f>
        <v/>
      </c>
      <c r="AL161" s="6" t="inlineStr"/>
      <c r="AM161" s="6" t="inlineStr"/>
      <c r="AN161" s="6" t="inlineStr"/>
      <c r="AO161" s="3">
        <f>IF(tblOrdenes[[#This Row],[link_checklist]]="","",HYPERLINK(p_ruta_base_checklists&amp;tblOrdenes[[#This Row],[link_checklist]],"abrir"))</f>
        <v/>
      </c>
      <c r="AP161" s="6" t="inlineStr"/>
      <c r="AQ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PU-MEC</t>
        </is>
      </c>
      <c r="H162" s="3" t="inlineStr">
        <is>
          <t>ACT-03</t>
        </is>
      </c>
      <c r="I162" s="3" t="inlineStr">
        <is>
          <t>TIPO-C2</t>
        </is>
      </c>
      <c r="J162" s="11" t="n">
        <v>46105</v>
      </c>
      <c r="K162" s="3" t="n">
        <v>6</v>
      </c>
      <c r="L162" s="10" t="n">
        <v>240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3">
        <f>IF(tblOrdenes[[#This Row],[tipo_ot]]="","",_xlfn.XLOOKUP(tblOrdenes[[#This Row],[tipo_ot]],tblTiposOT[codigo],tblTiposOT[clasificacion],"sin_clasificar"))</f>
        <v/>
      </c>
      <c r="U162" s="3">
        <f>IF(tblOrdenes[[#This Row],[centro_costo]]="","",_xlfn.XLOOKUP(tblOrdenes[[#This Row],[centro_costo]],tblCECO[codigo],tblCECO[linea],"(sin catálogo)"))</f>
        <v/>
      </c>
      <c r="V162" s="3">
        <f>IF(tblOrdenes[[#This Row],[centro_costo]]="","",_xlfn.XLOOKUP(tblOrdenes[[#This Row],[centro_costo]],tblCECO[codigo],tblCECO[area],"(sin catálogo)"))</f>
        <v/>
      </c>
      <c r="W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3">
        <f>IF(tblOrdenes[[#This Row],[centro_costo]]="","",_xlfn.XLOOKUP(tblOrdenes[[#This Row],[centro_costo]],tblCECO[codigo],tblCECO[coordinador],"(sin catálogo)"))</f>
        <v/>
      </c>
      <c r="Y162" s="3">
        <f>IF(tblOrdenes[[#This Row],[puesto_trabajo]]="","",_xlfn.XLOOKUP(tblOrdenes[[#This Row],[puesto_trabajo]],tblPuestos[codigo],tblPuestos[especialidad],"(sin catálogo)"))</f>
        <v/>
      </c>
      <c r="Z162" s="3">
        <f>IF(tblOrdenes[[#This Row],[cod_actividad]]="","",_xlfn.XLOOKUP(tblOrdenes[[#This Row],[cod_actividad]],tblActividades[codigo],tblActividades[descripcion],"(sin catálogo)"))</f>
        <v/>
      </c>
      <c r="AA162" s="12">
        <f>IF(tblOrdenes[[#This Row],[fecha_inicio]]="","",TODAY()-tblOrdenes[[#This Row],[fecha_inicio]])</f>
        <v/>
      </c>
      <c r="AB1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3">
        <f>IF(tblOrdenes[[#This Row],[backlog_habiles]]="","",IF(tblOrdenes[[#This Row],[backlog_habiles]]&lt;0,"FUTURO",IF(tblOrdenes[[#This Row],[backlog_habiles]]&gt;p_dias_backlog_max,"BACKLOG","MES CORRIENTE")))</f>
        <v/>
      </c>
      <c r="AD162" s="3">
        <f>IF(tblOrdenes[[#This Row],[backlog_habiles]]="",FALSE,AND(tblOrdenes[[#This Row],[backlog_habiles]]&gt;p_dias_backlog_min,tblOrdenes[[#This Row],[backlog_habiles]]&lt;=p_dias_backlog_max))</f>
        <v/>
      </c>
      <c r="AE162" s="6" t="inlineStr"/>
      <c r="AF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0">
        <f>IF(tblOrdenes[[#This Row],[orden]]="","",_xlfn.XLOOKUP(tblOrdenes[[#This Row],[id_operacion]],tblEjecucion[id_operacion],tblEjecucion[precio],0))</f>
        <v/>
      </c>
      <c r="AJ162" s="10">
        <f>IF(tblOrdenes[[#This Row],[orden]]="","",MAX(0,_xlfn.XLOOKUP(tblOrdenes[[#This Row],[id_operacion]],tblEjecucion[id_operacion],tblEjecucion[costo_plan_total],0)-tblOrdenes[[#This Row],[costo_servicio]]))</f>
        <v/>
      </c>
      <c r="AK162" s="10">
        <f>IF(tblOrdenes[[#This Row],[orden]]="","",tblOrdenes[[#This Row],[costo_servicio]]+tblOrdenes[[#This Row],[costo_materiales]])</f>
        <v/>
      </c>
      <c r="AL162" s="6" t="inlineStr"/>
      <c r="AM162" s="6" t="inlineStr"/>
      <c r="AN162" s="6" t="inlineStr"/>
      <c r="AO162" s="3">
        <f>IF(tblOrdenes[[#This Row],[link_checklist]]="","",HYPERLINK(p_ruta_base_checklists&amp;tblOrdenes[[#This Row],[link_checklist]],"abrir"))</f>
        <v/>
      </c>
      <c r="AP162" s="6" t="inlineStr"/>
      <c r="AQ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CC-311</t>
        </is>
      </c>
      <c r="G163" s="3" t="inlineStr">
        <is>
          <t>PU-ELE</t>
        </is>
      </c>
      <c r="H163" s="3" t="inlineStr">
        <is>
          <t>ACT-03</t>
        </is>
      </c>
      <c r="I163" s="3" t="inlineStr">
        <is>
          <t>TIPO-C1</t>
        </is>
      </c>
      <c r="J163" s="11" t="n">
        <v>46105</v>
      </c>
      <c r="K163" s="3" t="n">
        <v>8</v>
      </c>
      <c r="L163" s="10" t="n">
        <v>320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3">
        <f>IF(tblOrdenes[[#This Row],[tipo_ot]]="","",_xlfn.XLOOKUP(tblOrdenes[[#This Row],[tipo_ot]],tblTiposOT[codigo],tblTiposOT[clasificacion],"sin_clasificar"))</f>
        <v/>
      </c>
      <c r="U163" s="3">
        <f>IF(tblOrdenes[[#This Row],[centro_costo]]="","",_xlfn.XLOOKUP(tblOrdenes[[#This Row],[centro_costo]],tblCECO[codigo],tblCECO[linea],"(sin catálogo)"))</f>
        <v/>
      </c>
      <c r="V163" s="3">
        <f>IF(tblOrdenes[[#This Row],[centro_costo]]="","",_xlfn.XLOOKUP(tblOrdenes[[#This Row],[centro_costo]],tblCECO[codigo],tblCECO[area],"(sin catálogo)"))</f>
        <v/>
      </c>
      <c r="W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3">
        <f>IF(tblOrdenes[[#This Row],[centro_costo]]="","",_xlfn.XLOOKUP(tblOrdenes[[#This Row],[centro_costo]],tblCECO[codigo],tblCECO[coordinador],"(sin catálogo)"))</f>
        <v/>
      </c>
      <c r="Y163" s="3">
        <f>IF(tblOrdenes[[#This Row],[puesto_trabajo]]="","",_xlfn.XLOOKUP(tblOrdenes[[#This Row],[puesto_trabajo]],tblPuestos[codigo],tblPuestos[especialidad],"(sin catálogo)"))</f>
        <v/>
      </c>
      <c r="Z163" s="3">
        <f>IF(tblOrdenes[[#This Row],[cod_actividad]]="","",_xlfn.XLOOKUP(tblOrdenes[[#This Row],[cod_actividad]],tblActividades[codigo],tblActividades[descripcion],"(sin catálogo)"))</f>
        <v/>
      </c>
      <c r="AA163" s="12">
        <f>IF(tblOrdenes[[#This Row],[fecha_inicio]]="","",TODAY()-tblOrdenes[[#This Row],[fecha_inicio]])</f>
        <v/>
      </c>
      <c r="AB1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3">
        <f>IF(tblOrdenes[[#This Row],[backlog_habiles]]="","",IF(tblOrdenes[[#This Row],[backlog_habiles]]&lt;0,"FUTURO",IF(tblOrdenes[[#This Row],[backlog_habiles]]&gt;p_dias_backlog_max,"BACKLOG","MES CORRIENTE")))</f>
        <v/>
      </c>
      <c r="AD163" s="3">
        <f>IF(tblOrdenes[[#This Row],[backlog_habiles]]="",FALSE,AND(tblOrdenes[[#This Row],[backlog_habiles]]&gt;p_dias_backlog_min,tblOrdenes[[#This Row],[backlog_habiles]]&lt;=p_dias_backlog_max))</f>
        <v/>
      </c>
      <c r="AE163" s="6" t="inlineStr"/>
      <c r="AF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0">
        <f>IF(tblOrdenes[[#This Row],[orden]]="","",_xlfn.XLOOKUP(tblOrdenes[[#This Row],[id_operacion]],tblEjecucion[id_operacion],tblEjecucion[precio],0))</f>
        <v/>
      </c>
      <c r="AJ163" s="10">
        <f>IF(tblOrdenes[[#This Row],[orden]]="","",MAX(0,_xlfn.XLOOKUP(tblOrdenes[[#This Row],[id_operacion]],tblEjecucion[id_operacion],tblEjecucion[costo_plan_total],0)-tblOrdenes[[#This Row],[costo_servicio]]))</f>
        <v/>
      </c>
      <c r="AK163" s="10">
        <f>IF(tblOrdenes[[#This Row],[orden]]="","",tblOrdenes[[#This Row],[costo_servicio]]+tblOrdenes[[#This Row],[costo_materiales]])</f>
        <v/>
      </c>
      <c r="AL163" s="6" t="inlineStr"/>
      <c r="AM163" s="6" t="inlineStr"/>
      <c r="AN163" s="6" t="inlineStr"/>
      <c r="AO163" s="3">
        <f>IF(tblOrdenes[[#This Row],[link_checklist]]="","",HYPERLINK(p_ruta_base_checklists&amp;tblOrdenes[[#This Row],[link_checklist]],"abrir"))</f>
        <v/>
      </c>
      <c r="AP163" s="6" t="inlineStr"/>
      <c r="AQ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CC-320</t>
        </is>
      </c>
      <c r="G164" s="3" t="inlineStr">
        <is>
          <t>PU-AUT</t>
        </is>
      </c>
      <c r="H164" s="3" t="inlineStr">
        <is>
          <t>ACT-04</t>
        </is>
      </c>
      <c r="I164" s="3" t="inlineStr">
        <is>
          <t>TIPO-P2</t>
        </is>
      </c>
      <c r="J164" s="11" t="n">
        <v>46105</v>
      </c>
      <c r="K164" s="3" t="n">
        <v>4</v>
      </c>
      <c r="L164" s="10" t="n">
        <v>100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3">
        <f>IF(tblOrdenes[[#This Row],[tipo_ot]]="","",_xlfn.XLOOKUP(tblOrdenes[[#This Row],[tipo_ot]],tblTiposOT[codigo],tblTiposOT[clasificacion],"sin_clasificar"))</f>
        <v/>
      </c>
      <c r="U164" s="3">
        <f>IF(tblOrdenes[[#This Row],[centro_costo]]="","",_xlfn.XLOOKUP(tblOrdenes[[#This Row],[centro_costo]],tblCECO[codigo],tblCECO[linea],"(sin catálogo)"))</f>
        <v/>
      </c>
      <c r="V164" s="3">
        <f>IF(tblOrdenes[[#This Row],[centro_costo]]="","",_xlfn.XLOOKUP(tblOrdenes[[#This Row],[centro_costo]],tblCECO[codigo],tblCECO[area],"(sin catálogo)"))</f>
        <v/>
      </c>
      <c r="W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3">
        <f>IF(tblOrdenes[[#This Row],[centro_costo]]="","",_xlfn.XLOOKUP(tblOrdenes[[#This Row],[centro_costo]],tblCECO[codigo],tblCECO[coordinador],"(sin catálogo)"))</f>
        <v/>
      </c>
      <c r="Y164" s="3">
        <f>IF(tblOrdenes[[#This Row],[puesto_trabajo]]="","",_xlfn.XLOOKUP(tblOrdenes[[#This Row],[puesto_trabajo]],tblPuestos[codigo],tblPuestos[especialidad],"(sin catálogo)"))</f>
        <v/>
      </c>
      <c r="Z164" s="3">
        <f>IF(tblOrdenes[[#This Row],[cod_actividad]]="","",_xlfn.XLOOKUP(tblOrdenes[[#This Row],[cod_actividad]],tblActividades[codigo],tblActividades[descripcion],"(sin catálogo)"))</f>
        <v/>
      </c>
      <c r="AA164" s="12">
        <f>IF(tblOrdenes[[#This Row],[fecha_inicio]]="","",TODAY()-tblOrdenes[[#This Row],[fecha_inicio]])</f>
        <v/>
      </c>
      <c r="AB1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3">
        <f>IF(tblOrdenes[[#This Row],[backlog_habiles]]="","",IF(tblOrdenes[[#This Row],[backlog_habiles]]&lt;0,"FUTURO",IF(tblOrdenes[[#This Row],[backlog_habiles]]&gt;p_dias_backlog_max,"BACKLOG","MES CORRIENTE")))</f>
        <v/>
      </c>
      <c r="AD164" s="3">
        <f>IF(tblOrdenes[[#This Row],[backlog_habiles]]="",FALSE,AND(tblOrdenes[[#This Row],[backlog_habiles]]&gt;p_dias_backlog_min,tblOrdenes[[#This Row],[backlog_habiles]]&lt;=p_dias_backlog_max))</f>
        <v/>
      </c>
      <c r="AE164" s="6" t="inlineStr"/>
      <c r="AF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0">
        <f>IF(tblOrdenes[[#This Row],[orden]]="","",_xlfn.XLOOKUP(tblOrdenes[[#This Row],[id_operacion]],tblEjecucion[id_operacion],tblEjecucion[precio],0))</f>
        <v/>
      </c>
      <c r="AJ164" s="10">
        <f>IF(tblOrdenes[[#This Row],[orden]]="","",MAX(0,_xlfn.XLOOKUP(tblOrdenes[[#This Row],[id_operacion]],tblEjecucion[id_operacion],tblEjecucion[costo_plan_total],0)-tblOrdenes[[#This Row],[costo_servicio]]))</f>
        <v/>
      </c>
      <c r="AK164" s="10">
        <f>IF(tblOrdenes[[#This Row],[orden]]="","",tblOrdenes[[#This Row],[costo_servicio]]+tblOrdenes[[#This Row],[costo_materiales]])</f>
        <v/>
      </c>
      <c r="AL164" s="6" t="inlineStr"/>
      <c r="AM164" s="6" t="inlineStr"/>
      <c r="AN164" s="6" t="inlineStr"/>
      <c r="AO164" s="3">
        <f>IF(tblOrdenes[[#This Row],[link_checklist]]="","",HYPERLINK(p_ruta_base_checklists&amp;tblOrdenes[[#This Row],[link_checklist]],"abrir"))</f>
        <v/>
      </c>
      <c r="AP164" s="6" t="inlineStr"/>
      <c r="AQ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Reparación de falla — EQ-110</t>
        </is>
      </c>
      <c r="D165" s="3" t="inlineStr">
        <is>
          <t>Reparación de falla en EQ-110</t>
        </is>
      </c>
      <c r="E165" s="3" t="inlineStr">
        <is>
          <t>EQ-110</t>
        </is>
      </c>
      <c r="F165" s="3" t="inlineStr">
        <is>
          <t>CC-310</t>
        </is>
      </c>
      <c r="G165" s="3" t="inlineStr">
        <is>
          <t>PU-MEC</t>
        </is>
      </c>
      <c r="H165" s="3" t="inlineStr">
        <is>
          <t>ACT-03</t>
        </is>
      </c>
      <c r="I165" s="3" t="inlineStr">
        <is>
          <t>TIPO-C1</t>
        </is>
      </c>
      <c r="J165" s="11" t="n">
        <v>46075</v>
      </c>
      <c r="K165" s="3" t="n">
        <v>4</v>
      </c>
      <c r="L165" s="10" t="n">
        <v>160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3">
        <f>IF(tblOrdenes[[#This Row],[tipo_ot]]="","",_xlfn.XLOOKUP(tblOrdenes[[#This Row],[tipo_ot]],tblTiposOT[codigo],tblTiposOT[clasificacion],"sin_clasificar"))</f>
        <v/>
      </c>
      <c r="U165" s="3">
        <f>IF(tblOrdenes[[#This Row],[centro_costo]]="","",_xlfn.XLOOKUP(tblOrdenes[[#This Row],[centro_costo]],tblCECO[codigo],tblCECO[linea],"(sin catálogo)"))</f>
        <v/>
      </c>
      <c r="V165" s="3">
        <f>IF(tblOrdenes[[#This Row],[centro_costo]]="","",_xlfn.XLOOKUP(tblOrdenes[[#This Row],[centro_costo]],tblCECO[codigo],tblCECO[area],"(sin catálogo)"))</f>
        <v/>
      </c>
      <c r="W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3">
        <f>IF(tblOrdenes[[#This Row],[centro_costo]]="","",_xlfn.XLOOKUP(tblOrdenes[[#This Row],[centro_costo]],tblCECO[codigo],tblCECO[coordinador],"(sin catálogo)"))</f>
        <v/>
      </c>
      <c r="Y165" s="3">
        <f>IF(tblOrdenes[[#This Row],[puesto_trabajo]]="","",_xlfn.XLOOKUP(tblOrdenes[[#This Row],[puesto_trabajo]],tblPuestos[codigo],tblPuestos[especialidad],"(sin catálogo)"))</f>
        <v/>
      </c>
      <c r="Z165" s="3">
        <f>IF(tblOrdenes[[#This Row],[cod_actividad]]="","",_xlfn.XLOOKUP(tblOrdenes[[#This Row],[cod_actividad]],tblActividades[codigo],tblActividades[descripcion],"(sin catálogo)"))</f>
        <v/>
      </c>
      <c r="AA165" s="12">
        <f>IF(tblOrdenes[[#This Row],[fecha_inicio]]="","",TODAY()-tblOrdenes[[#This Row],[fecha_inicio]])</f>
        <v/>
      </c>
      <c r="AB1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3">
        <f>IF(tblOrdenes[[#This Row],[backlog_habiles]]="","",IF(tblOrdenes[[#This Row],[backlog_habiles]]&lt;0,"FUTURO",IF(tblOrdenes[[#This Row],[backlog_habiles]]&gt;p_dias_backlog_max,"BACKLOG","MES CORRIENTE")))</f>
        <v/>
      </c>
      <c r="AD165" s="3">
        <f>IF(tblOrdenes[[#This Row],[backlog_habiles]]="",FALSE,AND(tblOrdenes[[#This Row],[backlog_habiles]]&gt;p_dias_backlog_min,tblOrdenes[[#This Row],[backlog_habiles]]&lt;=p_dias_backlog_max))</f>
        <v/>
      </c>
      <c r="AE165" s="6" t="inlineStr"/>
      <c r="AF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0">
        <f>IF(tblOrdenes[[#This Row],[orden]]="","",_xlfn.XLOOKUP(tblOrdenes[[#This Row],[id_operacion]],tblEjecucion[id_operacion],tblEjecucion[precio],0))</f>
        <v/>
      </c>
      <c r="AJ165" s="10">
        <f>IF(tblOrdenes[[#This Row],[orden]]="","",MAX(0,_xlfn.XLOOKUP(tblOrdenes[[#This Row],[id_operacion]],tblEjecucion[id_operacion],tblEjecucion[costo_plan_total],0)-tblOrdenes[[#This Row],[costo_servicio]]))</f>
        <v/>
      </c>
      <c r="AK165" s="10">
        <f>IF(tblOrdenes[[#This Row],[orden]]="","",tblOrdenes[[#This Row],[costo_servicio]]+tblOrdenes[[#This Row],[costo_materiales]])</f>
        <v/>
      </c>
      <c r="AL165" s="6" t="inlineStr"/>
      <c r="AM165" s="6" t="inlineStr"/>
      <c r="AN165" s="6" t="inlineStr"/>
      <c r="AO165" s="3">
        <f>IF(tblOrdenes[[#This Row],[link_checklist]]="","",HYPERLINK(p_ruta_base_checklists&amp;tblOrdenes[[#This Row],[link_checklist]],"abrir"))</f>
        <v/>
      </c>
      <c r="AP165" s="6" t="inlineStr"/>
      <c r="AQ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EQ-111</t>
        </is>
      </c>
      <c r="D166" s="3" t="inlineStr">
        <is>
          <t>Reparación de falla en EQ-111</t>
        </is>
      </c>
      <c r="E166" s="3" t="inlineStr">
        <is>
          <t>EQ-111</t>
        </is>
      </c>
      <c r="F166" s="3" t="inlineStr">
        <is>
          <t>CC-311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46075</v>
      </c>
      <c r="K166" s="3" t="n">
        <v>6</v>
      </c>
      <c r="L166" s="10" t="n">
        <v>240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3">
        <f>IF(tblOrdenes[[#This Row],[tipo_ot]]="","",_xlfn.XLOOKUP(tblOrdenes[[#This Row],[tipo_ot]],tblTiposOT[codigo],tblTiposOT[clasificacion],"sin_clasificar"))</f>
        <v/>
      </c>
      <c r="U166" s="3">
        <f>IF(tblOrdenes[[#This Row],[centro_costo]]="","",_xlfn.XLOOKUP(tblOrdenes[[#This Row],[centro_costo]],tblCECO[codigo],tblCECO[linea],"(sin catálogo)"))</f>
        <v/>
      </c>
      <c r="V166" s="3">
        <f>IF(tblOrdenes[[#This Row],[centro_costo]]="","",_xlfn.XLOOKUP(tblOrdenes[[#This Row],[centro_costo]],tblCECO[codigo],tblCECO[area],"(sin catálogo)"))</f>
        <v/>
      </c>
      <c r="W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3">
        <f>IF(tblOrdenes[[#This Row],[centro_costo]]="","",_xlfn.XLOOKUP(tblOrdenes[[#This Row],[centro_costo]],tblCECO[codigo],tblCECO[coordinador],"(sin catálogo)"))</f>
        <v/>
      </c>
      <c r="Y166" s="3">
        <f>IF(tblOrdenes[[#This Row],[puesto_trabajo]]="","",_xlfn.XLOOKUP(tblOrdenes[[#This Row],[puesto_trabajo]],tblPuestos[codigo],tblPuestos[especialidad],"(sin catálogo)"))</f>
        <v/>
      </c>
      <c r="Z166" s="3">
        <f>IF(tblOrdenes[[#This Row],[cod_actividad]]="","",_xlfn.XLOOKUP(tblOrdenes[[#This Row],[cod_actividad]],tblActividades[codigo],tblActividades[descripcion],"(sin catálogo)"))</f>
        <v/>
      </c>
      <c r="AA166" s="12">
        <f>IF(tblOrdenes[[#This Row],[fecha_inicio]]="","",TODAY()-tblOrdenes[[#This Row],[fecha_inicio]])</f>
        <v/>
      </c>
      <c r="AB1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3">
        <f>IF(tblOrdenes[[#This Row],[backlog_habiles]]="","",IF(tblOrdenes[[#This Row],[backlog_habiles]]&lt;0,"FUTURO",IF(tblOrdenes[[#This Row],[backlog_habiles]]&gt;p_dias_backlog_max,"BACKLOG","MES CORRIENTE")))</f>
        <v/>
      </c>
      <c r="AD166" s="3">
        <f>IF(tblOrdenes[[#This Row],[backlog_habiles]]="",FALSE,AND(tblOrdenes[[#This Row],[backlog_habiles]]&gt;p_dias_backlog_min,tblOrdenes[[#This Row],[backlog_habiles]]&lt;=p_dias_backlog_max))</f>
        <v/>
      </c>
      <c r="AE166" s="6" t="inlineStr"/>
      <c r="AF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0">
        <f>IF(tblOrdenes[[#This Row],[orden]]="","",_xlfn.XLOOKUP(tblOrdenes[[#This Row],[id_operacion]],tblEjecucion[id_operacion],tblEjecucion[precio],0))</f>
        <v/>
      </c>
      <c r="AJ166" s="10">
        <f>IF(tblOrdenes[[#This Row],[orden]]="","",MAX(0,_xlfn.XLOOKUP(tblOrdenes[[#This Row],[id_operacion]],tblEjecucion[id_operacion],tblEjecucion[costo_plan_total],0)-tblOrdenes[[#This Row],[costo_servicio]]))</f>
        <v/>
      </c>
      <c r="AK166" s="10">
        <f>IF(tblOrdenes[[#This Row],[orden]]="","",tblOrdenes[[#This Row],[costo_servicio]]+tblOrdenes[[#This Row],[costo_materiales]])</f>
        <v/>
      </c>
      <c r="AL166" s="6" t="inlineStr"/>
      <c r="AM166" s="6" t="inlineStr"/>
      <c r="AN166" s="6" t="inlineStr"/>
      <c r="AO166" s="3">
        <f>IF(tblOrdenes[[#This Row],[link_checklist]]="","",HYPERLINK(p_ruta_base_checklists&amp;tblOrdenes[[#This Row],[link_checklist]],"abrir"))</f>
        <v/>
      </c>
      <c r="AP166" s="6" t="inlineStr"/>
      <c r="AQ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Reparación de falla — EQ-112</t>
        </is>
      </c>
      <c r="D167" s="3" t="inlineStr">
        <is>
          <t>Reparación de falla en EQ-112</t>
        </is>
      </c>
      <c r="E167" s="3" t="inlineStr">
        <is>
          <t>EQ-112</t>
        </is>
      </c>
      <c r="F167" s="3" t="inlineStr">
        <is>
          <t>CC-320</t>
        </is>
      </c>
      <c r="G167" s="3" t="inlineStr">
        <is>
          <t>PU-AUT</t>
        </is>
      </c>
      <c r="H167" s="3" t="inlineStr">
        <is>
          <t>ACT-03</t>
        </is>
      </c>
      <c r="I167" s="3" t="inlineStr">
        <is>
          <t>TIPO-C1</t>
        </is>
      </c>
      <c r="J167" s="11" t="n">
        <v>46075</v>
      </c>
      <c r="K167" s="3" t="n">
        <v>8</v>
      </c>
      <c r="L167" s="10" t="n">
        <v>320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3">
        <f>IF(tblOrdenes[[#This Row],[tipo_ot]]="","",_xlfn.XLOOKUP(tblOrdenes[[#This Row],[tipo_ot]],tblTiposOT[codigo],tblTiposOT[clasificacion],"sin_clasificar"))</f>
        <v/>
      </c>
      <c r="U167" s="3">
        <f>IF(tblOrdenes[[#This Row],[centro_costo]]="","",_xlfn.XLOOKUP(tblOrdenes[[#This Row],[centro_costo]],tblCECO[codigo],tblCECO[linea],"(sin catálogo)"))</f>
        <v/>
      </c>
      <c r="V167" s="3">
        <f>IF(tblOrdenes[[#This Row],[centro_costo]]="","",_xlfn.XLOOKUP(tblOrdenes[[#This Row],[centro_costo]],tblCECO[codigo],tblCECO[area],"(sin catálogo)"))</f>
        <v/>
      </c>
      <c r="W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3">
        <f>IF(tblOrdenes[[#This Row],[centro_costo]]="","",_xlfn.XLOOKUP(tblOrdenes[[#This Row],[centro_costo]],tblCECO[codigo],tblCECO[coordinador],"(sin catálogo)"))</f>
        <v/>
      </c>
      <c r="Y167" s="3">
        <f>IF(tblOrdenes[[#This Row],[puesto_trabajo]]="","",_xlfn.XLOOKUP(tblOrdenes[[#This Row],[puesto_trabajo]],tblPuestos[codigo],tblPuestos[especialidad],"(sin catálogo)"))</f>
        <v/>
      </c>
      <c r="Z167" s="3">
        <f>IF(tblOrdenes[[#This Row],[cod_actividad]]="","",_xlfn.XLOOKUP(tblOrdenes[[#This Row],[cod_actividad]],tblActividades[codigo],tblActividades[descripcion],"(sin catálogo)"))</f>
        <v/>
      </c>
      <c r="AA167" s="12">
        <f>IF(tblOrdenes[[#This Row],[fecha_inicio]]="","",TODAY()-tblOrdenes[[#This Row],[fecha_inicio]])</f>
        <v/>
      </c>
      <c r="AB1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3">
        <f>IF(tblOrdenes[[#This Row],[backlog_habiles]]="","",IF(tblOrdenes[[#This Row],[backlog_habiles]]&lt;0,"FUTURO",IF(tblOrdenes[[#This Row],[backlog_habiles]]&gt;p_dias_backlog_max,"BACKLOG","MES CORRIENTE")))</f>
        <v/>
      </c>
      <c r="AD167" s="3">
        <f>IF(tblOrdenes[[#This Row],[backlog_habiles]]="",FALSE,AND(tblOrdenes[[#This Row],[backlog_habiles]]&gt;p_dias_backlog_min,tblOrdenes[[#This Row],[backlog_habiles]]&lt;=p_dias_backlog_max))</f>
        <v/>
      </c>
      <c r="AE167" s="6" t="inlineStr"/>
      <c r="AF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0">
        <f>IF(tblOrdenes[[#This Row],[orden]]="","",_xlfn.XLOOKUP(tblOrdenes[[#This Row],[id_operacion]],tblEjecucion[id_operacion],tblEjecucion[precio],0))</f>
        <v/>
      </c>
      <c r="AJ167" s="10">
        <f>IF(tblOrdenes[[#This Row],[orden]]="","",MAX(0,_xlfn.XLOOKUP(tblOrdenes[[#This Row],[id_operacion]],tblEjecucion[id_operacion],tblEjecucion[costo_plan_total],0)-tblOrdenes[[#This Row],[costo_servicio]]))</f>
        <v/>
      </c>
      <c r="AK167" s="10">
        <f>IF(tblOrdenes[[#This Row],[orden]]="","",tblOrdenes[[#This Row],[costo_servicio]]+tblOrdenes[[#This Row],[costo_materiales]])</f>
        <v/>
      </c>
      <c r="AL167" s="6" t="inlineStr"/>
      <c r="AM167" s="6" t="inlineStr"/>
      <c r="AN167" s="6" t="inlineStr"/>
      <c r="AO167" s="3">
        <f>IF(tblOrdenes[[#This Row],[link_checklist]]="","",HYPERLINK(p_ruta_base_checklists&amp;tblOrdenes[[#This Row],[link_checklist]],"abrir"))</f>
        <v/>
      </c>
      <c r="AP167" s="6" t="inlineStr"/>
      <c r="AQ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EQ-110</t>
        </is>
      </c>
      <c r="D168" s="3" t="inlineStr">
        <is>
          <t>Inspección de rutina en EQ-110</t>
        </is>
      </c>
      <c r="E168" s="3" t="inlineStr">
        <is>
          <t>EQ-110</t>
        </is>
      </c>
      <c r="F168" s="3" t="inlineStr">
        <is>
          <t>CC-321</t>
        </is>
      </c>
      <c r="G168" s="3" t="inlineStr">
        <is>
          <t>PU-OP</t>
        </is>
      </c>
      <c r="H168" s="3" t="inlineStr">
        <is>
          <t>ACT-01</t>
        </is>
      </c>
      <c r="I168" s="3" t="inlineStr">
        <is>
          <t>TIPO-P2</t>
        </is>
      </c>
      <c r="J168" s="11" t="n">
        <v>46075</v>
      </c>
      <c r="K168" s="3" t="n">
        <v>4</v>
      </c>
      <c r="L168" s="10" t="n">
        <v>100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3">
        <f>IF(tblOrdenes[[#This Row],[tipo_ot]]="","",_xlfn.XLOOKUP(tblOrdenes[[#This Row],[tipo_ot]],tblTiposOT[codigo],tblTiposOT[clasificacion],"sin_clasificar"))</f>
        <v/>
      </c>
      <c r="U168" s="3">
        <f>IF(tblOrdenes[[#This Row],[centro_costo]]="","",_xlfn.XLOOKUP(tblOrdenes[[#This Row],[centro_costo]],tblCECO[codigo],tblCECO[linea],"(sin catálogo)"))</f>
        <v/>
      </c>
      <c r="V168" s="3">
        <f>IF(tblOrdenes[[#This Row],[centro_costo]]="","",_xlfn.XLOOKUP(tblOrdenes[[#This Row],[centro_costo]],tblCECO[codigo],tblCECO[area],"(sin catálogo)"))</f>
        <v/>
      </c>
      <c r="W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3">
        <f>IF(tblOrdenes[[#This Row],[centro_costo]]="","",_xlfn.XLOOKUP(tblOrdenes[[#This Row],[centro_costo]],tblCECO[codigo],tblCECO[coordinador],"(sin catálogo)"))</f>
        <v/>
      </c>
      <c r="Y168" s="3">
        <f>IF(tblOrdenes[[#This Row],[puesto_trabajo]]="","",_xlfn.XLOOKUP(tblOrdenes[[#This Row],[puesto_trabajo]],tblPuestos[codigo],tblPuestos[especialidad],"(sin catálogo)"))</f>
        <v/>
      </c>
      <c r="Z168" s="3">
        <f>IF(tblOrdenes[[#This Row],[cod_actividad]]="","",_xlfn.XLOOKUP(tblOrdenes[[#This Row],[cod_actividad]],tblActividades[codigo],tblActividades[descripcion],"(sin catálogo)"))</f>
        <v/>
      </c>
      <c r="AA168" s="12">
        <f>IF(tblOrdenes[[#This Row],[fecha_inicio]]="","",TODAY()-tblOrdenes[[#This Row],[fecha_inicio]])</f>
        <v/>
      </c>
      <c r="AB1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3">
        <f>IF(tblOrdenes[[#This Row],[backlog_habiles]]="","",IF(tblOrdenes[[#This Row],[backlog_habiles]]&lt;0,"FUTURO",IF(tblOrdenes[[#This Row],[backlog_habiles]]&gt;p_dias_backlog_max,"BACKLOG","MES CORRIENTE")))</f>
        <v/>
      </c>
      <c r="AD168" s="3">
        <f>IF(tblOrdenes[[#This Row],[backlog_habiles]]="",FALSE,AND(tblOrdenes[[#This Row],[backlog_habiles]]&gt;p_dias_backlog_min,tblOrdenes[[#This Row],[backlog_habiles]]&lt;=p_dias_backlog_max))</f>
        <v/>
      </c>
      <c r="AE168" s="6" t="inlineStr"/>
      <c r="AF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0">
        <f>IF(tblOrdenes[[#This Row],[orden]]="","",_xlfn.XLOOKUP(tblOrdenes[[#This Row],[id_operacion]],tblEjecucion[id_operacion],tblEjecucion[precio],0))</f>
        <v/>
      </c>
      <c r="AJ168" s="10">
        <f>IF(tblOrdenes[[#This Row],[orden]]="","",MAX(0,_xlfn.XLOOKUP(tblOrdenes[[#This Row],[id_operacion]],tblEjecucion[id_operacion],tblEjecucion[costo_plan_total],0)-tblOrdenes[[#This Row],[costo_servicio]]))</f>
        <v/>
      </c>
      <c r="AK168" s="10">
        <f>IF(tblOrdenes[[#This Row],[orden]]="","",tblOrdenes[[#This Row],[costo_servicio]]+tblOrdenes[[#This Row],[costo_materiales]])</f>
        <v/>
      </c>
      <c r="AL168" s="6" t="inlineStr"/>
      <c r="AM168" s="6" t="inlineStr"/>
      <c r="AN168" s="6" t="inlineStr"/>
      <c r="AO168" s="3">
        <f>IF(tblOrdenes[[#This Row],[link_checklist]]="","",HYPERLINK(p_ruta_base_checklists&amp;tblOrdenes[[#This Row],[link_checklist]],"abrir"))</f>
        <v/>
      </c>
      <c r="AP168" s="6" t="inlineStr"/>
      <c r="AQ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46185</v>
      </c>
      <c r="K169" s="3" t="n">
        <v>4</v>
      </c>
      <c r="L169" s="10" t="n">
        <v>100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3">
        <f>IF(tblOrdenes[[#This Row],[tipo_ot]]="","",_xlfn.XLOOKUP(tblOrdenes[[#This Row],[tipo_ot]],tblTiposOT[codigo],tblTiposOT[clasificacion],"sin_clasificar"))</f>
        <v/>
      </c>
      <c r="U169" s="3">
        <f>IF(tblOrdenes[[#This Row],[centro_costo]]="","",_xlfn.XLOOKUP(tblOrdenes[[#This Row],[centro_costo]],tblCECO[codigo],tblCECO[linea],"(sin catálogo)"))</f>
        <v/>
      </c>
      <c r="V169" s="3">
        <f>IF(tblOrdenes[[#This Row],[centro_costo]]="","",_xlfn.XLOOKUP(tblOrdenes[[#This Row],[centro_costo]],tblCECO[codigo],tblCECO[area],"(sin catálogo)"))</f>
        <v/>
      </c>
      <c r="W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3">
        <f>IF(tblOrdenes[[#This Row],[centro_costo]]="","",_xlfn.XLOOKUP(tblOrdenes[[#This Row],[centro_costo]],tblCECO[codigo],tblCECO[coordinador],"(sin catálogo)"))</f>
        <v/>
      </c>
      <c r="Y169" s="3">
        <f>IF(tblOrdenes[[#This Row],[puesto_trabajo]]="","",_xlfn.XLOOKUP(tblOrdenes[[#This Row],[puesto_trabajo]],tblPuestos[codigo],tblPuestos[especialidad],"(sin catálogo)"))</f>
        <v/>
      </c>
      <c r="Z169" s="3">
        <f>IF(tblOrdenes[[#This Row],[cod_actividad]]="","",_xlfn.XLOOKUP(tblOrdenes[[#This Row],[cod_actividad]],tblActividades[codigo],tblActividades[descripcion],"(sin catálogo)"))</f>
        <v/>
      </c>
      <c r="AA169" s="12">
        <f>IF(tblOrdenes[[#This Row],[fecha_inicio]]="","",TODAY()-tblOrdenes[[#This Row],[fecha_inicio]])</f>
        <v/>
      </c>
      <c r="AB1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3">
        <f>IF(tblOrdenes[[#This Row],[backlog_habiles]]="","",IF(tblOrdenes[[#This Row],[backlog_habiles]]&lt;0,"FUTURO",IF(tblOrdenes[[#This Row],[backlog_habiles]]&gt;p_dias_backlog_max,"BACKLOG","MES CORRIENTE")))</f>
        <v/>
      </c>
      <c r="AD169" s="3">
        <f>IF(tblOrdenes[[#This Row],[backlog_habiles]]="",FALSE,AND(tblOrdenes[[#This Row],[backlog_habiles]]&gt;p_dias_backlog_min,tblOrdenes[[#This Row],[backlog_habiles]]&lt;=p_dias_backlog_max))</f>
        <v/>
      </c>
      <c r="AE169" s="6" t="inlineStr"/>
      <c r="AF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0">
        <f>IF(tblOrdenes[[#This Row],[orden]]="","",_xlfn.XLOOKUP(tblOrdenes[[#This Row],[id_operacion]],tblEjecucion[id_operacion],tblEjecucion[precio],0))</f>
        <v/>
      </c>
      <c r="AJ169" s="10">
        <f>IF(tblOrdenes[[#This Row],[orden]]="","",MAX(0,_xlfn.XLOOKUP(tblOrdenes[[#This Row],[id_operacion]],tblEjecucion[id_operacion],tblEjecucion[costo_plan_total],0)-tblOrdenes[[#This Row],[costo_servicio]]))</f>
        <v/>
      </c>
      <c r="AK169" s="10">
        <f>IF(tblOrdenes[[#This Row],[orden]]="","",tblOrdenes[[#This Row],[costo_servicio]]+tblOrdenes[[#This Row],[costo_materiales]])</f>
        <v/>
      </c>
      <c r="AL169" s="6" t="inlineStr"/>
      <c r="AM169" s="6" t="inlineStr"/>
      <c r="AN169" s="6" t="inlineStr"/>
      <c r="AO169" s="3">
        <f>IF(tblOrdenes[[#This Row],[link_checklist]]="","",HYPERLINK(p_ruta_base_checklists&amp;tblOrdenes[[#This Row],[link_checklist]],"abrir"))</f>
        <v/>
      </c>
      <c r="AP169" s="6" t="inlineStr"/>
      <c r="AQ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EQ-103</t>
        </is>
      </c>
      <c r="D170" s="3" t="inlineStr">
        <is>
          <t>Reparación de falla en EQ-103</t>
        </is>
      </c>
      <c r="E170" s="3" t="inlineStr">
        <is>
          <t>EQ-103</t>
        </is>
      </c>
      <c r="F170" s="3" t="inlineStr">
        <is>
          <t>CC-120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46178</v>
      </c>
      <c r="K170" s="3" t="n">
        <v>6</v>
      </c>
      <c r="L170" s="10" t="n">
        <v>240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3">
        <f>IF(tblOrdenes[[#This Row],[tipo_ot]]="","",_xlfn.XLOOKUP(tblOrdenes[[#This Row],[tipo_ot]],tblTiposOT[codigo],tblTiposOT[clasificacion],"sin_clasificar"))</f>
        <v/>
      </c>
      <c r="U170" s="3">
        <f>IF(tblOrdenes[[#This Row],[centro_costo]]="","",_xlfn.XLOOKUP(tblOrdenes[[#This Row],[centro_costo]],tblCECO[codigo],tblCECO[linea],"(sin catálogo)"))</f>
        <v/>
      </c>
      <c r="V170" s="3">
        <f>IF(tblOrdenes[[#This Row],[centro_costo]]="","",_xlfn.XLOOKUP(tblOrdenes[[#This Row],[centro_costo]],tblCECO[codigo],tblCECO[area],"(sin catálogo)"))</f>
        <v/>
      </c>
      <c r="W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3">
        <f>IF(tblOrdenes[[#This Row],[centro_costo]]="","",_xlfn.XLOOKUP(tblOrdenes[[#This Row],[centro_costo]],tblCECO[codigo],tblCECO[coordinador],"(sin catálogo)"))</f>
        <v/>
      </c>
      <c r="Y170" s="3">
        <f>IF(tblOrdenes[[#This Row],[puesto_trabajo]]="","",_xlfn.XLOOKUP(tblOrdenes[[#This Row],[puesto_trabajo]],tblPuestos[codigo],tblPuestos[especialidad],"(sin catálogo)"))</f>
        <v/>
      </c>
      <c r="Z170" s="3">
        <f>IF(tblOrdenes[[#This Row],[cod_actividad]]="","",_xlfn.XLOOKUP(tblOrdenes[[#This Row],[cod_actividad]],tblActividades[codigo],tblActividades[descripcion],"(sin catálogo)"))</f>
        <v/>
      </c>
      <c r="AA170" s="12">
        <f>IF(tblOrdenes[[#This Row],[fecha_inicio]]="","",TODAY()-tblOrdenes[[#This Row],[fecha_inicio]])</f>
        <v/>
      </c>
      <c r="AB1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3">
        <f>IF(tblOrdenes[[#This Row],[backlog_habiles]]="","",IF(tblOrdenes[[#This Row],[backlog_habiles]]&lt;0,"FUTURO",IF(tblOrdenes[[#This Row],[backlog_habiles]]&gt;p_dias_backlog_max,"BACKLOG","MES CORRIENTE")))</f>
        <v/>
      </c>
      <c r="AD170" s="3">
        <f>IF(tblOrdenes[[#This Row],[backlog_habiles]]="",FALSE,AND(tblOrdenes[[#This Row],[backlog_habiles]]&gt;p_dias_backlog_min,tblOrdenes[[#This Row],[backlog_habiles]]&lt;=p_dias_backlog_max))</f>
        <v/>
      </c>
      <c r="AE170" s="6" t="inlineStr"/>
      <c r="AF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0">
        <f>IF(tblOrdenes[[#This Row],[orden]]="","",_xlfn.XLOOKUP(tblOrdenes[[#This Row],[id_operacion]],tblEjecucion[id_operacion],tblEjecucion[precio],0))</f>
        <v/>
      </c>
      <c r="AJ170" s="10">
        <f>IF(tblOrdenes[[#This Row],[orden]]="","",MAX(0,_xlfn.XLOOKUP(tblOrdenes[[#This Row],[id_operacion]],tblEjecucion[id_operacion],tblEjecucion[costo_plan_total],0)-tblOrdenes[[#This Row],[costo_servicio]]))</f>
        <v/>
      </c>
      <c r="AK170" s="10">
        <f>IF(tblOrdenes[[#This Row],[orden]]="","",tblOrdenes[[#This Row],[costo_servicio]]+tblOrdenes[[#This Row],[costo_materiales]])</f>
        <v/>
      </c>
      <c r="AL170" s="6" t="inlineStr"/>
      <c r="AM170" s="6" t="inlineStr"/>
      <c r="AN170" s="6" t="inlineStr"/>
      <c r="AO170" s="3">
        <f>IF(tblOrdenes[[#This Row],[link_checklist]]="","",HYPERLINK(p_ruta_base_checklists&amp;tblOrdenes[[#This Row],[link_checklist]],"abrir"))</f>
        <v/>
      </c>
      <c r="AP170" s="6" t="inlineStr"/>
      <c r="AQ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EQ-106</t>
        </is>
      </c>
      <c r="D171" s="3" t="inlineStr">
        <is>
          <t>Inspección de rutina en EQ-106</t>
        </is>
      </c>
      <c r="E171" s="3" t="inlineStr">
        <is>
          <t>EQ-106</t>
        </is>
      </c>
      <c r="F171" s="3" t="inlineStr">
        <is>
          <t>CC-210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46171</v>
      </c>
      <c r="K171" s="3" t="n">
        <v>8</v>
      </c>
      <c r="L171" s="10" t="n">
        <v>200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3">
        <f>IF(tblOrdenes[[#This Row],[tipo_ot]]="","",_xlfn.XLOOKUP(tblOrdenes[[#This Row],[tipo_ot]],tblTiposOT[codigo],tblTiposOT[clasificacion],"sin_clasificar"))</f>
        <v/>
      </c>
      <c r="U171" s="3">
        <f>IF(tblOrdenes[[#This Row],[centro_costo]]="","",_xlfn.XLOOKUP(tblOrdenes[[#This Row],[centro_costo]],tblCECO[codigo],tblCECO[linea],"(sin catálogo)"))</f>
        <v/>
      </c>
      <c r="V171" s="3">
        <f>IF(tblOrdenes[[#This Row],[centro_costo]]="","",_xlfn.XLOOKUP(tblOrdenes[[#This Row],[centro_costo]],tblCECO[codigo],tblCECO[area],"(sin catálogo)"))</f>
        <v/>
      </c>
      <c r="W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3">
        <f>IF(tblOrdenes[[#This Row],[centro_costo]]="","",_xlfn.XLOOKUP(tblOrdenes[[#This Row],[centro_costo]],tblCECO[codigo],tblCECO[coordinador],"(sin catálogo)"))</f>
        <v/>
      </c>
      <c r="Y171" s="3">
        <f>IF(tblOrdenes[[#This Row],[puesto_trabajo]]="","",_xlfn.XLOOKUP(tblOrdenes[[#This Row],[puesto_trabajo]],tblPuestos[codigo],tblPuestos[especialidad],"(sin catálogo)"))</f>
        <v/>
      </c>
      <c r="Z171" s="3">
        <f>IF(tblOrdenes[[#This Row],[cod_actividad]]="","",_xlfn.XLOOKUP(tblOrdenes[[#This Row],[cod_actividad]],tblActividades[codigo],tblActividades[descripcion],"(sin catálogo)"))</f>
        <v/>
      </c>
      <c r="AA171" s="12">
        <f>IF(tblOrdenes[[#This Row],[fecha_inicio]]="","",TODAY()-tblOrdenes[[#This Row],[fecha_inicio]])</f>
        <v/>
      </c>
      <c r="AB1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3">
        <f>IF(tblOrdenes[[#This Row],[backlog_habiles]]="","",IF(tblOrdenes[[#This Row],[backlog_habiles]]&lt;0,"FUTURO",IF(tblOrdenes[[#This Row],[backlog_habiles]]&gt;p_dias_backlog_max,"BACKLOG","MES CORRIENTE")))</f>
        <v/>
      </c>
      <c r="AD171" s="3">
        <f>IF(tblOrdenes[[#This Row],[backlog_habiles]]="",FALSE,AND(tblOrdenes[[#This Row],[backlog_habiles]]&gt;p_dias_backlog_min,tblOrdenes[[#This Row],[backlog_habiles]]&lt;=p_dias_backlog_max))</f>
        <v/>
      </c>
      <c r="AE171" s="6" t="inlineStr"/>
      <c r="AF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0">
        <f>IF(tblOrdenes[[#This Row],[orden]]="","",_xlfn.XLOOKUP(tblOrdenes[[#This Row],[id_operacion]],tblEjecucion[id_operacion],tblEjecucion[precio],0))</f>
        <v/>
      </c>
      <c r="AJ171" s="10">
        <f>IF(tblOrdenes[[#This Row],[orden]]="","",MAX(0,_xlfn.XLOOKUP(tblOrdenes[[#This Row],[id_operacion]],tblEjecucion[id_operacion],tblEjecucion[costo_plan_total],0)-tblOrdenes[[#This Row],[costo_servicio]]))</f>
        <v/>
      </c>
      <c r="AK171" s="10">
        <f>IF(tblOrdenes[[#This Row],[orden]]="","",tblOrdenes[[#This Row],[costo_servicio]]+tblOrdenes[[#This Row],[costo_materiales]])</f>
        <v/>
      </c>
      <c r="AL171" s="6" t="inlineStr"/>
      <c r="AM171" s="6" t="inlineStr"/>
      <c r="AN171" s="6" t="inlineStr"/>
      <c r="AO171" s="3">
        <f>IF(tblOrdenes[[#This Row],[link_checklist]]="","",HYPERLINK(p_ruta_base_checklists&amp;tblOrdenes[[#This Row],[link_checklist]],"abrir"))</f>
        <v/>
      </c>
      <c r="AP171" s="6" t="inlineStr"/>
      <c r="AQ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EQ-107</t>
        </is>
      </c>
      <c r="D172" s="3" t="inlineStr">
        <is>
          <t>Reparación de falla en EQ-107</t>
        </is>
      </c>
      <c r="E172" s="3" t="inlineStr">
        <is>
          <t>EQ-107</t>
        </is>
      </c>
      <c r="F172" s="3" t="inlineStr">
        <is>
          <t>CC-220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46164</v>
      </c>
      <c r="K172" s="3" t="n">
        <v>4</v>
      </c>
      <c r="L172" s="10" t="n">
        <v>160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3">
        <f>IF(tblOrdenes[[#This Row],[tipo_ot]]="","",_xlfn.XLOOKUP(tblOrdenes[[#This Row],[tipo_ot]],tblTiposOT[codigo],tblTiposOT[clasificacion],"sin_clasificar"))</f>
        <v/>
      </c>
      <c r="U172" s="3">
        <f>IF(tblOrdenes[[#This Row],[centro_costo]]="","",_xlfn.XLOOKUP(tblOrdenes[[#This Row],[centro_costo]],tblCECO[codigo],tblCECO[linea],"(sin catálogo)"))</f>
        <v/>
      </c>
      <c r="V172" s="3">
        <f>IF(tblOrdenes[[#This Row],[centro_costo]]="","",_xlfn.XLOOKUP(tblOrdenes[[#This Row],[centro_costo]],tblCECO[codigo],tblCECO[area],"(sin catálogo)"))</f>
        <v/>
      </c>
      <c r="W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3">
        <f>IF(tblOrdenes[[#This Row],[centro_costo]]="","",_xlfn.XLOOKUP(tblOrdenes[[#This Row],[centro_costo]],tblCECO[codigo],tblCECO[coordinador],"(sin catálogo)"))</f>
        <v/>
      </c>
      <c r="Y172" s="3">
        <f>IF(tblOrdenes[[#This Row],[puesto_trabajo]]="","",_xlfn.XLOOKUP(tblOrdenes[[#This Row],[puesto_trabajo]],tblPuestos[codigo],tblPuestos[especialidad],"(sin catálogo)"))</f>
        <v/>
      </c>
      <c r="Z172" s="3">
        <f>IF(tblOrdenes[[#This Row],[cod_actividad]]="","",_xlfn.XLOOKUP(tblOrdenes[[#This Row],[cod_actividad]],tblActividades[codigo],tblActividades[descripcion],"(sin catálogo)"))</f>
        <v/>
      </c>
      <c r="AA172" s="12">
        <f>IF(tblOrdenes[[#This Row],[fecha_inicio]]="","",TODAY()-tblOrdenes[[#This Row],[fecha_inicio]])</f>
        <v/>
      </c>
      <c r="AB1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3">
        <f>IF(tblOrdenes[[#This Row],[backlog_habiles]]="","",IF(tblOrdenes[[#This Row],[backlog_habiles]]&lt;0,"FUTURO",IF(tblOrdenes[[#This Row],[backlog_habiles]]&gt;p_dias_backlog_max,"BACKLOG","MES CORRIENTE")))</f>
        <v/>
      </c>
      <c r="AD172" s="3">
        <f>IF(tblOrdenes[[#This Row],[backlog_habiles]]="",FALSE,AND(tblOrdenes[[#This Row],[backlog_habiles]]&gt;p_dias_backlog_min,tblOrdenes[[#This Row],[backlog_habiles]]&lt;=p_dias_backlog_max))</f>
        <v/>
      </c>
      <c r="AE172" s="6" t="inlineStr"/>
      <c r="AF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0">
        <f>IF(tblOrdenes[[#This Row],[orden]]="","",_xlfn.XLOOKUP(tblOrdenes[[#This Row],[id_operacion]],tblEjecucion[id_operacion],tblEjecucion[precio],0))</f>
        <v/>
      </c>
      <c r="AJ172" s="10">
        <f>IF(tblOrdenes[[#This Row],[orden]]="","",MAX(0,_xlfn.XLOOKUP(tblOrdenes[[#This Row],[id_operacion]],tblEjecucion[id_operacion],tblEjecucion[costo_plan_total],0)-tblOrdenes[[#This Row],[costo_servicio]]))</f>
        <v/>
      </c>
      <c r="AK172" s="10">
        <f>IF(tblOrdenes[[#This Row],[orden]]="","",tblOrdenes[[#This Row],[costo_servicio]]+tblOrdenes[[#This Row],[costo_materiales]])</f>
        <v/>
      </c>
      <c r="AL172" s="6" t="inlineStr"/>
      <c r="AM172" s="6" t="inlineStr"/>
      <c r="AN172" s="6" t="inlineStr"/>
      <c r="AO172" s="3">
        <f>IF(tblOrdenes[[#This Row],[link_checklist]]="","",HYPERLINK(p_ruta_base_checklists&amp;tblOrdenes[[#This Row],[link_checklist]],"abrir"))</f>
        <v/>
      </c>
      <c r="AP172" s="6" t="inlineStr"/>
      <c r="AQ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46157</v>
      </c>
      <c r="K173" s="3" t="n">
        <v>6</v>
      </c>
      <c r="L173" s="10" t="n">
        <v>150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3">
        <f>IF(tblOrdenes[[#This Row],[tipo_ot]]="","",_xlfn.XLOOKUP(tblOrdenes[[#This Row],[tipo_ot]],tblTiposOT[codigo],tblTiposOT[clasificacion],"sin_clasificar"))</f>
        <v/>
      </c>
      <c r="U173" s="3">
        <f>IF(tblOrdenes[[#This Row],[centro_costo]]="","",_xlfn.XLOOKUP(tblOrdenes[[#This Row],[centro_costo]],tblCECO[codigo],tblCECO[linea],"(sin catálogo)"))</f>
        <v/>
      </c>
      <c r="V173" s="3">
        <f>IF(tblOrdenes[[#This Row],[centro_costo]]="","",_xlfn.XLOOKUP(tblOrdenes[[#This Row],[centro_costo]],tblCECO[codigo],tblCECO[area],"(sin catálogo)"))</f>
        <v/>
      </c>
      <c r="W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3">
        <f>IF(tblOrdenes[[#This Row],[centro_costo]]="","",_xlfn.XLOOKUP(tblOrdenes[[#This Row],[centro_costo]],tblCECO[codigo],tblCECO[coordinador],"(sin catálogo)"))</f>
        <v/>
      </c>
      <c r="Y173" s="3">
        <f>IF(tblOrdenes[[#This Row],[puesto_trabajo]]="","",_xlfn.XLOOKUP(tblOrdenes[[#This Row],[puesto_trabajo]],tblPuestos[codigo],tblPuestos[especialidad],"(sin catálogo)"))</f>
        <v/>
      </c>
      <c r="Z173" s="3">
        <f>IF(tblOrdenes[[#This Row],[cod_actividad]]="","",_xlfn.XLOOKUP(tblOrdenes[[#This Row],[cod_actividad]],tblActividades[codigo],tblActividades[descripcion],"(sin catálogo)"))</f>
        <v/>
      </c>
      <c r="AA173" s="12">
        <f>IF(tblOrdenes[[#This Row],[fecha_inicio]]="","",TODAY()-tblOrdenes[[#This Row],[fecha_inicio]])</f>
        <v/>
      </c>
      <c r="AB1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3">
        <f>IF(tblOrdenes[[#This Row],[backlog_habiles]]="","",IF(tblOrdenes[[#This Row],[backlog_habiles]]&lt;0,"FUTURO",IF(tblOrdenes[[#This Row],[backlog_habiles]]&gt;p_dias_backlog_max,"BACKLOG","MES CORRIENTE")))</f>
        <v/>
      </c>
      <c r="AD173" s="3">
        <f>IF(tblOrdenes[[#This Row],[backlog_habiles]]="",FALSE,AND(tblOrdenes[[#This Row],[backlog_habiles]]&gt;p_dias_backlog_min,tblOrdenes[[#This Row],[backlog_habiles]]&lt;=p_dias_backlog_max))</f>
        <v/>
      </c>
      <c r="AE173" s="6" t="inlineStr"/>
      <c r="AF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0">
        <f>IF(tblOrdenes[[#This Row],[orden]]="","",_xlfn.XLOOKUP(tblOrdenes[[#This Row],[id_operacion]],tblEjecucion[id_operacion],tblEjecucion[precio],0))</f>
        <v/>
      </c>
      <c r="AJ173" s="10">
        <f>IF(tblOrdenes[[#This Row],[orden]]="","",MAX(0,_xlfn.XLOOKUP(tblOrdenes[[#This Row],[id_operacion]],tblEjecucion[id_operacion],tblEjecucion[costo_plan_total],0)-tblOrdenes[[#This Row],[costo_servicio]]))</f>
        <v/>
      </c>
      <c r="AK173" s="10">
        <f>IF(tblOrdenes[[#This Row],[orden]]="","",tblOrdenes[[#This Row],[costo_servicio]]+tblOrdenes[[#This Row],[costo_materiales]])</f>
        <v/>
      </c>
      <c r="AL173" s="6" t="inlineStr"/>
      <c r="AM173" s="6" t="inlineStr"/>
      <c r="AN173" s="6" t="inlineStr"/>
      <c r="AO173" s="3">
        <f>IF(tblOrdenes[[#This Row],[link_checklist]]="","",HYPERLINK(p_ruta_base_checklists&amp;tblOrdenes[[#This Row],[link_checklist]],"abrir"))</f>
        <v/>
      </c>
      <c r="AP173" s="6" t="inlineStr"/>
      <c r="AQ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CC-311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46150</v>
      </c>
      <c r="K174" s="3" t="n">
        <v>8</v>
      </c>
      <c r="L174" s="10" t="n">
        <v>320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3">
        <f>IF(tblOrdenes[[#This Row],[tipo_ot]]="","",_xlfn.XLOOKUP(tblOrdenes[[#This Row],[tipo_ot]],tblTiposOT[codigo],tblTiposOT[clasificacion],"sin_clasificar"))</f>
        <v/>
      </c>
      <c r="U174" s="3">
        <f>IF(tblOrdenes[[#This Row],[centro_costo]]="","",_xlfn.XLOOKUP(tblOrdenes[[#This Row],[centro_costo]],tblCECO[codigo],tblCECO[linea],"(sin catálogo)"))</f>
        <v/>
      </c>
      <c r="V174" s="3">
        <f>IF(tblOrdenes[[#This Row],[centro_costo]]="","",_xlfn.XLOOKUP(tblOrdenes[[#This Row],[centro_costo]],tblCECO[codigo],tblCECO[area],"(sin catálogo)"))</f>
        <v/>
      </c>
      <c r="W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3">
        <f>IF(tblOrdenes[[#This Row],[centro_costo]]="","",_xlfn.XLOOKUP(tblOrdenes[[#This Row],[centro_costo]],tblCECO[codigo],tblCECO[coordinador],"(sin catálogo)"))</f>
        <v/>
      </c>
      <c r="Y174" s="3">
        <f>IF(tblOrdenes[[#This Row],[puesto_trabajo]]="","",_xlfn.XLOOKUP(tblOrdenes[[#This Row],[puesto_trabajo]],tblPuestos[codigo],tblPuestos[especialidad],"(sin catálogo)"))</f>
        <v/>
      </c>
      <c r="Z174" s="3">
        <f>IF(tblOrdenes[[#This Row],[cod_actividad]]="","",_xlfn.XLOOKUP(tblOrdenes[[#This Row],[cod_actividad]],tblActividades[codigo],tblActividades[descripcion],"(sin catálogo)"))</f>
        <v/>
      </c>
      <c r="AA174" s="12">
        <f>IF(tblOrdenes[[#This Row],[fecha_inicio]]="","",TODAY()-tblOrdenes[[#This Row],[fecha_inicio]])</f>
        <v/>
      </c>
      <c r="AB1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3">
        <f>IF(tblOrdenes[[#This Row],[backlog_habiles]]="","",IF(tblOrdenes[[#This Row],[backlog_habiles]]&lt;0,"FUTURO",IF(tblOrdenes[[#This Row],[backlog_habiles]]&gt;p_dias_backlog_max,"BACKLOG","MES CORRIENTE")))</f>
        <v/>
      </c>
      <c r="AD174" s="3">
        <f>IF(tblOrdenes[[#This Row],[backlog_habiles]]="",FALSE,AND(tblOrdenes[[#This Row],[backlog_habiles]]&gt;p_dias_backlog_min,tblOrdenes[[#This Row],[backlog_habiles]]&lt;=p_dias_backlog_max))</f>
        <v/>
      </c>
      <c r="AE174" s="6" t="inlineStr"/>
      <c r="AF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0">
        <f>IF(tblOrdenes[[#This Row],[orden]]="","",_xlfn.XLOOKUP(tblOrdenes[[#This Row],[id_operacion]],tblEjecucion[id_operacion],tblEjecucion[precio],0))</f>
        <v/>
      </c>
      <c r="AJ174" s="10">
        <f>IF(tblOrdenes[[#This Row],[orden]]="","",MAX(0,_xlfn.XLOOKUP(tblOrdenes[[#This Row],[id_operacion]],tblEjecucion[id_operacion],tblEjecucion[costo_plan_total],0)-tblOrdenes[[#This Row],[costo_servicio]]))</f>
        <v/>
      </c>
      <c r="AK174" s="10">
        <f>IF(tblOrdenes[[#This Row],[orden]]="","",tblOrdenes[[#This Row],[costo_servicio]]+tblOrdenes[[#This Row],[costo_materiales]])</f>
        <v/>
      </c>
      <c r="AL174" s="6" t="inlineStr"/>
      <c r="AM174" s="6" t="inlineStr"/>
      <c r="AN174" s="6" t="inlineStr"/>
      <c r="AO174" s="3">
        <f>IF(tblOrdenes[[#This Row],[link_checklist]]="","",HYPERLINK(p_ruta_base_checklists&amp;tblOrdenes[[#This Row],[link_checklist]],"abrir"))</f>
        <v/>
      </c>
      <c r="AP174" s="6" t="inlineStr"/>
      <c r="AQ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CC-320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46143</v>
      </c>
      <c r="K175" s="3" t="n">
        <v>4</v>
      </c>
      <c r="L175" s="10" t="n">
        <v>100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3">
        <f>IF(tblOrdenes[[#This Row],[tipo_ot]]="","",_xlfn.XLOOKUP(tblOrdenes[[#This Row],[tipo_ot]],tblTiposOT[codigo],tblTiposOT[clasificacion],"sin_clasificar"))</f>
        <v/>
      </c>
      <c r="U175" s="3">
        <f>IF(tblOrdenes[[#This Row],[centro_costo]]="","",_xlfn.XLOOKUP(tblOrdenes[[#This Row],[centro_costo]],tblCECO[codigo],tblCECO[linea],"(sin catálogo)"))</f>
        <v/>
      </c>
      <c r="V175" s="3">
        <f>IF(tblOrdenes[[#This Row],[centro_costo]]="","",_xlfn.XLOOKUP(tblOrdenes[[#This Row],[centro_costo]],tblCECO[codigo],tblCECO[area],"(sin catálogo)"))</f>
        <v/>
      </c>
      <c r="W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3">
        <f>IF(tblOrdenes[[#This Row],[centro_costo]]="","",_xlfn.XLOOKUP(tblOrdenes[[#This Row],[centro_costo]],tblCECO[codigo],tblCECO[coordinador],"(sin catálogo)"))</f>
        <v/>
      </c>
      <c r="Y175" s="3">
        <f>IF(tblOrdenes[[#This Row],[puesto_trabajo]]="","",_xlfn.XLOOKUP(tblOrdenes[[#This Row],[puesto_trabajo]],tblPuestos[codigo],tblPuestos[especialidad],"(sin catálogo)"))</f>
        <v/>
      </c>
      <c r="Z175" s="3">
        <f>IF(tblOrdenes[[#This Row],[cod_actividad]]="","",_xlfn.XLOOKUP(tblOrdenes[[#This Row],[cod_actividad]],tblActividades[codigo],tblActividades[descripcion],"(sin catálogo)"))</f>
        <v/>
      </c>
      <c r="AA175" s="12">
        <f>IF(tblOrdenes[[#This Row],[fecha_inicio]]="","",TODAY()-tblOrdenes[[#This Row],[fecha_inicio]])</f>
        <v/>
      </c>
      <c r="AB1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3">
        <f>IF(tblOrdenes[[#This Row],[backlog_habiles]]="","",IF(tblOrdenes[[#This Row],[backlog_habiles]]&lt;0,"FUTURO",IF(tblOrdenes[[#This Row],[backlog_habiles]]&gt;p_dias_backlog_max,"BACKLOG","MES CORRIENTE")))</f>
        <v/>
      </c>
      <c r="AD175" s="3">
        <f>IF(tblOrdenes[[#This Row],[backlog_habiles]]="",FALSE,AND(tblOrdenes[[#This Row],[backlog_habiles]]&gt;p_dias_backlog_min,tblOrdenes[[#This Row],[backlog_habiles]]&lt;=p_dias_backlog_max))</f>
        <v/>
      </c>
      <c r="AE175" s="6" t="inlineStr"/>
      <c r="AF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0">
        <f>IF(tblOrdenes[[#This Row],[orden]]="","",_xlfn.XLOOKUP(tblOrdenes[[#This Row],[id_operacion]],tblEjecucion[id_operacion],tblEjecucion[precio],0))</f>
        <v/>
      </c>
      <c r="AJ175" s="10">
        <f>IF(tblOrdenes[[#This Row],[orden]]="","",MAX(0,_xlfn.XLOOKUP(tblOrdenes[[#This Row],[id_operacion]],tblEjecucion[id_operacion],tblEjecucion[costo_plan_total],0)-tblOrdenes[[#This Row],[costo_servicio]]))</f>
        <v/>
      </c>
      <c r="AK175" s="10">
        <f>IF(tblOrdenes[[#This Row],[orden]]="","",tblOrdenes[[#This Row],[costo_servicio]]+tblOrdenes[[#This Row],[costo_materiales]])</f>
        <v/>
      </c>
      <c r="AL175" s="6" t="inlineStr"/>
      <c r="AM175" s="6" t="inlineStr"/>
      <c r="AN175" s="6" t="inlineStr"/>
      <c r="AO175" s="3">
        <f>IF(tblOrdenes[[#This Row],[link_checklist]]="","",HYPERLINK(p_ruta_base_checklists&amp;tblOrdenes[[#This Row],[link_checklist]],"abrir"))</f>
        <v/>
      </c>
      <c r="AP175" s="6" t="inlineStr"/>
      <c r="AQ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CC-321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46136</v>
      </c>
      <c r="K176" s="3" t="n">
        <v>6</v>
      </c>
      <c r="L176" s="10" t="n">
        <v>240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3">
        <f>IF(tblOrdenes[[#This Row],[tipo_ot]]="","",_xlfn.XLOOKUP(tblOrdenes[[#This Row],[tipo_ot]],tblTiposOT[codigo],tblTiposOT[clasificacion],"sin_clasificar"))</f>
        <v/>
      </c>
      <c r="U176" s="3">
        <f>IF(tblOrdenes[[#This Row],[centro_costo]]="","",_xlfn.XLOOKUP(tblOrdenes[[#This Row],[centro_costo]],tblCECO[codigo],tblCECO[linea],"(sin catálogo)"))</f>
        <v/>
      </c>
      <c r="V176" s="3">
        <f>IF(tblOrdenes[[#This Row],[centro_costo]]="","",_xlfn.XLOOKUP(tblOrdenes[[#This Row],[centro_costo]],tblCECO[codigo],tblCECO[area],"(sin catálogo)"))</f>
        <v/>
      </c>
      <c r="W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3">
        <f>IF(tblOrdenes[[#This Row],[centro_costo]]="","",_xlfn.XLOOKUP(tblOrdenes[[#This Row],[centro_costo]],tblCECO[codigo],tblCECO[coordinador],"(sin catálogo)"))</f>
        <v/>
      </c>
      <c r="Y176" s="3">
        <f>IF(tblOrdenes[[#This Row],[puesto_trabajo]]="","",_xlfn.XLOOKUP(tblOrdenes[[#This Row],[puesto_trabajo]],tblPuestos[codigo],tblPuestos[especialidad],"(sin catálogo)"))</f>
        <v/>
      </c>
      <c r="Z176" s="3">
        <f>IF(tblOrdenes[[#This Row],[cod_actividad]]="","",_xlfn.XLOOKUP(tblOrdenes[[#This Row],[cod_actividad]],tblActividades[codigo],tblActividades[descripcion],"(sin catálogo)"))</f>
        <v/>
      </c>
      <c r="AA176" s="12">
        <f>IF(tblOrdenes[[#This Row],[fecha_inicio]]="","",TODAY()-tblOrdenes[[#This Row],[fecha_inicio]])</f>
        <v/>
      </c>
      <c r="AB1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3">
        <f>IF(tblOrdenes[[#This Row],[backlog_habiles]]="","",IF(tblOrdenes[[#This Row],[backlog_habiles]]&lt;0,"FUTURO",IF(tblOrdenes[[#This Row],[backlog_habiles]]&gt;p_dias_backlog_max,"BACKLOG","MES CORRIENTE")))</f>
        <v/>
      </c>
      <c r="AD176" s="3">
        <f>IF(tblOrdenes[[#This Row],[backlog_habiles]]="",FALSE,AND(tblOrdenes[[#This Row],[backlog_habiles]]&gt;p_dias_backlog_min,tblOrdenes[[#This Row],[backlog_habiles]]&lt;=p_dias_backlog_max))</f>
        <v/>
      </c>
      <c r="AE176" s="6" t="inlineStr"/>
      <c r="AF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0">
        <f>IF(tblOrdenes[[#This Row],[orden]]="","",_xlfn.XLOOKUP(tblOrdenes[[#This Row],[id_operacion]],tblEjecucion[id_operacion],tblEjecucion[precio],0))</f>
        <v/>
      </c>
      <c r="AJ176" s="10">
        <f>IF(tblOrdenes[[#This Row],[orden]]="","",MAX(0,_xlfn.XLOOKUP(tblOrdenes[[#This Row],[id_operacion]],tblEjecucion[id_operacion],tblEjecucion[costo_plan_total],0)-tblOrdenes[[#This Row],[costo_servicio]]))</f>
        <v/>
      </c>
      <c r="AK176" s="10">
        <f>IF(tblOrdenes[[#This Row],[orden]]="","",tblOrdenes[[#This Row],[costo_servicio]]+tblOrdenes[[#This Row],[costo_materiales]])</f>
        <v/>
      </c>
      <c r="AL176" s="6" t="inlineStr"/>
      <c r="AM176" s="6" t="inlineStr"/>
      <c r="AN176" s="6" t="inlineStr"/>
      <c r="AO176" s="3">
        <f>IF(tblOrdenes[[#This Row],[link_checklist]]="","",HYPERLINK(p_ruta_base_checklists&amp;tblOrdenes[[#This Row],[link_checklist]],"abrir"))</f>
        <v/>
      </c>
      <c r="AP176" s="6" t="inlineStr"/>
      <c r="AQ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EQ-110</t>
        </is>
      </c>
      <c r="D177" s="3" t="inlineStr">
        <is>
          <t>Inspección de rutina en EQ-110</t>
        </is>
      </c>
      <c r="E177" s="3" t="inlineStr">
        <is>
          <t>EQ-110</t>
        </is>
      </c>
      <c r="F177" s="3" t="inlineStr">
        <is>
          <t>CC-330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46129</v>
      </c>
      <c r="K177" s="3" t="n">
        <v>8</v>
      </c>
      <c r="L177" s="10" t="n">
        <v>200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3">
        <f>IF(tblOrdenes[[#This Row],[tipo_ot]]="","",_xlfn.XLOOKUP(tblOrdenes[[#This Row],[tipo_ot]],tblTiposOT[codigo],tblTiposOT[clasificacion],"sin_clasificar"))</f>
        <v/>
      </c>
      <c r="U177" s="3">
        <f>IF(tblOrdenes[[#This Row],[centro_costo]]="","",_xlfn.XLOOKUP(tblOrdenes[[#This Row],[centro_costo]],tblCECO[codigo],tblCECO[linea],"(sin catálogo)"))</f>
        <v/>
      </c>
      <c r="V177" s="3">
        <f>IF(tblOrdenes[[#This Row],[centro_costo]]="","",_xlfn.XLOOKUP(tblOrdenes[[#This Row],[centro_costo]],tblCECO[codigo],tblCECO[area],"(sin catálogo)"))</f>
        <v/>
      </c>
      <c r="W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3">
        <f>IF(tblOrdenes[[#This Row],[centro_costo]]="","",_xlfn.XLOOKUP(tblOrdenes[[#This Row],[centro_costo]],tblCECO[codigo],tblCECO[coordinador],"(sin catálogo)"))</f>
        <v/>
      </c>
      <c r="Y177" s="3">
        <f>IF(tblOrdenes[[#This Row],[puesto_trabajo]]="","",_xlfn.XLOOKUP(tblOrdenes[[#This Row],[puesto_trabajo]],tblPuestos[codigo],tblPuestos[especialidad],"(sin catálogo)"))</f>
        <v/>
      </c>
      <c r="Z177" s="3">
        <f>IF(tblOrdenes[[#This Row],[cod_actividad]]="","",_xlfn.XLOOKUP(tblOrdenes[[#This Row],[cod_actividad]],tblActividades[codigo],tblActividades[descripcion],"(sin catálogo)"))</f>
        <v/>
      </c>
      <c r="AA177" s="12">
        <f>IF(tblOrdenes[[#This Row],[fecha_inicio]]="","",TODAY()-tblOrdenes[[#This Row],[fecha_inicio]])</f>
        <v/>
      </c>
      <c r="AB1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3">
        <f>IF(tblOrdenes[[#This Row],[backlog_habiles]]="","",IF(tblOrdenes[[#This Row],[backlog_habiles]]&lt;0,"FUTURO",IF(tblOrdenes[[#This Row],[backlog_habiles]]&gt;p_dias_backlog_max,"BACKLOG","MES CORRIENTE")))</f>
        <v/>
      </c>
      <c r="AD177" s="3">
        <f>IF(tblOrdenes[[#This Row],[backlog_habiles]]="",FALSE,AND(tblOrdenes[[#This Row],[backlog_habiles]]&gt;p_dias_backlog_min,tblOrdenes[[#This Row],[backlog_habiles]]&lt;=p_dias_backlog_max))</f>
        <v/>
      </c>
      <c r="AE177" s="6" t="inlineStr"/>
      <c r="AF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0">
        <f>IF(tblOrdenes[[#This Row],[orden]]="","",_xlfn.XLOOKUP(tblOrdenes[[#This Row],[id_operacion]],tblEjecucion[id_operacion],tblEjecucion[precio],0))</f>
        <v/>
      </c>
      <c r="AJ177" s="10">
        <f>IF(tblOrdenes[[#This Row],[orden]]="","",MAX(0,_xlfn.XLOOKUP(tblOrdenes[[#This Row],[id_operacion]],tblEjecucion[id_operacion],tblEjecucion[costo_plan_total],0)-tblOrdenes[[#This Row],[costo_servicio]]))</f>
        <v/>
      </c>
      <c r="AK177" s="10">
        <f>IF(tblOrdenes[[#This Row],[orden]]="","",tblOrdenes[[#This Row],[costo_servicio]]+tblOrdenes[[#This Row],[costo_materiales]])</f>
        <v/>
      </c>
      <c r="AL177" s="6" t="inlineStr"/>
      <c r="AM177" s="6" t="inlineStr"/>
      <c r="AN177" s="6" t="inlineStr"/>
      <c r="AO177" s="3">
        <f>IF(tblOrdenes[[#This Row],[link_checklist]]="","",HYPERLINK(p_ruta_base_checklists&amp;tblOrdenes[[#This Row],[link_checklist]],"abrir"))</f>
        <v/>
      </c>
      <c r="AP177" s="6" t="inlineStr"/>
      <c r="AQ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EQ-111</t>
        </is>
      </c>
      <c r="D178" s="3" t="inlineStr">
        <is>
          <t>Reparación de falla en EQ-111</t>
        </is>
      </c>
      <c r="E178" s="3" t="inlineStr">
        <is>
          <t>EQ-111</t>
        </is>
      </c>
      <c r="F178" s="3" t="inlineStr">
        <is>
          <t>CC-340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46122</v>
      </c>
      <c r="K178" s="3" t="n">
        <v>4</v>
      </c>
      <c r="L178" s="10" t="n">
        <v>160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3">
        <f>IF(tblOrdenes[[#This Row],[tipo_ot]]="","",_xlfn.XLOOKUP(tblOrdenes[[#This Row],[tipo_ot]],tblTiposOT[codigo],tblTiposOT[clasificacion],"sin_clasificar"))</f>
        <v/>
      </c>
      <c r="U178" s="3">
        <f>IF(tblOrdenes[[#This Row],[centro_costo]]="","",_xlfn.XLOOKUP(tblOrdenes[[#This Row],[centro_costo]],tblCECO[codigo],tblCECO[linea],"(sin catálogo)"))</f>
        <v/>
      </c>
      <c r="V178" s="3">
        <f>IF(tblOrdenes[[#This Row],[centro_costo]]="","",_xlfn.XLOOKUP(tblOrdenes[[#This Row],[centro_costo]],tblCECO[codigo],tblCECO[area],"(sin catálogo)"))</f>
        <v/>
      </c>
      <c r="W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3">
        <f>IF(tblOrdenes[[#This Row],[centro_costo]]="","",_xlfn.XLOOKUP(tblOrdenes[[#This Row],[centro_costo]],tblCECO[codigo],tblCECO[coordinador],"(sin catálogo)"))</f>
        <v/>
      </c>
      <c r="Y178" s="3">
        <f>IF(tblOrdenes[[#This Row],[puesto_trabajo]]="","",_xlfn.XLOOKUP(tblOrdenes[[#This Row],[puesto_trabajo]],tblPuestos[codigo],tblPuestos[especialidad],"(sin catálogo)"))</f>
        <v/>
      </c>
      <c r="Z178" s="3">
        <f>IF(tblOrdenes[[#This Row],[cod_actividad]]="","",_xlfn.XLOOKUP(tblOrdenes[[#This Row],[cod_actividad]],tblActividades[codigo],tblActividades[descripcion],"(sin catálogo)"))</f>
        <v/>
      </c>
      <c r="AA178" s="12">
        <f>IF(tblOrdenes[[#This Row],[fecha_inicio]]="","",TODAY()-tblOrdenes[[#This Row],[fecha_inicio]])</f>
        <v/>
      </c>
      <c r="AB1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3">
        <f>IF(tblOrdenes[[#This Row],[backlog_habiles]]="","",IF(tblOrdenes[[#This Row],[backlog_habiles]]&lt;0,"FUTURO",IF(tblOrdenes[[#This Row],[backlog_habiles]]&gt;p_dias_backlog_max,"BACKLOG","MES CORRIENTE")))</f>
        <v/>
      </c>
      <c r="AD178" s="3">
        <f>IF(tblOrdenes[[#This Row],[backlog_habiles]]="",FALSE,AND(tblOrdenes[[#This Row],[backlog_habiles]]&gt;p_dias_backlog_min,tblOrdenes[[#This Row],[backlog_habiles]]&lt;=p_dias_backlog_max))</f>
        <v/>
      </c>
      <c r="AE178" s="6" t="inlineStr"/>
      <c r="AF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0">
        <f>IF(tblOrdenes[[#This Row],[orden]]="","",_xlfn.XLOOKUP(tblOrdenes[[#This Row],[id_operacion]],tblEjecucion[id_operacion],tblEjecucion[precio],0))</f>
        <v/>
      </c>
      <c r="AJ178" s="10">
        <f>IF(tblOrdenes[[#This Row],[orden]]="","",MAX(0,_xlfn.XLOOKUP(tblOrdenes[[#This Row],[id_operacion]],tblEjecucion[id_operacion],tblEjecucion[costo_plan_total],0)-tblOrdenes[[#This Row],[costo_servicio]]))</f>
        <v/>
      </c>
      <c r="AK178" s="10">
        <f>IF(tblOrdenes[[#This Row],[orden]]="","",tblOrdenes[[#This Row],[costo_servicio]]+tblOrdenes[[#This Row],[costo_materiales]])</f>
        <v/>
      </c>
      <c r="AL178" s="6" t="inlineStr"/>
      <c r="AM178" s="6" t="inlineStr"/>
      <c r="AN178" s="6" t="inlineStr"/>
      <c r="AO178" s="3">
        <f>IF(tblOrdenes[[#This Row],[link_checklist]]="","",HYPERLINK(p_ruta_base_checklists&amp;tblOrdenes[[#This Row],[link_checklist]],"abrir"))</f>
        <v/>
      </c>
      <c r="AP178" s="6" t="inlineStr"/>
      <c r="AQ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EQ-102</t>
        </is>
      </c>
      <c r="D179" s="3" t="inlineStr">
        <is>
          <t>Análisis predictivo en EQ-102</t>
        </is>
      </c>
      <c r="E179" s="3" t="inlineStr">
        <is>
          <t>EQ-102</t>
        </is>
      </c>
      <c r="F179" s="3" t="inlineStr">
        <is>
          <t>CC-110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46115</v>
      </c>
      <c r="K179" s="3" t="n">
        <v>6</v>
      </c>
      <c r="L179" s="10" t="n">
        <v>150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3">
        <f>IF(tblOrdenes[[#This Row],[tipo_ot]]="","",_xlfn.XLOOKUP(tblOrdenes[[#This Row],[tipo_ot]],tblTiposOT[codigo],tblTiposOT[clasificacion],"sin_clasificar"))</f>
        <v/>
      </c>
      <c r="U179" s="3">
        <f>IF(tblOrdenes[[#This Row],[centro_costo]]="","",_xlfn.XLOOKUP(tblOrdenes[[#This Row],[centro_costo]],tblCECO[codigo],tblCECO[linea],"(sin catálogo)"))</f>
        <v/>
      </c>
      <c r="V179" s="3">
        <f>IF(tblOrdenes[[#This Row],[centro_costo]]="","",_xlfn.XLOOKUP(tblOrdenes[[#This Row],[centro_costo]],tblCECO[codigo],tblCECO[area],"(sin catálogo)"))</f>
        <v/>
      </c>
      <c r="W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3">
        <f>IF(tblOrdenes[[#This Row],[centro_costo]]="","",_xlfn.XLOOKUP(tblOrdenes[[#This Row],[centro_costo]],tblCECO[codigo],tblCECO[coordinador],"(sin catálogo)"))</f>
        <v/>
      </c>
      <c r="Y179" s="3">
        <f>IF(tblOrdenes[[#This Row],[puesto_trabajo]]="","",_xlfn.XLOOKUP(tblOrdenes[[#This Row],[puesto_trabajo]],tblPuestos[codigo],tblPuestos[especialidad],"(sin catálogo)"))</f>
        <v/>
      </c>
      <c r="Z179" s="3">
        <f>IF(tblOrdenes[[#This Row],[cod_actividad]]="","",_xlfn.XLOOKUP(tblOrdenes[[#This Row],[cod_actividad]],tblActividades[codigo],tblActividades[descripcion],"(sin catálogo)"))</f>
        <v/>
      </c>
      <c r="AA179" s="12">
        <f>IF(tblOrdenes[[#This Row],[fecha_inicio]]="","",TODAY()-tblOrdenes[[#This Row],[fecha_inicio]])</f>
        <v/>
      </c>
      <c r="AB1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3">
        <f>IF(tblOrdenes[[#This Row],[backlog_habiles]]="","",IF(tblOrdenes[[#This Row],[backlog_habiles]]&lt;0,"FUTURO",IF(tblOrdenes[[#This Row],[backlog_habiles]]&gt;p_dias_backlog_max,"BACKLOG","MES CORRIENTE")))</f>
        <v/>
      </c>
      <c r="AD179" s="3">
        <f>IF(tblOrdenes[[#This Row],[backlog_habiles]]="",FALSE,AND(tblOrdenes[[#This Row],[backlog_habiles]]&gt;p_dias_backlog_min,tblOrdenes[[#This Row],[backlog_habiles]]&lt;=p_dias_backlog_max))</f>
        <v/>
      </c>
      <c r="AE179" s="6" t="inlineStr"/>
      <c r="AF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0">
        <f>IF(tblOrdenes[[#This Row],[orden]]="","",_xlfn.XLOOKUP(tblOrdenes[[#This Row],[id_operacion]],tblEjecucion[id_operacion],tblEjecucion[precio],0))</f>
        <v/>
      </c>
      <c r="AJ179" s="10">
        <f>IF(tblOrdenes[[#This Row],[orden]]="","",MAX(0,_xlfn.XLOOKUP(tblOrdenes[[#This Row],[id_operacion]],tblEjecucion[id_operacion],tblEjecucion[costo_plan_total],0)-tblOrdenes[[#This Row],[costo_servicio]]))</f>
        <v/>
      </c>
      <c r="AK179" s="10">
        <f>IF(tblOrdenes[[#This Row],[orden]]="","",tblOrdenes[[#This Row],[costo_servicio]]+tblOrdenes[[#This Row],[costo_materiales]])</f>
        <v/>
      </c>
      <c r="AL179" s="6" t="inlineStr"/>
      <c r="AM179" s="6" t="inlineStr"/>
      <c r="AN179" s="6" t="inlineStr"/>
      <c r="AO179" s="3">
        <f>IF(tblOrdenes[[#This Row],[link_checklist]]="","",HYPERLINK(p_ruta_base_checklists&amp;tblOrdenes[[#This Row],[link_checklist]],"abrir"))</f>
        <v/>
      </c>
      <c r="AP179" s="6" t="inlineStr"/>
      <c r="AQ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CC-120</t>
        </is>
      </c>
      <c r="G180" s="3" t="inlineStr">
        <is>
          <t>PU-OP</t>
        </is>
      </c>
      <c r="H180" s="3" t="inlineStr">
        <is>
          <t>ACT-03</t>
        </is>
      </c>
      <c r="I180" s="3" t="inlineStr">
        <is>
          <t>TIPO-C2</t>
        </is>
      </c>
      <c r="J180" s="11" t="n">
        <v>46108</v>
      </c>
      <c r="K180" s="3" t="n">
        <v>8</v>
      </c>
      <c r="L180" s="10" t="n">
        <v>320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3">
        <f>IF(tblOrdenes[[#This Row],[tipo_ot]]="","",_xlfn.XLOOKUP(tblOrdenes[[#This Row],[tipo_ot]],tblTiposOT[codigo],tblTiposOT[clasificacion],"sin_clasificar"))</f>
        <v/>
      </c>
      <c r="U180" s="3">
        <f>IF(tblOrdenes[[#This Row],[centro_costo]]="","",_xlfn.XLOOKUP(tblOrdenes[[#This Row],[centro_costo]],tblCECO[codigo],tblCECO[linea],"(sin catálogo)"))</f>
        <v/>
      </c>
      <c r="V180" s="3">
        <f>IF(tblOrdenes[[#This Row],[centro_costo]]="","",_xlfn.XLOOKUP(tblOrdenes[[#This Row],[centro_costo]],tblCECO[codigo],tblCECO[area],"(sin catálogo)"))</f>
        <v/>
      </c>
      <c r="W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3">
        <f>IF(tblOrdenes[[#This Row],[centro_costo]]="","",_xlfn.XLOOKUP(tblOrdenes[[#This Row],[centro_costo]],tblCECO[codigo],tblCECO[coordinador],"(sin catálogo)"))</f>
        <v/>
      </c>
      <c r="Y180" s="3">
        <f>IF(tblOrdenes[[#This Row],[puesto_trabajo]]="","",_xlfn.XLOOKUP(tblOrdenes[[#This Row],[puesto_trabajo]],tblPuestos[codigo],tblPuestos[especialidad],"(sin catálogo)"))</f>
        <v/>
      </c>
      <c r="Z180" s="3">
        <f>IF(tblOrdenes[[#This Row],[cod_actividad]]="","",_xlfn.XLOOKUP(tblOrdenes[[#This Row],[cod_actividad]],tblActividades[codigo],tblActividades[descripcion],"(sin catálogo)"))</f>
        <v/>
      </c>
      <c r="AA180" s="12">
        <f>IF(tblOrdenes[[#This Row],[fecha_inicio]]="","",TODAY()-tblOrdenes[[#This Row],[fecha_inicio]])</f>
        <v/>
      </c>
      <c r="AB1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3">
        <f>IF(tblOrdenes[[#This Row],[backlog_habiles]]="","",IF(tblOrdenes[[#This Row],[backlog_habiles]]&lt;0,"FUTURO",IF(tblOrdenes[[#This Row],[backlog_habiles]]&gt;p_dias_backlog_max,"BACKLOG","MES CORRIENTE")))</f>
        <v/>
      </c>
      <c r="AD180" s="3">
        <f>IF(tblOrdenes[[#This Row],[backlog_habiles]]="",FALSE,AND(tblOrdenes[[#This Row],[backlog_habiles]]&gt;p_dias_backlog_min,tblOrdenes[[#This Row],[backlog_habiles]]&lt;=p_dias_backlog_max))</f>
        <v/>
      </c>
      <c r="AE180" s="6" t="inlineStr"/>
      <c r="AF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0">
        <f>IF(tblOrdenes[[#This Row],[orden]]="","",_xlfn.XLOOKUP(tblOrdenes[[#This Row],[id_operacion]],tblEjecucion[id_operacion],tblEjecucion[precio],0))</f>
        <v/>
      </c>
      <c r="AJ180" s="10">
        <f>IF(tblOrdenes[[#This Row],[orden]]="","",MAX(0,_xlfn.XLOOKUP(tblOrdenes[[#This Row],[id_operacion]],tblEjecucion[id_operacion],tblEjecucion[costo_plan_total],0)-tblOrdenes[[#This Row],[costo_servicio]]))</f>
        <v/>
      </c>
      <c r="AK180" s="10">
        <f>IF(tblOrdenes[[#This Row],[orden]]="","",tblOrdenes[[#This Row],[costo_servicio]]+tblOrdenes[[#This Row],[costo_materiales]])</f>
        <v/>
      </c>
      <c r="AL180" s="6" t="inlineStr"/>
      <c r="AM180" s="6" t="inlineStr"/>
      <c r="AN180" s="6" t="inlineStr"/>
      <c r="AO180" s="3">
        <f>IF(tblOrdenes[[#This Row],[link_checklist]]="","",HYPERLINK(p_ruta_base_checklists&amp;tblOrdenes[[#This Row],[link_checklist]],"abrir"))</f>
        <v/>
      </c>
      <c r="AP180" s="6" t="inlineStr"/>
      <c r="AQ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EQ-108</t>
        </is>
      </c>
      <c r="D181" s="3" t="inlineStr">
        <is>
          <t>Lubricación programada en EQ-108</t>
        </is>
      </c>
      <c r="E181" s="3" t="inlineStr">
        <is>
          <t>EQ-108</t>
        </is>
      </c>
      <c r="F181" s="3" t="inlineStr">
        <is>
          <t>CC-210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46101</v>
      </c>
      <c r="K181" s="3" t="n">
        <v>4</v>
      </c>
      <c r="L181" s="10" t="n">
        <v>100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3">
        <f>IF(tblOrdenes[[#This Row],[tipo_ot]]="","",_xlfn.XLOOKUP(tblOrdenes[[#This Row],[tipo_ot]],tblTiposOT[codigo],tblTiposOT[clasificacion],"sin_clasificar"))</f>
        <v/>
      </c>
      <c r="U181" s="3">
        <f>IF(tblOrdenes[[#This Row],[centro_costo]]="","",_xlfn.XLOOKUP(tblOrdenes[[#This Row],[centro_costo]],tblCECO[codigo],tblCECO[linea],"(sin catálogo)"))</f>
        <v/>
      </c>
      <c r="V181" s="3">
        <f>IF(tblOrdenes[[#This Row],[centro_costo]]="","",_xlfn.XLOOKUP(tblOrdenes[[#This Row],[centro_costo]],tblCECO[codigo],tblCECO[area],"(sin catálogo)"))</f>
        <v/>
      </c>
      <c r="W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3">
        <f>IF(tblOrdenes[[#This Row],[centro_costo]]="","",_xlfn.XLOOKUP(tblOrdenes[[#This Row],[centro_costo]],tblCECO[codigo],tblCECO[coordinador],"(sin catálogo)"))</f>
        <v/>
      </c>
      <c r="Y181" s="3">
        <f>IF(tblOrdenes[[#This Row],[puesto_trabajo]]="","",_xlfn.XLOOKUP(tblOrdenes[[#This Row],[puesto_trabajo]],tblPuestos[codigo],tblPuestos[especialidad],"(sin catálogo)"))</f>
        <v/>
      </c>
      <c r="Z181" s="3">
        <f>IF(tblOrdenes[[#This Row],[cod_actividad]]="","",_xlfn.XLOOKUP(tblOrdenes[[#This Row],[cod_actividad]],tblActividades[codigo],tblActividades[descripcion],"(sin catálogo)"))</f>
        <v/>
      </c>
      <c r="AA181" s="12">
        <f>IF(tblOrdenes[[#This Row],[fecha_inicio]]="","",TODAY()-tblOrdenes[[#This Row],[fecha_inicio]])</f>
        <v/>
      </c>
      <c r="AB1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3">
        <f>IF(tblOrdenes[[#This Row],[backlog_habiles]]="","",IF(tblOrdenes[[#This Row],[backlog_habiles]]&lt;0,"FUTURO",IF(tblOrdenes[[#This Row],[backlog_habiles]]&gt;p_dias_backlog_max,"BACKLOG","MES CORRIENTE")))</f>
        <v/>
      </c>
      <c r="AD181" s="3">
        <f>IF(tblOrdenes[[#This Row],[backlog_habiles]]="",FALSE,AND(tblOrdenes[[#This Row],[backlog_habiles]]&gt;p_dias_backlog_min,tblOrdenes[[#This Row],[backlog_habiles]]&lt;=p_dias_backlog_max))</f>
        <v/>
      </c>
      <c r="AE181" s="6" t="inlineStr"/>
      <c r="AF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0">
        <f>IF(tblOrdenes[[#This Row],[orden]]="","",_xlfn.XLOOKUP(tblOrdenes[[#This Row],[id_operacion]],tblEjecucion[id_operacion],tblEjecucion[precio],0))</f>
        <v/>
      </c>
      <c r="AJ181" s="10">
        <f>IF(tblOrdenes[[#This Row],[orden]]="","",MAX(0,_xlfn.XLOOKUP(tblOrdenes[[#This Row],[id_operacion]],tblEjecucion[id_operacion],tblEjecucion[costo_plan_total],0)-tblOrdenes[[#This Row],[costo_servicio]]))</f>
        <v/>
      </c>
      <c r="AK181" s="10">
        <f>IF(tblOrdenes[[#This Row],[orden]]="","",tblOrdenes[[#This Row],[costo_servicio]]+tblOrdenes[[#This Row],[costo_materiales]])</f>
        <v/>
      </c>
      <c r="AL181" s="6" t="inlineStr"/>
      <c r="AM181" s="6" t="inlineStr"/>
      <c r="AN181" s="6" t="inlineStr"/>
      <c r="AO181" s="3">
        <f>IF(tblOrdenes[[#This Row],[link_checklist]]="","",HYPERLINK(p_ruta_base_checklists&amp;tblOrdenes[[#This Row],[link_checklist]],"abrir"))</f>
        <v/>
      </c>
      <c r="AP181" s="6" t="inlineStr"/>
      <c r="AQ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1" t="n">
        <v>46094</v>
      </c>
      <c r="K182" s="3" t="n">
        <v>6</v>
      </c>
      <c r="L182" s="10" t="n">
        <v>240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3">
        <f>IF(tblOrdenes[[#This Row],[tipo_ot]]="","",_xlfn.XLOOKUP(tblOrdenes[[#This Row],[tipo_ot]],tblTiposOT[codigo],tblTiposOT[clasificacion],"sin_clasificar"))</f>
        <v/>
      </c>
      <c r="U182" s="3">
        <f>IF(tblOrdenes[[#This Row],[centro_costo]]="","",_xlfn.XLOOKUP(tblOrdenes[[#This Row],[centro_costo]],tblCECO[codigo],tblCECO[linea],"(sin catálogo)"))</f>
        <v/>
      </c>
      <c r="V182" s="3">
        <f>IF(tblOrdenes[[#This Row],[centro_costo]]="","",_xlfn.XLOOKUP(tblOrdenes[[#This Row],[centro_costo]],tblCECO[codigo],tblCECO[area],"(sin catálogo)"))</f>
        <v/>
      </c>
      <c r="W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3">
        <f>IF(tblOrdenes[[#This Row],[centro_costo]]="","",_xlfn.XLOOKUP(tblOrdenes[[#This Row],[centro_costo]],tblCECO[codigo],tblCECO[coordinador],"(sin catálogo)"))</f>
        <v/>
      </c>
      <c r="Y182" s="3">
        <f>IF(tblOrdenes[[#This Row],[puesto_trabajo]]="","",_xlfn.XLOOKUP(tblOrdenes[[#This Row],[puesto_trabajo]],tblPuestos[codigo],tblPuestos[especialidad],"(sin catálogo)"))</f>
        <v/>
      </c>
      <c r="Z182" s="3">
        <f>IF(tblOrdenes[[#This Row],[cod_actividad]]="","",_xlfn.XLOOKUP(tblOrdenes[[#This Row],[cod_actividad]],tblActividades[codigo],tblActividades[descripcion],"(sin catálogo)"))</f>
        <v/>
      </c>
      <c r="AA182" s="12">
        <f>IF(tblOrdenes[[#This Row],[fecha_inicio]]="","",TODAY()-tblOrdenes[[#This Row],[fecha_inicio]])</f>
        <v/>
      </c>
      <c r="AB1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3">
        <f>IF(tblOrdenes[[#This Row],[backlog_habiles]]="","",IF(tblOrdenes[[#This Row],[backlog_habiles]]&lt;0,"FUTURO",IF(tblOrdenes[[#This Row],[backlog_habiles]]&gt;p_dias_backlog_max,"BACKLOG","MES CORRIENTE")))</f>
        <v/>
      </c>
      <c r="AD182" s="3">
        <f>IF(tblOrdenes[[#This Row],[backlog_habiles]]="",FALSE,AND(tblOrdenes[[#This Row],[backlog_habiles]]&gt;p_dias_backlog_min,tblOrdenes[[#This Row],[backlog_habiles]]&lt;=p_dias_backlog_max))</f>
        <v/>
      </c>
      <c r="AE182" s="6" t="inlineStr"/>
      <c r="AF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0">
        <f>IF(tblOrdenes[[#This Row],[orden]]="","",_xlfn.XLOOKUP(tblOrdenes[[#This Row],[id_operacion]],tblEjecucion[id_operacion],tblEjecucion[precio],0))</f>
        <v/>
      </c>
      <c r="AJ182" s="10">
        <f>IF(tblOrdenes[[#This Row],[orden]]="","",MAX(0,_xlfn.XLOOKUP(tblOrdenes[[#This Row],[id_operacion]],tblEjecucion[id_operacion],tblEjecucion[costo_plan_total],0)-tblOrdenes[[#This Row],[costo_servicio]]))</f>
        <v/>
      </c>
      <c r="AK182" s="10">
        <f>IF(tblOrdenes[[#This Row],[orden]]="","",tblOrdenes[[#This Row],[costo_servicio]]+tblOrdenes[[#This Row],[costo_materiales]])</f>
        <v/>
      </c>
      <c r="AL182" s="6" t="inlineStr"/>
      <c r="AM182" s="6" t="inlineStr"/>
      <c r="AN182" s="6" t="inlineStr"/>
      <c r="AO182" s="3">
        <f>IF(tblOrdenes[[#This Row],[link_checklist]]="","",HYPERLINK(p_ruta_base_checklists&amp;tblOrdenes[[#This Row],[link_checklist]],"abrir"))</f>
        <v/>
      </c>
      <c r="AP182" s="6" t="inlineStr"/>
      <c r="AQ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EQ-110</t>
        </is>
      </c>
      <c r="D183" s="3" t="inlineStr">
        <is>
          <t>Inspección de rutina en EQ-110</t>
        </is>
      </c>
      <c r="E183" s="3" t="inlineStr">
        <is>
          <t>EQ-110</t>
        </is>
      </c>
      <c r="F183" s="3" t="inlineStr">
        <is>
          <t>CC-310</t>
        </is>
      </c>
      <c r="G183" s="3" t="inlineStr">
        <is>
          <t>PU-AUT</t>
        </is>
      </c>
      <c r="H183" s="3" t="inlineStr">
        <is>
          <t>ACT-01</t>
        </is>
      </c>
      <c r="I183" s="3" t="inlineStr">
        <is>
          <t>TIPO-P1</t>
        </is>
      </c>
      <c r="J183" s="11" t="n">
        <v>46087</v>
      </c>
      <c r="K183" s="3" t="n">
        <v>8</v>
      </c>
      <c r="L183" s="10" t="n">
        <v>200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3">
        <f>IF(tblOrdenes[[#This Row],[tipo_ot]]="","",_xlfn.XLOOKUP(tblOrdenes[[#This Row],[tipo_ot]],tblTiposOT[codigo],tblTiposOT[clasificacion],"sin_clasificar"))</f>
        <v/>
      </c>
      <c r="U183" s="3">
        <f>IF(tblOrdenes[[#This Row],[centro_costo]]="","",_xlfn.XLOOKUP(tblOrdenes[[#This Row],[centro_costo]],tblCECO[codigo],tblCECO[linea],"(sin catálogo)"))</f>
        <v/>
      </c>
      <c r="V183" s="3">
        <f>IF(tblOrdenes[[#This Row],[centro_costo]]="","",_xlfn.XLOOKUP(tblOrdenes[[#This Row],[centro_costo]],tblCECO[codigo],tblCECO[area],"(sin catálogo)"))</f>
        <v/>
      </c>
      <c r="W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3">
        <f>IF(tblOrdenes[[#This Row],[centro_costo]]="","",_xlfn.XLOOKUP(tblOrdenes[[#This Row],[centro_costo]],tblCECO[codigo],tblCECO[coordinador],"(sin catálogo)"))</f>
        <v/>
      </c>
      <c r="Y183" s="3">
        <f>IF(tblOrdenes[[#This Row],[puesto_trabajo]]="","",_xlfn.XLOOKUP(tblOrdenes[[#This Row],[puesto_trabajo]],tblPuestos[codigo],tblPuestos[especialidad],"(sin catálogo)"))</f>
        <v/>
      </c>
      <c r="Z183" s="3">
        <f>IF(tblOrdenes[[#This Row],[cod_actividad]]="","",_xlfn.XLOOKUP(tblOrdenes[[#This Row],[cod_actividad]],tblActividades[codigo],tblActividades[descripcion],"(sin catálogo)"))</f>
        <v/>
      </c>
      <c r="AA183" s="12">
        <f>IF(tblOrdenes[[#This Row],[fecha_inicio]]="","",TODAY()-tblOrdenes[[#This Row],[fecha_inicio]])</f>
        <v/>
      </c>
      <c r="AB1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3">
        <f>IF(tblOrdenes[[#This Row],[backlog_habiles]]="","",IF(tblOrdenes[[#This Row],[backlog_habiles]]&lt;0,"FUTURO",IF(tblOrdenes[[#This Row],[backlog_habiles]]&gt;p_dias_backlog_max,"BACKLOG","MES CORRIENTE")))</f>
        <v/>
      </c>
      <c r="AD183" s="3">
        <f>IF(tblOrdenes[[#This Row],[backlog_habiles]]="",FALSE,AND(tblOrdenes[[#This Row],[backlog_habiles]]&gt;p_dias_backlog_min,tblOrdenes[[#This Row],[backlog_habiles]]&lt;=p_dias_backlog_max))</f>
        <v/>
      </c>
      <c r="AE183" s="6" t="inlineStr"/>
      <c r="AF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0">
        <f>IF(tblOrdenes[[#This Row],[orden]]="","",_xlfn.XLOOKUP(tblOrdenes[[#This Row],[id_operacion]],tblEjecucion[id_operacion],tblEjecucion[precio],0))</f>
        <v/>
      </c>
      <c r="AJ183" s="10">
        <f>IF(tblOrdenes[[#This Row],[orden]]="","",MAX(0,_xlfn.XLOOKUP(tblOrdenes[[#This Row],[id_operacion]],tblEjecucion[id_operacion],tblEjecucion[costo_plan_total],0)-tblOrdenes[[#This Row],[costo_servicio]]))</f>
        <v/>
      </c>
      <c r="AK183" s="10">
        <f>IF(tblOrdenes[[#This Row],[orden]]="","",tblOrdenes[[#This Row],[costo_servicio]]+tblOrdenes[[#This Row],[costo_materiales]])</f>
        <v/>
      </c>
      <c r="AL183" s="6" t="inlineStr"/>
      <c r="AM183" s="6" t="inlineStr"/>
      <c r="AN183" s="6" t="inlineStr"/>
      <c r="AO183" s="3">
        <f>IF(tblOrdenes[[#This Row],[link_checklist]]="","",HYPERLINK(p_ruta_base_checklists&amp;tblOrdenes[[#This Row],[link_checklist]],"abrir"))</f>
        <v/>
      </c>
      <c r="AP183" s="6" t="inlineStr"/>
      <c r="AQ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PU-MEC</t>
        </is>
      </c>
      <c r="H184" s="3" t="inlineStr">
        <is>
          <t>ACT-02</t>
        </is>
      </c>
      <c r="I184" s="3" t="inlineStr">
        <is>
          <t>TIPO-P2</t>
        </is>
      </c>
      <c r="J184" s="11" t="n">
        <v>46265</v>
      </c>
      <c r="K184" s="3" t="n">
        <v>6</v>
      </c>
      <c r="L184" s="10" t="n">
        <v>150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3">
        <f>IF(tblOrdenes[[#This Row],[tipo_ot]]="","",_xlfn.XLOOKUP(tblOrdenes[[#This Row],[tipo_ot]],tblTiposOT[codigo],tblTiposOT[clasificacion],"sin_clasificar"))</f>
        <v/>
      </c>
      <c r="U184" s="3">
        <f>IF(tblOrdenes[[#This Row],[centro_costo]]="","",_xlfn.XLOOKUP(tblOrdenes[[#This Row],[centro_costo]],tblCECO[codigo],tblCECO[linea],"(sin catálogo)"))</f>
        <v/>
      </c>
      <c r="V184" s="3">
        <f>IF(tblOrdenes[[#This Row],[centro_costo]]="","",_xlfn.XLOOKUP(tblOrdenes[[#This Row],[centro_costo]],tblCECO[codigo],tblCECO[area],"(sin catálogo)"))</f>
        <v/>
      </c>
      <c r="W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3">
        <f>IF(tblOrdenes[[#This Row],[centro_costo]]="","",_xlfn.XLOOKUP(tblOrdenes[[#This Row],[centro_costo]],tblCECO[codigo],tblCECO[coordinador],"(sin catálogo)"))</f>
        <v/>
      </c>
      <c r="Y184" s="3">
        <f>IF(tblOrdenes[[#This Row],[puesto_trabajo]]="","",_xlfn.XLOOKUP(tblOrdenes[[#This Row],[puesto_trabajo]],tblPuestos[codigo],tblPuestos[especialidad],"(sin catálogo)"))</f>
        <v/>
      </c>
      <c r="Z184" s="3">
        <f>IF(tblOrdenes[[#This Row],[cod_actividad]]="","",_xlfn.XLOOKUP(tblOrdenes[[#This Row],[cod_actividad]],tblActividades[codigo],tblActividades[descripcion],"(sin catálogo)"))</f>
        <v/>
      </c>
      <c r="AA184" s="12">
        <f>IF(tblOrdenes[[#This Row],[fecha_inicio]]="","",TODAY()-tblOrdenes[[#This Row],[fecha_inicio]])</f>
        <v/>
      </c>
      <c r="AB1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3">
        <f>IF(tblOrdenes[[#This Row],[backlog_habiles]]="","",IF(tblOrdenes[[#This Row],[backlog_habiles]]&lt;0,"FUTURO",IF(tblOrdenes[[#This Row],[backlog_habiles]]&gt;p_dias_backlog_max,"BACKLOG","MES CORRIENTE")))</f>
        <v/>
      </c>
      <c r="AD184" s="3">
        <f>IF(tblOrdenes[[#This Row],[backlog_habiles]]="",FALSE,AND(tblOrdenes[[#This Row],[backlog_habiles]]&gt;p_dias_backlog_min,tblOrdenes[[#This Row],[backlog_habiles]]&lt;=p_dias_backlog_max))</f>
        <v/>
      </c>
      <c r="AE184" s="6" t="inlineStr"/>
      <c r="AF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0">
        <f>IF(tblOrdenes[[#This Row],[orden]]="","",_xlfn.XLOOKUP(tblOrdenes[[#This Row],[id_operacion]],tblEjecucion[id_operacion],tblEjecucion[precio],0))</f>
        <v/>
      </c>
      <c r="AJ184" s="10">
        <f>IF(tblOrdenes[[#This Row],[orden]]="","",MAX(0,_xlfn.XLOOKUP(tblOrdenes[[#This Row],[id_operacion]],tblEjecucion[id_operacion],tblEjecucion[costo_plan_total],0)-tblOrdenes[[#This Row],[costo_servicio]]))</f>
        <v/>
      </c>
      <c r="AK184" s="10">
        <f>IF(tblOrdenes[[#This Row],[orden]]="","",tblOrdenes[[#This Row],[costo_servicio]]+tblOrdenes[[#This Row],[costo_materiales]])</f>
        <v/>
      </c>
      <c r="AL184" s="6" t="inlineStr"/>
      <c r="AM184" s="6" t="inlineStr"/>
      <c r="AN184" s="6" t="inlineStr"/>
      <c r="AO184" s="3">
        <f>IF(tblOrdenes[[#This Row],[link_checklist]]="","",HYPERLINK(p_ruta_base_checklists&amp;tblOrdenes[[#This Row],[link_checklist]],"abrir"))</f>
        <v/>
      </c>
      <c r="AP184" s="6" t="inlineStr"/>
      <c r="AQ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PU-MEC</t>
        </is>
      </c>
      <c r="H185" s="3" t="inlineStr">
        <is>
          <t>ACT-04</t>
        </is>
      </c>
      <c r="I185" s="3" t="inlineStr">
        <is>
          <t>TIPO-P1</t>
        </is>
      </c>
      <c r="J185" s="11" t="n">
        <v>46265</v>
      </c>
      <c r="K185" s="3" t="n">
        <v>6</v>
      </c>
      <c r="L185" s="10" t="n">
        <v>150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3">
        <f>IF(tblOrdenes[[#This Row],[tipo_ot]]="","",_xlfn.XLOOKUP(tblOrdenes[[#This Row],[tipo_ot]],tblTiposOT[codigo],tblTiposOT[clasificacion],"sin_clasificar"))</f>
        <v/>
      </c>
      <c r="U185" s="3">
        <f>IF(tblOrdenes[[#This Row],[centro_costo]]="","",_xlfn.XLOOKUP(tblOrdenes[[#This Row],[centro_costo]],tblCECO[codigo],tblCECO[linea],"(sin catálogo)"))</f>
        <v/>
      </c>
      <c r="V185" s="3">
        <f>IF(tblOrdenes[[#This Row],[centro_costo]]="","",_xlfn.XLOOKUP(tblOrdenes[[#This Row],[centro_costo]],tblCECO[codigo],tblCECO[area],"(sin catálogo)"))</f>
        <v/>
      </c>
      <c r="W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3">
        <f>IF(tblOrdenes[[#This Row],[centro_costo]]="","",_xlfn.XLOOKUP(tblOrdenes[[#This Row],[centro_costo]],tblCECO[codigo],tblCECO[coordinador],"(sin catálogo)"))</f>
        <v/>
      </c>
      <c r="Y185" s="3">
        <f>IF(tblOrdenes[[#This Row],[puesto_trabajo]]="","",_xlfn.XLOOKUP(tblOrdenes[[#This Row],[puesto_trabajo]],tblPuestos[codigo],tblPuestos[especialidad],"(sin catálogo)"))</f>
        <v/>
      </c>
      <c r="Z185" s="3">
        <f>IF(tblOrdenes[[#This Row],[cod_actividad]]="","",_xlfn.XLOOKUP(tblOrdenes[[#This Row],[cod_actividad]],tblActividades[codigo],tblActividades[descripcion],"(sin catálogo)"))</f>
        <v/>
      </c>
      <c r="AA185" s="12">
        <f>IF(tblOrdenes[[#This Row],[fecha_inicio]]="","",TODAY()-tblOrdenes[[#This Row],[fecha_inicio]])</f>
        <v/>
      </c>
      <c r="AB1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3">
        <f>IF(tblOrdenes[[#This Row],[backlog_habiles]]="","",IF(tblOrdenes[[#This Row],[backlog_habiles]]&lt;0,"FUTURO",IF(tblOrdenes[[#This Row],[backlog_habiles]]&gt;p_dias_backlog_max,"BACKLOG","MES CORRIENTE")))</f>
        <v/>
      </c>
      <c r="AD185" s="3">
        <f>IF(tblOrdenes[[#This Row],[backlog_habiles]]="",FALSE,AND(tblOrdenes[[#This Row],[backlog_habiles]]&gt;p_dias_backlog_min,tblOrdenes[[#This Row],[backlog_habiles]]&lt;=p_dias_backlog_max))</f>
        <v/>
      </c>
      <c r="AE185" s="6" t="inlineStr"/>
      <c r="AF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0">
        <f>IF(tblOrdenes[[#This Row],[orden]]="","",_xlfn.XLOOKUP(tblOrdenes[[#This Row],[id_operacion]],tblEjecucion[id_operacion],tblEjecucion[precio],0))</f>
        <v/>
      </c>
      <c r="AJ185" s="10">
        <f>IF(tblOrdenes[[#This Row],[orden]]="","",MAX(0,_xlfn.XLOOKUP(tblOrdenes[[#This Row],[id_operacion]],tblEjecucion[id_operacion],tblEjecucion[costo_plan_total],0)-tblOrdenes[[#This Row],[costo_servicio]]))</f>
        <v/>
      </c>
      <c r="AK185" s="10">
        <f>IF(tblOrdenes[[#This Row],[orden]]="","",tblOrdenes[[#This Row],[costo_servicio]]+tblOrdenes[[#This Row],[costo_materiales]])</f>
        <v/>
      </c>
      <c r="AL185" s="6" t="inlineStr"/>
      <c r="AM185" s="6" t="inlineStr"/>
      <c r="AN185" s="6" t="inlineStr"/>
      <c r="AO185" s="3">
        <f>IF(tblOrdenes[[#This Row],[link_checklist]]="","",HYPERLINK(p_ruta_base_checklists&amp;tblOrdenes[[#This Row],[link_checklist]],"abrir"))</f>
        <v/>
      </c>
      <c r="AP185" s="6" t="inlineStr"/>
      <c r="AQ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46265</v>
      </c>
      <c r="K186" s="3" t="n">
        <v>6</v>
      </c>
      <c r="L186" s="10" t="n">
        <v>150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3">
        <f>IF(tblOrdenes[[#This Row],[tipo_ot]]="","",_xlfn.XLOOKUP(tblOrdenes[[#This Row],[tipo_ot]],tblTiposOT[codigo],tblTiposOT[clasificacion],"sin_clasificar"))</f>
        <v/>
      </c>
      <c r="U186" s="3">
        <f>IF(tblOrdenes[[#This Row],[centro_costo]]="","",_xlfn.XLOOKUP(tblOrdenes[[#This Row],[centro_costo]],tblCECO[codigo],tblCECO[linea],"(sin catálogo)"))</f>
        <v/>
      </c>
      <c r="V186" s="3">
        <f>IF(tblOrdenes[[#This Row],[centro_costo]]="","",_xlfn.XLOOKUP(tblOrdenes[[#This Row],[centro_costo]],tblCECO[codigo],tblCECO[area],"(sin catálogo)"))</f>
        <v/>
      </c>
      <c r="W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3">
        <f>IF(tblOrdenes[[#This Row],[centro_costo]]="","",_xlfn.XLOOKUP(tblOrdenes[[#This Row],[centro_costo]],tblCECO[codigo],tblCECO[coordinador],"(sin catálogo)"))</f>
        <v/>
      </c>
      <c r="Y186" s="3">
        <f>IF(tblOrdenes[[#This Row],[puesto_trabajo]]="","",_xlfn.XLOOKUP(tblOrdenes[[#This Row],[puesto_trabajo]],tblPuestos[codigo],tblPuestos[especialidad],"(sin catálogo)"))</f>
        <v/>
      </c>
      <c r="Z186" s="3">
        <f>IF(tblOrdenes[[#This Row],[cod_actividad]]="","",_xlfn.XLOOKUP(tblOrdenes[[#This Row],[cod_actividad]],tblActividades[codigo],tblActividades[descripcion],"(sin catálogo)"))</f>
        <v/>
      </c>
      <c r="AA186" s="12">
        <f>IF(tblOrdenes[[#This Row],[fecha_inicio]]="","",TODAY()-tblOrdenes[[#This Row],[fecha_inicio]])</f>
        <v/>
      </c>
      <c r="AB1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3">
        <f>IF(tblOrdenes[[#This Row],[backlog_habiles]]="","",IF(tblOrdenes[[#This Row],[backlog_habiles]]&lt;0,"FUTURO",IF(tblOrdenes[[#This Row],[backlog_habiles]]&gt;p_dias_backlog_max,"BACKLOG","MES CORRIENTE")))</f>
        <v/>
      </c>
      <c r="AD186" s="3">
        <f>IF(tblOrdenes[[#This Row],[backlog_habiles]]="",FALSE,AND(tblOrdenes[[#This Row],[backlog_habiles]]&gt;p_dias_backlog_min,tblOrdenes[[#This Row],[backlog_habiles]]&lt;=p_dias_backlog_max))</f>
        <v/>
      </c>
      <c r="AE186" s="6" t="inlineStr"/>
      <c r="AF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0">
        <f>IF(tblOrdenes[[#This Row],[orden]]="","",_xlfn.XLOOKUP(tblOrdenes[[#This Row],[id_operacion]],tblEjecucion[id_operacion],tblEjecucion[precio],0))</f>
        <v/>
      </c>
      <c r="AJ186" s="10">
        <f>IF(tblOrdenes[[#This Row],[orden]]="","",MAX(0,_xlfn.XLOOKUP(tblOrdenes[[#This Row],[id_operacion]],tblEjecucion[id_operacion],tblEjecucion[costo_plan_total],0)-tblOrdenes[[#This Row],[costo_servicio]]))</f>
        <v/>
      </c>
      <c r="AK186" s="10">
        <f>IF(tblOrdenes[[#This Row],[orden]]="","",tblOrdenes[[#This Row],[costo_servicio]]+tblOrdenes[[#This Row],[costo_materiales]])</f>
        <v/>
      </c>
      <c r="AL186" s="6" t="inlineStr"/>
      <c r="AM186" s="6" t="inlineStr"/>
      <c r="AN186" s="6" t="inlineStr"/>
      <c r="AO186" s="3">
        <f>IF(tblOrdenes[[#This Row],[link_checklist]]="","",HYPERLINK(p_ruta_base_checklists&amp;tblOrdenes[[#This Row],[link_checklist]],"abrir"))</f>
        <v/>
      </c>
      <c r="AP186" s="6" t="inlineStr"/>
      <c r="AQ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46325</v>
      </c>
      <c r="K187" s="3" t="n">
        <v>6</v>
      </c>
      <c r="L187" s="10" t="n">
        <v>150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3">
        <f>IF(tblOrdenes[[#This Row],[tipo_ot]]="","",_xlfn.XLOOKUP(tblOrdenes[[#This Row],[tipo_ot]],tblTiposOT[codigo],tblTiposOT[clasificacion],"sin_clasificar"))</f>
        <v/>
      </c>
      <c r="U187" s="3">
        <f>IF(tblOrdenes[[#This Row],[centro_costo]]="","",_xlfn.XLOOKUP(tblOrdenes[[#This Row],[centro_costo]],tblCECO[codigo],tblCECO[linea],"(sin catálogo)"))</f>
        <v/>
      </c>
      <c r="V187" s="3">
        <f>IF(tblOrdenes[[#This Row],[centro_costo]]="","",_xlfn.XLOOKUP(tblOrdenes[[#This Row],[centro_costo]],tblCECO[codigo],tblCECO[area],"(sin catálogo)"))</f>
        <v/>
      </c>
      <c r="W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3">
        <f>IF(tblOrdenes[[#This Row],[centro_costo]]="","",_xlfn.XLOOKUP(tblOrdenes[[#This Row],[centro_costo]],tblCECO[codigo],tblCECO[coordinador],"(sin catálogo)"))</f>
        <v/>
      </c>
      <c r="Y187" s="3">
        <f>IF(tblOrdenes[[#This Row],[puesto_trabajo]]="","",_xlfn.XLOOKUP(tblOrdenes[[#This Row],[puesto_trabajo]],tblPuestos[codigo],tblPuestos[especialidad],"(sin catálogo)"))</f>
        <v/>
      </c>
      <c r="Z187" s="3">
        <f>IF(tblOrdenes[[#This Row],[cod_actividad]]="","",_xlfn.XLOOKUP(tblOrdenes[[#This Row],[cod_actividad]],tblActividades[codigo],tblActividades[descripcion],"(sin catálogo)"))</f>
        <v/>
      </c>
      <c r="AA187" s="12">
        <f>IF(tblOrdenes[[#This Row],[fecha_inicio]]="","",TODAY()-tblOrdenes[[#This Row],[fecha_inicio]])</f>
        <v/>
      </c>
      <c r="AB1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3">
        <f>IF(tblOrdenes[[#This Row],[backlog_habiles]]="","",IF(tblOrdenes[[#This Row],[backlog_habiles]]&lt;0,"FUTURO",IF(tblOrdenes[[#This Row],[backlog_habiles]]&gt;p_dias_backlog_max,"BACKLOG","MES CORRIENTE")))</f>
        <v/>
      </c>
      <c r="AD187" s="3">
        <f>IF(tblOrdenes[[#This Row],[backlog_habiles]]="",FALSE,AND(tblOrdenes[[#This Row],[backlog_habiles]]&gt;p_dias_backlog_min,tblOrdenes[[#This Row],[backlog_habiles]]&lt;=p_dias_backlog_max))</f>
        <v/>
      </c>
      <c r="AE187" s="6" t="inlineStr"/>
      <c r="AF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0">
        <f>IF(tblOrdenes[[#This Row],[orden]]="","",_xlfn.XLOOKUP(tblOrdenes[[#This Row],[id_operacion]],tblEjecucion[id_operacion],tblEjecucion[precio],0))</f>
        <v/>
      </c>
      <c r="AJ187" s="10">
        <f>IF(tblOrdenes[[#This Row],[orden]]="","",MAX(0,_xlfn.XLOOKUP(tblOrdenes[[#This Row],[id_operacion]],tblEjecucion[id_operacion],tblEjecucion[costo_plan_total],0)-tblOrdenes[[#This Row],[costo_servicio]]))</f>
        <v/>
      </c>
      <c r="AK187" s="10">
        <f>IF(tblOrdenes[[#This Row],[orden]]="","",tblOrdenes[[#This Row],[costo_servicio]]+tblOrdenes[[#This Row],[costo_materiales]])</f>
        <v/>
      </c>
      <c r="AL187" s="6" t="inlineStr"/>
      <c r="AM187" s="6" t="inlineStr"/>
      <c r="AN187" s="6" t="inlineStr"/>
      <c r="AO187" s="3">
        <f>IF(tblOrdenes[[#This Row],[link_checklist]]="","",HYPERLINK(p_ruta_base_checklists&amp;tblOrdenes[[#This Row],[link_checklist]],"abrir"))</f>
        <v/>
      </c>
      <c r="AP187" s="6" t="inlineStr"/>
      <c r="AQ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Análisis predictivo — EQ-101</t>
        </is>
      </c>
      <c r="D188" s="3" t="inlineStr">
        <is>
          <t>Análisis predictivo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PU-ELE</t>
        </is>
      </c>
      <c r="H188" s="3" t="inlineStr">
        <is>
          <t>ACT-04</t>
        </is>
      </c>
      <c r="I188" s="3" t="inlineStr">
        <is>
          <t>TIPO-P2</t>
        </is>
      </c>
      <c r="J188" s="11" t="n">
        <v>46325</v>
      </c>
      <c r="K188" s="3" t="n">
        <v>6</v>
      </c>
      <c r="L188" s="10" t="n">
        <v>150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3">
        <f>IF(tblOrdenes[[#This Row],[tipo_ot]]="","",_xlfn.XLOOKUP(tblOrdenes[[#This Row],[tipo_ot]],tblTiposOT[codigo],tblTiposOT[clasificacion],"sin_clasificar"))</f>
        <v/>
      </c>
      <c r="U188" s="3">
        <f>IF(tblOrdenes[[#This Row],[centro_costo]]="","",_xlfn.XLOOKUP(tblOrdenes[[#This Row],[centro_costo]],tblCECO[codigo],tblCECO[linea],"(sin catálogo)"))</f>
        <v/>
      </c>
      <c r="V188" s="3">
        <f>IF(tblOrdenes[[#This Row],[centro_costo]]="","",_xlfn.XLOOKUP(tblOrdenes[[#This Row],[centro_costo]],tblCECO[codigo],tblCECO[area],"(sin catálogo)"))</f>
        <v/>
      </c>
      <c r="W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3">
        <f>IF(tblOrdenes[[#This Row],[centro_costo]]="","",_xlfn.XLOOKUP(tblOrdenes[[#This Row],[centro_costo]],tblCECO[codigo],tblCECO[coordinador],"(sin catálogo)"))</f>
        <v/>
      </c>
      <c r="Y188" s="3">
        <f>IF(tblOrdenes[[#This Row],[puesto_trabajo]]="","",_xlfn.XLOOKUP(tblOrdenes[[#This Row],[puesto_trabajo]],tblPuestos[codigo],tblPuestos[especialidad],"(sin catálogo)"))</f>
        <v/>
      </c>
      <c r="Z188" s="3">
        <f>IF(tblOrdenes[[#This Row],[cod_actividad]]="","",_xlfn.XLOOKUP(tblOrdenes[[#This Row],[cod_actividad]],tblActividades[codigo],tblActividades[descripcion],"(sin catálogo)"))</f>
        <v/>
      </c>
      <c r="AA188" s="12">
        <f>IF(tblOrdenes[[#This Row],[fecha_inicio]]="","",TODAY()-tblOrdenes[[#This Row],[fecha_inicio]])</f>
        <v/>
      </c>
      <c r="AB1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3">
        <f>IF(tblOrdenes[[#This Row],[backlog_habiles]]="","",IF(tblOrdenes[[#This Row],[backlog_habiles]]&lt;0,"FUTURO",IF(tblOrdenes[[#This Row],[backlog_habiles]]&gt;p_dias_backlog_max,"BACKLOG","MES CORRIENTE")))</f>
        <v/>
      </c>
      <c r="AD188" s="3">
        <f>IF(tblOrdenes[[#This Row],[backlog_habiles]]="",FALSE,AND(tblOrdenes[[#This Row],[backlog_habiles]]&gt;p_dias_backlog_min,tblOrdenes[[#This Row],[backlog_habiles]]&lt;=p_dias_backlog_max))</f>
        <v/>
      </c>
      <c r="AE188" s="6" t="inlineStr"/>
      <c r="AF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0">
        <f>IF(tblOrdenes[[#This Row],[orden]]="","",_xlfn.XLOOKUP(tblOrdenes[[#This Row],[id_operacion]],tblEjecucion[id_operacion],tblEjecucion[precio],0))</f>
        <v/>
      </c>
      <c r="AJ188" s="10">
        <f>IF(tblOrdenes[[#This Row],[orden]]="","",MAX(0,_xlfn.XLOOKUP(tblOrdenes[[#This Row],[id_operacion]],tblEjecucion[id_operacion],tblEjecucion[costo_plan_total],0)-tblOrdenes[[#This Row],[costo_servicio]]))</f>
        <v/>
      </c>
      <c r="AK188" s="10">
        <f>IF(tblOrdenes[[#This Row],[orden]]="","",tblOrdenes[[#This Row],[costo_servicio]]+tblOrdenes[[#This Row],[costo_materiales]])</f>
        <v/>
      </c>
      <c r="AL188" s="6" t="inlineStr"/>
      <c r="AM188" s="6" t="inlineStr"/>
      <c r="AN188" s="6" t="inlineStr"/>
      <c r="AO188" s="3">
        <f>IF(tblOrdenes[[#This Row],[link_checklist]]="","",HYPERLINK(p_ruta_base_checklists&amp;tblOrdenes[[#This Row],[link_checklist]],"abrir"))</f>
        <v/>
      </c>
      <c r="AP188" s="6" t="inlineStr"/>
      <c r="AQ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Inspección de rutina — EQ-102</t>
        </is>
      </c>
      <c r="D189" s="3" t="inlineStr">
        <is>
          <t>Inspección de rutina en EQ-102</t>
        </is>
      </c>
      <c r="E189" s="3" t="inlineStr">
        <is>
          <t>EQ-102</t>
        </is>
      </c>
      <c r="F189" s="3" t="inlineStr">
        <is>
          <t>CC-110</t>
        </is>
      </c>
      <c r="G189" s="3" t="inlineStr">
        <is>
          <t>PU-AUT</t>
        </is>
      </c>
      <c r="H189" s="3" t="inlineStr">
        <is>
          <t>ACT-01</t>
        </is>
      </c>
      <c r="I189" s="3" t="inlineStr">
        <is>
          <t>TIPO-P1</t>
        </is>
      </c>
      <c r="J189" s="11" t="n">
        <v>46385</v>
      </c>
      <c r="K189" s="3" t="n">
        <v>4</v>
      </c>
      <c r="L189" s="10" t="n">
        <v>100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3">
        <f>IF(tblOrdenes[[#This Row],[tipo_ot]]="","",_xlfn.XLOOKUP(tblOrdenes[[#This Row],[tipo_ot]],tblTiposOT[codigo],tblTiposOT[clasificacion],"sin_clasificar"))</f>
        <v/>
      </c>
      <c r="U189" s="3">
        <f>IF(tblOrdenes[[#This Row],[centro_costo]]="","",_xlfn.XLOOKUP(tblOrdenes[[#This Row],[centro_costo]],tblCECO[codigo],tblCECO[linea],"(sin catálogo)"))</f>
        <v/>
      </c>
      <c r="V189" s="3">
        <f>IF(tblOrdenes[[#This Row],[centro_costo]]="","",_xlfn.XLOOKUP(tblOrdenes[[#This Row],[centro_costo]],tblCECO[codigo],tblCECO[area],"(sin catálogo)"))</f>
        <v/>
      </c>
      <c r="W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3">
        <f>IF(tblOrdenes[[#This Row],[centro_costo]]="","",_xlfn.XLOOKUP(tblOrdenes[[#This Row],[centro_costo]],tblCECO[codigo],tblCECO[coordinador],"(sin catálogo)"))</f>
        <v/>
      </c>
      <c r="Y189" s="3">
        <f>IF(tblOrdenes[[#This Row],[puesto_trabajo]]="","",_xlfn.XLOOKUP(tblOrdenes[[#This Row],[puesto_trabajo]],tblPuestos[codigo],tblPuestos[especialidad],"(sin catálogo)"))</f>
        <v/>
      </c>
      <c r="Z189" s="3">
        <f>IF(tblOrdenes[[#This Row],[cod_actividad]]="","",_xlfn.XLOOKUP(tblOrdenes[[#This Row],[cod_actividad]],tblActividades[codigo],tblActividades[descripcion],"(sin catálogo)"))</f>
        <v/>
      </c>
      <c r="AA189" s="12">
        <f>IF(tblOrdenes[[#This Row],[fecha_inicio]]="","",TODAY()-tblOrdenes[[#This Row],[fecha_inicio]])</f>
        <v/>
      </c>
      <c r="AB1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3">
        <f>IF(tblOrdenes[[#This Row],[backlog_habiles]]="","",IF(tblOrdenes[[#This Row],[backlog_habiles]]&lt;0,"FUTURO",IF(tblOrdenes[[#This Row],[backlog_habiles]]&gt;p_dias_backlog_max,"BACKLOG","MES CORRIENTE")))</f>
        <v/>
      </c>
      <c r="AD189" s="3">
        <f>IF(tblOrdenes[[#This Row],[backlog_habiles]]="",FALSE,AND(tblOrdenes[[#This Row],[backlog_habiles]]&gt;p_dias_backlog_min,tblOrdenes[[#This Row],[backlog_habiles]]&lt;=p_dias_backlog_max))</f>
        <v/>
      </c>
      <c r="AE189" s="6" t="inlineStr"/>
      <c r="AF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0">
        <f>IF(tblOrdenes[[#This Row],[orden]]="","",_xlfn.XLOOKUP(tblOrdenes[[#This Row],[id_operacion]],tblEjecucion[id_operacion],tblEjecucion[precio],0))</f>
        <v/>
      </c>
      <c r="AJ189" s="10">
        <f>IF(tblOrdenes[[#This Row],[orden]]="","",MAX(0,_xlfn.XLOOKUP(tblOrdenes[[#This Row],[id_operacion]],tblEjecucion[id_operacion],tblEjecucion[costo_plan_total],0)-tblOrdenes[[#This Row],[costo_servicio]]))</f>
        <v/>
      </c>
      <c r="AK189" s="10">
        <f>IF(tblOrdenes[[#This Row],[orden]]="","",tblOrdenes[[#This Row],[costo_servicio]]+tblOrdenes[[#This Row],[costo_materiales]])</f>
        <v/>
      </c>
      <c r="AL189" s="6" t="inlineStr"/>
      <c r="AM189" s="6" t="inlineStr"/>
      <c r="AN189" s="6" t="inlineStr"/>
      <c r="AO189" s="3">
        <f>IF(tblOrdenes[[#This Row],[link_checklist]]="","",HYPERLINK(p_ruta_base_checklists&amp;tblOrdenes[[#This Row],[link_checklist]],"abrir"))</f>
        <v/>
      </c>
      <c r="AP189" s="6" t="inlineStr"/>
      <c r="AQ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Lubricación programada — EQ-103</t>
        </is>
      </c>
      <c r="D190" s="3" t="inlineStr">
        <is>
          <t>Lubricación programada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PU-MEC</t>
        </is>
      </c>
      <c r="H190" s="3" t="inlineStr">
        <is>
          <t>ACT-02</t>
        </is>
      </c>
      <c r="I190" s="3" t="inlineStr">
        <is>
          <t>TIPO-P2</t>
        </is>
      </c>
      <c r="J190" s="11" t="n">
        <v>46388</v>
      </c>
      <c r="K190" s="3" t="n">
        <v>4</v>
      </c>
      <c r="L190" s="10" t="n">
        <v>100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3">
        <f>IF(tblOrdenes[[#This Row],[tipo_ot]]="","",_xlfn.XLOOKUP(tblOrdenes[[#This Row],[tipo_ot]],tblTiposOT[codigo],tblTiposOT[clasificacion],"sin_clasificar"))</f>
        <v/>
      </c>
      <c r="U190" s="3">
        <f>IF(tblOrdenes[[#This Row],[centro_costo]]="","",_xlfn.XLOOKUP(tblOrdenes[[#This Row],[centro_costo]],tblCECO[codigo],tblCECO[linea],"(sin catálogo)"))</f>
        <v/>
      </c>
      <c r="V190" s="3">
        <f>IF(tblOrdenes[[#This Row],[centro_costo]]="","",_xlfn.XLOOKUP(tblOrdenes[[#This Row],[centro_costo]],tblCECO[codigo],tblCECO[area],"(sin catálogo)"))</f>
        <v/>
      </c>
      <c r="W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3">
        <f>IF(tblOrdenes[[#This Row],[centro_costo]]="","",_xlfn.XLOOKUP(tblOrdenes[[#This Row],[centro_costo]],tblCECO[codigo],tblCECO[coordinador],"(sin catálogo)"))</f>
        <v/>
      </c>
      <c r="Y190" s="3">
        <f>IF(tblOrdenes[[#This Row],[puesto_trabajo]]="","",_xlfn.XLOOKUP(tblOrdenes[[#This Row],[puesto_trabajo]],tblPuestos[codigo],tblPuestos[especialidad],"(sin catálogo)"))</f>
        <v/>
      </c>
      <c r="Z190" s="3">
        <f>IF(tblOrdenes[[#This Row],[cod_actividad]]="","",_xlfn.XLOOKUP(tblOrdenes[[#This Row],[cod_actividad]],tblActividades[codigo],tblActividades[descripcion],"(sin catálogo)"))</f>
        <v/>
      </c>
      <c r="AA190" s="12">
        <f>IF(tblOrdenes[[#This Row],[fecha_inicio]]="","",TODAY()-tblOrdenes[[#This Row],[fecha_inicio]])</f>
        <v/>
      </c>
      <c r="AB1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3">
        <f>IF(tblOrdenes[[#This Row],[backlog_habiles]]="","",IF(tblOrdenes[[#This Row],[backlog_habiles]]&lt;0,"FUTURO",IF(tblOrdenes[[#This Row],[backlog_habiles]]&gt;p_dias_backlog_max,"BACKLOG","MES CORRIENTE")))</f>
        <v/>
      </c>
      <c r="AD190" s="3">
        <f>IF(tblOrdenes[[#This Row],[backlog_habiles]]="",FALSE,AND(tblOrdenes[[#This Row],[backlog_habiles]]&gt;p_dias_backlog_min,tblOrdenes[[#This Row],[backlog_habiles]]&lt;=p_dias_backlog_max))</f>
        <v/>
      </c>
      <c r="AE190" s="6" t="inlineStr"/>
      <c r="AF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0">
        <f>IF(tblOrdenes[[#This Row],[orden]]="","",_xlfn.XLOOKUP(tblOrdenes[[#This Row],[id_operacion]],tblEjecucion[id_operacion],tblEjecucion[precio],0))</f>
        <v/>
      </c>
      <c r="AJ190" s="10">
        <f>IF(tblOrdenes[[#This Row],[orden]]="","",MAX(0,_xlfn.XLOOKUP(tblOrdenes[[#This Row],[id_operacion]],tblEjecucion[id_operacion],tblEjecucion[costo_plan_total],0)-tblOrdenes[[#This Row],[costo_servicio]]))</f>
        <v/>
      </c>
      <c r="AK190" s="10">
        <f>IF(tblOrdenes[[#This Row],[orden]]="","",tblOrdenes[[#This Row],[costo_servicio]]+tblOrdenes[[#This Row],[costo_materiales]])</f>
        <v/>
      </c>
      <c r="AL190" s="6" t="inlineStr"/>
      <c r="AM190" s="6" t="inlineStr"/>
      <c r="AN190" s="6" t="inlineStr"/>
      <c r="AO190" s="3">
        <f>IF(tblOrdenes[[#This Row],[link_checklist]]="","",HYPERLINK(p_ruta_base_checklists&amp;tblOrdenes[[#This Row],[link_checklist]],"abrir"))</f>
        <v/>
      </c>
      <c r="AP190" s="6" t="inlineStr"/>
      <c r="AQ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PU-ELE</t>
        </is>
      </c>
      <c r="H191" s="3" t="inlineStr">
        <is>
          <t>ACT-04</t>
        </is>
      </c>
      <c r="I191" s="3" t="inlineStr">
        <is>
          <t>TIPO-P1</t>
        </is>
      </c>
      <c r="J191" s="11" t="n">
        <v>46392</v>
      </c>
      <c r="K191" s="3" t="n">
        <v>4</v>
      </c>
      <c r="L191" s="10" t="n">
        <v>100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3">
        <f>IF(tblOrdenes[[#This Row],[tipo_ot]]="","",_xlfn.XLOOKUP(tblOrdenes[[#This Row],[tipo_ot]],tblTiposOT[codigo],tblTiposOT[clasificacion],"sin_clasificar"))</f>
        <v/>
      </c>
      <c r="U191" s="3">
        <f>IF(tblOrdenes[[#This Row],[centro_costo]]="","",_xlfn.XLOOKUP(tblOrdenes[[#This Row],[centro_costo]],tblCECO[codigo],tblCECO[linea],"(sin catálogo)"))</f>
        <v/>
      </c>
      <c r="V191" s="3">
        <f>IF(tblOrdenes[[#This Row],[centro_costo]]="","",_xlfn.XLOOKUP(tblOrdenes[[#This Row],[centro_costo]],tblCECO[codigo],tblCECO[area],"(sin catálogo)"))</f>
        <v/>
      </c>
      <c r="W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3">
        <f>IF(tblOrdenes[[#This Row],[centro_costo]]="","",_xlfn.XLOOKUP(tblOrdenes[[#This Row],[centro_costo]],tblCECO[codigo],tblCECO[coordinador],"(sin catálogo)"))</f>
        <v/>
      </c>
      <c r="Y191" s="3">
        <f>IF(tblOrdenes[[#This Row],[puesto_trabajo]]="","",_xlfn.XLOOKUP(tblOrdenes[[#This Row],[puesto_trabajo]],tblPuestos[codigo],tblPuestos[especialidad],"(sin catálogo)"))</f>
        <v/>
      </c>
      <c r="Z191" s="3">
        <f>IF(tblOrdenes[[#This Row],[cod_actividad]]="","",_xlfn.XLOOKUP(tblOrdenes[[#This Row],[cod_actividad]],tblActividades[codigo],tblActividades[descripcion],"(sin catálogo)"))</f>
        <v/>
      </c>
      <c r="AA191" s="12">
        <f>IF(tblOrdenes[[#This Row],[fecha_inicio]]="","",TODAY()-tblOrdenes[[#This Row],[fecha_inicio]])</f>
        <v/>
      </c>
      <c r="AB1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3">
        <f>IF(tblOrdenes[[#This Row],[backlog_habiles]]="","",IF(tblOrdenes[[#This Row],[backlog_habiles]]&lt;0,"FUTURO",IF(tblOrdenes[[#This Row],[backlog_habiles]]&gt;p_dias_backlog_max,"BACKLOG","MES CORRIENTE")))</f>
        <v/>
      </c>
      <c r="AD191" s="3">
        <f>IF(tblOrdenes[[#This Row],[backlog_habiles]]="",FALSE,AND(tblOrdenes[[#This Row],[backlog_habiles]]&gt;p_dias_backlog_min,tblOrdenes[[#This Row],[backlog_habiles]]&lt;=p_dias_backlog_max))</f>
        <v/>
      </c>
      <c r="AE191" s="6" t="inlineStr"/>
      <c r="AF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0">
        <f>IF(tblOrdenes[[#This Row],[orden]]="","",_xlfn.XLOOKUP(tblOrdenes[[#This Row],[id_operacion]],tblEjecucion[id_operacion],tblEjecucion[precio],0))</f>
        <v/>
      </c>
      <c r="AJ191" s="10">
        <f>IF(tblOrdenes[[#This Row],[orden]]="","",MAX(0,_xlfn.XLOOKUP(tblOrdenes[[#This Row],[id_operacion]],tblEjecucion[id_operacion],tblEjecucion[costo_plan_total],0)-tblOrdenes[[#This Row],[costo_servicio]]))</f>
        <v/>
      </c>
      <c r="AK191" s="10">
        <f>IF(tblOrdenes[[#This Row],[orden]]="","",tblOrdenes[[#This Row],[costo_servicio]]+tblOrdenes[[#This Row],[costo_materiales]])</f>
        <v/>
      </c>
      <c r="AL191" s="6" t="inlineStr"/>
      <c r="AM191" s="6" t="inlineStr"/>
      <c r="AN191" s="6" t="inlineStr"/>
      <c r="AO191" s="3">
        <f>IF(tblOrdenes[[#This Row],[link_checklist]]="","",HYPERLINK(p_ruta_base_checklists&amp;tblOrdenes[[#This Row],[link_checklist]],"abrir"))</f>
        <v/>
      </c>
      <c r="AP191" s="6" t="inlineStr"/>
      <c r="AQ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OT-000900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PU-MEC</t>
        </is>
      </c>
      <c r="H192" s="3" t="inlineStr">
        <is>
          <t>ACT-03</t>
        </is>
      </c>
      <c r="I192" s="3" t="inlineStr">
        <is>
          <t>TIPO-C2</t>
        </is>
      </c>
      <c r="J192" s="11" t="n">
        <v>46175</v>
      </c>
      <c r="K192" s="3" t="n">
        <v>6</v>
      </c>
      <c r="L192" s="10" t="n">
        <v>240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3">
        <f>IF(tblOrdenes[[#This Row],[tipo_ot]]="","",_xlfn.XLOOKUP(tblOrdenes[[#This Row],[tipo_ot]],tblTiposOT[codigo],tblTiposOT[clasificacion],"sin_clasificar"))</f>
        <v/>
      </c>
      <c r="U192" s="3">
        <f>IF(tblOrdenes[[#This Row],[centro_costo]]="","",_xlfn.XLOOKUP(tblOrdenes[[#This Row],[centro_costo]],tblCECO[codigo],tblCECO[linea],"(sin catálogo)"))</f>
        <v/>
      </c>
      <c r="V192" s="3">
        <f>IF(tblOrdenes[[#This Row],[centro_costo]]="","",_xlfn.XLOOKUP(tblOrdenes[[#This Row],[centro_costo]],tblCECO[codigo],tblCECO[area],"(sin catálogo)"))</f>
        <v/>
      </c>
      <c r="W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3">
        <f>IF(tblOrdenes[[#This Row],[centro_costo]]="","",_xlfn.XLOOKUP(tblOrdenes[[#This Row],[centro_costo]],tblCECO[codigo],tblCECO[coordinador],"(sin catálogo)"))</f>
        <v/>
      </c>
      <c r="Y192" s="3">
        <f>IF(tblOrdenes[[#This Row],[puesto_trabajo]]="","",_xlfn.XLOOKUP(tblOrdenes[[#This Row],[puesto_trabajo]],tblPuestos[codigo],tblPuestos[especialidad],"(sin catálogo)"))</f>
        <v/>
      </c>
      <c r="Z192" s="3">
        <f>IF(tblOrdenes[[#This Row],[cod_actividad]]="","",_xlfn.XLOOKUP(tblOrdenes[[#This Row],[cod_actividad]],tblActividades[codigo],tblActividades[descripcion],"(sin catálogo)"))</f>
        <v/>
      </c>
      <c r="AA192" s="12">
        <f>IF(tblOrdenes[[#This Row],[fecha_inicio]]="","",TODAY()-tblOrdenes[[#This Row],[fecha_inicio]])</f>
        <v/>
      </c>
      <c r="AB1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3">
        <f>IF(tblOrdenes[[#This Row],[backlog_habiles]]="","",IF(tblOrdenes[[#This Row],[backlog_habiles]]&lt;0,"FUTURO",IF(tblOrdenes[[#This Row],[backlog_habiles]]&gt;p_dias_backlog_max,"BACKLOG","MES CORRIENTE")))</f>
        <v/>
      </c>
      <c r="AD192" s="3">
        <f>IF(tblOrdenes[[#This Row],[backlog_habiles]]="",FALSE,AND(tblOrdenes[[#This Row],[backlog_habiles]]&gt;p_dias_backlog_min,tblOrdenes[[#This Row],[backlog_habiles]]&lt;=p_dias_backlog_max))</f>
        <v/>
      </c>
      <c r="AE192" s="6" t="inlineStr"/>
      <c r="AF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0">
        <f>IF(tblOrdenes[[#This Row],[orden]]="","",_xlfn.XLOOKUP(tblOrdenes[[#This Row],[id_operacion]],tblEjecucion[id_operacion],tblEjecucion[precio],0))</f>
        <v/>
      </c>
      <c r="AJ192" s="10">
        <f>IF(tblOrdenes[[#This Row],[orden]]="","",MAX(0,_xlfn.XLOOKUP(tblOrdenes[[#This Row],[id_operacion]],tblEjecucion[id_operacion],tblEjecucion[costo_plan_total],0)-tblOrdenes[[#This Row],[costo_servicio]]))</f>
        <v/>
      </c>
      <c r="AK192" s="10">
        <f>IF(tblOrdenes[[#This Row],[orden]]="","",tblOrdenes[[#This Row],[costo_servicio]]+tblOrdenes[[#This Row],[costo_materiales]])</f>
        <v/>
      </c>
      <c r="AL192" s="6" t="inlineStr"/>
      <c r="AM192" s="6" t="inlineStr"/>
      <c r="AN192" s="6" t="inlineStr"/>
      <c r="AO192" s="3">
        <f>IF(tblOrdenes[[#This Row],[link_checklist]]="","",HYPERLINK(p_ruta_base_checklists&amp;tblOrdenes[[#This Row],[link_checklist]],"abrir"))</f>
        <v/>
      </c>
      <c r="AP192" s="6" t="inlineStr"/>
      <c r="AQ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OT-000900</t>
        </is>
      </c>
      <c r="B193" s="3" t="inlineStr">
        <is>
          <t>0010</t>
        </is>
      </c>
      <c r="C193" s="3" t="inlineStr">
        <is>
          <t>Reparación de falla — EQ-105</t>
        </is>
      </c>
      <c r="D193" s="3" t="inlineStr">
        <is>
          <t>Reparación de falla en EQ-105</t>
        </is>
      </c>
      <c r="E193" s="3" t="inlineStr">
        <is>
          <t>EQ-105</t>
        </is>
      </c>
      <c r="F193" s="3" t="inlineStr">
        <is>
          <t>CC-110</t>
        </is>
      </c>
      <c r="G193" s="3" t="inlineStr">
        <is>
          <t>PU-MEC</t>
        </is>
      </c>
      <c r="H193" s="3" t="inlineStr">
        <is>
          <t>ACT-03</t>
        </is>
      </c>
      <c r="I193" s="3" t="inlineStr">
        <is>
          <t>TIPO-C2</t>
        </is>
      </c>
      <c r="J193" s="11" t="n">
        <v>46175</v>
      </c>
      <c r="K193" s="3" t="n">
        <v>6</v>
      </c>
      <c r="L193" s="10" t="n">
        <v>240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3">
        <f>IF(tblOrdenes[[#This Row],[tipo_ot]]="","",_xlfn.XLOOKUP(tblOrdenes[[#This Row],[tipo_ot]],tblTiposOT[codigo],tblTiposOT[clasificacion],"sin_clasificar"))</f>
        <v/>
      </c>
      <c r="U193" s="3">
        <f>IF(tblOrdenes[[#This Row],[centro_costo]]="","",_xlfn.XLOOKUP(tblOrdenes[[#This Row],[centro_costo]],tblCECO[codigo],tblCECO[linea],"(sin catálogo)"))</f>
        <v/>
      </c>
      <c r="V193" s="3">
        <f>IF(tblOrdenes[[#This Row],[centro_costo]]="","",_xlfn.XLOOKUP(tblOrdenes[[#This Row],[centro_costo]],tblCECO[codigo],tblCECO[area],"(sin catálogo)"))</f>
        <v/>
      </c>
      <c r="W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3">
        <f>IF(tblOrdenes[[#This Row],[centro_costo]]="","",_xlfn.XLOOKUP(tblOrdenes[[#This Row],[centro_costo]],tblCECO[codigo],tblCECO[coordinador],"(sin catálogo)"))</f>
        <v/>
      </c>
      <c r="Y193" s="3">
        <f>IF(tblOrdenes[[#This Row],[puesto_trabajo]]="","",_xlfn.XLOOKUP(tblOrdenes[[#This Row],[puesto_trabajo]],tblPuestos[codigo],tblPuestos[especialidad],"(sin catálogo)"))</f>
        <v/>
      </c>
      <c r="Z193" s="3">
        <f>IF(tblOrdenes[[#This Row],[cod_actividad]]="","",_xlfn.XLOOKUP(tblOrdenes[[#This Row],[cod_actividad]],tblActividades[codigo],tblActividades[descripcion],"(sin catálogo)"))</f>
        <v/>
      </c>
      <c r="AA193" s="12">
        <f>IF(tblOrdenes[[#This Row],[fecha_inicio]]="","",TODAY()-tblOrdenes[[#This Row],[fecha_inicio]])</f>
        <v/>
      </c>
      <c r="AB1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3">
        <f>IF(tblOrdenes[[#This Row],[backlog_habiles]]="","",IF(tblOrdenes[[#This Row],[backlog_habiles]]&lt;0,"FUTURO",IF(tblOrdenes[[#This Row],[backlog_habiles]]&gt;p_dias_backlog_max,"BACKLOG","MES CORRIENTE")))</f>
        <v/>
      </c>
      <c r="AD193" s="3">
        <f>IF(tblOrdenes[[#This Row],[backlog_habiles]]="",FALSE,AND(tblOrdenes[[#This Row],[backlog_habiles]]&gt;p_dias_backlog_min,tblOrdenes[[#This Row],[backlog_habiles]]&lt;=p_dias_backlog_max))</f>
        <v/>
      </c>
      <c r="AE193" s="6" t="inlineStr"/>
      <c r="AF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0">
        <f>IF(tblOrdenes[[#This Row],[orden]]="","",_xlfn.XLOOKUP(tblOrdenes[[#This Row],[id_operacion]],tblEjecucion[id_operacion],tblEjecucion[precio],0))</f>
        <v/>
      </c>
      <c r="AJ193" s="10">
        <f>IF(tblOrdenes[[#This Row],[orden]]="","",MAX(0,_xlfn.XLOOKUP(tblOrdenes[[#This Row],[id_operacion]],tblEjecucion[id_operacion],tblEjecucion[costo_plan_total],0)-tblOrdenes[[#This Row],[costo_servicio]]))</f>
        <v/>
      </c>
      <c r="AK193" s="10">
        <f>IF(tblOrdenes[[#This Row],[orden]]="","",tblOrdenes[[#This Row],[costo_servicio]]+tblOrdenes[[#This Row],[costo_materiales]])</f>
        <v/>
      </c>
      <c r="AL193" s="6" t="inlineStr"/>
      <c r="AM193" s="6" t="inlineStr"/>
      <c r="AN193" s="6" t="inlineStr"/>
      <c r="AO193" s="3">
        <f>IF(tblOrdenes[[#This Row],[link_checklist]]="","",HYPERLINK(p_ruta_base_checklists&amp;tblOrdenes[[#This Row],[link_checklist]],"abrir"))</f>
        <v/>
      </c>
      <c r="AP193" s="6" t="inlineStr"/>
      <c r="AQ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OT-000901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1" t="n"/>
      <c r="K194" s="3" t="n">
        <v>4</v>
      </c>
      <c r="L194" s="10" t="n">
        <v>160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3">
        <f>IF(tblOrdenes[[#This Row],[tipo_ot]]="","",_xlfn.XLOOKUP(tblOrdenes[[#This Row],[tipo_ot]],tblTiposOT[codigo],tblTiposOT[clasificacion],"sin_clasificar"))</f>
        <v/>
      </c>
      <c r="U194" s="3">
        <f>IF(tblOrdenes[[#This Row],[centro_costo]]="","",_xlfn.XLOOKUP(tblOrdenes[[#This Row],[centro_costo]],tblCECO[codigo],tblCECO[linea],"(sin catálogo)"))</f>
        <v/>
      </c>
      <c r="V194" s="3">
        <f>IF(tblOrdenes[[#This Row],[centro_costo]]="","",_xlfn.XLOOKUP(tblOrdenes[[#This Row],[centro_costo]],tblCECO[codigo],tblCECO[area],"(sin catálogo)"))</f>
        <v/>
      </c>
      <c r="W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3">
        <f>IF(tblOrdenes[[#This Row],[centro_costo]]="","",_xlfn.XLOOKUP(tblOrdenes[[#This Row],[centro_costo]],tblCECO[codigo],tblCECO[coordinador],"(sin catálogo)"))</f>
        <v/>
      </c>
      <c r="Y194" s="3">
        <f>IF(tblOrdenes[[#This Row],[puesto_trabajo]]="","",_xlfn.XLOOKUP(tblOrdenes[[#This Row],[puesto_trabajo]],tblPuestos[codigo],tblPuestos[especialidad],"(sin catálogo)"))</f>
        <v/>
      </c>
      <c r="Z194" s="3">
        <f>IF(tblOrdenes[[#This Row],[cod_actividad]]="","",_xlfn.XLOOKUP(tblOrdenes[[#This Row],[cod_actividad]],tblActividades[codigo],tblActividades[descripcion],"(sin catálogo)"))</f>
        <v/>
      </c>
      <c r="AA194" s="12">
        <f>IF(tblOrdenes[[#This Row],[fecha_inicio]]="","",TODAY()-tblOrdenes[[#This Row],[fecha_inicio]])</f>
        <v/>
      </c>
      <c r="AB1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3">
        <f>IF(tblOrdenes[[#This Row],[backlog_habiles]]="","",IF(tblOrdenes[[#This Row],[backlog_habiles]]&lt;0,"FUTURO",IF(tblOrdenes[[#This Row],[backlog_habiles]]&gt;p_dias_backlog_max,"BACKLOG","MES CORRIENTE")))</f>
        <v/>
      </c>
      <c r="AD194" s="3">
        <f>IF(tblOrdenes[[#This Row],[backlog_habiles]]="",FALSE,AND(tblOrdenes[[#This Row],[backlog_habiles]]&gt;p_dias_backlog_min,tblOrdenes[[#This Row],[backlog_habiles]]&lt;=p_dias_backlog_max))</f>
        <v/>
      </c>
      <c r="AE194" s="6" t="inlineStr"/>
      <c r="AF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0">
        <f>IF(tblOrdenes[[#This Row],[orden]]="","",_xlfn.XLOOKUP(tblOrdenes[[#This Row],[id_operacion]],tblEjecucion[id_operacion],tblEjecucion[precio],0))</f>
        <v/>
      </c>
      <c r="AJ194" s="10">
        <f>IF(tblOrdenes[[#This Row],[orden]]="","",MAX(0,_xlfn.XLOOKUP(tblOrdenes[[#This Row],[id_operacion]],tblEjecucion[id_operacion],tblEjecucion[costo_plan_total],0)-tblOrdenes[[#This Row],[costo_servicio]]))</f>
        <v/>
      </c>
      <c r="AK194" s="10">
        <f>IF(tblOrdenes[[#This Row],[orden]]="","",tblOrdenes[[#This Row],[costo_servicio]]+tblOrdenes[[#This Row],[costo_materiales]])</f>
        <v/>
      </c>
      <c r="AL194" s="6" t="inlineStr"/>
      <c r="AM194" s="6" t="inlineStr"/>
      <c r="AN194" s="6" t="inlineStr"/>
      <c r="AO194" s="3">
        <f>IF(tblOrdenes[[#This Row],[link_checklist]]="","",HYPERLINK(p_ruta_base_checklists&amp;tblOrdenes[[#This Row],[link_checklist]],"abrir"))</f>
        <v/>
      </c>
      <c r="AP194" s="6" t="inlineStr"/>
      <c r="AQ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OT-000902</t>
        </is>
      </c>
      <c r="B195" s="3" t="inlineStr">
        <is>
          <t>0010</t>
        </is>
      </c>
      <c r="C195" s="3" t="inlineStr">
        <is>
          <t>Inspección de rutina — EQ-103</t>
        </is>
      </c>
      <c r="D195" s="3" t="inlineStr">
        <is>
          <t>Inspección de rutina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PU-MEC</t>
        </is>
      </c>
      <c r="H195" s="3" t="inlineStr">
        <is>
          <t>ACT-01</t>
        </is>
      </c>
      <c r="I195" s="3" t="inlineStr">
        <is>
          <t>TIPO-P1</t>
        </is>
      </c>
      <c r="J195" s="11" t="n"/>
      <c r="K195" s="3" t="n">
        <v>6</v>
      </c>
      <c r="L195" s="10" t="n">
        <v>150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3">
        <f>IF(tblOrdenes[[#This Row],[tipo_ot]]="","",_xlfn.XLOOKUP(tblOrdenes[[#This Row],[tipo_ot]],tblTiposOT[codigo],tblTiposOT[clasificacion],"sin_clasificar"))</f>
        <v/>
      </c>
      <c r="U195" s="3">
        <f>IF(tblOrdenes[[#This Row],[centro_costo]]="","",_xlfn.XLOOKUP(tblOrdenes[[#This Row],[centro_costo]],tblCECO[codigo],tblCECO[linea],"(sin catálogo)"))</f>
        <v/>
      </c>
      <c r="V195" s="3">
        <f>IF(tblOrdenes[[#This Row],[centro_costo]]="","",_xlfn.XLOOKUP(tblOrdenes[[#This Row],[centro_costo]],tblCECO[codigo],tblCECO[area],"(sin catálogo)"))</f>
        <v/>
      </c>
      <c r="W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3">
        <f>IF(tblOrdenes[[#This Row],[centro_costo]]="","",_xlfn.XLOOKUP(tblOrdenes[[#This Row],[centro_costo]],tblCECO[codigo],tblCECO[coordinador],"(sin catálogo)"))</f>
        <v/>
      </c>
      <c r="Y195" s="3">
        <f>IF(tblOrdenes[[#This Row],[puesto_trabajo]]="","",_xlfn.XLOOKUP(tblOrdenes[[#This Row],[puesto_trabajo]],tblPuestos[codigo],tblPuestos[especialidad],"(sin catálogo)"))</f>
        <v/>
      </c>
      <c r="Z195" s="3">
        <f>IF(tblOrdenes[[#This Row],[cod_actividad]]="","",_xlfn.XLOOKUP(tblOrdenes[[#This Row],[cod_actividad]],tblActividades[codigo],tblActividades[descripcion],"(sin catálogo)"))</f>
        <v/>
      </c>
      <c r="AA195" s="12">
        <f>IF(tblOrdenes[[#This Row],[fecha_inicio]]="","",TODAY()-tblOrdenes[[#This Row],[fecha_inicio]])</f>
        <v/>
      </c>
      <c r="AB1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3">
        <f>IF(tblOrdenes[[#This Row],[backlog_habiles]]="","",IF(tblOrdenes[[#This Row],[backlog_habiles]]&lt;0,"FUTURO",IF(tblOrdenes[[#This Row],[backlog_habiles]]&gt;p_dias_backlog_max,"BACKLOG","MES CORRIENTE")))</f>
        <v/>
      </c>
      <c r="AD195" s="3">
        <f>IF(tblOrdenes[[#This Row],[backlog_habiles]]="",FALSE,AND(tblOrdenes[[#This Row],[backlog_habiles]]&gt;p_dias_backlog_min,tblOrdenes[[#This Row],[backlog_habiles]]&lt;=p_dias_backlog_max))</f>
        <v/>
      </c>
      <c r="AE195" s="6" t="inlineStr"/>
      <c r="AF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0">
        <f>IF(tblOrdenes[[#This Row],[orden]]="","",_xlfn.XLOOKUP(tblOrdenes[[#This Row],[id_operacion]],tblEjecucion[id_operacion],tblEjecucion[precio],0))</f>
        <v/>
      </c>
      <c r="AJ195" s="10">
        <f>IF(tblOrdenes[[#This Row],[orden]]="","",MAX(0,_xlfn.XLOOKUP(tblOrdenes[[#This Row],[id_operacion]],tblEjecucion[id_operacion],tblEjecucion[costo_plan_total],0)-tblOrdenes[[#This Row],[costo_servicio]]))</f>
        <v/>
      </c>
      <c r="AK195" s="10">
        <f>IF(tblOrdenes[[#This Row],[orden]]="","",tblOrdenes[[#This Row],[costo_servicio]]+tblOrdenes[[#This Row],[costo_materiales]])</f>
        <v/>
      </c>
      <c r="AL195" s="6" t="inlineStr"/>
      <c r="AM195" s="6" t="inlineStr"/>
      <c r="AN195" s="6" t="inlineStr"/>
      <c r="AO195" s="3">
        <f>IF(tblOrdenes[[#This Row],[link_checklist]]="","",HYPERLINK(p_ruta_base_checklists&amp;tblOrdenes[[#This Row],[link_checklist]],"abrir"))</f>
        <v/>
      </c>
      <c r="AP195" s="6" t="inlineStr"/>
      <c r="AQ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OT-000903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CC-110</t>
        </is>
      </c>
      <c r="G196" s="3" t="inlineStr">
        <is>
          <t>PU-AUT</t>
        </is>
      </c>
      <c r="H196" s="3" t="inlineStr">
        <is>
          <t>ACT-03</t>
        </is>
      </c>
      <c r="I196" s="3" t="inlineStr">
        <is>
          <t>TIPO-C2</t>
        </is>
      </c>
      <c r="J196" s="11" t="n">
        <v>46170</v>
      </c>
      <c r="K196" s="3" t="n"/>
      <c r="L196" s="10" t="n">
        <v>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3">
        <f>IF(tblOrdenes[[#This Row],[tipo_ot]]="","",_xlfn.XLOOKUP(tblOrdenes[[#This Row],[tipo_ot]],tblTiposOT[codigo],tblTiposOT[clasificacion],"sin_clasificar"))</f>
        <v/>
      </c>
      <c r="U196" s="3">
        <f>IF(tblOrdenes[[#This Row],[centro_costo]]="","",_xlfn.XLOOKUP(tblOrdenes[[#This Row],[centro_costo]],tblCECO[codigo],tblCECO[linea],"(sin catálogo)"))</f>
        <v/>
      </c>
      <c r="V196" s="3">
        <f>IF(tblOrdenes[[#This Row],[centro_costo]]="","",_xlfn.XLOOKUP(tblOrdenes[[#This Row],[centro_costo]],tblCECO[codigo],tblCECO[area],"(sin catálogo)"))</f>
        <v/>
      </c>
      <c r="W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3">
        <f>IF(tblOrdenes[[#This Row],[centro_costo]]="","",_xlfn.XLOOKUP(tblOrdenes[[#This Row],[centro_costo]],tblCECO[codigo],tblCECO[coordinador],"(sin catálogo)"))</f>
        <v/>
      </c>
      <c r="Y196" s="3">
        <f>IF(tblOrdenes[[#This Row],[puesto_trabajo]]="","",_xlfn.XLOOKUP(tblOrdenes[[#This Row],[puesto_trabajo]],tblPuestos[codigo],tblPuestos[especialidad],"(sin catálogo)"))</f>
        <v/>
      </c>
      <c r="Z196" s="3">
        <f>IF(tblOrdenes[[#This Row],[cod_actividad]]="","",_xlfn.XLOOKUP(tblOrdenes[[#This Row],[cod_actividad]],tblActividades[codigo],tblActividades[descripcion],"(sin catálogo)"))</f>
        <v/>
      </c>
      <c r="AA196" s="12">
        <f>IF(tblOrdenes[[#This Row],[fecha_inicio]]="","",TODAY()-tblOrdenes[[#This Row],[fecha_inicio]])</f>
        <v/>
      </c>
      <c r="AB1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3">
        <f>IF(tblOrdenes[[#This Row],[backlog_habiles]]="","",IF(tblOrdenes[[#This Row],[backlog_habiles]]&lt;0,"FUTURO",IF(tblOrdenes[[#This Row],[backlog_habiles]]&gt;p_dias_backlog_max,"BACKLOG","MES CORRIENTE")))</f>
        <v/>
      </c>
      <c r="AD196" s="3">
        <f>IF(tblOrdenes[[#This Row],[backlog_habiles]]="",FALSE,AND(tblOrdenes[[#This Row],[backlog_habiles]]&gt;p_dias_backlog_min,tblOrdenes[[#This Row],[backlog_habiles]]&lt;=p_dias_backlog_max))</f>
        <v/>
      </c>
      <c r="AE196" s="6" t="inlineStr"/>
      <c r="AF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0">
        <f>IF(tblOrdenes[[#This Row],[orden]]="","",_xlfn.XLOOKUP(tblOrdenes[[#This Row],[id_operacion]],tblEjecucion[id_operacion],tblEjecucion[precio],0))</f>
        <v/>
      </c>
      <c r="AJ196" s="10">
        <f>IF(tblOrdenes[[#This Row],[orden]]="","",MAX(0,_xlfn.XLOOKUP(tblOrdenes[[#This Row],[id_operacion]],tblEjecucion[id_operacion],tblEjecucion[costo_plan_total],0)-tblOrdenes[[#This Row],[costo_servicio]]))</f>
        <v/>
      </c>
      <c r="AK196" s="10">
        <f>IF(tblOrdenes[[#This Row],[orden]]="","",tblOrdenes[[#This Row],[costo_servicio]]+tblOrdenes[[#This Row],[costo_materiales]])</f>
        <v/>
      </c>
      <c r="AL196" s="6" t="inlineStr"/>
      <c r="AM196" s="6" t="inlineStr"/>
      <c r="AN196" s="6" t="inlineStr"/>
      <c r="AO196" s="3">
        <f>IF(tblOrdenes[[#This Row],[link_checklist]]="","",HYPERLINK(p_ruta_base_checklists&amp;tblOrdenes[[#This Row],[link_checklist]],"abrir"))</f>
        <v/>
      </c>
      <c r="AP196" s="6" t="inlineStr"/>
      <c r="AQ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OT-000904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PU-OP</t>
        </is>
      </c>
      <c r="H197" s="3" t="inlineStr">
        <is>
          <t>ACT-03</t>
        </is>
      </c>
      <c r="I197" s="3" t="inlineStr">
        <is>
          <t>TIPO-C1</t>
        </is>
      </c>
      <c r="J197" s="11" t="n">
        <v>46170</v>
      </c>
      <c r="K197" s="3" t="n"/>
      <c r="L197" s="10" t="n">
        <v>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3">
        <f>IF(tblOrdenes[[#This Row],[tipo_ot]]="","",_xlfn.XLOOKUP(tblOrdenes[[#This Row],[tipo_ot]],tblTiposOT[codigo],tblTiposOT[clasificacion],"sin_clasificar"))</f>
        <v/>
      </c>
      <c r="U197" s="3">
        <f>IF(tblOrdenes[[#This Row],[centro_costo]]="","",_xlfn.XLOOKUP(tblOrdenes[[#This Row],[centro_costo]],tblCECO[codigo],tblCECO[linea],"(sin catálogo)"))</f>
        <v/>
      </c>
      <c r="V197" s="3">
        <f>IF(tblOrdenes[[#This Row],[centro_costo]]="","",_xlfn.XLOOKUP(tblOrdenes[[#This Row],[centro_costo]],tblCECO[codigo],tblCECO[area],"(sin catálogo)"))</f>
        <v/>
      </c>
      <c r="W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3">
        <f>IF(tblOrdenes[[#This Row],[centro_costo]]="","",_xlfn.XLOOKUP(tblOrdenes[[#This Row],[centro_costo]],tblCECO[codigo],tblCECO[coordinador],"(sin catálogo)"))</f>
        <v/>
      </c>
      <c r="Y197" s="3">
        <f>IF(tblOrdenes[[#This Row],[puesto_trabajo]]="","",_xlfn.XLOOKUP(tblOrdenes[[#This Row],[puesto_trabajo]],tblPuestos[codigo],tblPuestos[especialidad],"(sin catálogo)"))</f>
        <v/>
      </c>
      <c r="Z197" s="3">
        <f>IF(tblOrdenes[[#This Row],[cod_actividad]]="","",_xlfn.XLOOKUP(tblOrdenes[[#This Row],[cod_actividad]],tblActividades[codigo],tblActividades[descripcion],"(sin catálogo)"))</f>
        <v/>
      </c>
      <c r="AA197" s="12">
        <f>IF(tblOrdenes[[#This Row],[fecha_inicio]]="","",TODAY()-tblOrdenes[[#This Row],[fecha_inicio]])</f>
        <v/>
      </c>
      <c r="AB1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3">
        <f>IF(tblOrdenes[[#This Row],[backlog_habiles]]="","",IF(tblOrdenes[[#This Row],[backlog_habiles]]&lt;0,"FUTURO",IF(tblOrdenes[[#This Row],[backlog_habiles]]&gt;p_dias_backlog_max,"BACKLOG","MES CORRIENTE")))</f>
        <v/>
      </c>
      <c r="AD197" s="3">
        <f>IF(tblOrdenes[[#This Row],[backlog_habiles]]="",FALSE,AND(tblOrdenes[[#This Row],[backlog_habiles]]&gt;p_dias_backlog_min,tblOrdenes[[#This Row],[backlog_habiles]]&lt;=p_dias_backlog_max))</f>
        <v/>
      </c>
      <c r="AE197" s="6" t="inlineStr"/>
      <c r="AF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0">
        <f>IF(tblOrdenes[[#This Row],[orden]]="","",_xlfn.XLOOKUP(tblOrdenes[[#This Row],[id_operacion]],tblEjecucion[id_operacion],tblEjecucion[precio],0))</f>
        <v/>
      </c>
      <c r="AJ197" s="10">
        <f>IF(tblOrdenes[[#This Row],[orden]]="","",MAX(0,_xlfn.XLOOKUP(tblOrdenes[[#This Row],[id_operacion]],tblEjecucion[id_operacion],tblEjecucion[costo_plan_total],0)-tblOrdenes[[#This Row],[costo_servicio]]))</f>
        <v/>
      </c>
      <c r="AK197" s="10">
        <f>IF(tblOrdenes[[#This Row],[orden]]="","",tblOrdenes[[#This Row],[costo_servicio]]+tblOrdenes[[#This Row],[costo_materiales]])</f>
        <v/>
      </c>
      <c r="AL197" s="6" t="inlineStr"/>
      <c r="AM197" s="6" t="inlineStr"/>
      <c r="AN197" s="6" t="inlineStr"/>
      <c r="AO197" s="3">
        <f>IF(tblOrdenes[[#This Row],[link_checklist]]="","",HYPERLINK(p_ruta_base_checklists&amp;tblOrdenes[[#This Row],[link_checklist]],"abrir"))</f>
        <v/>
      </c>
      <c r="AP197" s="6" t="inlineStr"/>
      <c r="AQ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OT-000905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PU-MEC</t>
        </is>
      </c>
      <c r="H198" s="3" t="inlineStr">
        <is>
          <t>ACT-03</t>
        </is>
      </c>
      <c r="I198" s="3" t="inlineStr">
        <is>
          <t>TIPO-X9</t>
        </is>
      </c>
      <c r="J198" s="11" t="n">
        <v>46165</v>
      </c>
      <c r="K198" s="3" t="n">
        <v>4</v>
      </c>
      <c r="L198" s="10" t="n">
        <v>160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3">
        <f>IF(tblOrdenes[[#This Row],[tipo_ot]]="","",_xlfn.XLOOKUP(tblOrdenes[[#This Row],[tipo_ot]],tblTiposOT[codigo],tblTiposOT[clasificacion],"sin_clasificar"))</f>
        <v/>
      </c>
      <c r="U198" s="3">
        <f>IF(tblOrdenes[[#This Row],[centro_costo]]="","",_xlfn.XLOOKUP(tblOrdenes[[#This Row],[centro_costo]],tblCECO[codigo],tblCECO[linea],"(sin catálogo)"))</f>
        <v/>
      </c>
      <c r="V198" s="3">
        <f>IF(tblOrdenes[[#This Row],[centro_costo]]="","",_xlfn.XLOOKUP(tblOrdenes[[#This Row],[centro_costo]],tblCECO[codigo],tblCECO[area],"(sin catálogo)"))</f>
        <v/>
      </c>
      <c r="W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3">
        <f>IF(tblOrdenes[[#This Row],[centro_costo]]="","",_xlfn.XLOOKUP(tblOrdenes[[#This Row],[centro_costo]],tblCECO[codigo],tblCECO[coordinador],"(sin catálogo)"))</f>
        <v/>
      </c>
      <c r="Y198" s="3">
        <f>IF(tblOrdenes[[#This Row],[puesto_trabajo]]="","",_xlfn.XLOOKUP(tblOrdenes[[#This Row],[puesto_trabajo]],tblPuestos[codigo],tblPuestos[especialidad],"(sin catálogo)"))</f>
        <v/>
      </c>
      <c r="Z198" s="3">
        <f>IF(tblOrdenes[[#This Row],[cod_actividad]]="","",_xlfn.XLOOKUP(tblOrdenes[[#This Row],[cod_actividad]],tblActividades[codigo],tblActividades[descripcion],"(sin catálogo)"))</f>
        <v/>
      </c>
      <c r="AA198" s="12">
        <f>IF(tblOrdenes[[#This Row],[fecha_inicio]]="","",TODAY()-tblOrdenes[[#This Row],[fecha_inicio]])</f>
        <v/>
      </c>
      <c r="AB1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3">
        <f>IF(tblOrdenes[[#This Row],[backlog_habiles]]="","",IF(tblOrdenes[[#This Row],[backlog_habiles]]&lt;0,"FUTURO",IF(tblOrdenes[[#This Row],[backlog_habiles]]&gt;p_dias_backlog_max,"BACKLOG","MES CORRIENTE")))</f>
        <v/>
      </c>
      <c r="AD198" s="3">
        <f>IF(tblOrdenes[[#This Row],[backlog_habiles]]="",FALSE,AND(tblOrdenes[[#This Row],[backlog_habiles]]&gt;p_dias_backlog_min,tblOrdenes[[#This Row],[backlog_habiles]]&lt;=p_dias_backlog_max))</f>
        <v/>
      </c>
      <c r="AE198" s="6" t="inlineStr"/>
      <c r="AF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0">
        <f>IF(tblOrdenes[[#This Row],[orden]]="","",_xlfn.XLOOKUP(tblOrdenes[[#This Row],[id_operacion]],tblEjecucion[id_operacion],tblEjecucion[precio],0))</f>
        <v/>
      </c>
      <c r="AJ198" s="10">
        <f>IF(tblOrdenes[[#This Row],[orden]]="","",MAX(0,_xlfn.XLOOKUP(tblOrdenes[[#This Row],[id_operacion]],tblEjecucion[id_operacion],tblEjecucion[costo_plan_total],0)-tblOrdenes[[#This Row],[costo_servicio]]))</f>
        <v/>
      </c>
      <c r="AK198" s="10">
        <f>IF(tblOrdenes[[#This Row],[orden]]="","",tblOrdenes[[#This Row],[costo_servicio]]+tblOrdenes[[#This Row],[costo_materiales]])</f>
        <v/>
      </c>
      <c r="AL198" s="6" t="inlineStr"/>
      <c r="AM198" s="6" t="inlineStr"/>
      <c r="AN198" s="6" t="inlineStr"/>
      <c r="AO198" s="3">
        <f>IF(tblOrdenes[[#This Row],[link_checklist]]="","",HYPERLINK(p_ruta_base_checklists&amp;tblOrdenes[[#This Row],[link_checklist]],"abrir"))</f>
        <v/>
      </c>
      <c r="AP198" s="6" t="inlineStr"/>
      <c r="AQ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OT-000906</t>
        </is>
      </c>
      <c r="B199" s="3" t="inlineStr">
        <is>
          <t>0010</t>
        </is>
      </c>
      <c r="C199" s="3" t="inlineStr">
        <is>
          <t>Reparación de falla — EQ-102</t>
        </is>
      </c>
      <c r="D199" s="3" t="inlineStr">
        <is>
          <t>Reparación de falla en EQ-102</t>
        </is>
      </c>
      <c r="E199" s="3" t="inlineStr">
        <is>
          <t>EQ-102</t>
        </is>
      </c>
      <c r="F199" s="3" t="inlineStr">
        <is>
          <t>CC-110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TIPO-X9</t>
        </is>
      </c>
      <c r="J199" s="11" t="n">
        <v>46165</v>
      </c>
      <c r="K199" s="3" t="n">
        <v>4</v>
      </c>
      <c r="L199" s="10" t="n">
        <v>160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3">
        <f>IF(tblOrdenes[[#This Row],[tipo_ot]]="","",_xlfn.XLOOKUP(tblOrdenes[[#This Row],[tipo_ot]],tblTiposOT[codigo],tblTiposOT[clasificacion],"sin_clasificar"))</f>
        <v/>
      </c>
      <c r="U199" s="3">
        <f>IF(tblOrdenes[[#This Row],[centro_costo]]="","",_xlfn.XLOOKUP(tblOrdenes[[#This Row],[centro_costo]],tblCECO[codigo],tblCECO[linea],"(sin catálogo)"))</f>
        <v/>
      </c>
      <c r="V199" s="3">
        <f>IF(tblOrdenes[[#This Row],[centro_costo]]="","",_xlfn.XLOOKUP(tblOrdenes[[#This Row],[centro_costo]],tblCECO[codigo],tblCECO[area],"(sin catálogo)"))</f>
        <v/>
      </c>
      <c r="W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3">
        <f>IF(tblOrdenes[[#This Row],[centro_costo]]="","",_xlfn.XLOOKUP(tblOrdenes[[#This Row],[centro_costo]],tblCECO[codigo],tblCECO[coordinador],"(sin catálogo)"))</f>
        <v/>
      </c>
      <c r="Y199" s="3">
        <f>IF(tblOrdenes[[#This Row],[puesto_trabajo]]="","",_xlfn.XLOOKUP(tblOrdenes[[#This Row],[puesto_trabajo]],tblPuestos[codigo],tblPuestos[especialidad],"(sin catálogo)"))</f>
        <v/>
      </c>
      <c r="Z199" s="3">
        <f>IF(tblOrdenes[[#This Row],[cod_actividad]]="","",_xlfn.XLOOKUP(tblOrdenes[[#This Row],[cod_actividad]],tblActividades[codigo],tblActividades[descripcion],"(sin catálogo)"))</f>
        <v/>
      </c>
      <c r="AA199" s="12">
        <f>IF(tblOrdenes[[#This Row],[fecha_inicio]]="","",TODAY()-tblOrdenes[[#This Row],[fecha_inicio]])</f>
        <v/>
      </c>
      <c r="AB1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3">
        <f>IF(tblOrdenes[[#This Row],[backlog_habiles]]="","",IF(tblOrdenes[[#This Row],[backlog_habiles]]&lt;0,"FUTURO",IF(tblOrdenes[[#This Row],[backlog_habiles]]&gt;p_dias_backlog_max,"BACKLOG","MES CORRIENTE")))</f>
        <v/>
      </c>
      <c r="AD199" s="3">
        <f>IF(tblOrdenes[[#This Row],[backlog_habiles]]="",FALSE,AND(tblOrdenes[[#This Row],[backlog_habiles]]&gt;p_dias_backlog_min,tblOrdenes[[#This Row],[backlog_habiles]]&lt;=p_dias_backlog_max))</f>
        <v/>
      </c>
      <c r="AE199" s="6" t="inlineStr"/>
      <c r="AF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0">
        <f>IF(tblOrdenes[[#This Row],[orden]]="","",_xlfn.XLOOKUP(tblOrdenes[[#This Row],[id_operacion]],tblEjecucion[id_operacion],tblEjecucion[precio],0))</f>
        <v/>
      </c>
      <c r="AJ199" s="10">
        <f>IF(tblOrdenes[[#This Row],[orden]]="","",MAX(0,_xlfn.XLOOKUP(tblOrdenes[[#This Row],[id_operacion]],tblEjecucion[id_operacion],tblEjecucion[costo_plan_total],0)-tblOrdenes[[#This Row],[costo_servicio]]))</f>
        <v/>
      </c>
      <c r="AK199" s="10">
        <f>IF(tblOrdenes[[#This Row],[orden]]="","",tblOrdenes[[#This Row],[costo_servicio]]+tblOrdenes[[#This Row],[costo_materiales]])</f>
        <v/>
      </c>
      <c r="AL199" s="6" t="inlineStr"/>
      <c r="AM199" s="6" t="inlineStr"/>
      <c r="AN199" s="6" t="inlineStr"/>
      <c r="AO199" s="3">
        <f>IF(tblOrdenes[[#This Row],[link_checklist]]="","",HYPERLINK(p_ruta_base_checklists&amp;tblOrdenes[[#This Row],[link_checklist]],"abrir"))</f>
        <v/>
      </c>
      <c r="AP199" s="6" t="inlineStr"/>
      <c r="AQ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OT-000907</t>
        </is>
      </c>
      <c r="B200" s="3" t="inlineStr">
        <is>
          <t>0010</t>
        </is>
      </c>
      <c r="C200" s="3" t="inlineStr">
        <is>
          <t>Reparación de falla — EQ-103</t>
        </is>
      </c>
      <c r="D200" s="3" t="inlineStr">
        <is>
          <t>Reparación de falla en EQ-103</t>
        </is>
      </c>
      <c r="E200" s="3" t="inlineStr">
        <is>
          <t>EQ-103</t>
        </is>
      </c>
      <c r="F200" s="3" t="inlineStr">
        <is>
          <t>CC-999</t>
        </is>
      </c>
      <c r="G200" s="3" t="inlineStr">
        <is>
          <t>PU-MEC</t>
        </is>
      </c>
      <c r="H200" s="3" t="inlineStr">
        <is>
          <t>ACT-03</t>
        </is>
      </c>
      <c r="I200" s="3" t="inlineStr">
        <is>
          <t>TIPO-C2</t>
        </is>
      </c>
      <c r="J200" s="11" t="n">
        <v>46163</v>
      </c>
      <c r="K200" s="3" t="n">
        <v>4</v>
      </c>
      <c r="L200" s="10" t="n">
        <v>160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3">
        <f>IF(tblOrdenes[[#This Row],[tipo_ot]]="","",_xlfn.XLOOKUP(tblOrdenes[[#This Row],[tipo_ot]],tblTiposOT[codigo],tblTiposOT[clasificacion],"sin_clasificar"))</f>
        <v/>
      </c>
      <c r="U200" s="3">
        <f>IF(tblOrdenes[[#This Row],[centro_costo]]="","",_xlfn.XLOOKUP(tblOrdenes[[#This Row],[centro_costo]],tblCECO[codigo],tblCECO[linea],"(sin catálogo)"))</f>
        <v/>
      </c>
      <c r="V200" s="3">
        <f>IF(tblOrdenes[[#This Row],[centro_costo]]="","",_xlfn.XLOOKUP(tblOrdenes[[#This Row],[centro_costo]],tblCECO[codigo],tblCECO[area],"(sin catálogo)"))</f>
        <v/>
      </c>
      <c r="W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3">
        <f>IF(tblOrdenes[[#This Row],[centro_costo]]="","",_xlfn.XLOOKUP(tblOrdenes[[#This Row],[centro_costo]],tblCECO[codigo],tblCECO[coordinador],"(sin catálogo)"))</f>
        <v/>
      </c>
      <c r="Y200" s="3">
        <f>IF(tblOrdenes[[#This Row],[puesto_trabajo]]="","",_xlfn.XLOOKUP(tblOrdenes[[#This Row],[puesto_trabajo]],tblPuestos[codigo],tblPuestos[especialidad],"(sin catálogo)"))</f>
        <v/>
      </c>
      <c r="Z200" s="3">
        <f>IF(tblOrdenes[[#This Row],[cod_actividad]]="","",_xlfn.XLOOKUP(tblOrdenes[[#This Row],[cod_actividad]],tblActividades[codigo],tblActividades[descripcion],"(sin catálogo)"))</f>
        <v/>
      </c>
      <c r="AA200" s="12">
        <f>IF(tblOrdenes[[#This Row],[fecha_inicio]]="","",TODAY()-tblOrdenes[[#This Row],[fecha_inicio]])</f>
        <v/>
      </c>
      <c r="AB2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3">
        <f>IF(tblOrdenes[[#This Row],[backlog_habiles]]="","",IF(tblOrdenes[[#This Row],[backlog_habiles]]&lt;0,"FUTURO",IF(tblOrdenes[[#This Row],[backlog_habiles]]&gt;p_dias_backlog_max,"BACKLOG","MES CORRIENTE")))</f>
        <v/>
      </c>
      <c r="AD200" s="3">
        <f>IF(tblOrdenes[[#This Row],[backlog_habiles]]="",FALSE,AND(tblOrdenes[[#This Row],[backlog_habiles]]&gt;p_dias_backlog_min,tblOrdenes[[#This Row],[backlog_habiles]]&lt;=p_dias_backlog_max))</f>
        <v/>
      </c>
      <c r="AE200" s="6" t="inlineStr"/>
      <c r="AF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0">
        <f>IF(tblOrdenes[[#This Row],[orden]]="","",_xlfn.XLOOKUP(tblOrdenes[[#This Row],[id_operacion]],tblEjecucion[id_operacion],tblEjecucion[precio],0))</f>
        <v/>
      </c>
      <c r="AJ200" s="10">
        <f>IF(tblOrdenes[[#This Row],[orden]]="","",MAX(0,_xlfn.XLOOKUP(tblOrdenes[[#This Row],[id_operacion]],tblEjecucion[id_operacion],tblEjecucion[costo_plan_total],0)-tblOrdenes[[#This Row],[costo_servicio]]))</f>
        <v/>
      </c>
      <c r="AK200" s="10">
        <f>IF(tblOrdenes[[#This Row],[orden]]="","",tblOrdenes[[#This Row],[costo_servicio]]+tblOrdenes[[#This Row],[costo_materiales]])</f>
        <v/>
      </c>
      <c r="AL200" s="6" t="inlineStr"/>
      <c r="AM200" s="6" t="inlineStr"/>
      <c r="AN200" s="6" t="inlineStr"/>
      <c r="AO200" s="3">
        <f>IF(tblOrdenes[[#This Row],[link_checklist]]="","",HYPERLINK(p_ruta_base_checklists&amp;tblOrdenes[[#This Row],[link_checklist]],"abrir"))</f>
        <v/>
      </c>
      <c r="AP200" s="6" t="inlineStr"/>
      <c r="AQ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OT-000908</t>
        </is>
      </c>
      <c r="B201" s="3" t="inlineStr">
        <is>
          <t>0010</t>
        </is>
      </c>
      <c r="C201" s="3" t="inlineStr">
        <is>
          <t>Reparación de falla — EQ-104</t>
        </is>
      </c>
      <c r="D201" s="3" t="inlineStr">
        <is>
          <t>Reparación de falla en EQ-104</t>
        </is>
      </c>
      <c r="E201" s="3" t="inlineStr">
        <is>
          <t>EQ-104</t>
        </is>
      </c>
      <c r="F201" s="3" t="inlineStr">
        <is>
          <t>CC-110</t>
        </is>
      </c>
      <c r="G201" s="3" t="inlineStr">
        <is>
          <t>PU-XXX</t>
        </is>
      </c>
      <c r="H201" s="3" t="inlineStr">
        <is>
          <t>ACT-03</t>
        </is>
      </c>
      <c r="I201" s="3" t="inlineStr">
        <is>
          <t>TIPO-C1</t>
        </is>
      </c>
      <c r="J201" s="11" t="n">
        <v>46163</v>
      </c>
      <c r="K201" s="3" t="n">
        <v>4</v>
      </c>
      <c r="L201" s="10" t="n">
        <v>160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3">
        <f>IF(tblOrdenes[[#This Row],[tipo_ot]]="","",_xlfn.XLOOKUP(tblOrdenes[[#This Row],[tipo_ot]],tblTiposOT[codigo],tblTiposOT[clasificacion],"sin_clasificar"))</f>
        <v/>
      </c>
      <c r="U201" s="3">
        <f>IF(tblOrdenes[[#This Row],[centro_costo]]="","",_xlfn.XLOOKUP(tblOrdenes[[#This Row],[centro_costo]],tblCECO[codigo],tblCECO[linea],"(sin catálogo)"))</f>
        <v/>
      </c>
      <c r="V201" s="3">
        <f>IF(tblOrdenes[[#This Row],[centro_costo]]="","",_xlfn.XLOOKUP(tblOrdenes[[#This Row],[centro_costo]],tblCECO[codigo],tblCECO[area],"(sin catálogo)"))</f>
        <v/>
      </c>
      <c r="W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3">
        <f>IF(tblOrdenes[[#This Row],[centro_costo]]="","",_xlfn.XLOOKUP(tblOrdenes[[#This Row],[centro_costo]],tblCECO[codigo],tblCECO[coordinador],"(sin catálogo)"))</f>
        <v/>
      </c>
      <c r="Y201" s="3">
        <f>IF(tblOrdenes[[#This Row],[puesto_trabajo]]="","",_xlfn.XLOOKUP(tblOrdenes[[#This Row],[puesto_trabajo]],tblPuestos[codigo],tblPuestos[especialidad],"(sin catálogo)"))</f>
        <v/>
      </c>
      <c r="Z201" s="3">
        <f>IF(tblOrdenes[[#This Row],[cod_actividad]]="","",_xlfn.XLOOKUP(tblOrdenes[[#This Row],[cod_actividad]],tblActividades[codigo],tblActividades[descripcion],"(sin catálogo)"))</f>
        <v/>
      </c>
      <c r="AA201" s="12">
        <f>IF(tblOrdenes[[#This Row],[fecha_inicio]]="","",TODAY()-tblOrdenes[[#This Row],[fecha_inicio]])</f>
        <v/>
      </c>
      <c r="AB2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3">
        <f>IF(tblOrdenes[[#This Row],[backlog_habiles]]="","",IF(tblOrdenes[[#This Row],[backlog_habiles]]&lt;0,"FUTURO",IF(tblOrdenes[[#This Row],[backlog_habiles]]&gt;p_dias_backlog_max,"BACKLOG","MES CORRIENTE")))</f>
        <v/>
      </c>
      <c r="AD201" s="3">
        <f>IF(tblOrdenes[[#This Row],[backlog_habiles]]="",FALSE,AND(tblOrdenes[[#This Row],[backlog_habiles]]&gt;p_dias_backlog_min,tblOrdenes[[#This Row],[backlog_habiles]]&lt;=p_dias_backlog_max))</f>
        <v/>
      </c>
      <c r="AE201" s="6" t="inlineStr"/>
      <c r="AF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0">
        <f>IF(tblOrdenes[[#This Row],[orden]]="","",_xlfn.XLOOKUP(tblOrdenes[[#This Row],[id_operacion]],tblEjecucion[id_operacion],tblEjecucion[precio],0))</f>
        <v/>
      </c>
      <c r="AJ201" s="10">
        <f>IF(tblOrdenes[[#This Row],[orden]]="","",MAX(0,_xlfn.XLOOKUP(tblOrdenes[[#This Row],[id_operacion]],tblEjecucion[id_operacion],tblEjecucion[costo_plan_total],0)-tblOrdenes[[#This Row],[costo_servicio]]))</f>
        <v/>
      </c>
      <c r="AK201" s="10">
        <f>IF(tblOrdenes[[#This Row],[orden]]="","",tblOrdenes[[#This Row],[costo_servicio]]+tblOrdenes[[#This Row],[costo_materiales]])</f>
        <v/>
      </c>
      <c r="AL201" s="6" t="inlineStr"/>
      <c r="AM201" s="6" t="inlineStr"/>
      <c r="AN201" s="6" t="inlineStr"/>
      <c r="AO201" s="3">
        <f>IF(tblOrdenes[[#This Row],[link_checklist]]="","",HYPERLINK(p_ruta_base_checklists&amp;tblOrdenes[[#This Row],[link_checklist]],"abrir"))</f>
        <v/>
      </c>
      <c r="AP201" s="6" t="inlineStr"/>
      <c r="AQ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OT-000909</t>
        </is>
      </c>
      <c r="B202" s="3" t="inlineStr">
        <is>
          <t>0010</t>
        </is>
      </c>
      <c r="C202" s="3" t="inlineStr">
        <is>
          <t>Reparación de falla — EQ-105</t>
        </is>
      </c>
      <c r="D202" s="3" t="inlineStr">
        <is>
          <t>Reparación de falla en EQ-105</t>
        </is>
      </c>
      <c r="E202" s="3" t="inlineStr">
        <is>
          <t>EQ-105</t>
        </is>
      </c>
      <c r="F202" s="3" t="inlineStr">
        <is>
          <t>CC-110</t>
        </is>
      </c>
      <c r="G202" s="3" t="inlineStr">
        <is>
          <t>PU-AUT</t>
        </is>
      </c>
      <c r="H202" s="3" t="inlineStr">
        <is>
          <t>ACT-99</t>
        </is>
      </c>
      <c r="I202" s="3" t="inlineStr">
        <is>
          <t>TIPO-C2</t>
        </is>
      </c>
      <c r="J202" s="11" t="n">
        <v>46161</v>
      </c>
      <c r="K202" s="3" t="n">
        <v>4</v>
      </c>
      <c r="L202" s="10" t="n">
        <v>160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3">
        <f>IF(tblOrdenes[[#This Row],[tipo_ot]]="","",_xlfn.XLOOKUP(tblOrdenes[[#This Row],[tipo_ot]],tblTiposOT[codigo],tblTiposOT[clasificacion],"sin_clasificar"))</f>
        <v/>
      </c>
      <c r="U202" s="3">
        <f>IF(tblOrdenes[[#This Row],[centro_costo]]="","",_xlfn.XLOOKUP(tblOrdenes[[#This Row],[centro_costo]],tblCECO[codigo],tblCECO[linea],"(sin catálogo)"))</f>
        <v/>
      </c>
      <c r="V202" s="3">
        <f>IF(tblOrdenes[[#This Row],[centro_costo]]="","",_xlfn.XLOOKUP(tblOrdenes[[#This Row],[centro_costo]],tblCECO[codigo],tblCECO[area],"(sin catálogo)"))</f>
        <v/>
      </c>
      <c r="W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3">
        <f>IF(tblOrdenes[[#This Row],[centro_costo]]="","",_xlfn.XLOOKUP(tblOrdenes[[#This Row],[centro_costo]],tblCECO[codigo],tblCECO[coordinador],"(sin catálogo)"))</f>
        <v/>
      </c>
      <c r="Y202" s="3">
        <f>IF(tblOrdenes[[#This Row],[puesto_trabajo]]="","",_xlfn.XLOOKUP(tblOrdenes[[#This Row],[puesto_trabajo]],tblPuestos[codigo],tblPuestos[especialidad],"(sin catálogo)"))</f>
        <v/>
      </c>
      <c r="Z202" s="3">
        <f>IF(tblOrdenes[[#This Row],[cod_actividad]]="","",_xlfn.XLOOKUP(tblOrdenes[[#This Row],[cod_actividad]],tblActividades[codigo],tblActividades[descripcion],"(sin catálogo)"))</f>
        <v/>
      </c>
      <c r="AA202" s="12">
        <f>IF(tblOrdenes[[#This Row],[fecha_inicio]]="","",TODAY()-tblOrdenes[[#This Row],[fecha_inicio]])</f>
        <v/>
      </c>
      <c r="AB2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3">
        <f>IF(tblOrdenes[[#This Row],[backlog_habiles]]="","",IF(tblOrdenes[[#This Row],[backlog_habiles]]&lt;0,"FUTURO",IF(tblOrdenes[[#This Row],[backlog_habiles]]&gt;p_dias_backlog_max,"BACKLOG","MES CORRIENTE")))</f>
        <v/>
      </c>
      <c r="AD202" s="3">
        <f>IF(tblOrdenes[[#This Row],[backlog_habiles]]="",FALSE,AND(tblOrdenes[[#This Row],[backlog_habiles]]&gt;p_dias_backlog_min,tblOrdenes[[#This Row],[backlog_habiles]]&lt;=p_dias_backlog_max))</f>
        <v/>
      </c>
      <c r="AE202" s="6" t="inlineStr"/>
      <c r="AF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0">
        <f>IF(tblOrdenes[[#This Row],[orden]]="","",_xlfn.XLOOKUP(tblOrdenes[[#This Row],[id_operacion]],tblEjecucion[id_operacion],tblEjecucion[precio],0))</f>
        <v/>
      </c>
      <c r="AJ202" s="10">
        <f>IF(tblOrdenes[[#This Row],[orden]]="","",MAX(0,_xlfn.XLOOKUP(tblOrdenes[[#This Row],[id_operacion]],tblEjecucion[id_operacion],tblEjecucion[costo_plan_total],0)-tblOrdenes[[#This Row],[costo_servicio]]))</f>
        <v/>
      </c>
      <c r="AK202" s="10">
        <f>IF(tblOrdenes[[#This Row],[orden]]="","",tblOrdenes[[#This Row],[costo_servicio]]+tblOrdenes[[#This Row],[costo_materiales]])</f>
        <v/>
      </c>
      <c r="AL202" s="6" t="inlineStr"/>
      <c r="AM202" s="6" t="inlineStr"/>
      <c r="AN202" s="6" t="inlineStr"/>
      <c r="AO202" s="3">
        <f>IF(tblOrdenes[[#This Row],[link_checklist]]="","",HYPERLINK(p_ruta_base_checklists&amp;tblOrdenes[[#This Row],[link_checklist]],"abrir"))</f>
        <v/>
      </c>
      <c r="AP202" s="6" t="inlineStr"/>
      <c r="AQ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46190</v>
      </c>
      <c r="K203" s="3" t="n">
        <v>2</v>
      </c>
      <c r="L203" s="10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3">
        <f>IF(tblOrdenes[[#This Row],[tipo_ot]]="","",_xlfn.XLOOKUP(tblOrdenes[[#This Row],[tipo_ot]],tblTiposOT[codigo],tblTiposOT[clasificacion],"sin_clasificar"))</f>
        <v/>
      </c>
      <c r="U203" s="3">
        <f>IF(tblOrdenes[[#This Row],[centro_costo]]="","",_xlfn.XLOOKUP(tblOrdenes[[#This Row],[centro_costo]],tblCECO[codigo],tblCECO[linea],"(sin catálogo)"))</f>
        <v/>
      </c>
      <c r="V203" s="3">
        <f>IF(tblOrdenes[[#This Row],[centro_costo]]="","",_xlfn.XLOOKUP(tblOrdenes[[#This Row],[centro_costo]],tblCECO[codigo],tblCECO[area],"(sin catálogo)"))</f>
        <v/>
      </c>
      <c r="W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3">
        <f>IF(tblOrdenes[[#This Row],[centro_costo]]="","",_xlfn.XLOOKUP(tblOrdenes[[#This Row],[centro_costo]],tblCECO[codigo],tblCECO[coordinador],"(sin catálogo)"))</f>
        <v/>
      </c>
      <c r="Y203" s="3">
        <f>IF(tblOrdenes[[#This Row],[puesto_trabajo]]="","",_xlfn.XLOOKUP(tblOrdenes[[#This Row],[puesto_trabajo]],tblPuestos[codigo],tblPuestos[especialidad],"(sin catálogo)"))</f>
        <v/>
      </c>
      <c r="Z203" s="3">
        <f>IF(tblOrdenes[[#This Row],[cod_actividad]]="","",_xlfn.XLOOKUP(tblOrdenes[[#This Row],[cod_actividad]],tblActividades[codigo],tblActividades[descripcion],"(sin catálogo)"))</f>
        <v/>
      </c>
      <c r="AA203" s="12">
        <f>IF(tblOrdenes[[#This Row],[fecha_inicio]]="","",TODAY()-tblOrdenes[[#This Row],[fecha_inicio]])</f>
        <v/>
      </c>
      <c r="AB2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3">
        <f>IF(tblOrdenes[[#This Row],[backlog_habiles]]="","",IF(tblOrdenes[[#This Row],[backlog_habiles]]&lt;0,"FUTURO",IF(tblOrdenes[[#This Row],[backlog_habiles]]&gt;p_dias_backlog_max,"BACKLOG","MES CORRIENTE")))</f>
        <v/>
      </c>
      <c r="AD203" s="3">
        <f>IF(tblOrdenes[[#This Row],[backlog_habiles]]="",FALSE,AND(tblOrdenes[[#This Row],[backlog_habiles]]&gt;p_dias_backlog_min,tblOrdenes[[#This Row],[backlog_habiles]]&lt;=p_dias_backlog_max))</f>
        <v/>
      </c>
      <c r="AE203" s="6" t="inlineStr"/>
      <c r="AF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0">
        <f>IF(tblOrdenes[[#This Row],[orden]]="","",_xlfn.XLOOKUP(tblOrdenes[[#This Row],[id_operacion]],tblEjecucion[id_operacion],tblEjecucion[precio],0))</f>
        <v/>
      </c>
      <c r="AJ203" s="10">
        <f>IF(tblOrdenes[[#This Row],[orden]]="","",MAX(0,_xlfn.XLOOKUP(tblOrdenes[[#This Row],[id_operacion]],tblEjecucion[id_operacion],tblEjecucion[costo_plan_total],0)-tblOrdenes[[#This Row],[costo_servicio]]))</f>
        <v/>
      </c>
      <c r="AK203" s="10">
        <f>IF(tblOrdenes[[#This Row],[orden]]="","",tblOrdenes[[#This Row],[costo_servicio]]+tblOrdenes[[#This Row],[costo_materiales]])</f>
        <v/>
      </c>
      <c r="AL203" s="6" t="inlineStr"/>
      <c r="AM203" s="6" t="inlineStr"/>
      <c r="AN203" s="6" t="inlineStr"/>
      <c r="AO203" s="3">
        <f>IF(tblOrdenes[[#This Row],[link_checklist]]="","",HYPERLINK(p_ruta_base_checklists&amp;tblOrdenes[[#This Row],[link_checklist]],"abrir"))</f>
        <v/>
      </c>
      <c r="AP203" s="6" t="inlineStr"/>
      <c r="AQ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3">
        <f>IF(tblOrdenes[[#This Row],[tipo_ot]]="","",_xlfn.XLOOKUP(tblOrdenes[[#This Row],[tipo_ot]],tblTiposOT[codigo],tblTiposOT[clasificacion],"sin_clasificar"))</f>
        <v/>
      </c>
      <c r="U204" s="3">
        <f>IF(tblOrdenes[[#This Row],[centro_costo]]="","",_xlfn.XLOOKUP(tblOrdenes[[#This Row],[centro_costo]],tblCECO[codigo],tblCECO[linea],"(sin catálogo)"))</f>
        <v/>
      </c>
      <c r="V204" s="3">
        <f>IF(tblOrdenes[[#This Row],[centro_costo]]="","",_xlfn.XLOOKUP(tblOrdenes[[#This Row],[centro_costo]],tblCECO[codigo],tblCECO[area],"(sin catálogo)"))</f>
        <v/>
      </c>
      <c r="W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3">
        <f>IF(tblOrdenes[[#This Row],[centro_costo]]="","",_xlfn.XLOOKUP(tblOrdenes[[#This Row],[centro_costo]],tblCECO[codigo],tblCECO[coordinador],"(sin catálogo)"))</f>
        <v/>
      </c>
      <c r="Y204" s="3">
        <f>IF(tblOrdenes[[#This Row],[puesto_trabajo]]="","",_xlfn.XLOOKUP(tblOrdenes[[#This Row],[puesto_trabajo]],tblPuestos[codigo],tblPuestos[especialidad],"(sin catálogo)"))</f>
        <v/>
      </c>
      <c r="Z204" s="3">
        <f>IF(tblOrdenes[[#This Row],[cod_actividad]]="","",_xlfn.XLOOKUP(tblOrdenes[[#This Row],[cod_actividad]],tblActividades[codigo],tblActividades[descripcion],"(sin catálogo)"))</f>
        <v/>
      </c>
      <c r="AA204" s="12">
        <f>IF(tblOrdenes[[#This Row],[fecha_inicio]]="","",TODAY()-tblOrdenes[[#This Row],[fecha_inicio]])</f>
        <v/>
      </c>
      <c r="AB2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3">
        <f>IF(tblOrdenes[[#This Row],[backlog_habiles]]="","",IF(tblOrdenes[[#This Row],[backlog_habiles]]&lt;0,"FUTURO",IF(tblOrdenes[[#This Row],[backlog_habiles]]&gt;p_dias_backlog_max,"BACKLOG","MES CORRIENTE")))</f>
        <v/>
      </c>
      <c r="AD204" s="3">
        <f>IF(tblOrdenes[[#This Row],[backlog_habiles]]="",FALSE,AND(tblOrdenes[[#This Row],[backlog_habiles]]&gt;p_dias_backlog_min,tblOrdenes[[#This Row],[backlog_habiles]]&lt;=p_dias_backlog_max))</f>
        <v/>
      </c>
      <c r="AE204" s="6" t="n"/>
      <c r="AF2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0">
        <f>IF(tblOrdenes[[#This Row],[orden]]="","",_xlfn.XLOOKUP(tblOrdenes[[#This Row],[id_operacion]],tblEjecucion[id_operacion],tblEjecucion[precio],0))</f>
        <v/>
      </c>
      <c r="AJ204" s="10">
        <f>IF(tblOrdenes[[#This Row],[orden]]="","",MAX(0,_xlfn.XLOOKUP(tblOrdenes[[#This Row],[id_operacion]],tblEjecucion[id_operacion],tblEjecucion[costo_plan_total],0)-tblOrdenes[[#This Row],[costo_servicio]]))</f>
        <v/>
      </c>
      <c r="AK204" s="10">
        <f>IF(tblOrdenes[[#This Row],[orden]]="","",tblOrdenes[[#This Row],[costo_servicio]]+tblOrdenes[[#This Row],[costo_materiales]])</f>
        <v/>
      </c>
      <c r="AL204" s="6" t="n"/>
      <c r="AM204" s="6" t="n"/>
      <c r="AN204" s="6" t="n"/>
      <c r="AO204" s="3">
        <f>IF(tblOrdenes[[#This Row],[link_checklist]]="","",HYPERLINK(p_ruta_base_checklists&amp;tblOrdenes[[#This Row],[link_checklist]],"abrir"))</f>
        <v/>
      </c>
      <c r="AP204" s="6" t="n"/>
      <c r="AQ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3">
        <f>IF(tblOrdenes[[#This Row],[tipo_ot]]="","",_xlfn.XLOOKUP(tblOrdenes[[#This Row],[tipo_ot]],tblTiposOT[codigo],tblTiposOT[clasificacion],"sin_clasificar"))</f>
        <v/>
      </c>
      <c r="U205" s="3">
        <f>IF(tblOrdenes[[#This Row],[centro_costo]]="","",_xlfn.XLOOKUP(tblOrdenes[[#This Row],[centro_costo]],tblCECO[codigo],tblCECO[linea],"(sin catálogo)"))</f>
        <v/>
      </c>
      <c r="V205" s="3">
        <f>IF(tblOrdenes[[#This Row],[centro_costo]]="","",_xlfn.XLOOKUP(tblOrdenes[[#This Row],[centro_costo]],tblCECO[codigo],tblCECO[area],"(sin catálogo)"))</f>
        <v/>
      </c>
      <c r="W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3">
        <f>IF(tblOrdenes[[#This Row],[centro_costo]]="","",_xlfn.XLOOKUP(tblOrdenes[[#This Row],[centro_costo]],tblCECO[codigo],tblCECO[coordinador],"(sin catálogo)"))</f>
        <v/>
      </c>
      <c r="Y205" s="3">
        <f>IF(tblOrdenes[[#This Row],[puesto_trabajo]]="","",_xlfn.XLOOKUP(tblOrdenes[[#This Row],[puesto_trabajo]],tblPuestos[codigo],tblPuestos[especialidad],"(sin catálogo)"))</f>
        <v/>
      </c>
      <c r="Z205" s="3">
        <f>IF(tblOrdenes[[#This Row],[cod_actividad]]="","",_xlfn.XLOOKUP(tblOrdenes[[#This Row],[cod_actividad]],tblActividades[codigo],tblActividades[descripcion],"(sin catálogo)"))</f>
        <v/>
      </c>
      <c r="AA205" s="12">
        <f>IF(tblOrdenes[[#This Row],[fecha_inicio]]="","",TODAY()-tblOrdenes[[#This Row],[fecha_inicio]])</f>
        <v/>
      </c>
      <c r="AB2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3">
        <f>IF(tblOrdenes[[#This Row],[backlog_habiles]]="","",IF(tblOrdenes[[#This Row],[backlog_habiles]]&lt;0,"FUTURO",IF(tblOrdenes[[#This Row],[backlog_habiles]]&gt;p_dias_backlog_max,"BACKLOG","MES CORRIENTE")))</f>
        <v/>
      </c>
      <c r="AD205" s="3">
        <f>IF(tblOrdenes[[#This Row],[backlog_habiles]]="",FALSE,AND(tblOrdenes[[#This Row],[backlog_habiles]]&gt;p_dias_backlog_min,tblOrdenes[[#This Row],[backlog_habiles]]&lt;=p_dias_backlog_max))</f>
        <v/>
      </c>
      <c r="AE205" s="6" t="n"/>
      <c r="AF2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0">
        <f>IF(tblOrdenes[[#This Row],[orden]]="","",_xlfn.XLOOKUP(tblOrdenes[[#This Row],[id_operacion]],tblEjecucion[id_operacion],tblEjecucion[precio],0))</f>
        <v/>
      </c>
      <c r="AJ205" s="10">
        <f>IF(tblOrdenes[[#This Row],[orden]]="","",MAX(0,_xlfn.XLOOKUP(tblOrdenes[[#This Row],[id_operacion]],tblEjecucion[id_operacion],tblEjecucion[costo_plan_total],0)-tblOrdenes[[#This Row],[costo_servicio]]))</f>
        <v/>
      </c>
      <c r="AK205" s="10">
        <f>IF(tblOrdenes[[#This Row],[orden]]="","",tblOrdenes[[#This Row],[costo_servicio]]+tblOrdenes[[#This Row],[costo_materiales]])</f>
        <v/>
      </c>
      <c r="AL205" s="6" t="n"/>
      <c r="AM205" s="6" t="n"/>
      <c r="AN205" s="6" t="n"/>
      <c r="AO205" s="3">
        <f>IF(tblOrdenes[[#This Row],[link_checklist]]="","",HYPERLINK(p_ruta_base_checklists&amp;tblOrdenes[[#This Row],[link_checklist]],"abrir"))</f>
        <v/>
      </c>
      <c r="AP205" s="6" t="n"/>
      <c r="AQ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3">
        <f>IF(tblOrdenes[[#This Row],[tipo_ot]]="","",_xlfn.XLOOKUP(tblOrdenes[[#This Row],[tipo_ot]],tblTiposOT[codigo],tblTiposOT[clasificacion],"sin_clasificar"))</f>
        <v/>
      </c>
      <c r="U206" s="3">
        <f>IF(tblOrdenes[[#This Row],[centro_costo]]="","",_xlfn.XLOOKUP(tblOrdenes[[#This Row],[centro_costo]],tblCECO[codigo],tblCECO[linea],"(sin catálogo)"))</f>
        <v/>
      </c>
      <c r="V206" s="3">
        <f>IF(tblOrdenes[[#This Row],[centro_costo]]="","",_xlfn.XLOOKUP(tblOrdenes[[#This Row],[centro_costo]],tblCECO[codigo],tblCECO[area],"(sin catálogo)"))</f>
        <v/>
      </c>
      <c r="W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3">
        <f>IF(tblOrdenes[[#This Row],[centro_costo]]="","",_xlfn.XLOOKUP(tblOrdenes[[#This Row],[centro_costo]],tblCECO[codigo],tblCECO[coordinador],"(sin catálogo)"))</f>
        <v/>
      </c>
      <c r="Y206" s="3">
        <f>IF(tblOrdenes[[#This Row],[puesto_trabajo]]="","",_xlfn.XLOOKUP(tblOrdenes[[#This Row],[puesto_trabajo]],tblPuestos[codigo],tblPuestos[especialidad],"(sin catálogo)"))</f>
        <v/>
      </c>
      <c r="Z206" s="3">
        <f>IF(tblOrdenes[[#This Row],[cod_actividad]]="","",_xlfn.XLOOKUP(tblOrdenes[[#This Row],[cod_actividad]],tblActividades[codigo],tblActividades[descripcion],"(sin catálogo)"))</f>
        <v/>
      </c>
      <c r="AA206" s="12">
        <f>IF(tblOrdenes[[#This Row],[fecha_inicio]]="","",TODAY()-tblOrdenes[[#This Row],[fecha_inicio]])</f>
        <v/>
      </c>
      <c r="AB2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3">
        <f>IF(tblOrdenes[[#This Row],[backlog_habiles]]="","",IF(tblOrdenes[[#This Row],[backlog_habiles]]&lt;0,"FUTURO",IF(tblOrdenes[[#This Row],[backlog_habiles]]&gt;p_dias_backlog_max,"BACKLOG","MES CORRIENTE")))</f>
        <v/>
      </c>
      <c r="AD206" s="3">
        <f>IF(tblOrdenes[[#This Row],[backlog_habiles]]="",FALSE,AND(tblOrdenes[[#This Row],[backlog_habiles]]&gt;p_dias_backlog_min,tblOrdenes[[#This Row],[backlog_habiles]]&lt;=p_dias_backlog_max))</f>
        <v/>
      </c>
      <c r="AE206" s="6" t="n"/>
      <c r="AF2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0">
        <f>IF(tblOrdenes[[#This Row],[orden]]="","",_xlfn.XLOOKUP(tblOrdenes[[#This Row],[id_operacion]],tblEjecucion[id_operacion],tblEjecucion[precio],0))</f>
        <v/>
      </c>
      <c r="AJ206" s="10">
        <f>IF(tblOrdenes[[#This Row],[orden]]="","",MAX(0,_xlfn.XLOOKUP(tblOrdenes[[#This Row],[id_operacion]],tblEjecucion[id_operacion],tblEjecucion[costo_plan_total],0)-tblOrdenes[[#This Row],[costo_servicio]]))</f>
        <v/>
      </c>
      <c r="AK206" s="10">
        <f>IF(tblOrdenes[[#This Row],[orden]]="","",tblOrdenes[[#This Row],[costo_servicio]]+tblOrdenes[[#This Row],[costo_materiales]])</f>
        <v/>
      </c>
      <c r="AL206" s="6" t="n"/>
      <c r="AM206" s="6" t="n"/>
      <c r="AN206" s="6" t="n"/>
      <c r="AO206" s="3">
        <f>IF(tblOrdenes[[#This Row],[link_checklist]]="","",HYPERLINK(p_ruta_base_checklists&amp;tblOrdenes[[#This Row],[link_checklist]],"abrir"))</f>
        <v/>
      </c>
      <c r="AP206" s="6" t="n"/>
      <c r="AQ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3">
        <f>IF(tblOrdenes[[#This Row],[tipo_ot]]="","",_xlfn.XLOOKUP(tblOrdenes[[#This Row],[tipo_ot]],tblTiposOT[codigo],tblTiposOT[clasificacion],"sin_clasificar"))</f>
        <v/>
      </c>
      <c r="U207" s="3">
        <f>IF(tblOrdenes[[#This Row],[centro_costo]]="","",_xlfn.XLOOKUP(tblOrdenes[[#This Row],[centro_costo]],tblCECO[codigo],tblCECO[linea],"(sin catálogo)"))</f>
        <v/>
      </c>
      <c r="V207" s="3">
        <f>IF(tblOrdenes[[#This Row],[centro_costo]]="","",_xlfn.XLOOKUP(tblOrdenes[[#This Row],[centro_costo]],tblCECO[codigo],tblCECO[area],"(sin catálogo)"))</f>
        <v/>
      </c>
      <c r="W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3">
        <f>IF(tblOrdenes[[#This Row],[centro_costo]]="","",_xlfn.XLOOKUP(tblOrdenes[[#This Row],[centro_costo]],tblCECO[codigo],tblCECO[coordinador],"(sin catálogo)"))</f>
        <v/>
      </c>
      <c r="Y207" s="3">
        <f>IF(tblOrdenes[[#This Row],[puesto_trabajo]]="","",_xlfn.XLOOKUP(tblOrdenes[[#This Row],[puesto_trabajo]],tblPuestos[codigo],tblPuestos[especialidad],"(sin catálogo)"))</f>
        <v/>
      </c>
      <c r="Z207" s="3">
        <f>IF(tblOrdenes[[#This Row],[cod_actividad]]="","",_xlfn.XLOOKUP(tblOrdenes[[#This Row],[cod_actividad]],tblActividades[codigo],tblActividades[descripcion],"(sin catálogo)"))</f>
        <v/>
      </c>
      <c r="AA207" s="12">
        <f>IF(tblOrdenes[[#This Row],[fecha_inicio]]="","",TODAY()-tblOrdenes[[#This Row],[fecha_inicio]])</f>
        <v/>
      </c>
      <c r="AB2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3">
        <f>IF(tblOrdenes[[#This Row],[backlog_habiles]]="","",IF(tblOrdenes[[#This Row],[backlog_habiles]]&lt;0,"FUTURO",IF(tblOrdenes[[#This Row],[backlog_habiles]]&gt;p_dias_backlog_max,"BACKLOG","MES CORRIENTE")))</f>
        <v/>
      </c>
      <c r="AD207" s="3">
        <f>IF(tblOrdenes[[#This Row],[backlog_habiles]]="",FALSE,AND(tblOrdenes[[#This Row],[backlog_habiles]]&gt;p_dias_backlog_min,tblOrdenes[[#This Row],[backlog_habiles]]&lt;=p_dias_backlog_max))</f>
        <v/>
      </c>
      <c r="AE207" s="6" t="n"/>
      <c r="AF2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0">
        <f>IF(tblOrdenes[[#This Row],[orden]]="","",_xlfn.XLOOKUP(tblOrdenes[[#This Row],[id_operacion]],tblEjecucion[id_operacion],tblEjecucion[precio],0))</f>
        <v/>
      </c>
      <c r="AJ207" s="10">
        <f>IF(tblOrdenes[[#This Row],[orden]]="","",MAX(0,_xlfn.XLOOKUP(tblOrdenes[[#This Row],[id_operacion]],tblEjecucion[id_operacion],tblEjecucion[costo_plan_total],0)-tblOrdenes[[#This Row],[costo_servicio]]))</f>
        <v/>
      </c>
      <c r="AK207" s="10">
        <f>IF(tblOrdenes[[#This Row],[orden]]="","",tblOrdenes[[#This Row],[costo_servicio]]+tblOrdenes[[#This Row],[costo_materiales]])</f>
        <v/>
      </c>
      <c r="AL207" s="6" t="n"/>
      <c r="AM207" s="6" t="n"/>
      <c r="AN207" s="6" t="n"/>
      <c r="AO207" s="3">
        <f>IF(tblOrdenes[[#This Row],[link_checklist]]="","",HYPERLINK(p_ruta_base_checklists&amp;tblOrdenes[[#This Row],[link_checklist]],"abrir"))</f>
        <v/>
      </c>
      <c r="AP207" s="6" t="n"/>
      <c r="AQ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3">
        <f>IF(tblOrdenes[[#This Row],[tipo_ot]]="","",_xlfn.XLOOKUP(tblOrdenes[[#This Row],[tipo_ot]],tblTiposOT[codigo],tblTiposOT[clasificacion],"sin_clasificar"))</f>
        <v/>
      </c>
      <c r="U208" s="3">
        <f>IF(tblOrdenes[[#This Row],[centro_costo]]="","",_xlfn.XLOOKUP(tblOrdenes[[#This Row],[centro_costo]],tblCECO[codigo],tblCECO[linea],"(sin catálogo)"))</f>
        <v/>
      </c>
      <c r="V208" s="3">
        <f>IF(tblOrdenes[[#This Row],[centro_costo]]="","",_xlfn.XLOOKUP(tblOrdenes[[#This Row],[centro_costo]],tblCECO[codigo],tblCECO[area],"(sin catálogo)"))</f>
        <v/>
      </c>
      <c r="W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3">
        <f>IF(tblOrdenes[[#This Row],[centro_costo]]="","",_xlfn.XLOOKUP(tblOrdenes[[#This Row],[centro_costo]],tblCECO[codigo],tblCECO[coordinador],"(sin catálogo)"))</f>
        <v/>
      </c>
      <c r="Y208" s="3">
        <f>IF(tblOrdenes[[#This Row],[puesto_trabajo]]="","",_xlfn.XLOOKUP(tblOrdenes[[#This Row],[puesto_trabajo]],tblPuestos[codigo],tblPuestos[especialidad],"(sin catálogo)"))</f>
        <v/>
      </c>
      <c r="Z208" s="3">
        <f>IF(tblOrdenes[[#This Row],[cod_actividad]]="","",_xlfn.XLOOKUP(tblOrdenes[[#This Row],[cod_actividad]],tblActividades[codigo],tblActividades[descripcion],"(sin catálogo)"))</f>
        <v/>
      </c>
      <c r="AA208" s="12">
        <f>IF(tblOrdenes[[#This Row],[fecha_inicio]]="","",TODAY()-tblOrdenes[[#This Row],[fecha_inicio]])</f>
        <v/>
      </c>
      <c r="AB2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3">
        <f>IF(tblOrdenes[[#This Row],[backlog_habiles]]="","",IF(tblOrdenes[[#This Row],[backlog_habiles]]&lt;0,"FUTURO",IF(tblOrdenes[[#This Row],[backlog_habiles]]&gt;p_dias_backlog_max,"BACKLOG","MES CORRIENTE")))</f>
        <v/>
      </c>
      <c r="AD208" s="3">
        <f>IF(tblOrdenes[[#This Row],[backlog_habiles]]="",FALSE,AND(tblOrdenes[[#This Row],[backlog_habiles]]&gt;p_dias_backlog_min,tblOrdenes[[#This Row],[backlog_habiles]]&lt;=p_dias_backlog_max))</f>
        <v/>
      </c>
      <c r="AE208" s="6" t="n"/>
      <c r="AF2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0">
        <f>IF(tblOrdenes[[#This Row],[orden]]="","",_xlfn.XLOOKUP(tblOrdenes[[#This Row],[id_operacion]],tblEjecucion[id_operacion],tblEjecucion[precio],0))</f>
        <v/>
      </c>
      <c r="AJ208" s="10">
        <f>IF(tblOrdenes[[#This Row],[orden]]="","",MAX(0,_xlfn.XLOOKUP(tblOrdenes[[#This Row],[id_operacion]],tblEjecucion[id_operacion],tblEjecucion[costo_plan_total],0)-tblOrdenes[[#This Row],[costo_servicio]]))</f>
        <v/>
      </c>
      <c r="AK208" s="10">
        <f>IF(tblOrdenes[[#This Row],[orden]]="","",tblOrdenes[[#This Row],[costo_servicio]]+tblOrdenes[[#This Row],[costo_materiales]])</f>
        <v/>
      </c>
      <c r="AL208" s="6" t="n"/>
      <c r="AM208" s="6" t="n"/>
      <c r="AN208" s="6" t="n"/>
      <c r="AO208" s="3">
        <f>IF(tblOrdenes[[#This Row],[link_checklist]]="","",HYPERLINK(p_ruta_base_checklists&amp;tblOrdenes[[#This Row],[link_checklist]],"abrir"))</f>
        <v/>
      </c>
      <c r="AP208" s="6" t="n"/>
      <c r="AQ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3">
        <f>IF(tblOrdenes[[#This Row],[tipo_ot]]="","",_xlfn.XLOOKUP(tblOrdenes[[#This Row],[tipo_ot]],tblTiposOT[codigo],tblTiposOT[clasificacion],"sin_clasificar"))</f>
        <v/>
      </c>
      <c r="U209" s="3">
        <f>IF(tblOrdenes[[#This Row],[centro_costo]]="","",_xlfn.XLOOKUP(tblOrdenes[[#This Row],[centro_costo]],tblCECO[codigo],tblCECO[linea],"(sin catálogo)"))</f>
        <v/>
      </c>
      <c r="V209" s="3">
        <f>IF(tblOrdenes[[#This Row],[centro_costo]]="","",_xlfn.XLOOKUP(tblOrdenes[[#This Row],[centro_costo]],tblCECO[codigo],tblCECO[area],"(sin catálogo)"))</f>
        <v/>
      </c>
      <c r="W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3">
        <f>IF(tblOrdenes[[#This Row],[centro_costo]]="","",_xlfn.XLOOKUP(tblOrdenes[[#This Row],[centro_costo]],tblCECO[codigo],tblCECO[coordinador],"(sin catálogo)"))</f>
        <v/>
      </c>
      <c r="Y209" s="3">
        <f>IF(tblOrdenes[[#This Row],[puesto_trabajo]]="","",_xlfn.XLOOKUP(tblOrdenes[[#This Row],[puesto_trabajo]],tblPuestos[codigo],tblPuestos[especialidad],"(sin catálogo)"))</f>
        <v/>
      </c>
      <c r="Z209" s="3">
        <f>IF(tblOrdenes[[#This Row],[cod_actividad]]="","",_xlfn.XLOOKUP(tblOrdenes[[#This Row],[cod_actividad]],tblActividades[codigo],tblActividades[descripcion],"(sin catálogo)"))</f>
        <v/>
      </c>
      <c r="AA209" s="12">
        <f>IF(tblOrdenes[[#This Row],[fecha_inicio]]="","",TODAY()-tblOrdenes[[#This Row],[fecha_inicio]])</f>
        <v/>
      </c>
      <c r="AB2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3">
        <f>IF(tblOrdenes[[#This Row],[backlog_habiles]]="","",IF(tblOrdenes[[#This Row],[backlog_habiles]]&lt;0,"FUTURO",IF(tblOrdenes[[#This Row],[backlog_habiles]]&gt;p_dias_backlog_max,"BACKLOG","MES CORRIENTE")))</f>
        <v/>
      </c>
      <c r="AD209" s="3">
        <f>IF(tblOrdenes[[#This Row],[backlog_habiles]]="",FALSE,AND(tblOrdenes[[#This Row],[backlog_habiles]]&gt;p_dias_backlog_min,tblOrdenes[[#This Row],[backlog_habiles]]&lt;=p_dias_backlog_max))</f>
        <v/>
      </c>
      <c r="AE209" s="6" t="n"/>
      <c r="AF2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0">
        <f>IF(tblOrdenes[[#This Row],[orden]]="","",_xlfn.XLOOKUP(tblOrdenes[[#This Row],[id_operacion]],tblEjecucion[id_operacion],tblEjecucion[precio],0))</f>
        <v/>
      </c>
      <c r="AJ209" s="10">
        <f>IF(tblOrdenes[[#This Row],[orden]]="","",MAX(0,_xlfn.XLOOKUP(tblOrdenes[[#This Row],[id_operacion]],tblEjecucion[id_operacion],tblEjecucion[costo_plan_total],0)-tblOrdenes[[#This Row],[costo_servicio]]))</f>
        <v/>
      </c>
      <c r="AK209" s="10">
        <f>IF(tblOrdenes[[#This Row],[orden]]="","",tblOrdenes[[#This Row],[costo_servicio]]+tblOrdenes[[#This Row],[costo_materiales]])</f>
        <v/>
      </c>
      <c r="AL209" s="6" t="n"/>
      <c r="AM209" s="6" t="n"/>
      <c r="AN209" s="6" t="n"/>
      <c r="AO209" s="3">
        <f>IF(tblOrdenes[[#This Row],[link_checklist]]="","",HYPERLINK(p_ruta_base_checklists&amp;tblOrdenes[[#This Row],[link_checklist]],"abrir"))</f>
        <v/>
      </c>
      <c r="AP209" s="6" t="n"/>
      <c r="AQ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3">
        <f>IF(tblOrdenes[[#This Row],[tipo_ot]]="","",_xlfn.XLOOKUP(tblOrdenes[[#This Row],[tipo_ot]],tblTiposOT[codigo],tblTiposOT[clasificacion],"sin_clasificar"))</f>
        <v/>
      </c>
      <c r="U210" s="3">
        <f>IF(tblOrdenes[[#This Row],[centro_costo]]="","",_xlfn.XLOOKUP(tblOrdenes[[#This Row],[centro_costo]],tblCECO[codigo],tblCECO[linea],"(sin catálogo)"))</f>
        <v/>
      </c>
      <c r="V210" s="3">
        <f>IF(tblOrdenes[[#This Row],[centro_costo]]="","",_xlfn.XLOOKUP(tblOrdenes[[#This Row],[centro_costo]],tblCECO[codigo],tblCECO[area],"(sin catálogo)"))</f>
        <v/>
      </c>
      <c r="W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3">
        <f>IF(tblOrdenes[[#This Row],[centro_costo]]="","",_xlfn.XLOOKUP(tblOrdenes[[#This Row],[centro_costo]],tblCECO[codigo],tblCECO[coordinador],"(sin catálogo)"))</f>
        <v/>
      </c>
      <c r="Y210" s="3">
        <f>IF(tblOrdenes[[#This Row],[puesto_trabajo]]="","",_xlfn.XLOOKUP(tblOrdenes[[#This Row],[puesto_trabajo]],tblPuestos[codigo],tblPuestos[especialidad],"(sin catálogo)"))</f>
        <v/>
      </c>
      <c r="Z210" s="3">
        <f>IF(tblOrdenes[[#This Row],[cod_actividad]]="","",_xlfn.XLOOKUP(tblOrdenes[[#This Row],[cod_actividad]],tblActividades[codigo],tblActividades[descripcion],"(sin catálogo)"))</f>
        <v/>
      </c>
      <c r="AA210" s="12">
        <f>IF(tblOrdenes[[#This Row],[fecha_inicio]]="","",TODAY()-tblOrdenes[[#This Row],[fecha_inicio]])</f>
        <v/>
      </c>
      <c r="AB2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3">
        <f>IF(tblOrdenes[[#This Row],[backlog_habiles]]="","",IF(tblOrdenes[[#This Row],[backlog_habiles]]&lt;0,"FUTURO",IF(tblOrdenes[[#This Row],[backlog_habiles]]&gt;p_dias_backlog_max,"BACKLOG","MES CORRIENTE")))</f>
        <v/>
      </c>
      <c r="AD210" s="3">
        <f>IF(tblOrdenes[[#This Row],[backlog_habiles]]="",FALSE,AND(tblOrdenes[[#This Row],[backlog_habiles]]&gt;p_dias_backlog_min,tblOrdenes[[#This Row],[backlog_habiles]]&lt;=p_dias_backlog_max))</f>
        <v/>
      </c>
      <c r="AE210" s="6" t="n"/>
      <c r="AF2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0">
        <f>IF(tblOrdenes[[#This Row],[orden]]="","",_xlfn.XLOOKUP(tblOrdenes[[#This Row],[id_operacion]],tblEjecucion[id_operacion],tblEjecucion[precio],0))</f>
        <v/>
      </c>
      <c r="AJ210" s="10">
        <f>IF(tblOrdenes[[#This Row],[orden]]="","",MAX(0,_xlfn.XLOOKUP(tblOrdenes[[#This Row],[id_operacion]],tblEjecucion[id_operacion],tblEjecucion[costo_plan_total],0)-tblOrdenes[[#This Row],[costo_servicio]]))</f>
        <v/>
      </c>
      <c r="AK210" s="10">
        <f>IF(tblOrdenes[[#This Row],[orden]]="","",tblOrdenes[[#This Row],[costo_servicio]]+tblOrdenes[[#This Row],[costo_materiales]])</f>
        <v/>
      </c>
      <c r="AL210" s="6" t="n"/>
      <c r="AM210" s="6" t="n"/>
      <c r="AN210" s="6" t="n"/>
      <c r="AO210" s="3">
        <f>IF(tblOrdenes[[#This Row],[link_checklist]]="","",HYPERLINK(p_ruta_base_checklists&amp;tblOrdenes[[#This Row],[link_checklist]],"abrir"))</f>
        <v/>
      </c>
      <c r="AP210" s="6" t="n"/>
      <c r="AQ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3">
        <f>IF(tblOrdenes[[#This Row],[tipo_ot]]="","",_xlfn.XLOOKUP(tblOrdenes[[#This Row],[tipo_ot]],tblTiposOT[codigo],tblTiposOT[clasificacion],"sin_clasificar"))</f>
        <v/>
      </c>
      <c r="U211" s="3">
        <f>IF(tblOrdenes[[#This Row],[centro_costo]]="","",_xlfn.XLOOKUP(tblOrdenes[[#This Row],[centro_costo]],tblCECO[codigo],tblCECO[linea],"(sin catálogo)"))</f>
        <v/>
      </c>
      <c r="V211" s="3">
        <f>IF(tblOrdenes[[#This Row],[centro_costo]]="","",_xlfn.XLOOKUP(tblOrdenes[[#This Row],[centro_costo]],tblCECO[codigo],tblCECO[area],"(sin catálogo)"))</f>
        <v/>
      </c>
      <c r="W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3">
        <f>IF(tblOrdenes[[#This Row],[centro_costo]]="","",_xlfn.XLOOKUP(tblOrdenes[[#This Row],[centro_costo]],tblCECO[codigo],tblCECO[coordinador],"(sin catálogo)"))</f>
        <v/>
      </c>
      <c r="Y211" s="3">
        <f>IF(tblOrdenes[[#This Row],[puesto_trabajo]]="","",_xlfn.XLOOKUP(tblOrdenes[[#This Row],[puesto_trabajo]],tblPuestos[codigo],tblPuestos[especialidad],"(sin catálogo)"))</f>
        <v/>
      </c>
      <c r="Z211" s="3">
        <f>IF(tblOrdenes[[#This Row],[cod_actividad]]="","",_xlfn.XLOOKUP(tblOrdenes[[#This Row],[cod_actividad]],tblActividades[codigo],tblActividades[descripcion],"(sin catálogo)"))</f>
        <v/>
      </c>
      <c r="AA211" s="12">
        <f>IF(tblOrdenes[[#This Row],[fecha_inicio]]="","",TODAY()-tblOrdenes[[#This Row],[fecha_inicio]])</f>
        <v/>
      </c>
      <c r="AB2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3">
        <f>IF(tblOrdenes[[#This Row],[backlog_habiles]]="","",IF(tblOrdenes[[#This Row],[backlog_habiles]]&lt;0,"FUTURO",IF(tblOrdenes[[#This Row],[backlog_habiles]]&gt;p_dias_backlog_max,"BACKLOG","MES CORRIENTE")))</f>
        <v/>
      </c>
      <c r="AD211" s="3">
        <f>IF(tblOrdenes[[#This Row],[backlog_habiles]]="",FALSE,AND(tblOrdenes[[#This Row],[backlog_habiles]]&gt;p_dias_backlog_min,tblOrdenes[[#This Row],[backlog_habiles]]&lt;=p_dias_backlog_max))</f>
        <v/>
      </c>
      <c r="AE211" s="6" t="n"/>
      <c r="AF2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0">
        <f>IF(tblOrdenes[[#This Row],[orden]]="","",_xlfn.XLOOKUP(tblOrdenes[[#This Row],[id_operacion]],tblEjecucion[id_operacion],tblEjecucion[precio],0))</f>
        <v/>
      </c>
      <c r="AJ211" s="10">
        <f>IF(tblOrdenes[[#This Row],[orden]]="","",MAX(0,_xlfn.XLOOKUP(tblOrdenes[[#This Row],[id_operacion]],tblEjecucion[id_operacion],tblEjecucion[costo_plan_total],0)-tblOrdenes[[#This Row],[costo_servicio]]))</f>
        <v/>
      </c>
      <c r="AK211" s="10">
        <f>IF(tblOrdenes[[#This Row],[orden]]="","",tblOrdenes[[#This Row],[costo_servicio]]+tblOrdenes[[#This Row],[costo_materiales]])</f>
        <v/>
      </c>
      <c r="AL211" s="6" t="n"/>
      <c r="AM211" s="6" t="n"/>
      <c r="AN211" s="6" t="n"/>
      <c r="AO211" s="3">
        <f>IF(tblOrdenes[[#This Row],[link_checklist]]="","",HYPERLINK(p_ruta_base_checklists&amp;tblOrdenes[[#This Row],[link_checklist]],"abrir"))</f>
        <v/>
      </c>
      <c r="AP211" s="6" t="n"/>
      <c r="AQ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3">
        <f>IF(tblOrdenes[[#This Row],[tipo_ot]]="","",_xlfn.XLOOKUP(tblOrdenes[[#This Row],[tipo_ot]],tblTiposOT[codigo],tblTiposOT[clasificacion],"sin_clasificar"))</f>
        <v/>
      </c>
      <c r="U212" s="3">
        <f>IF(tblOrdenes[[#This Row],[centro_costo]]="","",_xlfn.XLOOKUP(tblOrdenes[[#This Row],[centro_costo]],tblCECO[codigo],tblCECO[linea],"(sin catálogo)"))</f>
        <v/>
      </c>
      <c r="V212" s="3">
        <f>IF(tblOrdenes[[#This Row],[centro_costo]]="","",_xlfn.XLOOKUP(tblOrdenes[[#This Row],[centro_costo]],tblCECO[codigo],tblCECO[area],"(sin catálogo)"))</f>
        <v/>
      </c>
      <c r="W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3">
        <f>IF(tblOrdenes[[#This Row],[centro_costo]]="","",_xlfn.XLOOKUP(tblOrdenes[[#This Row],[centro_costo]],tblCECO[codigo],tblCECO[coordinador],"(sin catálogo)"))</f>
        <v/>
      </c>
      <c r="Y212" s="3">
        <f>IF(tblOrdenes[[#This Row],[puesto_trabajo]]="","",_xlfn.XLOOKUP(tblOrdenes[[#This Row],[puesto_trabajo]],tblPuestos[codigo],tblPuestos[especialidad],"(sin catálogo)"))</f>
        <v/>
      </c>
      <c r="Z212" s="3">
        <f>IF(tblOrdenes[[#This Row],[cod_actividad]]="","",_xlfn.XLOOKUP(tblOrdenes[[#This Row],[cod_actividad]],tblActividades[codigo],tblActividades[descripcion],"(sin catálogo)"))</f>
        <v/>
      </c>
      <c r="AA212" s="12">
        <f>IF(tblOrdenes[[#This Row],[fecha_inicio]]="","",TODAY()-tblOrdenes[[#This Row],[fecha_inicio]])</f>
        <v/>
      </c>
      <c r="AB2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3">
        <f>IF(tblOrdenes[[#This Row],[backlog_habiles]]="","",IF(tblOrdenes[[#This Row],[backlog_habiles]]&lt;0,"FUTURO",IF(tblOrdenes[[#This Row],[backlog_habiles]]&gt;p_dias_backlog_max,"BACKLOG","MES CORRIENTE")))</f>
        <v/>
      </c>
      <c r="AD212" s="3">
        <f>IF(tblOrdenes[[#This Row],[backlog_habiles]]="",FALSE,AND(tblOrdenes[[#This Row],[backlog_habiles]]&gt;p_dias_backlog_min,tblOrdenes[[#This Row],[backlog_habiles]]&lt;=p_dias_backlog_max))</f>
        <v/>
      </c>
      <c r="AE212" s="6" t="n"/>
      <c r="AF2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0">
        <f>IF(tblOrdenes[[#This Row],[orden]]="","",_xlfn.XLOOKUP(tblOrdenes[[#This Row],[id_operacion]],tblEjecucion[id_operacion],tblEjecucion[precio],0))</f>
        <v/>
      </c>
      <c r="AJ212" s="10">
        <f>IF(tblOrdenes[[#This Row],[orden]]="","",MAX(0,_xlfn.XLOOKUP(tblOrdenes[[#This Row],[id_operacion]],tblEjecucion[id_operacion],tblEjecucion[costo_plan_total],0)-tblOrdenes[[#This Row],[costo_servicio]]))</f>
        <v/>
      </c>
      <c r="AK212" s="10">
        <f>IF(tblOrdenes[[#This Row],[orden]]="","",tblOrdenes[[#This Row],[costo_servicio]]+tblOrdenes[[#This Row],[costo_materiales]])</f>
        <v/>
      </c>
      <c r="AL212" s="6" t="n"/>
      <c r="AM212" s="6" t="n"/>
      <c r="AN212" s="6" t="n"/>
      <c r="AO212" s="3">
        <f>IF(tblOrdenes[[#This Row],[link_checklist]]="","",HYPERLINK(p_ruta_base_checklists&amp;tblOrdenes[[#This Row],[link_checklist]],"abrir"))</f>
        <v/>
      </c>
      <c r="AP212" s="6" t="n"/>
      <c r="AQ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3">
        <f>IF(tblOrdenes[[#This Row],[tipo_ot]]="","",_xlfn.XLOOKUP(tblOrdenes[[#This Row],[tipo_ot]],tblTiposOT[codigo],tblTiposOT[clasificacion],"sin_clasificar"))</f>
        <v/>
      </c>
      <c r="U213" s="3">
        <f>IF(tblOrdenes[[#This Row],[centro_costo]]="","",_xlfn.XLOOKUP(tblOrdenes[[#This Row],[centro_costo]],tblCECO[codigo],tblCECO[linea],"(sin catálogo)"))</f>
        <v/>
      </c>
      <c r="V213" s="3">
        <f>IF(tblOrdenes[[#This Row],[centro_costo]]="","",_xlfn.XLOOKUP(tblOrdenes[[#This Row],[centro_costo]],tblCECO[codigo],tblCECO[area],"(sin catálogo)"))</f>
        <v/>
      </c>
      <c r="W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3">
        <f>IF(tblOrdenes[[#This Row],[centro_costo]]="","",_xlfn.XLOOKUP(tblOrdenes[[#This Row],[centro_costo]],tblCECO[codigo],tblCECO[coordinador],"(sin catálogo)"))</f>
        <v/>
      </c>
      <c r="Y213" s="3">
        <f>IF(tblOrdenes[[#This Row],[puesto_trabajo]]="","",_xlfn.XLOOKUP(tblOrdenes[[#This Row],[puesto_trabajo]],tblPuestos[codigo],tblPuestos[especialidad],"(sin catálogo)"))</f>
        <v/>
      </c>
      <c r="Z213" s="3">
        <f>IF(tblOrdenes[[#This Row],[cod_actividad]]="","",_xlfn.XLOOKUP(tblOrdenes[[#This Row],[cod_actividad]],tblActividades[codigo],tblActividades[descripcion],"(sin catálogo)"))</f>
        <v/>
      </c>
      <c r="AA213" s="12">
        <f>IF(tblOrdenes[[#This Row],[fecha_inicio]]="","",TODAY()-tblOrdenes[[#This Row],[fecha_inicio]])</f>
        <v/>
      </c>
      <c r="AB2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3">
        <f>IF(tblOrdenes[[#This Row],[backlog_habiles]]="","",IF(tblOrdenes[[#This Row],[backlog_habiles]]&lt;0,"FUTURO",IF(tblOrdenes[[#This Row],[backlog_habiles]]&gt;p_dias_backlog_max,"BACKLOG","MES CORRIENTE")))</f>
        <v/>
      </c>
      <c r="AD213" s="3">
        <f>IF(tblOrdenes[[#This Row],[backlog_habiles]]="",FALSE,AND(tblOrdenes[[#This Row],[backlog_habiles]]&gt;p_dias_backlog_min,tblOrdenes[[#This Row],[backlog_habiles]]&lt;=p_dias_backlog_max))</f>
        <v/>
      </c>
      <c r="AE213" s="6" t="n"/>
      <c r="AF2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0">
        <f>IF(tblOrdenes[[#This Row],[orden]]="","",_xlfn.XLOOKUP(tblOrdenes[[#This Row],[id_operacion]],tblEjecucion[id_operacion],tblEjecucion[precio],0))</f>
        <v/>
      </c>
      <c r="AJ213" s="10">
        <f>IF(tblOrdenes[[#This Row],[orden]]="","",MAX(0,_xlfn.XLOOKUP(tblOrdenes[[#This Row],[id_operacion]],tblEjecucion[id_operacion],tblEjecucion[costo_plan_total],0)-tblOrdenes[[#This Row],[costo_servicio]]))</f>
        <v/>
      </c>
      <c r="AK213" s="10">
        <f>IF(tblOrdenes[[#This Row],[orden]]="","",tblOrdenes[[#This Row],[costo_servicio]]+tblOrdenes[[#This Row],[costo_materiales]])</f>
        <v/>
      </c>
      <c r="AL213" s="6" t="n"/>
      <c r="AM213" s="6" t="n"/>
      <c r="AN213" s="6" t="n"/>
      <c r="AO213" s="3">
        <f>IF(tblOrdenes[[#This Row],[link_checklist]]="","",HYPERLINK(p_ruta_base_checklists&amp;tblOrdenes[[#This Row],[link_checklist]],"abrir"))</f>
        <v/>
      </c>
      <c r="AP213" s="6" t="n"/>
      <c r="AQ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3">
        <f>IF(tblOrdenes[[#This Row],[tipo_ot]]="","",_xlfn.XLOOKUP(tblOrdenes[[#This Row],[tipo_ot]],tblTiposOT[codigo],tblTiposOT[clasificacion],"sin_clasificar"))</f>
        <v/>
      </c>
      <c r="U214" s="3">
        <f>IF(tblOrdenes[[#This Row],[centro_costo]]="","",_xlfn.XLOOKUP(tblOrdenes[[#This Row],[centro_costo]],tblCECO[codigo],tblCECO[linea],"(sin catálogo)"))</f>
        <v/>
      </c>
      <c r="V214" s="3">
        <f>IF(tblOrdenes[[#This Row],[centro_costo]]="","",_xlfn.XLOOKUP(tblOrdenes[[#This Row],[centro_costo]],tblCECO[codigo],tblCECO[area],"(sin catálogo)"))</f>
        <v/>
      </c>
      <c r="W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3">
        <f>IF(tblOrdenes[[#This Row],[centro_costo]]="","",_xlfn.XLOOKUP(tblOrdenes[[#This Row],[centro_costo]],tblCECO[codigo],tblCECO[coordinador],"(sin catálogo)"))</f>
        <v/>
      </c>
      <c r="Y214" s="3">
        <f>IF(tblOrdenes[[#This Row],[puesto_trabajo]]="","",_xlfn.XLOOKUP(tblOrdenes[[#This Row],[puesto_trabajo]],tblPuestos[codigo],tblPuestos[especialidad],"(sin catálogo)"))</f>
        <v/>
      </c>
      <c r="Z214" s="3">
        <f>IF(tblOrdenes[[#This Row],[cod_actividad]]="","",_xlfn.XLOOKUP(tblOrdenes[[#This Row],[cod_actividad]],tblActividades[codigo],tblActividades[descripcion],"(sin catálogo)"))</f>
        <v/>
      </c>
      <c r="AA214" s="12">
        <f>IF(tblOrdenes[[#This Row],[fecha_inicio]]="","",TODAY()-tblOrdenes[[#This Row],[fecha_inicio]])</f>
        <v/>
      </c>
      <c r="AB2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3">
        <f>IF(tblOrdenes[[#This Row],[backlog_habiles]]="","",IF(tblOrdenes[[#This Row],[backlog_habiles]]&lt;0,"FUTURO",IF(tblOrdenes[[#This Row],[backlog_habiles]]&gt;p_dias_backlog_max,"BACKLOG","MES CORRIENTE")))</f>
        <v/>
      </c>
      <c r="AD214" s="3">
        <f>IF(tblOrdenes[[#This Row],[backlog_habiles]]="",FALSE,AND(tblOrdenes[[#This Row],[backlog_habiles]]&gt;p_dias_backlog_min,tblOrdenes[[#This Row],[backlog_habiles]]&lt;=p_dias_backlog_max))</f>
        <v/>
      </c>
      <c r="AE214" s="6" t="n"/>
      <c r="AF2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0">
        <f>IF(tblOrdenes[[#This Row],[orden]]="","",_xlfn.XLOOKUP(tblOrdenes[[#This Row],[id_operacion]],tblEjecucion[id_operacion],tblEjecucion[precio],0))</f>
        <v/>
      </c>
      <c r="AJ214" s="10">
        <f>IF(tblOrdenes[[#This Row],[orden]]="","",MAX(0,_xlfn.XLOOKUP(tblOrdenes[[#This Row],[id_operacion]],tblEjecucion[id_operacion],tblEjecucion[costo_plan_total],0)-tblOrdenes[[#This Row],[costo_servicio]]))</f>
        <v/>
      </c>
      <c r="AK214" s="10">
        <f>IF(tblOrdenes[[#This Row],[orden]]="","",tblOrdenes[[#This Row],[costo_servicio]]+tblOrdenes[[#This Row],[costo_materiales]])</f>
        <v/>
      </c>
      <c r="AL214" s="6" t="n"/>
      <c r="AM214" s="6" t="n"/>
      <c r="AN214" s="6" t="n"/>
      <c r="AO214" s="3">
        <f>IF(tblOrdenes[[#This Row],[link_checklist]]="","",HYPERLINK(p_ruta_base_checklists&amp;tblOrdenes[[#This Row],[link_checklist]],"abrir"))</f>
        <v/>
      </c>
      <c r="AP214" s="6" t="n"/>
      <c r="AQ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3">
        <f>IF(tblOrdenes[[#This Row],[tipo_ot]]="","",_xlfn.XLOOKUP(tblOrdenes[[#This Row],[tipo_ot]],tblTiposOT[codigo],tblTiposOT[clasificacion],"sin_clasificar"))</f>
        <v/>
      </c>
      <c r="U215" s="3">
        <f>IF(tblOrdenes[[#This Row],[centro_costo]]="","",_xlfn.XLOOKUP(tblOrdenes[[#This Row],[centro_costo]],tblCECO[codigo],tblCECO[linea],"(sin catálogo)"))</f>
        <v/>
      </c>
      <c r="V215" s="3">
        <f>IF(tblOrdenes[[#This Row],[centro_costo]]="","",_xlfn.XLOOKUP(tblOrdenes[[#This Row],[centro_costo]],tblCECO[codigo],tblCECO[area],"(sin catálogo)"))</f>
        <v/>
      </c>
      <c r="W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3">
        <f>IF(tblOrdenes[[#This Row],[centro_costo]]="","",_xlfn.XLOOKUP(tblOrdenes[[#This Row],[centro_costo]],tblCECO[codigo],tblCECO[coordinador],"(sin catálogo)"))</f>
        <v/>
      </c>
      <c r="Y215" s="3">
        <f>IF(tblOrdenes[[#This Row],[puesto_trabajo]]="","",_xlfn.XLOOKUP(tblOrdenes[[#This Row],[puesto_trabajo]],tblPuestos[codigo],tblPuestos[especialidad],"(sin catálogo)"))</f>
        <v/>
      </c>
      <c r="Z215" s="3">
        <f>IF(tblOrdenes[[#This Row],[cod_actividad]]="","",_xlfn.XLOOKUP(tblOrdenes[[#This Row],[cod_actividad]],tblActividades[codigo],tblActividades[descripcion],"(sin catálogo)"))</f>
        <v/>
      </c>
      <c r="AA215" s="12">
        <f>IF(tblOrdenes[[#This Row],[fecha_inicio]]="","",TODAY()-tblOrdenes[[#This Row],[fecha_inicio]])</f>
        <v/>
      </c>
      <c r="AB2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3">
        <f>IF(tblOrdenes[[#This Row],[backlog_habiles]]="","",IF(tblOrdenes[[#This Row],[backlog_habiles]]&lt;0,"FUTURO",IF(tblOrdenes[[#This Row],[backlog_habiles]]&gt;p_dias_backlog_max,"BACKLOG","MES CORRIENTE")))</f>
        <v/>
      </c>
      <c r="AD215" s="3">
        <f>IF(tblOrdenes[[#This Row],[backlog_habiles]]="",FALSE,AND(tblOrdenes[[#This Row],[backlog_habiles]]&gt;p_dias_backlog_min,tblOrdenes[[#This Row],[backlog_habiles]]&lt;=p_dias_backlog_max))</f>
        <v/>
      </c>
      <c r="AE215" s="6" t="n"/>
      <c r="AF2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0">
        <f>IF(tblOrdenes[[#This Row],[orden]]="","",_xlfn.XLOOKUP(tblOrdenes[[#This Row],[id_operacion]],tblEjecucion[id_operacion],tblEjecucion[precio],0))</f>
        <v/>
      </c>
      <c r="AJ215" s="10">
        <f>IF(tblOrdenes[[#This Row],[orden]]="","",MAX(0,_xlfn.XLOOKUP(tblOrdenes[[#This Row],[id_operacion]],tblEjecucion[id_operacion],tblEjecucion[costo_plan_total],0)-tblOrdenes[[#This Row],[costo_servicio]]))</f>
        <v/>
      </c>
      <c r="AK215" s="10">
        <f>IF(tblOrdenes[[#This Row],[orden]]="","",tblOrdenes[[#This Row],[costo_servicio]]+tblOrdenes[[#This Row],[costo_materiales]])</f>
        <v/>
      </c>
      <c r="AL215" s="6" t="n"/>
      <c r="AM215" s="6" t="n"/>
      <c r="AN215" s="6" t="n"/>
      <c r="AO215" s="3">
        <f>IF(tblOrdenes[[#This Row],[link_checklist]]="","",HYPERLINK(p_ruta_base_checklists&amp;tblOrdenes[[#This Row],[link_checklist]],"abrir"))</f>
        <v/>
      </c>
      <c r="AP215" s="6" t="n"/>
      <c r="AQ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3">
        <f>IF(tblOrdenes[[#This Row],[tipo_ot]]="","",_xlfn.XLOOKUP(tblOrdenes[[#This Row],[tipo_ot]],tblTiposOT[codigo],tblTiposOT[clasificacion],"sin_clasificar"))</f>
        <v/>
      </c>
      <c r="U216" s="3">
        <f>IF(tblOrdenes[[#This Row],[centro_costo]]="","",_xlfn.XLOOKUP(tblOrdenes[[#This Row],[centro_costo]],tblCECO[codigo],tblCECO[linea],"(sin catálogo)"))</f>
        <v/>
      </c>
      <c r="V216" s="3">
        <f>IF(tblOrdenes[[#This Row],[centro_costo]]="","",_xlfn.XLOOKUP(tblOrdenes[[#This Row],[centro_costo]],tblCECO[codigo],tblCECO[area],"(sin catálogo)"))</f>
        <v/>
      </c>
      <c r="W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3">
        <f>IF(tblOrdenes[[#This Row],[centro_costo]]="","",_xlfn.XLOOKUP(tblOrdenes[[#This Row],[centro_costo]],tblCECO[codigo],tblCECO[coordinador],"(sin catálogo)"))</f>
        <v/>
      </c>
      <c r="Y216" s="3">
        <f>IF(tblOrdenes[[#This Row],[puesto_trabajo]]="","",_xlfn.XLOOKUP(tblOrdenes[[#This Row],[puesto_trabajo]],tblPuestos[codigo],tblPuestos[especialidad],"(sin catálogo)"))</f>
        <v/>
      </c>
      <c r="Z216" s="3">
        <f>IF(tblOrdenes[[#This Row],[cod_actividad]]="","",_xlfn.XLOOKUP(tblOrdenes[[#This Row],[cod_actividad]],tblActividades[codigo],tblActividades[descripcion],"(sin catálogo)"))</f>
        <v/>
      </c>
      <c r="AA216" s="12">
        <f>IF(tblOrdenes[[#This Row],[fecha_inicio]]="","",TODAY()-tblOrdenes[[#This Row],[fecha_inicio]])</f>
        <v/>
      </c>
      <c r="AB2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3">
        <f>IF(tblOrdenes[[#This Row],[backlog_habiles]]="","",IF(tblOrdenes[[#This Row],[backlog_habiles]]&lt;0,"FUTURO",IF(tblOrdenes[[#This Row],[backlog_habiles]]&gt;p_dias_backlog_max,"BACKLOG","MES CORRIENTE")))</f>
        <v/>
      </c>
      <c r="AD216" s="3">
        <f>IF(tblOrdenes[[#This Row],[backlog_habiles]]="",FALSE,AND(tblOrdenes[[#This Row],[backlog_habiles]]&gt;p_dias_backlog_min,tblOrdenes[[#This Row],[backlog_habiles]]&lt;=p_dias_backlog_max))</f>
        <v/>
      </c>
      <c r="AE216" s="6" t="n"/>
      <c r="AF2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0">
        <f>IF(tblOrdenes[[#This Row],[orden]]="","",_xlfn.XLOOKUP(tblOrdenes[[#This Row],[id_operacion]],tblEjecucion[id_operacion],tblEjecucion[precio],0))</f>
        <v/>
      </c>
      <c r="AJ216" s="10">
        <f>IF(tblOrdenes[[#This Row],[orden]]="","",MAX(0,_xlfn.XLOOKUP(tblOrdenes[[#This Row],[id_operacion]],tblEjecucion[id_operacion],tblEjecucion[costo_plan_total],0)-tblOrdenes[[#This Row],[costo_servicio]]))</f>
        <v/>
      </c>
      <c r="AK216" s="10">
        <f>IF(tblOrdenes[[#This Row],[orden]]="","",tblOrdenes[[#This Row],[costo_servicio]]+tblOrdenes[[#This Row],[costo_materiales]])</f>
        <v/>
      </c>
      <c r="AL216" s="6" t="n"/>
      <c r="AM216" s="6" t="n"/>
      <c r="AN216" s="6" t="n"/>
      <c r="AO216" s="3">
        <f>IF(tblOrdenes[[#This Row],[link_checklist]]="","",HYPERLINK(p_ruta_base_checklists&amp;tblOrdenes[[#This Row],[link_checklist]],"abrir"))</f>
        <v/>
      </c>
      <c r="AP216" s="6" t="n"/>
      <c r="AQ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3">
        <f>IF(tblOrdenes[[#This Row],[tipo_ot]]="","",_xlfn.XLOOKUP(tblOrdenes[[#This Row],[tipo_ot]],tblTiposOT[codigo],tblTiposOT[clasificacion],"sin_clasificar"))</f>
        <v/>
      </c>
      <c r="U217" s="3">
        <f>IF(tblOrdenes[[#This Row],[centro_costo]]="","",_xlfn.XLOOKUP(tblOrdenes[[#This Row],[centro_costo]],tblCECO[codigo],tblCECO[linea],"(sin catálogo)"))</f>
        <v/>
      </c>
      <c r="V217" s="3">
        <f>IF(tblOrdenes[[#This Row],[centro_costo]]="","",_xlfn.XLOOKUP(tblOrdenes[[#This Row],[centro_costo]],tblCECO[codigo],tblCECO[area],"(sin catálogo)"))</f>
        <v/>
      </c>
      <c r="W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3">
        <f>IF(tblOrdenes[[#This Row],[centro_costo]]="","",_xlfn.XLOOKUP(tblOrdenes[[#This Row],[centro_costo]],tblCECO[codigo],tblCECO[coordinador],"(sin catálogo)"))</f>
        <v/>
      </c>
      <c r="Y217" s="3">
        <f>IF(tblOrdenes[[#This Row],[puesto_trabajo]]="","",_xlfn.XLOOKUP(tblOrdenes[[#This Row],[puesto_trabajo]],tblPuestos[codigo],tblPuestos[especialidad],"(sin catálogo)"))</f>
        <v/>
      </c>
      <c r="Z217" s="3">
        <f>IF(tblOrdenes[[#This Row],[cod_actividad]]="","",_xlfn.XLOOKUP(tblOrdenes[[#This Row],[cod_actividad]],tblActividades[codigo],tblActividades[descripcion],"(sin catálogo)"))</f>
        <v/>
      </c>
      <c r="AA217" s="12">
        <f>IF(tblOrdenes[[#This Row],[fecha_inicio]]="","",TODAY()-tblOrdenes[[#This Row],[fecha_inicio]])</f>
        <v/>
      </c>
      <c r="AB2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3">
        <f>IF(tblOrdenes[[#This Row],[backlog_habiles]]="","",IF(tblOrdenes[[#This Row],[backlog_habiles]]&lt;0,"FUTURO",IF(tblOrdenes[[#This Row],[backlog_habiles]]&gt;p_dias_backlog_max,"BACKLOG","MES CORRIENTE")))</f>
        <v/>
      </c>
      <c r="AD217" s="3">
        <f>IF(tblOrdenes[[#This Row],[backlog_habiles]]="",FALSE,AND(tblOrdenes[[#This Row],[backlog_habiles]]&gt;p_dias_backlog_min,tblOrdenes[[#This Row],[backlog_habiles]]&lt;=p_dias_backlog_max))</f>
        <v/>
      </c>
      <c r="AE217" s="6" t="n"/>
      <c r="AF2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0">
        <f>IF(tblOrdenes[[#This Row],[orden]]="","",_xlfn.XLOOKUP(tblOrdenes[[#This Row],[id_operacion]],tblEjecucion[id_operacion],tblEjecucion[precio],0))</f>
        <v/>
      </c>
      <c r="AJ217" s="10">
        <f>IF(tblOrdenes[[#This Row],[orden]]="","",MAX(0,_xlfn.XLOOKUP(tblOrdenes[[#This Row],[id_operacion]],tblEjecucion[id_operacion],tblEjecucion[costo_plan_total],0)-tblOrdenes[[#This Row],[costo_servicio]]))</f>
        <v/>
      </c>
      <c r="AK217" s="10">
        <f>IF(tblOrdenes[[#This Row],[orden]]="","",tblOrdenes[[#This Row],[costo_servicio]]+tblOrdenes[[#This Row],[costo_materiales]])</f>
        <v/>
      </c>
      <c r="AL217" s="6" t="n"/>
      <c r="AM217" s="6" t="n"/>
      <c r="AN217" s="6" t="n"/>
      <c r="AO217" s="3">
        <f>IF(tblOrdenes[[#This Row],[link_checklist]]="","",HYPERLINK(p_ruta_base_checklists&amp;tblOrdenes[[#This Row],[link_checklist]],"abrir"))</f>
        <v/>
      </c>
      <c r="AP217" s="6" t="n"/>
      <c r="AQ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3">
        <f>IF(tblOrdenes[[#This Row],[tipo_ot]]="","",_xlfn.XLOOKUP(tblOrdenes[[#This Row],[tipo_ot]],tblTiposOT[codigo],tblTiposOT[clasificacion],"sin_clasificar"))</f>
        <v/>
      </c>
      <c r="U218" s="3">
        <f>IF(tblOrdenes[[#This Row],[centro_costo]]="","",_xlfn.XLOOKUP(tblOrdenes[[#This Row],[centro_costo]],tblCECO[codigo],tblCECO[linea],"(sin catálogo)"))</f>
        <v/>
      </c>
      <c r="V218" s="3">
        <f>IF(tblOrdenes[[#This Row],[centro_costo]]="","",_xlfn.XLOOKUP(tblOrdenes[[#This Row],[centro_costo]],tblCECO[codigo],tblCECO[area],"(sin catálogo)"))</f>
        <v/>
      </c>
      <c r="W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3">
        <f>IF(tblOrdenes[[#This Row],[centro_costo]]="","",_xlfn.XLOOKUP(tblOrdenes[[#This Row],[centro_costo]],tblCECO[codigo],tblCECO[coordinador],"(sin catálogo)"))</f>
        <v/>
      </c>
      <c r="Y218" s="3">
        <f>IF(tblOrdenes[[#This Row],[puesto_trabajo]]="","",_xlfn.XLOOKUP(tblOrdenes[[#This Row],[puesto_trabajo]],tblPuestos[codigo],tblPuestos[especialidad],"(sin catálogo)"))</f>
        <v/>
      </c>
      <c r="Z218" s="3">
        <f>IF(tblOrdenes[[#This Row],[cod_actividad]]="","",_xlfn.XLOOKUP(tblOrdenes[[#This Row],[cod_actividad]],tblActividades[codigo],tblActividades[descripcion],"(sin catálogo)"))</f>
        <v/>
      </c>
      <c r="AA218" s="12">
        <f>IF(tblOrdenes[[#This Row],[fecha_inicio]]="","",TODAY()-tblOrdenes[[#This Row],[fecha_inicio]])</f>
        <v/>
      </c>
      <c r="AB2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3">
        <f>IF(tblOrdenes[[#This Row],[backlog_habiles]]="","",IF(tblOrdenes[[#This Row],[backlog_habiles]]&lt;0,"FUTURO",IF(tblOrdenes[[#This Row],[backlog_habiles]]&gt;p_dias_backlog_max,"BACKLOG","MES CORRIENTE")))</f>
        <v/>
      </c>
      <c r="AD218" s="3">
        <f>IF(tblOrdenes[[#This Row],[backlog_habiles]]="",FALSE,AND(tblOrdenes[[#This Row],[backlog_habiles]]&gt;p_dias_backlog_min,tblOrdenes[[#This Row],[backlog_habiles]]&lt;=p_dias_backlog_max))</f>
        <v/>
      </c>
      <c r="AE218" s="6" t="n"/>
      <c r="AF2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0">
        <f>IF(tblOrdenes[[#This Row],[orden]]="","",_xlfn.XLOOKUP(tblOrdenes[[#This Row],[id_operacion]],tblEjecucion[id_operacion],tblEjecucion[precio],0))</f>
        <v/>
      </c>
      <c r="AJ218" s="10">
        <f>IF(tblOrdenes[[#This Row],[orden]]="","",MAX(0,_xlfn.XLOOKUP(tblOrdenes[[#This Row],[id_operacion]],tblEjecucion[id_operacion],tblEjecucion[costo_plan_total],0)-tblOrdenes[[#This Row],[costo_servicio]]))</f>
        <v/>
      </c>
      <c r="AK218" s="10">
        <f>IF(tblOrdenes[[#This Row],[orden]]="","",tblOrdenes[[#This Row],[costo_servicio]]+tblOrdenes[[#This Row],[costo_materiales]])</f>
        <v/>
      </c>
      <c r="AL218" s="6" t="n"/>
      <c r="AM218" s="6" t="n"/>
      <c r="AN218" s="6" t="n"/>
      <c r="AO218" s="3">
        <f>IF(tblOrdenes[[#This Row],[link_checklist]]="","",HYPERLINK(p_ruta_base_checklists&amp;tblOrdenes[[#This Row],[link_checklist]],"abrir"))</f>
        <v/>
      </c>
      <c r="AP218" s="6" t="n"/>
      <c r="AQ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3">
        <f>IF(tblOrdenes[[#This Row],[tipo_ot]]="","",_xlfn.XLOOKUP(tblOrdenes[[#This Row],[tipo_ot]],tblTiposOT[codigo],tblTiposOT[clasificacion],"sin_clasificar"))</f>
        <v/>
      </c>
      <c r="U219" s="3">
        <f>IF(tblOrdenes[[#This Row],[centro_costo]]="","",_xlfn.XLOOKUP(tblOrdenes[[#This Row],[centro_costo]],tblCECO[codigo],tblCECO[linea],"(sin catálogo)"))</f>
        <v/>
      </c>
      <c r="V219" s="3">
        <f>IF(tblOrdenes[[#This Row],[centro_costo]]="","",_xlfn.XLOOKUP(tblOrdenes[[#This Row],[centro_costo]],tblCECO[codigo],tblCECO[area],"(sin catálogo)"))</f>
        <v/>
      </c>
      <c r="W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3">
        <f>IF(tblOrdenes[[#This Row],[centro_costo]]="","",_xlfn.XLOOKUP(tblOrdenes[[#This Row],[centro_costo]],tblCECO[codigo],tblCECO[coordinador],"(sin catálogo)"))</f>
        <v/>
      </c>
      <c r="Y219" s="3">
        <f>IF(tblOrdenes[[#This Row],[puesto_trabajo]]="","",_xlfn.XLOOKUP(tblOrdenes[[#This Row],[puesto_trabajo]],tblPuestos[codigo],tblPuestos[especialidad],"(sin catálogo)"))</f>
        <v/>
      </c>
      <c r="Z219" s="3">
        <f>IF(tblOrdenes[[#This Row],[cod_actividad]]="","",_xlfn.XLOOKUP(tblOrdenes[[#This Row],[cod_actividad]],tblActividades[codigo],tblActividades[descripcion],"(sin catálogo)"))</f>
        <v/>
      </c>
      <c r="AA219" s="12">
        <f>IF(tblOrdenes[[#This Row],[fecha_inicio]]="","",TODAY()-tblOrdenes[[#This Row],[fecha_inicio]])</f>
        <v/>
      </c>
      <c r="AB2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3">
        <f>IF(tblOrdenes[[#This Row],[backlog_habiles]]="","",IF(tblOrdenes[[#This Row],[backlog_habiles]]&lt;0,"FUTURO",IF(tblOrdenes[[#This Row],[backlog_habiles]]&gt;p_dias_backlog_max,"BACKLOG","MES CORRIENTE")))</f>
        <v/>
      </c>
      <c r="AD219" s="3">
        <f>IF(tblOrdenes[[#This Row],[backlog_habiles]]="",FALSE,AND(tblOrdenes[[#This Row],[backlog_habiles]]&gt;p_dias_backlog_min,tblOrdenes[[#This Row],[backlog_habiles]]&lt;=p_dias_backlog_max))</f>
        <v/>
      </c>
      <c r="AE219" s="6" t="n"/>
      <c r="AF2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0">
        <f>IF(tblOrdenes[[#This Row],[orden]]="","",_xlfn.XLOOKUP(tblOrdenes[[#This Row],[id_operacion]],tblEjecucion[id_operacion],tblEjecucion[precio],0))</f>
        <v/>
      </c>
      <c r="AJ219" s="10">
        <f>IF(tblOrdenes[[#This Row],[orden]]="","",MAX(0,_xlfn.XLOOKUP(tblOrdenes[[#This Row],[id_operacion]],tblEjecucion[id_operacion],tblEjecucion[costo_plan_total],0)-tblOrdenes[[#This Row],[costo_servicio]]))</f>
        <v/>
      </c>
      <c r="AK219" s="10">
        <f>IF(tblOrdenes[[#This Row],[orden]]="","",tblOrdenes[[#This Row],[costo_servicio]]+tblOrdenes[[#This Row],[costo_materiales]])</f>
        <v/>
      </c>
      <c r="AL219" s="6" t="n"/>
      <c r="AM219" s="6" t="n"/>
      <c r="AN219" s="6" t="n"/>
      <c r="AO219" s="3">
        <f>IF(tblOrdenes[[#This Row],[link_checklist]]="","",HYPERLINK(p_ruta_base_checklists&amp;tblOrdenes[[#This Row],[link_checklist]],"abrir"))</f>
        <v/>
      </c>
      <c r="AP219" s="6" t="n"/>
      <c r="AQ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3">
        <f>IF(tblOrdenes[[#This Row],[tipo_ot]]="","",_xlfn.XLOOKUP(tblOrdenes[[#This Row],[tipo_ot]],tblTiposOT[codigo],tblTiposOT[clasificacion],"sin_clasificar"))</f>
        <v/>
      </c>
      <c r="U220" s="3">
        <f>IF(tblOrdenes[[#This Row],[centro_costo]]="","",_xlfn.XLOOKUP(tblOrdenes[[#This Row],[centro_costo]],tblCECO[codigo],tblCECO[linea],"(sin catálogo)"))</f>
        <v/>
      </c>
      <c r="V220" s="3">
        <f>IF(tblOrdenes[[#This Row],[centro_costo]]="","",_xlfn.XLOOKUP(tblOrdenes[[#This Row],[centro_costo]],tblCECO[codigo],tblCECO[area],"(sin catálogo)"))</f>
        <v/>
      </c>
      <c r="W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3">
        <f>IF(tblOrdenes[[#This Row],[centro_costo]]="","",_xlfn.XLOOKUP(tblOrdenes[[#This Row],[centro_costo]],tblCECO[codigo],tblCECO[coordinador],"(sin catálogo)"))</f>
        <v/>
      </c>
      <c r="Y220" s="3">
        <f>IF(tblOrdenes[[#This Row],[puesto_trabajo]]="","",_xlfn.XLOOKUP(tblOrdenes[[#This Row],[puesto_trabajo]],tblPuestos[codigo],tblPuestos[especialidad],"(sin catálogo)"))</f>
        <v/>
      </c>
      <c r="Z220" s="3">
        <f>IF(tblOrdenes[[#This Row],[cod_actividad]]="","",_xlfn.XLOOKUP(tblOrdenes[[#This Row],[cod_actividad]],tblActividades[codigo],tblActividades[descripcion],"(sin catálogo)"))</f>
        <v/>
      </c>
      <c r="AA220" s="12">
        <f>IF(tblOrdenes[[#This Row],[fecha_inicio]]="","",TODAY()-tblOrdenes[[#This Row],[fecha_inicio]])</f>
        <v/>
      </c>
      <c r="AB2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3">
        <f>IF(tblOrdenes[[#This Row],[backlog_habiles]]="","",IF(tblOrdenes[[#This Row],[backlog_habiles]]&lt;0,"FUTURO",IF(tblOrdenes[[#This Row],[backlog_habiles]]&gt;p_dias_backlog_max,"BACKLOG","MES CORRIENTE")))</f>
        <v/>
      </c>
      <c r="AD220" s="3">
        <f>IF(tblOrdenes[[#This Row],[backlog_habiles]]="",FALSE,AND(tblOrdenes[[#This Row],[backlog_habiles]]&gt;p_dias_backlog_min,tblOrdenes[[#This Row],[backlog_habiles]]&lt;=p_dias_backlog_max))</f>
        <v/>
      </c>
      <c r="AE220" s="6" t="n"/>
      <c r="AF2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0">
        <f>IF(tblOrdenes[[#This Row],[orden]]="","",_xlfn.XLOOKUP(tblOrdenes[[#This Row],[id_operacion]],tblEjecucion[id_operacion],tblEjecucion[precio],0))</f>
        <v/>
      </c>
      <c r="AJ220" s="10">
        <f>IF(tblOrdenes[[#This Row],[orden]]="","",MAX(0,_xlfn.XLOOKUP(tblOrdenes[[#This Row],[id_operacion]],tblEjecucion[id_operacion],tblEjecucion[costo_plan_total],0)-tblOrdenes[[#This Row],[costo_servicio]]))</f>
        <v/>
      </c>
      <c r="AK220" s="10">
        <f>IF(tblOrdenes[[#This Row],[orden]]="","",tblOrdenes[[#This Row],[costo_servicio]]+tblOrdenes[[#This Row],[costo_materiales]])</f>
        <v/>
      </c>
      <c r="AL220" s="6" t="n"/>
      <c r="AM220" s="6" t="n"/>
      <c r="AN220" s="6" t="n"/>
      <c r="AO220" s="3">
        <f>IF(tblOrdenes[[#This Row],[link_checklist]]="","",HYPERLINK(p_ruta_base_checklists&amp;tblOrdenes[[#This Row],[link_checklist]],"abrir"))</f>
        <v/>
      </c>
      <c r="AP220" s="6" t="n"/>
      <c r="AQ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3">
        <f>IF(tblOrdenes[[#This Row],[tipo_ot]]="","",_xlfn.XLOOKUP(tblOrdenes[[#This Row],[tipo_ot]],tblTiposOT[codigo],tblTiposOT[clasificacion],"sin_clasificar"))</f>
        <v/>
      </c>
      <c r="U221" s="3">
        <f>IF(tblOrdenes[[#This Row],[centro_costo]]="","",_xlfn.XLOOKUP(tblOrdenes[[#This Row],[centro_costo]],tblCECO[codigo],tblCECO[linea],"(sin catálogo)"))</f>
        <v/>
      </c>
      <c r="V221" s="3">
        <f>IF(tblOrdenes[[#This Row],[centro_costo]]="","",_xlfn.XLOOKUP(tblOrdenes[[#This Row],[centro_costo]],tblCECO[codigo],tblCECO[area],"(sin catálogo)"))</f>
        <v/>
      </c>
      <c r="W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3">
        <f>IF(tblOrdenes[[#This Row],[centro_costo]]="","",_xlfn.XLOOKUP(tblOrdenes[[#This Row],[centro_costo]],tblCECO[codigo],tblCECO[coordinador],"(sin catálogo)"))</f>
        <v/>
      </c>
      <c r="Y221" s="3">
        <f>IF(tblOrdenes[[#This Row],[puesto_trabajo]]="","",_xlfn.XLOOKUP(tblOrdenes[[#This Row],[puesto_trabajo]],tblPuestos[codigo],tblPuestos[especialidad],"(sin catálogo)"))</f>
        <v/>
      </c>
      <c r="Z221" s="3">
        <f>IF(tblOrdenes[[#This Row],[cod_actividad]]="","",_xlfn.XLOOKUP(tblOrdenes[[#This Row],[cod_actividad]],tblActividades[codigo],tblActividades[descripcion],"(sin catálogo)"))</f>
        <v/>
      </c>
      <c r="AA221" s="12">
        <f>IF(tblOrdenes[[#This Row],[fecha_inicio]]="","",TODAY()-tblOrdenes[[#This Row],[fecha_inicio]])</f>
        <v/>
      </c>
      <c r="AB2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3">
        <f>IF(tblOrdenes[[#This Row],[backlog_habiles]]="","",IF(tblOrdenes[[#This Row],[backlog_habiles]]&lt;0,"FUTURO",IF(tblOrdenes[[#This Row],[backlog_habiles]]&gt;p_dias_backlog_max,"BACKLOG","MES CORRIENTE")))</f>
        <v/>
      </c>
      <c r="AD221" s="3">
        <f>IF(tblOrdenes[[#This Row],[backlog_habiles]]="",FALSE,AND(tblOrdenes[[#This Row],[backlog_habiles]]&gt;p_dias_backlog_min,tblOrdenes[[#This Row],[backlog_habiles]]&lt;=p_dias_backlog_max))</f>
        <v/>
      </c>
      <c r="AE221" s="6" t="n"/>
      <c r="AF2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0">
        <f>IF(tblOrdenes[[#This Row],[orden]]="","",_xlfn.XLOOKUP(tblOrdenes[[#This Row],[id_operacion]],tblEjecucion[id_operacion],tblEjecucion[precio],0))</f>
        <v/>
      </c>
      <c r="AJ221" s="10">
        <f>IF(tblOrdenes[[#This Row],[orden]]="","",MAX(0,_xlfn.XLOOKUP(tblOrdenes[[#This Row],[id_operacion]],tblEjecucion[id_operacion],tblEjecucion[costo_plan_total],0)-tblOrdenes[[#This Row],[costo_servicio]]))</f>
        <v/>
      </c>
      <c r="AK221" s="10">
        <f>IF(tblOrdenes[[#This Row],[orden]]="","",tblOrdenes[[#This Row],[costo_servicio]]+tblOrdenes[[#This Row],[costo_materiales]])</f>
        <v/>
      </c>
      <c r="AL221" s="6" t="n"/>
      <c r="AM221" s="6" t="n"/>
      <c r="AN221" s="6" t="n"/>
      <c r="AO221" s="3">
        <f>IF(tblOrdenes[[#This Row],[link_checklist]]="","",HYPERLINK(p_ruta_base_checklists&amp;tblOrdenes[[#This Row],[link_checklist]],"abrir"))</f>
        <v/>
      </c>
      <c r="AP221" s="6" t="n"/>
      <c r="AQ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3">
        <f>IF(tblOrdenes[[#This Row],[tipo_ot]]="","",_xlfn.XLOOKUP(tblOrdenes[[#This Row],[tipo_ot]],tblTiposOT[codigo],tblTiposOT[clasificacion],"sin_clasificar"))</f>
        <v/>
      </c>
      <c r="U222" s="3">
        <f>IF(tblOrdenes[[#This Row],[centro_costo]]="","",_xlfn.XLOOKUP(tblOrdenes[[#This Row],[centro_costo]],tblCECO[codigo],tblCECO[linea],"(sin catálogo)"))</f>
        <v/>
      </c>
      <c r="V222" s="3">
        <f>IF(tblOrdenes[[#This Row],[centro_costo]]="","",_xlfn.XLOOKUP(tblOrdenes[[#This Row],[centro_costo]],tblCECO[codigo],tblCECO[area],"(sin catálogo)"))</f>
        <v/>
      </c>
      <c r="W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3">
        <f>IF(tblOrdenes[[#This Row],[centro_costo]]="","",_xlfn.XLOOKUP(tblOrdenes[[#This Row],[centro_costo]],tblCECO[codigo],tblCECO[coordinador],"(sin catálogo)"))</f>
        <v/>
      </c>
      <c r="Y222" s="3">
        <f>IF(tblOrdenes[[#This Row],[puesto_trabajo]]="","",_xlfn.XLOOKUP(tblOrdenes[[#This Row],[puesto_trabajo]],tblPuestos[codigo],tblPuestos[especialidad],"(sin catálogo)"))</f>
        <v/>
      </c>
      <c r="Z222" s="3">
        <f>IF(tblOrdenes[[#This Row],[cod_actividad]]="","",_xlfn.XLOOKUP(tblOrdenes[[#This Row],[cod_actividad]],tblActividades[codigo],tblActividades[descripcion],"(sin catálogo)"))</f>
        <v/>
      </c>
      <c r="AA222" s="12">
        <f>IF(tblOrdenes[[#This Row],[fecha_inicio]]="","",TODAY()-tblOrdenes[[#This Row],[fecha_inicio]])</f>
        <v/>
      </c>
      <c r="AB2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3">
        <f>IF(tblOrdenes[[#This Row],[backlog_habiles]]="","",IF(tblOrdenes[[#This Row],[backlog_habiles]]&lt;0,"FUTURO",IF(tblOrdenes[[#This Row],[backlog_habiles]]&gt;p_dias_backlog_max,"BACKLOG","MES CORRIENTE")))</f>
        <v/>
      </c>
      <c r="AD222" s="3">
        <f>IF(tblOrdenes[[#This Row],[backlog_habiles]]="",FALSE,AND(tblOrdenes[[#This Row],[backlog_habiles]]&gt;p_dias_backlog_min,tblOrdenes[[#This Row],[backlog_habiles]]&lt;=p_dias_backlog_max))</f>
        <v/>
      </c>
      <c r="AE222" s="6" t="n"/>
      <c r="AF2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0">
        <f>IF(tblOrdenes[[#This Row],[orden]]="","",_xlfn.XLOOKUP(tblOrdenes[[#This Row],[id_operacion]],tblEjecucion[id_operacion],tblEjecucion[precio],0))</f>
        <v/>
      </c>
      <c r="AJ222" s="10">
        <f>IF(tblOrdenes[[#This Row],[orden]]="","",MAX(0,_xlfn.XLOOKUP(tblOrdenes[[#This Row],[id_operacion]],tblEjecucion[id_operacion],tblEjecucion[costo_plan_total],0)-tblOrdenes[[#This Row],[costo_servicio]]))</f>
        <v/>
      </c>
      <c r="AK222" s="10">
        <f>IF(tblOrdenes[[#This Row],[orden]]="","",tblOrdenes[[#This Row],[costo_servicio]]+tblOrdenes[[#This Row],[costo_materiales]])</f>
        <v/>
      </c>
      <c r="AL222" s="6" t="n"/>
      <c r="AM222" s="6" t="n"/>
      <c r="AN222" s="6" t="n"/>
      <c r="AO222" s="3">
        <f>IF(tblOrdenes[[#This Row],[link_checklist]]="","",HYPERLINK(p_ruta_base_checklists&amp;tblOrdenes[[#This Row],[link_checklist]],"abrir"))</f>
        <v/>
      </c>
      <c r="AP222" s="6" t="n"/>
      <c r="AQ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3">
        <f>IF(tblOrdenes[[#This Row],[tipo_ot]]="","",_xlfn.XLOOKUP(tblOrdenes[[#This Row],[tipo_ot]],tblTiposOT[codigo],tblTiposOT[clasificacion],"sin_clasificar"))</f>
        <v/>
      </c>
      <c r="U223" s="3">
        <f>IF(tblOrdenes[[#This Row],[centro_costo]]="","",_xlfn.XLOOKUP(tblOrdenes[[#This Row],[centro_costo]],tblCECO[codigo],tblCECO[linea],"(sin catálogo)"))</f>
        <v/>
      </c>
      <c r="V223" s="3">
        <f>IF(tblOrdenes[[#This Row],[centro_costo]]="","",_xlfn.XLOOKUP(tblOrdenes[[#This Row],[centro_costo]],tblCECO[codigo],tblCECO[area],"(sin catálogo)"))</f>
        <v/>
      </c>
      <c r="W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3">
        <f>IF(tblOrdenes[[#This Row],[centro_costo]]="","",_xlfn.XLOOKUP(tblOrdenes[[#This Row],[centro_costo]],tblCECO[codigo],tblCECO[coordinador],"(sin catálogo)"))</f>
        <v/>
      </c>
      <c r="Y223" s="3">
        <f>IF(tblOrdenes[[#This Row],[puesto_trabajo]]="","",_xlfn.XLOOKUP(tblOrdenes[[#This Row],[puesto_trabajo]],tblPuestos[codigo],tblPuestos[especialidad],"(sin catálogo)"))</f>
        <v/>
      </c>
      <c r="Z223" s="3">
        <f>IF(tblOrdenes[[#This Row],[cod_actividad]]="","",_xlfn.XLOOKUP(tblOrdenes[[#This Row],[cod_actividad]],tblActividades[codigo],tblActividades[descripcion],"(sin catálogo)"))</f>
        <v/>
      </c>
      <c r="AA223" s="12">
        <f>IF(tblOrdenes[[#This Row],[fecha_inicio]]="","",TODAY()-tblOrdenes[[#This Row],[fecha_inicio]])</f>
        <v/>
      </c>
      <c r="AB2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3">
        <f>IF(tblOrdenes[[#This Row],[backlog_habiles]]="","",IF(tblOrdenes[[#This Row],[backlog_habiles]]&lt;0,"FUTURO",IF(tblOrdenes[[#This Row],[backlog_habiles]]&gt;p_dias_backlog_max,"BACKLOG","MES CORRIENTE")))</f>
        <v/>
      </c>
      <c r="AD223" s="3">
        <f>IF(tblOrdenes[[#This Row],[backlog_habiles]]="",FALSE,AND(tblOrdenes[[#This Row],[backlog_habiles]]&gt;p_dias_backlog_min,tblOrdenes[[#This Row],[backlog_habiles]]&lt;=p_dias_backlog_max))</f>
        <v/>
      </c>
      <c r="AE223" s="6" t="n"/>
      <c r="AF2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0">
        <f>IF(tblOrdenes[[#This Row],[orden]]="","",_xlfn.XLOOKUP(tblOrdenes[[#This Row],[id_operacion]],tblEjecucion[id_operacion],tblEjecucion[precio],0))</f>
        <v/>
      </c>
      <c r="AJ223" s="10">
        <f>IF(tblOrdenes[[#This Row],[orden]]="","",MAX(0,_xlfn.XLOOKUP(tblOrdenes[[#This Row],[id_operacion]],tblEjecucion[id_operacion],tblEjecucion[costo_plan_total],0)-tblOrdenes[[#This Row],[costo_servicio]]))</f>
        <v/>
      </c>
      <c r="AK223" s="10">
        <f>IF(tblOrdenes[[#This Row],[orden]]="","",tblOrdenes[[#This Row],[costo_servicio]]+tblOrdenes[[#This Row],[costo_materiales]])</f>
        <v/>
      </c>
      <c r="AL223" s="6" t="n"/>
      <c r="AM223" s="6" t="n"/>
      <c r="AN223" s="6" t="n"/>
      <c r="AO223" s="3">
        <f>IF(tblOrdenes[[#This Row],[link_checklist]]="","",HYPERLINK(p_ruta_base_checklists&amp;tblOrdenes[[#This Row],[link_checklist]],"abrir"))</f>
        <v/>
      </c>
      <c r="AP223" s="6" t="n"/>
      <c r="AQ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3">
        <f>IF(tblOrdenes[[#This Row],[tipo_ot]]="","",_xlfn.XLOOKUP(tblOrdenes[[#This Row],[tipo_ot]],tblTiposOT[codigo],tblTiposOT[clasificacion],"sin_clasificar"))</f>
        <v/>
      </c>
      <c r="U224" s="3">
        <f>IF(tblOrdenes[[#This Row],[centro_costo]]="","",_xlfn.XLOOKUP(tblOrdenes[[#This Row],[centro_costo]],tblCECO[codigo],tblCECO[linea],"(sin catálogo)"))</f>
        <v/>
      </c>
      <c r="V224" s="3">
        <f>IF(tblOrdenes[[#This Row],[centro_costo]]="","",_xlfn.XLOOKUP(tblOrdenes[[#This Row],[centro_costo]],tblCECO[codigo],tblCECO[area],"(sin catálogo)"))</f>
        <v/>
      </c>
      <c r="W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3">
        <f>IF(tblOrdenes[[#This Row],[centro_costo]]="","",_xlfn.XLOOKUP(tblOrdenes[[#This Row],[centro_costo]],tblCECO[codigo],tblCECO[coordinador],"(sin catálogo)"))</f>
        <v/>
      </c>
      <c r="Y224" s="3">
        <f>IF(tblOrdenes[[#This Row],[puesto_trabajo]]="","",_xlfn.XLOOKUP(tblOrdenes[[#This Row],[puesto_trabajo]],tblPuestos[codigo],tblPuestos[especialidad],"(sin catálogo)"))</f>
        <v/>
      </c>
      <c r="Z224" s="3">
        <f>IF(tblOrdenes[[#This Row],[cod_actividad]]="","",_xlfn.XLOOKUP(tblOrdenes[[#This Row],[cod_actividad]],tblActividades[codigo],tblActividades[descripcion],"(sin catálogo)"))</f>
        <v/>
      </c>
      <c r="AA224" s="12">
        <f>IF(tblOrdenes[[#This Row],[fecha_inicio]]="","",TODAY()-tblOrdenes[[#This Row],[fecha_inicio]])</f>
        <v/>
      </c>
      <c r="AB2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3">
        <f>IF(tblOrdenes[[#This Row],[backlog_habiles]]="","",IF(tblOrdenes[[#This Row],[backlog_habiles]]&lt;0,"FUTURO",IF(tblOrdenes[[#This Row],[backlog_habiles]]&gt;p_dias_backlog_max,"BACKLOG","MES CORRIENTE")))</f>
        <v/>
      </c>
      <c r="AD224" s="3">
        <f>IF(tblOrdenes[[#This Row],[backlog_habiles]]="",FALSE,AND(tblOrdenes[[#This Row],[backlog_habiles]]&gt;p_dias_backlog_min,tblOrdenes[[#This Row],[backlog_habiles]]&lt;=p_dias_backlog_max))</f>
        <v/>
      </c>
      <c r="AE224" s="6" t="n"/>
      <c r="AF2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0">
        <f>IF(tblOrdenes[[#This Row],[orden]]="","",_xlfn.XLOOKUP(tblOrdenes[[#This Row],[id_operacion]],tblEjecucion[id_operacion],tblEjecucion[precio],0))</f>
        <v/>
      </c>
      <c r="AJ224" s="10">
        <f>IF(tblOrdenes[[#This Row],[orden]]="","",MAX(0,_xlfn.XLOOKUP(tblOrdenes[[#This Row],[id_operacion]],tblEjecucion[id_operacion],tblEjecucion[costo_plan_total],0)-tblOrdenes[[#This Row],[costo_servicio]]))</f>
        <v/>
      </c>
      <c r="AK224" s="10">
        <f>IF(tblOrdenes[[#This Row],[orden]]="","",tblOrdenes[[#This Row],[costo_servicio]]+tblOrdenes[[#This Row],[costo_materiales]])</f>
        <v/>
      </c>
      <c r="AL224" s="6" t="n"/>
      <c r="AM224" s="6" t="n"/>
      <c r="AN224" s="6" t="n"/>
      <c r="AO224" s="3">
        <f>IF(tblOrdenes[[#This Row],[link_checklist]]="","",HYPERLINK(p_ruta_base_checklists&amp;tblOrdenes[[#This Row],[link_checklist]],"abrir"))</f>
        <v/>
      </c>
      <c r="AP224" s="6" t="n"/>
      <c r="AQ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3">
        <f>IF(tblOrdenes[[#This Row],[tipo_ot]]="","",_xlfn.XLOOKUP(tblOrdenes[[#This Row],[tipo_ot]],tblTiposOT[codigo],tblTiposOT[clasificacion],"sin_clasificar"))</f>
        <v/>
      </c>
      <c r="U225" s="3">
        <f>IF(tblOrdenes[[#This Row],[centro_costo]]="","",_xlfn.XLOOKUP(tblOrdenes[[#This Row],[centro_costo]],tblCECO[codigo],tblCECO[linea],"(sin catálogo)"))</f>
        <v/>
      </c>
      <c r="V225" s="3">
        <f>IF(tblOrdenes[[#This Row],[centro_costo]]="","",_xlfn.XLOOKUP(tblOrdenes[[#This Row],[centro_costo]],tblCECO[codigo],tblCECO[area],"(sin catálogo)"))</f>
        <v/>
      </c>
      <c r="W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3">
        <f>IF(tblOrdenes[[#This Row],[centro_costo]]="","",_xlfn.XLOOKUP(tblOrdenes[[#This Row],[centro_costo]],tblCECO[codigo],tblCECO[coordinador],"(sin catálogo)"))</f>
        <v/>
      </c>
      <c r="Y225" s="3">
        <f>IF(tblOrdenes[[#This Row],[puesto_trabajo]]="","",_xlfn.XLOOKUP(tblOrdenes[[#This Row],[puesto_trabajo]],tblPuestos[codigo],tblPuestos[especialidad],"(sin catálogo)"))</f>
        <v/>
      </c>
      <c r="Z225" s="3">
        <f>IF(tblOrdenes[[#This Row],[cod_actividad]]="","",_xlfn.XLOOKUP(tblOrdenes[[#This Row],[cod_actividad]],tblActividades[codigo],tblActividades[descripcion],"(sin catálogo)"))</f>
        <v/>
      </c>
      <c r="AA225" s="12">
        <f>IF(tblOrdenes[[#This Row],[fecha_inicio]]="","",TODAY()-tblOrdenes[[#This Row],[fecha_inicio]])</f>
        <v/>
      </c>
      <c r="AB2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3">
        <f>IF(tblOrdenes[[#This Row],[backlog_habiles]]="","",IF(tblOrdenes[[#This Row],[backlog_habiles]]&lt;0,"FUTURO",IF(tblOrdenes[[#This Row],[backlog_habiles]]&gt;p_dias_backlog_max,"BACKLOG","MES CORRIENTE")))</f>
        <v/>
      </c>
      <c r="AD225" s="3">
        <f>IF(tblOrdenes[[#This Row],[backlog_habiles]]="",FALSE,AND(tblOrdenes[[#This Row],[backlog_habiles]]&gt;p_dias_backlog_min,tblOrdenes[[#This Row],[backlog_habiles]]&lt;=p_dias_backlog_max))</f>
        <v/>
      </c>
      <c r="AE225" s="6" t="n"/>
      <c r="AF2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0">
        <f>IF(tblOrdenes[[#This Row],[orden]]="","",_xlfn.XLOOKUP(tblOrdenes[[#This Row],[id_operacion]],tblEjecucion[id_operacion],tblEjecucion[precio],0))</f>
        <v/>
      </c>
      <c r="AJ225" s="10">
        <f>IF(tblOrdenes[[#This Row],[orden]]="","",MAX(0,_xlfn.XLOOKUP(tblOrdenes[[#This Row],[id_operacion]],tblEjecucion[id_operacion],tblEjecucion[costo_plan_total],0)-tblOrdenes[[#This Row],[costo_servicio]]))</f>
        <v/>
      </c>
      <c r="AK225" s="10">
        <f>IF(tblOrdenes[[#This Row],[orden]]="","",tblOrdenes[[#This Row],[costo_servicio]]+tblOrdenes[[#This Row],[costo_materiales]])</f>
        <v/>
      </c>
      <c r="AL225" s="6" t="n"/>
      <c r="AM225" s="6" t="n"/>
      <c r="AN225" s="6" t="n"/>
      <c r="AO225" s="3">
        <f>IF(tblOrdenes[[#This Row],[link_checklist]]="","",HYPERLINK(p_ruta_base_checklists&amp;tblOrdenes[[#This Row],[link_checklist]],"abrir"))</f>
        <v/>
      </c>
      <c r="AP225" s="6" t="n"/>
      <c r="AQ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3">
        <f>IF(tblOrdenes[[#This Row],[tipo_ot]]="","",_xlfn.XLOOKUP(tblOrdenes[[#This Row],[tipo_ot]],tblTiposOT[codigo],tblTiposOT[clasificacion],"sin_clasificar"))</f>
        <v/>
      </c>
      <c r="U226" s="3">
        <f>IF(tblOrdenes[[#This Row],[centro_costo]]="","",_xlfn.XLOOKUP(tblOrdenes[[#This Row],[centro_costo]],tblCECO[codigo],tblCECO[linea],"(sin catálogo)"))</f>
        <v/>
      </c>
      <c r="V226" s="3">
        <f>IF(tblOrdenes[[#This Row],[centro_costo]]="","",_xlfn.XLOOKUP(tblOrdenes[[#This Row],[centro_costo]],tblCECO[codigo],tblCECO[area],"(sin catálogo)"))</f>
        <v/>
      </c>
      <c r="W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3">
        <f>IF(tblOrdenes[[#This Row],[centro_costo]]="","",_xlfn.XLOOKUP(tblOrdenes[[#This Row],[centro_costo]],tblCECO[codigo],tblCECO[coordinador],"(sin catálogo)"))</f>
        <v/>
      </c>
      <c r="Y226" s="3">
        <f>IF(tblOrdenes[[#This Row],[puesto_trabajo]]="","",_xlfn.XLOOKUP(tblOrdenes[[#This Row],[puesto_trabajo]],tblPuestos[codigo],tblPuestos[especialidad],"(sin catálogo)"))</f>
        <v/>
      </c>
      <c r="Z226" s="3">
        <f>IF(tblOrdenes[[#This Row],[cod_actividad]]="","",_xlfn.XLOOKUP(tblOrdenes[[#This Row],[cod_actividad]],tblActividades[codigo],tblActividades[descripcion],"(sin catálogo)"))</f>
        <v/>
      </c>
      <c r="AA226" s="12">
        <f>IF(tblOrdenes[[#This Row],[fecha_inicio]]="","",TODAY()-tblOrdenes[[#This Row],[fecha_inicio]])</f>
        <v/>
      </c>
      <c r="AB2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3">
        <f>IF(tblOrdenes[[#This Row],[backlog_habiles]]="","",IF(tblOrdenes[[#This Row],[backlog_habiles]]&lt;0,"FUTURO",IF(tblOrdenes[[#This Row],[backlog_habiles]]&gt;p_dias_backlog_max,"BACKLOG","MES CORRIENTE")))</f>
        <v/>
      </c>
      <c r="AD226" s="3">
        <f>IF(tblOrdenes[[#This Row],[backlog_habiles]]="",FALSE,AND(tblOrdenes[[#This Row],[backlog_habiles]]&gt;p_dias_backlog_min,tblOrdenes[[#This Row],[backlog_habiles]]&lt;=p_dias_backlog_max))</f>
        <v/>
      </c>
      <c r="AE226" s="6" t="n"/>
      <c r="AF2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0">
        <f>IF(tblOrdenes[[#This Row],[orden]]="","",_xlfn.XLOOKUP(tblOrdenes[[#This Row],[id_operacion]],tblEjecucion[id_operacion],tblEjecucion[precio],0))</f>
        <v/>
      </c>
      <c r="AJ226" s="10">
        <f>IF(tblOrdenes[[#This Row],[orden]]="","",MAX(0,_xlfn.XLOOKUP(tblOrdenes[[#This Row],[id_operacion]],tblEjecucion[id_operacion],tblEjecucion[costo_plan_total],0)-tblOrdenes[[#This Row],[costo_servicio]]))</f>
        <v/>
      </c>
      <c r="AK226" s="10">
        <f>IF(tblOrdenes[[#This Row],[orden]]="","",tblOrdenes[[#This Row],[costo_servicio]]+tblOrdenes[[#This Row],[costo_materiales]])</f>
        <v/>
      </c>
      <c r="AL226" s="6" t="n"/>
      <c r="AM226" s="6" t="n"/>
      <c r="AN226" s="6" t="n"/>
      <c r="AO226" s="3">
        <f>IF(tblOrdenes[[#This Row],[link_checklist]]="","",HYPERLINK(p_ruta_base_checklists&amp;tblOrdenes[[#This Row],[link_checklist]],"abrir"))</f>
        <v/>
      </c>
      <c r="AP226" s="6" t="n"/>
      <c r="AQ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3">
        <f>IF(tblOrdenes[[#This Row],[tipo_ot]]="","",_xlfn.XLOOKUP(tblOrdenes[[#This Row],[tipo_ot]],tblTiposOT[codigo],tblTiposOT[clasificacion],"sin_clasificar"))</f>
        <v/>
      </c>
      <c r="U227" s="3">
        <f>IF(tblOrdenes[[#This Row],[centro_costo]]="","",_xlfn.XLOOKUP(tblOrdenes[[#This Row],[centro_costo]],tblCECO[codigo],tblCECO[linea],"(sin catálogo)"))</f>
        <v/>
      </c>
      <c r="V227" s="3">
        <f>IF(tblOrdenes[[#This Row],[centro_costo]]="","",_xlfn.XLOOKUP(tblOrdenes[[#This Row],[centro_costo]],tblCECO[codigo],tblCECO[area],"(sin catálogo)"))</f>
        <v/>
      </c>
      <c r="W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3">
        <f>IF(tblOrdenes[[#This Row],[centro_costo]]="","",_xlfn.XLOOKUP(tblOrdenes[[#This Row],[centro_costo]],tblCECO[codigo],tblCECO[coordinador],"(sin catálogo)"))</f>
        <v/>
      </c>
      <c r="Y227" s="3">
        <f>IF(tblOrdenes[[#This Row],[puesto_trabajo]]="","",_xlfn.XLOOKUP(tblOrdenes[[#This Row],[puesto_trabajo]],tblPuestos[codigo],tblPuestos[especialidad],"(sin catálogo)"))</f>
        <v/>
      </c>
      <c r="Z227" s="3">
        <f>IF(tblOrdenes[[#This Row],[cod_actividad]]="","",_xlfn.XLOOKUP(tblOrdenes[[#This Row],[cod_actividad]],tblActividades[codigo],tblActividades[descripcion],"(sin catálogo)"))</f>
        <v/>
      </c>
      <c r="AA227" s="12">
        <f>IF(tblOrdenes[[#This Row],[fecha_inicio]]="","",TODAY()-tblOrdenes[[#This Row],[fecha_inicio]])</f>
        <v/>
      </c>
      <c r="AB2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3">
        <f>IF(tblOrdenes[[#This Row],[backlog_habiles]]="","",IF(tblOrdenes[[#This Row],[backlog_habiles]]&lt;0,"FUTURO",IF(tblOrdenes[[#This Row],[backlog_habiles]]&gt;p_dias_backlog_max,"BACKLOG","MES CORRIENTE")))</f>
        <v/>
      </c>
      <c r="AD227" s="3">
        <f>IF(tblOrdenes[[#This Row],[backlog_habiles]]="",FALSE,AND(tblOrdenes[[#This Row],[backlog_habiles]]&gt;p_dias_backlog_min,tblOrdenes[[#This Row],[backlog_habiles]]&lt;=p_dias_backlog_max))</f>
        <v/>
      </c>
      <c r="AE227" s="6" t="n"/>
      <c r="AF2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0">
        <f>IF(tblOrdenes[[#This Row],[orden]]="","",_xlfn.XLOOKUP(tblOrdenes[[#This Row],[id_operacion]],tblEjecucion[id_operacion],tblEjecucion[precio],0))</f>
        <v/>
      </c>
      <c r="AJ227" s="10">
        <f>IF(tblOrdenes[[#This Row],[orden]]="","",MAX(0,_xlfn.XLOOKUP(tblOrdenes[[#This Row],[id_operacion]],tblEjecucion[id_operacion],tblEjecucion[costo_plan_total],0)-tblOrdenes[[#This Row],[costo_servicio]]))</f>
        <v/>
      </c>
      <c r="AK227" s="10">
        <f>IF(tblOrdenes[[#This Row],[orden]]="","",tblOrdenes[[#This Row],[costo_servicio]]+tblOrdenes[[#This Row],[costo_materiales]])</f>
        <v/>
      </c>
      <c r="AL227" s="6" t="n"/>
      <c r="AM227" s="6" t="n"/>
      <c r="AN227" s="6" t="n"/>
      <c r="AO227" s="3">
        <f>IF(tblOrdenes[[#This Row],[link_checklist]]="","",HYPERLINK(p_ruta_base_checklists&amp;tblOrdenes[[#This Row],[link_checklist]],"abrir"))</f>
        <v/>
      </c>
      <c r="AP227" s="6" t="n"/>
      <c r="AQ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3">
        <f>IF(tblOrdenes[[#This Row],[tipo_ot]]="","",_xlfn.XLOOKUP(tblOrdenes[[#This Row],[tipo_ot]],tblTiposOT[codigo],tblTiposOT[clasificacion],"sin_clasificar"))</f>
        <v/>
      </c>
      <c r="U228" s="3">
        <f>IF(tblOrdenes[[#This Row],[centro_costo]]="","",_xlfn.XLOOKUP(tblOrdenes[[#This Row],[centro_costo]],tblCECO[codigo],tblCECO[linea],"(sin catálogo)"))</f>
        <v/>
      </c>
      <c r="V228" s="3">
        <f>IF(tblOrdenes[[#This Row],[centro_costo]]="","",_xlfn.XLOOKUP(tblOrdenes[[#This Row],[centro_costo]],tblCECO[codigo],tblCECO[area],"(sin catálogo)"))</f>
        <v/>
      </c>
      <c r="W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3">
        <f>IF(tblOrdenes[[#This Row],[centro_costo]]="","",_xlfn.XLOOKUP(tblOrdenes[[#This Row],[centro_costo]],tblCECO[codigo],tblCECO[coordinador],"(sin catálogo)"))</f>
        <v/>
      </c>
      <c r="Y228" s="3">
        <f>IF(tblOrdenes[[#This Row],[puesto_trabajo]]="","",_xlfn.XLOOKUP(tblOrdenes[[#This Row],[puesto_trabajo]],tblPuestos[codigo],tblPuestos[especialidad],"(sin catálogo)"))</f>
        <v/>
      </c>
      <c r="Z228" s="3">
        <f>IF(tblOrdenes[[#This Row],[cod_actividad]]="","",_xlfn.XLOOKUP(tblOrdenes[[#This Row],[cod_actividad]],tblActividades[codigo],tblActividades[descripcion],"(sin catálogo)"))</f>
        <v/>
      </c>
      <c r="AA228" s="12">
        <f>IF(tblOrdenes[[#This Row],[fecha_inicio]]="","",TODAY()-tblOrdenes[[#This Row],[fecha_inicio]])</f>
        <v/>
      </c>
      <c r="AB2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3">
        <f>IF(tblOrdenes[[#This Row],[backlog_habiles]]="","",IF(tblOrdenes[[#This Row],[backlog_habiles]]&lt;0,"FUTURO",IF(tblOrdenes[[#This Row],[backlog_habiles]]&gt;p_dias_backlog_max,"BACKLOG","MES CORRIENTE")))</f>
        <v/>
      </c>
      <c r="AD228" s="3">
        <f>IF(tblOrdenes[[#This Row],[backlog_habiles]]="",FALSE,AND(tblOrdenes[[#This Row],[backlog_habiles]]&gt;p_dias_backlog_min,tblOrdenes[[#This Row],[backlog_habiles]]&lt;=p_dias_backlog_max))</f>
        <v/>
      </c>
      <c r="AE228" s="6" t="n"/>
      <c r="AF2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0">
        <f>IF(tblOrdenes[[#This Row],[orden]]="","",_xlfn.XLOOKUP(tblOrdenes[[#This Row],[id_operacion]],tblEjecucion[id_operacion],tblEjecucion[precio],0))</f>
        <v/>
      </c>
      <c r="AJ228" s="10">
        <f>IF(tblOrdenes[[#This Row],[orden]]="","",MAX(0,_xlfn.XLOOKUP(tblOrdenes[[#This Row],[id_operacion]],tblEjecucion[id_operacion],tblEjecucion[costo_plan_total],0)-tblOrdenes[[#This Row],[costo_servicio]]))</f>
        <v/>
      </c>
      <c r="AK228" s="10">
        <f>IF(tblOrdenes[[#This Row],[orden]]="","",tblOrdenes[[#This Row],[costo_servicio]]+tblOrdenes[[#This Row],[costo_materiales]])</f>
        <v/>
      </c>
      <c r="AL228" s="6" t="n"/>
      <c r="AM228" s="6" t="n"/>
      <c r="AN228" s="6" t="n"/>
      <c r="AO228" s="3">
        <f>IF(tblOrdenes[[#This Row],[link_checklist]]="","",HYPERLINK(p_ruta_base_checklists&amp;tblOrdenes[[#This Row],[link_checklist]],"abrir"))</f>
        <v/>
      </c>
      <c r="AP228" s="6" t="n"/>
      <c r="AQ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3">
        <f>IF(tblOrdenes[[#This Row],[tipo_ot]]="","",_xlfn.XLOOKUP(tblOrdenes[[#This Row],[tipo_ot]],tblTiposOT[codigo],tblTiposOT[clasificacion],"sin_clasificar"))</f>
        <v/>
      </c>
      <c r="U229" s="3">
        <f>IF(tblOrdenes[[#This Row],[centro_costo]]="","",_xlfn.XLOOKUP(tblOrdenes[[#This Row],[centro_costo]],tblCECO[codigo],tblCECO[linea],"(sin catálogo)"))</f>
        <v/>
      </c>
      <c r="V229" s="3">
        <f>IF(tblOrdenes[[#This Row],[centro_costo]]="","",_xlfn.XLOOKUP(tblOrdenes[[#This Row],[centro_costo]],tblCECO[codigo],tblCECO[area],"(sin catálogo)"))</f>
        <v/>
      </c>
      <c r="W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3">
        <f>IF(tblOrdenes[[#This Row],[centro_costo]]="","",_xlfn.XLOOKUP(tblOrdenes[[#This Row],[centro_costo]],tblCECO[codigo],tblCECO[coordinador],"(sin catálogo)"))</f>
        <v/>
      </c>
      <c r="Y229" s="3">
        <f>IF(tblOrdenes[[#This Row],[puesto_trabajo]]="","",_xlfn.XLOOKUP(tblOrdenes[[#This Row],[puesto_trabajo]],tblPuestos[codigo],tblPuestos[especialidad],"(sin catálogo)"))</f>
        <v/>
      </c>
      <c r="Z229" s="3">
        <f>IF(tblOrdenes[[#This Row],[cod_actividad]]="","",_xlfn.XLOOKUP(tblOrdenes[[#This Row],[cod_actividad]],tblActividades[codigo],tblActividades[descripcion],"(sin catálogo)"))</f>
        <v/>
      </c>
      <c r="AA229" s="12">
        <f>IF(tblOrdenes[[#This Row],[fecha_inicio]]="","",TODAY()-tblOrdenes[[#This Row],[fecha_inicio]])</f>
        <v/>
      </c>
      <c r="AB2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3">
        <f>IF(tblOrdenes[[#This Row],[backlog_habiles]]="","",IF(tblOrdenes[[#This Row],[backlog_habiles]]&lt;0,"FUTURO",IF(tblOrdenes[[#This Row],[backlog_habiles]]&gt;p_dias_backlog_max,"BACKLOG","MES CORRIENTE")))</f>
        <v/>
      </c>
      <c r="AD229" s="3">
        <f>IF(tblOrdenes[[#This Row],[backlog_habiles]]="",FALSE,AND(tblOrdenes[[#This Row],[backlog_habiles]]&gt;p_dias_backlog_min,tblOrdenes[[#This Row],[backlog_habiles]]&lt;=p_dias_backlog_max))</f>
        <v/>
      </c>
      <c r="AE229" s="6" t="n"/>
      <c r="AF2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0">
        <f>IF(tblOrdenes[[#This Row],[orden]]="","",_xlfn.XLOOKUP(tblOrdenes[[#This Row],[id_operacion]],tblEjecucion[id_operacion],tblEjecucion[precio],0))</f>
        <v/>
      </c>
      <c r="AJ229" s="10">
        <f>IF(tblOrdenes[[#This Row],[orden]]="","",MAX(0,_xlfn.XLOOKUP(tblOrdenes[[#This Row],[id_operacion]],tblEjecucion[id_operacion],tblEjecucion[costo_plan_total],0)-tblOrdenes[[#This Row],[costo_servicio]]))</f>
        <v/>
      </c>
      <c r="AK229" s="10">
        <f>IF(tblOrdenes[[#This Row],[orden]]="","",tblOrdenes[[#This Row],[costo_servicio]]+tblOrdenes[[#This Row],[costo_materiales]])</f>
        <v/>
      </c>
      <c r="AL229" s="6" t="n"/>
      <c r="AM229" s="6" t="n"/>
      <c r="AN229" s="6" t="n"/>
      <c r="AO229" s="3">
        <f>IF(tblOrdenes[[#This Row],[link_checklist]]="","",HYPERLINK(p_ruta_base_checklists&amp;tblOrdenes[[#This Row],[link_checklist]],"abrir"))</f>
        <v/>
      </c>
      <c r="AP229" s="6" t="n"/>
      <c r="AQ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3">
        <f>IF(tblOrdenes[[#This Row],[tipo_ot]]="","",_xlfn.XLOOKUP(tblOrdenes[[#This Row],[tipo_ot]],tblTiposOT[codigo],tblTiposOT[clasificacion],"sin_clasificar"))</f>
        <v/>
      </c>
      <c r="U230" s="3">
        <f>IF(tblOrdenes[[#This Row],[centro_costo]]="","",_xlfn.XLOOKUP(tblOrdenes[[#This Row],[centro_costo]],tblCECO[codigo],tblCECO[linea],"(sin catálogo)"))</f>
        <v/>
      </c>
      <c r="V230" s="3">
        <f>IF(tblOrdenes[[#This Row],[centro_costo]]="","",_xlfn.XLOOKUP(tblOrdenes[[#This Row],[centro_costo]],tblCECO[codigo],tblCECO[area],"(sin catálogo)"))</f>
        <v/>
      </c>
      <c r="W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3">
        <f>IF(tblOrdenes[[#This Row],[centro_costo]]="","",_xlfn.XLOOKUP(tblOrdenes[[#This Row],[centro_costo]],tblCECO[codigo],tblCECO[coordinador],"(sin catálogo)"))</f>
        <v/>
      </c>
      <c r="Y230" s="3">
        <f>IF(tblOrdenes[[#This Row],[puesto_trabajo]]="","",_xlfn.XLOOKUP(tblOrdenes[[#This Row],[puesto_trabajo]],tblPuestos[codigo],tblPuestos[especialidad],"(sin catálogo)"))</f>
        <v/>
      </c>
      <c r="Z230" s="3">
        <f>IF(tblOrdenes[[#This Row],[cod_actividad]]="","",_xlfn.XLOOKUP(tblOrdenes[[#This Row],[cod_actividad]],tblActividades[codigo],tblActividades[descripcion],"(sin catálogo)"))</f>
        <v/>
      </c>
      <c r="AA230" s="12">
        <f>IF(tblOrdenes[[#This Row],[fecha_inicio]]="","",TODAY()-tblOrdenes[[#This Row],[fecha_inicio]])</f>
        <v/>
      </c>
      <c r="AB2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3">
        <f>IF(tblOrdenes[[#This Row],[backlog_habiles]]="","",IF(tblOrdenes[[#This Row],[backlog_habiles]]&lt;0,"FUTURO",IF(tblOrdenes[[#This Row],[backlog_habiles]]&gt;p_dias_backlog_max,"BACKLOG","MES CORRIENTE")))</f>
        <v/>
      </c>
      <c r="AD230" s="3">
        <f>IF(tblOrdenes[[#This Row],[backlog_habiles]]="",FALSE,AND(tblOrdenes[[#This Row],[backlog_habiles]]&gt;p_dias_backlog_min,tblOrdenes[[#This Row],[backlog_habiles]]&lt;=p_dias_backlog_max))</f>
        <v/>
      </c>
      <c r="AE230" s="6" t="n"/>
      <c r="AF2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0">
        <f>IF(tblOrdenes[[#This Row],[orden]]="","",_xlfn.XLOOKUP(tblOrdenes[[#This Row],[id_operacion]],tblEjecucion[id_operacion],tblEjecucion[precio],0))</f>
        <v/>
      </c>
      <c r="AJ230" s="10">
        <f>IF(tblOrdenes[[#This Row],[orden]]="","",MAX(0,_xlfn.XLOOKUP(tblOrdenes[[#This Row],[id_operacion]],tblEjecucion[id_operacion],tblEjecucion[costo_plan_total],0)-tblOrdenes[[#This Row],[costo_servicio]]))</f>
        <v/>
      </c>
      <c r="AK230" s="10">
        <f>IF(tblOrdenes[[#This Row],[orden]]="","",tblOrdenes[[#This Row],[costo_servicio]]+tblOrdenes[[#This Row],[costo_materiales]])</f>
        <v/>
      </c>
      <c r="AL230" s="6" t="n"/>
      <c r="AM230" s="6" t="n"/>
      <c r="AN230" s="6" t="n"/>
      <c r="AO230" s="3">
        <f>IF(tblOrdenes[[#This Row],[link_checklist]]="","",HYPERLINK(p_ruta_base_checklists&amp;tblOrdenes[[#This Row],[link_checklist]],"abrir"))</f>
        <v/>
      </c>
      <c r="AP230" s="6" t="n"/>
      <c r="AQ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3">
        <f>IF(tblOrdenes[[#This Row],[tipo_ot]]="","",_xlfn.XLOOKUP(tblOrdenes[[#This Row],[tipo_ot]],tblTiposOT[codigo],tblTiposOT[clasificacion],"sin_clasificar"))</f>
        <v/>
      </c>
      <c r="U231" s="3">
        <f>IF(tblOrdenes[[#This Row],[centro_costo]]="","",_xlfn.XLOOKUP(tblOrdenes[[#This Row],[centro_costo]],tblCECO[codigo],tblCECO[linea],"(sin catálogo)"))</f>
        <v/>
      </c>
      <c r="V231" s="3">
        <f>IF(tblOrdenes[[#This Row],[centro_costo]]="","",_xlfn.XLOOKUP(tblOrdenes[[#This Row],[centro_costo]],tblCECO[codigo],tblCECO[area],"(sin catálogo)"))</f>
        <v/>
      </c>
      <c r="W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3">
        <f>IF(tblOrdenes[[#This Row],[centro_costo]]="","",_xlfn.XLOOKUP(tblOrdenes[[#This Row],[centro_costo]],tblCECO[codigo],tblCECO[coordinador],"(sin catálogo)"))</f>
        <v/>
      </c>
      <c r="Y231" s="3">
        <f>IF(tblOrdenes[[#This Row],[puesto_trabajo]]="","",_xlfn.XLOOKUP(tblOrdenes[[#This Row],[puesto_trabajo]],tblPuestos[codigo],tblPuestos[especialidad],"(sin catálogo)"))</f>
        <v/>
      </c>
      <c r="Z231" s="3">
        <f>IF(tblOrdenes[[#This Row],[cod_actividad]]="","",_xlfn.XLOOKUP(tblOrdenes[[#This Row],[cod_actividad]],tblActividades[codigo],tblActividades[descripcion],"(sin catálogo)"))</f>
        <v/>
      </c>
      <c r="AA231" s="12">
        <f>IF(tblOrdenes[[#This Row],[fecha_inicio]]="","",TODAY()-tblOrdenes[[#This Row],[fecha_inicio]])</f>
        <v/>
      </c>
      <c r="AB2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3">
        <f>IF(tblOrdenes[[#This Row],[backlog_habiles]]="","",IF(tblOrdenes[[#This Row],[backlog_habiles]]&lt;0,"FUTURO",IF(tblOrdenes[[#This Row],[backlog_habiles]]&gt;p_dias_backlog_max,"BACKLOG","MES CORRIENTE")))</f>
        <v/>
      </c>
      <c r="AD231" s="3">
        <f>IF(tblOrdenes[[#This Row],[backlog_habiles]]="",FALSE,AND(tblOrdenes[[#This Row],[backlog_habiles]]&gt;p_dias_backlog_min,tblOrdenes[[#This Row],[backlog_habiles]]&lt;=p_dias_backlog_max))</f>
        <v/>
      </c>
      <c r="AE231" s="6" t="n"/>
      <c r="AF2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0">
        <f>IF(tblOrdenes[[#This Row],[orden]]="","",_xlfn.XLOOKUP(tblOrdenes[[#This Row],[id_operacion]],tblEjecucion[id_operacion],tblEjecucion[precio],0))</f>
        <v/>
      </c>
      <c r="AJ231" s="10">
        <f>IF(tblOrdenes[[#This Row],[orden]]="","",MAX(0,_xlfn.XLOOKUP(tblOrdenes[[#This Row],[id_operacion]],tblEjecucion[id_operacion],tblEjecucion[costo_plan_total],0)-tblOrdenes[[#This Row],[costo_servicio]]))</f>
        <v/>
      </c>
      <c r="AK231" s="10">
        <f>IF(tblOrdenes[[#This Row],[orden]]="","",tblOrdenes[[#This Row],[costo_servicio]]+tblOrdenes[[#This Row],[costo_materiales]])</f>
        <v/>
      </c>
      <c r="AL231" s="6" t="n"/>
      <c r="AM231" s="6" t="n"/>
      <c r="AN231" s="6" t="n"/>
      <c r="AO231" s="3">
        <f>IF(tblOrdenes[[#This Row],[link_checklist]]="","",HYPERLINK(p_ruta_base_checklists&amp;tblOrdenes[[#This Row],[link_checklist]],"abrir"))</f>
        <v/>
      </c>
      <c r="AP231" s="6" t="n"/>
      <c r="AQ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3">
        <f>IF(tblOrdenes[[#This Row],[tipo_ot]]="","",_xlfn.XLOOKUP(tblOrdenes[[#This Row],[tipo_ot]],tblTiposOT[codigo],tblTiposOT[clasificacion],"sin_clasificar"))</f>
        <v/>
      </c>
      <c r="U232" s="3">
        <f>IF(tblOrdenes[[#This Row],[centro_costo]]="","",_xlfn.XLOOKUP(tblOrdenes[[#This Row],[centro_costo]],tblCECO[codigo],tblCECO[linea],"(sin catálogo)"))</f>
        <v/>
      </c>
      <c r="V232" s="3">
        <f>IF(tblOrdenes[[#This Row],[centro_costo]]="","",_xlfn.XLOOKUP(tblOrdenes[[#This Row],[centro_costo]],tblCECO[codigo],tblCECO[area],"(sin catálogo)"))</f>
        <v/>
      </c>
      <c r="W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3">
        <f>IF(tblOrdenes[[#This Row],[centro_costo]]="","",_xlfn.XLOOKUP(tblOrdenes[[#This Row],[centro_costo]],tblCECO[codigo],tblCECO[coordinador],"(sin catálogo)"))</f>
        <v/>
      </c>
      <c r="Y232" s="3">
        <f>IF(tblOrdenes[[#This Row],[puesto_trabajo]]="","",_xlfn.XLOOKUP(tblOrdenes[[#This Row],[puesto_trabajo]],tblPuestos[codigo],tblPuestos[especialidad],"(sin catálogo)"))</f>
        <v/>
      </c>
      <c r="Z232" s="3">
        <f>IF(tblOrdenes[[#This Row],[cod_actividad]]="","",_xlfn.XLOOKUP(tblOrdenes[[#This Row],[cod_actividad]],tblActividades[codigo],tblActividades[descripcion],"(sin catálogo)"))</f>
        <v/>
      </c>
      <c r="AA232" s="12">
        <f>IF(tblOrdenes[[#This Row],[fecha_inicio]]="","",TODAY()-tblOrdenes[[#This Row],[fecha_inicio]])</f>
        <v/>
      </c>
      <c r="AB2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3">
        <f>IF(tblOrdenes[[#This Row],[backlog_habiles]]="","",IF(tblOrdenes[[#This Row],[backlog_habiles]]&lt;0,"FUTURO",IF(tblOrdenes[[#This Row],[backlog_habiles]]&gt;p_dias_backlog_max,"BACKLOG","MES CORRIENTE")))</f>
        <v/>
      </c>
      <c r="AD232" s="3">
        <f>IF(tblOrdenes[[#This Row],[backlog_habiles]]="",FALSE,AND(tblOrdenes[[#This Row],[backlog_habiles]]&gt;p_dias_backlog_min,tblOrdenes[[#This Row],[backlog_habiles]]&lt;=p_dias_backlog_max))</f>
        <v/>
      </c>
      <c r="AE232" s="6" t="n"/>
      <c r="AF2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0">
        <f>IF(tblOrdenes[[#This Row],[orden]]="","",_xlfn.XLOOKUP(tblOrdenes[[#This Row],[id_operacion]],tblEjecucion[id_operacion],tblEjecucion[precio],0))</f>
        <v/>
      </c>
      <c r="AJ232" s="10">
        <f>IF(tblOrdenes[[#This Row],[orden]]="","",MAX(0,_xlfn.XLOOKUP(tblOrdenes[[#This Row],[id_operacion]],tblEjecucion[id_operacion],tblEjecucion[costo_plan_total],0)-tblOrdenes[[#This Row],[costo_servicio]]))</f>
        <v/>
      </c>
      <c r="AK232" s="10">
        <f>IF(tblOrdenes[[#This Row],[orden]]="","",tblOrdenes[[#This Row],[costo_servicio]]+tblOrdenes[[#This Row],[costo_materiales]])</f>
        <v/>
      </c>
      <c r="AL232" s="6" t="n"/>
      <c r="AM232" s="6" t="n"/>
      <c r="AN232" s="6" t="n"/>
      <c r="AO232" s="3">
        <f>IF(tblOrdenes[[#This Row],[link_checklist]]="","",HYPERLINK(p_ruta_base_checklists&amp;tblOrdenes[[#This Row],[link_checklist]],"abrir"))</f>
        <v/>
      </c>
      <c r="AP232" s="6" t="n"/>
      <c r="AQ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3">
        <f>IF(tblOrdenes[[#This Row],[tipo_ot]]="","",_xlfn.XLOOKUP(tblOrdenes[[#This Row],[tipo_ot]],tblTiposOT[codigo],tblTiposOT[clasificacion],"sin_clasificar"))</f>
        <v/>
      </c>
      <c r="U233" s="3">
        <f>IF(tblOrdenes[[#This Row],[centro_costo]]="","",_xlfn.XLOOKUP(tblOrdenes[[#This Row],[centro_costo]],tblCECO[codigo],tblCECO[linea],"(sin catálogo)"))</f>
        <v/>
      </c>
      <c r="V233" s="3">
        <f>IF(tblOrdenes[[#This Row],[centro_costo]]="","",_xlfn.XLOOKUP(tblOrdenes[[#This Row],[centro_costo]],tblCECO[codigo],tblCECO[area],"(sin catálogo)"))</f>
        <v/>
      </c>
      <c r="W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3">
        <f>IF(tblOrdenes[[#This Row],[centro_costo]]="","",_xlfn.XLOOKUP(tblOrdenes[[#This Row],[centro_costo]],tblCECO[codigo],tblCECO[coordinador],"(sin catálogo)"))</f>
        <v/>
      </c>
      <c r="Y233" s="3">
        <f>IF(tblOrdenes[[#This Row],[puesto_trabajo]]="","",_xlfn.XLOOKUP(tblOrdenes[[#This Row],[puesto_trabajo]],tblPuestos[codigo],tblPuestos[especialidad],"(sin catálogo)"))</f>
        <v/>
      </c>
      <c r="Z233" s="3">
        <f>IF(tblOrdenes[[#This Row],[cod_actividad]]="","",_xlfn.XLOOKUP(tblOrdenes[[#This Row],[cod_actividad]],tblActividades[codigo],tblActividades[descripcion],"(sin catálogo)"))</f>
        <v/>
      </c>
      <c r="AA233" s="12">
        <f>IF(tblOrdenes[[#This Row],[fecha_inicio]]="","",TODAY()-tblOrdenes[[#This Row],[fecha_inicio]])</f>
        <v/>
      </c>
      <c r="AB2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3">
        <f>IF(tblOrdenes[[#This Row],[backlog_habiles]]="","",IF(tblOrdenes[[#This Row],[backlog_habiles]]&lt;0,"FUTURO",IF(tblOrdenes[[#This Row],[backlog_habiles]]&gt;p_dias_backlog_max,"BACKLOG","MES CORRIENTE")))</f>
        <v/>
      </c>
      <c r="AD233" s="3">
        <f>IF(tblOrdenes[[#This Row],[backlog_habiles]]="",FALSE,AND(tblOrdenes[[#This Row],[backlog_habiles]]&gt;p_dias_backlog_min,tblOrdenes[[#This Row],[backlog_habiles]]&lt;=p_dias_backlog_max))</f>
        <v/>
      </c>
      <c r="AE233" s="6" t="n"/>
      <c r="AF2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0">
        <f>IF(tblOrdenes[[#This Row],[orden]]="","",_xlfn.XLOOKUP(tblOrdenes[[#This Row],[id_operacion]],tblEjecucion[id_operacion],tblEjecucion[precio],0))</f>
        <v/>
      </c>
      <c r="AJ233" s="10">
        <f>IF(tblOrdenes[[#This Row],[orden]]="","",MAX(0,_xlfn.XLOOKUP(tblOrdenes[[#This Row],[id_operacion]],tblEjecucion[id_operacion],tblEjecucion[costo_plan_total],0)-tblOrdenes[[#This Row],[costo_servicio]]))</f>
        <v/>
      </c>
      <c r="AK233" s="10">
        <f>IF(tblOrdenes[[#This Row],[orden]]="","",tblOrdenes[[#This Row],[costo_servicio]]+tblOrdenes[[#This Row],[costo_materiales]])</f>
        <v/>
      </c>
      <c r="AL233" s="6" t="n"/>
      <c r="AM233" s="6" t="n"/>
      <c r="AN233" s="6" t="n"/>
      <c r="AO233" s="3">
        <f>IF(tblOrdenes[[#This Row],[link_checklist]]="","",HYPERLINK(p_ruta_base_checklists&amp;tblOrdenes[[#This Row],[link_checklist]],"abrir"))</f>
        <v/>
      </c>
      <c r="AP233" s="6" t="n"/>
      <c r="AQ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3">
        <f>IF(tblOrdenes[[#This Row],[tipo_ot]]="","",_xlfn.XLOOKUP(tblOrdenes[[#This Row],[tipo_ot]],tblTiposOT[codigo],tblTiposOT[clasificacion],"sin_clasificar"))</f>
        <v/>
      </c>
      <c r="U234" s="3">
        <f>IF(tblOrdenes[[#This Row],[centro_costo]]="","",_xlfn.XLOOKUP(tblOrdenes[[#This Row],[centro_costo]],tblCECO[codigo],tblCECO[linea],"(sin catálogo)"))</f>
        <v/>
      </c>
      <c r="V234" s="3">
        <f>IF(tblOrdenes[[#This Row],[centro_costo]]="","",_xlfn.XLOOKUP(tblOrdenes[[#This Row],[centro_costo]],tblCECO[codigo],tblCECO[area],"(sin catálogo)"))</f>
        <v/>
      </c>
      <c r="W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3">
        <f>IF(tblOrdenes[[#This Row],[centro_costo]]="","",_xlfn.XLOOKUP(tblOrdenes[[#This Row],[centro_costo]],tblCECO[codigo],tblCECO[coordinador],"(sin catálogo)"))</f>
        <v/>
      </c>
      <c r="Y234" s="3">
        <f>IF(tblOrdenes[[#This Row],[puesto_trabajo]]="","",_xlfn.XLOOKUP(tblOrdenes[[#This Row],[puesto_trabajo]],tblPuestos[codigo],tblPuestos[especialidad],"(sin catálogo)"))</f>
        <v/>
      </c>
      <c r="Z234" s="3">
        <f>IF(tblOrdenes[[#This Row],[cod_actividad]]="","",_xlfn.XLOOKUP(tblOrdenes[[#This Row],[cod_actividad]],tblActividades[codigo],tblActividades[descripcion],"(sin catálogo)"))</f>
        <v/>
      </c>
      <c r="AA234" s="12">
        <f>IF(tblOrdenes[[#This Row],[fecha_inicio]]="","",TODAY()-tblOrdenes[[#This Row],[fecha_inicio]])</f>
        <v/>
      </c>
      <c r="AB2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3">
        <f>IF(tblOrdenes[[#This Row],[backlog_habiles]]="","",IF(tblOrdenes[[#This Row],[backlog_habiles]]&lt;0,"FUTURO",IF(tblOrdenes[[#This Row],[backlog_habiles]]&gt;p_dias_backlog_max,"BACKLOG","MES CORRIENTE")))</f>
        <v/>
      </c>
      <c r="AD234" s="3">
        <f>IF(tblOrdenes[[#This Row],[backlog_habiles]]="",FALSE,AND(tblOrdenes[[#This Row],[backlog_habiles]]&gt;p_dias_backlog_min,tblOrdenes[[#This Row],[backlog_habiles]]&lt;=p_dias_backlog_max))</f>
        <v/>
      </c>
      <c r="AE234" s="6" t="n"/>
      <c r="AF2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0">
        <f>IF(tblOrdenes[[#This Row],[orden]]="","",_xlfn.XLOOKUP(tblOrdenes[[#This Row],[id_operacion]],tblEjecucion[id_operacion],tblEjecucion[precio],0))</f>
        <v/>
      </c>
      <c r="AJ234" s="10">
        <f>IF(tblOrdenes[[#This Row],[orden]]="","",MAX(0,_xlfn.XLOOKUP(tblOrdenes[[#This Row],[id_operacion]],tblEjecucion[id_operacion],tblEjecucion[costo_plan_total],0)-tblOrdenes[[#This Row],[costo_servicio]]))</f>
        <v/>
      </c>
      <c r="AK234" s="10">
        <f>IF(tblOrdenes[[#This Row],[orden]]="","",tblOrdenes[[#This Row],[costo_servicio]]+tblOrdenes[[#This Row],[costo_materiales]])</f>
        <v/>
      </c>
      <c r="AL234" s="6" t="n"/>
      <c r="AM234" s="6" t="n"/>
      <c r="AN234" s="6" t="n"/>
      <c r="AO234" s="3">
        <f>IF(tblOrdenes[[#This Row],[link_checklist]]="","",HYPERLINK(p_ruta_base_checklists&amp;tblOrdenes[[#This Row],[link_checklist]],"abrir"))</f>
        <v/>
      </c>
      <c r="AP234" s="6" t="n"/>
      <c r="AQ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3">
        <f>IF(tblOrdenes[[#This Row],[tipo_ot]]="","",_xlfn.XLOOKUP(tblOrdenes[[#This Row],[tipo_ot]],tblTiposOT[codigo],tblTiposOT[clasificacion],"sin_clasificar"))</f>
        <v/>
      </c>
      <c r="U235" s="3">
        <f>IF(tblOrdenes[[#This Row],[centro_costo]]="","",_xlfn.XLOOKUP(tblOrdenes[[#This Row],[centro_costo]],tblCECO[codigo],tblCECO[linea],"(sin catálogo)"))</f>
        <v/>
      </c>
      <c r="V235" s="3">
        <f>IF(tblOrdenes[[#This Row],[centro_costo]]="","",_xlfn.XLOOKUP(tblOrdenes[[#This Row],[centro_costo]],tblCECO[codigo],tblCECO[area],"(sin catálogo)"))</f>
        <v/>
      </c>
      <c r="W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3">
        <f>IF(tblOrdenes[[#This Row],[centro_costo]]="","",_xlfn.XLOOKUP(tblOrdenes[[#This Row],[centro_costo]],tblCECO[codigo],tblCECO[coordinador],"(sin catálogo)"))</f>
        <v/>
      </c>
      <c r="Y235" s="3">
        <f>IF(tblOrdenes[[#This Row],[puesto_trabajo]]="","",_xlfn.XLOOKUP(tblOrdenes[[#This Row],[puesto_trabajo]],tblPuestos[codigo],tblPuestos[especialidad],"(sin catálogo)"))</f>
        <v/>
      </c>
      <c r="Z235" s="3">
        <f>IF(tblOrdenes[[#This Row],[cod_actividad]]="","",_xlfn.XLOOKUP(tblOrdenes[[#This Row],[cod_actividad]],tblActividades[codigo],tblActividades[descripcion],"(sin catálogo)"))</f>
        <v/>
      </c>
      <c r="AA235" s="12">
        <f>IF(tblOrdenes[[#This Row],[fecha_inicio]]="","",TODAY()-tblOrdenes[[#This Row],[fecha_inicio]])</f>
        <v/>
      </c>
      <c r="AB2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3">
        <f>IF(tblOrdenes[[#This Row],[backlog_habiles]]="","",IF(tblOrdenes[[#This Row],[backlog_habiles]]&lt;0,"FUTURO",IF(tblOrdenes[[#This Row],[backlog_habiles]]&gt;p_dias_backlog_max,"BACKLOG","MES CORRIENTE")))</f>
        <v/>
      </c>
      <c r="AD235" s="3">
        <f>IF(tblOrdenes[[#This Row],[backlog_habiles]]="",FALSE,AND(tblOrdenes[[#This Row],[backlog_habiles]]&gt;p_dias_backlog_min,tblOrdenes[[#This Row],[backlog_habiles]]&lt;=p_dias_backlog_max))</f>
        <v/>
      </c>
      <c r="AE235" s="6" t="n"/>
      <c r="AF2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0">
        <f>IF(tblOrdenes[[#This Row],[orden]]="","",_xlfn.XLOOKUP(tblOrdenes[[#This Row],[id_operacion]],tblEjecucion[id_operacion],tblEjecucion[precio],0))</f>
        <v/>
      </c>
      <c r="AJ235" s="10">
        <f>IF(tblOrdenes[[#This Row],[orden]]="","",MAX(0,_xlfn.XLOOKUP(tblOrdenes[[#This Row],[id_operacion]],tblEjecucion[id_operacion],tblEjecucion[costo_plan_total],0)-tblOrdenes[[#This Row],[costo_servicio]]))</f>
        <v/>
      </c>
      <c r="AK235" s="10">
        <f>IF(tblOrdenes[[#This Row],[orden]]="","",tblOrdenes[[#This Row],[costo_servicio]]+tblOrdenes[[#This Row],[costo_materiales]])</f>
        <v/>
      </c>
      <c r="AL235" s="6" t="n"/>
      <c r="AM235" s="6" t="n"/>
      <c r="AN235" s="6" t="n"/>
      <c r="AO235" s="3">
        <f>IF(tblOrdenes[[#This Row],[link_checklist]]="","",HYPERLINK(p_ruta_base_checklists&amp;tblOrdenes[[#This Row],[link_checklist]],"abrir"))</f>
        <v/>
      </c>
      <c r="AP235" s="6" t="n"/>
      <c r="AQ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3">
        <f>IF(tblOrdenes[[#This Row],[tipo_ot]]="","",_xlfn.XLOOKUP(tblOrdenes[[#This Row],[tipo_ot]],tblTiposOT[codigo],tblTiposOT[clasificacion],"sin_clasificar"))</f>
        <v/>
      </c>
      <c r="U236" s="3">
        <f>IF(tblOrdenes[[#This Row],[centro_costo]]="","",_xlfn.XLOOKUP(tblOrdenes[[#This Row],[centro_costo]],tblCECO[codigo],tblCECO[linea],"(sin catálogo)"))</f>
        <v/>
      </c>
      <c r="V236" s="3">
        <f>IF(tblOrdenes[[#This Row],[centro_costo]]="","",_xlfn.XLOOKUP(tblOrdenes[[#This Row],[centro_costo]],tblCECO[codigo],tblCECO[area],"(sin catálogo)"))</f>
        <v/>
      </c>
      <c r="W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3">
        <f>IF(tblOrdenes[[#This Row],[centro_costo]]="","",_xlfn.XLOOKUP(tblOrdenes[[#This Row],[centro_costo]],tblCECO[codigo],tblCECO[coordinador],"(sin catálogo)"))</f>
        <v/>
      </c>
      <c r="Y236" s="3">
        <f>IF(tblOrdenes[[#This Row],[puesto_trabajo]]="","",_xlfn.XLOOKUP(tblOrdenes[[#This Row],[puesto_trabajo]],tblPuestos[codigo],tblPuestos[especialidad],"(sin catálogo)"))</f>
        <v/>
      </c>
      <c r="Z236" s="3">
        <f>IF(tblOrdenes[[#This Row],[cod_actividad]]="","",_xlfn.XLOOKUP(tblOrdenes[[#This Row],[cod_actividad]],tblActividades[codigo],tblActividades[descripcion],"(sin catálogo)"))</f>
        <v/>
      </c>
      <c r="AA236" s="12">
        <f>IF(tblOrdenes[[#This Row],[fecha_inicio]]="","",TODAY()-tblOrdenes[[#This Row],[fecha_inicio]])</f>
        <v/>
      </c>
      <c r="AB2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3">
        <f>IF(tblOrdenes[[#This Row],[backlog_habiles]]="","",IF(tblOrdenes[[#This Row],[backlog_habiles]]&lt;0,"FUTURO",IF(tblOrdenes[[#This Row],[backlog_habiles]]&gt;p_dias_backlog_max,"BACKLOG","MES CORRIENTE")))</f>
        <v/>
      </c>
      <c r="AD236" s="3">
        <f>IF(tblOrdenes[[#This Row],[backlog_habiles]]="",FALSE,AND(tblOrdenes[[#This Row],[backlog_habiles]]&gt;p_dias_backlog_min,tblOrdenes[[#This Row],[backlog_habiles]]&lt;=p_dias_backlog_max))</f>
        <v/>
      </c>
      <c r="AE236" s="6" t="n"/>
      <c r="AF2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0">
        <f>IF(tblOrdenes[[#This Row],[orden]]="","",_xlfn.XLOOKUP(tblOrdenes[[#This Row],[id_operacion]],tblEjecucion[id_operacion],tblEjecucion[precio],0))</f>
        <v/>
      </c>
      <c r="AJ236" s="10">
        <f>IF(tblOrdenes[[#This Row],[orden]]="","",MAX(0,_xlfn.XLOOKUP(tblOrdenes[[#This Row],[id_operacion]],tblEjecucion[id_operacion],tblEjecucion[costo_plan_total],0)-tblOrdenes[[#This Row],[costo_servicio]]))</f>
        <v/>
      </c>
      <c r="AK236" s="10">
        <f>IF(tblOrdenes[[#This Row],[orden]]="","",tblOrdenes[[#This Row],[costo_servicio]]+tblOrdenes[[#This Row],[costo_materiales]])</f>
        <v/>
      </c>
      <c r="AL236" s="6" t="n"/>
      <c r="AM236" s="6" t="n"/>
      <c r="AN236" s="6" t="n"/>
      <c r="AO236" s="3">
        <f>IF(tblOrdenes[[#This Row],[link_checklist]]="","",HYPERLINK(p_ruta_base_checklists&amp;tblOrdenes[[#This Row],[link_checklist]],"abrir"))</f>
        <v/>
      </c>
      <c r="AP236" s="6" t="n"/>
      <c r="AQ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3">
        <f>IF(tblOrdenes[[#This Row],[tipo_ot]]="","",_xlfn.XLOOKUP(tblOrdenes[[#This Row],[tipo_ot]],tblTiposOT[codigo],tblTiposOT[clasificacion],"sin_clasificar"))</f>
        <v/>
      </c>
      <c r="U237" s="3">
        <f>IF(tblOrdenes[[#This Row],[centro_costo]]="","",_xlfn.XLOOKUP(tblOrdenes[[#This Row],[centro_costo]],tblCECO[codigo],tblCECO[linea],"(sin catálogo)"))</f>
        <v/>
      </c>
      <c r="V237" s="3">
        <f>IF(tblOrdenes[[#This Row],[centro_costo]]="","",_xlfn.XLOOKUP(tblOrdenes[[#This Row],[centro_costo]],tblCECO[codigo],tblCECO[area],"(sin catálogo)"))</f>
        <v/>
      </c>
      <c r="W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3">
        <f>IF(tblOrdenes[[#This Row],[centro_costo]]="","",_xlfn.XLOOKUP(tblOrdenes[[#This Row],[centro_costo]],tblCECO[codigo],tblCECO[coordinador],"(sin catálogo)"))</f>
        <v/>
      </c>
      <c r="Y237" s="3">
        <f>IF(tblOrdenes[[#This Row],[puesto_trabajo]]="","",_xlfn.XLOOKUP(tblOrdenes[[#This Row],[puesto_trabajo]],tblPuestos[codigo],tblPuestos[especialidad],"(sin catálogo)"))</f>
        <v/>
      </c>
      <c r="Z237" s="3">
        <f>IF(tblOrdenes[[#This Row],[cod_actividad]]="","",_xlfn.XLOOKUP(tblOrdenes[[#This Row],[cod_actividad]],tblActividades[codigo],tblActividades[descripcion],"(sin catálogo)"))</f>
        <v/>
      </c>
      <c r="AA237" s="12">
        <f>IF(tblOrdenes[[#This Row],[fecha_inicio]]="","",TODAY()-tblOrdenes[[#This Row],[fecha_inicio]])</f>
        <v/>
      </c>
      <c r="AB2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3">
        <f>IF(tblOrdenes[[#This Row],[backlog_habiles]]="","",IF(tblOrdenes[[#This Row],[backlog_habiles]]&lt;0,"FUTURO",IF(tblOrdenes[[#This Row],[backlog_habiles]]&gt;p_dias_backlog_max,"BACKLOG","MES CORRIENTE")))</f>
        <v/>
      </c>
      <c r="AD237" s="3">
        <f>IF(tblOrdenes[[#This Row],[backlog_habiles]]="",FALSE,AND(tblOrdenes[[#This Row],[backlog_habiles]]&gt;p_dias_backlog_min,tblOrdenes[[#This Row],[backlog_habiles]]&lt;=p_dias_backlog_max))</f>
        <v/>
      </c>
      <c r="AE237" s="6" t="n"/>
      <c r="AF2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0">
        <f>IF(tblOrdenes[[#This Row],[orden]]="","",_xlfn.XLOOKUP(tblOrdenes[[#This Row],[id_operacion]],tblEjecucion[id_operacion],tblEjecucion[precio],0))</f>
        <v/>
      </c>
      <c r="AJ237" s="10">
        <f>IF(tblOrdenes[[#This Row],[orden]]="","",MAX(0,_xlfn.XLOOKUP(tblOrdenes[[#This Row],[id_operacion]],tblEjecucion[id_operacion],tblEjecucion[costo_plan_total],0)-tblOrdenes[[#This Row],[costo_servicio]]))</f>
        <v/>
      </c>
      <c r="AK237" s="10">
        <f>IF(tblOrdenes[[#This Row],[orden]]="","",tblOrdenes[[#This Row],[costo_servicio]]+tblOrdenes[[#This Row],[costo_materiales]])</f>
        <v/>
      </c>
      <c r="AL237" s="6" t="n"/>
      <c r="AM237" s="6" t="n"/>
      <c r="AN237" s="6" t="n"/>
      <c r="AO237" s="3">
        <f>IF(tblOrdenes[[#This Row],[link_checklist]]="","",HYPERLINK(p_ruta_base_checklists&amp;tblOrdenes[[#This Row],[link_checklist]],"abrir"))</f>
        <v/>
      </c>
      <c r="AP237" s="6" t="n"/>
      <c r="AQ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3">
        <f>IF(tblOrdenes[[#This Row],[tipo_ot]]="","",_xlfn.XLOOKUP(tblOrdenes[[#This Row],[tipo_ot]],tblTiposOT[codigo],tblTiposOT[clasificacion],"sin_clasificar"))</f>
        <v/>
      </c>
      <c r="U238" s="3">
        <f>IF(tblOrdenes[[#This Row],[centro_costo]]="","",_xlfn.XLOOKUP(tblOrdenes[[#This Row],[centro_costo]],tblCECO[codigo],tblCECO[linea],"(sin catálogo)"))</f>
        <v/>
      </c>
      <c r="V238" s="3">
        <f>IF(tblOrdenes[[#This Row],[centro_costo]]="","",_xlfn.XLOOKUP(tblOrdenes[[#This Row],[centro_costo]],tblCECO[codigo],tblCECO[area],"(sin catálogo)"))</f>
        <v/>
      </c>
      <c r="W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3">
        <f>IF(tblOrdenes[[#This Row],[centro_costo]]="","",_xlfn.XLOOKUP(tblOrdenes[[#This Row],[centro_costo]],tblCECO[codigo],tblCECO[coordinador],"(sin catálogo)"))</f>
        <v/>
      </c>
      <c r="Y238" s="3">
        <f>IF(tblOrdenes[[#This Row],[puesto_trabajo]]="","",_xlfn.XLOOKUP(tblOrdenes[[#This Row],[puesto_trabajo]],tblPuestos[codigo],tblPuestos[especialidad],"(sin catálogo)"))</f>
        <v/>
      </c>
      <c r="Z238" s="3">
        <f>IF(tblOrdenes[[#This Row],[cod_actividad]]="","",_xlfn.XLOOKUP(tblOrdenes[[#This Row],[cod_actividad]],tblActividades[codigo],tblActividades[descripcion],"(sin catálogo)"))</f>
        <v/>
      </c>
      <c r="AA238" s="12">
        <f>IF(tblOrdenes[[#This Row],[fecha_inicio]]="","",TODAY()-tblOrdenes[[#This Row],[fecha_inicio]])</f>
        <v/>
      </c>
      <c r="AB2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3">
        <f>IF(tblOrdenes[[#This Row],[backlog_habiles]]="","",IF(tblOrdenes[[#This Row],[backlog_habiles]]&lt;0,"FUTURO",IF(tblOrdenes[[#This Row],[backlog_habiles]]&gt;p_dias_backlog_max,"BACKLOG","MES CORRIENTE")))</f>
        <v/>
      </c>
      <c r="AD238" s="3">
        <f>IF(tblOrdenes[[#This Row],[backlog_habiles]]="",FALSE,AND(tblOrdenes[[#This Row],[backlog_habiles]]&gt;p_dias_backlog_min,tblOrdenes[[#This Row],[backlog_habiles]]&lt;=p_dias_backlog_max))</f>
        <v/>
      </c>
      <c r="AE238" s="6" t="n"/>
      <c r="AF2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0">
        <f>IF(tblOrdenes[[#This Row],[orden]]="","",_xlfn.XLOOKUP(tblOrdenes[[#This Row],[id_operacion]],tblEjecucion[id_operacion],tblEjecucion[precio],0))</f>
        <v/>
      </c>
      <c r="AJ238" s="10">
        <f>IF(tblOrdenes[[#This Row],[orden]]="","",MAX(0,_xlfn.XLOOKUP(tblOrdenes[[#This Row],[id_operacion]],tblEjecucion[id_operacion],tblEjecucion[costo_plan_total],0)-tblOrdenes[[#This Row],[costo_servicio]]))</f>
        <v/>
      </c>
      <c r="AK238" s="10">
        <f>IF(tblOrdenes[[#This Row],[orden]]="","",tblOrdenes[[#This Row],[costo_servicio]]+tblOrdenes[[#This Row],[costo_materiales]])</f>
        <v/>
      </c>
      <c r="AL238" s="6" t="n"/>
      <c r="AM238" s="6" t="n"/>
      <c r="AN238" s="6" t="n"/>
      <c r="AO238" s="3">
        <f>IF(tblOrdenes[[#This Row],[link_checklist]]="","",HYPERLINK(p_ruta_base_checklists&amp;tblOrdenes[[#This Row],[link_checklist]],"abrir"))</f>
        <v/>
      </c>
      <c r="AP238" s="6" t="n"/>
      <c r="AQ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3">
        <f>IF(tblOrdenes[[#This Row],[tipo_ot]]="","",_xlfn.XLOOKUP(tblOrdenes[[#This Row],[tipo_ot]],tblTiposOT[codigo],tblTiposOT[clasificacion],"sin_clasificar"))</f>
        <v/>
      </c>
      <c r="U239" s="3">
        <f>IF(tblOrdenes[[#This Row],[centro_costo]]="","",_xlfn.XLOOKUP(tblOrdenes[[#This Row],[centro_costo]],tblCECO[codigo],tblCECO[linea],"(sin catálogo)"))</f>
        <v/>
      </c>
      <c r="V239" s="3">
        <f>IF(tblOrdenes[[#This Row],[centro_costo]]="","",_xlfn.XLOOKUP(tblOrdenes[[#This Row],[centro_costo]],tblCECO[codigo],tblCECO[area],"(sin catálogo)"))</f>
        <v/>
      </c>
      <c r="W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3">
        <f>IF(tblOrdenes[[#This Row],[centro_costo]]="","",_xlfn.XLOOKUP(tblOrdenes[[#This Row],[centro_costo]],tblCECO[codigo],tblCECO[coordinador],"(sin catálogo)"))</f>
        <v/>
      </c>
      <c r="Y239" s="3">
        <f>IF(tblOrdenes[[#This Row],[puesto_trabajo]]="","",_xlfn.XLOOKUP(tblOrdenes[[#This Row],[puesto_trabajo]],tblPuestos[codigo],tblPuestos[especialidad],"(sin catálogo)"))</f>
        <v/>
      </c>
      <c r="Z239" s="3">
        <f>IF(tblOrdenes[[#This Row],[cod_actividad]]="","",_xlfn.XLOOKUP(tblOrdenes[[#This Row],[cod_actividad]],tblActividades[codigo],tblActividades[descripcion],"(sin catálogo)"))</f>
        <v/>
      </c>
      <c r="AA239" s="12">
        <f>IF(tblOrdenes[[#This Row],[fecha_inicio]]="","",TODAY()-tblOrdenes[[#This Row],[fecha_inicio]])</f>
        <v/>
      </c>
      <c r="AB2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3">
        <f>IF(tblOrdenes[[#This Row],[backlog_habiles]]="","",IF(tblOrdenes[[#This Row],[backlog_habiles]]&lt;0,"FUTURO",IF(tblOrdenes[[#This Row],[backlog_habiles]]&gt;p_dias_backlog_max,"BACKLOG","MES CORRIENTE")))</f>
        <v/>
      </c>
      <c r="AD239" s="3">
        <f>IF(tblOrdenes[[#This Row],[backlog_habiles]]="",FALSE,AND(tblOrdenes[[#This Row],[backlog_habiles]]&gt;p_dias_backlog_min,tblOrdenes[[#This Row],[backlog_habiles]]&lt;=p_dias_backlog_max))</f>
        <v/>
      </c>
      <c r="AE239" s="6" t="n"/>
      <c r="AF2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0">
        <f>IF(tblOrdenes[[#This Row],[orden]]="","",_xlfn.XLOOKUP(tblOrdenes[[#This Row],[id_operacion]],tblEjecucion[id_operacion],tblEjecucion[precio],0))</f>
        <v/>
      </c>
      <c r="AJ239" s="10">
        <f>IF(tblOrdenes[[#This Row],[orden]]="","",MAX(0,_xlfn.XLOOKUP(tblOrdenes[[#This Row],[id_operacion]],tblEjecucion[id_operacion],tblEjecucion[costo_plan_total],0)-tblOrdenes[[#This Row],[costo_servicio]]))</f>
        <v/>
      </c>
      <c r="AK239" s="10">
        <f>IF(tblOrdenes[[#This Row],[orden]]="","",tblOrdenes[[#This Row],[costo_servicio]]+tblOrdenes[[#This Row],[costo_materiales]])</f>
        <v/>
      </c>
      <c r="AL239" s="6" t="n"/>
      <c r="AM239" s="6" t="n"/>
      <c r="AN239" s="6" t="n"/>
      <c r="AO239" s="3">
        <f>IF(tblOrdenes[[#This Row],[link_checklist]]="","",HYPERLINK(p_ruta_base_checklists&amp;tblOrdenes[[#This Row],[link_checklist]],"abrir"))</f>
        <v/>
      </c>
      <c r="AP239" s="6" t="n"/>
      <c r="AQ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3">
        <f>IF(tblOrdenes[[#This Row],[tipo_ot]]="","",_xlfn.XLOOKUP(tblOrdenes[[#This Row],[tipo_ot]],tblTiposOT[codigo],tblTiposOT[clasificacion],"sin_clasificar"))</f>
        <v/>
      </c>
      <c r="U240" s="3">
        <f>IF(tblOrdenes[[#This Row],[centro_costo]]="","",_xlfn.XLOOKUP(tblOrdenes[[#This Row],[centro_costo]],tblCECO[codigo],tblCECO[linea],"(sin catálogo)"))</f>
        <v/>
      </c>
      <c r="V240" s="3">
        <f>IF(tblOrdenes[[#This Row],[centro_costo]]="","",_xlfn.XLOOKUP(tblOrdenes[[#This Row],[centro_costo]],tblCECO[codigo],tblCECO[area],"(sin catálogo)"))</f>
        <v/>
      </c>
      <c r="W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3">
        <f>IF(tblOrdenes[[#This Row],[centro_costo]]="","",_xlfn.XLOOKUP(tblOrdenes[[#This Row],[centro_costo]],tblCECO[codigo],tblCECO[coordinador],"(sin catálogo)"))</f>
        <v/>
      </c>
      <c r="Y240" s="3">
        <f>IF(tblOrdenes[[#This Row],[puesto_trabajo]]="","",_xlfn.XLOOKUP(tblOrdenes[[#This Row],[puesto_trabajo]],tblPuestos[codigo],tblPuestos[especialidad],"(sin catálogo)"))</f>
        <v/>
      </c>
      <c r="Z240" s="3">
        <f>IF(tblOrdenes[[#This Row],[cod_actividad]]="","",_xlfn.XLOOKUP(tblOrdenes[[#This Row],[cod_actividad]],tblActividades[codigo],tblActividades[descripcion],"(sin catálogo)"))</f>
        <v/>
      </c>
      <c r="AA240" s="12">
        <f>IF(tblOrdenes[[#This Row],[fecha_inicio]]="","",TODAY()-tblOrdenes[[#This Row],[fecha_inicio]])</f>
        <v/>
      </c>
      <c r="AB2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3">
        <f>IF(tblOrdenes[[#This Row],[backlog_habiles]]="","",IF(tblOrdenes[[#This Row],[backlog_habiles]]&lt;0,"FUTURO",IF(tblOrdenes[[#This Row],[backlog_habiles]]&gt;p_dias_backlog_max,"BACKLOG","MES CORRIENTE")))</f>
        <v/>
      </c>
      <c r="AD240" s="3">
        <f>IF(tblOrdenes[[#This Row],[backlog_habiles]]="",FALSE,AND(tblOrdenes[[#This Row],[backlog_habiles]]&gt;p_dias_backlog_min,tblOrdenes[[#This Row],[backlog_habiles]]&lt;=p_dias_backlog_max))</f>
        <v/>
      </c>
      <c r="AE240" s="6" t="n"/>
      <c r="AF2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0">
        <f>IF(tblOrdenes[[#This Row],[orden]]="","",_xlfn.XLOOKUP(tblOrdenes[[#This Row],[id_operacion]],tblEjecucion[id_operacion],tblEjecucion[precio],0))</f>
        <v/>
      </c>
      <c r="AJ240" s="10">
        <f>IF(tblOrdenes[[#This Row],[orden]]="","",MAX(0,_xlfn.XLOOKUP(tblOrdenes[[#This Row],[id_operacion]],tblEjecucion[id_operacion],tblEjecucion[costo_plan_total],0)-tblOrdenes[[#This Row],[costo_servicio]]))</f>
        <v/>
      </c>
      <c r="AK240" s="10">
        <f>IF(tblOrdenes[[#This Row],[orden]]="","",tblOrdenes[[#This Row],[costo_servicio]]+tblOrdenes[[#This Row],[costo_materiales]])</f>
        <v/>
      </c>
      <c r="AL240" s="6" t="n"/>
      <c r="AM240" s="6" t="n"/>
      <c r="AN240" s="6" t="n"/>
      <c r="AO240" s="3">
        <f>IF(tblOrdenes[[#This Row],[link_checklist]]="","",HYPERLINK(p_ruta_base_checklists&amp;tblOrdenes[[#This Row],[link_checklist]],"abrir"))</f>
        <v/>
      </c>
      <c r="AP240" s="6" t="n"/>
      <c r="AQ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3">
        <f>IF(tblOrdenes[[#This Row],[tipo_ot]]="","",_xlfn.XLOOKUP(tblOrdenes[[#This Row],[tipo_ot]],tblTiposOT[codigo],tblTiposOT[clasificacion],"sin_clasificar"))</f>
        <v/>
      </c>
      <c r="U241" s="3">
        <f>IF(tblOrdenes[[#This Row],[centro_costo]]="","",_xlfn.XLOOKUP(tblOrdenes[[#This Row],[centro_costo]],tblCECO[codigo],tblCECO[linea],"(sin catálogo)"))</f>
        <v/>
      </c>
      <c r="V241" s="3">
        <f>IF(tblOrdenes[[#This Row],[centro_costo]]="","",_xlfn.XLOOKUP(tblOrdenes[[#This Row],[centro_costo]],tblCECO[codigo],tblCECO[area],"(sin catálogo)"))</f>
        <v/>
      </c>
      <c r="W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3">
        <f>IF(tblOrdenes[[#This Row],[centro_costo]]="","",_xlfn.XLOOKUP(tblOrdenes[[#This Row],[centro_costo]],tblCECO[codigo],tblCECO[coordinador],"(sin catálogo)"))</f>
        <v/>
      </c>
      <c r="Y241" s="3">
        <f>IF(tblOrdenes[[#This Row],[puesto_trabajo]]="","",_xlfn.XLOOKUP(tblOrdenes[[#This Row],[puesto_trabajo]],tblPuestos[codigo],tblPuestos[especialidad],"(sin catálogo)"))</f>
        <v/>
      </c>
      <c r="Z241" s="3">
        <f>IF(tblOrdenes[[#This Row],[cod_actividad]]="","",_xlfn.XLOOKUP(tblOrdenes[[#This Row],[cod_actividad]],tblActividades[codigo],tblActividades[descripcion],"(sin catálogo)"))</f>
        <v/>
      </c>
      <c r="AA241" s="12">
        <f>IF(tblOrdenes[[#This Row],[fecha_inicio]]="","",TODAY()-tblOrdenes[[#This Row],[fecha_inicio]])</f>
        <v/>
      </c>
      <c r="AB2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3">
        <f>IF(tblOrdenes[[#This Row],[backlog_habiles]]="","",IF(tblOrdenes[[#This Row],[backlog_habiles]]&lt;0,"FUTURO",IF(tblOrdenes[[#This Row],[backlog_habiles]]&gt;p_dias_backlog_max,"BACKLOG","MES CORRIENTE")))</f>
        <v/>
      </c>
      <c r="AD241" s="3">
        <f>IF(tblOrdenes[[#This Row],[backlog_habiles]]="",FALSE,AND(tblOrdenes[[#This Row],[backlog_habiles]]&gt;p_dias_backlog_min,tblOrdenes[[#This Row],[backlog_habiles]]&lt;=p_dias_backlog_max))</f>
        <v/>
      </c>
      <c r="AE241" s="6" t="n"/>
      <c r="AF2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0">
        <f>IF(tblOrdenes[[#This Row],[orden]]="","",_xlfn.XLOOKUP(tblOrdenes[[#This Row],[id_operacion]],tblEjecucion[id_operacion],tblEjecucion[precio],0))</f>
        <v/>
      </c>
      <c r="AJ241" s="10">
        <f>IF(tblOrdenes[[#This Row],[orden]]="","",MAX(0,_xlfn.XLOOKUP(tblOrdenes[[#This Row],[id_operacion]],tblEjecucion[id_operacion],tblEjecucion[costo_plan_total],0)-tblOrdenes[[#This Row],[costo_servicio]]))</f>
        <v/>
      </c>
      <c r="AK241" s="10">
        <f>IF(tblOrdenes[[#This Row],[orden]]="","",tblOrdenes[[#This Row],[costo_servicio]]+tblOrdenes[[#This Row],[costo_materiales]])</f>
        <v/>
      </c>
      <c r="AL241" s="6" t="n"/>
      <c r="AM241" s="6" t="n"/>
      <c r="AN241" s="6" t="n"/>
      <c r="AO241" s="3">
        <f>IF(tblOrdenes[[#This Row],[link_checklist]]="","",HYPERLINK(p_ruta_base_checklists&amp;tblOrdenes[[#This Row],[link_checklist]],"abrir"))</f>
        <v/>
      </c>
      <c r="AP241" s="6" t="n"/>
      <c r="AQ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3">
        <f>IF(tblOrdenes[[#This Row],[tipo_ot]]="","",_xlfn.XLOOKUP(tblOrdenes[[#This Row],[tipo_ot]],tblTiposOT[codigo],tblTiposOT[clasificacion],"sin_clasificar"))</f>
        <v/>
      </c>
      <c r="U242" s="3">
        <f>IF(tblOrdenes[[#This Row],[centro_costo]]="","",_xlfn.XLOOKUP(tblOrdenes[[#This Row],[centro_costo]],tblCECO[codigo],tblCECO[linea],"(sin catálogo)"))</f>
        <v/>
      </c>
      <c r="V242" s="3">
        <f>IF(tblOrdenes[[#This Row],[centro_costo]]="","",_xlfn.XLOOKUP(tblOrdenes[[#This Row],[centro_costo]],tblCECO[codigo],tblCECO[area],"(sin catálogo)"))</f>
        <v/>
      </c>
      <c r="W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3">
        <f>IF(tblOrdenes[[#This Row],[centro_costo]]="","",_xlfn.XLOOKUP(tblOrdenes[[#This Row],[centro_costo]],tblCECO[codigo],tblCECO[coordinador],"(sin catálogo)"))</f>
        <v/>
      </c>
      <c r="Y242" s="3">
        <f>IF(tblOrdenes[[#This Row],[puesto_trabajo]]="","",_xlfn.XLOOKUP(tblOrdenes[[#This Row],[puesto_trabajo]],tblPuestos[codigo],tblPuestos[especialidad],"(sin catálogo)"))</f>
        <v/>
      </c>
      <c r="Z242" s="3">
        <f>IF(tblOrdenes[[#This Row],[cod_actividad]]="","",_xlfn.XLOOKUP(tblOrdenes[[#This Row],[cod_actividad]],tblActividades[codigo],tblActividades[descripcion],"(sin catálogo)"))</f>
        <v/>
      </c>
      <c r="AA242" s="12">
        <f>IF(tblOrdenes[[#This Row],[fecha_inicio]]="","",TODAY()-tblOrdenes[[#This Row],[fecha_inicio]])</f>
        <v/>
      </c>
      <c r="AB2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3">
        <f>IF(tblOrdenes[[#This Row],[backlog_habiles]]="","",IF(tblOrdenes[[#This Row],[backlog_habiles]]&lt;0,"FUTURO",IF(tblOrdenes[[#This Row],[backlog_habiles]]&gt;p_dias_backlog_max,"BACKLOG","MES CORRIENTE")))</f>
        <v/>
      </c>
      <c r="AD242" s="3">
        <f>IF(tblOrdenes[[#This Row],[backlog_habiles]]="",FALSE,AND(tblOrdenes[[#This Row],[backlog_habiles]]&gt;p_dias_backlog_min,tblOrdenes[[#This Row],[backlog_habiles]]&lt;=p_dias_backlog_max))</f>
        <v/>
      </c>
      <c r="AE242" s="6" t="n"/>
      <c r="AF2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0">
        <f>IF(tblOrdenes[[#This Row],[orden]]="","",_xlfn.XLOOKUP(tblOrdenes[[#This Row],[id_operacion]],tblEjecucion[id_operacion],tblEjecucion[precio],0))</f>
        <v/>
      </c>
      <c r="AJ242" s="10">
        <f>IF(tblOrdenes[[#This Row],[orden]]="","",MAX(0,_xlfn.XLOOKUP(tblOrdenes[[#This Row],[id_operacion]],tblEjecucion[id_operacion],tblEjecucion[costo_plan_total],0)-tblOrdenes[[#This Row],[costo_servicio]]))</f>
        <v/>
      </c>
      <c r="AK242" s="10">
        <f>IF(tblOrdenes[[#This Row],[orden]]="","",tblOrdenes[[#This Row],[costo_servicio]]+tblOrdenes[[#This Row],[costo_materiales]])</f>
        <v/>
      </c>
      <c r="AL242" s="6" t="n"/>
      <c r="AM242" s="6" t="n"/>
      <c r="AN242" s="6" t="n"/>
      <c r="AO242" s="3">
        <f>IF(tblOrdenes[[#This Row],[link_checklist]]="","",HYPERLINK(p_ruta_base_checklists&amp;tblOrdenes[[#This Row],[link_checklist]],"abrir"))</f>
        <v/>
      </c>
      <c r="AP242" s="6" t="n"/>
      <c r="AQ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3">
        <f>IF(tblOrdenes[[#This Row],[tipo_ot]]="","",_xlfn.XLOOKUP(tblOrdenes[[#This Row],[tipo_ot]],tblTiposOT[codigo],tblTiposOT[clasificacion],"sin_clasificar"))</f>
        <v/>
      </c>
      <c r="U243" s="3">
        <f>IF(tblOrdenes[[#This Row],[centro_costo]]="","",_xlfn.XLOOKUP(tblOrdenes[[#This Row],[centro_costo]],tblCECO[codigo],tblCECO[linea],"(sin catálogo)"))</f>
        <v/>
      </c>
      <c r="V243" s="3">
        <f>IF(tblOrdenes[[#This Row],[centro_costo]]="","",_xlfn.XLOOKUP(tblOrdenes[[#This Row],[centro_costo]],tblCECO[codigo],tblCECO[area],"(sin catálogo)"))</f>
        <v/>
      </c>
      <c r="W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3">
        <f>IF(tblOrdenes[[#This Row],[centro_costo]]="","",_xlfn.XLOOKUP(tblOrdenes[[#This Row],[centro_costo]],tblCECO[codigo],tblCECO[coordinador],"(sin catálogo)"))</f>
        <v/>
      </c>
      <c r="Y243" s="3">
        <f>IF(tblOrdenes[[#This Row],[puesto_trabajo]]="","",_xlfn.XLOOKUP(tblOrdenes[[#This Row],[puesto_trabajo]],tblPuestos[codigo],tblPuestos[especialidad],"(sin catálogo)"))</f>
        <v/>
      </c>
      <c r="Z243" s="3">
        <f>IF(tblOrdenes[[#This Row],[cod_actividad]]="","",_xlfn.XLOOKUP(tblOrdenes[[#This Row],[cod_actividad]],tblActividades[codigo],tblActividades[descripcion],"(sin catálogo)"))</f>
        <v/>
      </c>
      <c r="AA243" s="12">
        <f>IF(tblOrdenes[[#This Row],[fecha_inicio]]="","",TODAY()-tblOrdenes[[#This Row],[fecha_inicio]])</f>
        <v/>
      </c>
      <c r="AB2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3">
        <f>IF(tblOrdenes[[#This Row],[backlog_habiles]]="","",IF(tblOrdenes[[#This Row],[backlog_habiles]]&lt;0,"FUTURO",IF(tblOrdenes[[#This Row],[backlog_habiles]]&gt;p_dias_backlog_max,"BACKLOG","MES CORRIENTE")))</f>
        <v/>
      </c>
      <c r="AD243" s="3">
        <f>IF(tblOrdenes[[#This Row],[backlog_habiles]]="",FALSE,AND(tblOrdenes[[#This Row],[backlog_habiles]]&gt;p_dias_backlog_min,tblOrdenes[[#This Row],[backlog_habiles]]&lt;=p_dias_backlog_max))</f>
        <v/>
      </c>
      <c r="AE243" s="6" t="n"/>
      <c r="AF2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0">
        <f>IF(tblOrdenes[[#This Row],[orden]]="","",_xlfn.XLOOKUP(tblOrdenes[[#This Row],[id_operacion]],tblEjecucion[id_operacion],tblEjecucion[precio],0))</f>
        <v/>
      </c>
      <c r="AJ243" s="10">
        <f>IF(tblOrdenes[[#This Row],[orden]]="","",MAX(0,_xlfn.XLOOKUP(tblOrdenes[[#This Row],[id_operacion]],tblEjecucion[id_operacion],tblEjecucion[costo_plan_total],0)-tblOrdenes[[#This Row],[costo_servicio]]))</f>
        <v/>
      </c>
      <c r="AK243" s="10">
        <f>IF(tblOrdenes[[#This Row],[orden]]="","",tblOrdenes[[#This Row],[costo_servicio]]+tblOrdenes[[#This Row],[costo_materiales]])</f>
        <v/>
      </c>
      <c r="AL243" s="6" t="n"/>
      <c r="AM243" s="6" t="n"/>
      <c r="AN243" s="6" t="n"/>
      <c r="AO243" s="3">
        <f>IF(tblOrdenes[[#This Row],[link_checklist]]="","",HYPERLINK(p_ruta_base_checklists&amp;tblOrdenes[[#This Row],[link_checklist]],"abrir"))</f>
        <v/>
      </c>
      <c r="AP243" s="6" t="n"/>
      <c r="AQ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3">
        <f>IF(tblOrdenes[[#This Row],[tipo_ot]]="","",_xlfn.XLOOKUP(tblOrdenes[[#This Row],[tipo_ot]],tblTiposOT[codigo],tblTiposOT[clasificacion],"sin_clasificar"))</f>
        <v/>
      </c>
      <c r="U244" s="3">
        <f>IF(tblOrdenes[[#This Row],[centro_costo]]="","",_xlfn.XLOOKUP(tblOrdenes[[#This Row],[centro_costo]],tblCECO[codigo],tblCECO[linea],"(sin catálogo)"))</f>
        <v/>
      </c>
      <c r="V244" s="3">
        <f>IF(tblOrdenes[[#This Row],[centro_costo]]="","",_xlfn.XLOOKUP(tblOrdenes[[#This Row],[centro_costo]],tblCECO[codigo],tblCECO[area],"(sin catálogo)"))</f>
        <v/>
      </c>
      <c r="W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3">
        <f>IF(tblOrdenes[[#This Row],[centro_costo]]="","",_xlfn.XLOOKUP(tblOrdenes[[#This Row],[centro_costo]],tblCECO[codigo],tblCECO[coordinador],"(sin catálogo)"))</f>
        <v/>
      </c>
      <c r="Y244" s="3">
        <f>IF(tblOrdenes[[#This Row],[puesto_trabajo]]="","",_xlfn.XLOOKUP(tblOrdenes[[#This Row],[puesto_trabajo]],tblPuestos[codigo],tblPuestos[especialidad],"(sin catálogo)"))</f>
        <v/>
      </c>
      <c r="Z244" s="3">
        <f>IF(tblOrdenes[[#This Row],[cod_actividad]]="","",_xlfn.XLOOKUP(tblOrdenes[[#This Row],[cod_actividad]],tblActividades[codigo],tblActividades[descripcion],"(sin catálogo)"))</f>
        <v/>
      </c>
      <c r="AA244" s="12">
        <f>IF(tblOrdenes[[#This Row],[fecha_inicio]]="","",TODAY()-tblOrdenes[[#This Row],[fecha_inicio]])</f>
        <v/>
      </c>
      <c r="AB2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3">
        <f>IF(tblOrdenes[[#This Row],[backlog_habiles]]="","",IF(tblOrdenes[[#This Row],[backlog_habiles]]&lt;0,"FUTURO",IF(tblOrdenes[[#This Row],[backlog_habiles]]&gt;p_dias_backlog_max,"BACKLOG","MES CORRIENTE")))</f>
        <v/>
      </c>
      <c r="AD244" s="3">
        <f>IF(tblOrdenes[[#This Row],[backlog_habiles]]="",FALSE,AND(tblOrdenes[[#This Row],[backlog_habiles]]&gt;p_dias_backlog_min,tblOrdenes[[#This Row],[backlog_habiles]]&lt;=p_dias_backlog_max))</f>
        <v/>
      </c>
      <c r="AE244" s="6" t="n"/>
      <c r="AF2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0">
        <f>IF(tblOrdenes[[#This Row],[orden]]="","",_xlfn.XLOOKUP(tblOrdenes[[#This Row],[id_operacion]],tblEjecucion[id_operacion],tblEjecucion[precio],0))</f>
        <v/>
      </c>
      <c r="AJ244" s="10">
        <f>IF(tblOrdenes[[#This Row],[orden]]="","",MAX(0,_xlfn.XLOOKUP(tblOrdenes[[#This Row],[id_operacion]],tblEjecucion[id_operacion],tblEjecucion[costo_plan_total],0)-tblOrdenes[[#This Row],[costo_servicio]]))</f>
        <v/>
      </c>
      <c r="AK244" s="10">
        <f>IF(tblOrdenes[[#This Row],[orden]]="","",tblOrdenes[[#This Row],[costo_servicio]]+tblOrdenes[[#This Row],[costo_materiales]])</f>
        <v/>
      </c>
      <c r="AL244" s="6" t="n"/>
      <c r="AM244" s="6" t="n"/>
      <c r="AN244" s="6" t="n"/>
      <c r="AO244" s="3">
        <f>IF(tblOrdenes[[#This Row],[link_checklist]]="","",HYPERLINK(p_ruta_base_checklists&amp;tblOrdenes[[#This Row],[link_checklist]],"abrir"))</f>
        <v/>
      </c>
      <c r="AP244" s="6" t="n"/>
      <c r="AQ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3">
        <f>IF(tblOrdenes[[#This Row],[tipo_ot]]="","",_xlfn.XLOOKUP(tblOrdenes[[#This Row],[tipo_ot]],tblTiposOT[codigo],tblTiposOT[clasificacion],"sin_clasificar"))</f>
        <v/>
      </c>
      <c r="U245" s="3">
        <f>IF(tblOrdenes[[#This Row],[centro_costo]]="","",_xlfn.XLOOKUP(tblOrdenes[[#This Row],[centro_costo]],tblCECO[codigo],tblCECO[linea],"(sin catálogo)"))</f>
        <v/>
      </c>
      <c r="V245" s="3">
        <f>IF(tblOrdenes[[#This Row],[centro_costo]]="","",_xlfn.XLOOKUP(tblOrdenes[[#This Row],[centro_costo]],tblCECO[codigo],tblCECO[area],"(sin catálogo)"))</f>
        <v/>
      </c>
      <c r="W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3">
        <f>IF(tblOrdenes[[#This Row],[centro_costo]]="","",_xlfn.XLOOKUP(tblOrdenes[[#This Row],[centro_costo]],tblCECO[codigo],tblCECO[coordinador],"(sin catálogo)"))</f>
        <v/>
      </c>
      <c r="Y245" s="3">
        <f>IF(tblOrdenes[[#This Row],[puesto_trabajo]]="","",_xlfn.XLOOKUP(tblOrdenes[[#This Row],[puesto_trabajo]],tblPuestos[codigo],tblPuestos[especialidad],"(sin catálogo)"))</f>
        <v/>
      </c>
      <c r="Z245" s="3">
        <f>IF(tblOrdenes[[#This Row],[cod_actividad]]="","",_xlfn.XLOOKUP(tblOrdenes[[#This Row],[cod_actividad]],tblActividades[codigo],tblActividades[descripcion],"(sin catálogo)"))</f>
        <v/>
      </c>
      <c r="AA245" s="12">
        <f>IF(tblOrdenes[[#This Row],[fecha_inicio]]="","",TODAY()-tblOrdenes[[#This Row],[fecha_inicio]])</f>
        <v/>
      </c>
      <c r="AB2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3">
        <f>IF(tblOrdenes[[#This Row],[backlog_habiles]]="","",IF(tblOrdenes[[#This Row],[backlog_habiles]]&lt;0,"FUTURO",IF(tblOrdenes[[#This Row],[backlog_habiles]]&gt;p_dias_backlog_max,"BACKLOG","MES CORRIENTE")))</f>
        <v/>
      </c>
      <c r="AD245" s="3">
        <f>IF(tblOrdenes[[#This Row],[backlog_habiles]]="",FALSE,AND(tblOrdenes[[#This Row],[backlog_habiles]]&gt;p_dias_backlog_min,tblOrdenes[[#This Row],[backlog_habiles]]&lt;=p_dias_backlog_max))</f>
        <v/>
      </c>
      <c r="AE245" s="6" t="n"/>
      <c r="AF2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0">
        <f>IF(tblOrdenes[[#This Row],[orden]]="","",_xlfn.XLOOKUP(tblOrdenes[[#This Row],[id_operacion]],tblEjecucion[id_operacion],tblEjecucion[precio],0))</f>
        <v/>
      </c>
      <c r="AJ245" s="10">
        <f>IF(tblOrdenes[[#This Row],[orden]]="","",MAX(0,_xlfn.XLOOKUP(tblOrdenes[[#This Row],[id_operacion]],tblEjecucion[id_operacion],tblEjecucion[costo_plan_total],0)-tblOrdenes[[#This Row],[costo_servicio]]))</f>
        <v/>
      </c>
      <c r="AK245" s="10">
        <f>IF(tblOrdenes[[#This Row],[orden]]="","",tblOrdenes[[#This Row],[costo_servicio]]+tblOrdenes[[#This Row],[costo_materiales]])</f>
        <v/>
      </c>
      <c r="AL245" s="6" t="n"/>
      <c r="AM245" s="6" t="n"/>
      <c r="AN245" s="6" t="n"/>
      <c r="AO245" s="3">
        <f>IF(tblOrdenes[[#This Row],[link_checklist]]="","",HYPERLINK(p_ruta_base_checklists&amp;tblOrdenes[[#This Row],[link_checklist]],"abrir"))</f>
        <v/>
      </c>
      <c r="AP245" s="6" t="n"/>
      <c r="AQ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3">
        <f>IF(tblOrdenes[[#This Row],[tipo_ot]]="","",_xlfn.XLOOKUP(tblOrdenes[[#This Row],[tipo_ot]],tblTiposOT[codigo],tblTiposOT[clasificacion],"sin_clasificar"))</f>
        <v/>
      </c>
      <c r="U246" s="3">
        <f>IF(tblOrdenes[[#This Row],[centro_costo]]="","",_xlfn.XLOOKUP(tblOrdenes[[#This Row],[centro_costo]],tblCECO[codigo],tblCECO[linea],"(sin catálogo)"))</f>
        <v/>
      </c>
      <c r="V246" s="3">
        <f>IF(tblOrdenes[[#This Row],[centro_costo]]="","",_xlfn.XLOOKUP(tblOrdenes[[#This Row],[centro_costo]],tblCECO[codigo],tblCECO[area],"(sin catálogo)"))</f>
        <v/>
      </c>
      <c r="W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3">
        <f>IF(tblOrdenes[[#This Row],[centro_costo]]="","",_xlfn.XLOOKUP(tblOrdenes[[#This Row],[centro_costo]],tblCECO[codigo],tblCECO[coordinador],"(sin catálogo)"))</f>
        <v/>
      </c>
      <c r="Y246" s="3">
        <f>IF(tblOrdenes[[#This Row],[puesto_trabajo]]="","",_xlfn.XLOOKUP(tblOrdenes[[#This Row],[puesto_trabajo]],tblPuestos[codigo],tblPuestos[especialidad],"(sin catálogo)"))</f>
        <v/>
      </c>
      <c r="Z246" s="3">
        <f>IF(tblOrdenes[[#This Row],[cod_actividad]]="","",_xlfn.XLOOKUP(tblOrdenes[[#This Row],[cod_actividad]],tblActividades[codigo],tblActividades[descripcion],"(sin catálogo)"))</f>
        <v/>
      </c>
      <c r="AA246" s="12">
        <f>IF(tblOrdenes[[#This Row],[fecha_inicio]]="","",TODAY()-tblOrdenes[[#This Row],[fecha_inicio]])</f>
        <v/>
      </c>
      <c r="AB2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3">
        <f>IF(tblOrdenes[[#This Row],[backlog_habiles]]="","",IF(tblOrdenes[[#This Row],[backlog_habiles]]&lt;0,"FUTURO",IF(tblOrdenes[[#This Row],[backlog_habiles]]&gt;p_dias_backlog_max,"BACKLOG","MES CORRIENTE")))</f>
        <v/>
      </c>
      <c r="AD246" s="3">
        <f>IF(tblOrdenes[[#This Row],[backlog_habiles]]="",FALSE,AND(tblOrdenes[[#This Row],[backlog_habiles]]&gt;p_dias_backlog_min,tblOrdenes[[#This Row],[backlog_habiles]]&lt;=p_dias_backlog_max))</f>
        <v/>
      </c>
      <c r="AE246" s="6" t="n"/>
      <c r="AF2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0">
        <f>IF(tblOrdenes[[#This Row],[orden]]="","",_xlfn.XLOOKUP(tblOrdenes[[#This Row],[id_operacion]],tblEjecucion[id_operacion],tblEjecucion[precio],0))</f>
        <v/>
      </c>
      <c r="AJ246" s="10">
        <f>IF(tblOrdenes[[#This Row],[orden]]="","",MAX(0,_xlfn.XLOOKUP(tblOrdenes[[#This Row],[id_operacion]],tblEjecucion[id_operacion],tblEjecucion[costo_plan_total],0)-tblOrdenes[[#This Row],[costo_servicio]]))</f>
        <v/>
      </c>
      <c r="AK246" s="10">
        <f>IF(tblOrdenes[[#This Row],[orden]]="","",tblOrdenes[[#This Row],[costo_servicio]]+tblOrdenes[[#This Row],[costo_materiales]])</f>
        <v/>
      </c>
      <c r="AL246" s="6" t="n"/>
      <c r="AM246" s="6" t="n"/>
      <c r="AN246" s="6" t="n"/>
      <c r="AO246" s="3">
        <f>IF(tblOrdenes[[#This Row],[link_checklist]]="","",HYPERLINK(p_ruta_base_checklists&amp;tblOrdenes[[#This Row],[link_checklist]],"abrir"))</f>
        <v/>
      </c>
      <c r="AP246" s="6" t="n"/>
      <c r="AQ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3">
        <f>IF(tblOrdenes[[#This Row],[tipo_ot]]="","",_xlfn.XLOOKUP(tblOrdenes[[#This Row],[tipo_ot]],tblTiposOT[codigo],tblTiposOT[clasificacion],"sin_clasificar"))</f>
        <v/>
      </c>
      <c r="U247" s="3">
        <f>IF(tblOrdenes[[#This Row],[centro_costo]]="","",_xlfn.XLOOKUP(tblOrdenes[[#This Row],[centro_costo]],tblCECO[codigo],tblCECO[linea],"(sin catálogo)"))</f>
        <v/>
      </c>
      <c r="V247" s="3">
        <f>IF(tblOrdenes[[#This Row],[centro_costo]]="","",_xlfn.XLOOKUP(tblOrdenes[[#This Row],[centro_costo]],tblCECO[codigo],tblCECO[area],"(sin catálogo)"))</f>
        <v/>
      </c>
      <c r="W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3">
        <f>IF(tblOrdenes[[#This Row],[centro_costo]]="","",_xlfn.XLOOKUP(tblOrdenes[[#This Row],[centro_costo]],tblCECO[codigo],tblCECO[coordinador],"(sin catálogo)"))</f>
        <v/>
      </c>
      <c r="Y247" s="3">
        <f>IF(tblOrdenes[[#This Row],[puesto_trabajo]]="","",_xlfn.XLOOKUP(tblOrdenes[[#This Row],[puesto_trabajo]],tblPuestos[codigo],tblPuestos[especialidad],"(sin catálogo)"))</f>
        <v/>
      </c>
      <c r="Z247" s="3">
        <f>IF(tblOrdenes[[#This Row],[cod_actividad]]="","",_xlfn.XLOOKUP(tblOrdenes[[#This Row],[cod_actividad]],tblActividades[codigo],tblActividades[descripcion],"(sin catálogo)"))</f>
        <v/>
      </c>
      <c r="AA247" s="12">
        <f>IF(tblOrdenes[[#This Row],[fecha_inicio]]="","",TODAY()-tblOrdenes[[#This Row],[fecha_inicio]])</f>
        <v/>
      </c>
      <c r="AB2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3">
        <f>IF(tblOrdenes[[#This Row],[backlog_habiles]]="","",IF(tblOrdenes[[#This Row],[backlog_habiles]]&lt;0,"FUTURO",IF(tblOrdenes[[#This Row],[backlog_habiles]]&gt;p_dias_backlog_max,"BACKLOG","MES CORRIENTE")))</f>
        <v/>
      </c>
      <c r="AD247" s="3">
        <f>IF(tblOrdenes[[#This Row],[backlog_habiles]]="",FALSE,AND(tblOrdenes[[#This Row],[backlog_habiles]]&gt;p_dias_backlog_min,tblOrdenes[[#This Row],[backlog_habiles]]&lt;=p_dias_backlog_max))</f>
        <v/>
      </c>
      <c r="AE247" s="6" t="n"/>
      <c r="AF2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0">
        <f>IF(tblOrdenes[[#This Row],[orden]]="","",_xlfn.XLOOKUP(tblOrdenes[[#This Row],[id_operacion]],tblEjecucion[id_operacion],tblEjecucion[precio],0))</f>
        <v/>
      </c>
      <c r="AJ247" s="10">
        <f>IF(tblOrdenes[[#This Row],[orden]]="","",MAX(0,_xlfn.XLOOKUP(tblOrdenes[[#This Row],[id_operacion]],tblEjecucion[id_operacion],tblEjecucion[costo_plan_total],0)-tblOrdenes[[#This Row],[costo_servicio]]))</f>
        <v/>
      </c>
      <c r="AK247" s="10">
        <f>IF(tblOrdenes[[#This Row],[orden]]="","",tblOrdenes[[#This Row],[costo_servicio]]+tblOrdenes[[#This Row],[costo_materiales]])</f>
        <v/>
      </c>
      <c r="AL247" s="6" t="n"/>
      <c r="AM247" s="6" t="n"/>
      <c r="AN247" s="6" t="n"/>
      <c r="AO247" s="3">
        <f>IF(tblOrdenes[[#This Row],[link_checklist]]="","",HYPERLINK(p_ruta_base_checklists&amp;tblOrdenes[[#This Row],[link_checklist]],"abrir"))</f>
        <v/>
      </c>
      <c r="AP247" s="6" t="n"/>
      <c r="AQ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3">
        <f>IF(tblOrdenes[[#This Row],[tipo_ot]]="","",_xlfn.XLOOKUP(tblOrdenes[[#This Row],[tipo_ot]],tblTiposOT[codigo],tblTiposOT[clasificacion],"sin_clasificar"))</f>
        <v/>
      </c>
      <c r="U248" s="3">
        <f>IF(tblOrdenes[[#This Row],[centro_costo]]="","",_xlfn.XLOOKUP(tblOrdenes[[#This Row],[centro_costo]],tblCECO[codigo],tblCECO[linea],"(sin catálogo)"))</f>
        <v/>
      </c>
      <c r="V248" s="3">
        <f>IF(tblOrdenes[[#This Row],[centro_costo]]="","",_xlfn.XLOOKUP(tblOrdenes[[#This Row],[centro_costo]],tblCECO[codigo],tblCECO[area],"(sin catálogo)"))</f>
        <v/>
      </c>
      <c r="W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3">
        <f>IF(tblOrdenes[[#This Row],[centro_costo]]="","",_xlfn.XLOOKUP(tblOrdenes[[#This Row],[centro_costo]],tblCECO[codigo],tblCECO[coordinador],"(sin catálogo)"))</f>
        <v/>
      </c>
      <c r="Y248" s="3">
        <f>IF(tblOrdenes[[#This Row],[puesto_trabajo]]="","",_xlfn.XLOOKUP(tblOrdenes[[#This Row],[puesto_trabajo]],tblPuestos[codigo],tblPuestos[especialidad],"(sin catálogo)"))</f>
        <v/>
      </c>
      <c r="Z248" s="3">
        <f>IF(tblOrdenes[[#This Row],[cod_actividad]]="","",_xlfn.XLOOKUP(tblOrdenes[[#This Row],[cod_actividad]],tblActividades[codigo],tblActividades[descripcion],"(sin catálogo)"))</f>
        <v/>
      </c>
      <c r="AA248" s="12">
        <f>IF(tblOrdenes[[#This Row],[fecha_inicio]]="","",TODAY()-tblOrdenes[[#This Row],[fecha_inicio]])</f>
        <v/>
      </c>
      <c r="AB2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3">
        <f>IF(tblOrdenes[[#This Row],[backlog_habiles]]="","",IF(tblOrdenes[[#This Row],[backlog_habiles]]&lt;0,"FUTURO",IF(tblOrdenes[[#This Row],[backlog_habiles]]&gt;p_dias_backlog_max,"BACKLOG","MES CORRIENTE")))</f>
        <v/>
      </c>
      <c r="AD248" s="3">
        <f>IF(tblOrdenes[[#This Row],[backlog_habiles]]="",FALSE,AND(tblOrdenes[[#This Row],[backlog_habiles]]&gt;p_dias_backlog_min,tblOrdenes[[#This Row],[backlog_habiles]]&lt;=p_dias_backlog_max))</f>
        <v/>
      </c>
      <c r="AE248" s="6" t="n"/>
      <c r="AF2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0">
        <f>IF(tblOrdenes[[#This Row],[orden]]="","",_xlfn.XLOOKUP(tblOrdenes[[#This Row],[id_operacion]],tblEjecucion[id_operacion],tblEjecucion[precio],0))</f>
        <v/>
      </c>
      <c r="AJ248" s="10">
        <f>IF(tblOrdenes[[#This Row],[orden]]="","",MAX(0,_xlfn.XLOOKUP(tblOrdenes[[#This Row],[id_operacion]],tblEjecucion[id_operacion],tblEjecucion[costo_plan_total],0)-tblOrdenes[[#This Row],[costo_servicio]]))</f>
        <v/>
      </c>
      <c r="AK248" s="10">
        <f>IF(tblOrdenes[[#This Row],[orden]]="","",tblOrdenes[[#This Row],[costo_servicio]]+tblOrdenes[[#This Row],[costo_materiales]])</f>
        <v/>
      </c>
      <c r="AL248" s="6" t="n"/>
      <c r="AM248" s="6" t="n"/>
      <c r="AN248" s="6" t="n"/>
      <c r="AO248" s="3">
        <f>IF(tblOrdenes[[#This Row],[link_checklist]]="","",HYPERLINK(p_ruta_base_checklists&amp;tblOrdenes[[#This Row],[link_checklist]],"abrir"))</f>
        <v/>
      </c>
      <c r="AP248" s="6" t="n"/>
      <c r="AQ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3">
        <f>IF(tblOrdenes[[#This Row],[tipo_ot]]="","",_xlfn.XLOOKUP(tblOrdenes[[#This Row],[tipo_ot]],tblTiposOT[codigo],tblTiposOT[clasificacion],"sin_clasificar"))</f>
        <v/>
      </c>
      <c r="U249" s="3">
        <f>IF(tblOrdenes[[#This Row],[centro_costo]]="","",_xlfn.XLOOKUP(tblOrdenes[[#This Row],[centro_costo]],tblCECO[codigo],tblCECO[linea],"(sin catálogo)"))</f>
        <v/>
      </c>
      <c r="V249" s="3">
        <f>IF(tblOrdenes[[#This Row],[centro_costo]]="","",_xlfn.XLOOKUP(tblOrdenes[[#This Row],[centro_costo]],tblCECO[codigo],tblCECO[area],"(sin catálogo)"))</f>
        <v/>
      </c>
      <c r="W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3">
        <f>IF(tblOrdenes[[#This Row],[centro_costo]]="","",_xlfn.XLOOKUP(tblOrdenes[[#This Row],[centro_costo]],tblCECO[codigo],tblCECO[coordinador],"(sin catálogo)"))</f>
        <v/>
      </c>
      <c r="Y249" s="3">
        <f>IF(tblOrdenes[[#This Row],[puesto_trabajo]]="","",_xlfn.XLOOKUP(tblOrdenes[[#This Row],[puesto_trabajo]],tblPuestos[codigo],tblPuestos[especialidad],"(sin catálogo)"))</f>
        <v/>
      </c>
      <c r="Z249" s="3">
        <f>IF(tblOrdenes[[#This Row],[cod_actividad]]="","",_xlfn.XLOOKUP(tblOrdenes[[#This Row],[cod_actividad]],tblActividades[codigo],tblActividades[descripcion],"(sin catálogo)"))</f>
        <v/>
      </c>
      <c r="AA249" s="12">
        <f>IF(tblOrdenes[[#This Row],[fecha_inicio]]="","",TODAY()-tblOrdenes[[#This Row],[fecha_inicio]])</f>
        <v/>
      </c>
      <c r="AB2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3">
        <f>IF(tblOrdenes[[#This Row],[backlog_habiles]]="","",IF(tblOrdenes[[#This Row],[backlog_habiles]]&lt;0,"FUTURO",IF(tblOrdenes[[#This Row],[backlog_habiles]]&gt;p_dias_backlog_max,"BACKLOG","MES CORRIENTE")))</f>
        <v/>
      </c>
      <c r="AD249" s="3">
        <f>IF(tblOrdenes[[#This Row],[backlog_habiles]]="",FALSE,AND(tblOrdenes[[#This Row],[backlog_habiles]]&gt;p_dias_backlog_min,tblOrdenes[[#This Row],[backlog_habiles]]&lt;=p_dias_backlog_max))</f>
        <v/>
      </c>
      <c r="AE249" s="6" t="n"/>
      <c r="AF2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0">
        <f>IF(tblOrdenes[[#This Row],[orden]]="","",_xlfn.XLOOKUP(tblOrdenes[[#This Row],[id_operacion]],tblEjecucion[id_operacion],tblEjecucion[precio],0))</f>
        <v/>
      </c>
      <c r="AJ249" s="10">
        <f>IF(tblOrdenes[[#This Row],[orden]]="","",MAX(0,_xlfn.XLOOKUP(tblOrdenes[[#This Row],[id_operacion]],tblEjecucion[id_operacion],tblEjecucion[costo_plan_total],0)-tblOrdenes[[#This Row],[costo_servicio]]))</f>
        <v/>
      </c>
      <c r="AK249" s="10">
        <f>IF(tblOrdenes[[#This Row],[orden]]="","",tblOrdenes[[#This Row],[costo_servicio]]+tblOrdenes[[#This Row],[costo_materiales]])</f>
        <v/>
      </c>
      <c r="AL249" s="6" t="n"/>
      <c r="AM249" s="6" t="n"/>
      <c r="AN249" s="6" t="n"/>
      <c r="AO249" s="3">
        <f>IF(tblOrdenes[[#This Row],[link_checklist]]="","",HYPERLINK(p_ruta_base_checklists&amp;tblOrdenes[[#This Row],[link_checklist]],"abrir"))</f>
        <v/>
      </c>
      <c r="AP249" s="6" t="n"/>
      <c r="AQ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3">
        <f>IF(tblOrdenes[[#This Row],[tipo_ot]]="","",_xlfn.XLOOKUP(tblOrdenes[[#This Row],[tipo_ot]],tblTiposOT[codigo],tblTiposOT[clasificacion],"sin_clasificar"))</f>
        <v/>
      </c>
      <c r="U250" s="3">
        <f>IF(tblOrdenes[[#This Row],[centro_costo]]="","",_xlfn.XLOOKUP(tblOrdenes[[#This Row],[centro_costo]],tblCECO[codigo],tblCECO[linea],"(sin catálogo)"))</f>
        <v/>
      </c>
      <c r="V250" s="3">
        <f>IF(tblOrdenes[[#This Row],[centro_costo]]="","",_xlfn.XLOOKUP(tblOrdenes[[#This Row],[centro_costo]],tblCECO[codigo],tblCECO[area],"(sin catálogo)"))</f>
        <v/>
      </c>
      <c r="W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3">
        <f>IF(tblOrdenes[[#This Row],[centro_costo]]="","",_xlfn.XLOOKUP(tblOrdenes[[#This Row],[centro_costo]],tblCECO[codigo],tblCECO[coordinador],"(sin catálogo)"))</f>
        <v/>
      </c>
      <c r="Y250" s="3">
        <f>IF(tblOrdenes[[#This Row],[puesto_trabajo]]="","",_xlfn.XLOOKUP(tblOrdenes[[#This Row],[puesto_trabajo]],tblPuestos[codigo],tblPuestos[especialidad],"(sin catálogo)"))</f>
        <v/>
      </c>
      <c r="Z250" s="3">
        <f>IF(tblOrdenes[[#This Row],[cod_actividad]]="","",_xlfn.XLOOKUP(tblOrdenes[[#This Row],[cod_actividad]],tblActividades[codigo],tblActividades[descripcion],"(sin catálogo)"))</f>
        <v/>
      </c>
      <c r="AA250" s="12">
        <f>IF(tblOrdenes[[#This Row],[fecha_inicio]]="","",TODAY()-tblOrdenes[[#This Row],[fecha_inicio]])</f>
        <v/>
      </c>
      <c r="AB2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3">
        <f>IF(tblOrdenes[[#This Row],[backlog_habiles]]="","",IF(tblOrdenes[[#This Row],[backlog_habiles]]&lt;0,"FUTURO",IF(tblOrdenes[[#This Row],[backlog_habiles]]&gt;p_dias_backlog_max,"BACKLOG","MES CORRIENTE")))</f>
        <v/>
      </c>
      <c r="AD250" s="3">
        <f>IF(tblOrdenes[[#This Row],[backlog_habiles]]="",FALSE,AND(tblOrdenes[[#This Row],[backlog_habiles]]&gt;p_dias_backlog_min,tblOrdenes[[#This Row],[backlog_habiles]]&lt;=p_dias_backlog_max))</f>
        <v/>
      </c>
      <c r="AE250" s="6" t="n"/>
      <c r="AF2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0">
        <f>IF(tblOrdenes[[#This Row],[orden]]="","",_xlfn.XLOOKUP(tblOrdenes[[#This Row],[id_operacion]],tblEjecucion[id_operacion],tblEjecucion[precio],0))</f>
        <v/>
      </c>
      <c r="AJ250" s="10">
        <f>IF(tblOrdenes[[#This Row],[orden]]="","",MAX(0,_xlfn.XLOOKUP(tblOrdenes[[#This Row],[id_operacion]],tblEjecucion[id_operacion],tblEjecucion[costo_plan_total],0)-tblOrdenes[[#This Row],[costo_servicio]]))</f>
        <v/>
      </c>
      <c r="AK250" s="10">
        <f>IF(tblOrdenes[[#This Row],[orden]]="","",tblOrdenes[[#This Row],[costo_servicio]]+tblOrdenes[[#This Row],[costo_materiales]])</f>
        <v/>
      </c>
      <c r="AL250" s="6" t="n"/>
      <c r="AM250" s="6" t="n"/>
      <c r="AN250" s="6" t="n"/>
      <c r="AO250" s="3">
        <f>IF(tblOrdenes[[#This Row],[link_checklist]]="","",HYPERLINK(p_ruta_base_checklists&amp;tblOrdenes[[#This Row],[link_checklist]],"abrir"))</f>
        <v/>
      </c>
      <c r="AP250" s="6" t="n"/>
      <c r="AQ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3">
        <f>IF(tblOrdenes[[#This Row],[tipo_ot]]="","",_xlfn.XLOOKUP(tblOrdenes[[#This Row],[tipo_ot]],tblTiposOT[codigo],tblTiposOT[clasificacion],"sin_clasificar"))</f>
        <v/>
      </c>
      <c r="U251" s="3">
        <f>IF(tblOrdenes[[#This Row],[centro_costo]]="","",_xlfn.XLOOKUP(tblOrdenes[[#This Row],[centro_costo]],tblCECO[codigo],tblCECO[linea],"(sin catálogo)"))</f>
        <v/>
      </c>
      <c r="V251" s="3">
        <f>IF(tblOrdenes[[#This Row],[centro_costo]]="","",_xlfn.XLOOKUP(tblOrdenes[[#This Row],[centro_costo]],tblCECO[codigo],tblCECO[area],"(sin catálogo)"))</f>
        <v/>
      </c>
      <c r="W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3">
        <f>IF(tblOrdenes[[#This Row],[centro_costo]]="","",_xlfn.XLOOKUP(tblOrdenes[[#This Row],[centro_costo]],tblCECO[codigo],tblCECO[coordinador],"(sin catálogo)"))</f>
        <v/>
      </c>
      <c r="Y251" s="3">
        <f>IF(tblOrdenes[[#This Row],[puesto_trabajo]]="","",_xlfn.XLOOKUP(tblOrdenes[[#This Row],[puesto_trabajo]],tblPuestos[codigo],tblPuestos[especialidad],"(sin catálogo)"))</f>
        <v/>
      </c>
      <c r="Z251" s="3">
        <f>IF(tblOrdenes[[#This Row],[cod_actividad]]="","",_xlfn.XLOOKUP(tblOrdenes[[#This Row],[cod_actividad]],tblActividades[codigo],tblActividades[descripcion],"(sin catálogo)"))</f>
        <v/>
      </c>
      <c r="AA251" s="12">
        <f>IF(tblOrdenes[[#This Row],[fecha_inicio]]="","",TODAY()-tblOrdenes[[#This Row],[fecha_inicio]])</f>
        <v/>
      </c>
      <c r="AB2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3">
        <f>IF(tblOrdenes[[#This Row],[backlog_habiles]]="","",IF(tblOrdenes[[#This Row],[backlog_habiles]]&lt;0,"FUTURO",IF(tblOrdenes[[#This Row],[backlog_habiles]]&gt;p_dias_backlog_max,"BACKLOG","MES CORRIENTE")))</f>
        <v/>
      </c>
      <c r="AD251" s="3">
        <f>IF(tblOrdenes[[#This Row],[backlog_habiles]]="",FALSE,AND(tblOrdenes[[#This Row],[backlog_habiles]]&gt;p_dias_backlog_min,tblOrdenes[[#This Row],[backlog_habiles]]&lt;=p_dias_backlog_max))</f>
        <v/>
      </c>
      <c r="AE251" s="6" t="n"/>
      <c r="AF2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0">
        <f>IF(tblOrdenes[[#This Row],[orden]]="","",_xlfn.XLOOKUP(tblOrdenes[[#This Row],[id_operacion]],tblEjecucion[id_operacion],tblEjecucion[precio],0))</f>
        <v/>
      </c>
      <c r="AJ251" s="10">
        <f>IF(tblOrdenes[[#This Row],[orden]]="","",MAX(0,_xlfn.XLOOKUP(tblOrdenes[[#This Row],[id_operacion]],tblEjecucion[id_operacion],tblEjecucion[costo_plan_total],0)-tblOrdenes[[#This Row],[costo_servicio]]))</f>
        <v/>
      </c>
      <c r="AK251" s="10">
        <f>IF(tblOrdenes[[#This Row],[orden]]="","",tblOrdenes[[#This Row],[costo_servicio]]+tblOrdenes[[#This Row],[costo_materiales]])</f>
        <v/>
      </c>
      <c r="AL251" s="6" t="n"/>
      <c r="AM251" s="6" t="n"/>
      <c r="AN251" s="6" t="n"/>
      <c r="AO251" s="3">
        <f>IF(tblOrdenes[[#This Row],[link_checklist]]="","",HYPERLINK(p_ruta_base_checklists&amp;tblOrdenes[[#This Row],[link_checklist]],"abrir"))</f>
        <v/>
      </c>
      <c r="AP251" s="6" t="n"/>
      <c r="AQ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3">
        <f>IF(tblOrdenes[[#This Row],[tipo_ot]]="","",_xlfn.XLOOKUP(tblOrdenes[[#This Row],[tipo_ot]],tblTiposOT[codigo],tblTiposOT[clasificacion],"sin_clasificar"))</f>
        <v/>
      </c>
      <c r="U252" s="3">
        <f>IF(tblOrdenes[[#This Row],[centro_costo]]="","",_xlfn.XLOOKUP(tblOrdenes[[#This Row],[centro_costo]],tblCECO[codigo],tblCECO[linea],"(sin catálogo)"))</f>
        <v/>
      </c>
      <c r="V252" s="3">
        <f>IF(tblOrdenes[[#This Row],[centro_costo]]="","",_xlfn.XLOOKUP(tblOrdenes[[#This Row],[centro_costo]],tblCECO[codigo],tblCECO[area],"(sin catálogo)"))</f>
        <v/>
      </c>
      <c r="W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3">
        <f>IF(tblOrdenes[[#This Row],[centro_costo]]="","",_xlfn.XLOOKUP(tblOrdenes[[#This Row],[centro_costo]],tblCECO[codigo],tblCECO[coordinador],"(sin catálogo)"))</f>
        <v/>
      </c>
      <c r="Y252" s="3">
        <f>IF(tblOrdenes[[#This Row],[puesto_trabajo]]="","",_xlfn.XLOOKUP(tblOrdenes[[#This Row],[puesto_trabajo]],tblPuestos[codigo],tblPuestos[especialidad],"(sin catálogo)"))</f>
        <v/>
      </c>
      <c r="Z252" s="3">
        <f>IF(tblOrdenes[[#This Row],[cod_actividad]]="","",_xlfn.XLOOKUP(tblOrdenes[[#This Row],[cod_actividad]],tblActividades[codigo],tblActividades[descripcion],"(sin catálogo)"))</f>
        <v/>
      </c>
      <c r="AA252" s="12">
        <f>IF(tblOrdenes[[#This Row],[fecha_inicio]]="","",TODAY()-tblOrdenes[[#This Row],[fecha_inicio]])</f>
        <v/>
      </c>
      <c r="AB2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3">
        <f>IF(tblOrdenes[[#This Row],[backlog_habiles]]="","",IF(tblOrdenes[[#This Row],[backlog_habiles]]&lt;0,"FUTURO",IF(tblOrdenes[[#This Row],[backlog_habiles]]&gt;p_dias_backlog_max,"BACKLOG","MES CORRIENTE")))</f>
        <v/>
      </c>
      <c r="AD252" s="3">
        <f>IF(tblOrdenes[[#This Row],[backlog_habiles]]="",FALSE,AND(tblOrdenes[[#This Row],[backlog_habiles]]&gt;p_dias_backlog_min,tblOrdenes[[#This Row],[backlog_habiles]]&lt;=p_dias_backlog_max))</f>
        <v/>
      </c>
      <c r="AE252" s="6" t="n"/>
      <c r="AF2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0">
        <f>IF(tblOrdenes[[#This Row],[orden]]="","",_xlfn.XLOOKUP(tblOrdenes[[#This Row],[id_operacion]],tblEjecucion[id_operacion],tblEjecucion[precio],0))</f>
        <v/>
      </c>
      <c r="AJ252" s="10">
        <f>IF(tblOrdenes[[#This Row],[orden]]="","",MAX(0,_xlfn.XLOOKUP(tblOrdenes[[#This Row],[id_operacion]],tblEjecucion[id_operacion],tblEjecucion[costo_plan_total],0)-tblOrdenes[[#This Row],[costo_servicio]]))</f>
        <v/>
      </c>
      <c r="AK252" s="10">
        <f>IF(tblOrdenes[[#This Row],[orden]]="","",tblOrdenes[[#This Row],[costo_servicio]]+tblOrdenes[[#This Row],[costo_materiales]])</f>
        <v/>
      </c>
      <c r="AL252" s="6" t="n"/>
      <c r="AM252" s="6" t="n"/>
      <c r="AN252" s="6" t="n"/>
      <c r="AO252" s="3">
        <f>IF(tblOrdenes[[#This Row],[link_checklist]]="","",HYPERLINK(p_ruta_base_checklists&amp;tblOrdenes[[#This Row],[link_checklist]],"abrir"))</f>
        <v/>
      </c>
      <c r="AP252" s="6" t="n"/>
      <c r="AQ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3">
        <f>IF(tblOrdenes[[#This Row],[tipo_ot]]="","",_xlfn.XLOOKUP(tblOrdenes[[#This Row],[tipo_ot]],tblTiposOT[codigo],tblTiposOT[clasificacion],"sin_clasificar"))</f>
        <v/>
      </c>
      <c r="U253" s="3">
        <f>IF(tblOrdenes[[#This Row],[centro_costo]]="","",_xlfn.XLOOKUP(tblOrdenes[[#This Row],[centro_costo]],tblCECO[codigo],tblCECO[linea],"(sin catálogo)"))</f>
        <v/>
      </c>
      <c r="V253" s="3">
        <f>IF(tblOrdenes[[#This Row],[centro_costo]]="","",_xlfn.XLOOKUP(tblOrdenes[[#This Row],[centro_costo]],tblCECO[codigo],tblCECO[area],"(sin catálogo)"))</f>
        <v/>
      </c>
      <c r="W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3">
        <f>IF(tblOrdenes[[#This Row],[centro_costo]]="","",_xlfn.XLOOKUP(tblOrdenes[[#This Row],[centro_costo]],tblCECO[codigo],tblCECO[coordinador],"(sin catálogo)"))</f>
        <v/>
      </c>
      <c r="Y253" s="3">
        <f>IF(tblOrdenes[[#This Row],[puesto_trabajo]]="","",_xlfn.XLOOKUP(tblOrdenes[[#This Row],[puesto_trabajo]],tblPuestos[codigo],tblPuestos[especialidad],"(sin catálogo)"))</f>
        <v/>
      </c>
      <c r="Z253" s="3">
        <f>IF(tblOrdenes[[#This Row],[cod_actividad]]="","",_xlfn.XLOOKUP(tblOrdenes[[#This Row],[cod_actividad]],tblActividades[codigo],tblActividades[descripcion],"(sin catálogo)"))</f>
        <v/>
      </c>
      <c r="AA253" s="12">
        <f>IF(tblOrdenes[[#This Row],[fecha_inicio]]="","",TODAY()-tblOrdenes[[#This Row],[fecha_inicio]])</f>
        <v/>
      </c>
      <c r="AB2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3">
        <f>IF(tblOrdenes[[#This Row],[backlog_habiles]]="","",IF(tblOrdenes[[#This Row],[backlog_habiles]]&lt;0,"FUTURO",IF(tblOrdenes[[#This Row],[backlog_habiles]]&gt;p_dias_backlog_max,"BACKLOG","MES CORRIENTE")))</f>
        <v/>
      </c>
      <c r="AD253" s="3">
        <f>IF(tblOrdenes[[#This Row],[backlog_habiles]]="",FALSE,AND(tblOrdenes[[#This Row],[backlog_habiles]]&gt;p_dias_backlog_min,tblOrdenes[[#This Row],[backlog_habiles]]&lt;=p_dias_backlog_max))</f>
        <v/>
      </c>
      <c r="AE253" s="6" t="n"/>
      <c r="AF2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0">
        <f>IF(tblOrdenes[[#This Row],[orden]]="","",_xlfn.XLOOKUP(tblOrdenes[[#This Row],[id_operacion]],tblEjecucion[id_operacion],tblEjecucion[precio],0))</f>
        <v/>
      </c>
      <c r="AJ253" s="10">
        <f>IF(tblOrdenes[[#This Row],[orden]]="","",MAX(0,_xlfn.XLOOKUP(tblOrdenes[[#This Row],[id_operacion]],tblEjecucion[id_operacion],tblEjecucion[costo_plan_total],0)-tblOrdenes[[#This Row],[costo_servicio]]))</f>
        <v/>
      </c>
      <c r="AK253" s="10">
        <f>IF(tblOrdenes[[#This Row],[orden]]="","",tblOrdenes[[#This Row],[costo_servicio]]+tblOrdenes[[#This Row],[costo_materiales]])</f>
        <v/>
      </c>
      <c r="AL253" s="6" t="n"/>
      <c r="AM253" s="6" t="n"/>
      <c r="AN253" s="6" t="n"/>
      <c r="AO253" s="3">
        <f>IF(tblOrdenes[[#This Row],[link_checklist]]="","",HYPERLINK(p_ruta_base_checklists&amp;tblOrdenes[[#This Row],[link_checklist]],"abrir"))</f>
        <v/>
      </c>
      <c r="AP253" s="6" t="n"/>
      <c r="AQ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3">
        <f>IF(tblOrdenes[[#This Row],[tipo_ot]]="","",_xlfn.XLOOKUP(tblOrdenes[[#This Row],[tipo_ot]],tblTiposOT[codigo],tblTiposOT[clasificacion],"sin_clasificar"))</f>
        <v/>
      </c>
      <c r="U254" s="3">
        <f>IF(tblOrdenes[[#This Row],[centro_costo]]="","",_xlfn.XLOOKUP(tblOrdenes[[#This Row],[centro_costo]],tblCECO[codigo],tblCECO[linea],"(sin catálogo)"))</f>
        <v/>
      </c>
      <c r="V254" s="3">
        <f>IF(tblOrdenes[[#This Row],[centro_costo]]="","",_xlfn.XLOOKUP(tblOrdenes[[#This Row],[centro_costo]],tblCECO[codigo],tblCECO[area],"(sin catálogo)"))</f>
        <v/>
      </c>
      <c r="W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3">
        <f>IF(tblOrdenes[[#This Row],[centro_costo]]="","",_xlfn.XLOOKUP(tblOrdenes[[#This Row],[centro_costo]],tblCECO[codigo],tblCECO[coordinador],"(sin catálogo)"))</f>
        <v/>
      </c>
      <c r="Y254" s="3">
        <f>IF(tblOrdenes[[#This Row],[puesto_trabajo]]="","",_xlfn.XLOOKUP(tblOrdenes[[#This Row],[puesto_trabajo]],tblPuestos[codigo],tblPuestos[especialidad],"(sin catálogo)"))</f>
        <v/>
      </c>
      <c r="Z254" s="3">
        <f>IF(tblOrdenes[[#This Row],[cod_actividad]]="","",_xlfn.XLOOKUP(tblOrdenes[[#This Row],[cod_actividad]],tblActividades[codigo],tblActividades[descripcion],"(sin catálogo)"))</f>
        <v/>
      </c>
      <c r="AA254" s="12">
        <f>IF(tblOrdenes[[#This Row],[fecha_inicio]]="","",TODAY()-tblOrdenes[[#This Row],[fecha_inicio]])</f>
        <v/>
      </c>
      <c r="AB2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3">
        <f>IF(tblOrdenes[[#This Row],[backlog_habiles]]="","",IF(tblOrdenes[[#This Row],[backlog_habiles]]&lt;0,"FUTURO",IF(tblOrdenes[[#This Row],[backlog_habiles]]&gt;p_dias_backlog_max,"BACKLOG","MES CORRIENTE")))</f>
        <v/>
      </c>
      <c r="AD254" s="3">
        <f>IF(tblOrdenes[[#This Row],[backlog_habiles]]="",FALSE,AND(tblOrdenes[[#This Row],[backlog_habiles]]&gt;p_dias_backlog_min,tblOrdenes[[#This Row],[backlog_habiles]]&lt;=p_dias_backlog_max))</f>
        <v/>
      </c>
      <c r="AE254" s="6" t="n"/>
      <c r="AF2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0">
        <f>IF(tblOrdenes[[#This Row],[orden]]="","",_xlfn.XLOOKUP(tblOrdenes[[#This Row],[id_operacion]],tblEjecucion[id_operacion],tblEjecucion[precio],0))</f>
        <v/>
      </c>
      <c r="AJ254" s="10">
        <f>IF(tblOrdenes[[#This Row],[orden]]="","",MAX(0,_xlfn.XLOOKUP(tblOrdenes[[#This Row],[id_operacion]],tblEjecucion[id_operacion],tblEjecucion[costo_plan_total],0)-tblOrdenes[[#This Row],[costo_servicio]]))</f>
        <v/>
      </c>
      <c r="AK254" s="10">
        <f>IF(tblOrdenes[[#This Row],[orden]]="","",tblOrdenes[[#This Row],[costo_servicio]]+tblOrdenes[[#This Row],[costo_materiales]])</f>
        <v/>
      </c>
      <c r="AL254" s="6" t="n"/>
      <c r="AM254" s="6" t="n"/>
      <c r="AN254" s="6" t="n"/>
      <c r="AO254" s="3">
        <f>IF(tblOrdenes[[#This Row],[link_checklist]]="","",HYPERLINK(p_ruta_base_checklists&amp;tblOrdenes[[#This Row],[link_checklist]],"abrir"))</f>
        <v/>
      </c>
      <c r="AP254" s="6" t="n"/>
      <c r="AQ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3">
        <f>IF(tblOrdenes[[#This Row],[tipo_ot]]="","",_xlfn.XLOOKUP(tblOrdenes[[#This Row],[tipo_ot]],tblTiposOT[codigo],tblTiposOT[clasificacion],"sin_clasificar"))</f>
        <v/>
      </c>
      <c r="U255" s="3">
        <f>IF(tblOrdenes[[#This Row],[centro_costo]]="","",_xlfn.XLOOKUP(tblOrdenes[[#This Row],[centro_costo]],tblCECO[codigo],tblCECO[linea],"(sin catálogo)"))</f>
        <v/>
      </c>
      <c r="V255" s="3">
        <f>IF(tblOrdenes[[#This Row],[centro_costo]]="","",_xlfn.XLOOKUP(tblOrdenes[[#This Row],[centro_costo]],tblCECO[codigo],tblCECO[area],"(sin catálogo)"))</f>
        <v/>
      </c>
      <c r="W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3">
        <f>IF(tblOrdenes[[#This Row],[centro_costo]]="","",_xlfn.XLOOKUP(tblOrdenes[[#This Row],[centro_costo]],tblCECO[codigo],tblCECO[coordinador],"(sin catálogo)"))</f>
        <v/>
      </c>
      <c r="Y255" s="3">
        <f>IF(tblOrdenes[[#This Row],[puesto_trabajo]]="","",_xlfn.XLOOKUP(tblOrdenes[[#This Row],[puesto_trabajo]],tblPuestos[codigo],tblPuestos[especialidad],"(sin catálogo)"))</f>
        <v/>
      </c>
      <c r="Z255" s="3">
        <f>IF(tblOrdenes[[#This Row],[cod_actividad]]="","",_xlfn.XLOOKUP(tblOrdenes[[#This Row],[cod_actividad]],tblActividades[codigo],tblActividades[descripcion],"(sin catálogo)"))</f>
        <v/>
      </c>
      <c r="AA255" s="12">
        <f>IF(tblOrdenes[[#This Row],[fecha_inicio]]="","",TODAY()-tblOrdenes[[#This Row],[fecha_inicio]])</f>
        <v/>
      </c>
      <c r="AB2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3">
        <f>IF(tblOrdenes[[#This Row],[backlog_habiles]]="","",IF(tblOrdenes[[#This Row],[backlog_habiles]]&lt;0,"FUTURO",IF(tblOrdenes[[#This Row],[backlog_habiles]]&gt;p_dias_backlog_max,"BACKLOG","MES CORRIENTE")))</f>
        <v/>
      </c>
      <c r="AD255" s="3">
        <f>IF(tblOrdenes[[#This Row],[backlog_habiles]]="",FALSE,AND(tblOrdenes[[#This Row],[backlog_habiles]]&gt;p_dias_backlog_min,tblOrdenes[[#This Row],[backlog_habiles]]&lt;=p_dias_backlog_max))</f>
        <v/>
      </c>
      <c r="AE255" s="6" t="n"/>
      <c r="AF2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0">
        <f>IF(tblOrdenes[[#This Row],[orden]]="","",_xlfn.XLOOKUP(tblOrdenes[[#This Row],[id_operacion]],tblEjecucion[id_operacion],tblEjecucion[precio],0))</f>
        <v/>
      </c>
      <c r="AJ255" s="10">
        <f>IF(tblOrdenes[[#This Row],[orden]]="","",MAX(0,_xlfn.XLOOKUP(tblOrdenes[[#This Row],[id_operacion]],tblEjecucion[id_operacion],tblEjecucion[costo_plan_total],0)-tblOrdenes[[#This Row],[costo_servicio]]))</f>
        <v/>
      </c>
      <c r="AK255" s="10">
        <f>IF(tblOrdenes[[#This Row],[orden]]="","",tblOrdenes[[#This Row],[costo_servicio]]+tblOrdenes[[#This Row],[costo_materiales]])</f>
        <v/>
      </c>
      <c r="AL255" s="6" t="n"/>
      <c r="AM255" s="6" t="n"/>
      <c r="AN255" s="6" t="n"/>
      <c r="AO255" s="3">
        <f>IF(tblOrdenes[[#This Row],[link_checklist]]="","",HYPERLINK(p_ruta_base_checklists&amp;tblOrdenes[[#This Row],[link_checklist]],"abrir"))</f>
        <v/>
      </c>
      <c r="AP255" s="6" t="n"/>
      <c r="AQ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3">
        <f>IF(tblOrdenes[[#This Row],[tipo_ot]]="","",_xlfn.XLOOKUP(tblOrdenes[[#This Row],[tipo_ot]],tblTiposOT[codigo],tblTiposOT[clasificacion],"sin_clasificar"))</f>
        <v/>
      </c>
      <c r="U256" s="3">
        <f>IF(tblOrdenes[[#This Row],[centro_costo]]="","",_xlfn.XLOOKUP(tblOrdenes[[#This Row],[centro_costo]],tblCECO[codigo],tblCECO[linea],"(sin catálogo)"))</f>
        <v/>
      </c>
      <c r="V256" s="3">
        <f>IF(tblOrdenes[[#This Row],[centro_costo]]="","",_xlfn.XLOOKUP(tblOrdenes[[#This Row],[centro_costo]],tblCECO[codigo],tblCECO[area],"(sin catálogo)"))</f>
        <v/>
      </c>
      <c r="W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3">
        <f>IF(tblOrdenes[[#This Row],[centro_costo]]="","",_xlfn.XLOOKUP(tblOrdenes[[#This Row],[centro_costo]],tblCECO[codigo],tblCECO[coordinador],"(sin catálogo)"))</f>
        <v/>
      </c>
      <c r="Y256" s="3">
        <f>IF(tblOrdenes[[#This Row],[puesto_trabajo]]="","",_xlfn.XLOOKUP(tblOrdenes[[#This Row],[puesto_trabajo]],tblPuestos[codigo],tblPuestos[especialidad],"(sin catálogo)"))</f>
        <v/>
      </c>
      <c r="Z256" s="3">
        <f>IF(tblOrdenes[[#This Row],[cod_actividad]]="","",_xlfn.XLOOKUP(tblOrdenes[[#This Row],[cod_actividad]],tblActividades[codigo],tblActividades[descripcion],"(sin catálogo)"))</f>
        <v/>
      </c>
      <c r="AA256" s="12">
        <f>IF(tblOrdenes[[#This Row],[fecha_inicio]]="","",TODAY()-tblOrdenes[[#This Row],[fecha_inicio]])</f>
        <v/>
      </c>
      <c r="AB2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3">
        <f>IF(tblOrdenes[[#This Row],[backlog_habiles]]="","",IF(tblOrdenes[[#This Row],[backlog_habiles]]&lt;0,"FUTURO",IF(tblOrdenes[[#This Row],[backlog_habiles]]&gt;p_dias_backlog_max,"BACKLOG","MES CORRIENTE")))</f>
        <v/>
      </c>
      <c r="AD256" s="3">
        <f>IF(tblOrdenes[[#This Row],[backlog_habiles]]="",FALSE,AND(tblOrdenes[[#This Row],[backlog_habiles]]&gt;p_dias_backlog_min,tblOrdenes[[#This Row],[backlog_habiles]]&lt;=p_dias_backlog_max))</f>
        <v/>
      </c>
      <c r="AE256" s="6" t="n"/>
      <c r="AF2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0">
        <f>IF(tblOrdenes[[#This Row],[orden]]="","",_xlfn.XLOOKUP(tblOrdenes[[#This Row],[id_operacion]],tblEjecucion[id_operacion],tblEjecucion[precio],0))</f>
        <v/>
      </c>
      <c r="AJ256" s="10">
        <f>IF(tblOrdenes[[#This Row],[orden]]="","",MAX(0,_xlfn.XLOOKUP(tblOrdenes[[#This Row],[id_operacion]],tblEjecucion[id_operacion],tblEjecucion[costo_plan_total],0)-tblOrdenes[[#This Row],[costo_servicio]]))</f>
        <v/>
      </c>
      <c r="AK256" s="10">
        <f>IF(tblOrdenes[[#This Row],[orden]]="","",tblOrdenes[[#This Row],[costo_servicio]]+tblOrdenes[[#This Row],[costo_materiales]])</f>
        <v/>
      </c>
      <c r="AL256" s="6" t="n"/>
      <c r="AM256" s="6" t="n"/>
      <c r="AN256" s="6" t="n"/>
      <c r="AO256" s="3">
        <f>IF(tblOrdenes[[#This Row],[link_checklist]]="","",HYPERLINK(p_ruta_base_checklists&amp;tblOrdenes[[#This Row],[link_checklist]],"abrir"))</f>
        <v/>
      </c>
      <c r="AP256" s="6" t="n"/>
      <c r="AQ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3">
        <f>IF(tblOrdenes[[#This Row],[tipo_ot]]="","",_xlfn.XLOOKUP(tblOrdenes[[#This Row],[tipo_ot]],tblTiposOT[codigo],tblTiposOT[clasificacion],"sin_clasificar"))</f>
        <v/>
      </c>
      <c r="U257" s="3">
        <f>IF(tblOrdenes[[#This Row],[centro_costo]]="","",_xlfn.XLOOKUP(tblOrdenes[[#This Row],[centro_costo]],tblCECO[codigo],tblCECO[linea],"(sin catálogo)"))</f>
        <v/>
      </c>
      <c r="V257" s="3">
        <f>IF(tblOrdenes[[#This Row],[centro_costo]]="","",_xlfn.XLOOKUP(tblOrdenes[[#This Row],[centro_costo]],tblCECO[codigo],tblCECO[area],"(sin catálogo)"))</f>
        <v/>
      </c>
      <c r="W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3">
        <f>IF(tblOrdenes[[#This Row],[centro_costo]]="","",_xlfn.XLOOKUP(tblOrdenes[[#This Row],[centro_costo]],tblCECO[codigo],tblCECO[coordinador],"(sin catálogo)"))</f>
        <v/>
      </c>
      <c r="Y257" s="3">
        <f>IF(tblOrdenes[[#This Row],[puesto_trabajo]]="","",_xlfn.XLOOKUP(tblOrdenes[[#This Row],[puesto_trabajo]],tblPuestos[codigo],tblPuestos[especialidad],"(sin catálogo)"))</f>
        <v/>
      </c>
      <c r="Z257" s="3">
        <f>IF(tblOrdenes[[#This Row],[cod_actividad]]="","",_xlfn.XLOOKUP(tblOrdenes[[#This Row],[cod_actividad]],tblActividades[codigo],tblActividades[descripcion],"(sin catálogo)"))</f>
        <v/>
      </c>
      <c r="AA257" s="12">
        <f>IF(tblOrdenes[[#This Row],[fecha_inicio]]="","",TODAY()-tblOrdenes[[#This Row],[fecha_inicio]])</f>
        <v/>
      </c>
      <c r="AB2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3">
        <f>IF(tblOrdenes[[#This Row],[backlog_habiles]]="","",IF(tblOrdenes[[#This Row],[backlog_habiles]]&lt;0,"FUTURO",IF(tblOrdenes[[#This Row],[backlog_habiles]]&gt;p_dias_backlog_max,"BACKLOG","MES CORRIENTE")))</f>
        <v/>
      </c>
      <c r="AD257" s="3">
        <f>IF(tblOrdenes[[#This Row],[backlog_habiles]]="",FALSE,AND(tblOrdenes[[#This Row],[backlog_habiles]]&gt;p_dias_backlog_min,tblOrdenes[[#This Row],[backlog_habiles]]&lt;=p_dias_backlog_max))</f>
        <v/>
      </c>
      <c r="AE257" s="6" t="n"/>
      <c r="AF2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0">
        <f>IF(tblOrdenes[[#This Row],[orden]]="","",_xlfn.XLOOKUP(tblOrdenes[[#This Row],[id_operacion]],tblEjecucion[id_operacion],tblEjecucion[precio],0))</f>
        <v/>
      </c>
      <c r="AJ257" s="10">
        <f>IF(tblOrdenes[[#This Row],[orden]]="","",MAX(0,_xlfn.XLOOKUP(tblOrdenes[[#This Row],[id_operacion]],tblEjecucion[id_operacion],tblEjecucion[costo_plan_total],0)-tblOrdenes[[#This Row],[costo_servicio]]))</f>
        <v/>
      </c>
      <c r="AK257" s="10">
        <f>IF(tblOrdenes[[#This Row],[orden]]="","",tblOrdenes[[#This Row],[costo_servicio]]+tblOrdenes[[#This Row],[costo_materiales]])</f>
        <v/>
      </c>
      <c r="AL257" s="6" t="n"/>
      <c r="AM257" s="6" t="n"/>
      <c r="AN257" s="6" t="n"/>
      <c r="AO257" s="3">
        <f>IF(tblOrdenes[[#This Row],[link_checklist]]="","",HYPERLINK(p_ruta_base_checklists&amp;tblOrdenes[[#This Row],[link_checklist]],"abrir"))</f>
        <v/>
      </c>
      <c r="AP257" s="6" t="n"/>
      <c r="AQ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3">
        <f>IF(tblOrdenes[[#This Row],[tipo_ot]]="","",_xlfn.XLOOKUP(tblOrdenes[[#This Row],[tipo_ot]],tblTiposOT[codigo],tblTiposOT[clasificacion],"sin_clasificar"))</f>
        <v/>
      </c>
      <c r="U258" s="3">
        <f>IF(tblOrdenes[[#This Row],[centro_costo]]="","",_xlfn.XLOOKUP(tblOrdenes[[#This Row],[centro_costo]],tblCECO[codigo],tblCECO[linea],"(sin catálogo)"))</f>
        <v/>
      </c>
      <c r="V258" s="3">
        <f>IF(tblOrdenes[[#This Row],[centro_costo]]="","",_xlfn.XLOOKUP(tblOrdenes[[#This Row],[centro_costo]],tblCECO[codigo],tblCECO[area],"(sin catálogo)"))</f>
        <v/>
      </c>
      <c r="W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3">
        <f>IF(tblOrdenes[[#This Row],[centro_costo]]="","",_xlfn.XLOOKUP(tblOrdenes[[#This Row],[centro_costo]],tblCECO[codigo],tblCECO[coordinador],"(sin catálogo)"))</f>
        <v/>
      </c>
      <c r="Y258" s="3">
        <f>IF(tblOrdenes[[#This Row],[puesto_trabajo]]="","",_xlfn.XLOOKUP(tblOrdenes[[#This Row],[puesto_trabajo]],tblPuestos[codigo],tblPuestos[especialidad],"(sin catálogo)"))</f>
        <v/>
      </c>
      <c r="Z258" s="3">
        <f>IF(tblOrdenes[[#This Row],[cod_actividad]]="","",_xlfn.XLOOKUP(tblOrdenes[[#This Row],[cod_actividad]],tblActividades[codigo],tblActividades[descripcion],"(sin catálogo)"))</f>
        <v/>
      </c>
      <c r="AA258" s="12">
        <f>IF(tblOrdenes[[#This Row],[fecha_inicio]]="","",TODAY()-tblOrdenes[[#This Row],[fecha_inicio]])</f>
        <v/>
      </c>
      <c r="AB2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3">
        <f>IF(tblOrdenes[[#This Row],[backlog_habiles]]="","",IF(tblOrdenes[[#This Row],[backlog_habiles]]&lt;0,"FUTURO",IF(tblOrdenes[[#This Row],[backlog_habiles]]&gt;p_dias_backlog_max,"BACKLOG","MES CORRIENTE")))</f>
        <v/>
      </c>
      <c r="AD258" s="3">
        <f>IF(tblOrdenes[[#This Row],[backlog_habiles]]="",FALSE,AND(tblOrdenes[[#This Row],[backlog_habiles]]&gt;p_dias_backlog_min,tblOrdenes[[#This Row],[backlog_habiles]]&lt;=p_dias_backlog_max))</f>
        <v/>
      </c>
      <c r="AE258" s="6" t="n"/>
      <c r="AF2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0">
        <f>IF(tblOrdenes[[#This Row],[orden]]="","",_xlfn.XLOOKUP(tblOrdenes[[#This Row],[id_operacion]],tblEjecucion[id_operacion],tblEjecucion[precio],0))</f>
        <v/>
      </c>
      <c r="AJ258" s="10">
        <f>IF(tblOrdenes[[#This Row],[orden]]="","",MAX(0,_xlfn.XLOOKUP(tblOrdenes[[#This Row],[id_operacion]],tblEjecucion[id_operacion],tblEjecucion[costo_plan_total],0)-tblOrdenes[[#This Row],[costo_servicio]]))</f>
        <v/>
      </c>
      <c r="AK258" s="10">
        <f>IF(tblOrdenes[[#This Row],[orden]]="","",tblOrdenes[[#This Row],[costo_servicio]]+tblOrdenes[[#This Row],[costo_materiales]])</f>
        <v/>
      </c>
      <c r="AL258" s="6" t="n"/>
      <c r="AM258" s="6" t="n"/>
      <c r="AN258" s="6" t="n"/>
      <c r="AO258" s="3">
        <f>IF(tblOrdenes[[#This Row],[link_checklist]]="","",HYPERLINK(p_ruta_base_checklists&amp;tblOrdenes[[#This Row],[link_checklist]],"abrir"))</f>
        <v/>
      </c>
      <c r="AP258" s="6" t="n"/>
      <c r="AQ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3">
        <f>IF(tblOrdenes[[#This Row],[tipo_ot]]="","",_xlfn.XLOOKUP(tblOrdenes[[#This Row],[tipo_ot]],tblTiposOT[codigo],tblTiposOT[clasificacion],"sin_clasificar"))</f>
        <v/>
      </c>
      <c r="U259" s="3">
        <f>IF(tblOrdenes[[#This Row],[centro_costo]]="","",_xlfn.XLOOKUP(tblOrdenes[[#This Row],[centro_costo]],tblCECO[codigo],tblCECO[linea],"(sin catálogo)"))</f>
        <v/>
      </c>
      <c r="V259" s="3">
        <f>IF(tblOrdenes[[#This Row],[centro_costo]]="","",_xlfn.XLOOKUP(tblOrdenes[[#This Row],[centro_costo]],tblCECO[codigo],tblCECO[area],"(sin catálogo)"))</f>
        <v/>
      </c>
      <c r="W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3">
        <f>IF(tblOrdenes[[#This Row],[centro_costo]]="","",_xlfn.XLOOKUP(tblOrdenes[[#This Row],[centro_costo]],tblCECO[codigo],tblCECO[coordinador],"(sin catálogo)"))</f>
        <v/>
      </c>
      <c r="Y259" s="3">
        <f>IF(tblOrdenes[[#This Row],[puesto_trabajo]]="","",_xlfn.XLOOKUP(tblOrdenes[[#This Row],[puesto_trabajo]],tblPuestos[codigo],tblPuestos[especialidad],"(sin catálogo)"))</f>
        <v/>
      </c>
      <c r="Z259" s="3">
        <f>IF(tblOrdenes[[#This Row],[cod_actividad]]="","",_xlfn.XLOOKUP(tblOrdenes[[#This Row],[cod_actividad]],tblActividades[codigo],tblActividades[descripcion],"(sin catálogo)"))</f>
        <v/>
      </c>
      <c r="AA259" s="12">
        <f>IF(tblOrdenes[[#This Row],[fecha_inicio]]="","",TODAY()-tblOrdenes[[#This Row],[fecha_inicio]])</f>
        <v/>
      </c>
      <c r="AB2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3">
        <f>IF(tblOrdenes[[#This Row],[backlog_habiles]]="","",IF(tblOrdenes[[#This Row],[backlog_habiles]]&lt;0,"FUTURO",IF(tblOrdenes[[#This Row],[backlog_habiles]]&gt;p_dias_backlog_max,"BACKLOG","MES CORRIENTE")))</f>
        <v/>
      </c>
      <c r="AD259" s="3">
        <f>IF(tblOrdenes[[#This Row],[backlog_habiles]]="",FALSE,AND(tblOrdenes[[#This Row],[backlog_habiles]]&gt;p_dias_backlog_min,tblOrdenes[[#This Row],[backlog_habiles]]&lt;=p_dias_backlog_max))</f>
        <v/>
      </c>
      <c r="AE259" s="6" t="n"/>
      <c r="AF2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0">
        <f>IF(tblOrdenes[[#This Row],[orden]]="","",_xlfn.XLOOKUP(tblOrdenes[[#This Row],[id_operacion]],tblEjecucion[id_operacion],tblEjecucion[precio],0))</f>
        <v/>
      </c>
      <c r="AJ259" s="10">
        <f>IF(tblOrdenes[[#This Row],[orden]]="","",MAX(0,_xlfn.XLOOKUP(tblOrdenes[[#This Row],[id_operacion]],tblEjecucion[id_operacion],tblEjecucion[costo_plan_total],0)-tblOrdenes[[#This Row],[costo_servicio]]))</f>
        <v/>
      </c>
      <c r="AK259" s="10">
        <f>IF(tblOrdenes[[#This Row],[orden]]="","",tblOrdenes[[#This Row],[costo_servicio]]+tblOrdenes[[#This Row],[costo_materiales]])</f>
        <v/>
      </c>
      <c r="AL259" s="6" t="n"/>
      <c r="AM259" s="6" t="n"/>
      <c r="AN259" s="6" t="n"/>
      <c r="AO259" s="3">
        <f>IF(tblOrdenes[[#This Row],[link_checklist]]="","",HYPERLINK(p_ruta_base_checklists&amp;tblOrdenes[[#This Row],[link_checklist]],"abrir"))</f>
        <v/>
      </c>
      <c r="AP259" s="6" t="n"/>
      <c r="AQ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3">
        <f>IF(tblOrdenes[[#This Row],[tipo_ot]]="","",_xlfn.XLOOKUP(tblOrdenes[[#This Row],[tipo_ot]],tblTiposOT[codigo],tblTiposOT[clasificacion],"sin_clasificar"))</f>
        <v/>
      </c>
      <c r="U260" s="3">
        <f>IF(tblOrdenes[[#This Row],[centro_costo]]="","",_xlfn.XLOOKUP(tblOrdenes[[#This Row],[centro_costo]],tblCECO[codigo],tblCECO[linea],"(sin catálogo)"))</f>
        <v/>
      </c>
      <c r="V260" s="3">
        <f>IF(tblOrdenes[[#This Row],[centro_costo]]="","",_xlfn.XLOOKUP(tblOrdenes[[#This Row],[centro_costo]],tblCECO[codigo],tblCECO[area],"(sin catálogo)"))</f>
        <v/>
      </c>
      <c r="W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3">
        <f>IF(tblOrdenes[[#This Row],[centro_costo]]="","",_xlfn.XLOOKUP(tblOrdenes[[#This Row],[centro_costo]],tblCECO[codigo],tblCECO[coordinador],"(sin catálogo)"))</f>
        <v/>
      </c>
      <c r="Y260" s="3">
        <f>IF(tblOrdenes[[#This Row],[puesto_trabajo]]="","",_xlfn.XLOOKUP(tblOrdenes[[#This Row],[puesto_trabajo]],tblPuestos[codigo],tblPuestos[especialidad],"(sin catálogo)"))</f>
        <v/>
      </c>
      <c r="Z260" s="3">
        <f>IF(tblOrdenes[[#This Row],[cod_actividad]]="","",_xlfn.XLOOKUP(tblOrdenes[[#This Row],[cod_actividad]],tblActividades[codigo],tblActividades[descripcion],"(sin catálogo)"))</f>
        <v/>
      </c>
      <c r="AA260" s="12">
        <f>IF(tblOrdenes[[#This Row],[fecha_inicio]]="","",TODAY()-tblOrdenes[[#This Row],[fecha_inicio]])</f>
        <v/>
      </c>
      <c r="AB2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3">
        <f>IF(tblOrdenes[[#This Row],[backlog_habiles]]="","",IF(tblOrdenes[[#This Row],[backlog_habiles]]&lt;0,"FUTURO",IF(tblOrdenes[[#This Row],[backlog_habiles]]&gt;p_dias_backlog_max,"BACKLOG","MES CORRIENTE")))</f>
        <v/>
      </c>
      <c r="AD260" s="3">
        <f>IF(tblOrdenes[[#This Row],[backlog_habiles]]="",FALSE,AND(tblOrdenes[[#This Row],[backlog_habiles]]&gt;p_dias_backlog_min,tblOrdenes[[#This Row],[backlog_habiles]]&lt;=p_dias_backlog_max))</f>
        <v/>
      </c>
      <c r="AE260" s="6" t="n"/>
      <c r="AF2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0">
        <f>IF(tblOrdenes[[#This Row],[orden]]="","",_xlfn.XLOOKUP(tblOrdenes[[#This Row],[id_operacion]],tblEjecucion[id_operacion],tblEjecucion[precio],0))</f>
        <v/>
      </c>
      <c r="AJ260" s="10">
        <f>IF(tblOrdenes[[#This Row],[orden]]="","",MAX(0,_xlfn.XLOOKUP(tblOrdenes[[#This Row],[id_operacion]],tblEjecucion[id_operacion],tblEjecucion[costo_plan_total],0)-tblOrdenes[[#This Row],[costo_servicio]]))</f>
        <v/>
      </c>
      <c r="AK260" s="10">
        <f>IF(tblOrdenes[[#This Row],[orden]]="","",tblOrdenes[[#This Row],[costo_servicio]]+tblOrdenes[[#This Row],[costo_materiales]])</f>
        <v/>
      </c>
      <c r="AL260" s="6" t="n"/>
      <c r="AM260" s="6" t="n"/>
      <c r="AN260" s="6" t="n"/>
      <c r="AO260" s="3">
        <f>IF(tblOrdenes[[#This Row],[link_checklist]]="","",HYPERLINK(p_ruta_base_checklists&amp;tblOrdenes[[#This Row],[link_checklist]],"abrir"))</f>
        <v/>
      </c>
      <c r="AP260" s="6" t="n"/>
      <c r="AQ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3">
        <f>IF(tblOrdenes[[#This Row],[tipo_ot]]="","",_xlfn.XLOOKUP(tblOrdenes[[#This Row],[tipo_ot]],tblTiposOT[codigo],tblTiposOT[clasificacion],"sin_clasificar"))</f>
        <v/>
      </c>
      <c r="U261" s="3">
        <f>IF(tblOrdenes[[#This Row],[centro_costo]]="","",_xlfn.XLOOKUP(tblOrdenes[[#This Row],[centro_costo]],tblCECO[codigo],tblCECO[linea],"(sin catálogo)"))</f>
        <v/>
      </c>
      <c r="V261" s="3">
        <f>IF(tblOrdenes[[#This Row],[centro_costo]]="","",_xlfn.XLOOKUP(tblOrdenes[[#This Row],[centro_costo]],tblCECO[codigo],tblCECO[area],"(sin catálogo)"))</f>
        <v/>
      </c>
      <c r="W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3">
        <f>IF(tblOrdenes[[#This Row],[centro_costo]]="","",_xlfn.XLOOKUP(tblOrdenes[[#This Row],[centro_costo]],tblCECO[codigo],tblCECO[coordinador],"(sin catálogo)"))</f>
        <v/>
      </c>
      <c r="Y261" s="3">
        <f>IF(tblOrdenes[[#This Row],[puesto_trabajo]]="","",_xlfn.XLOOKUP(tblOrdenes[[#This Row],[puesto_trabajo]],tblPuestos[codigo],tblPuestos[especialidad],"(sin catálogo)"))</f>
        <v/>
      </c>
      <c r="Z261" s="3">
        <f>IF(tblOrdenes[[#This Row],[cod_actividad]]="","",_xlfn.XLOOKUP(tblOrdenes[[#This Row],[cod_actividad]],tblActividades[codigo],tblActividades[descripcion],"(sin catálogo)"))</f>
        <v/>
      </c>
      <c r="AA261" s="12">
        <f>IF(tblOrdenes[[#This Row],[fecha_inicio]]="","",TODAY()-tblOrdenes[[#This Row],[fecha_inicio]])</f>
        <v/>
      </c>
      <c r="AB2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3">
        <f>IF(tblOrdenes[[#This Row],[backlog_habiles]]="","",IF(tblOrdenes[[#This Row],[backlog_habiles]]&lt;0,"FUTURO",IF(tblOrdenes[[#This Row],[backlog_habiles]]&gt;p_dias_backlog_max,"BACKLOG","MES CORRIENTE")))</f>
        <v/>
      </c>
      <c r="AD261" s="3">
        <f>IF(tblOrdenes[[#This Row],[backlog_habiles]]="",FALSE,AND(tblOrdenes[[#This Row],[backlog_habiles]]&gt;p_dias_backlog_min,tblOrdenes[[#This Row],[backlog_habiles]]&lt;=p_dias_backlog_max))</f>
        <v/>
      </c>
      <c r="AE261" s="6" t="n"/>
      <c r="AF2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0">
        <f>IF(tblOrdenes[[#This Row],[orden]]="","",_xlfn.XLOOKUP(tblOrdenes[[#This Row],[id_operacion]],tblEjecucion[id_operacion],tblEjecucion[precio],0))</f>
        <v/>
      </c>
      <c r="AJ261" s="10">
        <f>IF(tblOrdenes[[#This Row],[orden]]="","",MAX(0,_xlfn.XLOOKUP(tblOrdenes[[#This Row],[id_operacion]],tblEjecucion[id_operacion],tblEjecucion[costo_plan_total],0)-tblOrdenes[[#This Row],[costo_servicio]]))</f>
        <v/>
      </c>
      <c r="AK261" s="10">
        <f>IF(tblOrdenes[[#This Row],[orden]]="","",tblOrdenes[[#This Row],[costo_servicio]]+tblOrdenes[[#This Row],[costo_materiales]])</f>
        <v/>
      </c>
      <c r="AL261" s="6" t="n"/>
      <c r="AM261" s="6" t="n"/>
      <c r="AN261" s="6" t="n"/>
      <c r="AO261" s="3">
        <f>IF(tblOrdenes[[#This Row],[link_checklist]]="","",HYPERLINK(p_ruta_base_checklists&amp;tblOrdenes[[#This Row],[link_checklist]],"abrir"))</f>
        <v/>
      </c>
      <c r="AP261" s="6" t="n"/>
      <c r="AQ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3">
        <f>IF(tblOrdenes[[#This Row],[tipo_ot]]="","",_xlfn.XLOOKUP(tblOrdenes[[#This Row],[tipo_ot]],tblTiposOT[codigo],tblTiposOT[clasificacion],"sin_clasificar"))</f>
        <v/>
      </c>
      <c r="U262" s="3">
        <f>IF(tblOrdenes[[#This Row],[centro_costo]]="","",_xlfn.XLOOKUP(tblOrdenes[[#This Row],[centro_costo]],tblCECO[codigo],tblCECO[linea],"(sin catálogo)"))</f>
        <v/>
      </c>
      <c r="V262" s="3">
        <f>IF(tblOrdenes[[#This Row],[centro_costo]]="","",_xlfn.XLOOKUP(tblOrdenes[[#This Row],[centro_costo]],tblCECO[codigo],tblCECO[area],"(sin catálogo)"))</f>
        <v/>
      </c>
      <c r="W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3">
        <f>IF(tblOrdenes[[#This Row],[centro_costo]]="","",_xlfn.XLOOKUP(tblOrdenes[[#This Row],[centro_costo]],tblCECO[codigo],tblCECO[coordinador],"(sin catálogo)"))</f>
        <v/>
      </c>
      <c r="Y262" s="3">
        <f>IF(tblOrdenes[[#This Row],[puesto_trabajo]]="","",_xlfn.XLOOKUP(tblOrdenes[[#This Row],[puesto_trabajo]],tblPuestos[codigo],tblPuestos[especialidad],"(sin catálogo)"))</f>
        <v/>
      </c>
      <c r="Z262" s="3">
        <f>IF(tblOrdenes[[#This Row],[cod_actividad]]="","",_xlfn.XLOOKUP(tblOrdenes[[#This Row],[cod_actividad]],tblActividades[codigo],tblActividades[descripcion],"(sin catálogo)"))</f>
        <v/>
      </c>
      <c r="AA262" s="12">
        <f>IF(tblOrdenes[[#This Row],[fecha_inicio]]="","",TODAY()-tblOrdenes[[#This Row],[fecha_inicio]])</f>
        <v/>
      </c>
      <c r="AB2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3">
        <f>IF(tblOrdenes[[#This Row],[backlog_habiles]]="","",IF(tblOrdenes[[#This Row],[backlog_habiles]]&lt;0,"FUTURO",IF(tblOrdenes[[#This Row],[backlog_habiles]]&gt;p_dias_backlog_max,"BACKLOG","MES CORRIENTE")))</f>
        <v/>
      </c>
      <c r="AD262" s="3">
        <f>IF(tblOrdenes[[#This Row],[backlog_habiles]]="",FALSE,AND(tblOrdenes[[#This Row],[backlog_habiles]]&gt;p_dias_backlog_min,tblOrdenes[[#This Row],[backlog_habiles]]&lt;=p_dias_backlog_max))</f>
        <v/>
      </c>
      <c r="AE262" s="6" t="n"/>
      <c r="AF2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0">
        <f>IF(tblOrdenes[[#This Row],[orden]]="","",_xlfn.XLOOKUP(tblOrdenes[[#This Row],[id_operacion]],tblEjecucion[id_operacion],tblEjecucion[precio],0))</f>
        <v/>
      </c>
      <c r="AJ262" s="10">
        <f>IF(tblOrdenes[[#This Row],[orden]]="","",MAX(0,_xlfn.XLOOKUP(tblOrdenes[[#This Row],[id_operacion]],tblEjecucion[id_operacion],tblEjecucion[costo_plan_total],0)-tblOrdenes[[#This Row],[costo_servicio]]))</f>
        <v/>
      </c>
      <c r="AK262" s="10">
        <f>IF(tblOrdenes[[#This Row],[orden]]="","",tblOrdenes[[#This Row],[costo_servicio]]+tblOrdenes[[#This Row],[costo_materiales]])</f>
        <v/>
      </c>
      <c r="AL262" s="6" t="n"/>
      <c r="AM262" s="6" t="n"/>
      <c r="AN262" s="6" t="n"/>
      <c r="AO262" s="3">
        <f>IF(tblOrdenes[[#This Row],[link_checklist]]="","",HYPERLINK(p_ruta_base_checklists&amp;tblOrdenes[[#This Row],[link_checklist]],"abrir"))</f>
        <v/>
      </c>
      <c r="AP262" s="6" t="n"/>
      <c r="AQ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3">
        <f>IF(tblOrdenes[[#This Row],[tipo_ot]]="","",_xlfn.XLOOKUP(tblOrdenes[[#This Row],[tipo_ot]],tblTiposOT[codigo],tblTiposOT[clasificacion],"sin_clasificar"))</f>
        <v/>
      </c>
      <c r="U263" s="3">
        <f>IF(tblOrdenes[[#This Row],[centro_costo]]="","",_xlfn.XLOOKUP(tblOrdenes[[#This Row],[centro_costo]],tblCECO[codigo],tblCECO[linea],"(sin catálogo)"))</f>
        <v/>
      </c>
      <c r="V263" s="3">
        <f>IF(tblOrdenes[[#This Row],[centro_costo]]="","",_xlfn.XLOOKUP(tblOrdenes[[#This Row],[centro_costo]],tblCECO[codigo],tblCECO[area],"(sin catálogo)"))</f>
        <v/>
      </c>
      <c r="W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3">
        <f>IF(tblOrdenes[[#This Row],[centro_costo]]="","",_xlfn.XLOOKUP(tblOrdenes[[#This Row],[centro_costo]],tblCECO[codigo],tblCECO[coordinador],"(sin catálogo)"))</f>
        <v/>
      </c>
      <c r="Y263" s="3">
        <f>IF(tblOrdenes[[#This Row],[puesto_trabajo]]="","",_xlfn.XLOOKUP(tblOrdenes[[#This Row],[puesto_trabajo]],tblPuestos[codigo],tblPuestos[especialidad],"(sin catálogo)"))</f>
        <v/>
      </c>
      <c r="Z263" s="3">
        <f>IF(tblOrdenes[[#This Row],[cod_actividad]]="","",_xlfn.XLOOKUP(tblOrdenes[[#This Row],[cod_actividad]],tblActividades[codigo],tblActividades[descripcion],"(sin catálogo)"))</f>
        <v/>
      </c>
      <c r="AA263" s="12">
        <f>IF(tblOrdenes[[#This Row],[fecha_inicio]]="","",TODAY()-tblOrdenes[[#This Row],[fecha_inicio]])</f>
        <v/>
      </c>
      <c r="AB2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3">
        <f>IF(tblOrdenes[[#This Row],[backlog_habiles]]="","",IF(tblOrdenes[[#This Row],[backlog_habiles]]&lt;0,"FUTURO",IF(tblOrdenes[[#This Row],[backlog_habiles]]&gt;p_dias_backlog_max,"BACKLOG","MES CORRIENTE")))</f>
        <v/>
      </c>
      <c r="AD263" s="3">
        <f>IF(tblOrdenes[[#This Row],[backlog_habiles]]="",FALSE,AND(tblOrdenes[[#This Row],[backlog_habiles]]&gt;p_dias_backlog_min,tblOrdenes[[#This Row],[backlog_habiles]]&lt;=p_dias_backlog_max))</f>
        <v/>
      </c>
      <c r="AE263" s="6" t="n"/>
      <c r="AF2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0">
        <f>IF(tblOrdenes[[#This Row],[orden]]="","",_xlfn.XLOOKUP(tblOrdenes[[#This Row],[id_operacion]],tblEjecucion[id_operacion],tblEjecucion[precio],0))</f>
        <v/>
      </c>
      <c r="AJ263" s="10">
        <f>IF(tblOrdenes[[#This Row],[orden]]="","",MAX(0,_xlfn.XLOOKUP(tblOrdenes[[#This Row],[id_operacion]],tblEjecucion[id_operacion],tblEjecucion[costo_plan_total],0)-tblOrdenes[[#This Row],[costo_servicio]]))</f>
        <v/>
      </c>
      <c r="AK263" s="10">
        <f>IF(tblOrdenes[[#This Row],[orden]]="","",tblOrdenes[[#This Row],[costo_servicio]]+tblOrdenes[[#This Row],[costo_materiales]])</f>
        <v/>
      </c>
      <c r="AL263" s="6" t="n"/>
      <c r="AM263" s="6" t="n"/>
      <c r="AN263" s="6" t="n"/>
      <c r="AO263" s="3">
        <f>IF(tblOrdenes[[#This Row],[link_checklist]]="","",HYPERLINK(p_ruta_base_checklists&amp;tblOrdenes[[#This Row],[link_checklist]],"abrir"))</f>
        <v/>
      </c>
      <c r="AP263" s="6" t="n"/>
      <c r="AQ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3">
        <f>IF(tblOrdenes[[#This Row],[tipo_ot]]="","",_xlfn.XLOOKUP(tblOrdenes[[#This Row],[tipo_ot]],tblTiposOT[codigo],tblTiposOT[clasificacion],"sin_clasificar"))</f>
        <v/>
      </c>
      <c r="U264" s="3">
        <f>IF(tblOrdenes[[#This Row],[centro_costo]]="","",_xlfn.XLOOKUP(tblOrdenes[[#This Row],[centro_costo]],tblCECO[codigo],tblCECO[linea],"(sin catálogo)"))</f>
        <v/>
      </c>
      <c r="V264" s="3">
        <f>IF(tblOrdenes[[#This Row],[centro_costo]]="","",_xlfn.XLOOKUP(tblOrdenes[[#This Row],[centro_costo]],tblCECO[codigo],tblCECO[area],"(sin catálogo)"))</f>
        <v/>
      </c>
      <c r="W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3">
        <f>IF(tblOrdenes[[#This Row],[centro_costo]]="","",_xlfn.XLOOKUP(tblOrdenes[[#This Row],[centro_costo]],tblCECO[codigo],tblCECO[coordinador],"(sin catálogo)"))</f>
        <v/>
      </c>
      <c r="Y264" s="3">
        <f>IF(tblOrdenes[[#This Row],[puesto_trabajo]]="","",_xlfn.XLOOKUP(tblOrdenes[[#This Row],[puesto_trabajo]],tblPuestos[codigo],tblPuestos[especialidad],"(sin catálogo)"))</f>
        <v/>
      </c>
      <c r="Z264" s="3">
        <f>IF(tblOrdenes[[#This Row],[cod_actividad]]="","",_xlfn.XLOOKUP(tblOrdenes[[#This Row],[cod_actividad]],tblActividades[codigo],tblActividades[descripcion],"(sin catálogo)"))</f>
        <v/>
      </c>
      <c r="AA264" s="12">
        <f>IF(tblOrdenes[[#This Row],[fecha_inicio]]="","",TODAY()-tblOrdenes[[#This Row],[fecha_inicio]])</f>
        <v/>
      </c>
      <c r="AB2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3">
        <f>IF(tblOrdenes[[#This Row],[backlog_habiles]]="","",IF(tblOrdenes[[#This Row],[backlog_habiles]]&lt;0,"FUTURO",IF(tblOrdenes[[#This Row],[backlog_habiles]]&gt;p_dias_backlog_max,"BACKLOG","MES CORRIENTE")))</f>
        <v/>
      </c>
      <c r="AD264" s="3">
        <f>IF(tblOrdenes[[#This Row],[backlog_habiles]]="",FALSE,AND(tblOrdenes[[#This Row],[backlog_habiles]]&gt;p_dias_backlog_min,tblOrdenes[[#This Row],[backlog_habiles]]&lt;=p_dias_backlog_max))</f>
        <v/>
      </c>
      <c r="AE264" s="6" t="n"/>
      <c r="AF2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0">
        <f>IF(tblOrdenes[[#This Row],[orden]]="","",_xlfn.XLOOKUP(tblOrdenes[[#This Row],[id_operacion]],tblEjecucion[id_operacion],tblEjecucion[precio],0))</f>
        <v/>
      </c>
      <c r="AJ264" s="10">
        <f>IF(tblOrdenes[[#This Row],[orden]]="","",MAX(0,_xlfn.XLOOKUP(tblOrdenes[[#This Row],[id_operacion]],tblEjecucion[id_operacion],tblEjecucion[costo_plan_total],0)-tblOrdenes[[#This Row],[costo_servicio]]))</f>
        <v/>
      </c>
      <c r="AK264" s="10">
        <f>IF(tblOrdenes[[#This Row],[orden]]="","",tblOrdenes[[#This Row],[costo_servicio]]+tblOrdenes[[#This Row],[costo_materiales]])</f>
        <v/>
      </c>
      <c r="AL264" s="6" t="n"/>
      <c r="AM264" s="6" t="n"/>
      <c r="AN264" s="6" t="n"/>
      <c r="AO264" s="3">
        <f>IF(tblOrdenes[[#This Row],[link_checklist]]="","",HYPERLINK(p_ruta_base_checklists&amp;tblOrdenes[[#This Row],[link_checklist]],"abrir"))</f>
        <v/>
      </c>
      <c r="AP264" s="6" t="n"/>
      <c r="AQ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3">
        <f>IF(tblOrdenes[[#This Row],[tipo_ot]]="","",_xlfn.XLOOKUP(tblOrdenes[[#This Row],[tipo_ot]],tblTiposOT[codigo],tblTiposOT[clasificacion],"sin_clasificar"))</f>
        <v/>
      </c>
      <c r="U265" s="3">
        <f>IF(tblOrdenes[[#This Row],[centro_costo]]="","",_xlfn.XLOOKUP(tblOrdenes[[#This Row],[centro_costo]],tblCECO[codigo],tblCECO[linea],"(sin catálogo)"))</f>
        <v/>
      </c>
      <c r="V265" s="3">
        <f>IF(tblOrdenes[[#This Row],[centro_costo]]="","",_xlfn.XLOOKUP(tblOrdenes[[#This Row],[centro_costo]],tblCECO[codigo],tblCECO[area],"(sin catálogo)"))</f>
        <v/>
      </c>
      <c r="W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3">
        <f>IF(tblOrdenes[[#This Row],[centro_costo]]="","",_xlfn.XLOOKUP(tblOrdenes[[#This Row],[centro_costo]],tblCECO[codigo],tblCECO[coordinador],"(sin catálogo)"))</f>
        <v/>
      </c>
      <c r="Y265" s="3">
        <f>IF(tblOrdenes[[#This Row],[puesto_trabajo]]="","",_xlfn.XLOOKUP(tblOrdenes[[#This Row],[puesto_trabajo]],tblPuestos[codigo],tblPuestos[especialidad],"(sin catálogo)"))</f>
        <v/>
      </c>
      <c r="Z265" s="3">
        <f>IF(tblOrdenes[[#This Row],[cod_actividad]]="","",_xlfn.XLOOKUP(tblOrdenes[[#This Row],[cod_actividad]],tblActividades[codigo],tblActividades[descripcion],"(sin catálogo)"))</f>
        <v/>
      </c>
      <c r="AA265" s="12">
        <f>IF(tblOrdenes[[#This Row],[fecha_inicio]]="","",TODAY()-tblOrdenes[[#This Row],[fecha_inicio]])</f>
        <v/>
      </c>
      <c r="AB2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3">
        <f>IF(tblOrdenes[[#This Row],[backlog_habiles]]="","",IF(tblOrdenes[[#This Row],[backlog_habiles]]&lt;0,"FUTURO",IF(tblOrdenes[[#This Row],[backlog_habiles]]&gt;p_dias_backlog_max,"BACKLOG","MES CORRIENTE")))</f>
        <v/>
      </c>
      <c r="AD265" s="3">
        <f>IF(tblOrdenes[[#This Row],[backlog_habiles]]="",FALSE,AND(tblOrdenes[[#This Row],[backlog_habiles]]&gt;p_dias_backlog_min,tblOrdenes[[#This Row],[backlog_habiles]]&lt;=p_dias_backlog_max))</f>
        <v/>
      </c>
      <c r="AE265" s="6" t="n"/>
      <c r="AF2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0">
        <f>IF(tblOrdenes[[#This Row],[orden]]="","",_xlfn.XLOOKUP(tblOrdenes[[#This Row],[id_operacion]],tblEjecucion[id_operacion],tblEjecucion[precio],0))</f>
        <v/>
      </c>
      <c r="AJ265" s="10">
        <f>IF(tblOrdenes[[#This Row],[orden]]="","",MAX(0,_xlfn.XLOOKUP(tblOrdenes[[#This Row],[id_operacion]],tblEjecucion[id_operacion],tblEjecucion[costo_plan_total],0)-tblOrdenes[[#This Row],[costo_servicio]]))</f>
        <v/>
      </c>
      <c r="AK265" s="10">
        <f>IF(tblOrdenes[[#This Row],[orden]]="","",tblOrdenes[[#This Row],[costo_servicio]]+tblOrdenes[[#This Row],[costo_materiales]])</f>
        <v/>
      </c>
      <c r="AL265" s="6" t="n"/>
      <c r="AM265" s="6" t="n"/>
      <c r="AN265" s="6" t="n"/>
      <c r="AO265" s="3">
        <f>IF(tblOrdenes[[#This Row],[link_checklist]]="","",HYPERLINK(p_ruta_base_checklists&amp;tblOrdenes[[#This Row],[link_checklist]],"abrir"))</f>
        <v/>
      </c>
      <c r="AP265" s="6" t="n"/>
      <c r="AQ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3">
        <f>IF(tblOrdenes[[#This Row],[tipo_ot]]="","",_xlfn.XLOOKUP(tblOrdenes[[#This Row],[tipo_ot]],tblTiposOT[codigo],tblTiposOT[clasificacion],"sin_clasificar"))</f>
        <v/>
      </c>
      <c r="U266" s="3">
        <f>IF(tblOrdenes[[#This Row],[centro_costo]]="","",_xlfn.XLOOKUP(tblOrdenes[[#This Row],[centro_costo]],tblCECO[codigo],tblCECO[linea],"(sin catálogo)"))</f>
        <v/>
      </c>
      <c r="V266" s="3">
        <f>IF(tblOrdenes[[#This Row],[centro_costo]]="","",_xlfn.XLOOKUP(tblOrdenes[[#This Row],[centro_costo]],tblCECO[codigo],tblCECO[area],"(sin catálogo)"))</f>
        <v/>
      </c>
      <c r="W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3">
        <f>IF(tblOrdenes[[#This Row],[centro_costo]]="","",_xlfn.XLOOKUP(tblOrdenes[[#This Row],[centro_costo]],tblCECO[codigo],tblCECO[coordinador],"(sin catálogo)"))</f>
        <v/>
      </c>
      <c r="Y266" s="3">
        <f>IF(tblOrdenes[[#This Row],[puesto_trabajo]]="","",_xlfn.XLOOKUP(tblOrdenes[[#This Row],[puesto_trabajo]],tblPuestos[codigo],tblPuestos[especialidad],"(sin catálogo)"))</f>
        <v/>
      </c>
      <c r="Z266" s="3">
        <f>IF(tblOrdenes[[#This Row],[cod_actividad]]="","",_xlfn.XLOOKUP(tblOrdenes[[#This Row],[cod_actividad]],tblActividades[codigo],tblActividades[descripcion],"(sin catálogo)"))</f>
        <v/>
      </c>
      <c r="AA266" s="12">
        <f>IF(tblOrdenes[[#This Row],[fecha_inicio]]="","",TODAY()-tblOrdenes[[#This Row],[fecha_inicio]])</f>
        <v/>
      </c>
      <c r="AB2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3">
        <f>IF(tblOrdenes[[#This Row],[backlog_habiles]]="","",IF(tblOrdenes[[#This Row],[backlog_habiles]]&lt;0,"FUTURO",IF(tblOrdenes[[#This Row],[backlog_habiles]]&gt;p_dias_backlog_max,"BACKLOG","MES CORRIENTE")))</f>
        <v/>
      </c>
      <c r="AD266" s="3">
        <f>IF(tblOrdenes[[#This Row],[backlog_habiles]]="",FALSE,AND(tblOrdenes[[#This Row],[backlog_habiles]]&gt;p_dias_backlog_min,tblOrdenes[[#This Row],[backlog_habiles]]&lt;=p_dias_backlog_max))</f>
        <v/>
      </c>
      <c r="AE266" s="6" t="n"/>
      <c r="AF2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0">
        <f>IF(tblOrdenes[[#This Row],[orden]]="","",_xlfn.XLOOKUP(tblOrdenes[[#This Row],[id_operacion]],tblEjecucion[id_operacion],tblEjecucion[precio],0))</f>
        <v/>
      </c>
      <c r="AJ266" s="10">
        <f>IF(tblOrdenes[[#This Row],[orden]]="","",MAX(0,_xlfn.XLOOKUP(tblOrdenes[[#This Row],[id_operacion]],tblEjecucion[id_operacion],tblEjecucion[costo_plan_total],0)-tblOrdenes[[#This Row],[costo_servicio]]))</f>
        <v/>
      </c>
      <c r="AK266" s="10">
        <f>IF(tblOrdenes[[#This Row],[orden]]="","",tblOrdenes[[#This Row],[costo_servicio]]+tblOrdenes[[#This Row],[costo_materiales]])</f>
        <v/>
      </c>
      <c r="AL266" s="6" t="n"/>
      <c r="AM266" s="6" t="n"/>
      <c r="AN266" s="6" t="n"/>
      <c r="AO266" s="3">
        <f>IF(tblOrdenes[[#This Row],[link_checklist]]="","",HYPERLINK(p_ruta_base_checklists&amp;tblOrdenes[[#This Row],[link_checklist]],"abrir"))</f>
        <v/>
      </c>
      <c r="AP266" s="6" t="n"/>
      <c r="AQ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3">
        <f>IF(tblOrdenes[[#This Row],[tipo_ot]]="","",_xlfn.XLOOKUP(tblOrdenes[[#This Row],[tipo_ot]],tblTiposOT[codigo],tblTiposOT[clasificacion],"sin_clasificar"))</f>
        <v/>
      </c>
      <c r="U267" s="3">
        <f>IF(tblOrdenes[[#This Row],[centro_costo]]="","",_xlfn.XLOOKUP(tblOrdenes[[#This Row],[centro_costo]],tblCECO[codigo],tblCECO[linea],"(sin catálogo)"))</f>
        <v/>
      </c>
      <c r="V267" s="3">
        <f>IF(tblOrdenes[[#This Row],[centro_costo]]="","",_xlfn.XLOOKUP(tblOrdenes[[#This Row],[centro_costo]],tblCECO[codigo],tblCECO[area],"(sin catálogo)"))</f>
        <v/>
      </c>
      <c r="W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3">
        <f>IF(tblOrdenes[[#This Row],[centro_costo]]="","",_xlfn.XLOOKUP(tblOrdenes[[#This Row],[centro_costo]],tblCECO[codigo],tblCECO[coordinador],"(sin catálogo)"))</f>
        <v/>
      </c>
      <c r="Y267" s="3">
        <f>IF(tblOrdenes[[#This Row],[puesto_trabajo]]="","",_xlfn.XLOOKUP(tblOrdenes[[#This Row],[puesto_trabajo]],tblPuestos[codigo],tblPuestos[especialidad],"(sin catálogo)"))</f>
        <v/>
      </c>
      <c r="Z267" s="3">
        <f>IF(tblOrdenes[[#This Row],[cod_actividad]]="","",_xlfn.XLOOKUP(tblOrdenes[[#This Row],[cod_actividad]],tblActividades[codigo],tblActividades[descripcion],"(sin catálogo)"))</f>
        <v/>
      </c>
      <c r="AA267" s="12">
        <f>IF(tblOrdenes[[#This Row],[fecha_inicio]]="","",TODAY()-tblOrdenes[[#This Row],[fecha_inicio]])</f>
        <v/>
      </c>
      <c r="AB2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3">
        <f>IF(tblOrdenes[[#This Row],[backlog_habiles]]="","",IF(tblOrdenes[[#This Row],[backlog_habiles]]&lt;0,"FUTURO",IF(tblOrdenes[[#This Row],[backlog_habiles]]&gt;p_dias_backlog_max,"BACKLOG","MES CORRIENTE")))</f>
        <v/>
      </c>
      <c r="AD267" s="3">
        <f>IF(tblOrdenes[[#This Row],[backlog_habiles]]="",FALSE,AND(tblOrdenes[[#This Row],[backlog_habiles]]&gt;p_dias_backlog_min,tblOrdenes[[#This Row],[backlog_habiles]]&lt;=p_dias_backlog_max))</f>
        <v/>
      </c>
      <c r="AE267" s="6" t="n"/>
      <c r="AF2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0">
        <f>IF(tblOrdenes[[#This Row],[orden]]="","",_xlfn.XLOOKUP(tblOrdenes[[#This Row],[id_operacion]],tblEjecucion[id_operacion],tblEjecucion[precio],0))</f>
        <v/>
      </c>
      <c r="AJ267" s="10">
        <f>IF(tblOrdenes[[#This Row],[orden]]="","",MAX(0,_xlfn.XLOOKUP(tblOrdenes[[#This Row],[id_operacion]],tblEjecucion[id_operacion],tblEjecucion[costo_plan_total],0)-tblOrdenes[[#This Row],[costo_servicio]]))</f>
        <v/>
      </c>
      <c r="AK267" s="10">
        <f>IF(tblOrdenes[[#This Row],[orden]]="","",tblOrdenes[[#This Row],[costo_servicio]]+tblOrdenes[[#This Row],[costo_materiales]])</f>
        <v/>
      </c>
      <c r="AL267" s="6" t="n"/>
      <c r="AM267" s="6" t="n"/>
      <c r="AN267" s="6" t="n"/>
      <c r="AO267" s="3">
        <f>IF(tblOrdenes[[#This Row],[link_checklist]]="","",HYPERLINK(p_ruta_base_checklists&amp;tblOrdenes[[#This Row],[link_checklist]],"abrir"))</f>
        <v/>
      </c>
      <c r="AP267" s="6" t="n"/>
      <c r="AQ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3">
        <f>IF(tblOrdenes[[#This Row],[tipo_ot]]="","",_xlfn.XLOOKUP(tblOrdenes[[#This Row],[tipo_ot]],tblTiposOT[codigo],tblTiposOT[clasificacion],"sin_clasificar"))</f>
        <v/>
      </c>
      <c r="U268" s="3">
        <f>IF(tblOrdenes[[#This Row],[centro_costo]]="","",_xlfn.XLOOKUP(tblOrdenes[[#This Row],[centro_costo]],tblCECO[codigo],tblCECO[linea],"(sin catálogo)"))</f>
        <v/>
      </c>
      <c r="V268" s="3">
        <f>IF(tblOrdenes[[#This Row],[centro_costo]]="","",_xlfn.XLOOKUP(tblOrdenes[[#This Row],[centro_costo]],tblCECO[codigo],tblCECO[area],"(sin catálogo)"))</f>
        <v/>
      </c>
      <c r="W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3">
        <f>IF(tblOrdenes[[#This Row],[centro_costo]]="","",_xlfn.XLOOKUP(tblOrdenes[[#This Row],[centro_costo]],tblCECO[codigo],tblCECO[coordinador],"(sin catálogo)"))</f>
        <v/>
      </c>
      <c r="Y268" s="3">
        <f>IF(tblOrdenes[[#This Row],[puesto_trabajo]]="","",_xlfn.XLOOKUP(tblOrdenes[[#This Row],[puesto_trabajo]],tblPuestos[codigo],tblPuestos[especialidad],"(sin catálogo)"))</f>
        <v/>
      </c>
      <c r="Z268" s="3">
        <f>IF(tblOrdenes[[#This Row],[cod_actividad]]="","",_xlfn.XLOOKUP(tblOrdenes[[#This Row],[cod_actividad]],tblActividades[codigo],tblActividades[descripcion],"(sin catálogo)"))</f>
        <v/>
      </c>
      <c r="AA268" s="12">
        <f>IF(tblOrdenes[[#This Row],[fecha_inicio]]="","",TODAY()-tblOrdenes[[#This Row],[fecha_inicio]])</f>
        <v/>
      </c>
      <c r="AB2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3">
        <f>IF(tblOrdenes[[#This Row],[backlog_habiles]]="","",IF(tblOrdenes[[#This Row],[backlog_habiles]]&lt;0,"FUTURO",IF(tblOrdenes[[#This Row],[backlog_habiles]]&gt;p_dias_backlog_max,"BACKLOG","MES CORRIENTE")))</f>
        <v/>
      </c>
      <c r="AD268" s="3">
        <f>IF(tblOrdenes[[#This Row],[backlog_habiles]]="",FALSE,AND(tblOrdenes[[#This Row],[backlog_habiles]]&gt;p_dias_backlog_min,tblOrdenes[[#This Row],[backlog_habiles]]&lt;=p_dias_backlog_max))</f>
        <v/>
      </c>
      <c r="AE268" s="6" t="n"/>
      <c r="AF2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0">
        <f>IF(tblOrdenes[[#This Row],[orden]]="","",_xlfn.XLOOKUP(tblOrdenes[[#This Row],[id_operacion]],tblEjecucion[id_operacion],tblEjecucion[precio],0))</f>
        <v/>
      </c>
      <c r="AJ268" s="10">
        <f>IF(tblOrdenes[[#This Row],[orden]]="","",MAX(0,_xlfn.XLOOKUP(tblOrdenes[[#This Row],[id_operacion]],tblEjecucion[id_operacion],tblEjecucion[costo_plan_total],0)-tblOrdenes[[#This Row],[costo_servicio]]))</f>
        <v/>
      </c>
      <c r="AK268" s="10">
        <f>IF(tblOrdenes[[#This Row],[orden]]="","",tblOrdenes[[#This Row],[costo_servicio]]+tblOrdenes[[#This Row],[costo_materiales]])</f>
        <v/>
      </c>
      <c r="AL268" s="6" t="n"/>
      <c r="AM268" s="6" t="n"/>
      <c r="AN268" s="6" t="n"/>
      <c r="AO268" s="3">
        <f>IF(tblOrdenes[[#This Row],[link_checklist]]="","",HYPERLINK(p_ruta_base_checklists&amp;tblOrdenes[[#This Row],[link_checklist]],"abrir"))</f>
        <v/>
      </c>
      <c r="AP268" s="6" t="n"/>
      <c r="AQ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3">
        <f>IF(tblOrdenes[[#This Row],[tipo_ot]]="","",_xlfn.XLOOKUP(tblOrdenes[[#This Row],[tipo_ot]],tblTiposOT[codigo],tblTiposOT[clasificacion],"sin_clasificar"))</f>
        <v/>
      </c>
      <c r="U269" s="3">
        <f>IF(tblOrdenes[[#This Row],[centro_costo]]="","",_xlfn.XLOOKUP(tblOrdenes[[#This Row],[centro_costo]],tblCECO[codigo],tblCECO[linea],"(sin catálogo)"))</f>
        <v/>
      </c>
      <c r="V269" s="3">
        <f>IF(tblOrdenes[[#This Row],[centro_costo]]="","",_xlfn.XLOOKUP(tblOrdenes[[#This Row],[centro_costo]],tblCECO[codigo],tblCECO[area],"(sin catálogo)"))</f>
        <v/>
      </c>
      <c r="W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3">
        <f>IF(tblOrdenes[[#This Row],[centro_costo]]="","",_xlfn.XLOOKUP(tblOrdenes[[#This Row],[centro_costo]],tblCECO[codigo],tblCECO[coordinador],"(sin catálogo)"))</f>
        <v/>
      </c>
      <c r="Y269" s="3">
        <f>IF(tblOrdenes[[#This Row],[puesto_trabajo]]="","",_xlfn.XLOOKUP(tblOrdenes[[#This Row],[puesto_trabajo]],tblPuestos[codigo],tblPuestos[especialidad],"(sin catálogo)"))</f>
        <v/>
      </c>
      <c r="Z269" s="3">
        <f>IF(tblOrdenes[[#This Row],[cod_actividad]]="","",_xlfn.XLOOKUP(tblOrdenes[[#This Row],[cod_actividad]],tblActividades[codigo],tblActividades[descripcion],"(sin catálogo)"))</f>
        <v/>
      </c>
      <c r="AA269" s="12">
        <f>IF(tblOrdenes[[#This Row],[fecha_inicio]]="","",TODAY()-tblOrdenes[[#This Row],[fecha_inicio]])</f>
        <v/>
      </c>
      <c r="AB2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3">
        <f>IF(tblOrdenes[[#This Row],[backlog_habiles]]="","",IF(tblOrdenes[[#This Row],[backlog_habiles]]&lt;0,"FUTURO",IF(tblOrdenes[[#This Row],[backlog_habiles]]&gt;p_dias_backlog_max,"BACKLOG","MES CORRIENTE")))</f>
        <v/>
      </c>
      <c r="AD269" s="3">
        <f>IF(tblOrdenes[[#This Row],[backlog_habiles]]="",FALSE,AND(tblOrdenes[[#This Row],[backlog_habiles]]&gt;p_dias_backlog_min,tblOrdenes[[#This Row],[backlog_habiles]]&lt;=p_dias_backlog_max))</f>
        <v/>
      </c>
      <c r="AE269" s="6" t="n"/>
      <c r="AF2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0">
        <f>IF(tblOrdenes[[#This Row],[orden]]="","",_xlfn.XLOOKUP(tblOrdenes[[#This Row],[id_operacion]],tblEjecucion[id_operacion],tblEjecucion[precio],0))</f>
        <v/>
      </c>
      <c r="AJ269" s="10">
        <f>IF(tblOrdenes[[#This Row],[orden]]="","",MAX(0,_xlfn.XLOOKUP(tblOrdenes[[#This Row],[id_operacion]],tblEjecucion[id_operacion],tblEjecucion[costo_plan_total],0)-tblOrdenes[[#This Row],[costo_servicio]]))</f>
        <v/>
      </c>
      <c r="AK269" s="10">
        <f>IF(tblOrdenes[[#This Row],[orden]]="","",tblOrdenes[[#This Row],[costo_servicio]]+tblOrdenes[[#This Row],[costo_materiales]])</f>
        <v/>
      </c>
      <c r="AL269" s="6" t="n"/>
      <c r="AM269" s="6" t="n"/>
      <c r="AN269" s="6" t="n"/>
      <c r="AO269" s="3">
        <f>IF(tblOrdenes[[#This Row],[link_checklist]]="","",HYPERLINK(p_ruta_base_checklists&amp;tblOrdenes[[#This Row],[link_checklist]],"abrir"))</f>
        <v/>
      </c>
      <c r="AP269" s="6" t="n"/>
      <c r="AQ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3">
        <f>IF(tblOrdenes[[#This Row],[tipo_ot]]="","",_xlfn.XLOOKUP(tblOrdenes[[#This Row],[tipo_ot]],tblTiposOT[codigo],tblTiposOT[clasificacion],"sin_clasificar"))</f>
        <v/>
      </c>
      <c r="U270" s="3">
        <f>IF(tblOrdenes[[#This Row],[centro_costo]]="","",_xlfn.XLOOKUP(tblOrdenes[[#This Row],[centro_costo]],tblCECO[codigo],tblCECO[linea],"(sin catálogo)"))</f>
        <v/>
      </c>
      <c r="V270" s="3">
        <f>IF(tblOrdenes[[#This Row],[centro_costo]]="","",_xlfn.XLOOKUP(tblOrdenes[[#This Row],[centro_costo]],tblCECO[codigo],tblCECO[area],"(sin catálogo)"))</f>
        <v/>
      </c>
      <c r="W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3">
        <f>IF(tblOrdenes[[#This Row],[centro_costo]]="","",_xlfn.XLOOKUP(tblOrdenes[[#This Row],[centro_costo]],tblCECO[codigo],tblCECO[coordinador],"(sin catálogo)"))</f>
        <v/>
      </c>
      <c r="Y270" s="3">
        <f>IF(tblOrdenes[[#This Row],[puesto_trabajo]]="","",_xlfn.XLOOKUP(tblOrdenes[[#This Row],[puesto_trabajo]],tblPuestos[codigo],tblPuestos[especialidad],"(sin catálogo)"))</f>
        <v/>
      </c>
      <c r="Z270" s="3">
        <f>IF(tblOrdenes[[#This Row],[cod_actividad]]="","",_xlfn.XLOOKUP(tblOrdenes[[#This Row],[cod_actividad]],tblActividades[codigo],tblActividades[descripcion],"(sin catálogo)"))</f>
        <v/>
      </c>
      <c r="AA270" s="12">
        <f>IF(tblOrdenes[[#This Row],[fecha_inicio]]="","",TODAY()-tblOrdenes[[#This Row],[fecha_inicio]])</f>
        <v/>
      </c>
      <c r="AB2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3">
        <f>IF(tblOrdenes[[#This Row],[backlog_habiles]]="","",IF(tblOrdenes[[#This Row],[backlog_habiles]]&lt;0,"FUTURO",IF(tblOrdenes[[#This Row],[backlog_habiles]]&gt;p_dias_backlog_max,"BACKLOG","MES CORRIENTE")))</f>
        <v/>
      </c>
      <c r="AD270" s="3">
        <f>IF(tblOrdenes[[#This Row],[backlog_habiles]]="",FALSE,AND(tblOrdenes[[#This Row],[backlog_habiles]]&gt;p_dias_backlog_min,tblOrdenes[[#This Row],[backlog_habiles]]&lt;=p_dias_backlog_max))</f>
        <v/>
      </c>
      <c r="AE270" s="6" t="n"/>
      <c r="AF2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0">
        <f>IF(tblOrdenes[[#This Row],[orden]]="","",_xlfn.XLOOKUP(tblOrdenes[[#This Row],[id_operacion]],tblEjecucion[id_operacion],tblEjecucion[precio],0))</f>
        <v/>
      </c>
      <c r="AJ270" s="10">
        <f>IF(tblOrdenes[[#This Row],[orden]]="","",MAX(0,_xlfn.XLOOKUP(tblOrdenes[[#This Row],[id_operacion]],tblEjecucion[id_operacion],tblEjecucion[costo_plan_total],0)-tblOrdenes[[#This Row],[costo_servicio]]))</f>
        <v/>
      </c>
      <c r="AK270" s="10">
        <f>IF(tblOrdenes[[#This Row],[orden]]="","",tblOrdenes[[#This Row],[costo_servicio]]+tblOrdenes[[#This Row],[costo_materiales]])</f>
        <v/>
      </c>
      <c r="AL270" s="6" t="n"/>
      <c r="AM270" s="6" t="n"/>
      <c r="AN270" s="6" t="n"/>
      <c r="AO270" s="3">
        <f>IF(tblOrdenes[[#This Row],[link_checklist]]="","",HYPERLINK(p_ruta_base_checklists&amp;tblOrdenes[[#This Row],[link_checklist]],"abrir"))</f>
        <v/>
      </c>
      <c r="AP270" s="6" t="n"/>
      <c r="AQ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3">
        <f>IF(tblOrdenes[[#This Row],[tipo_ot]]="","",_xlfn.XLOOKUP(tblOrdenes[[#This Row],[tipo_ot]],tblTiposOT[codigo],tblTiposOT[clasificacion],"sin_clasificar"))</f>
        <v/>
      </c>
      <c r="U271" s="3">
        <f>IF(tblOrdenes[[#This Row],[centro_costo]]="","",_xlfn.XLOOKUP(tblOrdenes[[#This Row],[centro_costo]],tblCECO[codigo],tblCECO[linea],"(sin catálogo)"))</f>
        <v/>
      </c>
      <c r="V271" s="3">
        <f>IF(tblOrdenes[[#This Row],[centro_costo]]="","",_xlfn.XLOOKUP(tblOrdenes[[#This Row],[centro_costo]],tblCECO[codigo],tblCECO[area],"(sin catálogo)"))</f>
        <v/>
      </c>
      <c r="W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3">
        <f>IF(tblOrdenes[[#This Row],[centro_costo]]="","",_xlfn.XLOOKUP(tblOrdenes[[#This Row],[centro_costo]],tblCECO[codigo],tblCECO[coordinador],"(sin catálogo)"))</f>
        <v/>
      </c>
      <c r="Y271" s="3">
        <f>IF(tblOrdenes[[#This Row],[puesto_trabajo]]="","",_xlfn.XLOOKUP(tblOrdenes[[#This Row],[puesto_trabajo]],tblPuestos[codigo],tblPuestos[especialidad],"(sin catálogo)"))</f>
        <v/>
      </c>
      <c r="Z271" s="3">
        <f>IF(tblOrdenes[[#This Row],[cod_actividad]]="","",_xlfn.XLOOKUP(tblOrdenes[[#This Row],[cod_actividad]],tblActividades[codigo],tblActividades[descripcion],"(sin catálogo)"))</f>
        <v/>
      </c>
      <c r="AA271" s="12">
        <f>IF(tblOrdenes[[#This Row],[fecha_inicio]]="","",TODAY()-tblOrdenes[[#This Row],[fecha_inicio]])</f>
        <v/>
      </c>
      <c r="AB2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3">
        <f>IF(tblOrdenes[[#This Row],[backlog_habiles]]="","",IF(tblOrdenes[[#This Row],[backlog_habiles]]&lt;0,"FUTURO",IF(tblOrdenes[[#This Row],[backlog_habiles]]&gt;p_dias_backlog_max,"BACKLOG","MES CORRIENTE")))</f>
        <v/>
      </c>
      <c r="AD271" s="3">
        <f>IF(tblOrdenes[[#This Row],[backlog_habiles]]="",FALSE,AND(tblOrdenes[[#This Row],[backlog_habiles]]&gt;p_dias_backlog_min,tblOrdenes[[#This Row],[backlog_habiles]]&lt;=p_dias_backlog_max))</f>
        <v/>
      </c>
      <c r="AE271" s="6" t="n"/>
      <c r="AF2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0">
        <f>IF(tblOrdenes[[#This Row],[orden]]="","",_xlfn.XLOOKUP(tblOrdenes[[#This Row],[id_operacion]],tblEjecucion[id_operacion],tblEjecucion[precio],0))</f>
        <v/>
      </c>
      <c r="AJ271" s="10">
        <f>IF(tblOrdenes[[#This Row],[orden]]="","",MAX(0,_xlfn.XLOOKUP(tblOrdenes[[#This Row],[id_operacion]],tblEjecucion[id_operacion],tblEjecucion[costo_plan_total],0)-tblOrdenes[[#This Row],[costo_servicio]]))</f>
        <v/>
      </c>
      <c r="AK271" s="10">
        <f>IF(tblOrdenes[[#This Row],[orden]]="","",tblOrdenes[[#This Row],[costo_servicio]]+tblOrdenes[[#This Row],[costo_materiales]])</f>
        <v/>
      </c>
      <c r="AL271" s="6" t="n"/>
      <c r="AM271" s="6" t="n"/>
      <c r="AN271" s="6" t="n"/>
      <c r="AO271" s="3">
        <f>IF(tblOrdenes[[#This Row],[link_checklist]]="","",HYPERLINK(p_ruta_base_checklists&amp;tblOrdenes[[#This Row],[link_checklist]],"abrir"))</f>
        <v/>
      </c>
      <c r="AP271" s="6" t="n"/>
      <c r="AQ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3">
        <f>IF(tblOrdenes[[#This Row],[tipo_ot]]="","",_xlfn.XLOOKUP(tblOrdenes[[#This Row],[tipo_ot]],tblTiposOT[codigo],tblTiposOT[clasificacion],"sin_clasificar"))</f>
        <v/>
      </c>
      <c r="U272" s="3">
        <f>IF(tblOrdenes[[#This Row],[centro_costo]]="","",_xlfn.XLOOKUP(tblOrdenes[[#This Row],[centro_costo]],tblCECO[codigo],tblCECO[linea],"(sin catálogo)"))</f>
        <v/>
      </c>
      <c r="V272" s="3">
        <f>IF(tblOrdenes[[#This Row],[centro_costo]]="","",_xlfn.XLOOKUP(tblOrdenes[[#This Row],[centro_costo]],tblCECO[codigo],tblCECO[area],"(sin catálogo)"))</f>
        <v/>
      </c>
      <c r="W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3">
        <f>IF(tblOrdenes[[#This Row],[centro_costo]]="","",_xlfn.XLOOKUP(tblOrdenes[[#This Row],[centro_costo]],tblCECO[codigo],tblCECO[coordinador],"(sin catálogo)"))</f>
        <v/>
      </c>
      <c r="Y272" s="3">
        <f>IF(tblOrdenes[[#This Row],[puesto_trabajo]]="","",_xlfn.XLOOKUP(tblOrdenes[[#This Row],[puesto_trabajo]],tblPuestos[codigo],tblPuestos[especialidad],"(sin catálogo)"))</f>
        <v/>
      </c>
      <c r="Z272" s="3">
        <f>IF(tblOrdenes[[#This Row],[cod_actividad]]="","",_xlfn.XLOOKUP(tblOrdenes[[#This Row],[cod_actividad]],tblActividades[codigo],tblActividades[descripcion],"(sin catálogo)"))</f>
        <v/>
      </c>
      <c r="AA272" s="12">
        <f>IF(tblOrdenes[[#This Row],[fecha_inicio]]="","",TODAY()-tblOrdenes[[#This Row],[fecha_inicio]])</f>
        <v/>
      </c>
      <c r="AB2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3">
        <f>IF(tblOrdenes[[#This Row],[backlog_habiles]]="","",IF(tblOrdenes[[#This Row],[backlog_habiles]]&lt;0,"FUTURO",IF(tblOrdenes[[#This Row],[backlog_habiles]]&gt;p_dias_backlog_max,"BACKLOG","MES CORRIENTE")))</f>
        <v/>
      </c>
      <c r="AD272" s="3">
        <f>IF(tblOrdenes[[#This Row],[backlog_habiles]]="",FALSE,AND(tblOrdenes[[#This Row],[backlog_habiles]]&gt;p_dias_backlog_min,tblOrdenes[[#This Row],[backlog_habiles]]&lt;=p_dias_backlog_max))</f>
        <v/>
      </c>
      <c r="AE272" s="6" t="n"/>
      <c r="AF2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0">
        <f>IF(tblOrdenes[[#This Row],[orden]]="","",_xlfn.XLOOKUP(tblOrdenes[[#This Row],[id_operacion]],tblEjecucion[id_operacion],tblEjecucion[precio],0))</f>
        <v/>
      </c>
      <c r="AJ272" s="10">
        <f>IF(tblOrdenes[[#This Row],[orden]]="","",MAX(0,_xlfn.XLOOKUP(tblOrdenes[[#This Row],[id_operacion]],tblEjecucion[id_operacion],tblEjecucion[costo_plan_total],0)-tblOrdenes[[#This Row],[costo_servicio]]))</f>
        <v/>
      </c>
      <c r="AK272" s="10">
        <f>IF(tblOrdenes[[#This Row],[orden]]="","",tblOrdenes[[#This Row],[costo_servicio]]+tblOrdenes[[#This Row],[costo_materiales]])</f>
        <v/>
      </c>
      <c r="AL272" s="6" t="n"/>
      <c r="AM272" s="6" t="n"/>
      <c r="AN272" s="6" t="n"/>
      <c r="AO272" s="3">
        <f>IF(tblOrdenes[[#This Row],[link_checklist]]="","",HYPERLINK(p_ruta_base_checklists&amp;tblOrdenes[[#This Row],[link_checklist]],"abrir"))</f>
        <v/>
      </c>
      <c r="AP272" s="6" t="n"/>
      <c r="AQ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3">
        <f>IF(tblOrdenes[[#This Row],[tipo_ot]]="","",_xlfn.XLOOKUP(tblOrdenes[[#This Row],[tipo_ot]],tblTiposOT[codigo],tblTiposOT[clasificacion],"sin_clasificar"))</f>
        <v/>
      </c>
      <c r="U273" s="3">
        <f>IF(tblOrdenes[[#This Row],[centro_costo]]="","",_xlfn.XLOOKUP(tblOrdenes[[#This Row],[centro_costo]],tblCECO[codigo],tblCECO[linea],"(sin catálogo)"))</f>
        <v/>
      </c>
      <c r="V273" s="3">
        <f>IF(tblOrdenes[[#This Row],[centro_costo]]="","",_xlfn.XLOOKUP(tblOrdenes[[#This Row],[centro_costo]],tblCECO[codigo],tblCECO[area],"(sin catálogo)"))</f>
        <v/>
      </c>
      <c r="W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3">
        <f>IF(tblOrdenes[[#This Row],[centro_costo]]="","",_xlfn.XLOOKUP(tblOrdenes[[#This Row],[centro_costo]],tblCECO[codigo],tblCECO[coordinador],"(sin catálogo)"))</f>
        <v/>
      </c>
      <c r="Y273" s="3">
        <f>IF(tblOrdenes[[#This Row],[puesto_trabajo]]="","",_xlfn.XLOOKUP(tblOrdenes[[#This Row],[puesto_trabajo]],tblPuestos[codigo],tblPuestos[especialidad],"(sin catálogo)"))</f>
        <v/>
      </c>
      <c r="Z273" s="3">
        <f>IF(tblOrdenes[[#This Row],[cod_actividad]]="","",_xlfn.XLOOKUP(tblOrdenes[[#This Row],[cod_actividad]],tblActividades[codigo],tblActividades[descripcion],"(sin catálogo)"))</f>
        <v/>
      </c>
      <c r="AA273" s="12">
        <f>IF(tblOrdenes[[#This Row],[fecha_inicio]]="","",TODAY()-tblOrdenes[[#This Row],[fecha_inicio]])</f>
        <v/>
      </c>
      <c r="AB2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3">
        <f>IF(tblOrdenes[[#This Row],[backlog_habiles]]="","",IF(tblOrdenes[[#This Row],[backlog_habiles]]&lt;0,"FUTURO",IF(tblOrdenes[[#This Row],[backlog_habiles]]&gt;p_dias_backlog_max,"BACKLOG","MES CORRIENTE")))</f>
        <v/>
      </c>
      <c r="AD273" s="3">
        <f>IF(tblOrdenes[[#This Row],[backlog_habiles]]="",FALSE,AND(tblOrdenes[[#This Row],[backlog_habiles]]&gt;p_dias_backlog_min,tblOrdenes[[#This Row],[backlog_habiles]]&lt;=p_dias_backlog_max))</f>
        <v/>
      </c>
      <c r="AE273" s="6" t="n"/>
      <c r="AF2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0">
        <f>IF(tblOrdenes[[#This Row],[orden]]="","",_xlfn.XLOOKUP(tblOrdenes[[#This Row],[id_operacion]],tblEjecucion[id_operacion],tblEjecucion[precio],0))</f>
        <v/>
      </c>
      <c r="AJ273" s="10">
        <f>IF(tblOrdenes[[#This Row],[orden]]="","",MAX(0,_xlfn.XLOOKUP(tblOrdenes[[#This Row],[id_operacion]],tblEjecucion[id_operacion],tblEjecucion[costo_plan_total],0)-tblOrdenes[[#This Row],[costo_servicio]]))</f>
        <v/>
      </c>
      <c r="AK273" s="10">
        <f>IF(tblOrdenes[[#This Row],[orden]]="","",tblOrdenes[[#This Row],[costo_servicio]]+tblOrdenes[[#This Row],[costo_materiales]])</f>
        <v/>
      </c>
      <c r="AL273" s="6" t="n"/>
      <c r="AM273" s="6" t="n"/>
      <c r="AN273" s="6" t="n"/>
      <c r="AO273" s="3">
        <f>IF(tblOrdenes[[#This Row],[link_checklist]]="","",HYPERLINK(p_ruta_base_checklists&amp;tblOrdenes[[#This Row],[link_checklist]],"abrir"))</f>
        <v/>
      </c>
      <c r="AP273" s="6" t="n"/>
      <c r="AQ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3">
        <f>IF(tblOrdenes[[#This Row],[tipo_ot]]="","",_xlfn.XLOOKUP(tblOrdenes[[#This Row],[tipo_ot]],tblTiposOT[codigo],tblTiposOT[clasificacion],"sin_clasificar"))</f>
        <v/>
      </c>
      <c r="U274" s="3">
        <f>IF(tblOrdenes[[#This Row],[centro_costo]]="","",_xlfn.XLOOKUP(tblOrdenes[[#This Row],[centro_costo]],tblCECO[codigo],tblCECO[linea],"(sin catálogo)"))</f>
        <v/>
      </c>
      <c r="V274" s="3">
        <f>IF(tblOrdenes[[#This Row],[centro_costo]]="","",_xlfn.XLOOKUP(tblOrdenes[[#This Row],[centro_costo]],tblCECO[codigo],tblCECO[area],"(sin catálogo)"))</f>
        <v/>
      </c>
      <c r="W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3">
        <f>IF(tblOrdenes[[#This Row],[centro_costo]]="","",_xlfn.XLOOKUP(tblOrdenes[[#This Row],[centro_costo]],tblCECO[codigo],tblCECO[coordinador],"(sin catálogo)"))</f>
        <v/>
      </c>
      <c r="Y274" s="3">
        <f>IF(tblOrdenes[[#This Row],[puesto_trabajo]]="","",_xlfn.XLOOKUP(tblOrdenes[[#This Row],[puesto_trabajo]],tblPuestos[codigo],tblPuestos[especialidad],"(sin catálogo)"))</f>
        <v/>
      </c>
      <c r="Z274" s="3">
        <f>IF(tblOrdenes[[#This Row],[cod_actividad]]="","",_xlfn.XLOOKUP(tblOrdenes[[#This Row],[cod_actividad]],tblActividades[codigo],tblActividades[descripcion],"(sin catálogo)"))</f>
        <v/>
      </c>
      <c r="AA274" s="12">
        <f>IF(tblOrdenes[[#This Row],[fecha_inicio]]="","",TODAY()-tblOrdenes[[#This Row],[fecha_inicio]])</f>
        <v/>
      </c>
      <c r="AB2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3">
        <f>IF(tblOrdenes[[#This Row],[backlog_habiles]]="","",IF(tblOrdenes[[#This Row],[backlog_habiles]]&lt;0,"FUTURO",IF(tblOrdenes[[#This Row],[backlog_habiles]]&gt;p_dias_backlog_max,"BACKLOG","MES CORRIENTE")))</f>
        <v/>
      </c>
      <c r="AD274" s="3">
        <f>IF(tblOrdenes[[#This Row],[backlog_habiles]]="",FALSE,AND(tblOrdenes[[#This Row],[backlog_habiles]]&gt;p_dias_backlog_min,tblOrdenes[[#This Row],[backlog_habiles]]&lt;=p_dias_backlog_max))</f>
        <v/>
      </c>
      <c r="AE274" s="6" t="n"/>
      <c r="AF2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0">
        <f>IF(tblOrdenes[[#This Row],[orden]]="","",_xlfn.XLOOKUP(tblOrdenes[[#This Row],[id_operacion]],tblEjecucion[id_operacion],tblEjecucion[precio],0))</f>
        <v/>
      </c>
      <c r="AJ274" s="10">
        <f>IF(tblOrdenes[[#This Row],[orden]]="","",MAX(0,_xlfn.XLOOKUP(tblOrdenes[[#This Row],[id_operacion]],tblEjecucion[id_operacion],tblEjecucion[costo_plan_total],0)-tblOrdenes[[#This Row],[costo_servicio]]))</f>
        <v/>
      </c>
      <c r="AK274" s="10">
        <f>IF(tblOrdenes[[#This Row],[orden]]="","",tblOrdenes[[#This Row],[costo_servicio]]+tblOrdenes[[#This Row],[costo_materiales]])</f>
        <v/>
      </c>
      <c r="AL274" s="6" t="n"/>
      <c r="AM274" s="6" t="n"/>
      <c r="AN274" s="6" t="n"/>
      <c r="AO274" s="3">
        <f>IF(tblOrdenes[[#This Row],[link_checklist]]="","",HYPERLINK(p_ruta_base_checklists&amp;tblOrdenes[[#This Row],[link_checklist]],"abrir"))</f>
        <v/>
      </c>
      <c r="AP274" s="6" t="n"/>
      <c r="AQ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3">
        <f>IF(tblOrdenes[[#This Row],[tipo_ot]]="","",_xlfn.XLOOKUP(tblOrdenes[[#This Row],[tipo_ot]],tblTiposOT[codigo],tblTiposOT[clasificacion],"sin_clasificar"))</f>
        <v/>
      </c>
      <c r="U275" s="3">
        <f>IF(tblOrdenes[[#This Row],[centro_costo]]="","",_xlfn.XLOOKUP(tblOrdenes[[#This Row],[centro_costo]],tblCECO[codigo],tblCECO[linea],"(sin catálogo)"))</f>
        <v/>
      </c>
      <c r="V275" s="3">
        <f>IF(tblOrdenes[[#This Row],[centro_costo]]="","",_xlfn.XLOOKUP(tblOrdenes[[#This Row],[centro_costo]],tblCECO[codigo],tblCECO[area],"(sin catálogo)"))</f>
        <v/>
      </c>
      <c r="W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3">
        <f>IF(tblOrdenes[[#This Row],[centro_costo]]="","",_xlfn.XLOOKUP(tblOrdenes[[#This Row],[centro_costo]],tblCECO[codigo],tblCECO[coordinador],"(sin catálogo)"))</f>
        <v/>
      </c>
      <c r="Y275" s="3">
        <f>IF(tblOrdenes[[#This Row],[puesto_trabajo]]="","",_xlfn.XLOOKUP(tblOrdenes[[#This Row],[puesto_trabajo]],tblPuestos[codigo],tblPuestos[especialidad],"(sin catálogo)"))</f>
        <v/>
      </c>
      <c r="Z275" s="3">
        <f>IF(tblOrdenes[[#This Row],[cod_actividad]]="","",_xlfn.XLOOKUP(tblOrdenes[[#This Row],[cod_actividad]],tblActividades[codigo],tblActividades[descripcion],"(sin catálogo)"))</f>
        <v/>
      </c>
      <c r="AA275" s="12">
        <f>IF(tblOrdenes[[#This Row],[fecha_inicio]]="","",TODAY()-tblOrdenes[[#This Row],[fecha_inicio]])</f>
        <v/>
      </c>
      <c r="AB2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3">
        <f>IF(tblOrdenes[[#This Row],[backlog_habiles]]="","",IF(tblOrdenes[[#This Row],[backlog_habiles]]&lt;0,"FUTURO",IF(tblOrdenes[[#This Row],[backlog_habiles]]&gt;p_dias_backlog_max,"BACKLOG","MES CORRIENTE")))</f>
        <v/>
      </c>
      <c r="AD275" s="3">
        <f>IF(tblOrdenes[[#This Row],[backlog_habiles]]="",FALSE,AND(tblOrdenes[[#This Row],[backlog_habiles]]&gt;p_dias_backlog_min,tblOrdenes[[#This Row],[backlog_habiles]]&lt;=p_dias_backlog_max))</f>
        <v/>
      </c>
      <c r="AE275" s="6" t="n"/>
      <c r="AF2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0">
        <f>IF(tblOrdenes[[#This Row],[orden]]="","",_xlfn.XLOOKUP(tblOrdenes[[#This Row],[id_operacion]],tblEjecucion[id_operacion],tblEjecucion[precio],0))</f>
        <v/>
      </c>
      <c r="AJ275" s="10">
        <f>IF(tblOrdenes[[#This Row],[orden]]="","",MAX(0,_xlfn.XLOOKUP(tblOrdenes[[#This Row],[id_operacion]],tblEjecucion[id_operacion],tblEjecucion[costo_plan_total],0)-tblOrdenes[[#This Row],[costo_servicio]]))</f>
        <v/>
      </c>
      <c r="AK275" s="10">
        <f>IF(tblOrdenes[[#This Row],[orden]]="","",tblOrdenes[[#This Row],[costo_servicio]]+tblOrdenes[[#This Row],[costo_materiales]])</f>
        <v/>
      </c>
      <c r="AL275" s="6" t="n"/>
      <c r="AM275" s="6" t="n"/>
      <c r="AN275" s="6" t="n"/>
      <c r="AO275" s="3">
        <f>IF(tblOrdenes[[#This Row],[link_checklist]]="","",HYPERLINK(p_ruta_base_checklists&amp;tblOrdenes[[#This Row],[link_checklist]],"abrir"))</f>
        <v/>
      </c>
      <c r="AP275" s="6" t="n"/>
      <c r="AQ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3">
        <f>IF(tblOrdenes[[#This Row],[tipo_ot]]="","",_xlfn.XLOOKUP(tblOrdenes[[#This Row],[tipo_ot]],tblTiposOT[codigo],tblTiposOT[clasificacion],"sin_clasificar"))</f>
        <v/>
      </c>
      <c r="U276" s="3">
        <f>IF(tblOrdenes[[#This Row],[centro_costo]]="","",_xlfn.XLOOKUP(tblOrdenes[[#This Row],[centro_costo]],tblCECO[codigo],tblCECO[linea],"(sin catálogo)"))</f>
        <v/>
      </c>
      <c r="V276" s="3">
        <f>IF(tblOrdenes[[#This Row],[centro_costo]]="","",_xlfn.XLOOKUP(tblOrdenes[[#This Row],[centro_costo]],tblCECO[codigo],tblCECO[area],"(sin catálogo)"))</f>
        <v/>
      </c>
      <c r="W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3">
        <f>IF(tblOrdenes[[#This Row],[centro_costo]]="","",_xlfn.XLOOKUP(tblOrdenes[[#This Row],[centro_costo]],tblCECO[codigo],tblCECO[coordinador],"(sin catálogo)"))</f>
        <v/>
      </c>
      <c r="Y276" s="3">
        <f>IF(tblOrdenes[[#This Row],[puesto_trabajo]]="","",_xlfn.XLOOKUP(tblOrdenes[[#This Row],[puesto_trabajo]],tblPuestos[codigo],tblPuestos[especialidad],"(sin catálogo)"))</f>
        <v/>
      </c>
      <c r="Z276" s="3">
        <f>IF(tblOrdenes[[#This Row],[cod_actividad]]="","",_xlfn.XLOOKUP(tblOrdenes[[#This Row],[cod_actividad]],tblActividades[codigo],tblActividades[descripcion],"(sin catálogo)"))</f>
        <v/>
      </c>
      <c r="AA276" s="12">
        <f>IF(tblOrdenes[[#This Row],[fecha_inicio]]="","",TODAY()-tblOrdenes[[#This Row],[fecha_inicio]])</f>
        <v/>
      </c>
      <c r="AB2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3">
        <f>IF(tblOrdenes[[#This Row],[backlog_habiles]]="","",IF(tblOrdenes[[#This Row],[backlog_habiles]]&lt;0,"FUTURO",IF(tblOrdenes[[#This Row],[backlog_habiles]]&gt;p_dias_backlog_max,"BACKLOG","MES CORRIENTE")))</f>
        <v/>
      </c>
      <c r="AD276" s="3">
        <f>IF(tblOrdenes[[#This Row],[backlog_habiles]]="",FALSE,AND(tblOrdenes[[#This Row],[backlog_habiles]]&gt;p_dias_backlog_min,tblOrdenes[[#This Row],[backlog_habiles]]&lt;=p_dias_backlog_max))</f>
        <v/>
      </c>
      <c r="AE276" s="6" t="n"/>
      <c r="AF2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0">
        <f>IF(tblOrdenes[[#This Row],[orden]]="","",_xlfn.XLOOKUP(tblOrdenes[[#This Row],[id_operacion]],tblEjecucion[id_operacion],tblEjecucion[precio],0))</f>
        <v/>
      </c>
      <c r="AJ276" s="10">
        <f>IF(tblOrdenes[[#This Row],[orden]]="","",MAX(0,_xlfn.XLOOKUP(tblOrdenes[[#This Row],[id_operacion]],tblEjecucion[id_operacion],tblEjecucion[costo_plan_total],0)-tblOrdenes[[#This Row],[costo_servicio]]))</f>
        <v/>
      </c>
      <c r="AK276" s="10">
        <f>IF(tblOrdenes[[#This Row],[orden]]="","",tblOrdenes[[#This Row],[costo_servicio]]+tblOrdenes[[#This Row],[costo_materiales]])</f>
        <v/>
      </c>
      <c r="AL276" s="6" t="n"/>
      <c r="AM276" s="6" t="n"/>
      <c r="AN276" s="6" t="n"/>
      <c r="AO276" s="3">
        <f>IF(tblOrdenes[[#This Row],[link_checklist]]="","",HYPERLINK(p_ruta_base_checklists&amp;tblOrdenes[[#This Row],[link_checklist]],"abrir"))</f>
        <v/>
      </c>
      <c r="AP276" s="6" t="n"/>
      <c r="AQ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3">
        <f>IF(tblOrdenes[[#This Row],[tipo_ot]]="","",_xlfn.XLOOKUP(tblOrdenes[[#This Row],[tipo_ot]],tblTiposOT[codigo],tblTiposOT[clasificacion],"sin_clasificar"))</f>
        <v/>
      </c>
      <c r="U277" s="3">
        <f>IF(tblOrdenes[[#This Row],[centro_costo]]="","",_xlfn.XLOOKUP(tblOrdenes[[#This Row],[centro_costo]],tblCECO[codigo],tblCECO[linea],"(sin catálogo)"))</f>
        <v/>
      </c>
      <c r="V277" s="3">
        <f>IF(tblOrdenes[[#This Row],[centro_costo]]="","",_xlfn.XLOOKUP(tblOrdenes[[#This Row],[centro_costo]],tblCECO[codigo],tblCECO[area],"(sin catálogo)"))</f>
        <v/>
      </c>
      <c r="W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3">
        <f>IF(tblOrdenes[[#This Row],[centro_costo]]="","",_xlfn.XLOOKUP(tblOrdenes[[#This Row],[centro_costo]],tblCECO[codigo],tblCECO[coordinador],"(sin catálogo)"))</f>
        <v/>
      </c>
      <c r="Y277" s="3">
        <f>IF(tblOrdenes[[#This Row],[puesto_trabajo]]="","",_xlfn.XLOOKUP(tblOrdenes[[#This Row],[puesto_trabajo]],tblPuestos[codigo],tblPuestos[especialidad],"(sin catálogo)"))</f>
        <v/>
      </c>
      <c r="Z277" s="3">
        <f>IF(tblOrdenes[[#This Row],[cod_actividad]]="","",_xlfn.XLOOKUP(tblOrdenes[[#This Row],[cod_actividad]],tblActividades[codigo],tblActividades[descripcion],"(sin catálogo)"))</f>
        <v/>
      </c>
      <c r="AA277" s="12">
        <f>IF(tblOrdenes[[#This Row],[fecha_inicio]]="","",TODAY()-tblOrdenes[[#This Row],[fecha_inicio]])</f>
        <v/>
      </c>
      <c r="AB2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3">
        <f>IF(tblOrdenes[[#This Row],[backlog_habiles]]="","",IF(tblOrdenes[[#This Row],[backlog_habiles]]&lt;0,"FUTURO",IF(tblOrdenes[[#This Row],[backlog_habiles]]&gt;p_dias_backlog_max,"BACKLOG","MES CORRIENTE")))</f>
        <v/>
      </c>
      <c r="AD277" s="3">
        <f>IF(tblOrdenes[[#This Row],[backlog_habiles]]="",FALSE,AND(tblOrdenes[[#This Row],[backlog_habiles]]&gt;p_dias_backlog_min,tblOrdenes[[#This Row],[backlog_habiles]]&lt;=p_dias_backlog_max))</f>
        <v/>
      </c>
      <c r="AE277" s="6" t="n"/>
      <c r="AF2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0">
        <f>IF(tblOrdenes[[#This Row],[orden]]="","",_xlfn.XLOOKUP(tblOrdenes[[#This Row],[id_operacion]],tblEjecucion[id_operacion],tblEjecucion[precio],0))</f>
        <v/>
      </c>
      <c r="AJ277" s="10">
        <f>IF(tblOrdenes[[#This Row],[orden]]="","",MAX(0,_xlfn.XLOOKUP(tblOrdenes[[#This Row],[id_operacion]],tblEjecucion[id_operacion],tblEjecucion[costo_plan_total],0)-tblOrdenes[[#This Row],[costo_servicio]]))</f>
        <v/>
      </c>
      <c r="AK277" s="10">
        <f>IF(tblOrdenes[[#This Row],[orden]]="","",tblOrdenes[[#This Row],[costo_servicio]]+tblOrdenes[[#This Row],[costo_materiales]])</f>
        <v/>
      </c>
      <c r="AL277" s="6" t="n"/>
      <c r="AM277" s="6" t="n"/>
      <c r="AN277" s="6" t="n"/>
      <c r="AO277" s="3">
        <f>IF(tblOrdenes[[#This Row],[link_checklist]]="","",HYPERLINK(p_ruta_base_checklists&amp;tblOrdenes[[#This Row],[link_checklist]],"abrir"))</f>
        <v/>
      </c>
      <c r="AP277" s="6" t="n"/>
      <c r="AQ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3">
        <f>IF(tblOrdenes[[#This Row],[tipo_ot]]="","",_xlfn.XLOOKUP(tblOrdenes[[#This Row],[tipo_ot]],tblTiposOT[codigo],tblTiposOT[clasificacion],"sin_clasificar"))</f>
        <v/>
      </c>
      <c r="U278" s="3">
        <f>IF(tblOrdenes[[#This Row],[centro_costo]]="","",_xlfn.XLOOKUP(tblOrdenes[[#This Row],[centro_costo]],tblCECO[codigo],tblCECO[linea],"(sin catálogo)"))</f>
        <v/>
      </c>
      <c r="V278" s="3">
        <f>IF(tblOrdenes[[#This Row],[centro_costo]]="","",_xlfn.XLOOKUP(tblOrdenes[[#This Row],[centro_costo]],tblCECO[codigo],tblCECO[area],"(sin catálogo)"))</f>
        <v/>
      </c>
      <c r="W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3">
        <f>IF(tblOrdenes[[#This Row],[centro_costo]]="","",_xlfn.XLOOKUP(tblOrdenes[[#This Row],[centro_costo]],tblCECO[codigo],tblCECO[coordinador],"(sin catálogo)"))</f>
        <v/>
      </c>
      <c r="Y278" s="3">
        <f>IF(tblOrdenes[[#This Row],[puesto_trabajo]]="","",_xlfn.XLOOKUP(tblOrdenes[[#This Row],[puesto_trabajo]],tblPuestos[codigo],tblPuestos[especialidad],"(sin catálogo)"))</f>
        <v/>
      </c>
      <c r="Z278" s="3">
        <f>IF(tblOrdenes[[#This Row],[cod_actividad]]="","",_xlfn.XLOOKUP(tblOrdenes[[#This Row],[cod_actividad]],tblActividades[codigo],tblActividades[descripcion],"(sin catálogo)"))</f>
        <v/>
      </c>
      <c r="AA278" s="12">
        <f>IF(tblOrdenes[[#This Row],[fecha_inicio]]="","",TODAY()-tblOrdenes[[#This Row],[fecha_inicio]])</f>
        <v/>
      </c>
      <c r="AB2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3">
        <f>IF(tblOrdenes[[#This Row],[backlog_habiles]]="","",IF(tblOrdenes[[#This Row],[backlog_habiles]]&lt;0,"FUTURO",IF(tblOrdenes[[#This Row],[backlog_habiles]]&gt;p_dias_backlog_max,"BACKLOG","MES CORRIENTE")))</f>
        <v/>
      </c>
      <c r="AD278" s="3">
        <f>IF(tblOrdenes[[#This Row],[backlog_habiles]]="",FALSE,AND(tblOrdenes[[#This Row],[backlog_habiles]]&gt;p_dias_backlog_min,tblOrdenes[[#This Row],[backlog_habiles]]&lt;=p_dias_backlog_max))</f>
        <v/>
      </c>
      <c r="AE278" s="6" t="n"/>
      <c r="AF2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0">
        <f>IF(tblOrdenes[[#This Row],[orden]]="","",_xlfn.XLOOKUP(tblOrdenes[[#This Row],[id_operacion]],tblEjecucion[id_operacion],tblEjecucion[precio],0))</f>
        <v/>
      </c>
      <c r="AJ278" s="10">
        <f>IF(tblOrdenes[[#This Row],[orden]]="","",MAX(0,_xlfn.XLOOKUP(tblOrdenes[[#This Row],[id_operacion]],tblEjecucion[id_operacion],tblEjecucion[costo_plan_total],0)-tblOrdenes[[#This Row],[costo_servicio]]))</f>
        <v/>
      </c>
      <c r="AK278" s="10">
        <f>IF(tblOrdenes[[#This Row],[orden]]="","",tblOrdenes[[#This Row],[costo_servicio]]+tblOrdenes[[#This Row],[costo_materiales]])</f>
        <v/>
      </c>
      <c r="AL278" s="6" t="n"/>
      <c r="AM278" s="6" t="n"/>
      <c r="AN278" s="6" t="n"/>
      <c r="AO278" s="3">
        <f>IF(tblOrdenes[[#This Row],[link_checklist]]="","",HYPERLINK(p_ruta_base_checklists&amp;tblOrdenes[[#This Row],[link_checklist]],"abrir"))</f>
        <v/>
      </c>
      <c r="AP278" s="6" t="n"/>
      <c r="AQ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3">
        <f>IF(tblOrdenes[[#This Row],[tipo_ot]]="","",_xlfn.XLOOKUP(tblOrdenes[[#This Row],[tipo_ot]],tblTiposOT[codigo],tblTiposOT[clasificacion],"sin_clasificar"))</f>
        <v/>
      </c>
      <c r="U279" s="3">
        <f>IF(tblOrdenes[[#This Row],[centro_costo]]="","",_xlfn.XLOOKUP(tblOrdenes[[#This Row],[centro_costo]],tblCECO[codigo],tblCECO[linea],"(sin catálogo)"))</f>
        <v/>
      </c>
      <c r="V279" s="3">
        <f>IF(tblOrdenes[[#This Row],[centro_costo]]="","",_xlfn.XLOOKUP(tblOrdenes[[#This Row],[centro_costo]],tblCECO[codigo],tblCECO[area],"(sin catálogo)"))</f>
        <v/>
      </c>
      <c r="W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3">
        <f>IF(tblOrdenes[[#This Row],[centro_costo]]="","",_xlfn.XLOOKUP(tblOrdenes[[#This Row],[centro_costo]],tblCECO[codigo],tblCECO[coordinador],"(sin catálogo)"))</f>
        <v/>
      </c>
      <c r="Y279" s="3">
        <f>IF(tblOrdenes[[#This Row],[puesto_trabajo]]="","",_xlfn.XLOOKUP(tblOrdenes[[#This Row],[puesto_trabajo]],tblPuestos[codigo],tblPuestos[especialidad],"(sin catálogo)"))</f>
        <v/>
      </c>
      <c r="Z279" s="3">
        <f>IF(tblOrdenes[[#This Row],[cod_actividad]]="","",_xlfn.XLOOKUP(tblOrdenes[[#This Row],[cod_actividad]],tblActividades[codigo],tblActividades[descripcion],"(sin catálogo)"))</f>
        <v/>
      </c>
      <c r="AA279" s="12">
        <f>IF(tblOrdenes[[#This Row],[fecha_inicio]]="","",TODAY()-tblOrdenes[[#This Row],[fecha_inicio]])</f>
        <v/>
      </c>
      <c r="AB2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3">
        <f>IF(tblOrdenes[[#This Row],[backlog_habiles]]="","",IF(tblOrdenes[[#This Row],[backlog_habiles]]&lt;0,"FUTURO",IF(tblOrdenes[[#This Row],[backlog_habiles]]&gt;p_dias_backlog_max,"BACKLOG","MES CORRIENTE")))</f>
        <v/>
      </c>
      <c r="AD279" s="3">
        <f>IF(tblOrdenes[[#This Row],[backlog_habiles]]="",FALSE,AND(tblOrdenes[[#This Row],[backlog_habiles]]&gt;p_dias_backlog_min,tblOrdenes[[#This Row],[backlog_habiles]]&lt;=p_dias_backlog_max))</f>
        <v/>
      </c>
      <c r="AE279" s="6" t="n"/>
      <c r="AF2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0">
        <f>IF(tblOrdenes[[#This Row],[orden]]="","",_xlfn.XLOOKUP(tblOrdenes[[#This Row],[id_operacion]],tblEjecucion[id_operacion],tblEjecucion[precio],0))</f>
        <v/>
      </c>
      <c r="AJ279" s="10">
        <f>IF(tblOrdenes[[#This Row],[orden]]="","",MAX(0,_xlfn.XLOOKUP(tblOrdenes[[#This Row],[id_operacion]],tblEjecucion[id_operacion],tblEjecucion[costo_plan_total],0)-tblOrdenes[[#This Row],[costo_servicio]]))</f>
        <v/>
      </c>
      <c r="AK279" s="10">
        <f>IF(tblOrdenes[[#This Row],[orden]]="","",tblOrdenes[[#This Row],[costo_servicio]]+tblOrdenes[[#This Row],[costo_materiales]])</f>
        <v/>
      </c>
      <c r="AL279" s="6" t="n"/>
      <c r="AM279" s="6" t="n"/>
      <c r="AN279" s="6" t="n"/>
      <c r="AO279" s="3">
        <f>IF(tblOrdenes[[#This Row],[link_checklist]]="","",HYPERLINK(p_ruta_base_checklists&amp;tblOrdenes[[#This Row],[link_checklist]],"abrir"))</f>
        <v/>
      </c>
      <c r="AP279" s="6" t="n"/>
      <c r="AQ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3">
        <f>IF(tblOrdenes[[#This Row],[tipo_ot]]="","",_xlfn.XLOOKUP(tblOrdenes[[#This Row],[tipo_ot]],tblTiposOT[codigo],tblTiposOT[clasificacion],"sin_clasificar"))</f>
        <v/>
      </c>
      <c r="U280" s="3">
        <f>IF(tblOrdenes[[#This Row],[centro_costo]]="","",_xlfn.XLOOKUP(tblOrdenes[[#This Row],[centro_costo]],tblCECO[codigo],tblCECO[linea],"(sin catálogo)"))</f>
        <v/>
      </c>
      <c r="V280" s="3">
        <f>IF(tblOrdenes[[#This Row],[centro_costo]]="","",_xlfn.XLOOKUP(tblOrdenes[[#This Row],[centro_costo]],tblCECO[codigo],tblCECO[area],"(sin catálogo)"))</f>
        <v/>
      </c>
      <c r="W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3">
        <f>IF(tblOrdenes[[#This Row],[centro_costo]]="","",_xlfn.XLOOKUP(tblOrdenes[[#This Row],[centro_costo]],tblCECO[codigo],tblCECO[coordinador],"(sin catálogo)"))</f>
        <v/>
      </c>
      <c r="Y280" s="3">
        <f>IF(tblOrdenes[[#This Row],[puesto_trabajo]]="","",_xlfn.XLOOKUP(tblOrdenes[[#This Row],[puesto_trabajo]],tblPuestos[codigo],tblPuestos[especialidad],"(sin catálogo)"))</f>
        <v/>
      </c>
      <c r="Z280" s="3">
        <f>IF(tblOrdenes[[#This Row],[cod_actividad]]="","",_xlfn.XLOOKUP(tblOrdenes[[#This Row],[cod_actividad]],tblActividades[codigo],tblActividades[descripcion],"(sin catálogo)"))</f>
        <v/>
      </c>
      <c r="AA280" s="12">
        <f>IF(tblOrdenes[[#This Row],[fecha_inicio]]="","",TODAY()-tblOrdenes[[#This Row],[fecha_inicio]])</f>
        <v/>
      </c>
      <c r="AB2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3">
        <f>IF(tblOrdenes[[#This Row],[backlog_habiles]]="","",IF(tblOrdenes[[#This Row],[backlog_habiles]]&lt;0,"FUTURO",IF(tblOrdenes[[#This Row],[backlog_habiles]]&gt;p_dias_backlog_max,"BACKLOG","MES CORRIENTE")))</f>
        <v/>
      </c>
      <c r="AD280" s="3">
        <f>IF(tblOrdenes[[#This Row],[backlog_habiles]]="",FALSE,AND(tblOrdenes[[#This Row],[backlog_habiles]]&gt;p_dias_backlog_min,tblOrdenes[[#This Row],[backlog_habiles]]&lt;=p_dias_backlog_max))</f>
        <v/>
      </c>
      <c r="AE280" s="6" t="n"/>
      <c r="AF2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0">
        <f>IF(tblOrdenes[[#This Row],[orden]]="","",_xlfn.XLOOKUP(tblOrdenes[[#This Row],[id_operacion]],tblEjecucion[id_operacion],tblEjecucion[precio],0))</f>
        <v/>
      </c>
      <c r="AJ280" s="10">
        <f>IF(tblOrdenes[[#This Row],[orden]]="","",MAX(0,_xlfn.XLOOKUP(tblOrdenes[[#This Row],[id_operacion]],tblEjecucion[id_operacion],tblEjecucion[costo_plan_total],0)-tblOrdenes[[#This Row],[costo_servicio]]))</f>
        <v/>
      </c>
      <c r="AK280" s="10">
        <f>IF(tblOrdenes[[#This Row],[orden]]="","",tblOrdenes[[#This Row],[costo_servicio]]+tblOrdenes[[#This Row],[costo_materiales]])</f>
        <v/>
      </c>
      <c r="AL280" s="6" t="n"/>
      <c r="AM280" s="6" t="n"/>
      <c r="AN280" s="6" t="n"/>
      <c r="AO280" s="3">
        <f>IF(tblOrdenes[[#This Row],[link_checklist]]="","",HYPERLINK(p_ruta_base_checklists&amp;tblOrdenes[[#This Row],[link_checklist]],"abrir"))</f>
        <v/>
      </c>
      <c r="AP280" s="6" t="n"/>
      <c r="AQ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3">
        <f>IF(tblOrdenes[[#This Row],[tipo_ot]]="","",_xlfn.XLOOKUP(tblOrdenes[[#This Row],[tipo_ot]],tblTiposOT[codigo],tblTiposOT[clasificacion],"sin_clasificar"))</f>
        <v/>
      </c>
      <c r="U281" s="3">
        <f>IF(tblOrdenes[[#This Row],[centro_costo]]="","",_xlfn.XLOOKUP(tblOrdenes[[#This Row],[centro_costo]],tblCECO[codigo],tblCECO[linea],"(sin catálogo)"))</f>
        <v/>
      </c>
      <c r="V281" s="3">
        <f>IF(tblOrdenes[[#This Row],[centro_costo]]="","",_xlfn.XLOOKUP(tblOrdenes[[#This Row],[centro_costo]],tblCECO[codigo],tblCECO[area],"(sin catálogo)"))</f>
        <v/>
      </c>
      <c r="W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3">
        <f>IF(tblOrdenes[[#This Row],[centro_costo]]="","",_xlfn.XLOOKUP(tblOrdenes[[#This Row],[centro_costo]],tblCECO[codigo],tblCECO[coordinador],"(sin catálogo)"))</f>
        <v/>
      </c>
      <c r="Y281" s="3">
        <f>IF(tblOrdenes[[#This Row],[puesto_trabajo]]="","",_xlfn.XLOOKUP(tblOrdenes[[#This Row],[puesto_trabajo]],tblPuestos[codigo],tblPuestos[especialidad],"(sin catálogo)"))</f>
        <v/>
      </c>
      <c r="Z281" s="3">
        <f>IF(tblOrdenes[[#This Row],[cod_actividad]]="","",_xlfn.XLOOKUP(tblOrdenes[[#This Row],[cod_actividad]],tblActividades[codigo],tblActividades[descripcion],"(sin catálogo)"))</f>
        <v/>
      </c>
      <c r="AA281" s="12">
        <f>IF(tblOrdenes[[#This Row],[fecha_inicio]]="","",TODAY()-tblOrdenes[[#This Row],[fecha_inicio]])</f>
        <v/>
      </c>
      <c r="AB2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3">
        <f>IF(tblOrdenes[[#This Row],[backlog_habiles]]="","",IF(tblOrdenes[[#This Row],[backlog_habiles]]&lt;0,"FUTURO",IF(tblOrdenes[[#This Row],[backlog_habiles]]&gt;p_dias_backlog_max,"BACKLOG","MES CORRIENTE")))</f>
        <v/>
      </c>
      <c r="AD281" s="3">
        <f>IF(tblOrdenes[[#This Row],[backlog_habiles]]="",FALSE,AND(tblOrdenes[[#This Row],[backlog_habiles]]&gt;p_dias_backlog_min,tblOrdenes[[#This Row],[backlog_habiles]]&lt;=p_dias_backlog_max))</f>
        <v/>
      </c>
      <c r="AE281" s="6" t="n"/>
      <c r="AF2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0">
        <f>IF(tblOrdenes[[#This Row],[orden]]="","",_xlfn.XLOOKUP(tblOrdenes[[#This Row],[id_operacion]],tblEjecucion[id_operacion],tblEjecucion[precio],0))</f>
        <v/>
      </c>
      <c r="AJ281" s="10">
        <f>IF(tblOrdenes[[#This Row],[orden]]="","",MAX(0,_xlfn.XLOOKUP(tblOrdenes[[#This Row],[id_operacion]],tblEjecucion[id_operacion],tblEjecucion[costo_plan_total],0)-tblOrdenes[[#This Row],[costo_servicio]]))</f>
        <v/>
      </c>
      <c r="AK281" s="10">
        <f>IF(tblOrdenes[[#This Row],[orden]]="","",tblOrdenes[[#This Row],[costo_servicio]]+tblOrdenes[[#This Row],[costo_materiales]])</f>
        <v/>
      </c>
      <c r="AL281" s="6" t="n"/>
      <c r="AM281" s="6" t="n"/>
      <c r="AN281" s="6" t="n"/>
      <c r="AO281" s="3">
        <f>IF(tblOrdenes[[#This Row],[link_checklist]]="","",HYPERLINK(p_ruta_base_checklists&amp;tblOrdenes[[#This Row],[link_checklist]],"abrir"))</f>
        <v/>
      </c>
      <c r="AP281" s="6" t="n"/>
      <c r="AQ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3">
        <f>IF(tblOrdenes[[#This Row],[tipo_ot]]="","",_xlfn.XLOOKUP(tblOrdenes[[#This Row],[tipo_ot]],tblTiposOT[codigo],tblTiposOT[clasificacion],"sin_clasificar"))</f>
        <v/>
      </c>
      <c r="U282" s="3">
        <f>IF(tblOrdenes[[#This Row],[centro_costo]]="","",_xlfn.XLOOKUP(tblOrdenes[[#This Row],[centro_costo]],tblCECO[codigo],tblCECO[linea],"(sin catálogo)"))</f>
        <v/>
      </c>
      <c r="V282" s="3">
        <f>IF(tblOrdenes[[#This Row],[centro_costo]]="","",_xlfn.XLOOKUP(tblOrdenes[[#This Row],[centro_costo]],tblCECO[codigo],tblCECO[area],"(sin catálogo)"))</f>
        <v/>
      </c>
      <c r="W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3">
        <f>IF(tblOrdenes[[#This Row],[centro_costo]]="","",_xlfn.XLOOKUP(tblOrdenes[[#This Row],[centro_costo]],tblCECO[codigo],tblCECO[coordinador],"(sin catálogo)"))</f>
        <v/>
      </c>
      <c r="Y282" s="3">
        <f>IF(tblOrdenes[[#This Row],[puesto_trabajo]]="","",_xlfn.XLOOKUP(tblOrdenes[[#This Row],[puesto_trabajo]],tblPuestos[codigo],tblPuestos[especialidad],"(sin catálogo)"))</f>
        <v/>
      </c>
      <c r="Z282" s="3">
        <f>IF(tblOrdenes[[#This Row],[cod_actividad]]="","",_xlfn.XLOOKUP(tblOrdenes[[#This Row],[cod_actividad]],tblActividades[codigo],tblActividades[descripcion],"(sin catálogo)"))</f>
        <v/>
      </c>
      <c r="AA282" s="12">
        <f>IF(tblOrdenes[[#This Row],[fecha_inicio]]="","",TODAY()-tblOrdenes[[#This Row],[fecha_inicio]])</f>
        <v/>
      </c>
      <c r="AB2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3">
        <f>IF(tblOrdenes[[#This Row],[backlog_habiles]]="","",IF(tblOrdenes[[#This Row],[backlog_habiles]]&lt;0,"FUTURO",IF(tblOrdenes[[#This Row],[backlog_habiles]]&gt;p_dias_backlog_max,"BACKLOG","MES CORRIENTE")))</f>
        <v/>
      </c>
      <c r="AD282" s="3">
        <f>IF(tblOrdenes[[#This Row],[backlog_habiles]]="",FALSE,AND(tblOrdenes[[#This Row],[backlog_habiles]]&gt;p_dias_backlog_min,tblOrdenes[[#This Row],[backlog_habiles]]&lt;=p_dias_backlog_max))</f>
        <v/>
      </c>
      <c r="AE282" s="6" t="n"/>
      <c r="AF2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0">
        <f>IF(tblOrdenes[[#This Row],[orden]]="","",_xlfn.XLOOKUP(tblOrdenes[[#This Row],[id_operacion]],tblEjecucion[id_operacion],tblEjecucion[precio],0))</f>
        <v/>
      </c>
      <c r="AJ282" s="10">
        <f>IF(tblOrdenes[[#This Row],[orden]]="","",MAX(0,_xlfn.XLOOKUP(tblOrdenes[[#This Row],[id_operacion]],tblEjecucion[id_operacion],tblEjecucion[costo_plan_total],0)-tblOrdenes[[#This Row],[costo_servicio]]))</f>
        <v/>
      </c>
      <c r="AK282" s="10">
        <f>IF(tblOrdenes[[#This Row],[orden]]="","",tblOrdenes[[#This Row],[costo_servicio]]+tblOrdenes[[#This Row],[costo_materiales]])</f>
        <v/>
      </c>
      <c r="AL282" s="6" t="n"/>
      <c r="AM282" s="6" t="n"/>
      <c r="AN282" s="6" t="n"/>
      <c r="AO282" s="3">
        <f>IF(tblOrdenes[[#This Row],[link_checklist]]="","",HYPERLINK(p_ruta_base_checklists&amp;tblOrdenes[[#This Row],[link_checklist]],"abrir"))</f>
        <v/>
      </c>
      <c r="AP282" s="6" t="n"/>
      <c r="AQ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3">
        <f>IF(tblOrdenes[[#This Row],[tipo_ot]]="","",_xlfn.XLOOKUP(tblOrdenes[[#This Row],[tipo_ot]],tblTiposOT[codigo],tblTiposOT[clasificacion],"sin_clasificar"))</f>
        <v/>
      </c>
      <c r="U283" s="3">
        <f>IF(tblOrdenes[[#This Row],[centro_costo]]="","",_xlfn.XLOOKUP(tblOrdenes[[#This Row],[centro_costo]],tblCECO[codigo],tblCECO[linea],"(sin catálogo)"))</f>
        <v/>
      </c>
      <c r="V283" s="3">
        <f>IF(tblOrdenes[[#This Row],[centro_costo]]="","",_xlfn.XLOOKUP(tblOrdenes[[#This Row],[centro_costo]],tblCECO[codigo],tblCECO[area],"(sin catálogo)"))</f>
        <v/>
      </c>
      <c r="W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3">
        <f>IF(tblOrdenes[[#This Row],[centro_costo]]="","",_xlfn.XLOOKUP(tblOrdenes[[#This Row],[centro_costo]],tblCECO[codigo],tblCECO[coordinador],"(sin catálogo)"))</f>
        <v/>
      </c>
      <c r="Y283" s="3">
        <f>IF(tblOrdenes[[#This Row],[puesto_trabajo]]="","",_xlfn.XLOOKUP(tblOrdenes[[#This Row],[puesto_trabajo]],tblPuestos[codigo],tblPuestos[especialidad],"(sin catálogo)"))</f>
        <v/>
      </c>
      <c r="Z283" s="3">
        <f>IF(tblOrdenes[[#This Row],[cod_actividad]]="","",_xlfn.XLOOKUP(tblOrdenes[[#This Row],[cod_actividad]],tblActividades[codigo],tblActividades[descripcion],"(sin catálogo)"))</f>
        <v/>
      </c>
      <c r="AA283" s="12">
        <f>IF(tblOrdenes[[#This Row],[fecha_inicio]]="","",TODAY()-tblOrdenes[[#This Row],[fecha_inicio]])</f>
        <v/>
      </c>
      <c r="AB2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3">
        <f>IF(tblOrdenes[[#This Row],[backlog_habiles]]="","",IF(tblOrdenes[[#This Row],[backlog_habiles]]&lt;0,"FUTURO",IF(tblOrdenes[[#This Row],[backlog_habiles]]&gt;p_dias_backlog_max,"BACKLOG","MES CORRIENTE")))</f>
        <v/>
      </c>
      <c r="AD283" s="3">
        <f>IF(tblOrdenes[[#This Row],[backlog_habiles]]="",FALSE,AND(tblOrdenes[[#This Row],[backlog_habiles]]&gt;p_dias_backlog_min,tblOrdenes[[#This Row],[backlog_habiles]]&lt;=p_dias_backlog_max))</f>
        <v/>
      </c>
      <c r="AE283" s="6" t="n"/>
      <c r="AF2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0">
        <f>IF(tblOrdenes[[#This Row],[orden]]="","",_xlfn.XLOOKUP(tblOrdenes[[#This Row],[id_operacion]],tblEjecucion[id_operacion],tblEjecucion[precio],0))</f>
        <v/>
      </c>
      <c r="AJ283" s="10">
        <f>IF(tblOrdenes[[#This Row],[orden]]="","",MAX(0,_xlfn.XLOOKUP(tblOrdenes[[#This Row],[id_operacion]],tblEjecucion[id_operacion],tblEjecucion[costo_plan_total],0)-tblOrdenes[[#This Row],[costo_servicio]]))</f>
        <v/>
      </c>
      <c r="AK283" s="10">
        <f>IF(tblOrdenes[[#This Row],[orden]]="","",tblOrdenes[[#This Row],[costo_servicio]]+tblOrdenes[[#This Row],[costo_materiales]])</f>
        <v/>
      </c>
      <c r="AL283" s="6" t="n"/>
      <c r="AM283" s="6" t="n"/>
      <c r="AN283" s="6" t="n"/>
      <c r="AO283" s="3">
        <f>IF(tblOrdenes[[#This Row],[link_checklist]]="","",HYPERLINK(p_ruta_base_checklists&amp;tblOrdenes[[#This Row],[link_checklist]],"abrir"))</f>
        <v/>
      </c>
      <c r="AP283" s="6" t="n"/>
      <c r="AQ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3">
        <f>IF(tblOrdenes[[#This Row],[tipo_ot]]="","",_xlfn.XLOOKUP(tblOrdenes[[#This Row],[tipo_ot]],tblTiposOT[codigo],tblTiposOT[clasificacion],"sin_clasificar"))</f>
        <v/>
      </c>
      <c r="U284" s="3">
        <f>IF(tblOrdenes[[#This Row],[centro_costo]]="","",_xlfn.XLOOKUP(tblOrdenes[[#This Row],[centro_costo]],tblCECO[codigo],tblCECO[linea],"(sin catálogo)"))</f>
        <v/>
      </c>
      <c r="V284" s="3">
        <f>IF(tblOrdenes[[#This Row],[centro_costo]]="","",_xlfn.XLOOKUP(tblOrdenes[[#This Row],[centro_costo]],tblCECO[codigo],tblCECO[area],"(sin catálogo)"))</f>
        <v/>
      </c>
      <c r="W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3">
        <f>IF(tblOrdenes[[#This Row],[centro_costo]]="","",_xlfn.XLOOKUP(tblOrdenes[[#This Row],[centro_costo]],tblCECO[codigo],tblCECO[coordinador],"(sin catálogo)"))</f>
        <v/>
      </c>
      <c r="Y284" s="3">
        <f>IF(tblOrdenes[[#This Row],[puesto_trabajo]]="","",_xlfn.XLOOKUP(tblOrdenes[[#This Row],[puesto_trabajo]],tblPuestos[codigo],tblPuestos[especialidad],"(sin catálogo)"))</f>
        <v/>
      </c>
      <c r="Z284" s="3">
        <f>IF(tblOrdenes[[#This Row],[cod_actividad]]="","",_xlfn.XLOOKUP(tblOrdenes[[#This Row],[cod_actividad]],tblActividades[codigo],tblActividades[descripcion],"(sin catálogo)"))</f>
        <v/>
      </c>
      <c r="AA284" s="12">
        <f>IF(tblOrdenes[[#This Row],[fecha_inicio]]="","",TODAY()-tblOrdenes[[#This Row],[fecha_inicio]])</f>
        <v/>
      </c>
      <c r="AB2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3">
        <f>IF(tblOrdenes[[#This Row],[backlog_habiles]]="","",IF(tblOrdenes[[#This Row],[backlog_habiles]]&lt;0,"FUTURO",IF(tblOrdenes[[#This Row],[backlog_habiles]]&gt;p_dias_backlog_max,"BACKLOG","MES CORRIENTE")))</f>
        <v/>
      </c>
      <c r="AD284" s="3">
        <f>IF(tblOrdenes[[#This Row],[backlog_habiles]]="",FALSE,AND(tblOrdenes[[#This Row],[backlog_habiles]]&gt;p_dias_backlog_min,tblOrdenes[[#This Row],[backlog_habiles]]&lt;=p_dias_backlog_max))</f>
        <v/>
      </c>
      <c r="AE284" s="6" t="n"/>
      <c r="AF2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0">
        <f>IF(tblOrdenes[[#This Row],[orden]]="","",_xlfn.XLOOKUP(tblOrdenes[[#This Row],[id_operacion]],tblEjecucion[id_operacion],tblEjecucion[precio],0))</f>
        <v/>
      </c>
      <c r="AJ284" s="10">
        <f>IF(tblOrdenes[[#This Row],[orden]]="","",MAX(0,_xlfn.XLOOKUP(tblOrdenes[[#This Row],[id_operacion]],tblEjecucion[id_operacion],tblEjecucion[costo_plan_total],0)-tblOrdenes[[#This Row],[costo_servicio]]))</f>
        <v/>
      </c>
      <c r="AK284" s="10">
        <f>IF(tblOrdenes[[#This Row],[orden]]="","",tblOrdenes[[#This Row],[costo_servicio]]+tblOrdenes[[#This Row],[costo_materiales]])</f>
        <v/>
      </c>
      <c r="AL284" s="6" t="n"/>
      <c r="AM284" s="6" t="n"/>
      <c r="AN284" s="6" t="n"/>
      <c r="AO284" s="3">
        <f>IF(tblOrdenes[[#This Row],[link_checklist]]="","",HYPERLINK(p_ruta_base_checklists&amp;tblOrdenes[[#This Row],[link_checklist]],"abrir"))</f>
        <v/>
      </c>
      <c r="AP284" s="6" t="n"/>
      <c r="AQ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3">
        <f>IF(tblOrdenes[[#This Row],[tipo_ot]]="","",_xlfn.XLOOKUP(tblOrdenes[[#This Row],[tipo_ot]],tblTiposOT[codigo],tblTiposOT[clasificacion],"sin_clasificar"))</f>
        <v/>
      </c>
      <c r="U285" s="3">
        <f>IF(tblOrdenes[[#This Row],[centro_costo]]="","",_xlfn.XLOOKUP(tblOrdenes[[#This Row],[centro_costo]],tblCECO[codigo],tblCECO[linea],"(sin catálogo)"))</f>
        <v/>
      </c>
      <c r="V285" s="3">
        <f>IF(tblOrdenes[[#This Row],[centro_costo]]="","",_xlfn.XLOOKUP(tblOrdenes[[#This Row],[centro_costo]],tblCECO[codigo],tblCECO[area],"(sin catálogo)"))</f>
        <v/>
      </c>
      <c r="W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3">
        <f>IF(tblOrdenes[[#This Row],[centro_costo]]="","",_xlfn.XLOOKUP(tblOrdenes[[#This Row],[centro_costo]],tblCECO[codigo],tblCECO[coordinador],"(sin catálogo)"))</f>
        <v/>
      </c>
      <c r="Y285" s="3">
        <f>IF(tblOrdenes[[#This Row],[puesto_trabajo]]="","",_xlfn.XLOOKUP(tblOrdenes[[#This Row],[puesto_trabajo]],tblPuestos[codigo],tblPuestos[especialidad],"(sin catálogo)"))</f>
        <v/>
      </c>
      <c r="Z285" s="3">
        <f>IF(tblOrdenes[[#This Row],[cod_actividad]]="","",_xlfn.XLOOKUP(tblOrdenes[[#This Row],[cod_actividad]],tblActividades[codigo],tblActividades[descripcion],"(sin catálogo)"))</f>
        <v/>
      </c>
      <c r="AA285" s="12">
        <f>IF(tblOrdenes[[#This Row],[fecha_inicio]]="","",TODAY()-tblOrdenes[[#This Row],[fecha_inicio]])</f>
        <v/>
      </c>
      <c r="AB2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3">
        <f>IF(tblOrdenes[[#This Row],[backlog_habiles]]="","",IF(tblOrdenes[[#This Row],[backlog_habiles]]&lt;0,"FUTURO",IF(tblOrdenes[[#This Row],[backlog_habiles]]&gt;p_dias_backlog_max,"BACKLOG","MES CORRIENTE")))</f>
        <v/>
      </c>
      <c r="AD285" s="3">
        <f>IF(tblOrdenes[[#This Row],[backlog_habiles]]="",FALSE,AND(tblOrdenes[[#This Row],[backlog_habiles]]&gt;p_dias_backlog_min,tblOrdenes[[#This Row],[backlog_habiles]]&lt;=p_dias_backlog_max))</f>
        <v/>
      </c>
      <c r="AE285" s="6" t="n"/>
      <c r="AF2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0">
        <f>IF(tblOrdenes[[#This Row],[orden]]="","",_xlfn.XLOOKUP(tblOrdenes[[#This Row],[id_operacion]],tblEjecucion[id_operacion],tblEjecucion[precio],0))</f>
        <v/>
      </c>
      <c r="AJ285" s="10">
        <f>IF(tblOrdenes[[#This Row],[orden]]="","",MAX(0,_xlfn.XLOOKUP(tblOrdenes[[#This Row],[id_operacion]],tblEjecucion[id_operacion],tblEjecucion[costo_plan_total],0)-tblOrdenes[[#This Row],[costo_servicio]]))</f>
        <v/>
      </c>
      <c r="AK285" s="10">
        <f>IF(tblOrdenes[[#This Row],[orden]]="","",tblOrdenes[[#This Row],[costo_servicio]]+tblOrdenes[[#This Row],[costo_materiales]])</f>
        <v/>
      </c>
      <c r="AL285" s="6" t="n"/>
      <c r="AM285" s="6" t="n"/>
      <c r="AN285" s="6" t="n"/>
      <c r="AO285" s="3">
        <f>IF(tblOrdenes[[#This Row],[link_checklist]]="","",HYPERLINK(p_ruta_base_checklists&amp;tblOrdenes[[#This Row],[link_checklist]],"abrir"))</f>
        <v/>
      </c>
      <c r="AP285" s="6" t="n"/>
      <c r="AQ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3">
        <f>IF(tblOrdenes[[#This Row],[tipo_ot]]="","",_xlfn.XLOOKUP(tblOrdenes[[#This Row],[tipo_ot]],tblTiposOT[codigo],tblTiposOT[clasificacion],"sin_clasificar"))</f>
        <v/>
      </c>
      <c r="U286" s="3">
        <f>IF(tblOrdenes[[#This Row],[centro_costo]]="","",_xlfn.XLOOKUP(tblOrdenes[[#This Row],[centro_costo]],tblCECO[codigo],tblCECO[linea],"(sin catálogo)"))</f>
        <v/>
      </c>
      <c r="V286" s="3">
        <f>IF(tblOrdenes[[#This Row],[centro_costo]]="","",_xlfn.XLOOKUP(tblOrdenes[[#This Row],[centro_costo]],tblCECO[codigo],tblCECO[area],"(sin catálogo)"))</f>
        <v/>
      </c>
      <c r="W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3">
        <f>IF(tblOrdenes[[#This Row],[centro_costo]]="","",_xlfn.XLOOKUP(tblOrdenes[[#This Row],[centro_costo]],tblCECO[codigo],tblCECO[coordinador],"(sin catálogo)"))</f>
        <v/>
      </c>
      <c r="Y286" s="3">
        <f>IF(tblOrdenes[[#This Row],[puesto_trabajo]]="","",_xlfn.XLOOKUP(tblOrdenes[[#This Row],[puesto_trabajo]],tblPuestos[codigo],tblPuestos[especialidad],"(sin catálogo)"))</f>
        <v/>
      </c>
      <c r="Z286" s="3">
        <f>IF(tblOrdenes[[#This Row],[cod_actividad]]="","",_xlfn.XLOOKUP(tblOrdenes[[#This Row],[cod_actividad]],tblActividades[codigo],tblActividades[descripcion],"(sin catálogo)"))</f>
        <v/>
      </c>
      <c r="AA286" s="12">
        <f>IF(tblOrdenes[[#This Row],[fecha_inicio]]="","",TODAY()-tblOrdenes[[#This Row],[fecha_inicio]])</f>
        <v/>
      </c>
      <c r="AB2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3">
        <f>IF(tblOrdenes[[#This Row],[backlog_habiles]]="","",IF(tblOrdenes[[#This Row],[backlog_habiles]]&lt;0,"FUTURO",IF(tblOrdenes[[#This Row],[backlog_habiles]]&gt;p_dias_backlog_max,"BACKLOG","MES CORRIENTE")))</f>
        <v/>
      </c>
      <c r="AD286" s="3">
        <f>IF(tblOrdenes[[#This Row],[backlog_habiles]]="",FALSE,AND(tblOrdenes[[#This Row],[backlog_habiles]]&gt;p_dias_backlog_min,tblOrdenes[[#This Row],[backlog_habiles]]&lt;=p_dias_backlog_max))</f>
        <v/>
      </c>
      <c r="AE286" s="6" t="n"/>
      <c r="AF2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0">
        <f>IF(tblOrdenes[[#This Row],[orden]]="","",_xlfn.XLOOKUP(tblOrdenes[[#This Row],[id_operacion]],tblEjecucion[id_operacion],tblEjecucion[precio],0))</f>
        <v/>
      </c>
      <c r="AJ286" s="10">
        <f>IF(tblOrdenes[[#This Row],[orden]]="","",MAX(0,_xlfn.XLOOKUP(tblOrdenes[[#This Row],[id_operacion]],tblEjecucion[id_operacion],tblEjecucion[costo_plan_total],0)-tblOrdenes[[#This Row],[costo_servicio]]))</f>
        <v/>
      </c>
      <c r="AK286" s="10">
        <f>IF(tblOrdenes[[#This Row],[orden]]="","",tblOrdenes[[#This Row],[costo_servicio]]+tblOrdenes[[#This Row],[costo_materiales]])</f>
        <v/>
      </c>
      <c r="AL286" s="6" t="n"/>
      <c r="AM286" s="6" t="n"/>
      <c r="AN286" s="6" t="n"/>
      <c r="AO286" s="3">
        <f>IF(tblOrdenes[[#This Row],[link_checklist]]="","",HYPERLINK(p_ruta_base_checklists&amp;tblOrdenes[[#This Row],[link_checklist]],"abrir"))</f>
        <v/>
      </c>
      <c r="AP286" s="6" t="n"/>
      <c r="AQ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3">
        <f>IF(tblOrdenes[[#This Row],[tipo_ot]]="","",_xlfn.XLOOKUP(tblOrdenes[[#This Row],[tipo_ot]],tblTiposOT[codigo],tblTiposOT[clasificacion],"sin_clasificar"))</f>
        <v/>
      </c>
      <c r="U287" s="3">
        <f>IF(tblOrdenes[[#This Row],[centro_costo]]="","",_xlfn.XLOOKUP(tblOrdenes[[#This Row],[centro_costo]],tblCECO[codigo],tblCECO[linea],"(sin catálogo)"))</f>
        <v/>
      </c>
      <c r="V287" s="3">
        <f>IF(tblOrdenes[[#This Row],[centro_costo]]="","",_xlfn.XLOOKUP(tblOrdenes[[#This Row],[centro_costo]],tblCECO[codigo],tblCECO[area],"(sin catálogo)"))</f>
        <v/>
      </c>
      <c r="W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3">
        <f>IF(tblOrdenes[[#This Row],[centro_costo]]="","",_xlfn.XLOOKUP(tblOrdenes[[#This Row],[centro_costo]],tblCECO[codigo],tblCECO[coordinador],"(sin catálogo)"))</f>
        <v/>
      </c>
      <c r="Y287" s="3">
        <f>IF(tblOrdenes[[#This Row],[puesto_trabajo]]="","",_xlfn.XLOOKUP(tblOrdenes[[#This Row],[puesto_trabajo]],tblPuestos[codigo],tblPuestos[especialidad],"(sin catálogo)"))</f>
        <v/>
      </c>
      <c r="Z287" s="3">
        <f>IF(tblOrdenes[[#This Row],[cod_actividad]]="","",_xlfn.XLOOKUP(tblOrdenes[[#This Row],[cod_actividad]],tblActividades[codigo],tblActividades[descripcion],"(sin catálogo)"))</f>
        <v/>
      </c>
      <c r="AA287" s="12">
        <f>IF(tblOrdenes[[#This Row],[fecha_inicio]]="","",TODAY()-tblOrdenes[[#This Row],[fecha_inicio]])</f>
        <v/>
      </c>
      <c r="AB2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3">
        <f>IF(tblOrdenes[[#This Row],[backlog_habiles]]="","",IF(tblOrdenes[[#This Row],[backlog_habiles]]&lt;0,"FUTURO",IF(tblOrdenes[[#This Row],[backlog_habiles]]&gt;p_dias_backlog_max,"BACKLOG","MES CORRIENTE")))</f>
        <v/>
      </c>
      <c r="AD287" s="3">
        <f>IF(tblOrdenes[[#This Row],[backlog_habiles]]="",FALSE,AND(tblOrdenes[[#This Row],[backlog_habiles]]&gt;p_dias_backlog_min,tblOrdenes[[#This Row],[backlog_habiles]]&lt;=p_dias_backlog_max))</f>
        <v/>
      </c>
      <c r="AE287" s="6" t="n"/>
      <c r="AF2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0">
        <f>IF(tblOrdenes[[#This Row],[orden]]="","",_xlfn.XLOOKUP(tblOrdenes[[#This Row],[id_operacion]],tblEjecucion[id_operacion],tblEjecucion[precio],0))</f>
        <v/>
      </c>
      <c r="AJ287" s="10">
        <f>IF(tblOrdenes[[#This Row],[orden]]="","",MAX(0,_xlfn.XLOOKUP(tblOrdenes[[#This Row],[id_operacion]],tblEjecucion[id_operacion],tblEjecucion[costo_plan_total],0)-tblOrdenes[[#This Row],[costo_servicio]]))</f>
        <v/>
      </c>
      <c r="AK287" s="10">
        <f>IF(tblOrdenes[[#This Row],[orden]]="","",tblOrdenes[[#This Row],[costo_servicio]]+tblOrdenes[[#This Row],[costo_materiales]])</f>
        <v/>
      </c>
      <c r="AL287" s="6" t="n"/>
      <c r="AM287" s="6" t="n"/>
      <c r="AN287" s="6" t="n"/>
      <c r="AO287" s="3">
        <f>IF(tblOrdenes[[#This Row],[link_checklist]]="","",HYPERLINK(p_ruta_base_checklists&amp;tblOrdenes[[#This Row],[link_checklist]],"abrir"))</f>
        <v/>
      </c>
      <c r="AP287" s="6" t="n"/>
      <c r="AQ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3">
        <f>IF(tblOrdenes[[#This Row],[tipo_ot]]="","",_xlfn.XLOOKUP(tblOrdenes[[#This Row],[tipo_ot]],tblTiposOT[codigo],tblTiposOT[clasificacion],"sin_clasificar"))</f>
        <v/>
      </c>
      <c r="U288" s="3">
        <f>IF(tblOrdenes[[#This Row],[centro_costo]]="","",_xlfn.XLOOKUP(tblOrdenes[[#This Row],[centro_costo]],tblCECO[codigo],tblCECO[linea],"(sin catálogo)"))</f>
        <v/>
      </c>
      <c r="V288" s="3">
        <f>IF(tblOrdenes[[#This Row],[centro_costo]]="","",_xlfn.XLOOKUP(tblOrdenes[[#This Row],[centro_costo]],tblCECO[codigo],tblCECO[area],"(sin catálogo)"))</f>
        <v/>
      </c>
      <c r="W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3">
        <f>IF(tblOrdenes[[#This Row],[centro_costo]]="","",_xlfn.XLOOKUP(tblOrdenes[[#This Row],[centro_costo]],tblCECO[codigo],tblCECO[coordinador],"(sin catálogo)"))</f>
        <v/>
      </c>
      <c r="Y288" s="3">
        <f>IF(tblOrdenes[[#This Row],[puesto_trabajo]]="","",_xlfn.XLOOKUP(tblOrdenes[[#This Row],[puesto_trabajo]],tblPuestos[codigo],tblPuestos[especialidad],"(sin catálogo)"))</f>
        <v/>
      </c>
      <c r="Z288" s="3">
        <f>IF(tblOrdenes[[#This Row],[cod_actividad]]="","",_xlfn.XLOOKUP(tblOrdenes[[#This Row],[cod_actividad]],tblActividades[codigo],tblActividades[descripcion],"(sin catálogo)"))</f>
        <v/>
      </c>
      <c r="AA288" s="12">
        <f>IF(tblOrdenes[[#This Row],[fecha_inicio]]="","",TODAY()-tblOrdenes[[#This Row],[fecha_inicio]])</f>
        <v/>
      </c>
      <c r="AB2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3">
        <f>IF(tblOrdenes[[#This Row],[backlog_habiles]]="","",IF(tblOrdenes[[#This Row],[backlog_habiles]]&lt;0,"FUTURO",IF(tblOrdenes[[#This Row],[backlog_habiles]]&gt;p_dias_backlog_max,"BACKLOG","MES CORRIENTE")))</f>
        <v/>
      </c>
      <c r="AD288" s="3">
        <f>IF(tblOrdenes[[#This Row],[backlog_habiles]]="",FALSE,AND(tblOrdenes[[#This Row],[backlog_habiles]]&gt;p_dias_backlog_min,tblOrdenes[[#This Row],[backlog_habiles]]&lt;=p_dias_backlog_max))</f>
        <v/>
      </c>
      <c r="AE288" s="6" t="n"/>
      <c r="AF2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0">
        <f>IF(tblOrdenes[[#This Row],[orden]]="","",_xlfn.XLOOKUP(tblOrdenes[[#This Row],[id_operacion]],tblEjecucion[id_operacion],tblEjecucion[precio],0))</f>
        <v/>
      </c>
      <c r="AJ288" s="10">
        <f>IF(tblOrdenes[[#This Row],[orden]]="","",MAX(0,_xlfn.XLOOKUP(tblOrdenes[[#This Row],[id_operacion]],tblEjecucion[id_operacion],tblEjecucion[costo_plan_total],0)-tblOrdenes[[#This Row],[costo_servicio]]))</f>
        <v/>
      </c>
      <c r="AK288" s="10">
        <f>IF(tblOrdenes[[#This Row],[orden]]="","",tblOrdenes[[#This Row],[costo_servicio]]+tblOrdenes[[#This Row],[costo_materiales]])</f>
        <v/>
      </c>
      <c r="AL288" s="6" t="n"/>
      <c r="AM288" s="6" t="n"/>
      <c r="AN288" s="6" t="n"/>
      <c r="AO288" s="3">
        <f>IF(tblOrdenes[[#This Row],[link_checklist]]="","",HYPERLINK(p_ruta_base_checklists&amp;tblOrdenes[[#This Row],[link_checklist]],"abrir"))</f>
        <v/>
      </c>
      <c r="AP288" s="6" t="n"/>
      <c r="AQ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3">
        <f>IF(tblOrdenes[[#This Row],[tipo_ot]]="","",_xlfn.XLOOKUP(tblOrdenes[[#This Row],[tipo_ot]],tblTiposOT[codigo],tblTiposOT[clasificacion],"sin_clasificar"))</f>
        <v/>
      </c>
      <c r="U289" s="3">
        <f>IF(tblOrdenes[[#This Row],[centro_costo]]="","",_xlfn.XLOOKUP(tblOrdenes[[#This Row],[centro_costo]],tblCECO[codigo],tblCECO[linea],"(sin catálogo)"))</f>
        <v/>
      </c>
      <c r="V289" s="3">
        <f>IF(tblOrdenes[[#This Row],[centro_costo]]="","",_xlfn.XLOOKUP(tblOrdenes[[#This Row],[centro_costo]],tblCECO[codigo],tblCECO[area],"(sin catálogo)"))</f>
        <v/>
      </c>
      <c r="W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3">
        <f>IF(tblOrdenes[[#This Row],[centro_costo]]="","",_xlfn.XLOOKUP(tblOrdenes[[#This Row],[centro_costo]],tblCECO[codigo],tblCECO[coordinador],"(sin catálogo)"))</f>
        <v/>
      </c>
      <c r="Y289" s="3">
        <f>IF(tblOrdenes[[#This Row],[puesto_trabajo]]="","",_xlfn.XLOOKUP(tblOrdenes[[#This Row],[puesto_trabajo]],tblPuestos[codigo],tblPuestos[especialidad],"(sin catálogo)"))</f>
        <v/>
      </c>
      <c r="Z289" s="3">
        <f>IF(tblOrdenes[[#This Row],[cod_actividad]]="","",_xlfn.XLOOKUP(tblOrdenes[[#This Row],[cod_actividad]],tblActividades[codigo],tblActividades[descripcion],"(sin catálogo)"))</f>
        <v/>
      </c>
      <c r="AA289" s="12">
        <f>IF(tblOrdenes[[#This Row],[fecha_inicio]]="","",TODAY()-tblOrdenes[[#This Row],[fecha_inicio]])</f>
        <v/>
      </c>
      <c r="AB2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3">
        <f>IF(tblOrdenes[[#This Row],[backlog_habiles]]="","",IF(tblOrdenes[[#This Row],[backlog_habiles]]&lt;0,"FUTURO",IF(tblOrdenes[[#This Row],[backlog_habiles]]&gt;p_dias_backlog_max,"BACKLOG","MES CORRIENTE")))</f>
        <v/>
      </c>
      <c r="AD289" s="3">
        <f>IF(tblOrdenes[[#This Row],[backlog_habiles]]="",FALSE,AND(tblOrdenes[[#This Row],[backlog_habiles]]&gt;p_dias_backlog_min,tblOrdenes[[#This Row],[backlog_habiles]]&lt;=p_dias_backlog_max))</f>
        <v/>
      </c>
      <c r="AE289" s="6" t="n"/>
      <c r="AF2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0">
        <f>IF(tblOrdenes[[#This Row],[orden]]="","",_xlfn.XLOOKUP(tblOrdenes[[#This Row],[id_operacion]],tblEjecucion[id_operacion],tblEjecucion[precio],0))</f>
        <v/>
      </c>
      <c r="AJ289" s="10">
        <f>IF(tblOrdenes[[#This Row],[orden]]="","",MAX(0,_xlfn.XLOOKUP(tblOrdenes[[#This Row],[id_operacion]],tblEjecucion[id_operacion],tblEjecucion[costo_plan_total],0)-tblOrdenes[[#This Row],[costo_servicio]]))</f>
        <v/>
      </c>
      <c r="AK289" s="10">
        <f>IF(tblOrdenes[[#This Row],[orden]]="","",tblOrdenes[[#This Row],[costo_servicio]]+tblOrdenes[[#This Row],[costo_materiales]])</f>
        <v/>
      </c>
      <c r="AL289" s="6" t="n"/>
      <c r="AM289" s="6" t="n"/>
      <c r="AN289" s="6" t="n"/>
      <c r="AO289" s="3">
        <f>IF(tblOrdenes[[#This Row],[link_checklist]]="","",HYPERLINK(p_ruta_base_checklists&amp;tblOrdenes[[#This Row],[link_checklist]],"abrir"))</f>
        <v/>
      </c>
      <c r="AP289" s="6" t="n"/>
      <c r="AQ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3">
        <f>IF(tblOrdenes[[#This Row],[tipo_ot]]="","",_xlfn.XLOOKUP(tblOrdenes[[#This Row],[tipo_ot]],tblTiposOT[codigo],tblTiposOT[clasificacion],"sin_clasificar"))</f>
        <v/>
      </c>
      <c r="U290" s="3">
        <f>IF(tblOrdenes[[#This Row],[centro_costo]]="","",_xlfn.XLOOKUP(tblOrdenes[[#This Row],[centro_costo]],tblCECO[codigo],tblCECO[linea],"(sin catálogo)"))</f>
        <v/>
      </c>
      <c r="V290" s="3">
        <f>IF(tblOrdenes[[#This Row],[centro_costo]]="","",_xlfn.XLOOKUP(tblOrdenes[[#This Row],[centro_costo]],tblCECO[codigo],tblCECO[area],"(sin catálogo)"))</f>
        <v/>
      </c>
      <c r="W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3">
        <f>IF(tblOrdenes[[#This Row],[centro_costo]]="","",_xlfn.XLOOKUP(tblOrdenes[[#This Row],[centro_costo]],tblCECO[codigo],tblCECO[coordinador],"(sin catálogo)"))</f>
        <v/>
      </c>
      <c r="Y290" s="3">
        <f>IF(tblOrdenes[[#This Row],[puesto_trabajo]]="","",_xlfn.XLOOKUP(tblOrdenes[[#This Row],[puesto_trabajo]],tblPuestos[codigo],tblPuestos[especialidad],"(sin catálogo)"))</f>
        <v/>
      </c>
      <c r="Z290" s="3">
        <f>IF(tblOrdenes[[#This Row],[cod_actividad]]="","",_xlfn.XLOOKUP(tblOrdenes[[#This Row],[cod_actividad]],tblActividades[codigo],tblActividades[descripcion],"(sin catálogo)"))</f>
        <v/>
      </c>
      <c r="AA290" s="12">
        <f>IF(tblOrdenes[[#This Row],[fecha_inicio]]="","",TODAY()-tblOrdenes[[#This Row],[fecha_inicio]])</f>
        <v/>
      </c>
      <c r="AB2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3">
        <f>IF(tblOrdenes[[#This Row],[backlog_habiles]]="","",IF(tblOrdenes[[#This Row],[backlog_habiles]]&lt;0,"FUTURO",IF(tblOrdenes[[#This Row],[backlog_habiles]]&gt;p_dias_backlog_max,"BACKLOG","MES CORRIENTE")))</f>
        <v/>
      </c>
      <c r="AD290" s="3">
        <f>IF(tblOrdenes[[#This Row],[backlog_habiles]]="",FALSE,AND(tblOrdenes[[#This Row],[backlog_habiles]]&gt;p_dias_backlog_min,tblOrdenes[[#This Row],[backlog_habiles]]&lt;=p_dias_backlog_max))</f>
        <v/>
      </c>
      <c r="AE290" s="6" t="n"/>
      <c r="AF2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0">
        <f>IF(tblOrdenes[[#This Row],[orden]]="","",_xlfn.XLOOKUP(tblOrdenes[[#This Row],[id_operacion]],tblEjecucion[id_operacion],tblEjecucion[precio],0))</f>
        <v/>
      </c>
      <c r="AJ290" s="10">
        <f>IF(tblOrdenes[[#This Row],[orden]]="","",MAX(0,_xlfn.XLOOKUP(tblOrdenes[[#This Row],[id_operacion]],tblEjecucion[id_operacion],tblEjecucion[costo_plan_total],0)-tblOrdenes[[#This Row],[costo_servicio]]))</f>
        <v/>
      </c>
      <c r="AK290" s="10">
        <f>IF(tblOrdenes[[#This Row],[orden]]="","",tblOrdenes[[#This Row],[costo_servicio]]+tblOrdenes[[#This Row],[costo_materiales]])</f>
        <v/>
      </c>
      <c r="AL290" s="6" t="n"/>
      <c r="AM290" s="6" t="n"/>
      <c r="AN290" s="6" t="n"/>
      <c r="AO290" s="3">
        <f>IF(tblOrdenes[[#This Row],[link_checklist]]="","",HYPERLINK(p_ruta_base_checklists&amp;tblOrdenes[[#This Row],[link_checklist]],"abrir"))</f>
        <v/>
      </c>
      <c r="AP290" s="6" t="n"/>
      <c r="AQ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3">
        <f>IF(tblOrdenes[[#This Row],[tipo_ot]]="","",_xlfn.XLOOKUP(tblOrdenes[[#This Row],[tipo_ot]],tblTiposOT[codigo],tblTiposOT[clasificacion],"sin_clasificar"))</f>
        <v/>
      </c>
      <c r="U291" s="3">
        <f>IF(tblOrdenes[[#This Row],[centro_costo]]="","",_xlfn.XLOOKUP(tblOrdenes[[#This Row],[centro_costo]],tblCECO[codigo],tblCECO[linea],"(sin catálogo)"))</f>
        <v/>
      </c>
      <c r="V291" s="3">
        <f>IF(tblOrdenes[[#This Row],[centro_costo]]="","",_xlfn.XLOOKUP(tblOrdenes[[#This Row],[centro_costo]],tblCECO[codigo],tblCECO[area],"(sin catálogo)"))</f>
        <v/>
      </c>
      <c r="W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3">
        <f>IF(tblOrdenes[[#This Row],[centro_costo]]="","",_xlfn.XLOOKUP(tblOrdenes[[#This Row],[centro_costo]],tblCECO[codigo],tblCECO[coordinador],"(sin catálogo)"))</f>
        <v/>
      </c>
      <c r="Y291" s="3">
        <f>IF(tblOrdenes[[#This Row],[puesto_trabajo]]="","",_xlfn.XLOOKUP(tblOrdenes[[#This Row],[puesto_trabajo]],tblPuestos[codigo],tblPuestos[especialidad],"(sin catálogo)"))</f>
        <v/>
      </c>
      <c r="Z291" s="3">
        <f>IF(tblOrdenes[[#This Row],[cod_actividad]]="","",_xlfn.XLOOKUP(tblOrdenes[[#This Row],[cod_actividad]],tblActividades[codigo],tblActividades[descripcion],"(sin catálogo)"))</f>
        <v/>
      </c>
      <c r="AA291" s="12">
        <f>IF(tblOrdenes[[#This Row],[fecha_inicio]]="","",TODAY()-tblOrdenes[[#This Row],[fecha_inicio]])</f>
        <v/>
      </c>
      <c r="AB2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3">
        <f>IF(tblOrdenes[[#This Row],[backlog_habiles]]="","",IF(tblOrdenes[[#This Row],[backlog_habiles]]&lt;0,"FUTURO",IF(tblOrdenes[[#This Row],[backlog_habiles]]&gt;p_dias_backlog_max,"BACKLOG","MES CORRIENTE")))</f>
        <v/>
      </c>
      <c r="AD291" s="3">
        <f>IF(tblOrdenes[[#This Row],[backlog_habiles]]="",FALSE,AND(tblOrdenes[[#This Row],[backlog_habiles]]&gt;p_dias_backlog_min,tblOrdenes[[#This Row],[backlog_habiles]]&lt;=p_dias_backlog_max))</f>
        <v/>
      </c>
      <c r="AE291" s="6" t="n"/>
      <c r="AF2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0">
        <f>IF(tblOrdenes[[#This Row],[orden]]="","",_xlfn.XLOOKUP(tblOrdenes[[#This Row],[id_operacion]],tblEjecucion[id_operacion],tblEjecucion[precio],0))</f>
        <v/>
      </c>
      <c r="AJ291" s="10">
        <f>IF(tblOrdenes[[#This Row],[orden]]="","",MAX(0,_xlfn.XLOOKUP(tblOrdenes[[#This Row],[id_operacion]],tblEjecucion[id_operacion],tblEjecucion[costo_plan_total],0)-tblOrdenes[[#This Row],[costo_servicio]]))</f>
        <v/>
      </c>
      <c r="AK291" s="10">
        <f>IF(tblOrdenes[[#This Row],[orden]]="","",tblOrdenes[[#This Row],[costo_servicio]]+tblOrdenes[[#This Row],[costo_materiales]])</f>
        <v/>
      </c>
      <c r="AL291" s="6" t="n"/>
      <c r="AM291" s="6" t="n"/>
      <c r="AN291" s="6" t="n"/>
      <c r="AO291" s="3">
        <f>IF(tblOrdenes[[#This Row],[link_checklist]]="","",HYPERLINK(p_ruta_base_checklists&amp;tblOrdenes[[#This Row],[link_checklist]],"abrir"))</f>
        <v/>
      </c>
      <c r="AP291" s="6" t="n"/>
      <c r="AQ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3">
        <f>IF(tblOrdenes[[#This Row],[tipo_ot]]="","",_xlfn.XLOOKUP(tblOrdenes[[#This Row],[tipo_ot]],tblTiposOT[codigo],tblTiposOT[clasificacion],"sin_clasificar"))</f>
        <v/>
      </c>
      <c r="U292" s="3">
        <f>IF(tblOrdenes[[#This Row],[centro_costo]]="","",_xlfn.XLOOKUP(tblOrdenes[[#This Row],[centro_costo]],tblCECO[codigo],tblCECO[linea],"(sin catálogo)"))</f>
        <v/>
      </c>
      <c r="V292" s="3">
        <f>IF(tblOrdenes[[#This Row],[centro_costo]]="","",_xlfn.XLOOKUP(tblOrdenes[[#This Row],[centro_costo]],tblCECO[codigo],tblCECO[area],"(sin catálogo)"))</f>
        <v/>
      </c>
      <c r="W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3">
        <f>IF(tblOrdenes[[#This Row],[centro_costo]]="","",_xlfn.XLOOKUP(tblOrdenes[[#This Row],[centro_costo]],tblCECO[codigo],tblCECO[coordinador],"(sin catálogo)"))</f>
        <v/>
      </c>
      <c r="Y292" s="3">
        <f>IF(tblOrdenes[[#This Row],[puesto_trabajo]]="","",_xlfn.XLOOKUP(tblOrdenes[[#This Row],[puesto_trabajo]],tblPuestos[codigo],tblPuestos[especialidad],"(sin catálogo)"))</f>
        <v/>
      </c>
      <c r="Z292" s="3">
        <f>IF(tblOrdenes[[#This Row],[cod_actividad]]="","",_xlfn.XLOOKUP(tblOrdenes[[#This Row],[cod_actividad]],tblActividades[codigo],tblActividades[descripcion],"(sin catálogo)"))</f>
        <v/>
      </c>
      <c r="AA292" s="12">
        <f>IF(tblOrdenes[[#This Row],[fecha_inicio]]="","",TODAY()-tblOrdenes[[#This Row],[fecha_inicio]])</f>
        <v/>
      </c>
      <c r="AB2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3">
        <f>IF(tblOrdenes[[#This Row],[backlog_habiles]]="","",IF(tblOrdenes[[#This Row],[backlog_habiles]]&lt;0,"FUTURO",IF(tblOrdenes[[#This Row],[backlog_habiles]]&gt;p_dias_backlog_max,"BACKLOG","MES CORRIENTE")))</f>
        <v/>
      </c>
      <c r="AD292" s="3">
        <f>IF(tblOrdenes[[#This Row],[backlog_habiles]]="",FALSE,AND(tblOrdenes[[#This Row],[backlog_habiles]]&gt;p_dias_backlog_min,tblOrdenes[[#This Row],[backlog_habiles]]&lt;=p_dias_backlog_max))</f>
        <v/>
      </c>
      <c r="AE292" s="6" t="n"/>
      <c r="AF2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0">
        <f>IF(tblOrdenes[[#This Row],[orden]]="","",_xlfn.XLOOKUP(tblOrdenes[[#This Row],[id_operacion]],tblEjecucion[id_operacion],tblEjecucion[precio],0))</f>
        <v/>
      </c>
      <c r="AJ292" s="10">
        <f>IF(tblOrdenes[[#This Row],[orden]]="","",MAX(0,_xlfn.XLOOKUP(tblOrdenes[[#This Row],[id_operacion]],tblEjecucion[id_operacion],tblEjecucion[costo_plan_total],0)-tblOrdenes[[#This Row],[costo_servicio]]))</f>
        <v/>
      </c>
      <c r="AK292" s="10">
        <f>IF(tblOrdenes[[#This Row],[orden]]="","",tblOrdenes[[#This Row],[costo_servicio]]+tblOrdenes[[#This Row],[costo_materiales]])</f>
        <v/>
      </c>
      <c r="AL292" s="6" t="n"/>
      <c r="AM292" s="6" t="n"/>
      <c r="AN292" s="6" t="n"/>
      <c r="AO292" s="3">
        <f>IF(tblOrdenes[[#This Row],[link_checklist]]="","",HYPERLINK(p_ruta_base_checklists&amp;tblOrdenes[[#This Row],[link_checklist]],"abrir"))</f>
        <v/>
      </c>
      <c r="AP292" s="6" t="n"/>
      <c r="AQ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3">
        <f>IF(tblOrdenes[[#This Row],[tipo_ot]]="","",_xlfn.XLOOKUP(tblOrdenes[[#This Row],[tipo_ot]],tblTiposOT[codigo],tblTiposOT[clasificacion],"sin_clasificar"))</f>
        <v/>
      </c>
      <c r="U293" s="3">
        <f>IF(tblOrdenes[[#This Row],[centro_costo]]="","",_xlfn.XLOOKUP(tblOrdenes[[#This Row],[centro_costo]],tblCECO[codigo],tblCECO[linea],"(sin catálogo)"))</f>
        <v/>
      </c>
      <c r="V293" s="3">
        <f>IF(tblOrdenes[[#This Row],[centro_costo]]="","",_xlfn.XLOOKUP(tblOrdenes[[#This Row],[centro_costo]],tblCECO[codigo],tblCECO[area],"(sin catálogo)"))</f>
        <v/>
      </c>
      <c r="W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3">
        <f>IF(tblOrdenes[[#This Row],[centro_costo]]="","",_xlfn.XLOOKUP(tblOrdenes[[#This Row],[centro_costo]],tblCECO[codigo],tblCECO[coordinador],"(sin catálogo)"))</f>
        <v/>
      </c>
      <c r="Y293" s="3">
        <f>IF(tblOrdenes[[#This Row],[puesto_trabajo]]="","",_xlfn.XLOOKUP(tblOrdenes[[#This Row],[puesto_trabajo]],tblPuestos[codigo],tblPuestos[especialidad],"(sin catálogo)"))</f>
        <v/>
      </c>
      <c r="Z293" s="3">
        <f>IF(tblOrdenes[[#This Row],[cod_actividad]]="","",_xlfn.XLOOKUP(tblOrdenes[[#This Row],[cod_actividad]],tblActividades[codigo],tblActividades[descripcion],"(sin catálogo)"))</f>
        <v/>
      </c>
      <c r="AA293" s="12">
        <f>IF(tblOrdenes[[#This Row],[fecha_inicio]]="","",TODAY()-tblOrdenes[[#This Row],[fecha_inicio]])</f>
        <v/>
      </c>
      <c r="AB2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3">
        <f>IF(tblOrdenes[[#This Row],[backlog_habiles]]="","",IF(tblOrdenes[[#This Row],[backlog_habiles]]&lt;0,"FUTURO",IF(tblOrdenes[[#This Row],[backlog_habiles]]&gt;p_dias_backlog_max,"BACKLOG","MES CORRIENTE")))</f>
        <v/>
      </c>
      <c r="AD293" s="3">
        <f>IF(tblOrdenes[[#This Row],[backlog_habiles]]="",FALSE,AND(tblOrdenes[[#This Row],[backlog_habiles]]&gt;p_dias_backlog_min,tblOrdenes[[#This Row],[backlog_habiles]]&lt;=p_dias_backlog_max))</f>
        <v/>
      </c>
      <c r="AE293" s="6" t="n"/>
      <c r="AF2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0">
        <f>IF(tblOrdenes[[#This Row],[orden]]="","",_xlfn.XLOOKUP(tblOrdenes[[#This Row],[id_operacion]],tblEjecucion[id_operacion],tblEjecucion[precio],0))</f>
        <v/>
      </c>
      <c r="AJ293" s="10">
        <f>IF(tblOrdenes[[#This Row],[orden]]="","",MAX(0,_xlfn.XLOOKUP(tblOrdenes[[#This Row],[id_operacion]],tblEjecucion[id_operacion],tblEjecucion[costo_plan_total],0)-tblOrdenes[[#This Row],[costo_servicio]]))</f>
        <v/>
      </c>
      <c r="AK293" s="10">
        <f>IF(tblOrdenes[[#This Row],[orden]]="","",tblOrdenes[[#This Row],[costo_servicio]]+tblOrdenes[[#This Row],[costo_materiales]])</f>
        <v/>
      </c>
      <c r="AL293" s="6" t="n"/>
      <c r="AM293" s="6" t="n"/>
      <c r="AN293" s="6" t="n"/>
      <c r="AO293" s="3">
        <f>IF(tblOrdenes[[#This Row],[link_checklist]]="","",HYPERLINK(p_ruta_base_checklists&amp;tblOrdenes[[#This Row],[link_checklist]],"abrir"))</f>
        <v/>
      </c>
      <c r="AP293" s="6" t="n"/>
      <c r="AQ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3">
        <f>IF(tblOrdenes[[#This Row],[tipo_ot]]="","",_xlfn.XLOOKUP(tblOrdenes[[#This Row],[tipo_ot]],tblTiposOT[codigo],tblTiposOT[clasificacion],"sin_clasificar"))</f>
        <v/>
      </c>
      <c r="U294" s="3">
        <f>IF(tblOrdenes[[#This Row],[centro_costo]]="","",_xlfn.XLOOKUP(tblOrdenes[[#This Row],[centro_costo]],tblCECO[codigo],tblCECO[linea],"(sin catálogo)"))</f>
        <v/>
      </c>
      <c r="V294" s="3">
        <f>IF(tblOrdenes[[#This Row],[centro_costo]]="","",_xlfn.XLOOKUP(tblOrdenes[[#This Row],[centro_costo]],tblCECO[codigo],tblCECO[area],"(sin catálogo)"))</f>
        <v/>
      </c>
      <c r="W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3">
        <f>IF(tblOrdenes[[#This Row],[centro_costo]]="","",_xlfn.XLOOKUP(tblOrdenes[[#This Row],[centro_costo]],tblCECO[codigo],tblCECO[coordinador],"(sin catálogo)"))</f>
        <v/>
      </c>
      <c r="Y294" s="3">
        <f>IF(tblOrdenes[[#This Row],[puesto_trabajo]]="","",_xlfn.XLOOKUP(tblOrdenes[[#This Row],[puesto_trabajo]],tblPuestos[codigo],tblPuestos[especialidad],"(sin catálogo)"))</f>
        <v/>
      </c>
      <c r="Z294" s="3">
        <f>IF(tblOrdenes[[#This Row],[cod_actividad]]="","",_xlfn.XLOOKUP(tblOrdenes[[#This Row],[cod_actividad]],tblActividades[codigo],tblActividades[descripcion],"(sin catálogo)"))</f>
        <v/>
      </c>
      <c r="AA294" s="12">
        <f>IF(tblOrdenes[[#This Row],[fecha_inicio]]="","",TODAY()-tblOrdenes[[#This Row],[fecha_inicio]])</f>
        <v/>
      </c>
      <c r="AB2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3">
        <f>IF(tblOrdenes[[#This Row],[backlog_habiles]]="","",IF(tblOrdenes[[#This Row],[backlog_habiles]]&lt;0,"FUTURO",IF(tblOrdenes[[#This Row],[backlog_habiles]]&gt;p_dias_backlog_max,"BACKLOG","MES CORRIENTE")))</f>
        <v/>
      </c>
      <c r="AD294" s="3">
        <f>IF(tblOrdenes[[#This Row],[backlog_habiles]]="",FALSE,AND(tblOrdenes[[#This Row],[backlog_habiles]]&gt;p_dias_backlog_min,tblOrdenes[[#This Row],[backlog_habiles]]&lt;=p_dias_backlog_max))</f>
        <v/>
      </c>
      <c r="AE294" s="6" t="n"/>
      <c r="AF2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0">
        <f>IF(tblOrdenes[[#This Row],[orden]]="","",_xlfn.XLOOKUP(tblOrdenes[[#This Row],[id_operacion]],tblEjecucion[id_operacion],tblEjecucion[precio],0))</f>
        <v/>
      </c>
      <c r="AJ294" s="10">
        <f>IF(tblOrdenes[[#This Row],[orden]]="","",MAX(0,_xlfn.XLOOKUP(tblOrdenes[[#This Row],[id_operacion]],tblEjecucion[id_operacion],tblEjecucion[costo_plan_total],0)-tblOrdenes[[#This Row],[costo_servicio]]))</f>
        <v/>
      </c>
      <c r="AK294" s="10">
        <f>IF(tblOrdenes[[#This Row],[orden]]="","",tblOrdenes[[#This Row],[costo_servicio]]+tblOrdenes[[#This Row],[costo_materiales]])</f>
        <v/>
      </c>
      <c r="AL294" s="6" t="n"/>
      <c r="AM294" s="6" t="n"/>
      <c r="AN294" s="6" t="n"/>
      <c r="AO294" s="3">
        <f>IF(tblOrdenes[[#This Row],[link_checklist]]="","",HYPERLINK(p_ruta_base_checklists&amp;tblOrdenes[[#This Row],[link_checklist]],"abrir"))</f>
        <v/>
      </c>
      <c r="AP294" s="6" t="n"/>
      <c r="AQ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3">
        <f>IF(tblOrdenes[[#This Row],[tipo_ot]]="","",_xlfn.XLOOKUP(tblOrdenes[[#This Row],[tipo_ot]],tblTiposOT[codigo],tblTiposOT[clasificacion],"sin_clasificar"))</f>
        <v/>
      </c>
      <c r="U295" s="3">
        <f>IF(tblOrdenes[[#This Row],[centro_costo]]="","",_xlfn.XLOOKUP(tblOrdenes[[#This Row],[centro_costo]],tblCECO[codigo],tblCECO[linea],"(sin catálogo)"))</f>
        <v/>
      </c>
      <c r="V295" s="3">
        <f>IF(tblOrdenes[[#This Row],[centro_costo]]="","",_xlfn.XLOOKUP(tblOrdenes[[#This Row],[centro_costo]],tblCECO[codigo],tblCECO[area],"(sin catálogo)"))</f>
        <v/>
      </c>
      <c r="W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3">
        <f>IF(tblOrdenes[[#This Row],[centro_costo]]="","",_xlfn.XLOOKUP(tblOrdenes[[#This Row],[centro_costo]],tblCECO[codigo],tblCECO[coordinador],"(sin catálogo)"))</f>
        <v/>
      </c>
      <c r="Y295" s="3">
        <f>IF(tblOrdenes[[#This Row],[puesto_trabajo]]="","",_xlfn.XLOOKUP(tblOrdenes[[#This Row],[puesto_trabajo]],tblPuestos[codigo],tblPuestos[especialidad],"(sin catálogo)"))</f>
        <v/>
      </c>
      <c r="Z295" s="3">
        <f>IF(tblOrdenes[[#This Row],[cod_actividad]]="","",_xlfn.XLOOKUP(tblOrdenes[[#This Row],[cod_actividad]],tblActividades[codigo],tblActividades[descripcion],"(sin catálogo)"))</f>
        <v/>
      </c>
      <c r="AA295" s="12">
        <f>IF(tblOrdenes[[#This Row],[fecha_inicio]]="","",TODAY()-tblOrdenes[[#This Row],[fecha_inicio]])</f>
        <v/>
      </c>
      <c r="AB2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3">
        <f>IF(tblOrdenes[[#This Row],[backlog_habiles]]="","",IF(tblOrdenes[[#This Row],[backlog_habiles]]&lt;0,"FUTURO",IF(tblOrdenes[[#This Row],[backlog_habiles]]&gt;p_dias_backlog_max,"BACKLOG","MES CORRIENTE")))</f>
        <v/>
      </c>
      <c r="AD295" s="3">
        <f>IF(tblOrdenes[[#This Row],[backlog_habiles]]="",FALSE,AND(tblOrdenes[[#This Row],[backlog_habiles]]&gt;p_dias_backlog_min,tblOrdenes[[#This Row],[backlog_habiles]]&lt;=p_dias_backlog_max))</f>
        <v/>
      </c>
      <c r="AE295" s="6" t="n"/>
      <c r="AF2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0">
        <f>IF(tblOrdenes[[#This Row],[orden]]="","",_xlfn.XLOOKUP(tblOrdenes[[#This Row],[id_operacion]],tblEjecucion[id_operacion],tblEjecucion[precio],0))</f>
        <v/>
      </c>
      <c r="AJ295" s="10">
        <f>IF(tblOrdenes[[#This Row],[orden]]="","",MAX(0,_xlfn.XLOOKUP(tblOrdenes[[#This Row],[id_operacion]],tblEjecucion[id_operacion],tblEjecucion[costo_plan_total],0)-tblOrdenes[[#This Row],[costo_servicio]]))</f>
        <v/>
      </c>
      <c r="AK295" s="10">
        <f>IF(tblOrdenes[[#This Row],[orden]]="","",tblOrdenes[[#This Row],[costo_servicio]]+tblOrdenes[[#This Row],[costo_materiales]])</f>
        <v/>
      </c>
      <c r="AL295" s="6" t="n"/>
      <c r="AM295" s="6" t="n"/>
      <c r="AN295" s="6" t="n"/>
      <c r="AO295" s="3">
        <f>IF(tblOrdenes[[#This Row],[link_checklist]]="","",HYPERLINK(p_ruta_base_checklists&amp;tblOrdenes[[#This Row],[link_checklist]],"abrir"))</f>
        <v/>
      </c>
      <c r="AP295" s="6" t="n"/>
      <c r="AQ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3">
        <f>IF(tblOrdenes[[#This Row],[tipo_ot]]="","",_xlfn.XLOOKUP(tblOrdenes[[#This Row],[tipo_ot]],tblTiposOT[codigo],tblTiposOT[clasificacion],"sin_clasificar"))</f>
        <v/>
      </c>
      <c r="U296" s="3">
        <f>IF(tblOrdenes[[#This Row],[centro_costo]]="","",_xlfn.XLOOKUP(tblOrdenes[[#This Row],[centro_costo]],tblCECO[codigo],tblCECO[linea],"(sin catálogo)"))</f>
        <v/>
      </c>
      <c r="V296" s="3">
        <f>IF(tblOrdenes[[#This Row],[centro_costo]]="","",_xlfn.XLOOKUP(tblOrdenes[[#This Row],[centro_costo]],tblCECO[codigo],tblCECO[area],"(sin catálogo)"))</f>
        <v/>
      </c>
      <c r="W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3">
        <f>IF(tblOrdenes[[#This Row],[centro_costo]]="","",_xlfn.XLOOKUP(tblOrdenes[[#This Row],[centro_costo]],tblCECO[codigo],tblCECO[coordinador],"(sin catálogo)"))</f>
        <v/>
      </c>
      <c r="Y296" s="3">
        <f>IF(tblOrdenes[[#This Row],[puesto_trabajo]]="","",_xlfn.XLOOKUP(tblOrdenes[[#This Row],[puesto_trabajo]],tblPuestos[codigo],tblPuestos[especialidad],"(sin catálogo)"))</f>
        <v/>
      </c>
      <c r="Z296" s="3">
        <f>IF(tblOrdenes[[#This Row],[cod_actividad]]="","",_xlfn.XLOOKUP(tblOrdenes[[#This Row],[cod_actividad]],tblActividades[codigo],tblActividades[descripcion],"(sin catálogo)"))</f>
        <v/>
      </c>
      <c r="AA296" s="12">
        <f>IF(tblOrdenes[[#This Row],[fecha_inicio]]="","",TODAY()-tblOrdenes[[#This Row],[fecha_inicio]])</f>
        <v/>
      </c>
      <c r="AB2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3">
        <f>IF(tblOrdenes[[#This Row],[backlog_habiles]]="","",IF(tblOrdenes[[#This Row],[backlog_habiles]]&lt;0,"FUTURO",IF(tblOrdenes[[#This Row],[backlog_habiles]]&gt;p_dias_backlog_max,"BACKLOG","MES CORRIENTE")))</f>
        <v/>
      </c>
      <c r="AD296" s="3">
        <f>IF(tblOrdenes[[#This Row],[backlog_habiles]]="",FALSE,AND(tblOrdenes[[#This Row],[backlog_habiles]]&gt;p_dias_backlog_min,tblOrdenes[[#This Row],[backlog_habiles]]&lt;=p_dias_backlog_max))</f>
        <v/>
      </c>
      <c r="AE296" s="6" t="n"/>
      <c r="AF2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0">
        <f>IF(tblOrdenes[[#This Row],[orden]]="","",_xlfn.XLOOKUP(tblOrdenes[[#This Row],[id_operacion]],tblEjecucion[id_operacion],tblEjecucion[precio],0))</f>
        <v/>
      </c>
      <c r="AJ296" s="10">
        <f>IF(tblOrdenes[[#This Row],[orden]]="","",MAX(0,_xlfn.XLOOKUP(tblOrdenes[[#This Row],[id_operacion]],tblEjecucion[id_operacion],tblEjecucion[costo_plan_total],0)-tblOrdenes[[#This Row],[costo_servicio]]))</f>
        <v/>
      </c>
      <c r="AK296" s="10">
        <f>IF(tblOrdenes[[#This Row],[orden]]="","",tblOrdenes[[#This Row],[costo_servicio]]+tblOrdenes[[#This Row],[costo_materiales]])</f>
        <v/>
      </c>
      <c r="AL296" s="6" t="n"/>
      <c r="AM296" s="6" t="n"/>
      <c r="AN296" s="6" t="n"/>
      <c r="AO296" s="3">
        <f>IF(tblOrdenes[[#This Row],[link_checklist]]="","",HYPERLINK(p_ruta_base_checklists&amp;tblOrdenes[[#This Row],[link_checklist]],"abrir"))</f>
        <v/>
      </c>
      <c r="AP296" s="6" t="n"/>
      <c r="AQ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3">
        <f>IF(tblOrdenes[[#This Row],[tipo_ot]]="","",_xlfn.XLOOKUP(tblOrdenes[[#This Row],[tipo_ot]],tblTiposOT[codigo],tblTiposOT[clasificacion],"sin_clasificar"))</f>
        <v/>
      </c>
      <c r="U297" s="3">
        <f>IF(tblOrdenes[[#This Row],[centro_costo]]="","",_xlfn.XLOOKUP(tblOrdenes[[#This Row],[centro_costo]],tblCECO[codigo],tblCECO[linea],"(sin catálogo)"))</f>
        <v/>
      </c>
      <c r="V297" s="3">
        <f>IF(tblOrdenes[[#This Row],[centro_costo]]="","",_xlfn.XLOOKUP(tblOrdenes[[#This Row],[centro_costo]],tblCECO[codigo],tblCECO[area],"(sin catálogo)"))</f>
        <v/>
      </c>
      <c r="W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3">
        <f>IF(tblOrdenes[[#This Row],[centro_costo]]="","",_xlfn.XLOOKUP(tblOrdenes[[#This Row],[centro_costo]],tblCECO[codigo],tblCECO[coordinador],"(sin catálogo)"))</f>
        <v/>
      </c>
      <c r="Y297" s="3">
        <f>IF(tblOrdenes[[#This Row],[puesto_trabajo]]="","",_xlfn.XLOOKUP(tblOrdenes[[#This Row],[puesto_trabajo]],tblPuestos[codigo],tblPuestos[especialidad],"(sin catálogo)"))</f>
        <v/>
      </c>
      <c r="Z297" s="3">
        <f>IF(tblOrdenes[[#This Row],[cod_actividad]]="","",_xlfn.XLOOKUP(tblOrdenes[[#This Row],[cod_actividad]],tblActividades[codigo],tblActividades[descripcion],"(sin catálogo)"))</f>
        <v/>
      </c>
      <c r="AA297" s="12">
        <f>IF(tblOrdenes[[#This Row],[fecha_inicio]]="","",TODAY()-tblOrdenes[[#This Row],[fecha_inicio]])</f>
        <v/>
      </c>
      <c r="AB2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3">
        <f>IF(tblOrdenes[[#This Row],[backlog_habiles]]="","",IF(tblOrdenes[[#This Row],[backlog_habiles]]&lt;0,"FUTURO",IF(tblOrdenes[[#This Row],[backlog_habiles]]&gt;p_dias_backlog_max,"BACKLOG","MES CORRIENTE")))</f>
        <v/>
      </c>
      <c r="AD297" s="3">
        <f>IF(tblOrdenes[[#This Row],[backlog_habiles]]="",FALSE,AND(tblOrdenes[[#This Row],[backlog_habiles]]&gt;p_dias_backlog_min,tblOrdenes[[#This Row],[backlog_habiles]]&lt;=p_dias_backlog_max))</f>
        <v/>
      </c>
      <c r="AE297" s="6" t="n"/>
      <c r="AF2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0">
        <f>IF(tblOrdenes[[#This Row],[orden]]="","",_xlfn.XLOOKUP(tblOrdenes[[#This Row],[id_operacion]],tblEjecucion[id_operacion],tblEjecucion[precio],0))</f>
        <v/>
      </c>
      <c r="AJ297" s="10">
        <f>IF(tblOrdenes[[#This Row],[orden]]="","",MAX(0,_xlfn.XLOOKUP(tblOrdenes[[#This Row],[id_operacion]],tblEjecucion[id_operacion],tblEjecucion[costo_plan_total],0)-tblOrdenes[[#This Row],[costo_servicio]]))</f>
        <v/>
      </c>
      <c r="AK297" s="10">
        <f>IF(tblOrdenes[[#This Row],[orden]]="","",tblOrdenes[[#This Row],[costo_servicio]]+tblOrdenes[[#This Row],[costo_materiales]])</f>
        <v/>
      </c>
      <c r="AL297" s="6" t="n"/>
      <c r="AM297" s="6" t="n"/>
      <c r="AN297" s="6" t="n"/>
      <c r="AO297" s="3">
        <f>IF(tblOrdenes[[#This Row],[link_checklist]]="","",HYPERLINK(p_ruta_base_checklists&amp;tblOrdenes[[#This Row],[link_checklist]],"abrir"))</f>
        <v/>
      </c>
      <c r="AP297" s="6" t="n"/>
      <c r="AQ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3">
        <f>IF(tblOrdenes[[#This Row],[tipo_ot]]="","",_xlfn.XLOOKUP(tblOrdenes[[#This Row],[tipo_ot]],tblTiposOT[codigo],tblTiposOT[clasificacion],"sin_clasificar"))</f>
        <v/>
      </c>
      <c r="U298" s="3">
        <f>IF(tblOrdenes[[#This Row],[centro_costo]]="","",_xlfn.XLOOKUP(tblOrdenes[[#This Row],[centro_costo]],tblCECO[codigo],tblCECO[linea],"(sin catálogo)"))</f>
        <v/>
      </c>
      <c r="V298" s="3">
        <f>IF(tblOrdenes[[#This Row],[centro_costo]]="","",_xlfn.XLOOKUP(tblOrdenes[[#This Row],[centro_costo]],tblCECO[codigo],tblCECO[area],"(sin catálogo)"))</f>
        <v/>
      </c>
      <c r="W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3">
        <f>IF(tblOrdenes[[#This Row],[centro_costo]]="","",_xlfn.XLOOKUP(tblOrdenes[[#This Row],[centro_costo]],tblCECO[codigo],tblCECO[coordinador],"(sin catálogo)"))</f>
        <v/>
      </c>
      <c r="Y298" s="3">
        <f>IF(tblOrdenes[[#This Row],[puesto_trabajo]]="","",_xlfn.XLOOKUP(tblOrdenes[[#This Row],[puesto_trabajo]],tblPuestos[codigo],tblPuestos[especialidad],"(sin catálogo)"))</f>
        <v/>
      </c>
      <c r="Z298" s="3">
        <f>IF(tblOrdenes[[#This Row],[cod_actividad]]="","",_xlfn.XLOOKUP(tblOrdenes[[#This Row],[cod_actividad]],tblActividades[codigo],tblActividades[descripcion],"(sin catálogo)"))</f>
        <v/>
      </c>
      <c r="AA298" s="12">
        <f>IF(tblOrdenes[[#This Row],[fecha_inicio]]="","",TODAY()-tblOrdenes[[#This Row],[fecha_inicio]])</f>
        <v/>
      </c>
      <c r="AB2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3">
        <f>IF(tblOrdenes[[#This Row],[backlog_habiles]]="","",IF(tblOrdenes[[#This Row],[backlog_habiles]]&lt;0,"FUTURO",IF(tblOrdenes[[#This Row],[backlog_habiles]]&gt;p_dias_backlog_max,"BACKLOG","MES CORRIENTE")))</f>
        <v/>
      </c>
      <c r="AD298" s="3">
        <f>IF(tblOrdenes[[#This Row],[backlog_habiles]]="",FALSE,AND(tblOrdenes[[#This Row],[backlog_habiles]]&gt;p_dias_backlog_min,tblOrdenes[[#This Row],[backlog_habiles]]&lt;=p_dias_backlog_max))</f>
        <v/>
      </c>
      <c r="AE298" s="6" t="n"/>
      <c r="AF2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0">
        <f>IF(tblOrdenes[[#This Row],[orden]]="","",_xlfn.XLOOKUP(tblOrdenes[[#This Row],[id_operacion]],tblEjecucion[id_operacion],tblEjecucion[precio],0))</f>
        <v/>
      </c>
      <c r="AJ298" s="10">
        <f>IF(tblOrdenes[[#This Row],[orden]]="","",MAX(0,_xlfn.XLOOKUP(tblOrdenes[[#This Row],[id_operacion]],tblEjecucion[id_operacion],tblEjecucion[costo_plan_total],0)-tblOrdenes[[#This Row],[costo_servicio]]))</f>
        <v/>
      </c>
      <c r="AK298" s="10">
        <f>IF(tblOrdenes[[#This Row],[orden]]="","",tblOrdenes[[#This Row],[costo_servicio]]+tblOrdenes[[#This Row],[costo_materiales]])</f>
        <v/>
      </c>
      <c r="AL298" s="6" t="n"/>
      <c r="AM298" s="6" t="n"/>
      <c r="AN298" s="6" t="n"/>
      <c r="AO298" s="3">
        <f>IF(tblOrdenes[[#This Row],[link_checklist]]="","",HYPERLINK(p_ruta_base_checklists&amp;tblOrdenes[[#This Row],[link_checklist]],"abrir"))</f>
        <v/>
      </c>
      <c r="AP298" s="6" t="n"/>
      <c r="AQ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3">
        <f>IF(tblOrdenes[[#This Row],[tipo_ot]]="","",_xlfn.XLOOKUP(tblOrdenes[[#This Row],[tipo_ot]],tblTiposOT[codigo],tblTiposOT[clasificacion],"sin_clasificar"))</f>
        <v/>
      </c>
      <c r="U299" s="3">
        <f>IF(tblOrdenes[[#This Row],[centro_costo]]="","",_xlfn.XLOOKUP(tblOrdenes[[#This Row],[centro_costo]],tblCECO[codigo],tblCECO[linea],"(sin catálogo)"))</f>
        <v/>
      </c>
      <c r="V299" s="3">
        <f>IF(tblOrdenes[[#This Row],[centro_costo]]="","",_xlfn.XLOOKUP(tblOrdenes[[#This Row],[centro_costo]],tblCECO[codigo],tblCECO[area],"(sin catálogo)"))</f>
        <v/>
      </c>
      <c r="W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3">
        <f>IF(tblOrdenes[[#This Row],[centro_costo]]="","",_xlfn.XLOOKUP(tblOrdenes[[#This Row],[centro_costo]],tblCECO[codigo],tblCECO[coordinador],"(sin catálogo)"))</f>
        <v/>
      </c>
      <c r="Y299" s="3">
        <f>IF(tblOrdenes[[#This Row],[puesto_trabajo]]="","",_xlfn.XLOOKUP(tblOrdenes[[#This Row],[puesto_trabajo]],tblPuestos[codigo],tblPuestos[especialidad],"(sin catálogo)"))</f>
        <v/>
      </c>
      <c r="Z299" s="3">
        <f>IF(tblOrdenes[[#This Row],[cod_actividad]]="","",_xlfn.XLOOKUP(tblOrdenes[[#This Row],[cod_actividad]],tblActividades[codigo],tblActividades[descripcion],"(sin catálogo)"))</f>
        <v/>
      </c>
      <c r="AA299" s="12">
        <f>IF(tblOrdenes[[#This Row],[fecha_inicio]]="","",TODAY()-tblOrdenes[[#This Row],[fecha_inicio]])</f>
        <v/>
      </c>
      <c r="AB2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3">
        <f>IF(tblOrdenes[[#This Row],[backlog_habiles]]="","",IF(tblOrdenes[[#This Row],[backlog_habiles]]&lt;0,"FUTURO",IF(tblOrdenes[[#This Row],[backlog_habiles]]&gt;p_dias_backlog_max,"BACKLOG","MES CORRIENTE")))</f>
        <v/>
      </c>
      <c r="AD299" s="3">
        <f>IF(tblOrdenes[[#This Row],[backlog_habiles]]="",FALSE,AND(tblOrdenes[[#This Row],[backlog_habiles]]&gt;p_dias_backlog_min,tblOrdenes[[#This Row],[backlog_habiles]]&lt;=p_dias_backlog_max))</f>
        <v/>
      </c>
      <c r="AE299" s="6" t="n"/>
      <c r="AF2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0">
        <f>IF(tblOrdenes[[#This Row],[orden]]="","",_xlfn.XLOOKUP(tblOrdenes[[#This Row],[id_operacion]],tblEjecucion[id_operacion],tblEjecucion[precio],0))</f>
        <v/>
      </c>
      <c r="AJ299" s="10">
        <f>IF(tblOrdenes[[#This Row],[orden]]="","",MAX(0,_xlfn.XLOOKUP(tblOrdenes[[#This Row],[id_operacion]],tblEjecucion[id_operacion],tblEjecucion[costo_plan_total],0)-tblOrdenes[[#This Row],[costo_servicio]]))</f>
        <v/>
      </c>
      <c r="AK299" s="10">
        <f>IF(tblOrdenes[[#This Row],[orden]]="","",tblOrdenes[[#This Row],[costo_servicio]]+tblOrdenes[[#This Row],[costo_materiales]])</f>
        <v/>
      </c>
      <c r="AL299" s="6" t="n"/>
      <c r="AM299" s="6" t="n"/>
      <c r="AN299" s="6" t="n"/>
      <c r="AO299" s="3">
        <f>IF(tblOrdenes[[#This Row],[link_checklist]]="","",HYPERLINK(p_ruta_base_checklists&amp;tblOrdenes[[#This Row],[link_checklist]],"abrir"))</f>
        <v/>
      </c>
      <c r="AP299" s="6" t="n"/>
      <c r="AQ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3">
        <f>IF(tblOrdenes[[#This Row],[tipo_ot]]="","",_xlfn.XLOOKUP(tblOrdenes[[#This Row],[tipo_ot]],tblTiposOT[codigo],tblTiposOT[clasificacion],"sin_clasificar"))</f>
        <v/>
      </c>
      <c r="U300" s="3">
        <f>IF(tblOrdenes[[#This Row],[centro_costo]]="","",_xlfn.XLOOKUP(tblOrdenes[[#This Row],[centro_costo]],tblCECO[codigo],tblCECO[linea],"(sin catálogo)"))</f>
        <v/>
      </c>
      <c r="V300" s="3">
        <f>IF(tblOrdenes[[#This Row],[centro_costo]]="","",_xlfn.XLOOKUP(tblOrdenes[[#This Row],[centro_costo]],tblCECO[codigo],tblCECO[area],"(sin catálogo)"))</f>
        <v/>
      </c>
      <c r="W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3">
        <f>IF(tblOrdenes[[#This Row],[centro_costo]]="","",_xlfn.XLOOKUP(tblOrdenes[[#This Row],[centro_costo]],tblCECO[codigo],tblCECO[coordinador],"(sin catálogo)"))</f>
        <v/>
      </c>
      <c r="Y300" s="3">
        <f>IF(tblOrdenes[[#This Row],[puesto_trabajo]]="","",_xlfn.XLOOKUP(tblOrdenes[[#This Row],[puesto_trabajo]],tblPuestos[codigo],tblPuestos[especialidad],"(sin catálogo)"))</f>
        <v/>
      </c>
      <c r="Z300" s="3">
        <f>IF(tblOrdenes[[#This Row],[cod_actividad]]="","",_xlfn.XLOOKUP(tblOrdenes[[#This Row],[cod_actividad]],tblActividades[codigo],tblActividades[descripcion],"(sin catálogo)"))</f>
        <v/>
      </c>
      <c r="AA300" s="12">
        <f>IF(tblOrdenes[[#This Row],[fecha_inicio]]="","",TODAY()-tblOrdenes[[#This Row],[fecha_inicio]])</f>
        <v/>
      </c>
      <c r="AB3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3">
        <f>IF(tblOrdenes[[#This Row],[backlog_habiles]]="","",IF(tblOrdenes[[#This Row],[backlog_habiles]]&lt;0,"FUTURO",IF(tblOrdenes[[#This Row],[backlog_habiles]]&gt;p_dias_backlog_max,"BACKLOG","MES CORRIENTE")))</f>
        <v/>
      </c>
      <c r="AD300" s="3">
        <f>IF(tblOrdenes[[#This Row],[backlog_habiles]]="",FALSE,AND(tblOrdenes[[#This Row],[backlog_habiles]]&gt;p_dias_backlog_min,tblOrdenes[[#This Row],[backlog_habiles]]&lt;=p_dias_backlog_max))</f>
        <v/>
      </c>
      <c r="AE300" s="6" t="n"/>
      <c r="AF3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0">
        <f>IF(tblOrdenes[[#This Row],[orden]]="","",_xlfn.XLOOKUP(tblOrdenes[[#This Row],[id_operacion]],tblEjecucion[id_operacion],tblEjecucion[precio],0))</f>
        <v/>
      </c>
      <c r="AJ300" s="10">
        <f>IF(tblOrdenes[[#This Row],[orden]]="","",MAX(0,_xlfn.XLOOKUP(tblOrdenes[[#This Row],[id_operacion]],tblEjecucion[id_operacion],tblEjecucion[costo_plan_total],0)-tblOrdenes[[#This Row],[costo_servicio]]))</f>
        <v/>
      </c>
      <c r="AK300" s="10">
        <f>IF(tblOrdenes[[#This Row],[orden]]="","",tblOrdenes[[#This Row],[costo_servicio]]+tblOrdenes[[#This Row],[costo_materiales]])</f>
        <v/>
      </c>
      <c r="AL300" s="6" t="n"/>
      <c r="AM300" s="6" t="n"/>
      <c r="AN300" s="6" t="n"/>
      <c r="AO300" s="3">
        <f>IF(tblOrdenes[[#This Row],[link_checklist]]="","",HYPERLINK(p_ruta_base_checklists&amp;tblOrdenes[[#This Row],[link_checklist]],"abrir"))</f>
        <v/>
      </c>
      <c r="AP300" s="6" t="n"/>
      <c r="AQ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3">
        <f>IF(tblOrdenes[[#This Row],[tipo_ot]]="","",_xlfn.XLOOKUP(tblOrdenes[[#This Row],[tipo_ot]],tblTiposOT[codigo],tblTiposOT[clasificacion],"sin_clasificar"))</f>
        <v/>
      </c>
      <c r="U301" s="3">
        <f>IF(tblOrdenes[[#This Row],[centro_costo]]="","",_xlfn.XLOOKUP(tblOrdenes[[#This Row],[centro_costo]],tblCECO[codigo],tblCECO[linea],"(sin catálogo)"))</f>
        <v/>
      </c>
      <c r="V301" s="3">
        <f>IF(tblOrdenes[[#This Row],[centro_costo]]="","",_xlfn.XLOOKUP(tblOrdenes[[#This Row],[centro_costo]],tblCECO[codigo],tblCECO[area],"(sin catálogo)"))</f>
        <v/>
      </c>
      <c r="W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3">
        <f>IF(tblOrdenes[[#This Row],[centro_costo]]="","",_xlfn.XLOOKUP(tblOrdenes[[#This Row],[centro_costo]],tblCECO[codigo],tblCECO[coordinador],"(sin catálogo)"))</f>
        <v/>
      </c>
      <c r="Y301" s="3">
        <f>IF(tblOrdenes[[#This Row],[puesto_trabajo]]="","",_xlfn.XLOOKUP(tblOrdenes[[#This Row],[puesto_trabajo]],tblPuestos[codigo],tblPuestos[especialidad],"(sin catálogo)"))</f>
        <v/>
      </c>
      <c r="Z301" s="3">
        <f>IF(tblOrdenes[[#This Row],[cod_actividad]]="","",_xlfn.XLOOKUP(tblOrdenes[[#This Row],[cod_actividad]],tblActividades[codigo],tblActividades[descripcion],"(sin catálogo)"))</f>
        <v/>
      </c>
      <c r="AA301" s="12">
        <f>IF(tblOrdenes[[#This Row],[fecha_inicio]]="","",TODAY()-tblOrdenes[[#This Row],[fecha_inicio]])</f>
        <v/>
      </c>
      <c r="AB3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3">
        <f>IF(tblOrdenes[[#This Row],[backlog_habiles]]="","",IF(tblOrdenes[[#This Row],[backlog_habiles]]&lt;0,"FUTURO",IF(tblOrdenes[[#This Row],[backlog_habiles]]&gt;p_dias_backlog_max,"BACKLOG","MES CORRIENTE")))</f>
        <v/>
      </c>
      <c r="AD301" s="3">
        <f>IF(tblOrdenes[[#This Row],[backlog_habiles]]="",FALSE,AND(tblOrdenes[[#This Row],[backlog_habiles]]&gt;p_dias_backlog_min,tblOrdenes[[#This Row],[backlog_habiles]]&lt;=p_dias_backlog_max))</f>
        <v/>
      </c>
      <c r="AE301" s="6" t="n"/>
      <c r="AF3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0">
        <f>IF(tblOrdenes[[#This Row],[orden]]="","",_xlfn.XLOOKUP(tblOrdenes[[#This Row],[id_operacion]],tblEjecucion[id_operacion],tblEjecucion[precio],0))</f>
        <v/>
      </c>
      <c r="AJ301" s="10">
        <f>IF(tblOrdenes[[#This Row],[orden]]="","",MAX(0,_xlfn.XLOOKUP(tblOrdenes[[#This Row],[id_operacion]],tblEjecucion[id_operacion],tblEjecucion[costo_plan_total],0)-tblOrdenes[[#This Row],[costo_servicio]]))</f>
        <v/>
      </c>
      <c r="AK301" s="10">
        <f>IF(tblOrdenes[[#This Row],[orden]]="","",tblOrdenes[[#This Row],[costo_servicio]]+tblOrdenes[[#This Row],[costo_materiales]])</f>
        <v/>
      </c>
      <c r="AL301" s="6" t="n"/>
      <c r="AM301" s="6" t="n"/>
      <c r="AN301" s="6" t="n"/>
      <c r="AO301" s="3">
        <f>IF(tblOrdenes[[#This Row],[link_checklist]]="","",HYPERLINK(p_ruta_base_checklists&amp;tblOrdenes[[#This Row],[link_checklist]],"abrir"))</f>
        <v/>
      </c>
      <c r="AP301" s="6" t="n"/>
      <c r="AQ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3">
        <f>IF(tblOrdenes[[#This Row],[tipo_ot]]="","",_xlfn.XLOOKUP(tblOrdenes[[#This Row],[tipo_ot]],tblTiposOT[codigo],tblTiposOT[clasificacion],"sin_clasificar"))</f>
        <v/>
      </c>
      <c r="U302" s="3">
        <f>IF(tblOrdenes[[#This Row],[centro_costo]]="","",_xlfn.XLOOKUP(tblOrdenes[[#This Row],[centro_costo]],tblCECO[codigo],tblCECO[linea],"(sin catálogo)"))</f>
        <v/>
      </c>
      <c r="V302" s="3">
        <f>IF(tblOrdenes[[#This Row],[centro_costo]]="","",_xlfn.XLOOKUP(tblOrdenes[[#This Row],[centro_costo]],tblCECO[codigo],tblCECO[area],"(sin catálogo)"))</f>
        <v/>
      </c>
      <c r="W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3">
        <f>IF(tblOrdenes[[#This Row],[centro_costo]]="","",_xlfn.XLOOKUP(tblOrdenes[[#This Row],[centro_costo]],tblCECO[codigo],tblCECO[coordinador],"(sin catálogo)"))</f>
        <v/>
      </c>
      <c r="Y302" s="3">
        <f>IF(tblOrdenes[[#This Row],[puesto_trabajo]]="","",_xlfn.XLOOKUP(tblOrdenes[[#This Row],[puesto_trabajo]],tblPuestos[codigo],tblPuestos[especialidad],"(sin catálogo)"))</f>
        <v/>
      </c>
      <c r="Z302" s="3">
        <f>IF(tblOrdenes[[#This Row],[cod_actividad]]="","",_xlfn.XLOOKUP(tblOrdenes[[#This Row],[cod_actividad]],tblActividades[codigo],tblActividades[descripcion],"(sin catálogo)"))</f>
        <v/>
      </c>
      <c r="AA302" s="12">
        <f>IF(tblOrdenes[[#This Row],[fecha_inicio]]="","",TODAY()-tblOrdenes[[#This Row],[fecha_inicio]])</f>
        <v/>
      </c>
      <c r="AB3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3">
        <f>IF(tblOrdenes[[#This Row],[backlog_habiles]]="","",IF(tblOrdenes[[#This Row],[backlog_habiles]]&lt;0,"FUTURO",IF(tblOrdenes[[#This Row],[backlog_habiles]]&gt;p_dias_backlog_max,"BACKLOG","MES CORRIENTE")))</f>
        <v/>
      </c>
      <c r="AD302" s="3">
        <f>IF(tblOrdenes[[#This Row],[backlog_habiles]]="",FALSE,AND(tblOrdenes[[#This Row],[backlog_habiles]]&gt;p_dias_backlog_min,tblOrdenes[[#This Row],[backlog_habiles]]&lt;=p_dias_backlog_max))</f>
        <v/>
      </c>
      <c r="AE302" s="6" t="n"/>
      <c r="AF3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0">
        <f>IF(tblOrdenes[[#This Row],[orden]]="","",_xlfn.XLOOKUP(tblOrdenes[[#This Row],[id_operacion]],tblEjecucion[id_operacion],tblEjecucion[precio],0))</f>
        <v/>
      </c>
      <c r="AJ302" s="10">
        <f>IF(tblOrdenes[[#This Row],[orden]]="","",MAX(0,_xlfn.XLOOKUP(tblOrdenes[[#This Row],[id_operacion]],tblEjecucion[id_operacion],tblEjecucion[costo_plan_total],0)-tblOrdenes[[#This Row],[costo_servicio]]))</f>
        <v/>
      </c>
      <c r="AK302" s="10">
        <f>IF(tblOrdenes[[#This Row],[orden]]="","",tblOrdenes[[#This Row],[costo_servicio]]+tblOrdenes[[#This Row],[costo_materiales]])</f>
        <v/>
      </c>
      <c r="AL302" s="6" t="n"/>
      <c r="AM302" s="6" t="n"/>
      <c r="AN302" s="6" t="n"/>
      <c r="AO302" s="3">
        <f>IF(tblOrdenes[[#This Row],[link_checklist]]="","",HYPERLINK(p_ruta_base_checklists&amp;tblOrdenes[[#This Row],[link_checklist]],"abrir"))</f>
        <v/>
      </c>
      <c r="AP302" s="6" t="n"/>
      <c r="AQ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3">
        <f>IF(tblOrdenes[[#This Row],[tipo_ot]]="","",_xlfn.XLOOKUP(tblOrdenes[[#This Row],[tipo_ot]],tblTiposOT[codigo],tblTiposOT[clasificacion],"sin_clasificar"))</f>
        <v/>
      </c>
      <c r="U303" s="3">
        <f>IF(tblOrdenes[[#This Row],[centro_costo]]="","",_xlfn.XLOOKUP(tblOrdenes[[#This Row],[centro_costo]],tblCECO[codigo],tblCECO[linea],"(sin catálogo)"))</f>
        <v/>
      </c>
      <c r="V303" s="3">
        <f>IF(tblOrdenes[[#This Row],[centro_costo]]="","",_xlfn.XLOOKUP(tblOrdenes[[#This Row],[centro_costo]],tblCECO[codigo],tblCECO[area],"(sin catálogo)"))</f>
        <v/>
      </c>
      <c r="W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3">
        <f>IF(tblOrdenes[[#This Row],[centro_costo]]="","",_xlfn.XLOOKUP(tblOrdenes[[#This Row],[centro_costo]],tblCECO[codigo],tblCECO[coordinador],"(sin catálogo)"))</f>
        <v/>
      </c>
      <c r="Y303" s="3">
        <f>IF(tblOrdenes[[#This Row],[puesto_trabajo]]="","",_xlfn.XLOOKUP(tblOrdenes[[#This Row],[puesto_trabajo]],tblPuestos[codigo],tblPuestos[especialidad],"(sin catálogo)"))</f>
        <v/>
      </c>
      <c r="Z303" s="3">
        <f>IF(tblOrdenes[[#This Row],[cod_actividad]]="","",_xlfn.XLOOKUP(tblOrdenes[[#This Row],[cod_actividad]],tblActividades[codigo],tblActividades[descripcion],"(sin catálogo)"))</f>
        <v/>
      </c>
      <c r="AA303" s="12">
        <f>IF(tblOrdenes[[#This Row],[fecha_inicio]]="","",TODAY()-tblOrdenes[[#This Row],[fecha_inicio]])</f>
        <v/>
      </c>
      <c r="AB3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3">
        <f>IF(tblOrdenes[[#This Row],[backlog_habiles]]="","",IF(tblOrdenes[[#This Row],[backlog_habiles]]&lt;0,"FUTURO",IF(tblOrdenes[[#This Row],[backlog_habiles]]&gt;p_dias_backlog_max,"BACKLOG","MES CORRIENTE")))</f>
        <v/>
      </c>
      <c r="AD303" s="3">
        <f>IF(tblOrdenes[[#This Row],[backlog_habiles]]="",FALSE,AND(tblOrdenes[[#This Row],[backlog_habiles]]&gt;p_dias_backlog_min,tblOrdenes[[#This Row],[backlog_habiles]]&lt;=p_dias_backlog_max))</f>
        <v/>
      </c>
      <c r="AE303" s="6" t="n"/>
      <c r="AF3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0">
        <f>IF(tblOrdenes[[#This Row],[orden]]="","",_xlfn.XLOOKUP(tblOrdenes[[#This Row],[id_operacion]],tblEjecucion[id_operacion],tblEjecucion[precio],0))</f>
        <v/>
      </c>
      <c r="AJ303" s="10">
        <f>IF(tblOrdenes[[#This Row],[orden]]="","",MAX(0,_xlfn.XLOOKUP(tblOrdenes[[#This Row],[id_operacion]],tblEjecucion[id_operacion],tblEjecucion[costo_plan_total],0)-tblOrdenes[[#This Row],[costo_servicio]]))</f>
        <v/>
      </c>
      <c r="AK303" s="10">
        <f>IF(tblOrdenes[[#This Row],[orden]]="","",tblOrdenes[[#This Row],[costo_servicio]]+tblOrdenes[[#This Row],[costo_materiales]])</f>
        <v/>
      </c>
      <c r="AL303" s="6" t="n"/>
      <c r="AM303" s="6" t="n"/>
      <c r="AN303" s="6" t="n"/>
      <c r="AO303" s="3">
        <f>IF(tblOrdenes[[#This Row],[link_checklist]]="","",HYPERLINK(p_ruta_base_checklists&amp;tblOrdenes[[#This Row],[link_checklist]],"abrir"))</f>
        <v/>
      </c>
      <c r="AP303" s="6" t="n"/>
      <c r="AQ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3">
        <f>IF(tblOrdenes[[#This Row],[tipo_ot]]="","",_xlfn.XLOOKUP(tblOrdenes[[#This Row],[tipo_ot]],tblTiposOT[codigo],tblTiposOT[clasificacion],"sin_clasificar"))</f>
        <v/>
      </c>
      <c r="U304" s="3">
        <f>IF(tblOrdenes[[#This Row],[centro_costo]]="","",_xlfn.XLOOKUP(tblOrdenes[[#This Row],[centro_costo]],tblCECO[codigo],tblCECO[linea],"(sin catálogo)"))</f>
        <v/>
      </c>
      <c r="V304" s="3">
        <f>IF(tblOrdenes[[#This Row],[centro_costo]]="","",_xlfn.XLOOKUP(tblOrdenes[[#This Row],[centro_costo]],tblCECO[codigo],tblCECO[area],"(sin catálogo)"))</f>
        <v/>
      </c>
      <c r="W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3">
        <f>IF(tblOrdenes[[#This Row],[centro_costo]]="","",_xlfn.XLOOKUP(tblOrdenes[[#This Row],[centro_costo]],tblCECO[codigo],tblCECO[coordinador],"(sin catálogo)"))</f>
        <v/>
      </c>
      <c r="Y304" s="3">
        <f>IF(tblOrdenes[[#This Row],[puesto_trabajo]]="","",_xlfn.XLOOKUP(tblOrdenes[[#This Row],[puesto_trabajo]],tblPuestos[codigo],tblPuestos[especialidad],"(sin catálogo)"))</f>
        <v/>
      </c>
      <c r="Z304" s="3">
        <f>IF(tblOrdenes[[#This Row],[cod_actividad]]="","",_xlfn.XLOOKUP(tblOrdenes[[#This Row],[cod_actividad]],tblActividades[codigo],tblActividades[descripcion],"(sin catálogo)"))</f>
        <v/>
      </c>
      <c r="AA304" s="12">
        <f>IF(tblOrdenes[[#This Row],[fecha_inicio]]="","",TODAY()-tblOrdenes[[#This Row],[fecha_inicio]])</f>
        <v/>
      </c>
      <c r="AB3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3">
        <f>IF(tblOrdenes[[#This Row],[backlog_habiles]]="","",IF(tblOrdenes[[#This Row],[backlog_habiles]]&lt;0,"FUTURO",IF(tblOrdenes[[#This Row],[backlog_habiles]]&gt;p_dias_backlog_max,"BACKLOG","MES CORRIENTE")))</f>
        <v/>
      </c>
      <c r="AD304" s="3">
        <f>IF(tblOrdenes[[#This Row],[backlog_habiles]]="",FALSE,AND(tblOrdenes[[#This Row],[backlog_habiles]]&gt;p_dias_backlog_min,tblOrdenes[[#This Row],[backlog_habiles]]&lt;=p_dias_backlog_max))</f>
        <v/>
      </c>
      <c r="AE304" s="6" t="n"/>
      <c r="AF3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0">
        <f>IF(tblOrdenes[[#This Row],[orden]]="","",_xlfn.XLOOKUP(tblOrdenes[[#This Row],[id_operacion]],tblEjecucion[id_operacion],tblEjecucion[precio],0))</f>
        <v/>
      </c>
      <c r="AJ304" s="10">
        <f>IF(tblOrdenes[[#This Row],[orden]]="","",MAX(0,_xlfn.XLOOKUP(tblOrdenes[[#This Row],[id_operacion]],tblEjecucion[id_operacion],tblEjecucion[costo_plan_total],0)-tblOrdenes[[#This Row],[costo_servicio]]))</f>
        <v/>
      </c>
      <c r="AK304" s="10">
        <f>IF(tblOrdenes[[#This Row],[orden]]="","",tblOrdenes[[#This Row],[costo_servicio]]+tblOrdenes[[#This Row],[costo_materiales]])</f>
        <v/>
      </c>
      <c r="AL304" s="6" t="n"/>
      <c r="AM304" s="6" t="n"/>
      <c r="AN304" s="6" t="n"/>
      <c r="AO304" s="3">
        <f>IF(tblOrdenes[[#This Row],[link_checklist]]="","",HYPERLINK(p_ruta_base_checklists&amp;tblOrdenes[[#This Row],[link_checklist]],"abrir"))</f>
        <v/>
      </c>
      <c r="AP304" s="6" t="n"/>
      <c r="AQ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3">
        <f>IF(tblOrdenes[[#This Row],[tipo_ot]]="","",_xlfn.XLOOKUP(tblOrdenes[[#This Row],[tipo_ot]],tblTiposOT[codigo],tblTiposOT[clasificacion],"sin_clasificar"))</f>
        <v/>
      </c>
      <c r="U305" s="3">
        <f>IF(tblOrdenes[[#This Row],[centro_costo]]="","",_xlfn.XLOOKUP(tblOrdenes[[#This Row],[centro_costo]],tblCECO[codigo],tblCECO[linea],"(sin catálogo)"))</f>
        <v/>
      </c>
      <c r="V305" s="3">
        <f>IF(tblOrdenes[[#This Row],[centro_costo]]="","",_xlfn.XLOOKUP(tblOrdenes[[#This Row],[centro_costo]],tblCECO[codigo],tblCECO[area],"(sin catálogo)"))</f>
        <v/>
      </c>
      <c r="W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3">
        <f>IF(tblOrdenes[[#This Row],[centro_costo]]="","",_xlfn.XLOOKUP(tblOrdenes[[#This Row],[centro_costo]],tblCECO[codigo],tblCECO[coordinador],"(sin catálogo)"))</f>
        <v/>
      </c>
      <c r="Y305" s="3">
        <f>IF(tblOrdenes[[#This Row],[puesto_trabajo]]="","",_xlfn.XLOOKUP(tblOrdenes[[#This Row],[puesto_trabajo]],tblPuestos[codigo],tblPuestos[especialidad],"(sin catálogo)"))</f>
        <v/>
      </c>
      <c r="Z305" s="3">
        <f>IF(tblOrdenes[[#This Row],[cod_actividad]]="","",_xlfn.XLOOKUP(tblOrdenes[[#This Row],[cod_actividad]],tblActividades[codigo],tblActividades[descripcion],"(sin catálogo)"))</f>
        <v/>
      </c>
      <c r="AA305" s="12">
        <f>IF(tblOrdenes[[#This Row],[fecha_inicio]]="","",TODAY()-tblOrdenes[[#This Row],[fecha_inicio]])</f>
        <v/>
      </c>
      <c r="AB3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3">
        <f>IF(tblOrdenes[[#This Row],[backlog_habiles]]="","",IF(tblOrdenes[[#This Row],[backlog_habiles]]&lt;0,"FUTURO",IF(tblOrdenes[[#This Row],[backlog_habiles]]&gt;p_dias_backlog_max,"BACKLOG","MES CORRIENTE")))</f>
        <v/>
      </c>
      <c r="AD305" s="3">
        <f>IF(tblOrdenes[[#This Row],[backlog_habiles]]="",FALSE,AND(tblOrdenes[[#This Row],[backlog_habiles]]&gt;p_dias_backlog_min,tblOrdenes[[#This Row],[backlog_habiles]]&lt;=p_dias_backlog_max))</f>
        <v/>
      </c>
      <c r="AE305" s="6" t="n"/>
      <c r="AF3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0">
        <f>IF(tblOrdenes[[#This Row],[orden]]="","",_xlfn.XLOOKUP(tblOrdenes[[#This Row],[id_operacion]],tblEjecucion[id_operacion],tblEjecucion[precio],0))</f>
        <v/>
      </c>
      <c r="AJ305" s="10">
        <f>IF(tblOrdenes[[#This Row],[orden]]="","",MAX(0,_xlfn.XLOOKUP(tblOrdenes[[#This Row],[id_operacion]],tblEjecucion[id_operacion],tblEjecucion[costo_plan_total],0)-tblOrdenes[[#This Row],[costo_servicio]]))</f>
        <v/>
      </c>
      <c r="AK305" s="10">
        <f>IF(tblOrdenes[[#This Row],[orden]]="","",tblOrdenes[[#This Row],[costo_servicio]]+tblOrdenes[[#This Row],[costo_materiales]])</f>
        <v/>
      </c>
      <c r="AL305" s="6" t="n"/>
      <c r="AM305" s="6" t="n"/>
      <c r="AN305" s="6" t="n"/>
      <c r="AO305" s="3">
        <f>IF(tblOrdenes[[#This Row],[link_checklist]]="","",HYPERLINK(p_ruta_base_checklists&amp;tblOrdenes[[#This Row],[link_checklist]],"abrir"))</f>
        <v/>
      </c>
      <c r="AP305" s="6" t="n"/>
      <c r="AQ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3">
        <f>IF(tblOrdenes[[#This Row],[tipo_ot]]="","",_xlfn.XLOOKUP(tblOrdenes[[#This Row],[tipo_ot]],tblTiposOT[codigo],tblTiposOT[clasificacion],"sin_clasificar"))</f>
        <v/>
      </c>
      <c r="U306" s="3">
        <f>IF(tblOrdenes[[#This Row],[centro_costo]]="","",_xlfn.XLOOKUP(tblOrdenes[[#This Row],[centro_costo]],tblCECO[codigo],tblCECO[linea],"(sin catálogo)"))</f>
        <v/>
      </c>
      <c r="V306" s="3">
        <f>IF(tblOrdenes[[#This Row],[centro_costo]]="","",_xlfn.XLOOKUP(tblOrdenes[[#This Row],[centro_costo]],tblCECO[codigo],tblCECO[area],"(sin catálogo)"))</f>
        <v/>
      </c>
      <c r="W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3">
        <f>IF(tblOrdenes[[#This Row],[centro_costo]]="","",_xlfn.XLOOKUP(tblOrdenes[[#This Row],[centro_costo]],tblCECO[codigo],tblCECO[coordinador],"(sin catálogo)"))</f>
        <v/>
      </c>
      <c r="Y306" s="3">
        <f>IF(tblOrdenes[[#This Row],[puesto_trabajo]]="","",_xlfn.XLOOKUP(tblOrdenes[[#This Row],[puesto_trabajo]],tblPuestos[codigo],tblPuestos[especialidad],"(sin catálogo)"))</f>
        <v/>
      </c>
      <c r="Z306" s="3">
        <f>IF(tblOrdenes[[#This Row],[cod_actividad]]="","",_xlfn.XLOOKUP(tblOrdenes[[#This Row],[cod_actividad]],tblActividades[codigo],tblActividades[descripcion],"(sin catálogo)"))</f>
        <v/>
      </c>
      <c r="AA306" s="12">
        <f>IF(tblOrdenes[[#This Row],[fecha_inicio]]="","",TODAY()-tblOrdenes[[#This Row],[fecha_inicio]])</f>
        <v/>
      </c>
      <c r="AB3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3">
        <f>IF(tblOrdenes[[#This Row],[backlog_habiles]]="","",IF(tblOrdenes[[#This Row],[backlog_habiles]]&lt;0,"FUTURO",IF(tblOrdenes[[#This Row],[backlog_habiles]]&gt;p_dias_backlog_max,"BACKLOG","MES CORRIENTE")))</f>
        <v/>
      </c>
      <c r="AD306" s="3">
        <f>IF(tblOrdenes[[#This Row],[backlog_habiles]]="",FALSE,AND(tblOrdenes[[#This Row],[backlog_habiles]]&gt;p_dias_backlog_min,tblOrdenes[[#This Row],[backlog_habiles]]&lt;=p_dias_backlog_max))</f>
        <v/>
      </c>
      <c r="AE306" s="6" t="n"/>
      <c r="AF3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0">
        <f>IF(tblOrdenes[[#This Row],[orden]]="","",_xlfn.XLOOKUP(tblOrdenes[[#This Row],[id_operacion]],tblEjecucion[id_operacion],tblEjecucion[precio],0))</f>
        <v/>
      </c>
      <c r="AJ306" s="10">
        <f>IF(tblOrdenes[[#This Row],[orden]]="","",MAX(0,_xlfn.XLOOKUP(tblOrdenes[[#This Row],[id_operacion]],tblEjecucion[id_operacion],tblEjecucion[costo_plan_total],0)-tblOrdenes[[#This Row],[costo_servicio]]))</f>
        <v/>
      </c>
      <c r="AK306" s="10">
        <f>IF(tblOrdenes[[#This Row],[orden]]="","",tblOrdenes[[#This Row],[costo_servicio]]+tblOrdenes[[#This Row],[costo_materiales]])</f>
        <v/>
      </c>
      <c r="AL306" s="6" t="n"/>
      <c r="AM306" s="6" t="n"/>
      <c r="AN306" s="6" t="n"/>
      <c r="AO306" s="3">
        <f>IF(tblOrdenes[[#This Row],[link_checklist]]="","",HYPERLINK(p_ruta_base_checklists&amp;tblOrdenes[[#This Row],[link_checklist]],"abrir"))</f>
        <v/>
      </c>
      <c r="AP306" s="6" t="n"/>
      <c r="AQ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3">
        <f>IF(tblOrdenes[[#This Row],[tipo_ot]]="","",_xlfn.XLOOKUP(tblOrdenes[[#This Row],[tipo_ot]],tblTiposOT[codigo],tblTiposOT[clasificacion],"sin_clasificar"))</f>
        <v/>
      </c>
      <c r="U307" s="3">
        <f>IF(tblOrdenes[[#This Row],[centro_costo]]="","",_xlfn.XLOOKUP(tblOrdenes[[#This Row],[centro_costo]],tblCECO[codigo],tblCECO[linea],"(sin catálogo)"))</f>
        <v/>
      </c>
      <c r="V307" s="3">
        <f>IF(tblOrdenes[[#This Row],[centro_costo]]="","",_xlfn.XLOOKUP(tblOrdenes[[#This Row],[centro_costo]],tblCECO[codigo],tblCECO[area],"(sin catálogo)"))</f>
        <v/>
      </c>
      <c r="W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3">
        <f>IF(tblOrdenes[[#This Row],[centro_costo]]="","",_xlfn.XLOOKUP(tblOrdenes[[#This Row],[centro_costo]],tblCECO[codigo],tblCECO[coordinador],"(sin catálogo)"))</f>
        <v/>
      </c>
      <c r="Y307" s="3">
        <f>IF(tblOrdenes[[#This Row],[puesto_trabajo]]="","",_xlfn.XLOOKUP(tblOrdenes[[#This Row],[puesto_trabajo]],tblPuestos[codigo],tblPuestos[especialidad],"(sin catálogo)"))</f>
        <v/>
      </c>
      <c r="Z307" s="3">
        <f>IF(tblOrdenes[[#This Row],[cod_actividad]]="","",_xlfn.XLOOKUP(tblOrdenes[[#This Row],[cod_actividad]],tblActividades[codigo],tblActividades[descripcion],"(sin catálogo)"))</f>
        <v/>
      </c>
      <c r="AA307" s="12">
        <f>IF(tblOrdenes[[#This Row],[fecha_inicio]]="","",TODAY()-tblOrdenes[[#This Row],[fecha_inicio]])</f>
        <v/>
      </c>
      <c r="AB3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3">
        <f>IF(tblOrdenes[[#This Row],[backlog_habiles]]="","",IF(tblOrdenes[[#This Row],[backlog_habiles]]&lt;0,"FUTURO",IF(tblOrdenes[[#This Row],[backlog_habiles]]&gt;p_dias_backlog_max,"BACKLOG","MES CORRIENTE")))</f>
        <v/>
      </c>
      <c r="AD307" s="3">
        <f>IF(tblOrdenes[[#This Row],[backlog_habiles]]="",FALSE,AND(tblOrdenes[[#This Row],[backlog_habiles]]&gt;p_dias_backlog_min,tblOrdenes[[#This Row],[backlog_habiles]]&lt;=p_dias_backlog_max))</f>
        <v/>
      </c>
      <c r="AE307" s="6" t="n"/>
      <c r="AF3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0">
        <f>IF(tblOrdenes[[#This Row],[orden]]="","",_xlfn.XLOOKUP(tblOrdenes[[#This Row],[id_operacion]],tblEjecucion[id_operacion],tblEjecucion[precio],0))</f>
        <v/>
      </c>
      <c r="AJ307" s="10">
        <f>IF(tblOrdenes[[#This Row],[orden]]="","",MAX(0,_xlfn.XLOOKUP(tblOrdenes[[#This Row],[id_operacion]],tblEjecucion[id_operacion],tblEjecucion[costo_plan_total],0)-tblOrdenes[[#This Row],[costo_servicio]]))</f>
        <v/>
      </c>
      <c r="AK307" s="10">
        <f>IF(tblOrdenes[[#This Row],[orden]]="","",tblOrdenes[[#This Row],[costo_servicio]]+tblOrdenes[[#This Row],[costo_materiales]])</f>
        <v/>
      </c>
      <c r="AL307" s="6" t="n"/>
      <c r="AM307" s="6" t="n"/>
      <c r="AN307" s="6" t="n"/>
      <c r="AO307" s="3">
        <f>IF(tblOrdenes[[#This Row],[link_checklist]]="","",HYPERLINK(p_ruta_base_checklists&amp;tblOrdenes[[#This Row],[link_checklist]],"abrir"))</f>
        <v/>
      </c>
      <c r="AP307" s="6" t="n"/>
      <c r="AQ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3">
        <f>IF(tblOrdenes[[#This Row],[tipo_ot]]="","",_xlfn.XLOOKUP(tblOrdenes[[#This Row],[tipo_ot]],tblTiposOT[codigo],tblTiposOT[clasificacion],"sin_clasificar"))</f>
        <v/>
      </c>
      <c r="U308" s="3">
        <f>IF(tblOrdenes[[#This Row],[centro_costo]]="","",_xlfn.XLOOKUP(tblOrdenes[[#This Row],[centro_costo]],tblCECO[codigo],tblCECO[linea],"(sin catálogo)"))</f>
        <v/>
      </c>
      <c r="V308" s="3">
        <f>IF(tblOrdenes[[#This Row],[centro_costo]]="","",_xlfn.XLOOKUP(tblOrdenes[[#This Row],[centro_costo]],tblCECO[codigo],tblCECO[area],"(sin catálogo)"))</f>
        <v/>
      </c>
      <c r="W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3">
        <f>IF(tblOrdenes[[#This Row],[centro_costo]]="","",_xlfn.XLOOKUP(tblOrdenes[[#This Row],[centro_costo]],tblCECO[codigo],tblCECO[coordinador],"(sin catálogo)"))</f>
        <v/>
      </c>
      <c r="Y308" s="3">
        <f>IF(tblOrdenes[[#This Row],[puesto_trabajo]]="","",_xlfn.XLOOKUP(tblOrdenes[[#This Row],[puesto_trabajo]],tblPuestos[codigo],tblPuestos[especialidad],"(sin catálogo)"))</f>
        <v/>
      </c>
      <c r="Z308" s="3">
        <f>IF(tblOrdenes[[#This Row],[cod_actividad]]="","",_xlfn.XLOOKUP(tblOrdenes[[#This Row],[cod_actividad]],tblActividades[codigo],tblActividades[descripcion],"(sin catálogo)"))</f>
        <v/>
      </c>
      <c r="AA308" s="12">
        <f>IF(tblOrdenes[[#This Row],[fecha_inicio]]="","",TODAY()-tblOrdenes[[#This Row],[fecha_inicio]])</f>
        <v/>
      </c>
      <c r="AB3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3">
        <f>IF(tblOrdenes[[#This Row],[backlog_habiles]]="","",IF(tblOrdenes[[#This Row],[backlog_habiles]]&lt;0,"FUTURO",IF(tblOrdenes[[#This Row],[backlog_habiles]]&gt;p_dias_backlog_max,"BACKLOG","MES CORRIENTE")))</f>
        <v/>
      </c>
      <c r="AD308" s="3">
        <f>IF(tblOrdenes[[#This Row],[backlog_habiles]]="",FALSE,AND(tblOrdenes[[#This Row],[backlog_habiles]]&gt;p_dias_backlog_min,tblOrdenes[[#This Row],[backlog_habiles]]&lt;=p_dias_backlog_max))</f>
        <v/>
      </c>
      <c r="AE308" s="6" t="n"/>
      <c r="AF3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0">
        <f>IF(tblOrdenes[[#This Row],[orden]]="","",_xlfn.XLOOKUP(tblOrdenes[[#This Row],[id_operacion]],tblEjecucion[id_operacion],tblEjecucion[precio],0))</f>
        <v/>
      </c>
      <c r="AJ308" s="10">
        <f>IF(tblOrdenes[[#This Row],[orden]]="","",MAX(0,_xlfn.XLOOKUP(tblOrdenes[[#This Row],[id_operacion]],tblEjecucion[id_operacion],tblEjecucion[costo_plan_total],0)-tblOrdenes[[#This Row],[costo_servicio]]))</f>
        <v/>
      </c>
      <c r="AK308" s="10">
        <f>IF(tblOrdenes[[#This Row],[orden]]="","",tblOrdenes[[#This Row],[costo_servicio]]+tblOrdenes[[#This Row],[costo_materiales]])</f>
        <v/>
      </c>
      <c r="AL308" s="6" t="n"/>
      <c r="AM308" s="6" t="n"/>
      <c r="AN308" s="6" t="n"/>
      <c r="AO308" s="3">
        <f>IF(tblOrdenes[[#This Row],[link_checklist]]="","",HYPERLINK(p_ruta_base_checklists&amp;tblOrdenes[[#This Row],[link_checklist]],"abrir"))</f>
        <v/>
      </c>
      <c r="AP308" s="6" t="n"/>
      <c r="AQ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3">
        <f>IF(tblOrdenes[[#This Row],[tipo_ot]]="","",_xlfn.XLOOKUP(tblOrdenes[[#This Row],[tipo_ot]],tblTiposOT[codigo],tblTiposOT[clasificacion],"sin_clasificar"))</f>
        <v/>
      </c>
      <c r="U309" s="3">
        <f>IF(tblOrdenes[[#This Row],[centro_costo]]="","",_xlfn.XLOOKUP(tblOrdenes[[#This Row],[centro_costo]],tblCECO[codigo],tblCECO[linea],"(sin catálogo)"))</f>
        <v/>
      </c>
      <c r="V309" s="3">
        <f>IF(tblOrdenes[[#This Row],[centro_costo]]="","",_xlfn.XLOOKUP(tblOrdenes[[#This Row],[centro_costo]],tblCECO[codigo],tblCECO[area],"(sin catálogo)"))</f>
        <v/>
      </c>
      <c r="W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3">
        <f>IF(tblOrdenes[[#This Row],[centro_costo]]="","",_xlfn.XLOOKUP(tblOrdenes[[#This Row],[centro_costo]],tblCECO[codigo],tblCECO[coordinador],"(sin catálogo)"))</f>
        <v/>
      </c>
      <c r="Y309" s="3">
        <f>IF(tblOrdenes[[#This Row],[puesto_trabajo]]="","",_xlfn.XLOOKUP(tblOrdenes[[#This Row],[puesto_trabajo]],tblPuestos[codigo],tblPuestos[especialidad],"(sin catálogo)"))</f>
        <v/>
      </c>
      <c r="Z309" s="3">
        <f>IF(tblOrdenes[[#This Row],[cod_actividad]]="","",_xlfn.XLOOKUP(tblOrdenes[[#This Row],[cod_actividad]],tblActividades[codigo],tblActividades[descripcion],"(sin catálogo)"))</f>
        <v/>
      </c>
      <c r="AA309" s="12">
        <f>IF(tblOrdenes[[#This Row],[fecha_inicio]]="","",TODAY()-tblOrdenes[[#This Row],[fecha_inicio]])</f>
        <v/>
      </c>
      <c r="AB3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3">
        <f>IF(tblOrdenes[[#This Row],[backlog_habiles]]="","",IF(tblOrdenes[[#This Row],[backlog_habiles]]&lt;0,"FUTURO",IF(tblOrdenes[[#This Row],[backlog_habiles]]&gt;p_dias_backlog_max,"BACKLOG","MES CORRIENTE")))</f>
        <v/>
      </c>
      <c r="AD309" s="3">
        <f>IF(tblOrdenes[[#This Row],[backlog_habiles]]="",FALSE,AND(tblOrdenes[[#This Row],[backlog_habiles]]&gt;p_dias_backlog_min,tblOrdenes[[#This Row],[backlog_habiles]]&lt;=p_dias_backlog_max))</f>
        <v/>
      </c>
      <c r="AE309" s="6" t="n"/>
      <c r="AF3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0">
        <f>IF(tblOrdenes[[#This Row],[orden]]="","",_xlfn.XLOOKUP(tblOrdenes[[#This Row],[id_operacion]],tblEjecucion[id_operacion],tblEjecucion[precio],0))</f>
        <v/>
      </c>
      <c r="AJ309" s="10">
        <f>IF(tblOrdenes[[#This Row],[orden]]="","",MAX(0,_xlfn.XLOOKUP(tblOrdenes[[#This Row],[id_operacion]],tblEjecucion[id_operacion],tblEjecucion[costo_plan_total],0)-tblOrdenes[[#This Row],[costo_servicio]]))</f>
        <v/>
      </c>
      <c r="AK309" s="10">
        <f>IF(tblOrdenes[[#This Row],[orden]]="","",tblOrdenes[[#This Row],[costo_servicio]]+tblOrdenes[[#This Row],[costo_materiales]])</f>
        <v/>
      </c>
      <c r="AL309" s="6" t="n"/>
      <c r="AM309" s="6" t="n"/>
      <c r="AN309" s="6" t="n"/>
      <c r="AO309" s="3">
        <f>IF(tblOrdenes[[#This Row],[link_checklist]]="","",HYPERLINK(p_ruta_base_checklists&amp;tblOrdenes[[#This Row],[link_checklist]],"abrir"))</f>
        <v/>
      </c>
      <c r="AP309" s="6" t="n"/>
      <c r="AQ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3">
        <f>IF(tblOrdenes[[#This Row],[tipo_ot]]="","",_xlfn.XLOOKUP(tblOrdenes[[#This Row],[tipo_ot]],tblTiposOT[codigo],tblTiposOT[clasificacion],"sin_clasificar"))</f>
        <v/>
      </c>
      <c r="U310" s="3">
        <f>IF(tblOrdenes[[#This Row],[centro_costo]]="","",_xlfn.XLOOKUP(tblOrdenes[[#This Row],[centro_costo]],tblCECO[codigo],tblCECO[linea],"(sin catálogo)"))</f>
        <v/>
      </c>
      <c r="V310" s="3">
        <f>IF(tblOrdenes[[#This Row],[centro_costo]]="","",_xlfn.XLOOKUP(tblOrdenes[[#This Row],[centro_costo]],tblCECO[codigo],tblCECO[area],"(sin catálogo)"))</f>
        <v/>
      </c>
      <c r="W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3">
        <f>IF(tblOrdenes[[#This Row],[centro_costo]]="","",_xlfn.XLOOKUP(tblOrdenes[[#This Row],[centro_costo]],tblCECO[codigo],tblCECO[coordinador],"(sin catálogo)"))</f>
        <v/>
      </c>
      <c r="Y310" s="3">
        <f>IF(tblOrdenes[[#This Row],[puesto_trabajo]]="","",_xlfn.XLOOKUP(tblOrdenes[[#This Row],[puesto_trabajo]],tblPuestos[codigo],tblPuestos[especialidad],"(sin catálogo)"))</f>
        <v/>
      </c>
      <c r="Z310" s="3">
        <f>IF(tblOrdenes[[#This Row],[cod_actividad]]="","",_xlfn.XLOOKUP(tblOrdenes[[#This Row],[cod_actividad]],tblActividades[codigo],tblActividades[descripcion],"(sin catálogo)"))</f>
        <v/>
      </c>
      <c r="AA310" s="12">
        <f>IF(tblOrdenes[[#This Row],[fecha_inicio]]="","",TODAY()-tblOrdenes[[#This Row],[fecha_inicio]])</f>
        <v/>
      </c>
      <c r="AB3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3">
        <f>IF(tblOrdenes[[#This Row],[backlog_habiles]]="","",IF(tblOrdenes[[#This Row],[backlog_habiles]]&lt;0,"FUTURO",IF(tblOrdenes[[#This Row],[backlog_habiles]]&gt;p_dias_backlog_max,"BACKLOG","MES CORRIENTE")))</f>
        <v/>
      </c>
      <c r="AD310" s="3">
        <f>IF(tblOrdenes[[#This Row],[backlog_habiles]]="",FALSE,AND(tblOrdenes[[#This Row],[backlog_habiles]]&gt;p_dias_backlog_min,tblOrdenes[[#This Row],[backlog_habiles]]&lt;=p_dias_backlog_max))</f>
        <v/>
      </c>
      <c r="AE310" s="6" t="n"/>
      <c r="AF3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0">
        <f>IF(tblOrdenes[[#This Row],[orden]]="","",_xlfn.XLOOKUP(tblOrdenes[[#This Row],[id_operacion]],tblEjecucion[id_operacion],tblEjecucion[precio],0))</f>
        <v/>
      </c>
      <c r="AJ310" s="10">
        <f>IF(tblOrdenes[[#This Row],[orden]]="","",MAX(0,_xlfn.XLOOKUP(tblOrdenes[[#This Row],[id_operacion]],tblEjecucion[id_operacion],tblEjecucion[costo_plan_total],0)-tblOrdenes[[#This Row],[costo_servicio]]))</f>
        <v/>
      </c>
      <c r="AK310" s="10">
        <f>IF(tblOrdenes[[#This Row],[orden]]="","",tblOrdenes[[#This Row],[costo_servicio]]+tblOrdenes[[#This Row],[costo_materiales]])</f>
        <v/>
      </c>
      <c r="AL310" s="6" t="n"/>
      <c r="AM310" s="6" t="n"/>
      <c r="AN310" s="6" t="n"/>
      <c r="AO310" s="3">
        <f>IF(tblOrdenes[[#This Row],[link_checklist]]="","",HYPERLINK(p_ruta_base_checklists&amp;tblOrdenes[[#This Row],[link_checklist]],"abrir"))</f>
        <v/>
      </c>
      <c r="AP310" s="6" t="n"/>
      <c r="AQ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3">
        <f>IF(tblOrdenes[[#This Row],[tipo_ot]]="","",_xlfn.XLOOKUP(tblOrdenes[[#This Row],[tipo_ot]],tblTiposOT[codigo],tblTiposOT[clasificacion],"sin_clasificar"))</f>
        <v/>
      </c>
      <c r="U311" s="3">
        <f>IF(tblOrdenes[[#This Row],[centro_costo]]="","",_xlfn.XLOOKUP(tblOrdenes[[#This Row],[centro_costo]],tblCECO[codigo],tblCECO[linea],"(sin catálogo)"))</f>
        <v/>
      </c>
      <c r="V311" s="3">
        <f>IF(tblOrdenes[[#This Row],[centro_costo]]="","",_xlfn.XLOOKUP(tblOrdenes[[#This Row],[centro_costo]],tblCECO[codigo],tblCECO[area],"(sin catálogo)"))</f>
        <v/>
      </c>
      <c r="W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3">
        <f>IF(tblOrdenes[[#This Row],[centro_costo]]="","",_xlfn.XLOOKUP(tblOrdenes[[#This Row],[centro_costo]],tblCECO[codigo],tblCECO[coordinador],"(sin catálogo)"))</f>
        <v/>
      </c>
      <c r="Y311" s="3">
        <f>IF(tblOrdenes[[#This Row],[puesto_trabajo]]="","",_xlfn.XLOOKUP(tblOrdenes[[#This Row],[puesto_trabajo]],tblPuestos[codigo],tblPuestos[especialidad],"(sin catálogo)"))</f>
        <v/>
      </c>
      <c r="Z311" s="3">
        <f>IF(tblOrdenes[[#This Row],[cod_actividad]]="","",_xlfn.XLOOKUP(tblOrdenes[[#This Row],[cod_actividad]],tblActividades[codigo],tblActividades[descripcion],"(sin catálogo)"))</f>
        <v/>
      </c>
      <c r="AA311" s="12">
        <f>IF(tblOrdenes[[#This Row],[fecha_inicio]]="","",TODAY()-tblOrdenes[[#This Row],[fecha_inicio]])</f>
        <v/>
      </c>
      <c r="AB3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3">
        <f>IF(tblOrdenes[[#This Row],[backlog_habiles]]="","",IF(tblOrdenes[[#This Row],[backlog_habiles]]&lt;0,"FUTURO",IF(tblOrdenes[[#This Row],[backlog_habiles]]&gt;p_dias_backlog_max,"BACKLOG","MES CORRIENTE")))</f>
        <v/>
      </c>
      <c r="AD311" s="3">
        <f>IF(tblOrdenes[[#This Row],[backlog_habiles]]="",FALSE,AND(tblOrdenes[[#This Row],[backlog_habiles]]&gt;p_dias_backlog_min,tblOrdenes[[#This Row],[backlog_habiles]]&lt;=p_dias_backlog_max))</f>
        <v/>
      </c>
      <c r="AE311" s="6" t="n"/>
      <c r="AF3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0">
        <f>IF(tblOrdenes[[#This Row],[orden]]="","",_xlfn.XLOOKUP(tblOrdenes[[#This Row],[id_operacion]],tblEjecucion[id_operacion],tblEjecucion[precio],0))</f>
        <v/>
      </c>
      <c r="AJ311" s="10">
        <f>IF(tblOrdenes[[#This Row],[orden]]="","",MAX(0,_xlfn.XLOOKUP(tblOrdenes[[#This Row],[id_operacion]],tblEjecucion[id_operacion],tblEjecucion[costo_plan_total],0)-tblOrdenes[[#This Row],[costo_servicio]]))</f>
        <v/>
      </c>
      <c r="AK311" s="10">
        <f>IF(tblOrdenes[[#This Row],[orden]]="","",tblOrdenes[[#This Row],[costo_servicio]]+tblOrdenes[[#This Row],[costo_materiales]])</f>
        <v/>
      </c>
      <c r="AL311" s="6" t="n"/>
      <c r="AM311" s="6" t="n"/>
      <c r="AN311" s="6" t="n"/>
      <c r="AO311" s="3">
        <f>IF(tblOrdenes[[#This Row],[link_checklist]]="","",HYPERLINK(p_ruta_base_checklists&amp;tblOrdenes[[#This Row],[link_checklist]],"abrir"))</f>
        <v/>
      </c>
      <c r="AP311" s="6" t="n"/>
      <c r="AQ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3">
        <f>IF(tblOrdenes[[#This Row],[tipo_ot]]="","",_xlfn.XLOOKUP(tblOrdenes[[#This Row],[tipo_ot]],tblTiposOT[codigo],tblTiposOT[clasificacion],"sin_clasificar"))</f>
        <v/>
      </c>
      <c r="U312" s="3">
        <f>IF(tblOrdenes[[#This Row],[centro_costo]]="","",_xlfn.XLOOKUP(tblOrdenes[[#This Row],[centro_costo]],tblCECO[codigo],tblCECO[linea],"(sin catálogo)"))</f>
        <v/>
      </c>
      <c r="V312" s="3">
        <f>IF(tblOrdenes[[#This Row],[centro_costo]]="","",_xlfn.XLOOKUP(tblOrdenes[[#This Row],[centro_costo]],tblCECO[codigo],tblCECO[area],"(sin catálogo)"))</f>
        <v/>
      </c>
      <c r="W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3">
        <f>IF(tblOrdenes[[#This Row],[centro_costo]]="","",_xlfn.XLOOKUP(tblOrdenes[[#This Row],[centro_costo]],tblCECO[codigo],tblCECO[coordinador],"(sin catálogo)"))</f>
        <v/>
      </c>
      <c r="Y312" s="3">
        <f>IF(tblOrdenes[[#This Row],[puesto_trabajo]]="","",_xlfn.XLOOKUP(tblOrdenes[[#This Row],[puesto_trabajo]],tblPuestos[codigo],tblPuestos[especialidad],"(sin catálogo)"))</f>
        <v/>
      </c>
      <c r="Z312" s="3">
        <f>IF(tblOrdenes[[#This Row],[cod_actividad]]="","",_xlfn.XLOOKUP(tblOrdenes[[#This Row],[cod_actividad]],tblActividades[codigo],tblActividades[descripcion],"(sin catálogo)"))</f>
        <v/>
      </c>
      <c r="AA312" s="12">
        <f>IF(tblOrdenes[[#This Row],[fecha_inicio]]="","",TODAY()-tblOrdenes[[#This Row],[fecha_inicio]])</f>
        <v/>
      </c>
      <c r="AB3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3">
        <f>IF(tblOrdenes[[#This Row],[backlog_habiles]]="","",IF(tblOrdenes[[#This Row],[backlog_habiles]]&lt;0,"FUTURO",IF(tblOrdenes[[#This Row],[backlog_habiles]]&gt;p_dias_backlog_max,"BACKLOG","MES CORRIENTE")))</f>
        <v/>
      </c>
      <c r="AD312" s="3">
        <f>IF(tblOrdenes[[#This Row],[backlog_habiles]]="",FALSE,AND(tblOrdenes[[#This Row],[backlog_habiles]]&gt;p_dias_backlog_min,tblOrdenes[[#This Row],[backlog_habiles]]&lt;=p_dias_backlog_max))</f>
        <v/>
      </c>
      <c r="AE312" s="6" t="n"/>
      <c r="AF3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0">
        <f>IF(tblOrdenes[[#This Row],[orden]]="","",_xlfn.XLOOKUP(tblOrdenes[[#This Row],[id_operacion]],tblEjecucion[id_operacion],tblEjecucion[precio],0))</f>
        <v/>
      </c>
      <c r="AJ312" s="10">
        <f>IF(tblOrdenes[[#This Row],[orden]]="","",MAX(0,_xlfn.XLOOKUP(tblOrdenes[[#This Row],[id_operacion]],tblEjecucion[id_operacion],tblEjecucion[costo_plan_total],0)-tblOrdenes[[#This Row],[costo_servicio]]))</f>
        <v/>
      </c>
      <c r="AK312" s="10">
        <f>IF(tblOrdenes[[#This Row],[orden]]="","",tblOrdenes[[#This Row],[costo_servicio]]+tblOrdenes[[#This Row],[costo_materiales]])</f>
        <v/>
      </c>
      <c r="AL312" s="6" t="n"/>
      <c r="AM312" s="6" t="n"/>
      <c r="AN312" s="6" t="n"/>
      <c r="AO312" s="3">
        <f>IF(tblOrdenes[[#This Row],[link_checklist]]="","",HYPERLINK(p_ruta_base_checklists&amp;tblOrdenes[[#This Row],[link_checklist]],"abrir"))</f>
        <v/>
      </c>
      <c r="AP312" s="6" t="n"/>
      <c r="AQ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3">
        <f>IF(tblOrdenes[[#This Row],[tipo_ot]]="","",_xlfn.XLOOKUP(tblOrdenes[[#This Row],[tipo_ot]],tblTiposOT[codigo],tblTiposOT[clasificacion],"sin_clasificar"))</f>
        <v/>
      </c>
      <c r="U313" s="3">
        <f>IF(tblOrdenes[[#This Row],[centro_costo]]="","",_xlfn.XLOOKUP(tblOrdenes[[#This Row],[centro_costo]],tblCECO[codigo],tblCECO[linea],"(sin catálogo)"))</f>
        <v/>
      </c>
      <c r="V313" s="3">
        <f>IF(tblOrdenes[[#This Row],[centro_costo]]="","",_xlfn.XLOOKUP(tblOrdenes[[#This Row],[centro_costo]],tblCECO[codigo],tblCECO[area],"(sin catálogo)"))</f>
        <v/>
      </c>
      <c r="W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3">
        <f>IF(tblOrdenes[[#This Row],[centro_costo]]="","",_xlfn.XLOOKUP(tblOrdenes[[#This Row],[centro_costo]],tblCECO[codigo],tblCECO[coordinador],"(sin catálogo)"))</f>
        <v/>
      </c>
      <c r="Y313" s="3">
        <f>IF(tblOrdenes[[#This Row],[puesto_trabajo]]="","",_xlfn.XLOOKUP(tblOrdenes[[#This Row],[puesto_trabajo]],tblPuestos[codigo],tblPuestos[especialidad],"(sin catálogo)"))</f>
        <v/>
      </c>
      <c r="Z313" s="3">
        <f>IF(tblOrdenes[[#This Row],[cod_actividad]]="","",_xlfn.XLOOKUP(tblOrdenes[[#This Row],[cod_actividad]],tblActividades[codigo],tblActividades[descripcion],"(sin catálogo)"))</f>
        <v/>
      </c>
      <c r="AA313" s="12">
        <f>IF(tblOrdenes[[#This Row],[fecha_inicio]]="","",TODAY()-tblOrdenes[[#This Row],[fecha_inicio]])</f>
        <v/>
      </c>
      <c r="AB3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3">
        <f>IF(tblOrdenes[[#This Row],[backlog_habiles]]="","",IF(tblOrdenes[[#This Row],[backlog_habiles]]&lt;0,"FUTURO",IF(tblOrdenes[[#This Row],[backlog_habiles]]&gt;p_dias_backlog_max,"BACKLOG","MES CORRIENTE")))</f>
        <v/>
      </c>
      <c r="AD313" s="3">
        <f>IF(tblOrdenes[[#This Row],[backlog_habiles]]="",FALSE,AND(tblOrdenes[[#This Row],[backlog_habiles]]&gt;p_dias_backlog_min,tblOrdenes[[#This Row],[backlog_habiles]]&lt;=p_dias_backlog_max))</f>
        <v/>
      </c>
      <c r="AE313" s="6" t="n"/>
      <c r="AF3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0">
        <f>IF(tblOrdenes[[#This Row],[orden]]="","",_xlfn.XLOOKUP(tblOrdenes[[#This Row],[id_operacion]],tblEjecucion[id_operacion],tblEjecucion[precio],0))</f>
        <v/>
      </c>
      <c r="AJ313" s="10">
        <f>IF(tblOrdenes[[#This Row],[orden]]="","",MAX(0,_xlfn.XLOOKUP(tblOrdenes[[#This Row],[id_operacion]],tblEjecucion[id_operacion],tblEjecucion[costo_plan_total],0)-tblOrdenes[[#This Row],[costo_servicio]]))</f>
        <v/>
      </c>
      <c r="AK313" s="10">
        <f>IF(tblOrdenes[[#This Row],[orden]]="","",tblOrdenes[[#This Row],[costo_servicio]]+tblOrdenes[[#This Row],[costo_materiales]])</f>
        <v/>
      </c>
      <c r="AL313" s="6" t="n"/>
      <c r="AM313" s="6" t="n"/>
      <c r="AN313" s="6" t="n"/>
      <c r="AO313" s="3">
        <f>IF(tblOrdenes[[#This Row],[link_checklist]]="","",HYPERLINK(p_ruta_base_checklists&amp;tblOrdenes[[#This Row],[link_checklist]],"abrir"))</f>
        <v/>
      </c>
      <c r="AP313" s="6" t="n"/>
      <c r="AQ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3">
        <f>IF(tblOrdenes[[#This Row],[tipo_ot]]="","",_xlfn.XLOOKUP(tblOrdenes[[#This Row],[tipo_ot]],tblTiposOT[codigo],tblTiposOT[clasificacion],"sin_clasificar"))</f>
        <v/>
      </c>
      <c r="U314" s="3">
        <f>IF(tblOrdenes[[#This Row],[centro_costo]]="","",_xlfn.XLOOKUP(tblOrdenes[[#This Row],[centro_costo]],tblCECO[codigo],tblCECO[linea],"(sin catálogo)"))</f>
        <v/>
      </c>
      <c r="V314" s="3">
        <f>IF(tblOrdenes[[#This Row],[centro_costo]]="","",_xlfn.XLOOKUP(tblOrdenes[[#This Row],[centro_costo]],tblCECO[codigo],tblCECO[area],"(sin catálogo)"))</f>
        <v/>
      </c>
      <c r="W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3">
        <f>IF(tblOrdenes[[#This Row],[centro_costo]]="","",_xlfn.XLOOKUP(tblOrdenes[[#This Row],[centro_costo]],tblCECO[codigo],tblCECO[coordinador],"(sin catálogo)"))</f>
        <v/>
      </c>
      <c r="Y314" s="3">
        <f>IF(tblOrdenes[[#This Row],[puesto_trabajo]]="","",_xlfn.XLOOKUP(tblOrdenes[[#This Row],[puesto_trabajo]],tblPuestos[codigo],tblPuestos[especialidad],"(sin catálogo)"))</f>
        <v/>
      </c>
      <c r="Z314" s="3">
        <f>IF(tblOrdenes[[#This Row],[cod_actividad]]="","",_xlfn.XLOOKUP(tblOrdenes[[#This Row],[cod_actividad]],tblActividades[codigo],tblActividades[descripcion],"(sin catálogo)"))</f>
        <v/>
      </c>
      <c r="AA314" s="12">
        <f>IF(tblOrdenes[[#This Row],[fecha_inicio]]="","",TODAY()-tblOrdenes[[#This Row],[fecha_inicio]])</f>
        <v/>
      </c>
      <c r="AB3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3">
        <f>IF(tblOrdenes[[#This Row],[backlog_habiles]]="","",IF(tblOrdenes[[#This Row],[backlog_habiles]]&lt;0,"FUTURO",IF(tblOrdenes[[#This Row],[backlog_habiles]]&gt;p_dias_backlog_max,"BACKLOG","MES CORRIENTE")))</f>
        <v/>
      </c>
      <c r="AD314" s="3">
        <f>IF(tblOrdenes[[#This Row],[backlog_habiles]]="",FALSE,AND(tblOrdenes[[#This Row],[backlog_habiles]]&gt;p_dias_backlog_min,tblOrdenes[[#This Row],[backlog_habiles]]&lt;=p_dias_backlog_max))</f>
        <v/>
      </c>
      <c r="AE314" s="6" t="n"/>
      <c r="AF3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0">
        <f>IF(tblOrdenes[[#This Row],[orden]]="","",_xlfn.XLOOKUP(tblOrdenes[[#This Row],[id_operacion]],tblEjecucion[id_operacion],tblEjecucion[precio],0))</f>
        <v/>
      </c>
      <c r="AJ314" s="10">
        <f>IF(tblOrdenes[[#This Row],[orden]]="","",MAX(0,_xlfn.XLOOKUP(tblOrdenes[[#This Row],[id_operacion]],tblEjecucion[id_operacion],tblEjecucion[costo_plan_total],0)-tblOrdenes[[#This Row],[costo_servicio]]))</f>
        <v/>
      </c>
      <c r="AK314" s="10">
        <f>IF(tblOrdenes[[#This Row],[orden]]="","",tblOrdenes[[#This Row],[costo_servicio]]+tblOrdenes[[#This Row],[costo_materiales]])</f>
        <v/>
      </c>
      <c r="AL314" s="6" t="n"/>
      <c r="AM314" s="6" t="n"/>
      <c r="AN314" s="6" t="n"/>
      <c r="AO314" s="3">
        <f>IF(tblOrdenes[[#This Row],[link_checklist]]="","",HYPERLINK(p_ruta_base_checklists&amp;tblOrdenes[[#This Row],[link_checklist]],"abrir"))</f>
        <v/>
      </c>
      <c r="AP314" s="6" t="n"/>
      <c r="AQ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3">
        <f>IF(tblOrdenes[[#This Row],[tipo_ot]]="","",_xlfn.XLOOKUP(tblOrdenes[[#This Row],[tipo_ot]],tblTiposOT[codigo],tblTiposOT[clasificacion],"sin_clasificar"))</f>
        <v/>
      </c>
      <c r="U315" s="3">
        <f>IF(tblOrdenes[[#This Row],[centro_costo]]="","",_xlfn.XLOOKUP(tblOrdenes[[#This Row],[centro_costo]],tblCECO[codigo],tblCECO[linea],"(sin catálogo)"))</f>
        <v/>
      </c>
      <c r="V315" s="3">
        <f>IF(tblOrdenes[[#This Row],[centro_costo]]="","",_xlfn.XLOOKUP(tblOrdenes[[#This Row],[centro_costo]],tblCECO[codigo],tblCECO[area],"(sin catálogo)"))</f>
        <v/>
      </c>
      <c r="W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3">
        <f>IF(tblOrdenes[[#This Row],[centro_costo]]="","",_xlfn.XLOOKUP(tblOrdenes[[#This Row],[centro_costo]],tblCECO[codigo],tblCECO[coordinador],"(sin catálogo)"))</f>
        <v/>
      </c>
      <c r="Y315" s="3">
        <f>IF(tblOrdenes[[#This Row],[puesto_trabajo]]="","",_xlfn.XLOOKUP(tblOrdenes[[#This Row],[puesto_trabajo]],tblPuestos[codigo],tblPuestos[especialidad],"(sin catálogo)"))</f>
        <v/>
      </c>
      <c r="Z315" s="3">
        <f>IF(tblOrdenes[[#This Row],[cod_actividad]]="","",_xlfn.XLOOKUP(tblOrdenes[[#This Row],[cod_actividad]],tblActividades[codigo],tblActividades[descripcion],"(sin catálogo)"))</f>
        <v/>
      </c>
      <c r="AA315" s="12">
        <f>IF(tblOrdenes[[#This Row],[fecha_inicio]]="","",TODAY()-tblOrdenes[[#This Row],[fecha_inicio]])</f>
        <v/>
      </c>
      <c r="AB3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3">
        <f>IF(tblOrdenes[[#This Row],[backlog_habiles]]="","",IF(tblOrdenes[[#This Row],[backlog_habiles]]&lt;0,"FUTURO",IF(tblOrdenes[[#This Row],[backlog_habiles]]&gt;p_dias_backlog_max,"BACKLOG","MES CORRIENTE")))</f>
        <v/>
      </c>
      <c r="AD315" s="3">
        <f>IF(tblOrdenes[[#This Row],[backlog_habiles]]="",FALSE,AND(tblOrdenes[[#This Row],[backlog_habiles]]&gt;p_dias_backlog_min,tblOrdenes[[#This Row],[backlog_habiles]]&lt;=p_dias_backlog_max))</f>
        <v/>
      </c>
      <c r="AE315" s="6" t="n"/>
      <c r="AF3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0">
        <f>IF(tblOrdenes[[#This Row],[orden]]="","",_xlfn.XLOOKUP(tblOrdenes[[#This Row],[id_operacion]],tblEjecucion[id_operacion],tblEjecucion[precio],0))</f>
        <v/>
      </c>
      <c r="AJ315" s="10">
        <f>IF(tblOrdenes[[#This Row],[orden]]="","",MAX(0,_xlfn.XLOOKUP(tblOrdenes[[#This Row],[id_operacion]],tblEjecucion[id_operacion],tblEjecucion[costo_plan_total],0)-tblOrdenes[[#This Row],[costo_servicio]]))</f>
        <v/>
      </c>
      <c r="AK315" s="10">
        <f>IF(tblOrdenes[[#This Row],[orden]]="","",tblOrdenes[[#This Row],[costo_servicio]]+tblOrdenes[[#This Row],[costo_materiales]])</f>
        <v/>
      </c>
      <c r="AL315" s="6" t="n"/>
      <c r="AM315" s="6" t="n"/>
      <c r="AN315" s="6" t="n"/>
      <c r="AO315" s="3">
        <f>IF(tblOrdenes[[#This Row],[link_checklist]]="","",HYPERLINK(p_ruta_base_checklists&amp;tblOrdenes[[#This Row],[link_checklist]],"abrir"))</f>
        <v/>
      </c>
      <c r="AP315" s="6" t="n"/>
      <c r="AQ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3">
        <f>IF(tblOrdenes[[#This Row],[tipo_ot]]="","",_xlfn.XLOOKUP(tblOrdenes[[#This Row],[tipo_ot]],tblTiposOT[codigo],tblTiposOT[clasificacion],"sin_clasificar"))</f>
        <v/>
      </c>
      <c r="U316" s="3">
        <f>IF(tblOrdenes[[#This Row],[centro_costo]]="","",_xlfn.XLOOKUP(tblOrdenes[[#This Row],[centro_costo]],tblCECO[codigo],tblCECO[linea],"(sin catálogo)"))</f>
        <v/>
      </c>
      <c r="V316" s="3">
        <f>IF(tblOrdenes[[#This Row],[centro_costo]]="","",_xlfn.XLOOKUP(tblOrdenes[[#This Row],[centro_costo]],tblCECO[codigo],tblCECO[area],"(sin catálogo)"))</f>
        <v/>
      </c>
      <c r="W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3">
        <f>IF(tblOrdenes[[#This Row],[centro_costo]]="","",_xlfn.XLOOKUP(tblOrdenes[[#This Row],[centro_costo]],tblCECO[codigo],tblCECO[coordinador],"(sin catálogo)"))</f>
        <v/>
      </c>
      <c r="Y316" s="3">
        <f>IF(tblOrdenes[[#This Row],[puesto_trabajo]]="","",_xlfn.XLOOKUP(tblOrdenes[[#This Row],[puesto_trabajo]],tblPuestos[codigo],tblPuestos[especialidad],"(sin catálogo)"))</f>
        <v/>
      </c>
      <c r="Z316" s="3">
        <f>IF(tblOrdenes[[#This Row],[cod_actividad]]="","",_xlfn.XLOOKUP(tblOrdenes[[#This Row],[cod_actividad]],tblActividades[codigo],tblActividades[descripcion],"(sin catálogo)"))</f>
        <v/>
      </c>
      <c r="AA316" s="12">
        <f>IF(tblOrdenes[[#This Row],[fecha_inicio]]="","",TODAY()-tblOrdenes[[#This Row],[fecha_inicio]])</f>
        <v/>
      </c>
      <c r="AB3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3">
        <f>IF(tblOrdenes[[#This Row],[backlog_habiles]]="","",IF(tblOrdenes[[#This Row],[backlog_habiles]]&lt;0,"FUTURO",IF(tblOrdenes[[#This Row],[backlog_habiles]]&gt;p_dias_backlog_max,"BACKLOG","MES CORRIENTE")))</f>
        <v/>
      </c>
      <c r="AD316" s="3">
        <f>IF(tblOrdenes[[#This Row],[backlog_habiles]]="",FALSE,AND(tblOrdenes[[#This Row],[backlog_habiles]]&gt;p_dias_backlog_min,tblOrdenes[[#This Row],[backlog_habiles]]&lt;=p_dias_backlog_max))</f>
        <v/>
      </c>
      <c r="AE316" s="6" t="n"/>
      <c r="AF3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0">
        <f>IF(tblOrdenes[[#This Row],[orden]]="","",_xlfn.XLOOKUP(tblOrdenes[[#This Row],[id_operacion]],tblEjecucion[id_operacion],tblEjecucion[precio],0))</f>
        <v/>
      </c>
      <c r="AJ316" s="10">
        <f>IF(tblOrdenes[[#This Row],[orden]]="","",MAX(0,_xlfn.XLOOKUP(tblOrdenes[[#This Row],[id_operacion]],tblEjecucion[id_operacion],tblEjecucion[costo_plan_total],0)-tblOrdenes[[#This Row],[costo_servicio]]))</f>
        <v/>
      </c>
      <c r="AK316" s="10">
        <f>IF(tblOrdenes[[#This Row],[orden]]="","",tblOrdenes[[#This Row],[costo_servicio]]+tblOrdenes[[#This Row],[costo_materiales]])</f>
        <v/>
      </c>
      <c r="AL316" s="6" t="n"/>
      <c r="AM316" s="6" t="n"/>
      <c r="AN316" s="6" t="n"/>
      <c r="AO316" s="3">
        <f>IF(tblOrdenes[[#This Row],[link_checklist]]="","",HYPERLINK(p_ruta_base_checklists&amp;tblOrdenes[[#This Row],[link_checklist]],"abrir"))</f>
        <v/>
      </c>
      <c r="AP316" s="6" t="n"/>
      <c r="AQ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3">
        <f>IF(tblOrdenes[[#This Row],[tipo_ot]]="","",_xlfn.XLOOKUP(tblOrdenes[[#This Row],[tipo_ot]],tblTiposOT[codigo],tblTiposOT[clasificacion],"sin_clasificar"))</f>
        <v/>
      </c>
      <c r="U317" s="3">
        <f>IF(tblOrdenes[[#This Row],[centro_costo]]="","",_xlfn.XLOOKUP(tblOrdenes[[#This Row],[centro_costo]],tblCECO[codigo],tblCECO[linea],"(sin catálogo)"))</f>
        <v/>
      </c>
      <c r="V317" s="3">
        <f>IF(tblOrdenes[[#This Row],[centro_costo]]="","",_xlfn.XLOOKUP(tblOrdenes[[#This Row],[centro_costo]],tblCECO[codigo],tblCECO[area],"(sin catálogo)"))</f>
        <v/>
      </c>
      <c r="W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3">
        <f>IF(tblOrdenes[[#This Row],[centro_costo]]="","",_xlfn.XLOOKUP(tblOrdenes[[#This Row],[centro_costo]],tblCECO[codigo],tblCECO[coordinador],"(sin catálogo)"))</f>
        <v/>
      </c>
      <c r="Y317" s="3">
        <f>IF(tblOrdenes[[#This Row],[puesto_trabajo]]="","",_xlfn.XLOOKUP(tblOrdenes[[#This Row],[puesto_trabajo]],tblPuestos[codigo],tblPuestos[especialidad],"(sin catálogo)"))</f>
        <v/>
      </c>
      <c r="Z317" s="3">
        <f>IF(tblOrdenes[[#This Row],[cod_actividad]]="","",_xlfn.XLOOKUP(tblOrdenes[[#This Row],[cod_actividad]],tblActividades[codigo],tblActividades[descripcion],"(sin catálogo)"))</f>
        <v/>
      </c>
      <c r="AA317" s="12">
        <f>IF(tblOrdenes[[#This Row],[fecha_inicio]]="","",TODAY()-tblOrdenes[[#This Row],[fecha_inicio]])</f>
        <v/>
      </c>
      <c r="AB3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3">
        <f>IF(tblOrdenes[[#This Row],[backlog_habiles]]="","",IF(tblOrdenes[[#This Row],[backlog_habiles]]&lt;0,"FUTURO",IF(tblOrdenes[[#This Row],[backlog_habiles]]&gt;p_dias_backlog_max,"BACKLOG","MES CORRIENTE")))</f>
        <v/>
      </c>
      <c r="AD317" s="3">
        <f>IF(tblOrdenes[[#This Row],[backlog_habiles]]="",FALSE,AND(tblOrdenes[[#This Row],[backlog_habiles]]&gt;p_dias_backlog_min,tblOrdenes[[#This Row],[backlog_habiles]]&lt;=p_dias_backlog_max))</f>
        <v/>
      </c>
      <c r="AE317" s="6" t="n"/>
      <c r="AF3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0">
        <f>IF(tblOrdenes[[#This Row],[orden]]="","",_xlfn.XLOOKUP(tblOrdenes[[#This Row],[id_operacion]],tblEjecucion[id_operacion],tblEjecucion[precio],0))</f>
        <v/>
      </c>
      <c r="AJ317" s="10">
        <f>IF(tblOrdenes[[#This Row],[orden]]="","",MAX(0,_xlfn.XLOOKUP(tblOrdenes[[#This Row],[id_operacion]],tblEjecucion[id_operacion],tblEjecucion[costo_plan_total],0)-tblOrdenes[[#This Row],[costo_servicio]]))</f>
        <v/>
      </c>
      <c r="AK317" s="10">
        <f>IF(tblOrdenes[[#This Row],[orden]]="","",tblOrdenes[[#This Row],[costo_servicio]]+tblOrdenes[[#This Row],[costo_materiales]])</f>
        <v/>
      </c>
      <c r="AL317" s="6" t="n"/>
      <c r="AM317" s="6" t="n"/>
      <c r="AN317" s="6" t="n"/>
      <c r="AO317" s="3">
        <f>IF(tblOrdenes[[#This Row],[link_checklist]]="","",HYPERLINK(p_ruta_base_checklists&amp;tblOrdenes[[#This Row],[link_checklist]],"abrir"))</f>
        <v/>
      </c>
      <c r="AP317" s="6" t="n"/>
      <c r="AQ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3">
        <f>IF(tblOrdenes[[#This Row],[tipo_ot]]="","",_xlfn.XLOOKUP(tblOrdenes[[#This Row],[tipo_ot]],tblTiposOT[codigo],tblTiposOT[clasificacion],"sin_clasificar"))</f>
        <v/>
      </c>
      <c r="U318" s="3">
        <f>IF(tblOrdenes[[#This Row],[centro_costo]]="","",_xlfn.XLOOKUP(tblOrdenes[[#This Row],[centro_costo]],tblCECO[codigo],tblCECO[linea],"(sin catálogo)"))</f>
        <v/>
      </c>
      <c r="V318" s="3">
        <f>IF(tblOrdenes[[#This Row],[centro_costo]]="","",_xlfn.XLOOKUP(tblOrdenes[[#This Row],[centro_costo]],tblCECO[codigo],tblCECO[area],"(sin catálogo)"))</f>
        <v/>
      </c>
      <c r="W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3">
        <f>IF(tblOrdenes[[#This Row],[centro_costo]]="","",_xlfn.XLOOKUP(tblOrdenes[[#This Row],[centro_costo]],tblCECO[codigo],tblCECO[coordinador],"(sin catálogo)"))</f>
        <v/>
      </c>
      <c r="Y318" s="3">
        <f>IF(tblOrdenes[[#This Row],[puesto_trabajo]]="","",_xlfn.XLOOKUP(tblOrdenes[[#This Row],[puesto_trabajo]],tblPuestos[codigo],tblPuestos[especialidad],"(sin catálogo)"))</f>
        <v/>
      </c>
      <c r="Z318" s="3">
        <f>IF(tblOrdenes[[#This Row],[cod_actividad]]="","",_xlfn.XLOOKUP(tblOrdenes[[#This Row],[cod_actividad]],tblActividades[codigo],tblActividades[descripcion],"(sin catálogo)"))</f>
        <v/>
      </c>
      <c r="AA318" s="12">
        <f>IF(tblOrdenes[[#This Row],[fecha_inicio]]="","",TODAY()-tblOrdenes[[#This Row],[fecha_inicio]])</f>
        <v/>
      </c>
      <c r="AB3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3">
        <f>IF(tblOrdenes[[#This Row],[backlog_habiles]]="","",IF(tblOrdenes[[#This Row],[backlog_habiles]]&lt;0,"FUTURO",IF(tblOrdenes[[#This Row],[backlog_habiles]]&gt;p_dias_backlog_max,"BACKLOG","MES CORRIENTE")))</f>
        <v/>
      </c>
      <c r="AD318" s="3">
        <f>IF(tblOrdenes[[#This Row],[backlog_habiles]]="",FALSE,AND(tblOrdenes[[#This Row],[backlog_habiles]]&gt;p_dias_backlog_min,tblOrdenes[[#This Row],[backlog_habiles]]&lt;=p_dias_backlog_max))</f>
        <v/>
      </c>
      <c r="AE318" s="6" t="n"/>
      <c r="AF3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0">
        <f>IF(tblOrdenes[[#This Row],[orden]]="","",_xlfn.XLOOKUP(tblOrdenes[[#This Row],[id_operacion]],tblEjecucion[id_operacion],tblEjecucion[precio],0))</f>
        <v/>
      </c>
      <c r="AJ318" s="10">
        <f>IF(tblOrdenes[[#This Row],[orden]]="","",MAX(0,_xlfn.XLOOKUP(tblOrdenes[[#This Row],[id_operacion]],tblEjecucion[id_operacion],tblEjecucion[costo_plan_total],0)-tblOrdenes[[#This Row],[costo_servicio]]))</f>
        <v/>
      </c>
      <c r="AK318" s="10">
        <f>IF(tblOrdenes[[#This Row],[orden]]="","",tblOrdenes[[#This Row],[costo_servicio]]+tblOrdenes[[#This Row],[costo_materiales]])</f>
        <v/>
      </c>
      <c r="AL318" s="6" t="n"/>
      <c r="AM318" s="6" t="n"/>
      <c r="AN318" s="6" t="n"/>
      <c r="AO318" s="3">
        <f>IF(tblOrdenes[[#This Row],[link_checklist]]="","",HYPERLINK(p_ruta_base_checklists&amp;tblOrdenes[[#This Row],[link_checklist]],"abrir"))</f>
        <v/>
      </c>
      <c r="AP318" s="6" t="n"/>
      <c r="AQ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3">
        <f>IF(tblOrdenes[[#This Row],[tipo_ot]]="","",_xlfn.XLOOKUP(tblOrdenes[[#This Row],[tipo_ot]],tblTiposOT[codigo],tblTiposOT[clasificacion],"sin_clasificar"))</f>
        <v/>
      </c>
      <c r="U319" s="3">
        <f>IF(tblOrdenes[[#This Row],[centro_costo]]="","",_xlfn.XLOOKUP(tblOrdenes[[#This Row],[centro_costo]],tblCECO[codigo],tblCECO[linea],"(sin catálogo)"))</f>
        <v/>
      </c>
      <c r="V319" s="3">
        <f>IF(tblOrdenes[[#This Row],[centro_costo]]="","",_xlfn.XLOOKUP(tblOrdenes[[#This Row],[centro_costo]],tblCECO[codigo],tblCECO[area],"(sin catálogo)"))</f>
        <v/>
      </c>
      <c r="W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3">
        <f>IF(tblOrdenes[[#This Row],[centro_costo]]="","",_xlfn.XLOOKUP(tblOrdenes[[#This Row],[centro_costo]],tblCECO[codigo],tblCECO[coordinador],"(sin catálogo)"))</f>
        <v/>
      </c>
      <c r="Y319" s="3">
        <f>IF(tblOrdenes[[#This Row],[puesto_trabajo]]="","",_xlfn.XLOOKUP(tblOrdenes[[#This Row],[puesto_trabajo]],tblPuestos[codigo],tblPuestos[especialidad],"(sin catálogo)"))</f>
        <v/>
      </c>
      <c r="Z319" s="3">
        <f>IF(tblOrdenes[[#This Row],[cod_actividad]]="","",_xlfn.XLOOKUP(tblOrdenes[[#This Row],[cod_actividad]],tblActividades[codigo],tblActividades[descripcion],"(sin catálogo)"))</f>
        <v/>
      </c>
      <c r="AA319" s="12">
        <f>IF(tblOrdenes[[#This Row],[fecha_inicio]]="","",TODAY()-tblOrdenes[[#This Row],[fecha_inicio]])</f>
        <v/>
      </c>
      <c r="AB3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3">
        <f>IF(tblOrdenes[[#This Row],[backlog_habiles]]="","",IF(tblOrdenes[[#This Row],[backlog_habiles]]&lt;0,"FUTURO",IF(tblOrdenes[[#This Row],[backlog_habiles]]&gt;p_dias_backlog_max,"BACKLOG","MES CORRIENTE")))</f>
        <v/>
      </c>
      <c r="AD319" s="3">
        <f>IF(tblOrdenes[[#This Row],[backlog_habiles]]="",FALSE,AND(tblOrdenes[[#This Row],[backlog_habiles]]&gt;p_dias_backlog_min,tblOrdenes[[#This Row],[backlog_habiles]]&lt;=p_dias_backlog_max))</f>
        <v/>
      </c>
      <c r="AE319" s="6" t="n"/>
      <c r="AF3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0">
        <f>IF(tblOrdenes[[#This Row],[orden]]="","",_xlfn.XLOOKUP(tblOrdenes[[#This Row],[id_operacion]],tblEjecucion[id_operacion],tblEjecucion[precio],0))</f>
        <v/>
      </c>
      <c r="AJ319" s="10">
        <f>IF(tblOrdenes[[#This Row],[orden]]="","",MAX(0,_xlfn.XLOOKUP(tblOrdenes[[#This Row],[id_operacion]],tblEjecucion[id_operacion],tblEjecucion[costo_plan_total],0)-tblOrdenes[[#This Row],[costo_servicio]]))</f>
        <v/>
      </c>
      <c r="AK319" s="10">
        <f>IF(tblOrdenes[[#This Row],[orden]]="","",tblOrdenes[[#This Row],[costo_servicio]]+tblOrdenes[[#This Row],[costo_materiales]])</f>
        <v/>
      </c>
      <c r="AL319" s="6" t="n"/>
      <c r="AM319" s="6" t="n"/>
      <c r="AN319" s="6" t="n"/>
      <c r="AO319" s="3">
        <f>IF(tblOrdenes[[#This Row],[link_checklist]]="","",HYPERLINK(p_ruta_base_checklists&amp;tblOrdenes[[#This Row],[link_checklist]],"abrir"))</f>
        <v/>
      </c>
      <c r="AP319" s="6" t="n"/>
      <c r="AQ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3">
        <f>IF(tblOrdenes[[#This Row],[tipo_ot]]="","",_xlfn.XLOOKUP(tblOrdenes[[#This Row],[tipo_ot]],tblTiposOT[codigo],tblTiposOT[clasificacion],"sin_clasificar"))</f>
        <v/>
      </c>
      <c r="U320" s="3">
        <f>IF(tblOrdenes[[#This Row],[centro_costo]]="","",_xlfn.XLOOKUP(tblOrdenes[[#This Row],[centro_costo]],tblCECO[codigo],tblCECO[linea],"(sin catálogo)"))</f>
        <v/>
      </c>
      <c r="V320" s="3">
        <f>IF(tblOrdenes[[#This Row],[centro_costo]]="","",_xlfn.XLOOKUP(tblOrdenes[[#This Row],[centro_costo]],tblCECO[codigo],tblCECO[area],"(sin catálogo)"))</f>
        <v/>
      </c>
      <c r="W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3">
        <f>IF(tblOrdenes[[#This Row],[centro_costo]]="","",_xlfn.XLOOKUP(tblOrdenes[[#This Row],[centro_costo]],tblCECO[codigo],tblCECO[coordinador],"(sin catálogo)"))</f>
        <v/>
      </c>
      <c r="Y320" s="3">
        <f>IF(tblOrdenes[[#This Row],[puesto_trabajo]]="","",_xlfn.XLOOKUP(tblOrdenes[[#This Row],[puesto_trabajo]],tblPuestos[codigo],tblPuestos[especialidad],"(sin catálogo)"))</f>
        <v/>
      </c>
      <c r="Z320" s="3">
        <f>IF(tblOrdenes[[#This Row],[cod_actividad]]="","",_xlfn.XLOOKUP(tblOrdenes[[#This Row],[cod_actividad]],tblActividades[codigo],tblActividades[descripcion],"(sin catálogo)"))</f>
        <v/>
      </c>
      <c r="AA320" s="12">
        <f>IF(tblOrdenes[[#This Row],[fecha_inicio]]="","",TODAY()-tblOrdenes[[#This Row],[fecha_inicio]])</f>
        <v/>
      </c>
      <c r="AB3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3">
        <f>IF(tblOrdenes[[#This Row],[backlog_habiles]]="","",IF(tblOrdenes[[#This Row],[backlog_habiles]]&lt;0,"FUTURO",IF(tblOrdenes[[#This Row],[backlog_habiles]]&gt;p_dias_backlog_max,"BACKLOG","MES CORRIENTE")))</f>
        <v/>
      </c>
      <c r="AD320" s="3">
        <f>IF(tblOrdenes[[#This Row],[backlog_habiles]]="",FALSE,AND(tblOrdenes[[#This Row],[backlog_habiles]]&gt;p_dias_backlog_min,tblOrdenes[[#This Row],[backlog_habiles]]&lt;=p_dias_backlog_max))</f>
        <v/>
      </c>
      <c r="AE320" s="6" t="n"/>
      <c r="AF3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0">
        <f>IF(tblOrdenes[[#This Row],[orden]]="","",_xlfn.XLOOKUP(tblOrdenes[[#This Row],[id_operacion]],tblEjecucion[id_operacion],tblEjecucion[precio],0))</f>
        <v/>
      </c>
      <c r="AJ320" s="10">
        <f>IF(tblOrdenes[[#This Row],[orden]]="","",MAX(0,_xlfn.XLOOKUP(tblOrdenes[[#This Row],[id_operacion]],tblEjecucion[id_operacion],tblEjecucion[costo_plan_total],0)-tblOrdenes[[#This Row],[costo_servicio]]))</f>
        <v/>
      </c>
      <c r="AK320" s="10">
        <f>IF(tblOrdenes[[#This Row],[orden]]="","",tblOrdenes[[#This Row],[costo_servicio]]+tblOrdenes[[#This Row],[costo_materiales]])</f>
        <v/>
      </c>
      <c r="AL320" s="6" t="n"/>
      <c r="AM320" s="6" t="n"/>
      <c r="AN320" s="6" t="n"/>
      <c r="AO320" s="3">
        <f>IF(tblOrdenes[[#This Row],[link_checklist]]="","",HYPERLINK(p_ruta_base_checklists&amp;tblOrdenes[[#This Row],[link_checklist]],"abrir"))</f>
        <v/>
      </c>
      <c r="AP320" s="6" t="n"/>
      <c r="AQ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3">
        <f>IF(tblOrdenes[[#This Row],[tipo_ot]]="","",_xlfn.XLOOKUP(tblOrdenes[[#This Row],[tipo_ot]],tblTiposOT[codigo],tblTiposOT[clasificacion],"sin_clasificar"))</f>
        <v/>
      </c>
      <c r="U321" s="3">
        <f>IF(tblOrdenes[[#This Row],[centro_costo]]="","",_xlfn.XLOOKUP(tblOrdenes[[#This Row],[centro_costo]],tblCECO[codigo],tblCECO[linea],"(sin catálogo)"))</f>
        <v/>
      </c>
      <c r="V321" s="3">
        <f>IF(tblOrdenes[[#This Row],[centro_costo]]="","",_xlfn.XLOOKUP(tblOrdenes[[#This Row],[centro_costo]],tblCECO[codigo],tblCECO[area],"(sin catálogo)"))</f>
        <v/>
      </c>
      <c r="W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3">
        <f>IF(tblOrdenes[[#This Row],[centro_costo]]="","",_xlfn.XLOOKUP(tblOrdenes[[#This Row],[centro_costo]],tblCECO[codigo],tblCECO[coordinador],"(sin catálogo)"))</f>
        <v/>
      </c>
      <c r="Y321" s="3">
        <f>IF(tblOrdenes[[#This Row],[puesto_trabajo]]="","",_xlfn.XLOOKUP(tblOrdenes[[#This Row],[puesto_trabajo]],tblPuestos[codigo],tblPuestos[especialidad],"(sin catálogo)"))</f>
        <v/>
      </c>
      <c r="Z321" s="3">
        <f>IF(tblOrdenes[[#This Row],[cod_actividad]]="","",_xlfn.XLOOKUP(tblOrdenes[[#This Row],[cod_actividad]],tblActividades[codigo],tblActividades[descripcion],"(sin catálogo)"))</f>
        <v/>
      </c>
      <c r="AA321" s="12">
        <f>IF(tblOrdenes[[#This Row],[fecha_inicio]]="","",TODAY()-tblOrdenes[[#This Row],[fecha_inicio]])</f>
        <v/>
      </c>
      <c r="AB3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3">
        <f>IF(tblOrdenes[[#This Row],[backlog_habiles]]="","",IF(tblOrdenes[[#This Row],[backlog_habiles]]&lt;0,"FUTURO",IF(tblOrdenes[[#This Row],[backlog_habiles]]&gt;p_dias_backlog_max,"BACKLOG","MES CORRIENTE")))</f>
        <v/>
      </c>
      <c r="AD321" s="3">
        <f>IF(tblOrdenes[[#This Row],[backlog_habiles]]="",FALSE,AND(tblOrdenes[[#This Row],[backlog_habiles]]&gt;p_dias_backlog_min,tblOrdenes[[#This Row],[backlog_habiles]]&lt;=p_dias_backlog_max))</f>
        <v/>
      </c>
      <c r="AE321" s="6" t="n"/>
      <c r="AF3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0">
        <f>IF(tblOrdenes[[#This Row],[orden]]="","",_xlfn.XLOOKUP(tblOrdenes[[#This Row],[id_operacion]],tblEjecucion[id_operacion],tblEjecucion[precio],0))</f>
        <v/>
      </c>
      <c r="AJ321" s="10">
        <f>IF(tblOrdenes[[#This Row],[orden]]="","",MAX(0,_xlfn.XLOOKUP(tblOrdenes[[#This Row],[id_operacion]],tblEjecucion[id_operacion],tblEjecucion[costo_plan_total],0)-tblOrdenes[[#This Row],[costo_servicio]]))</f>
        <v/>
      </c>
      <c r="AK321" s="10">
        <f>IF(tblOrdenes[[#This Row],[orden]]="","",tblOrdenes[[#This Row],[costo_servicio]]+tblOrdenes[[#This Row],[costo_materiales]])</f>
        <v/>
      </c>
      <c r="AL321" s="6" t="n"/>
      <c r="AM321" s="6" t="n"/>
      <c r="AN321" s="6" t="n"/>
      <c r="AO321" s="3">
        <f>IF(tblOrdenes[[#This Row],[link_checklist]]="","",HYPERLINK(p_ruta_base_checklists&amp;tblOrdenes[[#This Row],[link_checklist]],"abrir"))</f>
        <v/>
      </c>
      <c r="AP321" s="6" t="n"/>
      <c r="AQ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3">
        <f>IF(tblOrdenes[[#This Row],[tipo_ot]]="","",_xlfn.XLOOKUP(tblOrdenes[[#This Row],[tipo_ot]],tblTiposOT[codigo],tblTiposOT[clasificacion],"sin_clasificar"))</f>
        <v/>
      </c>
      <c r="U322" s="3">
        <f>IF(tblOrdenes[[#This Row],[centro_costo]]="","",_xlfn.XLOOKUP(tblOrdenes[[#This Row],[centro_costo]],tblCECO[codigo],tblCECO[linea],"(sin catálogo)"))</f>
        <v/>
      </c>
      <c r="V322" s="3">
        <f>IF(tblOrdenes[[#This Row],[centro_costo]]="","",_xlfn.XLOOKUP(tblOrdenes[[#This Row],[centro_costo]],tblCECO[codigo],tblCECO[area],"(sin catálogo)"))</f>
        <v/>
      </c>
      <c r="W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3">
        <f>IF(tblOrdenes[[#This Row],[centro_costo]]="","",_xlfn.XLOOKUP(tblOrdenes[[#This Row],[centro_costo]],tblCECO[codigo],tblCECO[coordinador],"(sin catálogo)"))</f>
        <v/>
      </c>
      <c r="Y322" s="3">
        <f>IF(tblOrdenes[[#This Row],[puesto_trabajo]]="","",_xlfn.XLOOKUP(tblOrdenes[[#This Row],[puesto_trabajo]],tblPuestos[codigo],tblPuestos[especialidad],"(sin catálogo)"))</f>
        <v/>
      </c>
      <c r="Z322" s="3">
        <f>IF(tblOrdenes[[#This Row],[cod_actividad]]="","",_xlfn.XLOOKUP(tblOrdenes[[#This Row],[cod_actividad]],tblActividades[codigo],tblActividades[descripcion],"(sin catálogo)"))</f>
        <v/>
      </c>
      <c r="AA322" s="12">
        <f>IF(tblOrdenes[[#This Row],[fecha_inicio]]="","",TODAY()-tblOrdenes[[#This Row],[fecha_inicio]])</f>
        <v/>
      </c>
      <c r="AB3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3">
        <f>IF(tblOrdenes[[#This Row],[backlog_habiles]]="","",IF(tblOrdenes[[#This Row],[backlog_habiles]]&lt;0,"FUTURO",IF(tblOrdenes[[#This Row],[backlog_habiles]]&gt;p_dias_backlog_max,"BACKLOG","MES CORRIENTE")))</f>
        <v/>
      </c>
      <c r="AD322" s="3">
        <f>IF(tblOrdenes[[#This Row],[backlog_habiles]]="",FALSE,AND(tblOrdenes[[#This Row],[backlog_habiles]]&gt;p_dias_backlog_min,tblOrdenes[[#This Row],[backlog_habiles]]&lt;=p_dias_backlog_max))</f>
        <v/>
      </c>
      <c r="AE322" s="6" t="n"/>
      <c r="AF3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0">
        <f>IF(tblOrdenes[[#This Row],[orden]]="","",_xlfn.XLOOKUP(tblOrdenes[[#This Row],[id_operacion]],tblEjecucion[id_operacion],tblEjecucion[precio],0))</f>
        <v/>
      </c>
      <c r="AJ322" s="10">
        <f>IF(tblOrdenes[[#This Row],[orden]]="","",MAX(0,_xlfn.XLOOKUP(tblOrdenes[[#This Row],[id_operacion]],tblEjecucion[id_operacion],tblEjecucion[costo_plan_total],0)-tblOrdenes[[#This Row],[costo_servicio]]))</f>
        <v/>
      </c>
      <c r="AK322" s="10">
        <f>IF(tblOrdenes[[#This Row],[orden]]="","",tblOrdenes[[#This Row],[costo_servicio]]+tblOrdenes[[#This Row],[costo_materiales]])</f>
        <v/>
      </c>
      <c r="AL322" s="6" t="n"/>
      <c r="AM322" s="6" t="n"/>
      <c r="AN322" s="6" t="n"/>
      <c r="AO322" s="3">
        <f>IF(tblOrdenes[[#This Row],[link_checklist]]="","",HYPERLINK(p_ruta_base_checklists&amp;tblOrdenes[[#This Row],[link_checklist]],"abrir"))</f>
        <v/>
      </c>
      <c r="AP322" s="6" t="n"/>
      <c r="AQ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3">
        <f>IF(tblOrdenes[[#This Row],[tipo_ot]]="","",_xlfn.XLOOKUP(tblOrdenes[[#This Row],[tipo_ot]],tblTiposOT[codigo],tblTiposOT[clasificacion],"sin_clasificar"))</f>
        <v/>
      </c>
      <c r="U323" s="3">
        <f>IF(tblOrdenes[[#This Row],[centro_costo]]="","",_xlfn.XLOOKUP(tblOrdenes[[#This Row],[centro_costo]],tblCECO[codigo],tblCECO[linea],"(sin catálogo)"))</f>
        <v/>
      </c>
      <c r="V323" s="3">
        <f>IF(tblOrdenes[[#This Row],[centro_costo]]="","",_xlfn.XLOOKUP(tblOrdenes[[#This Row],[centro_costo]],tblCECO[codigo],tblCECO[area],"(sin catálogo)"))</f>
        <v/>
      </c>
      <c r="W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3">
        <f>IF(tblOrdenes[[#This Row],[centro_costo]]="","",_xlfn.XLOOKUP(tblOrdenes[[#This Row],[centro_costo]],tblCECO[codigo],tblCECO[coordinador],"(sin catálogo)"))</f>
        <v/>
      </c>
      <c r="Y323" s="3">
        <f>IF(tblOrdenes[[#This Row],[puesto_trabajo]]="","",_xlfn.XLOOKUP(tblOrdenes[[#This Row],[puesto_trabajo]],tblPuestos[codigo],tblPuestos[especialidad],"(sin catálogo)"))</f>
        <v/>
      </c>
      <c r="Z323" s="3">
        <f>IF(tblOrdenes[[#This Row],[cod_actividad]]="","",_xlfn.XLOOKUP(tblOrdenes[[#This Row],[cod_actividad]],tblActividades[codigo],tblActividades[descripcion],"(sin catálogo)"))</f>
        <v/>
      </c>
      <c r="AA323" s="12">
        <f>IF(tblOrdenes[[#This Row],[fecha_inicio]]="","",TODAY()-tblOrdenes[[#This Row],[fecha_inicio]])</f>
        <v/>
      </c>
      <c r="AB3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3">
        <f>IF(tblOrdenes[[#This Row],[backlog_habiles]]="","",IF(tblOrdenes[[#This Row],[backlog_habiles]]&lt;0,"FUTURO",IF(tblOrdenes[[#This Row],[backlog_habiles]]&gt;p_dias_backlog_max,"BACKLOG","MES CORRIENTE")))</f>
        <v/>
      </c>
      <c r="AD323" s="3">
        <f>IF(tblOrdenes[[#This Row],[backlog_habiles]]="",FALSE,AND(tblOrdenes[[#This Row],[backlog_habiles]]&gt;p_dias_backlog_min,tblOrdenes[[#This Row],[backlog_habiles]]&lt;=p_dias_backlog_max))</f>
        <v/>
      </c>
      <c r="AE323" s="6" t="n"/>
      <c r="AF3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0">
        <f>IF(tblOrdenes[[#This Row],[orden]]="","",_xlfn.XLOOKUP(tblOrdenes[[#This Row],[id_operacion]],tblEjecucion[id_operacion],tblEjecucion[precio],0))</f>
        <v/>
      </c>
      <c r="AJ323" s="10">
        <f>IF(tblOrdenes[[#This Row],[orden]]="","",MAX(0,_xlfn.XLOOKUP(tblOrdenes[[#This Row],[id_operacion]],tblEjecucion[id_operacion],tblEjecucion[costo_plan_total],0)-tblOrdenes[[#This Row],[costo_servicio]]))</f>
        <v/>
      </c>
      <c r="AK323" s="10">
        <f>IF(tblOrdenes[[#This Row],[orden]]="","",tblOrdenes[[#This Row],[costo_servicio]]+tblOrdenes[[#This Row],[costo_materiales]])</f>
        <v/>
      </c>
      <c r="AL323" s="6" t="n"/>
      <c r="AM323" s="6" t="n"/>
      <c r="AN323" s="6" t="n"/>
      <c r="AO323" s="3">
        <f>IF(tblOrdenes[[#This Row],[link_checklist]]="","",HYPERLINK(p_ruta_base_checklists&amp;tblOrdenes[[#This Row],[link_checklist]],"abrir"))</f>
        <v/>
      </c>
      <c r="AP323" s="6" t="n"/>
      <c r="AQ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3">
        <f>IF(tblOrdenes[[#This Row],[tipo_ot]]="","",_xlfn.XLOOKUP(tblOrdenes[[#This Row],[tipo_ot]],tblTiposOT[codigo],tblTiposOT[clasificacion],"sin_clasificar"))</f>
        <v/>
      </c>
      <c r="U324" s="3">
        <f>IF(tblOrdenes[[#This Row],[centro_costo]]="","",_xlfn.XLOOKUP(tblOrdenes[[#This Row],[centro_costo]],tblCECO[codigo],tblCECO[linea],"(sin catálogo)"))</f>
        <v/>
      </c>
      <c r="V324" s="3">
        <f>IF(tblOrdenes[[#This Row],[centro_costo]]="","",_xlfn.XLOOKUP(tblOrdenes[[#This Row],[centro_costo]],tblCECO[codigo],tblCECO[area],"(sin catálogo)"))</f>
        <v/>
      </c>
      <c r="W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3">
        <f>IF(tblOrdenes[[#This Row],[centro_costo]]="","",_xlfn.XLOOKUP(tblOrdenes[[#This Row],[centro_costo]],tblCECO[codigo],tblCECO[coordinador],"(sin catálogo)"))</f>
        <v/>
      </c>
      <c r="Y324" s="3">
        <f>IF(tblOrdenes[[#This Row],[puesto_trabajo]]="","",_xlfn.XLOOKUP(tblOrdenes[[#This Row],[puesto_trabajo]],tblPuestos[codigo],tblPuestos[especialidad],"(sin catálogo)"))</f>
        <v/>
      </c>
      <c r="Z324" s="3">
        <f>IF(tblOrdenes[[#This Row],[cod_actividad]]="","",_xlfn.XLOOKUP(tblOrdenes[[#This Row],[cod_actividad]],tblActividades[codigo],tblActividades[descripcion],"(sin catálogo)"))</f>
        <v/>
      </c>
      <c r="AA324" s="12">
        <f>IF(tblOrdenes[[#This Row],[fecha_inicio]]="","",TODAY()-tblOrdenes[[#This Row],[fecha_inicio]])</f>
        <v/>
      </c>
      <c r="AB3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3">
        <f>IF(tblOrdenes[[#This Row],[backlog_habiles]]="","",IF(tblOrdenes[[#This Row],[backlog_habiles]]&lt;0,"FUTURO",IF(tblOrdenes[[#This Row],[backlog_habiles]]&gt;p_dias_backlog_max,"BACKLOG","MES CORRIENTE")))</f>
        <v/>
      </c>
      <c r="AD324" s="3">
        <f>IF(tblOrdenes[[#This Row],[backlog_habiles]]="",FALSE,AND(tblOrdenes[[#This Row],[backlog_habiles]]&gt;p_dias_backlog_min,tblOrdenes[[#This Row],[backlog_habiles]]&lt;=p_dias_backlog_max))</f>
        <v/>
      </c>
      <c r="AE324" s="6" t="n"/>
      <c r="AF3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0">
        <f>IF(tblOrdenes[[#This Row],[orden]]="","",_xlfn.XLOOKUP(tblOrdenes[[#This Row],[id_operacion]],tblEjecucion[id_operacion],tblEjecucion[precio],0))</f>
        <v/>
      </c>
      <c r="AJ324" s="10">
        <f>IF(tblOrdenes[[#This Row],[orden]]="","",MAX(0,_xlfn.XLOOKUP(tblOrdenes[[#This Row],[id_operacion]],tblEjecucion[id_operacion],tblEjecucion[costo_plan_total],0)-tblOrdenes[[#This Row],[costo_servicio]]))</f>
        <v/>
      </c>
      <c r="AK324" s="10">
        <f>IF(tblOrdenes[[#This Row],[orden]]="","",tblOrdenes[[#This Row],[costo_servicio]]+tblOrdenes[[#This Row],[costo_materiales]])</f>
        <v/>
      </c>
      <c r="AL324" s="6" t="n"/>
      <c r="AM324" s="6" t="n"/>
      <c r="AN324" s="6" t="n"/>
      <c r="AO324" s="3">
        <f>IF(tblOrdenes[[#This Row],[link_checklist]]="","",HYPERLINK(p_ruta_base_checklists&amp;tblOrdenes[[#This Row],[link_checklist]],"abrir"))</f>
        <v/>
      </c>
      <c r="AP324" s="6" t="n"/>
      <c r="AQ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3">
        <f>IF(tblOrdenes[[#This Row],[tipo_ot]]="","",_xlfn.XLOOKUP(tblOrdenes[[#This Row],[tipo_ot]],tblTiposOT[codigo],tblTiposOT[clasificacion],"sin_clasificar"))</f>
        <v/>
      </c>
      <c r="U325" s="3">
        <f>IF(tblOrdenes[[#This Row],[centro_costo]]="","",_xlfn.XLOOKUP(tblOrdenes[[#This Row],[centro_costo]],tblCECO[codigo],tblCECO[linea],"(sin catálogo)"))</f>
        <v/>
      </c>
      <c r="V325" s="3">
        <f>IF(tblOrdenes[[#This Row],[centro_costo]]="","",_xlfn.XLOOKUP(tblOrdenes[[#This Row],[centro_costo]],tblCECO[codigo],tblCECO[area],"(sin catálogo)"))</f>
        <v/>
      </c>
      <c r="W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3">
        <f>IF(tblOrdenes[[#This Row],[centro_costo]]="","",_xlfn.XLOOKUP(tblOrdenes[[#This Row],[centro_costo]],tblCECO[codigo],tblCECO[coordinador],"(sin catálogo)"))</f>
        <v/>
      </c>
      <c r="Y325" s="3">
        <f>IF(tblOrdenes[[#This Row],[puesto_trabajo]]="","",_xlfn.XLOOKUP(tblOrdenes[[#This Row],[puesto_trabajo]],tblPuestos[codigo],tblPuestos[especialidad],"(sin catálogo)"))</f>
        <v/>
      </c>
      <c r="Z325" s="3">
        <f>IF(tblOrdenes[[#This Row],[cod_actividad]]="","",_xlfn.XLOOKUP(tblOrdenes[[#This Row],[cod_actividad]],tblActividades[codigo],tblActividades[descripcion],"(sin catálogo)"))</f>
        <v/>
      </c>
      <c r="AA325" s="12">
        <f>IF(tblOrdenes[[#This Row],[fecha_inicio]]="","",TODAY()-tblOrdenes[[#This Row],[fecha_inicio]])</f>
        <v/>
      </c>
      <c r="AB3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3">
        <f>IF(tblOrdenes[[#This Row],[backlog_habiles]]="","",IF(tblOrdenes[[#This Row],[backlog_habiles]]&lt;0,"FUTURO",IF(tblOrdenes[[#This Row],[backlog_habiles]]&gt;p_dias_backlog_max,"BACKLOG","MES CORRIENTE")))</f>
        <v/>
      </c>
      <c r="AD325" s="3">
        <f>IF(tblOrdenes[[#This Row],[backlog_habiles]]="",FALSE,AND(tblOrdenes[[#This Row],[backlog_habiles]]&gt;p_dias_backlog_min,tblOrdenes[[#This Row],[backlog_habiles]]&lt;=p_dias_backlog_max))</f>
        <v/>
      </c>
      <c r="AE325" s="6" t="n"/>
      <c r="AF3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0">
        <f>IF(tblOrdenes[[#This Row],[orden]]="","",_xlfn.XLOOKUP(tblOrdenes[[#This Row],[id_operacion]],tblEjecucion[id_operacion],tblEjecucion[precio],0))</f>
        <v/>
      </c>
      <c r="AJ325" s="10">
        <f>IF(tblOrdenes[[#This Row],[orden]]="","",MAX(0,_xlfn.XLOOKUP(tblOrdenes[[#This Row],[id_operacion]],tblEjecucion[id_operacion],tblEjecucion[costo_plan_total],0)-tblOrdenes[[#This Row],[costo_servicio]]))</f>
        <v/>
      </c>
      <c r="AK325" s="10">
        <f>IF(tblOrdenes[[#This Row],[orden]]="","",tblOrdenes[[#This Row],[costo_servicio]]+tblOrdenes[[#This Row],[costo_materiales]])</f>
        <v/>
      </c>
      <c r="AL325" s="6" t="n"/>
      <c r="AM325" s="6" t="n"/>
      <c r="AN325" s="6" t="n"/>
      <c r="AO325" s="3">
        <f>IF(tblOrdenes[[#This Row],[link_checklist]]="","",HYPERLINK(p_ruta_base_checklists&amp;tblOrdenes[[#This Row],[link_checklist]],"abrir"))</f>
        <v/>
      </c>
      <c r="AP325" s="6" t="n"/>
      <c r="AQ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3">
        <f>IF(tblOrdenes[[#This Row],[tipo_ot]]="","",_xlfn.XLOOKUP(tblOrdenes[[#This Row],[tipo_ot]],tblTiposOT[codigo],tblTiposOT[clasificacion],"sin_clasificar"))</f>
        <v/>
      </c>
      <c r="U326" s="3">
        <f>IF(tblOrdenes[[#This Row],[centro_costo]]="","",_xlfn.XLOOKUP(tblOrdenes[[#This Row],[centro_costo]],tblCECO[codigo],tblCECO[linea],"(sin catálogo)"))</f>
        <v/>
      </c>
      <c r="V326" s="3">
        <f>IF(tblOrdenes[[#This Row],[centro_costo]]="","",_xlfn.XLOOKUP(tblOrdenes[[#This Row],[centro_costo]],tblCECO[codigo],tblCECO[area],"(sin catálogo)"))</f>
        <v/>
      </c>
      <c r="W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3">
        <f>IF(tblOrdenes[[#This Row],[centro_costo]]="","",_xlfn.XLOOKUP(tblOrdenes[[#This Row],[centro_costo]],tblCECO[codigo],tblCECO[coordinador],"(sin catálogo)"))</f>
        <v/>
      </c>
      <c r="Y326" s="3">
        <f>IF(tblOrdenes[[#This Row],[puesto_trabajo]]="","",_xlfn.XLOOKUP(tblOrdenes[[#This Row],[puesto_trabajo]],tblPuestos[codigo],tblPuestos[especialidad],"(sin catálogo)"))</f>
        <v/>
      </c>
      <c r="Z326" s="3">
        <f>IF(tblOrdenes[[#This Row],[cod_actividad]]="","",_xlfn.XLOOKUP(tblOrdenes[[#This Row],[cod_actividad]],tblActividades[codigo],tblActividades[descripcion],"(sin catálogo)"))</f>
        <v/>
      </c>
      <c r="AA326" s="12">
        <f>IF(tblOrdenes[[#This Row],[fecha_inicio]]="","",TODAY()-tblOrdenes[[#This Row],[fecha_inicio]])</f>
        <v/>
      </c>
      <c r="AB3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3">
        <f>IF(tblOrdenes[[#This Row],[backlog_habiles]]="","",IF(tblOrdenes[[#This Row],[backlog_habiles]]&lt;0,"FUTURO",IF(tblOrdenes[[#This Row],[backlog_habiles]]&gt;p_dias_backlog_max,"BACKLOG","MES CORRIENTE")))</f>
        <v/>
      </c>
      <c r="AD326" s="3">
        <f>IF(tblOrdenes[[#This Row],[backlog_habiles]]="",FALSE,AND(tblOrdenes[[#This Row],[backlog_habiles]]&gt;p_dias_backlog_min,tblOrdenes[[#This Row],[backlog_habiles]]&lt;=p_dias_backlog_max))</f>
        <v/>
      </c>
      <c r="AE326" s="6" t="n"/>
      <c r="AF3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0">
        <f>IF(tblOrdenes[[#This Row],[orden]]="","",_xlfn.XLOOKUP(tblOrdenes[[#This Row],[id_operacion]],tblEjecucion[id_operacion],tblEjecucion[precio],0))</f>
        <v/>
      </c>
      <c r="AJ326" s="10">
        <f>IF(tblOrdenes[[#This Row],[orden]]="","",MAX(0,_xlfn.XLOOKUP(tblOrdenes[[#This Row],[id_operacion]],tblEjecucion[id_operacion],tblEjecucion[costo_plan_total],0)-tblOrdenes[[#This Row],[costo_servicio]]))</f>
        <v/>
      </c>
      <c r="AK326" s="10">
        <f>IF(tblOrdenes[[#This Row],[orden]]="","",tblOrdenes[[#This Row],[costo_servicio]]+tblOrdenes[[#This Row],[costo_materiales]])</f>
        <v/>
      </c>
      <c r="AL326" s="6" t="n"/>
      <c r="AM326" s="6" t="n"/>
      <c r="AN326" s="6" t="n"/>
      <c r="AO326" s="3">
        <f>IF(tblOrdenes[[#This Row],[link_checklist]]="","",HYPERLINK(p_ruta_base_checklists&amp;tblOrdenes[[#This Row],[link_checklist]],"abrir"))</f>
        <v/>
      </c>
      <c r="AP326" s="6" t="n"/>
      <c r="AQ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3">
        <f>IF(tblOrdenes[[#This Row],[tipo_ot]]="","",_xlfn.XLOOKUP(tblOrdenes[[#This Row],[tipo_ot]],tblTiposOT[codigo],tblTiposOT[clasificacion],"sin_clasificar"))</f>
        <v/>
      </c>
      <c r="U327" s="3">
        <f>IF(tblOrdenes[[#This Row],[centro_costo]]="","",_xlfn.XLOOKUP(tblOrdenes[[#This Row],[centro_costo]],tblCECO[codigo],tblCECO[linea],"(sin catálogo)"))</f>
        <v/>
      </c>
      <c r="V327" s="3">
        <f>IF(tblOrdenes[[#This Row],[centro_costo]]="","",_xlfn.XLOOKUP(tblOrdenes[[#This Row],[centro_costo]],tblCECO[codigo],tblCECO[area],"(sin catálogo)"))</f>
        <v/>
      </c>
      <c r="W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3">
        <f>IF(tblOrdenes[[#This Row],[centro_costo]]="","",_xlfn.XLOOKUP(tblOrdenes[[#This Row],[centro_costo]],tblCECO[codigo],tblCECO[coordinador],"(sin catálogo)"))</f>
        <v/>
      </c>
      <c r="Y327" s="3">
        <f>IF(tblOrdenes[[#This Row],[puesto_trabajo]]="","",_xlfn.XLOOKUP(tblOrdenes[[#This Row],[puesto_trabajo]],tblPuestos[codigo],tblPuestos[especialidad],"(sin catálogo)"))</f>
        <v/>
      </c>
      <c r="Z327" s="3">
        <f>IF(tblOrdenes[[#This Row],[cod_actividad]]="","",_xlfn.XLOOKUP(tblOrdenes[[#This Row],[cod_actividad]],tblActividades[codigo],tblActividades[descripcion],"(sin catálogo)"))</f>
        <v/>
      </c>
      <c r="AA327" s="12">
        <f>IF(tblOrdenes[[#This Row],[fecha_inicio]]="","",TODAY()-tblOrdenes[[#This Row],[fecha_inicio]])</f>
        <v/>
      </c>
      <c r="AB3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3">
        <f>IF(tblOrdenes[[#This Row],[backlog_habiles]]="","",IF(tblOrdenes[[#This Row],[backlog_habiles]]&lt;0,"FUTURO",IF(tblOrdenes[[#This Row],[backlog_habiles]]&gt;p_dias_backlog_max,"BACKLOG","MES CORRIENTE")))</f>
        <v/>
      </c>
      <c r="AD327" s="3">
        <f>IF(tblOrdenes[[#This Row],[backlog_habiles]]="",FALSE,AND(tblOrdenes[[#This Row],[backlog_habiles]]&gt;p_dias_backlog_min,tblOrdenes[[#This Row],[backlog_habiles]]&lt;=p_dias_backlog_max))</f>
        <v/>
      </c>
      <c r="AE327" s="6" t="n"/>
      <c r="AF3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0">
        <f>IF(tblOrdenes[[#This Row],[orden]]="","",_xlfn.XLOOKUP(tblOrdenes[[#This Row],[id_operacion]],tblEjecucion[id_operacion],tblEjecucion[precio],0))</f>
        <v/>
      </c>
      <c r="AJ327" s="10">
        <f>IF(tblOrdenes[[#This Row],[orden]]="","",MAX(0,_xlfn.XLOOKUP(tblOrdenes[[#This Row],[id_operacion]],tblEjecucion[id_operacion],tblEjecucion[costo_plan_total],0)-tblOrdenes[[#This Row],[costo_servicio]]))</f>
        <v/>
      </c>
      <c r="AK327" s="10">
        <f>IF(tblOrdenes[[#This Row],[orden]]="","",tblOrdenes[[#This Row],[costo_servicio]]+tblOrdenes[[#This Row],[costo_materiales]])</f>
        <v/>
      </c>
      <c r="AL327" s="6" t="n"/>
      <c r="AM327" s="6" t="n"/>
      <c r="AN327" s="6" t="n"/>
      <c r="AO327" s="3">
        <f>IF(tblOrdenes[[#This Row],[link_checklist]]="","",HYPERLINK(p_ruta_base_checklists&amp;tblOrdenes[[#This Row],[link_checklist]],"abrir"))</f>
        <v/>
      </c>
      <c r="AP327" s="6" t="n"/>
      <c r="AQ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3">
        <f>IF(tblOrdenes[[#This Row],[tipo_ot]]="","",_xlfn.XLOOKUP(tblOrdenes[[#This Row],[tipo_ot]],tblTiposOT[codigo],tblTiposOT[clasificacion],"sin_clasificar"))</f>
        <v/>
      </c>
      <c r="U328" s="3">
        <f>IF(tblOrdenes[[#This Row],[centro_costo]]="","",_xlfn.XLOOKUP(tblOrdenes[[#This Row],[centro_costo]],tblCECO[codigo],tblCECO[linea],"(sin catálogo)"))</f>
        <v/>
      </c>
      <c r="V328" s="3">
        <f>IF(tblOrdenes[[#This Row],[centro_costo]]="","",_xlfn.XLOOKUP(tblOrdenes[[#This Row],[centro_costo]],tblCECO[codigo],tblCECO[area],"(sin catálogo)"))</f>
        <v/>
      </c>
      <c r="W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3">
        <f>IF(tblOrdenes[[#This Row],[centro_costo]]="","",_xlfn.XLOOKUP(tblOrdenes[[#This Row],[centro_costo]],tblCECO[codigo],tblCECO[coordinador],"(sin catálogo)"))</f>
        <v/>
      </c>
      <c r="Y328" s="3">
        <f>IF(tblOrdenes[[#This Row],[puesto_trabajo]]="","",_xlfn.XLOOKUP(tblOrdenes[[#This Row],[puesto_trabajo]],tblPuestos[codigo],tblPuestos[especialidad],"(sin catálogo)"))</f>
        <v/>
      </c>
      <c r="Z328" s="3">
        <f>IF(tblOrdenes[[#This Row],[cod_actividad]]="","",_xlfn.XLOOKUP(tblOrdenes[[#This Row],[cod_actividad]],tblActividades[codigo],tblActividades[descripcion],"(sin catálogo)"))</f>
        <v/>
      </c>
      <c r="AA328" s="12">
        <f>IF(tblOrdenes[[#This Row],[fecha_inicio]]="","",TODAY()-tblOrdenes[[#This Row],[fecha_inicio]])</f>
        <v/>
      </c>
      <c r="AB3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3">
        <f>IF(tblOrdenes[[#This Row],[backlog_habiles]]="","",IF(tblOrdenes[[#This Row],[backlog_habiles]]&lt;0,"FUTURO",IF(tblOrdenes[[#This Row],[backlog_habiles]]&gt;p_dias_backlog_max,"BACKLOG","MES CORRIENTE")))</f>
        <v/>
      </c>
      <c r="AD328" s="3">
        <f>IF(tblOrdenes[[#This Row],[backlog_habiles]]="",FALSE,AND(tblOrdenes[[#This Row],[backlog_habiles]]&gt;p_dias_backlog_min,tblOrdenes[[#This Row],[backlog_habiles]]&lt;=p_dias_backlog_max))</f>
        <v/>
      </c>
      <c r="AE328" s="6" t="n"/>
      <c r="AF3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0">
        <f>IF(tblOrdenes[[#This Row],[orden]]="","",_xlfn.XLOOKUP(tblOrdenes[[#This Row],[id_operacion]],tblEjecucion[id_operacion],tblEjecucion[precio],0))</f>
        <v/>
      </c>
      <c r="AJ328" s="10">
        <f>IF(tblOrdenes[[#This Row],[orden]]="","",MAX(0,_xlfn.XLOOKUP(tblOrdenes[[#This Row],[id_operacion]],tblEjecucion[id_operacion],tblEjecucion[costo_plan_total],0)-tblOrdenes[[#This Row],[costo_servicio]]))</f>
        <v/>
      </c>
      <c r="AK328" s="10">
        <f>IF(tblOrdenes[[#This Row],[orden]]="","",tblOrdenes[[#This Row],[costo_servicio]]+tblOrdenes[[#This Row],[costo_materiales]])</f>
        <v/>
      </c>
      <c r="AL328" s="6" t="n"/>
      <c r="AM328" s="6" t="n"/>
      <c r="AN328" s="6" t="n"/>
      <c r="AO328" s="3">
        <f>IF(tblOrdenes[[#This Row],[link_checklist]]="","",HYPERLINK(p_ruta_base_checklists&amp;tblOrdenes[[#This Row],[link_checklist]],"abrir"))</f>
        <v/>
      </c>
      <c r="AP328" s="6" t="n"/>
      <c r="AQ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3">
        <f>IF(tblOrdenes[[#This Row],[tipo_ot]]="","",_xlfn.XLOOKUP(tblOrdenes[[#This Row],[tipo_ot]],tblTiposOT[codigo],tblTiposOT[clasificacion],"sin_clasificar"))</f>
        <v/>
      </c>
      <c r="U329" s="3">
        <f>IF(tblOrdenes[[#This Row],[centro_costo]]="","",_xlfn.XLOOKUP(tblOrdenes[[#This Row],[centro_costo]],tblCECO[codigo],tblCECO[linea],"(sin catálogo)"))</f>
        <v/>
      </c>
      <c r="V329" s="3">
        <f>IF(tblOrdenes[[#This Row],[centro_costo]]="","",_xlfn.XLOOKUP(tblOrdenes[[#This Row],[centro_costo]],tblCECO[codigo],tblCECO[area],"(sin catálogo)"))</f>
        <v/>
      </c>
      <c r="W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3">
        <f>IF(tblOrdenes[[#This Row],[centro_costo]]="","",_xlfn.XLOOKUP(tblOrdenes[[#This Row],[centro_costo]],tblCECO[codigo],tblCECO[coordinador],"(sin catálogo)"))</f>
        <v/>
      </c>
      <c r="Y329" s="3">
        <f>IF(tblOrdenes[[#This Row],[puesto_trabajo]]="","",_xlfn.XLOOKUP(tblOrdenes[[#This Row],[puesto_trabajo]],tblPuestos[codigo],tblPuestos[especialidad],"(sin catálogo)"))</f>
        <v/>
      </c>
      <c r="Z329" s="3">
        <f>IF(tblOrdenes[[#This Row],[cod_actividad]]="","",_xlfn.XLOOKUP(tblOrdenes[[#This Row],[cod_actividad]],tblActividades[codigo],tblActividades[descripcion],"(sin catálogo)"))</f>
        <v/>
      </c>
      <c r="AA329" s="12">
        <f>IF(tblOrdenes[[#This Row],[fecha_inicio]]="","",TODAY()-tblOrdenes[[#This Row],[fecha_inicio]])</f>
        <v/>
      </c>
      <c r="AB3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3">
        <f>IF(tblOrdenes[[#This Row],[backlog_habiles]]="","",IF(tblOrdenes[[#This Row],[backlog_habiles]]&lt;0,"FUTURO",IF(tblOrdenes[[#This Row],[backlog_habiles]]&gt;p_dias_backlog_max,"BACKLOG","MES CORRIENTE")))</f>
        <v/>
      </c>
      <c r="AD329" s="3">
        <f>IF(tblOrdenes[[#This Row],[backlog_habiles]]="",FALSE,AND(tblOrdenes[[#This Row],[backlog_habiles]]&gt;p_dias_backlog_min,tblOrdenes[[#This Row],[backlog_habiles]]&lt;=p_dias_backlog_max))</f>
        <v/>
      </c>
      <c r="AE329" s="6" t="n"/>
      <c r="AF3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0">
        <f>IF(tblOrdenes[[#This Row],[orden]]="","",_xlfn.XLOOKUP(tblOrdenes[[#This Row],[id_operacion]],tblEjecucion[id_operacion],tblEjecucion[precio],0))</f>
        <v/>
      </c>
      <c r="AJ329" s="10">
        <f>IF(tblOrdenes[[#This Row],[orden]]="","",MAX(0,_xlfn.XLOOKUP(tblOrdenes[[#This Row],[id_operacion]],tblEjecucion[id_operacion],tblEjecucion[costo_plan_total],0)-tblOrdenes[[#This Row],[costo_servicio]]))</f>
        <v/>
      </c>
      <c r="AK329" s="10">
        <f>IF(tblOrdenes[[#This Row],[orden]]="","",tblOrdenes[[#This Row],[costo_servicio]]+tblOrdenes[[#This Row],[costo_materiales]])</f>
        <v/>
      </c>
      <c r="AL329" s="6" t="n"/>
      <c r="AM329" s="6" t="n"/>
      <c r="AN329" s="6" t="n"/>
      <c r="AO329" s="3">
        <f>IF(tblOrdenes[[#This Row],[link_checklist]]="","",HYPERLINK(p_ruta_base_checklists&amp;tblOrdenes[[#This Row],[link_checklist]],"abrir"))</f>
        <v/>
      </c>
      <c r="AP329" s="6" t="n"/>
      <c r="AQ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3">
        <f>IF(tblOrdenes[[#This Row],[tipo_ot]]="","",_xlfn.XLOOKUP(tblOrdenes[[#This Row],[tipo_ot]],tblTiposOT[codigo],tblTiposOT[clasificacion],"sin_clasificar"))</f>
        <v/>
      </c>
      <c r="U330" s="3">
        <f>IF(tblOrdenes[[#This Row],[centro_costo]]="","",_xlfn.XLOOKUP(tblOrdenes[[#This Row],[centro_costo]],tblCECO[codigo],tblCECO[linea],"(sin catálogo)"))</f>
        <v/>
      </c>
      <c r="V330" s="3">
        <f>IF(tblOrdenes[[#This Row],[centro_costo]]="","",_xlfn.XLOOKUP(tblOrdenes[[#This Row],[centro_costo]],tblCECO[codigo],tblCECO[area],"(sin catálogo)"))</f>
        <v/>
      </c>
      <c r="W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3">
        <f>IF(tblOrdenes[[#This Row],[centro_costo]]="","",_xlfn.XLOOKUP(tblOrdenes[[#This Row],[centro_costo]],tblCECO[codigo],tblCECO[coordinador],"(sin catálogo)"))</f>
        <v/>
      </c>
      <c r="Y330" s="3">
        <f>IF(tblOrdenes[[#This Row],[puesto_trabajo]]="","",_xlfn.XLOOKUP(tblOrdenes[[#This Row],[puesto_trabajo]],tblPuestos[codigo],tblPuestos[especialidad],"(sin catálogo)"))</f>
        <v/>
      </c>
      <c r="Z330" s="3">
        <f>IF(tblOrdenes[[#This Row],[cod_actividad]]="","",_xlfn.XLOOKUP(tblOrdenes[[#This Row],[cod_actividad]],tblActividades[codigo],tblActividades[descripcion],"(sin catálogo)"))</f>
        <v/>
      </c>
      <c r="AA330" s="12">
        <f>IF(tblOrdenes[[#This Row],[fecha_inicio]]="","",TODAY()-tblOrdenes[[#This Row],[fecha_inicio]])</f>
        <v/>
      </c>
      <c r="AB3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3">
        <f>IF(tblOrdenes[[#This Row],[backlog_habiles]]="","",IF(tblOrdenes[[#This Row],[backlog_habiles]]&lt;0,"FUTURO",IF(tblOrdenes[[#This Row],[backlog_habiles]]&gt;p_dias_backlog_max,"BACKLOG","MES CORRIENTE")))</f>
        <v/>
      </c>
      <c r="AD330" s="3">
        <f>IF(tblOrdenes[[#This Row],[backlog_habiles]]="",FALSE,AND(tblOrdenes[[#This Row],[backlog_habiles]]&gt;p_dias_backlog_min,tblOrdenes[[#This Row],[backlog_habiles]]&lt;=p_dias_backlog_max))</f>
        <v/>
      </c>
      <c r="AE330" s="6" t="n"/>
      <c r="AF3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0">
        <f>IF(tblOrdenes[[#This Row],[orden]]="","",_xlfn.XLOOKUP(tblOrdenes[[#This Row],[id_operacion]],tblEjecucion[id_operacion],tblEjecucion[precio],0))</f>
        <v/>
      </c>
      <c r="AJ330" s="10">
        <f>IF(tblOrdenes[[#This Row],[orden]]="","",MAX(0,_xlfn.XLOOKUP(tblOrdenes[[#This Row],[id_operacion]],tblEjecucion[id_operacion],tblEjecucion[costo_plan_total],0)-tblOrdenes[[#This Row],[costo_servicio]]))</f>
        <v/>
      </c>
      <c r="AK330" s="10">
        <f>IF(tblOrdenes[[#This Row],[orden]]="","",tblOrdenes[[#This Row],[costo_servicio]]+tblOrdenes[[#This Row],[costo_materiales]])</f>
        <v/>
      </c>
      <c r="AL330" s="6" t="n"/>
      <c r="AM330" s="6" t="n"/>
      <c r="AN330" s="6" t="n"/>
      <c r="AO330" s="3">
        <f>IF(tblOrdenes[[#This Row],[link_checklist]]="","",HYPERLINK(p_ruta_base_checklists&amp;tblOrdenes[[#This Row],[link_checklist]],"abrir"))</f>
        <v/>
      </c>
      <c r="AP330" s="6" t="n"/>
      <c r="AQ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3">
        <f>IF(tblOrdenes[[#This Row],[tipo_ot]]="","",_xlfn.XLOOKUP(tblOrdenes[[#This Row],[tipo_ot]],tblTiposOT[codigo],tblTiposOT[clasificacion],"sin_clasificar"))</f>
        <v/>
      </c>
      <c r="U331" s="3">
        <f>IF(tblOrdenes[[#This Row],[centro_costo]]="","",_xlfn.XLOOKUP(tblOrdenes[[#This Row],[centro_costo]],tblCECO[codigo],tblCECO[linea],"(sin catálogo)"))</f>
        <v/>
      </c>
      <c r="V331" s="3">
        <f>IF(tblOrdenes[[#This Row],[centro_costo]]="","",_xlfn.XLOOKUP(tblOrdenes[[#This Row],[centro_costo]],tblCECO[codigo],tblCECO[area],"(sin catálogo)"))</f>
        <v/>
      </c>
      <c r="W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3">
        <f>IF(tblOrdenes[[#This Row],[centro_costo]]="","",_xlfn.XLOOKUP(tblOrdenes[[#This Row],[centro_costo]],tblCECO[codigo],tblCECO[coordinador],"(sin catálogo)"))</f>
        <v/>
      </c>
      <c r="Y331" s="3">
        <f>IF(tblOrdenes[[#This Row],[puesto_trabajo]]="","",_xlfn.XLOOKUP(tblOrdenes[[#This Row],[puesto_trabajo]],tblPuestos[codigo],tblPuestos[especialidad],"(sin catálogo)"))</f>
        <v/>
      </c>
      <c r="Z331" s="3">
        <f>IF(tblOrdenes[[#This Row],[cod_actividad]]="","",_xlfn.XLOOKUP(tblOrdenes[[#This Row],[cod_actividad]],tblActividades[codigo],tblActividades[descripcion],"(sin catálogo)"))</f>
        <v/>
      </c>
      <c r="AA331" s="12">
        <f>IF(tblOrdenes[[#This Row],[fecha_inicio]]="","",TODAY()-tblOrdenes[[#This Row],[fecha_inicio]])</f>
        <v/>
      </c>
      <c r="AB3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3">
        <f>IF(tblOrdenes[[#This Row],[backlog_habiles]]="","",IF(tblOrdenes[[#This Row],[backlog_habiles]]&lt;0,"FUTURO",IF(tblOrdenes[[#This Row],[backlog_habiles]]&gt;p_dias_backlog_max,"BACKLOG","MES CORRIENTE")))</f>
        <v/>
      </c>
      <c r="AD331" s="3">
        <f>IF(tblOrdenes[[#This Row],[backlog_habiles]]="",FALSE,AND(tblOrdenes[[#This Row],[backlog_habiles]]&gt;p_dias_backlog_min,tblOrdenes[[#This Row],[backlog_habiles]]&lt;=p_dias_backlog_max))</f>
        <v/>
      </c>
      <c r="AE331" s="6" t="n"/>
      <c r="AF3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0">
        <f>IF(tblOrdenes[[#This Row],[orden]]="","",_xlfn.XLOOKUP(tblOrdenes[[#This Row],[id_operacion]],tblEjecucion[id_operacion],tblEjecucion[precio],0))</f>
        <v/>
      </c>
      <c r="AJ331" s="10">
        <f>IF(tblOrdenes[[#This Row],[orden]]="","",MAX(0,_xlfn.XLOOKUP(tblOrdenes[[#This Row],[id_operacion]],tblEjecucion[id_operacion],tblEjecucion[costo_plan_total],0)-tblOrdenes[[#This Row],[costo_servicio]]))</f>
        <v/>
      </c>
      <c r="AK331" s="10">
        <f>IF(tblOrdenes[[#This Row],[orden]]="","",tblOrdenes[[#This Row],[costo_servicio]]+tblOrdenes[[#This Row],[costo_materiales]])</f>
        <v/>
      </c>
      <c r="AL331" s="6" t="n"/>
      <c r="AM331" s="6" t="n"/>
      <c r="AN331" s="6" t="n"/>
      <c r="AO331" s="3">
        <f>IF(tblOrdenes[[#This Row],[link_checklist]]="","",HYPERLINK(p_ruta_base_checklists&amp;tblOrdenes[[#This Row],[link_checklist]],"abrir"))</f>
        <v/>
      </c>
      <c r="AP331" s="6" t="n"/>
      <c r="AQ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3">
        <f>IF(tblOrdenes[[#This Row],[tipo_ot]]="","",_xlfn.XLOOKUP(tblOrdenes[[#This Row],[tipo_ot]],tblTiposOT[codigo],tblTiposOT[clasificacion],"sin_clasificar"))</f>
        <v/>
      </c>
      <c r="U332" s="3">
        <f>IF(tblOrdenes[[#This Row],[centro_costo]]="","",_xlfn.XLOOKUP(tblOrdenes[[#This Row],[centro_costo]],tblCECO[codigo],tblCECO[linea],"(sin catálogo)"))</f>
        <v/>
      </c>
      <c r="V332" s="3">
        <f>IF(tblOrdenes[[#This Row],[centro_costo]]="","",_xlfn.XLOOKUP(tblOrdenes[[#This Row],[centro_costo]],tblCECO[codigo],tblCECO[area],"(sin catálogo)"))</f>
        <v/>
      </c>
      <c r="W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3">
        <f>IF(tblOrdenes[[#This Row],[centro_costo]]="","",_xlfn.XLOOKUP(tblOrdenes[[#This Row],[centro_costo]],tblCECO[codigo],tblCECO[coordinador],"(sin catálogo)"))</f>
        <v/>
      </c>
      <c r="Y332" s="3">
        <f>IF(tblOrdenes[[#This Row],[puesto_trabajo]]="","",_xlfn.XLOOKUP(tblOrdenes[[#This Row],[puesto_trabajo]],tblPuestos[codigo],tblPuestos[especialidad],"(sin catálogo)"))</f>
        <v/>
      </c>
      <c r="Z332" s="3">
        <f>IF(tblOrdenes[[#This Row],[cod_actividad]]="","",_xlfn.XLOOKUP(tblOrdenes[[#This Row],[cod_actividad]],tblActividades[codigo],tblActividades[descripcion],"(sin catálogo)"))</f>
        <v/>
      </c>
      <c r="AA332" s="12">
        <f>IF(tblOrdenes[[#This Row],[fecha_inicio]]="","",TODAY()-tblOrdenes[[#This Row],[fecha_inicio]])</f>
        <v/>
      </c>
      <c r="AB3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3">
        <f>IF(tblOrdenes[[#This Row],[backlog_habiles]]="","",IF(tblOrdenes[[#This Row],[backlog_habiles]]&lt;0,"FUTURO",IF(tblOrdenes[[#This Row],[backlog_habiles]]&gt;p_dias_backlog_max,"BACKLOG","MES CORRIENTE")))</f>
        <v/>
      </c>
      <c r="AD332" s="3">
        <f>IF(tblOrdenes[[#This Row],[backlog_habiles]]="",FALSE,AND(tblOrdenes[[#This Row],[backlog_habiles]]&gt;p_dias_backlog_min,tblOrdenes[[#This Row],[backlog_habiles]]&lt;=p_dias_backlog_max))</f>
        <v/>
      </c>
      <c r="AE332" s="6" t="n"/>
      <c r="AF3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0">
        <f>IF(tblOrdenes[[#This Row],[orden]]="","",_xlfn.XLOOKUP(tblOrdenes[[#This Row],[id_operacion]],tblEjecucion[id_operacion],tblEjecucion[precio],0))</f>
        <v/>
      </c>
      <c r="AJ332" s="10">
        <f>IF(tblOrdenes[[#This Row],[orden]]="","",MAX(0,_xlfn.XLOOKUP(tblOrdenes[[#This Row],[id_operacion]],tblEjecucion[id_operacion],tblEjecucion[costo_plan_total],0)-tblOrdenes[[#This Row],[costo_servicio]]))</f>
        <v/>
      </c>
      <c r="AK332" s="10">
        <f>IF(tblOrdenes[[#This Row],[orden]]="","",tblOrdenes[[#This Row],[costo_servicio]]+tblOrdenes[[#This Row],[costo_materiales]])</f>
        <v/>
      </c>
      <c r="AL332" s="6" t="n"/>
      <c r="AM332" s="6" t="n"/>
      <c r="AN332" s="6" t="n"/>
      <c r="AO332" s="3">
        <f>IF(tblOrdenes[[#This Row],[link_checklist]]="","",HYPERLINK(p_ruta_base_checklists&amp;tblOrdenes[[#This Row],[link_checklist]],"abrir"))</f>
        <v/>
      </c>
      <c r="AP332" s="6" t="n"/>
      <c r="AQ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3">
        <f>IF(tblOrdenes[[#This Row],[tipo_ot]]="","",_xlfn.XLOOKUP(tblOrdenes[[#This Row],[tipo_ot]],tblTiposOT[codigo],tblTiposOT[clasificacion],"sin_clasificar"))</f>
        <v/>
      </c>
      <c r="U333" s="3">
        <f>IF(tblOrdenes[[#This Row],[centro_costo]]="","",_xlfn.XLOOKUP(tblOrdenes[[#This Row],[centro_costo]],tblCECO[codigo],tblCECO[linea],"(sin catálogo)"))</f>
        <v/>
      </c>
      <c r="V333" s="3">
        <f>IF(tblOrdenes[[#This Row],[centro_costo]]="","",_xlfn.XLOOKUP(tblOrdenes[[#This Row],[centro_costo]],tblCECO[codigo],tblCECO[area],"(sin catálogo)"))</f>
        <v/>
      </c>
      <c r="W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3">
        <f>IF(tblOrdenes[[#This Row],[centro_costo]]="","",_xlfn.XLOOKUP(tblOrdenes[[#This Row],[centro_costo]],tblCECO[codigo],tblCECO[coordinador],"(sin catálogo)"))</f>
        <v/>
      </c>
      <c r="Y333" s="3">
        <f>IF(tblOrdenes[[#This Row],[puesto_trabajo]]="","",_xlfn.XLOOKUP(tblOrdenes[[#This Row],[puesto_trabajo]],tblPuestos[codigo],tblPuestos[especialidad],"(sin catálogo)"))</f>
        <v/>
      </c>
      <c r="Z333" s="3">
        <f>IF(tblOrdenes[[#This Row],[cod_actividad]]="","",_xlfn.XLOOKUP(tblOrdenes[[#This Row],[cod_actividad]],tblActividades[codigo],tblActividades[descripcion],"(sin catálogo)"))</f>
        <v/>
      </c>
      <c r="AA333" s="12">
        <f>IF(tblOrdenes[[#This Row],[fecha_inicio]]="","",TODAY()-tblOrdenes[[#This Row],[fecha_inicio]])</f>
        <v/>
      </c>
      <c r="AB3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3">
        <f>IF(tblOrdenes[[#This Row],[backlog_habiles]]="","",IF(tblOrdenes[[#This Row],[backlog_habiles]]&lt;0,"FUTURO",IF(tblOrdenes[[#This Row],[backlog_habiles]]&gt;p_dias_backlog_max,"BACKLOG","MES CORRIENTE")))</f>
        <v/>
      </c>
      <c r="AD333" s="3">
        <f>IF(tblOrdenes[[#This Row],[backlog_habiles]]="",FALSE,AND(tblOrdenes[[#This Row],[backlog_habiles]]&gt;p_dias_backlog_min,tblOrdenes[[#This Row],[backlog_habiles]]&lt;=p_dias_backlog_max))</f>
        <v/>
      </c>
      <c r="AE333" s="6" t="n"/>
      <c r="AF3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0">
        <f>IF(tblOrdenes[[#This Row],[orden]]="","",_xlfn.XLOOKUP(tblOrdenes[[#This Row],[id_operacion]],tblEjecucion[id_operacion],tblEjecucion[precio],0))</f>
        <v/>
      </c>
      <c r="AJ333" s="10">
        <f>IF(tblOrdenes[[#This Row],[orden]]="","",MAX(0,_xlfn.XLOOKUP(tblOrdenes[[#This Row],[id_operacion]],tblEjecucion[id_operacion],tblEjecucion[costo_plan_total],0)-tblOrdenes[[#This Row],[costo_servicio]]))</f>
        <v/>
      </c>
      <c r="AK333" s="10">
        <f>IF(tblOrdenes[[#This Row],[orden]]="","",tblOrdenes[[#This Row],[costo_servicio]]+tblOrdenes[[#This Row],[costo_materiales]])</f>
        <v/>
      </c>
      <c r="AL333" s="6" t="n"/>
      <c r="AM333" s="6" t="n"/>
      <c r="AN333" s="6" t="n"/>
      <c r="AO333" s="3">
        <f>IF(tblOrdenes[[#This Row],[link_checklist]]="","",HYPERLINK(p_ruta_base_checklists&amp;tblOrdenes[[#This Row],[link_checklist]],"abrir"))</f>
        <v/>
      </c>
      <c r="AP333" s="6" t="n"/>
      <c r="AQ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3">
        <f>IF(tblOrdenes[[#This Row],[tipo_ot]]="","",_xlfn.XLOOKUP(tblOrdenes[[#This Row],[tipo_ot]],tblTiposOT[codigo],tblTiposOT[clasificacion],"sin_clasificar"))</f>
        <v/>
      </c>
      <c r="U334" s="3">
        <f>IF(tblOrdenes[[#This Row],[centro_costo]]="","",_xlfn.XLOOKUP(tblOrdenes[[#This Row],[centro_costo]],tblCECO[codigo],tblCECO[linea],"(sin catálogo)"))</f>
        <v/>
      </c>
      <c r="V334" s="3">
        <f>IF(tblOrdenes[[#This Row],[centro_costo]]="","",_xlfn.XLOOKUP(tblOrdenes[[#This Row],[centro_costo]],tblCECO[codigo],tblCECO[area],"(sin catálogo)"))</f>
        <v/>
      </c>
      <c r="W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3">
        <f>IF(tblOrdenes[[#This Row],[centro_costo]]="","",_xlfn.XLOOKUP(tblOrdenes[[#This Row],[centro_costo]],tblCECO[codigo],tblCECO[coordinador],"(sin catálogo)"))</f>
        <v/>
      </c>
      <c r="Y334" s="3">
        <f>IF(tblOrdenes[[#This Row],[puesto_trabajo]]="","",_xlfn.XLOOKUP(tblOrdenes[[#This Row],[puesto_trabajo]],tblPuestos[codigo],tblPuestos[especialidad],"(sin catálogo)"))</f>
        <v/>
      </c>
      <c r="Z334" s="3">
        <f>IF(tblOrdenes[[#This Row],[cod_actividad]]="","",_xlfn.XLOOKUP(tblOrdenes[[#This Row],[cod_actividad]],tblActividades[codigo],tblActividades[descripcion],"(sin catálogo)"))</f>
        <v/>
      </c>
      <c r="AA334" s="12">
        <f>IF(tblOrdenes[[#This Row],[fecha_inicio]]="","",TODAY()-tblOrdenes[[#This Row],[fecha_inicio]])</f>
        <v/>
      </c>
      <c r="AB3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3">
        <f>IF(tblOrdenes[[#This Row],[backlog_habiles]]="","",IF(tblOrdenes[[#This Row],[backlog_habiles]]&lt;0,"FUTURO",IF(tblOrdenes[[#This Row],[backlog_habiles]]&gt;p_dias_backlog_max,"BACKLOG","MES CORRIENTE")))</f>
        <v/>
      </c>
      <c r="AD334" s="3">
        <f>IF(tblOrdenes[[#This Row],[backlog_habiles]]="",FALSE,AND(tblOrdenes[[#This Row],[backlog_habiles]]&gt;p_dias_backlog_min,tblOrdenes[[#This Row],[backlog_habiles]]&lt;=p_dias_backlog_max))</f>
        <v/>
      </c>
      <c r="AE334" s="6" t="n"/>
      <c r="AF3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0">
        <f>IF(tblOrdenes[[#This Row],[orden]]="","",_xlfn.XLOOKUP(tblOrdenes[[#This Row],[id_operacion]],tblEjecucion[id_operacion],tblEjecucion[precio],0))</f>
        <v/>
      </c>
      <c r="AJ334" s="10">
        <f>IF(tblOrdenes[[#This Row],[orden]]="","",MAX(0,_xlfn.XLOOKUP(tblOrdenes[[#This Row],[id_operacion]],tblEjecucion[id_operacion],tblEjecucion[costo_plan_total],0)-tblOrdenes[[#This Row],[costo_servicio]]))</f>
        <v/>
      </c>
      <c r="AK334" s="10">
        <f>IF(tblOrdenes[[#This Row],[orden]]="","",tblOrdenes[[#This Row],[costo_servicio]]+tblOrdenes[[#This Row],[costo_materiales]])</f>
        <v/>
      </c>
      <c r="AL334" s="6" t="n"/>
      <c r="AM334" s="6" t="n"/>
      <c r="AN334" s="6" t="n"/>
      <c r="AO334" s="3">
        <f>IF(tblOrdenes[[#This Row],[link_checklist]]="","",HYPERLINK(p_ruta_base_checklists&amp;tblOrdenes[[#This Row],[link_checklist]],"abrir"))</f>
        <v/>
      </c>
      <c r="AP334" s="6" t="n"/>
      <c r="AQ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3">
        <f>IF(tblOrdenes[[#This Row],[tipo_ot]]="","",_xlfn.XLOOKUP(tblOrdenes[[#This Row],[tipo_ot]],tblTiposOT[codigo],tblTiposOT[clasificacion],"sin_clasificar"))</f>
        <v/>
      </c>
      <c r="U335" s="3">
        <f>IF(tblOrdenes[[#This Row],[centro_costo]]="","",_xlfn.XLOOKUP(tblOrdenes[[#This Row],[centro_costo]],tblCECO[codigo],tblCECO[linea],"(sin catálogo)"))</f>
        <v/>
      </c>
      <c r="V335" s="3">
        <f>IF(tblOrdenes[[#This Row],[centro_costo]]="","",_xlfn.XLOOKUP(tblOrdenes[[#This Row],[centro_costo]],tblCECO[codigo],tblCECO[area],"(sin catálogo)"))</f>
        <v/>
      </c>
      <c r="W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3">
        <f>IF(tblOrdenes[[#This Row],[centro_costo]]="","",_xlfn.XLOOKUP(tblOrdenes[[#This Row],[centro_costo]],tblCECO[codigo],tblCECO[coordinador],"(sin catálogo)"))</f>
        <v/>
      </c>
      <c r="Y335" s="3">
        <f>IF(tblOrdenes[[#This Row],[puesto_trabajo]]="","",_xlfn.XLOOKUP(tblOrdenes[[#This Row],[puesto_trabajo]],tblPuestos[codigo],tblPuestos[especialidad],"(sin catálogo)"))</f>
        <v/>
      </c>
      <c r="Z335" s="3">
        <f>IF(tblOrdenes[[#This Row],[cod_actividad]]="","",_xlfn.XLOOKUP(tblOrdenes[[#This Row],[cod_actividad]],tblActividades[codigo],tblActividades[descripcion],"(sin catálogo)"))</f>
        <v/>
      </c>
      <c r="AA335" s="12">
        <f>IF(tblOrdenes[[#This Row],[fecha_inicio]]="","",TODAY()-tblOrdenes[[#This Row],[fecha_inicio]])</f>
        <v/>
      </c>
      <c r="AB3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3">
        <f>IF(tblOrdenes[[#This Row],[backlog_habiles]]="","",IF(tblOrdenes[[#This Row],[backlog_habiles]]&lt;0,"FUTURO",IF(tblOrdenes[[#This Row],[backlog_habiles]]&gt;p_dias_backlog_max,"BACKLOG","MES CORRIENTE")))</f>
        <v/>
      </c>
      <c r="AD335" s="3">
        <f>IF(tblOrdenes[[#This Row],[backlog_habiles]]="",FALSE,AND(tblOrdenes[[#This Row],[backlog_habiles]]&gt;p_dias_backlog_min,tblOrdenes[[#This Row],[backlog_habiles]]&lt;=p_dias_backlog_max))</f>
        <v/>
      </c>
      <c r="AE335" s="6" t="n"/>
      <c r="AF3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0">
        <f>IF(tblOrdenes[[#This Row],[orden]]="","",_xlfn.XLOOKUP(tblOrdenes[[#This Row],[id_operacion]],tblEjecucion[id_operacion],tblEjecucion[precio],0))</f>
        <v/>
      </c>
      <c r="AJ335" s="10">
        <f>IF(tblOrdenes[[#This Row],[orden]]="","",MAX(0,_xlfn.XLOOKUP(tblOrdenes[[#This Row],[id_operacion]],tblEjecucion[id_operacion],tblEjecucion[costo_plan_total],0)-tblOrdenes[[#This Row],[costo_servicio]]))</f>
        <v/>
      </c>
      <c r="AK335" s="10">
        <f>IF(tblOrdenes[[#This Row],[orden]]="","",tblOrdenes[[#This Row],[costo_servicio]]+tblOrdenes[[#This Row],[costo_materiales]])</f>
        <v/>
      </c>
      <c r="AL335" s="6" t="n"/>
      <c r="AM335" s="6" t="n"/>
      <c r="AN335" s="6" t="n"/>
      <c r="AO335" s="3">
        <f>IF(tblOrdenes[[#This Row],[link_checklist]]="","",HYPERLINK(p_ruta_base_checklists&amp;tblOrdenes[[#This Row],[link_checklist]],"abrir"))</f>
        <v/>
      </c>
      <c r="AP335" s="6" t="n"/>
      <c r="AQ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3">
        <f>IF(tblOrdenes[[#This Row],[tipo_ot]]="","",_xlfn.XLOOKUP(tblOrdenes[[#This Row],[tipo_ot]],tblTiposOT[codigo],tblTiposOT[clasificacion],"sin_clasificar"))</f>
        <v/>
      </c>
      <c r="U336" s="3">
        <f>IF(tblOrdenes[[#This Row],[centro_costo]]="","",_xlfn.XLOOKUP(tblOrdenes[[#This Row],[centro_costo]],tblCECO[codigo],tblCECO[linea],"(sin catálogo)"))</f>
        <v/>
      </c>
      <c r="V336" s="3">
        <f>IF(tblOrdenes[[#This Row],[centro_costo]]="","",_xlfn.XLOOKUP(tblOrdenes[[#This Row],[centro_costo]],tblCECO[codigo],tblCECO[area],"(sin catálogo)"))</f>
        <v/>
      </c>
      <c r="W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3">
        <f>IF(tblOrdenes[[#This Row],[centro_costo]]="","",_xlfn.XLOOKUP(tblOrdenes[[#This Row],[centro_costo]],tblCECO[codigo],tblCECO[coordinador],"(sin catálogo)"))</f>
        <v/>
      </c>
      <c r="Y336" s="3">
        <f>IF(tblOrdenes[[#This Row],[puesto_trabajo]]="","",_xlfn.XLOOKUP(tblOrdenes[[#This Row],[puesto_trabajo]],tblPuestos[codigo],tblPuestos[especialidad],"(sin catálogo)"))</f>
        <v/>
      </c>
      <c r="Z336" s="3">
        <f>IF(tblOrdenes[[#This Row],[cod_actividad]]="","",_xlfn.XLOOKUP(tblOrdenes[[#This Row],[cod_actividad]],tblActividades[codigo],tblActividades[descripcion],"(sin catálogo)"))</f>
        <v/>
      </c>
      <c r="AA336" s="12">
        <f>IF(tblOrdenes[[#This Row],[fecha_inicio]]="","",TODAY()-tblOrdenes[[#This Row],[fecha_inicio]])</f>
        <v/>
      </c>
      <c r="AB3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3">
        <f>IF(tblOrdenes[[#This Row],[backlog_habiles]]="","",IF(tblOrdenes[[#This Row],[backlog_habiles]]&lt;0,"FUTURO",IF(tblOrdenes[[#This Row],[backlog_habiles]]&gt;p_dias_backlog_max,"BACKLOG","MES CORRIENTE")))</f>
        <v/>
      </c>
      <c r="AD336" s="3">
        <f>IF(tblOrdenes[[#This Row],[backlog_habiles]]="",FALSE,AND(tblOrdenes[[#This Row],[backlog_habiles]]&gt;p_dias_backlog_min,tblOrdenes[[#This Row],[backlog_habiles]]&lt;=p_dias_backlog_max))</f>
        <v/>
      </c>
      <c r="AE336" s="6" t="n"/>
      <c r="AF3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0">
        <f>IF(tblOrdenes[[#This Row],[orden]]="","",_xlfn.XLOOKUP(tblOrdenes[[#This Row],[id_operacion]],tblEjecucion[id_operacion],tblEjecucion[precio],0))</f>
        <v/>
      </c>
      <c r="AJ336" s="10">
        <f>IF(tblOrdenes[[#This Row],[orden]]="","",MAX(0,_xlfn.XLOOKUP(tblOrdenes[[#This Row],[id_operacion]],tblEjecucion[id_operacion],tblEjecucion[costo_plan_total],0)-tblOrdenes[[#This Row],[costo_servicio]]))</f>
        <v/>
      </c>
      <c r="AK336" s="10">
        <f>IF(tblOrdenes[[#This Row],[orden]]="","",tblOrdenes[[#This Row],[costo_servicio]]+tblOrdenes[[#This Row],[costo_materiales]])</f>
        <v/>
      </c>
      <c r="AL336" s="6" t="n"/>
      <c r="AM336" s="6" t="n"/>
      <c r="AN336" s="6" t="n"/>
      <c r="AO336" s="3">
        <f>IF(tblOrdenes[[#This Row],[link_checklist]]="","",HYPERLINK(p_ruta_base_checklists&amp;tblOrdenes[[#This Row],[link_checklist]],"abrir"))</f>
        <v/>
      </c>
      <c r="AP336" s="6" t="n"/>
      <c r="AQ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3">
        <f>IF(tblOrdenes[[#This Row],[tipo_ot]]="","",_xlfn.XLOOKUP(tblOrdenes[[#This Row],[tipo_ot]],tblTiposOT[codigo],tblTiposOT[clasificacion],"sin_clasificar"))</f>
        <v/>
      </c>
      <c r="U337" s="3">
        <f>IF(tblOrdenes[[#This Row],[centro_costo]]="","",_xlfn.XLOOKUP(tblOrdenes[[#This Row],[centro_costo]],tblCECO[codigo],tblCECO[linea],"(sin catálogo)"))</f>
        <v/>
      </c>
      <c r="V337" s="3">
        <f>IF(tblOrdenes[[#This Row],[centro_costo]]="","",_xlfn.XLOOKUP(tblOrdenes[[#This Row],[centro_costo]],tblCECO[codigo],tblCECO[area],"(sin catálogo)"))</f>
        <v/>
      </c>
      <c r="W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3">
        <f>IF(tblOrdenes[[#This Row],[centro_costo]]="","",_xlfn.XLOOKUP(tblOrdenes[[#This Row],[centro_costo]],tblCECO[codigo],tblCECO[coordinador],"(sin catálogo)"))</f>
        <v/>
      </c>
      <c r="Y337" s="3">
        <f>IF(tblOrdenes[[#This Row],[puesto_trabajo]]="","",_xlfn.XLOOKUP(tblOrdenes[[#This Row],[puesto_trabajo]],tblPuestos[codigo],tblPuestos[especialidad],"(sin catálogo)"))</f>
        <v/>
      </c>
      <c r="Z337" s="3">
        <f>IF(tblOrdenes[[#This Row],[cod_actividad]]="","",_xlfn.XLOOKUP(tblOrdenes[[#This Row],[cod_actividad]],tblActividades[codigo],tblActividades[descripcion],"(sin catálogo)"))</f>
        <v/>
      </c>
      <c r="AA337" s="12">
        <f>IF(tblOrdenes[[#This Row],[fecha_inicio]]="","",TODAY()-tblOrdenes[[#This Row],[fecha_inicio]])</f>
        <v/>
      </c>
      <c r="AB3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3">
        <f>IF(tblOrdenes[[#This Row],[backlog_habiles]]="","",IF(tblOrdenes[[#This Row],[backlog_habiles]]&lt;0,"FUTURO",IF(tblOrdenes[[#This Row],[backlog_habiles]]&gt;p_dias_backlog_max,"BACKLOG","MES CORRIENTE")))</f>
        <v/>
      </c>
      <c r="AD337" s="3">
        <f>IF(tblOrdenes[[#This Row],[backlog_habiles]]="",FALSE,AND(tblOrdenes[[#This Row],[backlog_habiles]]&gt;p_dias_backlog_min,tblOrdenes[[#This Row],[backlog_habiles]]&lt;=p_dias_backlog_max))</f>
        <v/>
      </c>
      <c r="AE337" s="6" t="n"/>
      <c r="AF3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0">
        <f>IF(tblOrdenes[[#This Row],[orden]]="","",_xlfn.XLOOKUP(tblOrdenes[[#This Row],[id_operacion]],tblEjecucion[id_operacion],tblEjecucion[precio],0))</f>
        <v/>
      </c>
      <c r="AJ337" s="10">
        <f>IF(tblOrdenes[[#This Row],[orden]]="","",MAX(0,_xlfn.XLOOKUP(tblOrdenes[[#This Row],[id_operacion]],tblEjecucion[id_operacion],tblEjecucion[costo_plan_total],0)-tblOrdenes[[#This Row],[costo_servicio]]))</f>
        <v/>
      </c>
      <c r="AK337" s="10">
        <f>IF(tblOrdenes[[#This Row],[orden]]="","",tblOrdenes[[#This Row],[costo_servicio]]+tblOrdenes[[#This Row],[costo_materiales]])</f>
        <v/>
      </c>
      <c r="AL337" s="6" t="n"/>
      <c r="AM337" s="6" t="n"/>
      <c r="AN337" s="6" t="n"/>
      <c r="AO337" s="3">
        <f>IF(tblOrdenes[[#This Row],[link_checklist]]="","",HYPERLINK(p_ruta_base_checklists&amp;tblOrdenes[[#This Row],[link_checklist]],"abrir"))</f>
        <v/>
      </c>
      <c r="AP337" s="6" t="n"/>
      <c r="AQ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3">
        <f>IF(tblOrdenes[[#This Row],[tipo_ot]]="","",_xlfn.XLOOKUP(tblOrdenes[[#This Row],[tipo_ot]],tblTiposOT[codigo],tblTiposOT[clasificacion],"sin_clasificar"))</f>
        <v/>
      </c>
      <c r="U338" s="3">
        <f>IF(tblOrdenes[[#This Row],[centro_costo]]="","",_xlfn.XLOOKUP(tblOrdenes[[#This Row],[centro_costo]],tblCECO[codigo],tblCECO[linea],"(sin catálogo)"))</f>
        <v/>
      </c>
      <c r="V338" s="3">
        <f>IF(tblOrdenes[[#This Row],[centro_costo]]="","",_xlfn.XLOOKUP(tblOrdenes[[#This Row],[centro_costo]],tblCECO[codigo],tblCECO[area],"(sin catálogo)"))</f>
        <v/>
      </c>
      <c r="W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3">
        <f>IF(tblOrdenes[[#This Row],[centro_costo]]="","",_xlfn.XLOOKUP(tblOrdenes[[#This Row],[centro_costo]],tblCECO[codigo],tblCECO[coordinador],"(sin catálogo)"))</f>
        <v/>
      </c>
      <c r="Y338" s="3">
        <f>IF(tblOrdenes[[#This Row],[puesto_trabajo]]="","",_xlfn.XLOOKUP(tblOrdenes[[#This Row],[puesto_trabajo]],tblPuestos[codigo],tblPuestos[especialidad],"(sin catálogo)"))</f>
        <v/>
      </c>
      <c r="Z338" s="3">
        <f>IF(tblOrdenes[[#This Row],[cod_actividad]]="","",_xlfn.XLOOKUP(tblOrdenes[[#This Row],[cod_actividad]],tblActividades[codigo],tblActividades[descripcion],"(sin catálogo)"))</f>
        <v/>
      </c>
      <c r="AA338" s="12">
        <f>IF(tblOrdenes[[#This Row],[fecha_inicio]]="","",TODAY()-tblOrdenes[[#This Row],[fecha_inicio]])</f>
        <v/>
      </c>
      <c r="AB3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3">
        <f>IF(tblOrdenes[[#This Row],[backlog_habiles]]="","",IF(tblOrdenes[[#This Row],[backlog_habiles]]&lt;0,"FUTURO",IF(tblOrdenes[[#This Row],[backlog_habiles]]&gt;p_dias_backlog_max,"BACKLOG","MES CORRIENTE")))</f>
        <v/>
      </c>
      <c r="AD338" s="3">
        <f>IF(tblOrdenes[[#This Row],[backlog_habiles]]="",FALSE,AND(tblOrdenes[[#This Row],[backlog_habiles]]&gt;p_dias_backlog_min,tblOrdenes[[#This Row],[backlog_habiles]]&lt;=p_dias_backlog_max))</f>
        <v/>
      </c>
      <c r="AE338" s="6" t="n"/>
      <c r="AF3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0">
        <f>IF(tblOrdenes[[#This Row],[orden]]="","",_xlfn.XLOOKUP(tblOrdenes[[#This Row],[id_operacion]],tblEjecucion[id_operacion],tblEjecucion[precio],0))</f>
        <v/>
      </c>
      <c r="AJ338" s="10">
        <f>IF(tblOrdenes[[#This Row],[orden]]="","",MAX(0,_xlfn.XLOOKUP(tblOrdenes[[#This Row],[id_operacion]],tblEjecucion[id_operacion],tblEjecucion[costo_plan_total],0)-tblOrdenes[[#This Row],[costo_servicio]]))</f>
        <v/>
      </c>
      <c r="AK338" s="10">
        <f>IF(tblOrdenes[[#This Row],[orden]]="","",tblOrdenes[[#This Row],[costo_servicio]]+tblOrdenes[[#This Row],[costo_materiales]])</f>
        <v/>
      </c>
      <c r="AL338" s="6" t="n"/>
      <c r="AM338" s="6" t="n"/>
      <c r="AN338" s="6" t="n"/>
      <c r="AO338" s="3">
        <f>IF(tblOrdenes[[#This Row],[link_checklist]]="","",HYPERLINK(p_ruta_base_checklists&amp;tblOrdenes[[#This Row],[link_checklist]],"abrir"))</f>
        <v/>
      </c>
      <c r="AP338" s="6" t="n"/>
      <c r="AQ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3">
        <f>IF(tblOrdenes[[#This Row],[tipo_ot]]="","",_xlfn.XLOOKUP(tblOrdenes[[#This Row],[tipo_ot]],tblTiposOT[codigo],tblTiposOT[clasificacion],"sin_clasificar"))</f>
        <v/>
      </c>
      <c r="U339" s="3">
        <f>IF(tblOrdenes[[#This Row],[centro_costo]]="","",_xlfn.XLOOKUP(tblOrdenes[[#This Row],[centro_costo]],tblCECO[codigo],tblCECO[linea],"(sin catálogo)"))</f>
        <v/>
      </c>
      <c r="V339" s="3">
        <f>IF(tblOrdenes[[#This Row],[centro_costo]]="","",_xlfn.XLOOKUP(tblOrdenes[[#This Row],[centro_costo]],tblCECO[codigo],tblCECO[area],"(sin catálogo)"))</f>
        <v/>
      </c>
      <c r="W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3">
        <f>IF(tblOrdenes[[#This Row],[centro_costo]]="","",_xlfn.XLOOKUP(tblOrdenes[[#This Row],[centro_costo]],tblCECO[codigo],tblCECO[coordinador],"(sin catálogo)"))</f>
        <v/>
      </c>
      <c r="Y339" s="3">
        <f>IF(tblOrdenes[[#This Row],[puesto_trabajo]]="","",_xlfn.XLOOKUP(tblOrdenes[[#This Row],[puesto_trabajo]],tblPuestos[codigo],tblPuestos[especialidad],"(sin catálogo)"))</f>
        <v/>
      </c>
      <c r="Z339" s="3">
        <f>IF(tblOrdenes[[#This Row],[cod_actividad]]="","",_xlfn.XLOOKUP(tblOrdenes[[#This Row],[cod_actividad]],tblActividades[codigo],tblActividades[descripcion],"(sin catálogo)"))</f>
        <v/>
      </c>
      <c r="AA339" s="12">
        <f>IF(tblOrdenes[[#This Row],[fecha_inicio]]="","",TODAY()-tblOrdenes[[#This Row],[fecha_inicio]])</f>
        <v/>
      </c>
      <c r="AB3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3">
        <f>IF(tblOrdenes[[#This Row],[backlog_habiles]]="","",IF(tblOrdenes[[#This Row],[backlog_habiles]]&lt;0,"FUTURO",IF(tblOrdenes[[#This Row],[backlog_habiles]]&gt;p_dias_backlog_max,"BACKLOG","MES CORRIENTE")))</f>
        <v/>
      </c>
      <c r="AD339" s="3">
        <f>IF(tblOrdenes[[#This Row],[backlog_habiles]]="",FALSE,AND(tblOrdenes[[#This Row],[backlog_habiles]]&gt;p_dias_backlog_min,tblOrdenes[[#This Row],[backlog_habiles]]&lt;=p_dias_backlog_max))</f>
        <v/>
      </c>
      <c r="AE339" s="6" t="n"/>
      <c r="AF3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0">
        <f>IF(tblOrdenes[[#This Row],[orden]]="","",_xlfn.XLOOKUP(tblOrdenes[[#This Row],[id_operacion]],tblEjecucion[id_operacion],tblEjecucion[precio],0))</f>
        <v/>
      </c>
      <c r="AJ339" s="10">
        <f>IF(tblOrdenes[[#This Row],[orden]]="","",MAX(0,_xlfn.XLOOKUP(tblOrdenes[[#This Row],[id_operacion]],tblEjecucion[id_operacion],tblEjecucion[costo_plan_total],0)-tblOrdenes[[#This Row],[costo_servicio]]))</f>
        <v/>
      </c>
      <c r="AK339" s="10">
        <f>IF(tblOrdenes[[#This Row],[orden]]="","",tblOrdenes[[#This Row],[costo_servicio]]+tblOrdenes[[#This Row],[costo_materiales]])</f>
        <v/>
      </c>
      <c r="AL339" s="6" t="n"/>
      <c r="AM339" s="6" t="n"/>
      <c r="AN339" s="6" t="n"/>
      <c r="AO339" s="3">
        <f>IF(tblOrdenes[[#This Row],[link_checklist]]="","",HYPERLINK(p_ruta_base_checklists&amp;tblOrdenes[[#This Row],[link_checklist]],"abrir"))</f>
        <v/>
      </c>
      <c r="AP339" s="6" t="n"/>
      <c r="AQ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3">
        <f>IF(tblOrdenes[[#This Row],[tipo_ot]]="","",_xlfn.XLOOKUP(tblOrdenes[[#This Row],[tipo_ot]],tblTiposOT[codigo],tblTiposOT[clasificacion],"sin_clasificar"))</f>
        <v/>
      </c>
      <c r="U340" s="3">
        <f>IF(tblOrdenes[[#This Row],[centro_costo]]="","",_xlfn.XLOOKUP(tblOrdenes[[#This Row],[centro_costo]],tblCECO[codigo],tblCECO[linea],"(sin catálogo)"))</f>
        <v/>
      </c>
      <c r="V340" s="3">
        <f>IF(tblOrdenes[[#This Row],[centro_costo]]="","",_xlfn.XLOOKUP(tblOrdenes[[#This Row],[centro_costo]],tblCECO[codigo],tblCECO[area],"(sin catálogo)"))</f>
        <v/>
      </c>
      <c r="W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3">
        <f>IF(tblOrdenes[[#This Row],[centro_costo]]="","",_xlfn.XLOOKUP(tblOrdenes[[#This Row],[centro_costo]],tblCECO[codigo],tblCECO[coordinador],"(sin catálogo)"))</f>
        <v/>
      </c>
      <c r="Y340" s="3">
        <f>IF(tblOrdenes[[#This Row],[puesto_trabajo]]="","",_xlfn.XLOOKUP(tblOrdenes[[#This Row],[puesto_trabajo]],tblPuestos[codigo],tblPuestos[especialidad],"(sin catálogo)"))</f>
        <v/>
      </c>
      <c r="Z340" s="3">
        <f>IF(tblOrdenes[[#This Row],[cod_actividad]]="","",_xlfn.XLOOKUP(tblOrdenes[[#This Row],[cod_actividad]],tblActividades[codigo],tblActividades[descripcion],"(sin catálogo)"))</f>
        <v/>
      </c>
      <c r="AA340" s="12">
        <f>IF(tblOrdenes[[#This Row],[fecha_inicio]]="","",TODAY()-tblOrdenes[[#This Row],[fecha_inicio]])</f>
        <v/>
      </c>
      <c r="AB3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3">
        <f>IF(tblOrdenes[[#This Row],[backlog_habiles]]="","",IF(tblOrdenes[[#This Row],[backlog_habiles]]&lt;0,"FUTURO",IF(tblOrdenes[[#This Row],[backlog_habiles]]&gt;p_dias_backlog_max,"BACKLOG","MES CORRIENTE")))</f>
        <v/>
      </c>
      <c r="AD340" s="3">
        <f>IF(tblOrdenes[[#This Row],[backlog_habiles]]="",FALSE,AND(tblOrdenes[[#This Row],[backlog_habiles]]&gt;p_dias_backlog_min,tblOrdenes[[#This Row],[backlog_habiles]]&lt;=p_dias_backlog_max))</f>
        <v/>
      </c>
      <c r="AE340" s="6" t="n"/>
      <c r="AF3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0">
        <f>IF(tblOrdenes[[#This Row],[orden]]="","",_xlfn.XLOOKUP(tblOrdenes[[#This Row],[id_operacion]],tblEjecucion[id_operacion],tblEjecucion[precio],0))</f>
        <v/>
      </c>
      <c r="AJ340" s="10">
        <f>IF(tblOrdenes[[#This Row],[orden]]="","",MAX(0,_xlfn.XLOOKUP(tblOrdenes[[#This Row],[id_operacion]],tblEjecucion[id_operacion],tblEjecucion[costo_plan_total],0)-tblOrdenes[[#This Row],[costo_servicio]]))</f>
        <v/>
      </c>
      <c r="AK340" s="10">
        <f>IF(tblOrdenes[[#This Row],[orden]]="","",tblOrdenes[[#This Row],[costo_servicio]]+tblOrdenes[[#This Row],[costo_materiales]])</f>
        <v/>
      </c>
      <c r="AL340" s="6" t="n"/>
      <c r="AM340" s="6" t="n"/>
      <c r="AN340" s="6" t="n"/>
      <c r="AO340" s="3">
        <f>IF(tblOrdenes[[#This Row],[link_checklist]]="","",HYPERLINK(p_ruta_base_checklists&amp;tblOrdenes[[#This Row],[link_checklist]],"abrir"))</f>
        <v/>
      </c>
      <c r="AP340" s="6" t="n"/>
      <c r="AQ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3">
        <f>IF(tblOrdenes[[#This Row],[tipo_ot]]="","",_xlfn.XLOOKUP(tblOrdenes[[#This Row],[tipo_ot]],tblTiposOT[codigo],tblTiposOT[clasificacion],"sin_clasificar"))</f>
        <v/>
      </c>
      <c r="U341" s="3">
        <f>IF(tblOrdenes[[#This Row],[centro_costo]]="","",_xlfn.XLOOKUP(tblOrdenes[[#This Row],[centro_costo]],tblCECO[codigo],tblCECO[linea],"(sin catálogo)"))</f>
        <v/>
      </c>
      <c r="V341" s="3">
        <f>IF(tblOrdenes[[#This Row],[centro_costo]]="","",_xlfn.XLOOKUP(tblOrdenes[[#This Row],[centro_costo]],tblCECO[codigo],tblCECO[area],"(sin catálogo)"))</f>
        <v/>
      </c>
      <c r="W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3">
        <f>IF(tblOrdenes[[#This Row],[centro_costo]]="","",_xlfn.XLOOKUP(tblOrdenes[[#This Row],[centro_costo]],tblCECO[codigo],tblCECO[coordinador],"(sin catálogo)"))</f>
        <v/>
      </c>
      <c r="Y341" s="3">
        <f>IF(tblOrdenes[[#This Row],[puesto_trabajo]]="","",_xlfn.XLOOKUP(tblOrdenes[[#This Row],[puesto_trabajo]],tblPuestos[codigo],tblPuestos[especialidad],"(sin catálogo)"))</f>
        <v/>
      </c>
      <c r="Z341" s="3">
        <f>IF(tblOrdenes[[#This Row],[cod_actividad]]="","",_xlfn.XLOOKUP(tblOrdenes[[#This Row],[cod_actividad]],tblActividades[codigo],tblActividades[descripcion],"(sin catálogo)"))</f>
        <v/>
      </c>
      <c r="AA341" s="12">
        <f>IF(tblOrdenes[[#This Row],[fecha_inicio]]="","",TODAY()-tblOrdenes[[#This Row],[fecha_inicio]])</f>
        <v/>
      </c>
      <c r="AB3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3">
        <f>IF(tblOrdenes[[#This Row],[backlog_habiles]]="","",IF(tblOrdenes[[#This Row],[backlog_habiles]]&lt;0,"FUTURO",IF(tblOrdenes[[#This Row],[backlog_habiles]]&gt;p_dias_backlog_max,"BACKLOG","MES CORRIENTE")))</f>
        <v/>
      </c>
      <c r="AD341" s="3">
        <f>IF(tblOrdenes[[#This Row],[backlog_habiles]]="",FALSE,AND(tblOrdenes[[#This Row],[backlog_habiles]]&gt;p_dias_backlog_min,tblOrdenes[[#This Row],[backlog_habiles]]&lt;=p_dias_backlog_max))</f>
        <v/>
      </c>
      <c r="AE341" s="6" t="n"/>
      <c r="AF3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0">
        <f>IF(tblOrdenes[[#This Row],[orden]]="","",_xlfn.XLOOKUP(tblOrdenes[[#This Row],[id_operacion]],tblEjecucion[id_operacion],tblEjecucion[precio],0))</f>
        <v/>
      </c>
      <c r="AJ341" s="10">
        <f>IF(tblOrdenes[[#This Row],[orden]]="","",MAX(0,_xlfn.XLOOKUP(tblOrdenes[[#This Row],[id_operacion]],tblEjecucion[id_operacion],tblEjecucion[costo_plan_total],0)-tblOrdenes[[#This Row],[costo_servicio]]))</f>
        <v/>
      </c>
      <c r="AK341" s="10">
        <f>IF(tblOrdenes[[#This Row],[orden]]="","",tblOrdenes[[#This Row],[costo_servicio]]+tblOrdenes[[#This Row],[costo_materiales]])</f>
        <v/>
      </c>
      <c r="AL341" s="6" t="n"/>
      <c r="AM341" s="6" t="n"/>
      <c r="AN341" s="6" t="n"/>
      <c r="AO341" s="3">
        <f>IF(tblOrdenes[[#This Row],[link_checklist]]="","",HYPERLINK(p_ruta_base_checklists&amp;tblOrdenes[[#This Row],[link_checklist]],"abrir"))</f>
        <v/>
      </c>
      <c r="AP341" s="6" t="n"/>
      <c r="AQ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3">
        <f>IF(tblOrdenes[[#This Row],[tipo_ot]]="","",_xlfn.XLOOKUP(tblOrdenes[[#This Row],[tipo_ot]],tblTiposOT[codigo],tblTiposOT[clasificacion],"sin_clasificar"))</f>
        <v/>
      </c>
      <c r="U342" s="3">
        <f>IF(tblOrdenes[[#This Row],[centro_costo]]="","",_xlfn.XLOOKUP(tblOrdenes[[#This Row],[centro_costo]],tblCECO[codigo],tblCECO[linea],"(sin catálogo)"))</f>
        <v/>
      </c>
      <c r="V342" s="3">
        <f>IF(tblOrdenes[[#This Row],[centro_costo]]="","",_xlfn.XLOOKUP(tblOrdenes[[#This Row],[centro_costo]],tblCECO[codigo],tblCECO[area],"(sin catálogo)"))</f>
        <v/>
      </c>
      <c r="W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3">
        <f>IF(tblOrdenes[[#This Row],[centro_costo]]="","",_xlfn.XLOOKUP(tblOrdenes[[#This Row],[centro_costo]],tblCECO[codigo],tblCECO[coordinador],"(sin catálogo)"))</f>
        <v/>
      </c>
      <c r="Y342" s="3">
        <f>IF(tblOrdenes[[#This Row],[puesto_trabajo]]="","",_xlfn.XLOOKUP(tblOrdenes[[#This Row],[puesto_trabajo]],tblPuestos[codigo],tblPuestos[especialidad],"(sin catálogo)"))</f>
        <v/>
      </c>
      <c r="Z342" s="3">
        <f>IF(tblOrdenes[[#This Row],[cod_actividad]]="","",_xlfn.XLOOKUP(tblOrdenes[[#This Row],[cod_actividad]],tblActividades[codigo],tblActividades[descripcion],"(sin catálogo)"))</f>
        <v/>
      </c>
      <c r="AA342" s="12">
        <f>IF(tblOrdenes[[#This Row],[fecha_inicio]]="","",TODAY()-tblOrdenes[[#This Row],[fecha_inicio]])</f>
        <v/>
      </c>
      <c r="AB3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3">
        <f>IF(tblOrdenes[[#This Row],[backlog_habiles]]="","",IF(tblOrdenes[[#This Row],[backlog_habiles]]&lt;0,"FUTURO",IF(tblOrdenes[[#This Row],[backlog_habiles]]&gt;p_dias_backlog_max,"BACKLOG","MES CORRIENTE")))</f>
        <v/>
      </c>
      <c r="AD342" s="3">
        <f>IF(tblOrdenes[[#This Row],[backlog_habiles]]="",FALSE,AND(tblOrdenes[[#This Row],[backlog_habiles]]&gt;p_dias_backlog_min,tblOrdenes[[#This Row],[backlog_habiles]]&lt;=p_dias_backlog_max))</f>
        <v/>
      </c>
      <c r="AE342" s="6" t="n"/>
      <c r="AF3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0">
        <f>IF(tblOrdenes[[#This Row],[orden]]="","",_xlfn.XLOOKUP(tblOrdenes[[#This Row],[id_operacion]],tblEjecucion[id_operacion],tblEjecucion[precio],0))</f>
        <v/>
      </c>
      <c r="AJ342" s="10">
        <f>IF(tblOrdenes[[#This Row],[orden]]="","",MAX(0,_xlfn.XLOOKUP(tblOrdenes[[#This Row],[id_operacion]],tblEjecucion[id_operacion],tblEjecucion[costo_plan_total],0)-tblOrdenes[[#This Row],[costo_servicio]]))</f>
        <v/>
      </c>
      <c r="AK342" s="10">
        <f>IF(tblOrdenes[[#This Row],[orden]]="","",tblOrdenes[[#This Row],[costo_servicio]]+tblOrdenes[[#This Row],[costo_materiales]])</f>
        <v/>
      </c>
      <c r="AL342" s="6" t="n"/>
      <c r="AM342" s="6" t="n"/>
      <c r="AN342" s="6" t="n"/>
      <c r="AO342" s="3">
        <f>IF(tblOrdenes[[#This Row],[link_checklist]]="","",HYPERLINK(p_ruta_base_checklists&amp;tblOrdenes[[#This Row],[link_checklist]],"abrir"))</f>
        <v/>
      </c>
      <c r="AP342" s="6" t="n"/>
      <c r="AQ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3">
        <f>IF(tblOrdenes[[#This Row],[tipo_ot]]="","",_xlfn.XLOOKUP(tblOrdenes[[#This Row],[tipo_ot]],tblTiposOT[codigo],tblTiposOT[clasificacion],"sin_clasificar"))</f>
        <v/>
      </c>
      <c r="U343" s="3">
        <f>IF(tblOrdenes[[#This Row],[centro_costo]]="","",_xlfn.XLOOKUP(tblOrdenes[[#This Row],[centro_costo]],tblCECO[codigo],tblCECO[linea],"(sin catálogo)"))</f>
        <v/>
      </c>
      <c r="V343" s="3">
        <f>IF(tblOrdenes[[#This Row],[centro_costo]]="","",_xlfn.XLOOKUP(tblOrdenes[[#This Row],[centro_costo]],tblCECO[codigo],tblCECO[area],"(sin catálogo)"))</f>
        <v/>
      </c>
      <c r="W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3">
        <f>IF(tblOrdenes[[#This Row],[centro_costo]]="","",_xlfn.XLOOKUP(tblOrdenes[[#This Row],[centro_costo]],tblCECO[codigo],tblCECO[coordinador],"(sin catálogo)"))</f>
        <v/>
      </c>
      <c r="Y343" s="3">
        <f>IF(tblOrdenes[[#This Row],[puesto_trabajo]]="","",_xlfn.XLOOKUP(tblOrdenes[[#This Row],[puesto_trabajo]],tblPuestos[codigo],tblPuestos[especialidad],"(sin catálogo)"))</f>
        <v/>
      </c>
      <c r="Z343" s="3">
        <f>IF(tblOrdenes[[#This Row],[cod_actividad]]="","",_xlfn.XLOOKUP(tblOrdenes[[#This Row],[cod_actividad]],tblActividades[codigo],tblActividades[descripcion],"(sin catálogo)"))</f>
        <v/>
      </c>
      <c r="AA343" s="12">
        <f>IF(tblOrdenes[[#This Row],[fecha_inicio]]="","",TODAY()-tblOrdenes[[#This Row],[fecha_inicio]])</f>
        <v/>
      </c>
      <c r="AB3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3">
        <f>IF(tblOrdenes[[#This Row],[backlog_habiles]]="","",IF(tblOrdenes[[#This Row],[backlog_habiles]]&lt;0,"FUTURO",IF(tblOrdenes[[#This Row],[backlog_habiles]]&gt;p_dias_backlog_max,"BACKLOG","MES CORRIENTE")))</f>
        <v/>
      </c>
      <c r="AD343" s="3">
        <f>IF(tblOrdenes[[#This Row],[backlog_habiles]]="",FALSE,AND(tblOrdenes[[#This Row],[backlog_habiles]]&gt;p_dias_backlog_min,tblOrdenes[[#This Row],[backlog_habiles]]&lt;=p_dias_backlog_max))</f>
        <v/>
      </c>
      <c r="AE343" s="6" t="n"/>
      <c r="AF3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0">
        <f>IF(tblOrdenes[[#This Row],[orden]]="","",_xlfn.XLOOKUP(tblOrdenes[[#This Row],[id_operacion]],tblEjecucion[id_operacion],tblEjecucion[precio],0))</f>
        <v/>
      </c>
      <c r="AJ343" s="10">
        <f>IF(tblOrdenes[[#This Row],[orden]]="","",MAX(0,_xlfn.XLOOKUP(tblOrdenes[[#This Row],[id_operacion]],tblEjecucion[id_operacion],tblEjecucion[costo_plan_total],0)-tblOrdenes[[#This Row],[costo_servicio]]))</f>
        <v/>
      </c>
      <c r="AK343" s="10">
        <f>IF(tblOrdenes[[#This Row],[orden]]="","",tblOrdenes[[#This Row],[costo_servicio]]+tblOrdenes[[#This Row],[costo_materiales]])</f>
        <v/>
      </c>
      <c r="AL343" s="6" t="n"/>
      <c r="AM343" s="6" t="n"/>
      <c r="AN343" s="6" t="n"/>
      <c r="AO343" s="3">
        <f>IF(tblOrdenes[[#This Row],[link_checklist]]="","",HYPERLINK(p_ruta_base_checklists&amp;tblOrdenes[[#This Row],[link_checklist]],"abrir"))</f>
        <v/>
      </c>
      <c r="AP343" s="6" t="n"/>
      <c r="AQ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3">
        <f>IF(tblOrdenes[[#This Row],[tipo_ot]]="","",_xlfn.XLOOKUP(tblOrdenes[[#This Row],[tipo_ot]],tblTiposOT[codigo],tblTiposOT[clasificacion],"sin_clasificar"))</f>
        <v/>
      </c>
      <c r="U344" s="3">
        <f>IF(tblOrdenes[[#This Row],[centro_costo]]="","",_xlfn.XLOOKUP(tblOrdenes[[#This Row],[centro_costo]],tblCECO[codigo],tblCECO[linea],"(sin catálogo)"))</f>
        <v/>
      </c>
      <c r="V344" s="3">
        <f>IF(tblOrdenes[[#This Row],[centro_costo]]="","",_xlfn.XLOOKUP(tblOrdenes[[#This Row],[centro_costo]],tblCECO[codigo],tblCECO[area],"(sin catálogo)"))</f>
        <v/>
      </c>
      <c r="W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3">
        <f>IF(tblOrdenes[[#This Row],[centro_costo]]="","",_xlfn.XLOOKUP(tblOrdenes[[#This Row],[centro_costo]],tblCECO[codigo],tblCECO[coordinador],"(sin catálogo)"))</f>
        <v/>
      </c>
      <c r="Y344" s="3">
        <f>IF(tblOrdenes[[#This Row],[puesto_trabajo]]="","",_xlfn.XLOOKUP(tblOrdenes[[#This Row],[puesto_trabajo]],tblPuestos[codigo],tblPuestos[especialidad],"(sin catálogo)"))</f>
        <v/>
      </c>
      <c r="Z344" s="3">
        <f>IF(tblOrdenes[[#This Row],[cod_actividad]]="","",_xlfn.XLOOKUP(tblOrdenes[[#This Row],[cod_actividad]],tblActividades[codigo],tblActividades[descripcion],"(sin catálogo)"))</f>
        <v/>
      </c>
      <c r="AA344" s="12">
        <f>IF(tblOrdenes[[#This Row],[fecha_inicio]]="","",TODAY()-tblOrdenes[[#This Row],[fecha_inicio]])</f>
        <v/>
      </c>
      <c r="AB3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3">
        <f>IF(tblOrdenes[[#This Row],[backlog_habiles]]="","",IF(tblOrdenes[[#This Row],[backlog_habiles]]&lt;0,"FUTURO",IF(tblOrdenes[[#This Row],[backlog_habiles]]&gt;p_dias_backlog_max,"BACKLOG","MES CORRIENTE")))</f>
        <v/>
      </c>
      <c r="AD344" s="3">
        <f>IF(tblOrdenes[[#This Row],[backlog_habiles]]="",FALSE,AND(tblOrdenes[[#This Row],[backlog_habiles]]&gt;p_dias_backlog_min,tblOrdenes[[#This Row],[backlog_habiles]]&lt;=p_dias_backlog_max))</f>
        <v/>
      </c>
      <c r="AE344" s="6" t="n"/>
      <c r="AF3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0">
        <f>IF(tblOrdenes[[#This Row],[orden]]="","",_xlfn.XLOOKUP(tblOrdenes[[#This Row],[id_operacion]],tblEjecucion[id_operacion],tblEjecucion[precio],0))</f>
        <v/>
      </c>
      <c r="AJ344" s="10">
        <f>IF(tblOrdenes[[#This Row],[orden]]="","",MAX(0,_xlfn.XLOOKUP(tblOrdenes[[#This Row],[id_operacion]],tblEjecucion[id_operacion],tblEjecucion[costo_plan_total],0)-tblOrdenes[[#This Row],[costo_servicio]]))</f>
        <v/>
      </c>
      <c r="AK344" s="10">
        <f>IF(tblOrdenes[[#This Row],[orden]]="","",tblOrdenes[[#This Row],[costo_servicio]]+tblOrdenes[[#This Row],[costo_materiales]])</f>
        <v/>
      </c>
      <c r="AL344" s="6" t="n"/>
      <c r="AM344" s="6" t="n"/>
      <c r="AN344" s="6" t="n"/>
      <c r="AO344" s="3">
        <f>IF(tblOrdenes[[#This Row],[link_checklist]]="","",HYPERLINK(p_ruta_base_checklists&amp;tblOrdenes[[#This Row],[link_checklist]],"abrir"))</f>
        <v/>
      </c>
      <c r="AP344" s="6" t="n"/>
      <c r="AQ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3">
        <f>IF(tblOrdenes[[#This Row],[tipo_ot]]="","",_xlfn.XLOOKUP(tblOrdenes[[#This Row],[tipo_ot]],tblTiposOT[codigo],tblTiposOT[clasificacion],"sin_clasificar"))</f>
        <v/>
      </c>
      <c r="U345" s="3">
        <f>IF(tblOrdenes[[#This Row],[centro_costo]]="","",_xlfn.XLOOKUP(tblOrdenes[[#This Row],[centro_costo]],tblCECO[codigo],tblCECO[linea],"(sin catálogo)"))</f>
        <v/>
      </c>
      <c r="V345" s="3">
        <f>IF(tblOrdenes[[#This Row],[centro_costo]]="","",_xlfn.XLOOKUP(tblOrdenes[[#This Row],[centro_costo]],tblCECO[codigo],tblCECO[area],"(sin catálogo)"))</f>
        <v/>
      </c>
      <c r="W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3">
        <f>IF(tblOrdenes[[#This Row],[centro_costo]]="","",_xlfn.XLOOKUP(tblOrdenes[[#This Row],[centro_costo]],tblCECO[codigo],tblCECO[coordinador],"(sin catálogo)"))</f>
        <v/>
      </c>
      <c r="Y345" s="3">
        <f>IF(tblOrdenes[[#This Row],[puesto_trabajo]]="","",_xlfn.XLOOKUP(tblOrdenes[[#This Row],[puesto_trabajo]],tblPuestos[codigo],tblPuestos[especialidad],"(sin catálogo)"))</f>
        <v/>
      </c>
      <c r="Z345" s="3">
        <f>IF(tblOrdenes[[#This Row],[cod_actividad]]="","",_xlfn.XLOOKUP(tblOrdenes[[#This Row],[cod_actividad]],tblActividades[codigo],tblActividades[descripcion],"(sin catálogo)"))</f>
        <v/>
      </c>
      <c r="AA345" s="12">
        <f>IF(tblOrdenes[[#This Row],[fecha_inicio]]="","",TODAY()-tblOrdenes[[#This Row],[fecha_inicio]])</f>
        <v/>
      </c>
      <c r="AB3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3">
        <f>IF(tblOrdenes[[#This Row],[backlog_habiles]]="","",IF(tblOrdenes[[#This Row],[backlog_habiles]]&lt;0,"FUTURO",IF(tblOrdenes[[#This Row],[backlog_habiles]]&gt;p_dias_backlog_max,"BACKLOG","MES CORRIENTE")))</f>
        <v/>
      </c>
      <c r="AD345" s="3">
        <f>IF(tblOrdenes[[#This Row],[backlog_habiles]]="",FALSE,AND(tblOrdenes[[#This Row],[backlog_habiles]]&gt;p_dias_backlog_min,tblOrdenes[[#This Row],[backlog_habiles]]&lt;=p_dias_backlog_max))</f>
        <v/>
      </c>
      <c r="AE345" s="6" t="n"/>
      <c r="AF3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0">
        <f>IF(tblOrdenes[[#This Row],[orden]]="","",_xlfn.XLOOKUP(tblOrdenes[[#This Row],[id_operacion]],tblEjecucion[id_operacion],tblEjecucion[precio],0))</f>
        <v/>
      </c>
      <c r="AJ345" s="10">
        <f>IF(tblOrdenes[[#This Row],[orden]]="","",MAX(0,_xlfn.XLOOKUP(tblOrdenes[[#This Row],[id_operacion]],tblEjecucion[id_operacion],tblEjecucion[costo_plan_total],0)-tblOrdenes[[#This Row],[costo_servicio]]))</f>
        <v/>
      </c>
      <c r="AK345" s="10">
        <f>IF(tblOrdenes[[#This Row],[orden]]="","",tblOrdenes[[#This Row],[costo_servicio]]+tblOrdenes[[#This Row],[costo_materiales]])</f>
        <v/>
      </c>
      <c r="AL345" s="6" t="n"/>
      <c r="AM345" s="6" t="n"/>
      <c r="AN345" s="6" t="n"/>
      <c r="AO345" s="3">
        <f>IF(tblOrdenes[[#This Row],[link_checklist]]="","",HYPERLINK(p_ruta_base_checklists&amp;tblOrdenes[[#This Row],[link_checklist]],"abrir"))</f>
        <v/>
      </c>
      <c r="AP345" s="6" t="n"/>
      <c r="AQ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3">
        <f>IF(tblOrdenes[[#This Row],[tipo_ot]]="","",_xlfn.XLOOKUP(tblOrdenes[[#This Row],[tipo_ot]],tblTiposOT[codigo],tblTiposOT[clasificacion],"sin_clasificar"))</f>
        <v/>
      </c>
      <c r="U346" s="3">
        <f>IF(tblOrdenes[[#This Row],[centro_costo]]="","",_xlfn.XLOOKUP(tblOrdenes[[#This Row],[centro_costo]],tblCECO[codigo],tblCECO[linea],"(sin catálogo)"))</f>
        <v/>
      </c>
      <c r="V346" s="3">
        <f>IF(tblOrdenes[[#This Row],[centro_costo]]="","",_xlfn.XLOOKUP(tblOrdenes[[#This Row],[centro_costo]],tblCECO[codigo],tblCECO[area],"(sin catálogo)"))</f>
        <v/>
      </c>
      <c r="W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3">
        <f>IF(tblOrdenes[[#This Row],[centro_costo]]="","",_xlfn.XLOOKUP(tblOrdenes[[#This Row],[centro_costo]],tblCECO[codigo],tblCECO[coordinador],"(sin catálogo)"))</f>
        <v/>
      </c>
      <c r="Y346" s="3">
        <f>IF(tblOrdenes[[#This Row],[puesto_trabajo]]="","",_xlfn.XLOOKUP(tblOrdenes[[#This Row],[puesto_trabajo]],tblPuestos[codigo],tblPuestos[especialidad],"(sin catálogo)"))</f>
        <v/>
      </c>
      <c r="Z346" s="3">
        <f>IF(tblOrdenes[[#This Row],[cod_actividad]]="","",_xlfn.XLOOKUP(tblOrdenes[[#This Row],[cod_actividad]],tblActividades[codigo],tblActividades[descripcion],"(sin catálogo)"))</f>
        <v/>
      </c>
      <c r="AA346" s="12">
        <f>IF(tblOrdenes[[#This Row],[fecha_inicio]]="","",TODAY()-tblOrdenes[[#This Row],[fecha_inicio]])</f>
        <v/>
      </c>
      <c r="AB3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3">
        <f>IF(tblOrdenes[[#This Row],[backlog_habiles]]="","",IF(tblOrdenes[[#This Row],[backlog_habiles]]&lt;0,"FUTURO",IF(tblOrdenes[[#This Row],[backlog_habiles]]&gt;p_dias_backlog_max,"BACKLOG","MES CORRIENTE")))</f>
        <v/>
      </c>
      <c r="AD346" s="3">
        <f>IF(tblOrdenes[[#This Row],[backlog_habiles]]="",FALSE,AND(tblOrdenes[[#This Row],[backlog_habiles]]&gt;p_dias_backlog_min,tblOrdenes[[#This Row],[backlog_habiles]]&lt;=p_dias_backlog_max))</f>
        <v/>
      </c>
      <c r="AE346" s="6" t="n"/>
      <c r="AF3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0">
        <f>IF(tblOrdenes[[#This Row],[orden]]="","",_xlfn.XLOOKUP(tblOrdenes[[#This Row],[id_operacion]],tblEjecucion[id_operacion],tblEjecucion[precio],0))</f>
        <v/>
      </c>
      <c r="AJ346" s="10">
        <f>IF(tblOrdenes[[#This Row],[orden]]="","",MAX(0,_xlfn.XLOOKUP(tblOrdenes[[#This Row],[id_operacion]],tblEjecucion[id_operacion],tblEjecucion[costo_plan_total],0)-tblOrdenes[[#This Row],[costo_servicio]]))</f>
        <v/>
      </c>
      <c r="AK346" s="10">
        <f>IF(tblOrdenes[[#This Row],[orden]]="","",tblOrdenes[[#This Row],[costo_servicio]]+tblOrdenes[[#This Row],[costo_materiales]])</f>
        <v/>
      </c>
      <c r="AL346" s="6" t="n"/>
      <c r="AM346" s="6" t="n"/>
      <c r="AN346" s="6" t="n"/>
      <c r="AO346" s="3">
        <f>IF(tblOrdenes[[#This Row],[link_checklist]]="","",HYPERLINK(p_ruta_base_checklists&amp;tblOrdenes[[#This Row],[link_checklist]],"abrir"))</f>
        <v/>
      </c>
      <c r="AP346" s="6" t="n"/>
      <c r="AQ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3">
        <f>IF(tblOrdenes[[#This Row],[tipo_ot]]="","",_xlfn.XLOOKUP(tblOrdenes[[#This Row],[tipo_ot]],tblTiposOT[codigo],tblTiposOT[clasificacion],"sin_clasificar"))</f>
        <v/>
      </c>
      <c r="U347" s="3">
        <f>IF(tblOrdenes[[#This Row],[centro_costo]]="","",_xlfn.XLOOKUP(tblOrdenes[[#This Row],[centro_costo]],tblCECO[codigo],tblCECO[linea],"(sin catálogo)"))</f>
        <v/>
      </c>
      <c r="V347" s="3">
        <f>IF(tblOrdenes[[#This Row],[centro_costo]]="","",_xlfn.XLOOKUP(tblOrdenes[[#This Row],[centro_costo]],tblCECO[codigo],tblCECO[area],"(sin catálogo)"))</f>
        <v/>
      </c>
      <c r="W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3">
        <f>IF(tblOrdenes[[#This Row],[centro_costo]]="","",_xlfn.XLOOKUP(tblOrdenes[[#This Row],[centro_costo]],tblCECO[codigo],tblCECO[coordinador],"(sin catálogo)"))</f>
        <v/>
      </c>
      <c r="Y347" s="3">
        <f>IF(tblOrdenes[[#This Row],[puesto_trabajo]]="","",_xlfn.XLOOKUP(tblOrdenes[[#This Row],[puesto_trabajo]],tblPuestos[codigo],tblPuestos[especialidad],"(sin catálogo)"))</f>
        <v/>
      </c>
      <c r="Z347" s="3">
        <f>IF(tblOrdenes[[#This Row],[cod_actividad]]="","",_xlfn.XLOOKUP(tblOrdenes[[#This Row],[cod_actividad]],tblActividades[codigo],tblActividades[descripcion],"(sin catálogo)"))</f>
        <v/>
      </c>
      <c r="AA347" s="12">
        <f>IF(tblOrdenes[[#This Row],[fecha_inicio]]="","",TODAY()-tblOrdenes[[#This Row],[fecha_inicio]])</f>
        <v/>
      </c>
      <c r="AB3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3">
        <f>IF(tblOrdenes[[#This Row],[backlog_habiles]]="","",IF(tblOrdenes[[#This Row],[backlog_habiles]]&lt;0,"FUTURO",IF(tblOrdenes[[#This Row],[backlog_habiles]]&gt;p_dias_backlog_max,"BACKLOG","MES CORRIENTE")))</f>
        <v/>
      </c>
      <c r="AD347" s="3">
        <f>IF(tblOrdenes[[#This Row],[backlog_habiles]]="",FALSE,AND(tblOrdenes[[#This Row],[backlog_habiles]]&gt;p_dias_backlog_min,tblOrdenes[[#This Row],[backlog_habiles]]&lt;=p_dias_backlog_max))</f>
        <v/>
      </c>
      <c r="AE347" s="6" t="n"/>
      <c r="AF3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0">
        <f>IF(tblOrdenes[[#This Row],[orden]]="","",_xlfn.XLOOKUP(tblOrdenes[[#This Row],[id_operacion]],tblEjecucion[id_operacion],tblEjecucion[precio],0))</f>
        <v/>
      </c>
      <c r="AJ347" s="10">
        <f>IF(tblOrdenes[[#This Row],[orden]]="","",MAX(0,_xlfn.XLOOKUP(tblOrdenes[[#This Row],[id_operacion]],tblEjecucion[id_operacion],tblEjecucion[costo_plan_total],0)-tblOrdenes[[#This Row],[costo_servicio]]))</f>
        <v/>
      </c>
      <c r="AK347" s="10">
        <f>IF(tblOrdenes[[#This Row],[orden]]="","",tblOrdenes[[#This Row],[costo_servicio]]+tblOrdenes[[#This Row],[costo_materiales]])</f>
        <v/>
      </c>
      <c r="AL347" s="6" t="n"/>
      <c r="AM347" s="6" t="n"/>
      <c r="AN347" s="6" t="n"/>
      <c r="AO347" s="3">
        <f>IF(tblOrdenes[[#This Row],[link_checklist]]="","",HYPERLINK(p_ruta_base_checklists&amp;tblOrdenes[[#This Row],[link_checklist]],"abrir"))</f>
        <v/>
      </c>
      <c r="AP347" s="6" t="n"/>
      <c r="AQ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3">
        <f>IF(tblOrdenes[[#This Row],[tipo_ot]]="","",_xlfn.XLOOKUP(tblOrdenes[[#This Row],[tipo_ot]],tblTiposOT[codigo],tblTiposOT[clasificacion],"sin_clasificar"))</f>
        <v/>
      </c>
      <c r="U348" s="3">
        <f>IF(tblOrdenes[[#This Row],[centro_costo]]="","",_xlfn.XLOOKUP(tblOrdenes[[#This Row],[centro_costo]],tblCECO[codigo],tblCECO[linea],"(sin catálogo)"))</f>
        <v/>
      </c>
      <c r="V348" s="3">
        <f>IF(tblOrdenes[[#This Row],[centro_costo]]="","",_xlfn.XLOOKUP(tblOrdenes[[#This Row],[centro_costo]],tblCECO[codigo],tblCECO[area],"(sin catálogo)"))</f>
        <v/>
      </c>
      <c r="W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3">
        <f>IF(tblOrdenes[[#This Row],[centro_costo]]="","",_xlfn.XLOOKUP(tblOrdenes[[#This Row],[centro_costo]],tblCECO[codigo],tblCECO[coordinador],"(sin catálogo)"))</f>
        <v/>
      </c>
      <c r="Y348" s="3">
        <f>IF(tblOrdenes[[#This Row],[puesto_trabajo]]="","",_xlfn.XLOOKUP(tblOrdenes[[#This Row],[puesto_trabajo]],tblPuestos[codigo],tblPuestos[especialidad],"(sin catálogo)"))</f>
        <v/>
      </c>
      <c r="Z348" s="3">
        <f>IF(tblOrdenes[[#This Row],[cod_actividad]]="","",_xlfn.XLOOKUP(tblOrdenes[[#This Row],[cod_actividad]],tblActividades[codigo],tblActividades[descripcion],"(sin catálogo)"))</f>
        <v/>
      </c>
      <c r="AA348" s="12">
        <f>IF(tblOrdenes[[#This Row],[fecha_inicio]]="","",TODAY()-tblOrdenes[[#This Row],[fecha_inicio]])</f>
        <v/>
      </c>
      <c r="AB3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3">
        <f>IF(tblOrdenes[[#This Row],[backlog_habiles]]="","",IF(tblOrdenes[[#This Row],[backlog_habiles]]&lt;0,"FUTURO",IF(tblOrdenes[[#This Row],[backlog_habiles]]&gt;p_dias_backlog_max,"BACKLOG","MES CORRIENTE")))</f>
        <v/>
      </c>
      <c r="AD348" s="3">
        <f>IF(tblOrdenes[[#This Row],[backlog_habiles]]="",FALSE,AND(tblOrdenes[[#This Row],[backlog_habiles]]&gt;p_dias_backlog_min,tblOrdenes[[#This Row],[backlog_habiles]]&lt;=p_dias_backlog_max))</f>
        <v/>
      </c>
      <c r="AE348" s="6" t="n"/>
      <c r="AF3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0">
        <f>IF(tblOrdenes[[#This Row],[orden]]="","",_xlfn.XLOOKUP(tblOrdenes[[#This Row],[id_operacion]],tblEjecucion[id_operacion],tblEjecucion[precio],0))</f>
        <v/>
      </c>
      <c r="AJ348" s="10">
        <f>IF(tblOrdenes[[#This Row],[orden]]="","",MAX(0,_xlfn.XLOOKUP(tblOrdenes[[#This Row],[id_operacion]],tblEjecucion[id_operacion],tblEjecucion[costo_plan_total],0)-tblOrdenes[[#This Row],[costo_servicio]]))</f>
        <v/>
      </c>
      <c r="AK348" s="10">
        <f>IF(tblOrdenes[[#This Row],[orden]]="","",tblOrdenes[[#This Row],[costo_servicio]]+tblOrdenes[[#This Row],[costo_materiales]])</f>
        <v/>
      </c>
      <c r="AL348" s="6" t="n"/>
      <c r="AM348" s="6" t="n"/>
      <c r="AN348" s="6" t="n"/>
      <c r="AO348" s="3">
        <f>IF(tblOrdenes[[#This Row],[link_checklist]]="","",HYPERLINK(p_ruta_base_checklists&amp;tblOrdenes[[#This Row],[link_checklist]],"abrir"))</f>
        <v/>
      </c>
      <c r="AP348" s="6" t="n"/>
      <c r="AQ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3">
        <f>IF(tblOrdenes[[#This Row],[tipo_ot]]="","",_xlfn.XLOOKUP(tblOrdenes[[#This Row],[tipo_ot]],tblTiposOT[codigo],tblTiposOT[clasificacion],"sin_clasificar"))</f>
        <v/>
      </c>
      <c r="U349" s="3">
        <f>IF(tblOrdenes[[#This Row],[centro_costo]]="","",_xlfn.XLOOKUP(tblOrdenes[[#This Row],[centro_costo]],tblCECO[codigo],tblCECO[linea],"(sin catálogo)"))</f>
        <v/>
      </c>
      <c r="V349" s="3">
        <f>IF(tblOrdenes[[#This Row],[centro_costo]]="","",_xlfn.XLOOKUP(tblOrdenes[[#This Row],[centro_costo]],tblCECO[codigo],tblCECO[area],"(sin catálogo)"))</f>
        <v/>
      </c>
      <c r="W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3">
        <f>IF(tblOrdenes[[#This Row],[centro_costo]]="","",_xlfn.XLOOKUP(tblOrdenes[[#This Row],[centro_costo]],tblCECO[codigo],tblCECO[coordinador],"(sin catálogo)"))</f>
        <v/>
      </c>
      <c r="Y349" s="3">
        <f>IF(tblOrdenes[[#This Row],[puesto_trabajo]]="","",_xlfn.XLOOKUP(tblOrdenes[[#This Row],[puesto_trabajo]],tblPuestos[codigo],tblPuestos[especialidad],"(sin catálogo)"))</f>
        <v/>
      </c>
      <c r="Z349" s="3">
        <f>IF(tblOrdenes[[#This Row],[cod_actividad]]="","",_xlfn.XLOOKUP(tblOrdenes[[#This Row],[cod_actividad]],tblActividades[codigo],tblActividades[descripcion],"(sin catálogo)"))</f>
        <v/>
      </c>
      <c r="AA349" s="12">
        <f>IF(tblOrdenes[[#This Row],[fecha_inicio]]="","",TODAY()-tblOrdenes[[#This Row],[fecha_inicio]])</f>
        <v/>
      </c>
      <c r="AB3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3">
        <f>IF(tblOrdenes[[#This Row],[backlog_habiles]]="","",IF(tblOrdenes[[#This Row],[backlog_habiles]]&lt;0,"FUTURO",IF(tblOrdenes[[#This Row],[backlog_habiles]]&gt;p_dias_backlog_max,"BACKLOG","MES CORRIENTE")))</f>
        <v/>
      </c>
      <c r="AD349" s="3">
        <f>IF(tblOrdenes[[#This Row],[backlog_habiles]]="",FALSE,AND(tblOrdenes[[#This Row],[backlog_habiles]]&gt;p_dias_backlog_min,tblOrdenes[[#This Row],[backlog_habiles]]&lt;=p_dias_backlog_max))</f>
        <v/>
      </c>
      <c r="AE349" s="6" t="n"/>
      <c r="AF3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0">
        <f>IF(tblOrdenes[[#This Row],[orden]]="","",_xlfn.XLOOKUP(tblOrdenes[[#This Row],[id_operacion]],tblEjecucion[id_operacion],tblEjecucion[precio],0))</f>
        <v/>
      </c>
      <c r="AJ349" s="10">
        <f>IF(tblOrdenes[[#This Row],[orden]]="","",MAX(0,_xlfn.XLOOKUP(tblOrdenes[[#This Row],[id_operacion]],tblEjecucion[id_operacion],tblEjecucion[costo_plan_total],0)-tblOrdenes[[#This Row],[costo_servicio]]))</f>
        <v/>
      </c>
      <c r="AK349" s="10">
        <f>IF(tblOrdenes[[#This Row],[orden]]="","",tblOrdenes[[#This Row],[costo_servicio]]+tblOrdenes[[#This Row],[costo_materiales]])</f>
        <v/>
      </c>
      <c r="AL349" s="6" t="n"/>
      <c r="AM349" s="6" t="n"/>
      <c r="AN349" s="6" t="n"/>
      <c r="AO349" s="3">
        <f>IF(tblOrdenes[[#This Row],[link_checklist]]="","",HYPERLINK(p_ruta_base_checklists&amp;tblOrdenes[[#This Row],[link_checklist]],"abrir"))</f>
        <v/>
      </c>
      <c r="AP349" s="6" t="n"/>
      <c r="AQ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3">
        <f>IF(tblOrdenes[[#This Row],[tipo_ot]]="","",_xlfn.XLOOKUP(tblOrdenes[[#This Row],[tipo_ot]],tblTiposOT[codigo],tblTiposOT[clasificacion],"sin_clasificar"))</f>
        <v/>
      </c>
      <c r="U350" s="3">
        <f>IF(tblOrdenes[[#This Row],[centro_costo]]="","",_xlfn.XLOOKUP(tblOrdenes[[#This Row],[centro_costo]],tblCECO[codigo],tblCECO[linea],"(sin catálogo)"))</f>
        <v/>
      </c>
      <c r="V350" s="3">
        <f>IF(tblOrdenes[[#This Row],[centro_costo]]="","",_xlfn.XLOOKUP(tblOrdenes[[#This Row],[centro_costo]],tblCECO[codigo],tblCECO[area],"(sin catálogo)"))</f>
        <v/>
      </c>
      <c r="W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3">
        <f>IF(tblOrdenes[[#This Row],[centro_costo]]="","",_xlfn.XLOOKUP(tblOrdenes[[#This Row],[centro_costo]],tblCECO[codigo],tblCECO[coordinador],"(sin catálogo)"))</f>
        <v/>
      </c>
      <c r="Y350" s="3">
        <f>IF(tblOrdenes[[#This Row],[puesto_trabajo]]="","",_xlfn.XLOOKUP(tblOrdenes[[#This Row],[puesto_trabajo]],tblPuestos[codigo],tblPuestos[especialidad],"(sin catálogo)"))</f>
        <v/>
      </c>
      <c r="Z350" s="3">
        <f>IF(tblOrdenes[[#This Row],[cod_actividad]]="","",_xlfn.XLOOKUP(tblOrdenes[[#This Row],[cod_actividad]],tblActividades[codigo],tblActividades[descripcion],"(sin catálogo)"))</f>
        <v/>
      </c>
      <c r="AA350" s="12">
        <f>IF(tblOrdenes[[#This Row],[fecha_inicio]]="","",TODAY()-tblOrdenes[[#This Row],[fecha_inicio]])</f>
        <v/>
      </c>
      <c r="AB3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3">
        <f>IF(tblOrdenes[[#This Row],[backlog_habiles]]="","",IF(tblOrdenes[[#This Row],[backlog_habiles]]&lt;0,"FUTURO",IF(tblOrdenes[[#This Row],[backlog_habiles]]&gt;p_dias_backlog_max,"BACKLOG","MES CORRIENTE")))</f>
        <v/>
      </c>
      <c r="AD350" s="3">
        <f>IF(tblOrdenes[[#This Row],[backlog_habiles]]="",FALSE,AND(tblOrdenes[[#This Row],[backlog_habiles]]&gt;p_dias_backlog_min,tblOrdenes[[#This Row],[backlog_habiles]]&lt;=p_dias_backlog_max))</f>
        <v/>
      </c>
      <c r="AE350" s="6" t="n"/>
      <c r="AF3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0">
        <f>IF(tblOrdenes[[#This Row],[orden]]="","",_xlfn.XLOOKUP(tblOrdenes[[#This Row],[id_operacion]],tblEjecucion[id_operacion],tblEjecucion[precio],0))</f>
        <v/>
      </c>
      <c r="AJ350" s="10">
        <f>IF(tblOrdenes[[#This Row],[orden]]="","",MAX(0,_xlfn.XLOOKUP(tblOrdenes[[#This Row],[id_operacion]],tblEjecucion[id_operacion],tblEjecucion[costo_plan_total],0)-tblOrdenes[[#This Row],[costo_servicio]]))</f>
        <v/>
      </c>
      <c r="AK350" s="10">
        <f>IF(tblOrdenes[[#This Row],[orden]]="","",tblOrdenes[[#This Row],[costo_servicio]]+tblOrdenes[[#This Row],[costo_materiales]])</f>
        <v/>
      </c>
      <c r="AL350" s="6" t="n"/>
      <c r="AM350" s="6" t="n"/>
      <c r="AN350" s="6" t="n"/>
      <c r="AO350" s="3">
        <f>IF(tblOrdenes[[#This Row],[link_checklist]]="","",HYPERLINK(p_ruta_base_checklists&amp;tblOrdenes[[#This Row],[link_checklist]],"abrir"))</f>
        <v/>
      </c>
      <c r="AP350" s="6" t="n"/>
      <c r="AQ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3">
        <f>IF(tblOrdenes[[#This Row],[tipo_ot]]="","",_xlfn.XLOOKUP(tblOrdenes[[#This Row],[tipo_ot]],tblTiposOT[codigo],tblTiposOT[clasificacion],"sin_clasificar"))</f>
        <v/>
      </c>
      <c r="U351" s="3">
        <f>IF(tblOrdenes[[#This Row],[centro_costo]]="","",_xlfn.XLOOKUP(tblOrdenes[[#This Row],[centro_costo]],tblCECO[codigo],tblCECO[linea],"(sin catálogo)"))</f>
        <v/>
      </c>
      <c r="V351" s="3">
        <f>IF(tblOrdenes[[#This Row],[centro_costo]]="","",_xlfn.XLOOKUP(tblOrdenes[[#This Row],[centro_costo]],tblCECO[codigo],tblCECO[area],"(sin catálogo)"))</f>
        <v/>
      </c>
      <c r="W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3">
        <f>IF(tblOrdenes[[#This Row],[centro_costo]]="","",_xlfn.XLOOKUP(tblOrdenes[[#This Row],[centro_costo]],tblCECO[codigo],tblCECO[coordinador],"(sin catálogo)"))</f>
        <v/>
      </c>
      <c r="Y351" s="3">
        <f>IF(tblOrdenes[[#This Row],[puesto_trabajo]]="","",_xlfn.XLOOKUP(tblOrdenes[[#This Row],[puesto_trabajo]],tblPuestos[codigo],tblPuestos[especialidad],"(sin catálogo)"))</f>
        <v/>
      </c>
      <c r="Z351" s="3">
        <f>IF(tblOrdenes[[#This Row],[cod_actividad]]="","",_xlfn.XLOOKUP(tblOrdenes[[#This Row],[cod_actividad]],tblActividades[codigo],tblActividades[descripcion],"(sin catálogo)"))</f>
        <v/>
      </c>
      <c r="AA351" s="12">
        <f>IF(tblOrdenes[[#This Row],[fecha_inicio]]="","",TODAY()-tblOrdenes[[#This Row],[fecha_inicio]])</f>
        <v/>
      </c>
      <c r="AB3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3">
        <f>IF(tblOrdenes[[#This Row],[backlog_habiles]]="","",IF(tblOrdenes[[#This Row],[backlog_habiles]]&lt;0,"FUTURO",IF(tblOrdenes[[#This Row],[backlog_habiles]]&gt;p_dias_backlog_max,"BACKLOG","MES CORRIENTE")))</f>
        <v/>
      </c>
      <c r="AD351" s="3">
        <f>IF(tblOrdenes[[#This Row],[backlog_habiles]]="",FALSE,AND(tblOrdenes[[#This Row],[backlog_habiles]]&gt;p_dias_backlog_min,tblOrdenes[[#This Row],[backlog_habiles]]&lt;=p_dias_backlog_max))</f>
        <v/>
      </c>
      <c r="AE351" s="6" t="n"/>
      <c r="AF3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0">
        <f>IF(tblOrdenes[[#This Row],[orden]]="","",_xlfn.XLOOKUP(tblOrdenes[[#This Row],[id_operacion]],tblEjecucion[id_operacion],tblEjecucion[precio],0))</f>
        <v/>
      </c>
      <c r="AJ351" s="10">
        <f>IF(tblOrdenes[[#This Row],[orden]]="","",MAX(0,_xlfn.XLOOKUP(tblOrdenes[[#This Row],[id_operacion]],tblEjecucion[id_operacion],tblEjecucion[costo_plan_total],0)-tblOrdenes[[#This Row],[costo_servicio]]))</f>
        <v/>
      </c>
      <c r="AK351" s="10">
        <f>IF(tblOrdenes[[#This Row],[orden]]="","",tblOrdenes[[#This Row],[costo_servicio]]+tblOrdenes[[#This Row],[costo_materiales]])</f>
        <v/>
      </c>
      <c r="AL351" s="6" t="n"/>
      <c r="AM351" s="6" t="n"/>
      <c r="AN351" s="6" t="n"/>
      <c r="AO351" s="3">
        <f>IF(tblOrdenes[[#This Row],[link_checklist]]="","",HYPERLINK(p_ruta_base_checklists&amp;tblOrdenes[[#This Row],[link_checklist]],"abrir"))</f>
        <v/>
      </c>
      <c r="AP351" s="6" t="n"/>
      <c r="AQ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3">
        <f>IF(tblOrdenes[[#This Row],[tipo_ot]]="","",_xlfn.XLOOKUP(tblOrdenes[[#This Row],[tipo_ot]],tblTiposOT[codigo],tblTiposOT[clasificacion],"sin_clasificar"))</f>
        <v/>
      </c>
      <c r="U352" s="3">
        <f>IF(tblOrdenes[[#This Row],[centro_costo]]="","",_xlfn.XLOOKUP(tblOrdenes[[#This Row],[centro_costo]],tblCECO[codigo],tblCECO[linea],"(sin catálogo)"))</f>
        <v/>
      </c>
      <c r="V352" s="3">
        <f>IF(tblOrdenes[[#This Row],[centro_costo]]="","",_xlfn.XLOOKUP(tblOrdenes[[#This Row],[centro_costo]],tblCECO[codigo],tblCECO[area],"(sin catálogo)"))</f>
        <v/>
      </c>
      <c r="W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3">
        <f>IF(tblOrdenes[[#This Row],[centro_costo]]="","",_xlfn.XLOOKUP(tblOrdenes[[#This Row],[centro_costo]],tblCECO[codigo],tblCECO[coordinador],"(sin catálogo)"))</f>
        <v/>
      </c>
      <c r="Y352" s="3">
        <f>IF(tblOrdenes[[#This Row],[puesto_trabajo]]="","",_xlfn.XLOOKUP(tblOrdenes[[#This Row],[puesto_trabajo]],tblPuestos[codigo],tblPuestos[especialidad],"(sin catálogo)"))</f>
        <v/>
      </c>
      <c r="Z352" s="3">
        <f>IF(tblOrdenes[[#This Row],[cod_actividad]]="","",_xlfn.XLOOKUP(tblOrdenes[[#This Row],[cod_actividad]],tblActividades[codigo],tblActividades[descripcion],"(sin catálogo)"))</f>
        <v/>
      </c>
      <c r="AA352" s="12">
        <f>IF(tblOrdenes[[#This Row],[fecha_inicio]]="","",TODAY()-tblOrdenes[[#This Row],[fecha_inicio]])</f>
        <v/>
      </c>
      <c r="AB3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3">
        <f>IF(tblOrdenes[[#This Row],[backlog_habiles]]="","",IF(tblOrdenes[[#This Row],[backlog_habiles]]&lt;0,"FUTURO",IF(tblOrdenes[[#This Row],[backlog_habiles]]&gt;p_dias_backlog_max,"BACKLOG","MES CORRIENTE")))</f>
        <v/>
      </c>
      <c r="AD352" s="3">
        <f>IF(tblOrdenes[[#This Row],[backlog_habiles]]="",FALSE,AND(tblOrdenes[[#This Row],[backlog_habiles]]&gt;p_dias_backlog_min,tblOrdenes[[#This Row],[backlog_habiles]]&lt;=p_dias_backlog_max))</f>
        <v/>
      </c>
      <c r="AE352" s="6" t="n"/>
      <c r="AF3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0">
        <f>IF(tblOrdenes[[#This Row],[orden]]="","",_xlfn.XLOOKUP(tblOrdenes[[#This Row],[id_operacion]],tblEjecucion[id_operacion],tblEjecucion[precio],0))</f>
        <v/>
      </c>
      <c r="AJ352" s="10">
        <f>IF(tblOrdenes[[#This Row],[orden]]="","",MAX(0,_xlfn.XLOOKUP(tblOrdenes[[#This Row],[id_operacion]],tblEjecucion[id_operacion],tblEjecucion[costo_plan_total],0)-tblOrdenes[[#This Row],[costo_servicio]]))</f>
        <v/>
      </c>
      <c r="AK352" s="10">
        <f>IF(tblOrdenes[[#This Row],[orden]]="","",tblOrdenes[[#This Row],[costo_servicio]]+tblOrdenes[[#This Row],[costo_materiales]])</f>
        <v/>
      </c>
      <c r="AL352" s="6" t="n"/>
      <c r="AM352" s="6" t="n"/>
      <c r="AN352" s="6" t="n"/>
      <c r="AO352" s="3">
        <f>IF(tblOrdenes[[#This Row],[link_checklist]]="","",HYPERLINK(p_ruta_base_checklists&amp;tblOrdenes[[#This Row],[link_checklist]],"abrir"))</f>
        <v/>
      </c>
      <c r="AP352" s="6" t="n"/>
      <c r="AQ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3">
        <f>IF(tblOrdenes[[#This Row],[tipo_ot]]="","",_xlfn.XLOOKUP(tblOrdenes[[#This Row],[tipo_ot]],tblTiposOT[codigo],tblTiposOT[clasificacion],"sin_clasificar"))</f>
        <v/>
      </c>
      <c r="U353" s="3">
        <f>IF(tblOrdenes[[#This Row],[centro_costo]]="","",_xlfn.XLOOKUP(tblOrdenes[[#This Row],[centro_costo]],tblCECO[codigo],tblCECO[linea],"(sin catálogo)"))</f>
        <v/>
      </c>
      <c r="V353" s="3">
        <f>IF(tblOrdenes[[#This Row],[centro_costo]]="","",_xlfn.XLOOKUP(tblOrdenes[[#This Row],[centro_costo]],tblCECO[codigo],tblCECO[area],"(sin catálogo)"))</f>
        <v/>
      </c>
      <c r="W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3">
        <f>IF(tblOrdenes[[#This Row],[centro_costo]]="","",_xlfn.XLOOKUP(tblOrdenes[[#This Row],[centro_costo]],tblCECO[codigo],tblCECO[coordinador],"(sin catálogo)"))</f>
        <v/>
      </c>
      <c r="Y353" s="3">
        <f>IF(tblOrdenes[[#This Row],[puesto_trabajo]]="","",_xlfn.XLOOKUP(tblOrdenes[[#This Row],[puesto_trabajo]],tblPuestos[codigo],tblPuestos[especialidad],"(sin catálogo)"))</f>
        <v/>
      </c>
      <c r="Z353" s="3">
        <f>IF(tblOrdenes[[#This Row],[cod_actividad]]="","",_xlfn.XLOOKUP(tblOrdenes[[#This Row],[cod_actividad]],tblActividades[codigo],tblActividades[descripcion],"(sin catálogo)"))</f>
        <v/>
      </c>
      <c r="AA353" s="12">
        <f>IF(tblOrdenes[[#This Row],[fecha_inicio]]="","",TODAY()-tblOrdenes[[#This Row],[fecha_inicio]])</f>
        <v/>
      </c>
      <c r="AB3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3">
        <f>IF(tblOrdenes[[#This Row],[backlog_habiles]]="","",IF(tblOrdenes[[#This Row],[backlog_habiles]]&lt;0,"FUTURO",IF(tblOrdenes[[#This Row],[backlog_habiles]]&gt;p_dias_backlog_max,"BACKLOG","MES CORRIENTE")))</f>
        <v/>
      </c>
      <c r="AD353" s="3">
        <f>IF(tblOrdenes[[#This Row],[backlog_habiles]]="",FALSE,AND(tblOrdenes[[#This Row],[backlog_habiles]]&gt;p_dias_backlog_min,tblOrdenes[[#This Row],[backlog_habiles]]&lt;=p_dias_backlog_max))</f>
        <v/>
      </c>
      <c r="AE353" s="6" t="n"/>
      <c r="AF3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0">
        <f>IF(tblOrdenes[[#This Row],[orden]]="","",_xlfn.XLOOKUP(tblOrdenes[[#This Row],[id_operacion]],tblEjecucion[id_operacion],tblEjecucion[precio],0))</f>
        <v/>
      </c>
      <c r="AJ353" s="10">
        <f>IF(tblOrdenes[[#This Row],[orden]]="","",MAX(0,_xlfn.XLOOKUP(tblOrdenes[[#This Row],[id_operacion]],tblEjecucion[id_operacion],tblEjecucion[costo_plan_total],0)-tblOrdenes[[#This Row],[costo_servicio]]))</f>
        <v/>
      </c>
      <c r="AK353" s="10">
        <f>IF(tblOrdenes[[#This Row],[orden]]="","",tblOrdenes[[#This Row],[costo_servicio]]+tblOrdenes[[#This Row],[costo_materiales]])</f>
        <v/>
      </c>
      <c r="AL353" s="6" t="n"/>
      <c r="AM353" s="6" t="n"/>
      <c r="AN353" s="6" t="n"/>
      <c r="AO353" s="3">
        <f>IF(tblOrdenes[[#This Row],[link_checklist]]="","",HYPERLINK(p_ruta_base_checklists&amp;tblOrdenes[[#This Row],[link_checklist]],"abrir"))</f>
        <v/>
      </c>
      <c r="AP353" s="6" t="n"/>
      <c r="AQ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3">
        <f>IF(tblOrdenes[[#This Row],[tipo_ot]]="","",_xlfn.XLOOKUP(tblOrdenes[[#This Row],[tipo_ot]],tblTiposOT[codigo],tblTiposOT[clasificacion],"sin_clasificar"))</f>
        <v/>
      </c>
      <c r="U354" s="3">
        <f>IF(tblOrdenes[[#This Row],[centro_costo]]="","",_xlfn.XLOOKUP(tblOrdenes[[#This Row],[centro_costo]],tblCECO[codigo],tblCECO[linea],"(sin catálogo)"))</f>
        <v/>
      </c>
      <c r="V354" s="3">
        <f>IF(tblOrdenes[[#This Row],[centro_costo]]="","",_xlfn.XLOOKUP(tblOrdenes[[#This Row],[centro_costo]],tblCECO[codigo],tblCECO[area],"(sin catálogo)"))</f>
        <v/>
      </c>
      <c r="W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3">
        <f>IF(tblOrdenes[[#This Row],[centro_costo]]="","",_xlfn.XLOOKUP(tblOrdenes[[#This Row],[centro_costo]],tblCECO[codigo],tblCECO[coordinador],"(sin catálogo)"))</f>
        <v/>
      </c>
      <c r="Y354" s="3">
        <f>IF(tblOrdenes[[#This Row],[puesto_trabajo]]="","",_xlfn.XLOOKUP(tblOrdenes[[#This Row],[puesto_trabajo]],tblPuestos[codigo],tblPuestos[especialidad],"(sin catálogo)"))</f>
        <v/>
      </c>
      <c r="Z354" s="3">
        <f>IF(tblOrdenes[[#This Row],[cod_actividad]]="","",_xlfn.XLOOKUP(tblOrdenes[[#This Row],[cod_actividad]],tblActividades[codigo],tblActividades[descripcion],"(sin catálogo)"))</f>
        <v/>
      </c>
      <c r="AA354" s="12">
        <f>IF(tblOrdenes[[#This Row],[fecha_inicio]]="","",TODAY()-tblOrdenes[[#This Row],[fecha_inicio]])</f>
        <v/>
      </c>
      <c r="AB3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3">
        <f>IF(tblOrdenes[[#This Row],[backlog_habiles]]="","",IF(tblOrdenes[[#This Row],[backlog_habiles]]&lt;0,"FUTURO",IF(tblOrdenes[[#This Row],[backlog_habiles]]&gt;p_dias_backlog_max,"BACKLOG","MES CORRIENTE")))</f>
        <v/>
      </c>
      <c r="AD354" s="3">
        <f>IF(tblOrdenes[[#This Row],[backlog_habiles]]="",FALSE,AND(tblOrdenes[[#This Row],[backlog_habiles]]&gt;p_dias_backlog_min,tblOrdenes[[#This Row],[backlog_habiles]]&lt;=p_dias_backlog_max))</f>
        <v/>
      </c>
      <c r="AE354" s="6" t="n"/>
      <c r="AF3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0">
        <f>IF(tblOrdenes[[#This Row],[orden]]="","",_xlfn.XLOOKUP(tblOrdenes[[#This Row],[id_operacion]],tblEjecucion[id_operacion],tblEjecucion[precio],0))</f>
        <v/>
      </c>
      <c r="AJ354" s="10">
        <f>IF(tblOrdenes[[#This Row],[orden]]="","",MAX(0,_xlfn.XLOOKUP(tblOrdenes[[#This Row],[id_operacion]],tblEjecucion[id_operacion],tblEjecucion[costo_plan_total],0)-tblOrdenes[[#This Row],[costo_servicio]]))</f>
        <v/>
      </c>
      <c r="AK354" s="10">
        <f>IF(tblOrdenes[[#This Row],[orden]]="","",tblOrdenes[[#This Row],[costo_servicio]]+tblOrdenes[[#This Row],[costo_materiales]])</f>
        <v/>
      </c>
      <c r="AL354" s="6" t="n"/>
      <c r="AM354" s="6" t="n"/>
      <c r="AN354" s="6" t="n"/>
      <c r="AO354" s="3">
        <f>IF(tblOrdenes[[#This Row],[link_checklist]]="","",HYPERLINK(p_ruta_base_checklists&amp;tblOrdenes[[#This Row],[link_checklist]],"abrir"))</f>
        <v/>
      </c>
      <c r="AP354" s="6" t="n"/>
      <c r="AQ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3">
        <f>IF(tblOrdenes[[#This Row],[tipo_ot]]="","",_xlfn.XLOOKUP(tblOrdenes[[#This Row],[tipo_ot]],tblTiposOT[codigo],tblTiposOT[clasificacion],"sin_clasificar"))</f>
        <v/>
      </c>
      <c r="U355" s="3">
        <f>IF(tblOrdenes[[#This Row],[centro_costo]]="","",_xlfn.XLOOKUP(tblOrdenes[[#This Row],[centro_costo]],tblCECO[codigo],tblCECO[linea],"(sin catálogo)"))</f>
        <v/>
      </c>
      <c r="V355" s="3">
        <f>IF(tblOrdenes[[#This Row],[centro_costo]]="","",_xlfn.XLOOKUP(tblOrdenes[[#This Row],[centro_costo]],tblCECO[codigo],tblCECO[area],"(sin catálogo)"))</f>
        <v/>
      </c>
      <c r="W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3">
        <f>IF(tblOrdenes[[#This Row],[centro_costo]]="","",_xlfn.XLOOKUP(tblOrdenes[[#This Row],[centro_costo]],tblCECO[codigo],tblCECO[coordinador],"(sin catálogo)"))</f>
        <v/>
      </c>
      <c r="Y355" s="3">
        <f>IF(tblOrdenes[[#This Row],[puesto_trabajo]]="","",_xlfn.XLOOKUP(tblOrdenes[[#This Row],[puesto_trabajo]],tblPuestos[codigo],tblPuestos[especialidad],"(sin catálogo)"))</f>
        <v/>
      </c>
      <c r="Z355" s="3">
        <f>IF(tblOrdenes[[#This Row],[cod_actividad]]="","",_xlfn.XLOOKUP(tblOrdenes[[#This Row],[cod_actividad]],tblActividades[codigo],tblActividades[descripcion],"(sin catálogo)"))</f>
        <v/>
      </c>
      <c r="AA355" s="12">
        <f>IF(tblOrdenes[[#This Row],[fecha_inicio]]="","",TODAY()-tblOrdenes[[#This Row],[fecha_inicio]])</f>
        <v/>
      </c>
      <c r="AB3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3">
        <f>IF(tblOrdenes[[#This Row],[backlog_habiles]]="","",IF(tblOrdenes[[#This Row],[backlog_habiles]]&lt;0,"FUTURO",IF(tblOrdenes[[#This Row],[backlog_habiles]]&gt;p_dias_backlog_max,"BACKLOG","MES CORRIENTE")))</f>
        <v/>
      </c>
      <c r="AD355" s="3">
        <f>IF(tblOrdenes[[#This Row],[backlog_habiles]]="",FALSE,AND(tblOrdenes[[#This Row],[backlog_habiles]]&gt;p_dias_backlog_min,tblOrdenes[[#This Row],[backlog_habiles]]&lt;=p_dias_backlog_max))</f>
        <v/>
      </c>
      <c r="AE355" s="6" t="n"/>
      <c r="AF3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0">
        <f>IF(tblOrdenes[[#This Row],[orden]]="","",_xlfn.XLOOKUP(tblOrdenes[[#This Row],[id_operacion]],tblEjecucion[id_operacion],tblEjecucion[precio],0))</f>
        <v/>
      </c>
      <c r="AJ355" s="10">
        <f>IF(tblOrdenes[[#This Row],[orden]]="","",MAX(0,_xlfn.XLOOKUP(tblOrdenes[[#This Row],[id_operacion]],tblEjecucion[id_operacion],tblEjecucion[costo_plan_total],0)-tblOrdenes[[#This Row],[costo_servicio]]))</f>
        <v/>
      </c>
      <c r="AK355" s="10">
        <f>IF(tblOrdenes[[#This Row],[orden]]="","",tblOrdenes[[#This Row],[costo_servicio]]+tblOrdenes[[#This Row],[costo_materiales]])</f>
        <v/>
      </c>
      <c r="AL355" s="6" t="n"/>
      <c r="AM355" s="6" t="n"/>
      <c r="AN355" s="6" t="n"/>
      <c r="AO355" s="3">
        <f>IF(tblOrdenes[[#This Row],[link_checklist]]="","",HYPERLINK(p_ruta_base_checklists&amp;tblOrdenes[[#This Row],[link_checklist]],"abrir"))</f>
        <v/>
      </c>
      <c r="AP355" s="6" t="n"/>
      <c r="AQ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3">
        <f>IF(tblOrdenes[[#This Row],[tipo_ot]]="","",_xlfn.XLOOKUP(tblOrdenes[[#This Row],[tipo_ot]],tblTiposOT[codigo],tblTiposOT[clasificacion],"sin_clasificar"))</f>
        <v/>
      </c>
      <c r="U356" s="3">
        <f>IF(tblOrdenes[[#This Row],[centro_costo]]="","",_xlfn.XLOOKUP(tblOrdenes[[#This Row],[centro_costo]],tblCECO[codigo],tblCECO[linea],"(sin catálogo)"))</f>
        <v/>
      </c>
      <c r="V356" s="3">
        <f>IF(tblOrdenes[[#This Row],[centro_costo]]="","",_xlfn.XLOOKUP(tblOrdenes[[#This Row],[centro_costo]],tblCECO[codigo],tblCECO[area],"(sin catálogo)"))</f>
        <v/>
      </c>
      <c r="W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3">
        <f>IF(tblOrdenes[[#This Row],[centro_costo]]="","",_xlfn.XLOOKUP(tblOrdenes[[#This Row],[centro_costo]],tblCECO[codigo],tblCECO[coordinador],"(sin catálogo)"))</f>
        <v/>
      </c>
      <c r="Y356" s="3">
        <f>IF(tblOrdenes[[#This Row],[puesto_trabajo]]="","",_xlfn.XLOOKUP(tblOrdenes[[#This Row],[puesto_trabajo]],tblPuestos[codigo],tblPuestos[especialidad],"(sin catálogo)"))</f>
        <v/>
      </c>
      <c r="Z356" s="3">
        <f>IF(tblOrdenes[[#This Row],[cod_actividad]]="","",_xlfn.XLOOKUP(tblOrdenes[[#This Row],[cod_actividad]],tblActividades[codigo],tblActividades[descripcion],"(sin catálogo)"))</f>
        <v/>
      </c>
      <c r="AA356" s="12">
        <f>IF(tblOrdenes[[#This Row],[fecha_inicio]]="","",TODAY()-tblOrdenes[[#This Row],[fecha_inicio]])</f>
        <v/>
      </c>
      <c r="AB3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3">
        <f>IF(tblOrdenes[[#This Row],[backlog_habiles]]="","",IF(tblOrdenes[[#This Row],[backlog_habiles]]&lt;0,"FUTURO",IF(tblOrdenes[[#This Row],[backlog_habiles]]&gt;p_dias_backlog_max,"BACKLOG","MES CORRIENTE")))</f>
        <v/>
      </c>
      <c r="AD356" s="3">
        <f>IF(tblOrdenes[[#This Row],[backlog_habiles]]="",FALSE,AND(tblOrdenes[[#This Row],[backlog_habiles]]&gt;p_dias_backlog_min,tblOrdenes[[#This Row],[backlog_habiles]]&lt;=p_dias_backlog_max))</f>
        <v/>
      </c>
      <c r="AE356" s="6" t="n"/>
      <c r="AF3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0">
        <f>IF(tblOrdenes[[#This Row],[orden]]="","",_xlfn.XLOOKUP(tblOrdenes[[#This Row],[id_operacion]],tblEjecucion[id_operacion],tblEjecucion[precio],0))</f>
        <v/>
      </c>
      <c r="AJ356" s="10">
        <f>IF(tblOrdenes[[#This Row],[orden]]="","",MAX(0,_xlfn.XLOOKUP(tblOrdenes[[#This Row],[id_operacion]],tblEjecucion[id_operacion],tblEjecucion[costo_plan_total],0)-tblOrdenes[[#This Row],[costo_servicio]]))</f>
        <v/>
      </c>
      <c r="AK356" s="10">
        <f>IF(tblOrdenes[[#This Row],[orden]]="","",tblOrdenes[[#This Row],[costo_servicio]]+tblOrdenes[[#This Row],[costo_materiales]])</f>
        <v/>
      </c>
      <c r="AL356" s="6" t="n"/>
      <c r="AM356" s="6" t="n"/>
      <c r="AN356" s="6" t="n"/>
      <c r="AO356" s="3">
        <f>IF(tblOrdenes[[#This Row],[link_checklist]]="","",HYPERLINK(p_ruta_base_checklists&amp;tblOrdenes[[#This Row],[link_checklist]],"abrir"))</f>
        <v/>
      </c>
      <c r="AP356" s="6" t="n"/>
      <c r="AQ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3">
        <f>IF(tblOrdenes[[#This Row],[tipo_ot]]="","",_xlfn.XLOOKUP(tblOrdenes[[#This Row],[tipo_ot]],tblTiposOT[codigo],tblTiposOT[clasificacion],"sin_clasificar"))</f>
        <v/>
      </c>
      <c r="U357" s="3">
        <f>IF(tblOrdenes[[#This Row],[centro_costo]]="","",_xlfn.XLOOKUP(tblOrdenes[[#This Row],[centro_costo]],tblCECO[codigo],tblCECO[linea],"(sin catálogo)"))</f>
        <v/>
      </c>
      <c r="V357" s="3">
        <f>IF(tblOrdenes[[#This Row],[centro_costo]]="","",_xlfn.XLOOKUP(tblOrdenes[[#This Row],[centro_costo]],tblCECO[codigo],tblCECO[area],"(sin catálogo)"))</f>
        <v/>
      </c>
      <c r="W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3">
        <f>IF(tblOrdenes[[#This Row],[centro_costo]]="","",_xlfn.XLOOKUP(tblOrdenes[[#This Row],[centro_costo]],tblCECO[codigo],tblCECO[coordinador],"(sin catálogo)"))</f>
        <v/>
      </c>
      <c r="Y357" s="3">
        <f>IF(tblOrdenes[[#This Row],[puesto_trabajo]]="","",_xlfn.XLOOKUP(tblOrdenes[[#This Row],[puesto_trabajo]],tblPuestos[codigo],tblPuestos[especialidad],"(sin catálogo)"))</f>
        <v/>
      </c>
      <c r="Z357" s="3">
        <f>IF(tblOrdenes[[#This Row],[cod_actividad]]="","",_xlfn.XLOOKUP(tblOrdenes[[#This Row],[cod_actividad]],tblActividades[codigo],tblActividades[descripcion],"(sin catálogo)"))</f>
        <v/>
      </c>
      <c r="AA357" s="12">
        <f>IF(tblOrdenes[[#This Row],[fecha_inicio]]="","",TODAY()-tblOrdenes[[#This Row],[fecha_inicio]])</f>
        <v/>
      </c>
      <c r="AB3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3">
        <f>IF(tblOrdenes[[#This Row],[backlog_habiles]]="","",IF(tblOrdenes[[#This Row],[backlog_habiles]]&lt;0,"FUTURO",IF(tblOrdenes[[#This Row],[backlog_habiles]]&gt;p_dias_backlog_max,"BACKLOG","MES CORRIENTE")))</f>
        <v/>
      </c>
      <c r="AD357" s="3">
        <f>IF(tblOrdenes[[#This Row],[backlog_habiles]]="",FALSE,AND(tblOrdenes[[#This Row],[backlog_habiles]]&gt;p_dias_backlog_min,tblOrdenes[[#This Row],[backlog_habiles]]&lt;=p_dias_backlog_max))</f>
        <v/>
      </c>
      <c r="AE357" s="6" t="n"/>
      <c r="AF3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0">
        <f>IF(tblOrdenes[[#This Row],[orden]]="","",_xlfn.XLOOKUP(tblOrdenes[[#This Row],[id_operacion]],tblEjecucion[id_operacion],tblEjecucion[precio],0))</f>
        <v/>
      </c>
      <c r="AJ357" s="10">
        <f>IF(tblOrdenes[[#This Row],[orden]]="","",MAX(0,_xlfn.XLOOKUP(tblOrdenes[[#This Row],[id_operacion]],tblEjecucion[id_operacion],tblEjecucion[costo_plan_total],0)-tblOrdenes[[#This Row],[costo_servicio]]))</f>
        <v/>
      </c>
      <c r="AK357" s="10">
        <f>IF(tblOrdenes[[#This Row],[orden]]="","",tblOrdenes[[#This Row],[costo_servicio]]+tblOrdenes[[#This Row],[costo_materiales]])</f>
        <v/>
      </c>
      <c r="AL357" s="6" t="n"/>
      <c r="AM357" s="6" t="n"/>
      <c r="AN357" s="6" t="n"/>
      <c r="AO357" s="3">
        <f>IF(tblOrdenes[[#This Row],[link_checklist]]="","",HYPERLINK(p_ruta_base_checklists&amp;tblOrdenes[[#This Row],[link_checklist]],"abrir"))</f>
        <v/>
      </c>
      <c r="AP357" s="6" t="n"/>
      <c r="AQ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3">
        <f>IF(tblOrdenes[[#This Row],[tipo_ot]]="","",_xlfn.XLOOKUP(tblOrdenes[[#This Row],[tipo_ot]],tblTiposOT[codigo],tblTiposOT[clasificacion],"sin_clasificar"))</f>
        <v/>
      </c>
      <c r="U358" s="3">
        <f>IF(tblOrdenes[[#This Row],[centro_costo]]="","",_xlfn.XLOOKUP(tblOrdenes[[#This Row],[centro_costo]],tblCECO[codigo],tblCECO[linea],"(sin catálogo)"))</f>
        <v/>
      </c>
      <c r="V358" s="3">
        <f>IF(tblOrdenes[[#This Row],[centro_costo]]="","",_xlfn.XLOOKUP(tblOrdenes[[#This Row],[centro_costo]],tblCECO[codigo],tblCECO[area],"(sin catálogo)"))</f>
        <v/>
      </c>
      <c r="W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3">
        <f>IF(tblOrdenes[[#This Row],[centro_costo]]="","",_xlfn.XLOOKUP(tblOrdenes[[#This Row],[centro_costo]],tblCECO[codigo],tblCECO[coordinador],"(sin catálogo)"))</f>
        <v/>
      </c>
      <c r="Y358" s="3">
        <f>IF(tblOrdenes[[#This Row],[puesto_trabajo]]="","",_xlfn.XLOOKUP(tblOrdenes[[#This Row],[puesto_trabajo]],tblPuestos[codigo],tblPuestos[especialidad],"(sin catálogo)"))</f>
        <v/>
      </c>
      <c r="Z358" s="3">
        <f>IF(tblOrdenes[[#This Row],[cod_actividad]]="","",_xlfn.XLOOKUP(tblOrdenes[[#This Row],[cod_actividad]],tblActividades[codigo],tblActividades[descripcion],"(sin catálogo)"))</f>
        <v/>
      </c>
      <c r="AA358" s="12">
        <f>IF(tblOrdenes[[#This Row],[fecha_inicio]]="","",TODAY()-tblOrdenes[[#This Row],[fecha_inicio]])</f>
        <v/>
      </c>
      <c r="AB3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3">
        <f>IF(tblOrdenes[[#This Row],[backlog_habiles]]="","",IF(tblOrdenes[[#This Row],[backlog_habiles]]&lt;0,"FUTURO",IF(tblOrdenes[[#This Row],[backlog_habiles]]&gt;p_dias_backlog_max,"BACKLOG","MES CORRIENTE")))</f>
        <v/>
      </c>
      <c r="AD358" s="3">
        <f>IF(tblOrdenes[[#This Row],[backlog_habiles]]="",FALSE,AND(tblOrdenes[[#This Row],[backlog_habiles]]&gt;p_dias_backlog_min,tblOrdenes[[#This Row],[backlog_habiles]]&lt;=p_dias_backlog_max))</f>
        <v/>
      </c>
      <c r="AE358" s="6" t="n"/>
      <c r="AF3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0">
        <f>IF(tblOrdenes[[#This Row],[orden]]="","",_xlfn.XLOOKUP(tblOrdenes[[#This Row],[id_operacion]],tblEjecucion[id_operacion],tblEjecucion[precio],0))</f>
        <v/>
      </c>
      <c r="AJ358" s="10">
        <f>IF(tblOrdenes[[#This Row],[orden]]="","",MAX(0,_xlfn.XLOOKUP(tblOrdenes[[#This Row],[id_operacion]],tblEjecucion[id_operacion],tblEjecucion[costo_plan_total],0)-tblOrdenes[[#This Row],[costo_servicio]]))</f>
        <v/>
      </c>
      <c r="AK358" s="10">
        <f>IF(tblOrdenes[[#This Row],[orden]]="","",tblOrdenes[[#This Row],[costo_servicio]]+tblOrdenes[[#This Row],[costo_materiales]])</f>
        <v/>
      </c>
      <c r="AL358" s="6" t="n"/>
      <c r="AM358" s="6" t="n"/>
      <c r="AN358" s="6" t="n"/>
      <c r="AO358" s="3">
        <f>IF(tblOrdenes[[#This Row],[link_checklist]]="","",HYPERLINK(p_ruta_base_checklists&amp;tblOrdenes[[#This Row],[link_checklist]],"abrir"))</f>
        <v/>
      </c>
      <c r="AP358" s="6" t="n"/>
      <c r="AQ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3">
        <f>IF(tblOrdenes[[#This Row],[tipo_ot]]="","",_xlfn.XLOOKUP(tblOrdenes[[#This Row],[tipo_ot]],tblTiposOT[codigo],tblTiposOT[clasificacion],"sin_clasificar"))</f>
        <v/>
      </c>
      <c r="U359" s="3">
        <f>IF(tblOrdenes[[#This Row],[centro_costo]]="","",_xlfn.XLOOKUP(tblOrdenes[[#This Row],[centro_costo]],tblCECO[codigo],tblCECO[linea],"(sin catálogo)"))</f>
        <v/>
      </c>
      <c r="V359" s="3">
        <f>IF(tblOrdenes[[#This Row],[centro_costo]]="","",_xlfn.XLOOKUP(tblOrdenes[[#This Row],[centro_costo]],tblCECO[codigo],tblCECO[area],"(sin catálogo)"))</f>
        <v/>
      </c>
      <c r="W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3">
        <f>IF(tblOrdenes[[#This Row],[centro_costo]]="","",_xlfn.XLOOKUP(tblOrdenes[[#This Row],[centro_costo]],tblCECO[codigo],tblCECO[coordinador],"(sin catálogo)"))</f>
        <v/>
      </c>
      <c r="Y359" s="3">
        <f>IF(tblOrdenes[[#This Row],[puesto_trabajo]]="","",_xlfn.XLOOKUP(tblOrdenes[[#This Row],[puesto_trabajo]],tblPuestos[codigo],tblPuestos[especialidad],"(sin catálogo)"))</f>
        <v/>
      </c>
      <c r="Z359" s="3">
        <f>IF(tblOrdenes[[#This Row],[cod_actividad]]="","",_xlfn.XLOOKUP(tblOrdenes[[#This Row],[cod_actividad]],tblActividades[codigo],tblActividades[descripcion],"(sin catálogo)"))</f>
        <v/>
      </c>
      <c r="AA359" s="12">
        <f>IF(tblOrdenes[[#This Row],[fecha_inicio]]="","",TODAY()-tblOrdenes[[#This Row],[fecha_inicio]])</f>
        <v/>
      </c>
      <c r="AB3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3">
        <f>IF(tblOrdenes[[#This Row],[backlog_habiles]]="","",IF(tblOrdenes[[#This Row],[backlog_habiles]]&lt;0,"FUTURO",IF(tblOrdenes[[#This Row],[backlog_habiles]]&gt;p_dias_backlog_max,"BACKLOG","MES CORRIENTE")))</f>
        <v/>
      </c>
      <c r="AD359" s="3">
        <f>IF(tblOrdenes[[#This Row],[backlog_habiles]]="",FALSE,AND(tblOrdenes[[#This Row],[backlog_habiles]]&gt;p_dias_backlog_min,tblOrdenes[[#This Row],[backlog_habiles]]&lt;=p_dias_backlog_max))</f>
        <v/>
      </c>
      <c r="AE359" s="6" t="n"/>
      <c r="AF3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0">
        <f>IF(tblOrdenes[[#This Row],[orden]]="","",_xlfn.XLOOKUP(tblOrdenes[[#This Row],[id_operacion]],tblEjecucion[id_operacion],tblEjecucion[precio],0))</f>
        <v/>
      </c>
      <c r="AJ359" s="10">
        <f>IF(tblOrdenes[[#This Row],[orden]]="","",MAX(0,_xlfn.XLOOKUP(tblOrdenes[[#This Row],[id_operacion]],tblEjecucion[id_operacion],tblEjecucion[costo_plan_total],0)-tblOrdenes[[#This Row],[costo_servicio]]))</f>
        <v/>
      </c>
      <c r="AK359" s="10">
        <f>IF(tblOrdenes[[#This Row],[orden]]="","",tblOrdenes[[#This Row],[costo_servicio]]+tblOrdenes[[#This Row],[costo_materiales]])</f>
        <v/>
      </c>
      <c r="AL359" s="6" t="n"/>
      <c r="AM359" s="6" t="n"/>
      <c r="AN359" s="6" t="n"/>
      <c r="AO359" s="3">
        <f>IF(tblOrdenes[[#This Row],[link_checklist]]="","",HYPERLINK(p_ruta_base_checklists&amp;tblOrdenes[[#This Row],[link_checklist]],"abrir"))</f>
        <v/>
      </c>
      <c r="AP359" s="6" t="n"/>
      <c r="AQ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3">
        <f>IF(tblOrdenes[[#This Row],[tipo_ot]]="","",_xlfn.XLOOKUP(tblOrdenes[[#This Row],[tipo_ot]],tblTiposOT[codigo],tblTiposOT[clasificacion],"sin_clasificar"))</f>
        <v/>
      </c>
      <c r="U360" s="3">
        <f>IF(tblOrdenes[[#This Row],[centro_costo]]="","",_xlfn.XLOOKUP(tblOrdenes[[#This Row],[centro_costo]],tblCECO[codigo],tblCECO[linea],"(sin catálogo)"))</f>
        <v/>
      </c>
      <c r="V360" s="3">
        <f>IF(tblOrdenes[[#This Row],[centro_costo]]="","",_xlfn.XLOOKUP(tblOrdenes[[#This Row],[centro_costo]],tblCECO[codigo],tblCECO[area],"(sin catálogo)"))</f>
        <v/>
      </c>
      <c r="W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3">
        <f>IF(tblOrdenes[[#This Row],[centro_costo]]="","",_xlfn.XLOOKUP(tblOrdenes[[#This Row],[centro_costo]],tblCECO[codigo],tblCECO[coordinador],"(sin catálogo)"))</f>
        <v/>
      </c>
      <c r="Y360" s="3">
        <f>IF(tblOrdenes[[#This Row],[puesto_trabajo]]="","",_xlfn.XLOOKUP(tblOrdenes[[#This Row],[puesto_trabajo]],tblPuestos[codigo],tblPuestos[especialidad],"(sin catálogo)"))</f>
        <v/>
      </c>
      <c r="Z360" s="3">
        <f>IF(tblOrdenes[[#This Row],[cod_actividad]]="","",_xlfn.XLOOKUP(tblOrdenes[[#This Row],[cod_actividad]],tblActividades[codigo],tblActividades[descripcion],"(sin catálogo)"))</f>
        <v/>
      </c>
      <c r="AA360" s="12">
        <f>IF(tblOrdenes[[#This Row],[fecha_inicio]]="","",TODAY()-tblOrdenes[[#This Row],[fecha_inicio]])</f>
        <v/>
      </c>
      <c r="AB3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3">
        <f>IF(tblOrdenes[[#This Row],[backlog_habiles]]="","",IF(tblOrdenes[[#This Row],[backlog_habiles]]&lt;0,"FUTURO",IF(tblOrdenes[[#This Row],[backlog_habiles]]&gt;p_dias_backlog_max,"BACKLOG","MES CORRIENTE")))</f>
        <v/>
      </c>
      <c r="AD360" s="3">
        <f>IF(tblOrdenes[[#This Row],[backlog_habiles]]="",FALSE,AND(tblOrdenes[[#This Row],[backlog_habiles]]&gt;p_dias_backlog_min,tblOrdenes[[#This Row],[backlog_habiles]]&lt;=p_dias_backlog_max))</f>
        <v/>
      </c>
      <c r="AE360" s="6" t="n"/>
      <c r="AF3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0">
        <f>IF(tblOrdenes[[#This Row],[orden]]="","",_xlfn.XLOOKUP(tblOrdenes[[#This Row],[id_operacion]],tblEjecucion[id_operacion],tblEjecucion[precio],0))</f>
        <v/>
      </c>
      <c r="AJ360" s="10">
        <f>IF(tblOrdenes[[#This Row],[orden]]="","",MAX(0,_xlfn.XLOOKUP(tblOrdenes[[#This Row],[id_operacion]],tblEjecucion[id_operacion],tblEjecucion[costo_plan_total],0)-tblOrdenes[[#This Row],[costo_servicio]]))</f>
        <v/>
      </c>
      <c r="AK360" s="10">
        <f>IF(tblOrdenes[[#This Row],[orden]]="","",tblOrdenes[[#This Row],[costo_servicio]]+tblOrdenes[[#This Row],[costo_materiales]])</f>
        <v/>
      </c>
      <c r="AL360" s="6" t="n"/>
      <c r="AM360" s="6" t="n"/>
      <c r="AN360" s="6" t="n"/>
      <c r="AO360" s="3">
        <f>IF(tblOrdenes[[#This Row],[link_checklist]]="","",HYPERLINK(p_ruta_base_checklists&amp;tblOrdenes[[#This Row],[link_checklist]],"abrir"))</f>
        <v/>
      </c>
      <c r="AP360" s="6" t="n"/>
      <c r="AQ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3">
        <f>IF(tblOrdenes[[#This Row],[tipo_ot]]="","",_xlfn.XLOOKUP(tblOrdenes[[#This Row],[tipo_ot]],tblTiposOT[codigo],tblTiposOT[clasificacion],"sin_clasificar"))</f>
        <v/>
      </c>
      <c r="U361" s="3">
        <f>IF(tblOrdenes[[#This Row],[centro_costo]]="","",_xlfn.XLOOKUP(tblOrdenes[[#This Row],[centro_costo]],tblCECO[codigo],tblCECO[linea],"(sin catálogo)"))</f>
        <v/>
      </c>
      <c r="V361" s="3">
        <f>IF(tblOrdenes[[#This Row],[centro_costo]]="","",_xlfn.XLOOKUP(tblOrdenes[[#This Row],[centro_costo]],tblCECO[codigo],tblCECO[area],"(sin catálogo)"))</f>
        <v/>
      </c>
      <c r="W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3">
        <f>IF(tblOrdenes[[#This Row],[centro_costo]]="","",_xlfn.XLOOKUP(tblOrdenes[[#This Row],[centro_costo]],tblCECO[codigo],tblCECO[coordinador],"(sin catálogo)"))</f>
        <v/>
      </c>
      <c r="Y361" s="3">
        <f>IF(tblOrdenes[[#This Row],[puesto_trabajo]]="","",_xlfn.XLOOKUP(tblOrdenes[[#This Row],[puesto_trabajo]],tblPuestos[codigo],tblPuestos[especialidad],"(sin catálogo)"))</f>
        <v/>
      </c>
      <c r="Z361" s="3">
        <f>IF(tblOrdenes[[#This Row],[cod_actividad]]="","",_xlfn.XLOOKUP(tblOrdenes[[#This Row],[cod_actividad]],tblActividades[codigo],tblActividades[descripcion],"(sin catálogo)"))</f>
        <v/>
      </c>
      <c r="AA361" s="12">
        <f>IF(tblOrdenes[[#This Row],[fecha_inicio]]="","",TODAY()-tblOrdenes[[#This Row],[fecha_inicio]])</f>
        <v/>
      </c>
      <c r="AB3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3">
        <f>IF(tblOrdenes[[#This Row],[backlog_habiles]]="","",IF(tblOrdenes[[#This Row],[backlog_habiles]]&lt;0,"FUTURO",IF(tblOrdenes[[#This Row],[backlog_habiles]]&gt;p_dias_backlog_max,"BACKLOG","MES CORRIENTE")))</f>
        <v/>
      </c>
      <c r="AD361" s="3">
        <f>IF(tblOrdenes[[#This Row],[backlog_habiles]]="",FALSE,AND(tblOrdenes[[#This Row],[backlog_habiles]]&gt;p_dias_backlog_min,tblOrdenes[[#This Row],[backlog_habiles]]&lt;=p_dias_backlog_max))</f>
        <v/>
      </c>
      <c r="AE361" s="6" t="n"/>
      <c r="AF3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0">
        <f>IF(tblOrdenes[[#This Row],[orden]]="","",_xlfn.XLOOKUP(tblOrdenes[[#This Row],[id_operacion]],tblEjecucion[id_operacion],tblEjecucion[precio],0))</f>
        <v/>
      </c>
      <c r="AJ361" s="10">
        <f>IF(tblOrdenes[[#This Row],[orden]]="","",MAX(0,_xlfn.XLOOKUP(tblOrdenes[[#This Row],[id_operacion]],tblEjecucion[id_operacion],tblEjecucion[costo_plan_total],0)-tblOrdenes[[#This Row],[costo_servicio]]))</f>
        <v/>
      </c>
      <c r="AK361" s="10">
        <f>IF(tblOrdenes[[#This Row],[orden]]="","",tblOrdenes[[#This Row],[costo_servicio]]+tblOrdenes[[#This Row],[costo_materiales]])</f>
        <v/>
      </c>
      <c r="AL361" s="6" t="n"/>
      <c r="AM361" s="6" t="n"/>
      <c r="AN361" s="6" t="n"/>
      <c r="AO361" s="3">
        <f>IF(tblOrdenes[[#This Row],[link_checklist]]="","",HYPERLINK(p_ruta_base_checklists&amp;tblOrdenes[[#This Row],[link_checklist]],"abrir"))</f>
        <v/>
      </c>
      <c r="AP361" s="6" t="n"/>
      <c r="AQ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3">
        <f>IF(tblOrdenes[[#This Row],[tipo_ot]]="","",_xlfn.XLOOKUP(tblOrdenes[[#This Row],[tipo_ot]],tblTiposOT[codigo],tblTiposOT[clasificacion],"sin_clasificar"))</f>
        <v/>
      </c>
      <c r="U362" s="3">
        <f>IF(tblOrdenes[[#This Row],[centro_costo]]="","",_xlfn.XLOOKUP(tblOrdenes[[#This Row],[centro_costo]],tblCECO[codigo],tblCECO[linea],"(sin catálogo)"))</f>
        <v/>
      </c>
      <c r="V362" s="3">
        <f>IF(tblOrdenes[[#This Row],[centro_costo]]="","",_xlfn.XLOOKUP(tblOrdenes[[#This Row],[centro_costo]],tblCECO[codigo],tblCECO[area],"(sin catálogo)"))</f>
        <v/>
      </c>
      <c r="W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3">
        <f>IF(tblOrdenes[[#This Row],[centro_costo]]="","",_xlfn.XLOOKUP(tblOrdenes[[#This Row],[centro_costo]],tblCECO[codigo],tblCECO[coordinador],"(sin catálogo)"))</f>
        <v/>
      </c>
      <c r="Y362" s="3">
        <f>IF(tblOrdenes[[#This Row],[puesto_trabajo]]="","",_xlfn.XLOOKUP(tblOrdenes[[#This Row],[puesto_trabajo]],tblPuestos[codigo],tblPuestos[especialidad],"(sin catálogo)"))</f>
        <v/>
      </c>
      <c r="Z362" s="3">
        <f>IF(tblOrdenes[[#This Row],[cod_actividad]]="","",_xlfn.XLOOKUP(tblOrdenes[[#This Row],[cod_actividad]],tblActividades[codigo],tblActividades[descripcion],"(sin catálogo)"))</f>
        <v/>
      </c>
      <c r="AA362" s="12">
        <f>IF(tblOrdenes[[#This Row],[fecha_inicio]]="","",TODAY()-tblOrdenes[[#This Row],[fecha_inicio]])</f>
        <v/>
      </c>
      <c r="AB3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3">
        <f>IF(tblOrdenes[[#This Row],[backlog_habiles]]="","",IF(tblOrdenes[[#This Row],[backlog_habiles]]&lt;0,"FUTURO",IF(tblOrdenes[[#This Row],[backlog_habiles]]&gt;p_dias_backlog_max,"BACKLOG","MES CORRIENTE")))</f>
        <v/>
      </c>
      <c r="AD362" s="3">
        <f>IF(tblOrdenes[[#This Row],[backlog_habiles]]="",FALSE,AND(tblOrdenes[[#This Row],[backlog_habiles]]&gt;p_dias_backlog_min,tblOrdenes[[#This Row],[backlog_habiles]]&lt;=p_dias_backlog_max))</f>
        <v/>
      </c>
      <c r="AE362" s="6" t="n"/>
      <c r="AF3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0">
        <f>IF(tblOrdenes[[#This Row],[orden]]="","",_xlfn.XLOOKUP(tblOrdenes[[#This Row],[id_operacion]],tblEjecucion[id_operacion],tblEjecucion[precio],0))</f>
        <v/>
      </c>
      <c r="AJ362" s="10">
        <f>IF(tblOrdenes[[#This Row],[orden]]="","",MAX(0,_xlfn.XLOOKUP(tblOrdenes[[#This Row],[id_operacion]],tblEjecucion[id_operacion],tblEjecucion[costo_plan_total],0)-tblOrdenes[[#This Row],[costo_servicio]]))</f>
        <v/>
      </c>
      <c r="AK362" s="10">
        <f>IF(tblOrdenes[[#This Row],[orden]]="","",tblOrdenes[[#This Row],[costo_servicio]]+tblOrdenes[[#This Row],[costo_materiales]])</f>
        <v/>
      </c>
      <c r="AL362" s="6" t="n"/>
      <c r="AM362" s="6" t="n"/>
      <c r="AN362" s="6" t="n"/>
      <c r="AO362" s="3">
        <f>IF(tblOrdenes[[#This Row],[link_checklist]]="","",HYPERLINK(p_ruta_base_checklists&amp;tblOrdenes[[#This Row],[link_checklist]],"abrir"))</f>
        <v/>
      </c>
      <c r="AP362" s="6" t="n"/>
      <c r="AQ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3">
        <f>IF(tblOrdenes[[#This Row],[tipo_ot]]="","",_xlfn.XLOOKUP(tblOrdenes[[#This Row],[tipo_ot]],tblTiposOT[codigo],tblTiposOT[clasificacion],"sin_clasificar"))</f>
        <v/>
      </c>
      <c r="U363" s="3">
        <f>IF(tblOrdenes[[#This Row],[centro_costo]]="","",_xlfn.XLOOKUP(tblOrdenes[[#This Row],[centro_costo]],tblCECO[codigo],tblCECO[linea],"(sin catálogo)"))</f>
        <v/>
      </c>
      <c r="V363" s="3">
        <f>IF(tblOrdenes[[#This Row],[centro_costo]]="","",_xlfn.XLOOKUP(tblOrdenes[[#This Row],[centro_costo]],tblCECO[codigo],tblCECO[area],"(sin catálogo)"))</f>
        <v/>
      </c>
      <c r="W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3">
        <f>IF(tblOrdenes[[#This Row],[centro_costo]]="","",_xlfn.XLOOKUP(tblOrdenes[[#This Row],[centro_costo]],tblCECO[codigo],tblCECO[coordinador],"(sin catálogo)"))</f>
        <v/>
      </c>
      <c r="Y363" s="3">
        <f>IF(tblOrdenes[[#This Row],[puesto_trabajo]]="","",_xlfn.XLOOKUP(tblOrdenes[[#This Row],[puesto_trabajo]],tblPuestos[codigo],tblPuestos[especialidad],"(sin catálogo)"))</f>
        <v/>
      </c>
      <c r="Z363" s="3">
        <f>IF(tblOrdenes[[#This Row],[cod_actividad]]="","",_xlfn.XLOOKUP(tblOrdenes[[#This Row],[cod_actividad]],tblActividades[codigo],tblActividades[descripcion],"(sin catálogo)"))</f>
        <v/>
      </c>
      <c r="AA363" s="12">
        <f>IF(tblOrdenes[[#This Row],[fecha_inicio]]="","",TODAY()-tblOrdenes[[#This Row],[fecha_inicio]])</f>
        <v/>
      </c>
      <c r="AB3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3">
        <f>IF(tblOrdenes[[#This Row],[backlog_habiles]]="","",IF(tblOrdenes[[#This Row],[backlog_habiles]]&lt;0,"FUTURO",IF(tblOrdenes[[#This Row],[backlog_habiles]]&gt;p_dias_backlog_max,"BACKLOG","MES CORRIENTE")))</f>
        <v/>
      </c>
      <c r="AD363" s="3">
        <f>IF(tblOrdenes[[#This Row],[backlog_habiles]]="",FALSE,AND(tblOrdenes[[#This Row],[backlog_habiles]]&gt;p_dias_backlog_min,tblOrdenes[[#This Row],[backlog_habiles]]&lt;=p_dias_backlog_max))</f>
        <v/>
      </c>
      <c r="AE363" s="6" t="n"/>
      <c r="AF3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0">
        <f>IF(tblOrdenes[[#This Row],[orden]]="","",_xlfn.XLOOKUP(tblOrdenes[[#This Row],[id_operacion]],tblEjecucion[id_operacion],tblEjecucion[precio],0))</f>
        <v/>
      </c>
      <c r="AJ363" s="10">
        <f>IF(tblOrdenes[[#This Row],[orden]]="","",MAX(0,_xlfn.XLOOKUP(tblOrdenes[[#This Row],[id_operacion]],tblEjecucion[id_operacion],tblEjecucion[costo_plan_total],0)-tblOrdenes[[#This Row],[costo_servicio]]))</f>
        <v/>
      </c>
      <c r="AK363" s="10">
        <f>IF(tblOrdenes[[#This Row],[orden]]="","",tblOrdenes[[#This Row],[costo_servicio]]+tblOrdenes[[#This Row],[costo_materiales]])</f>
        <v/>
      </c>
      <c r="AL363" s="6" t="n"/>
      <c r="AM363" s="6" t="n"/>
      <c r="AN363" s="6" t="n"/>
      <c r="AO363" s="3">
        <f>IF(tblOrdenes[[#This Row],[link_checklist]]="","",HYPERLINK(p_ruta_base_checklists&amp;tblOrdenes[[#This Row],[link_checklist]],"abrir"))</f>
        <v/>
      </c>
      <c r="AP363" s="6" t="n"/>
      <c r="AQ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3">
        <f>IF(tblOrdenes[[#This Row],[tipo_ot]]="","",_xlfn.XLOOKUP(tblOrdenes[[#This Row],[tipo_ot]],tblTiposOT[codigo],tblTiposOT[clasificacion],"sin_clasificar"))</f>
        <v/>
      </c>
      <c r="U364" s="3">
        <f>IF(tblOrdenes[[#This Row],[centro_costo]]="","",_xlfn.XLOOKUP(tblOrdenes[[#This Row],[centro_costo]],tblCECO[codigo],tblCECO[linea],"(sin catálogo)"))</f>
        <v/>
      </c>
      <c r="V364" s="3">
        <f>IF(tblOrdenes[[#This Row],[centro_costo]]="","",_xlfn.XLOOKUP(tblOrdenes[[#This Row],[centro_costo]],tblCECO[codigo],tblCECO[area],"(sin catálogo)"))</f>
        <v/>
      </c>
      <c r="W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3">
        <f>IF(tblOrdenes[[#This Row],[centro_costo]]="","",_xlfn.XLOOKUP(tblOrdenes[[#This Row],[centro_costo]],tblCECO[codigo],tblCECO[coordinador],"(sin catálogo)"))</f>
        <v/>
      </c>
      <c r="Y364" s="3">
        <f>IF(tblOrdenes[[#This Row],[puesto_trabajo]]="","",_xlfn.XLOOKUP(tblOrdenes[[#This Row],[puesto_trabajo]],tblPuestos[codigo],tblPuestos[especialidad],"(sin catálogo)"))</f>
        <v/>
      </c>
      <c r="Z364" s="3">
        <f>IF(tblOrdenes[[#This Row],[cod_actividad]]="","",_xlfn.XLOOKUP(tblOrdenes[[#This Row],[cod_actividad]],tblActividades[codigo],tblActividades[descripcion],"(sin catálogo)"))</f>
        <v/>
      </c>
      <c r="AA364" s="12">
        <f>IF(tblOrdenes[[#This Row],[fecha_inicio]]="","",TODAY()-tblOrdenes[[#This Row],[fecha_inicio]])</f>
        <v/>
      </c>
      <c r="AB3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3">
        <f>IF(tblOrdenes[[#This Row],[backlog_habiles]]="","",IF(tblOrdenes[[#This Row],[backlog_habiles]]&lt;0,"FUTURO",IF(tblOrdenes[[#This Row],[backlog_habiles]]&gt;p_dias_backlog_max,"BACKLOG","MES CORRIENTE")))</f>
        <v/>
      </c>
      <c r="AD364" s="3">
        <f>IF(tblOrdenes[[#This Row],[backlog_habiles]]="",FALSE,AND(tblOrdenes[[#This Row],[backlog_habiles]]&gt;p_dias_backlog_min,tblOrdenes[[#This Row],[backlog_habiles]]&lt;=p_dias_backlog_max))</f>
        <v/>
      </c>
      <c r="AE364" s="6" t="n"/>
      <c r="AF3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0">
        <f>IF(tblOrdenes[[#This Row],[orden]]="","",_xlfn.XLOOKUP(tblOrdenes[[#This Row],[id_operacion]],tblEjecucion[id_operacion],tblEjecucion[precio],0))</f>
        <v/>
      </c>
      <c r="AJ364" s="10">
        <f>IF(tblOrdenes[[#This Row],[orden]]="","",MAX(0,_xlfn.XLOOKUP(tblOrdenes[[#This Row],[id_operacion]],tblEjecucion[id_operacion],tblEjecucion[costo_plan_total],0)-tblOrdenes[[#This Row],[costo_servicio]]))</f>
        <v/>
      </c>
      <c r="AK364" s="10">
        <f>IF(tblOrdenes[[#This Row],[orden]]="","",tblOrdenes[[#This Row],[costo_servicio]]+tblOrdenes[[#This Row],[costo_materiales]])</f>
        <v/>
      </c>
      <c r="AL364" s="6" t="n"/>
      <c r="AM364" s="6" t="n"/>
      <c r="AN364" s="6" t="n"/>
      <c r="AO364" s="3">
        <f>IF(tblOrdenes[[#This Row],[link_checklist]]="","",HYPERLINK(p_ruta_base_checklists&amp;tblOrdenes[[#This Row],[link_checklist]],"abrir"))</f>
        <v/>
      </c>
      <c r="AP364" s="6" t="n"/>
      <c r="AQ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3">
        <f>IF(tblOrdenes[[#This Row],[tipo_ot]]="","",_xlfn.XLOOKUP(tblOrdenes[[#This Row],[tipo_ot]],tblTiposOT[codigo],tblTiposOT[clasificacion],"sin_clasificar"))</f>
        <v/>
      </c>
      <c r="U365" s="3">
        <f>IF(tblOrdenes[[#This Row],[centro_costo]]="","",_xlfn.XLOOKUP(tblOrdenes[[#This Row],[centro_costo]],tblCECO[codigo],tblCECO[linea],"(sin catálogo)"))</f>
        <v/>
      </c>
      <c r="V365" s="3">
        <f>IF(tblOrdenes[[#This Row],[centro_costo]]="","",_xlfn.XLOOKUP(tblOrdenes[[#This Row],[centro_costo]],tblCECO[codigo],tblCECO[area],"(sin catálogo)"))</f>
        <v/>
      </c>
      <c r="W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3">
        <f>IF(tblOrdenes[[#This Row],[centro_costo]]="","",_xlfn.XLOOKUP(tblOrdenes[[#This Row],[centro_costo]],tblCECO[codigo],tblCECO[coordinador],"(sin catálogo)"))</f>
        <v/>
      </c>
      <c r="Y365" s="3">
        <f>IF(tblOrdenes[[#This Row],[puesto_trabajo]]="","",_xlfn.XLOOKUP(tblOrdenes[[#This Row],[puesto_trabajo]],tblPuestos[codigo],tblPuestos[especialidad],"(sin catálogo)"))</f>
        <v/>
      </c>
      <c r="Z365" s="3">
        <f>IF(tblOrdenes[[#This Row],[cod_actividad]]="","",_xlfn.XLOOKUP(tblOrdenes[[#This Row],[cod_actividad]],tblActividades[codigo],tblActividades[descripcion],"(sin catálogo)"))</f>
        <v/>
      </c>
      <c r="AA365" s="12">
        <f>IF(tblOrdenes[[#This Row],[fecha_inicio]]="","",TODAY()-tblOrdenes[[#This Row],[fecha_inicio]])</f>
        <v/>
      </c>
      <c r="AB3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3">
        <f>IF(tblOrdenes[[#This Row],[backlog_habiles]]="","",IF(tblOrdenes[[#This Row],[backlog_habiles]]&lt;0,"FUTURO",IF(tblOrdenes[[#This Row],[backlog_habiles]]&gt;p_dias_backlog_max,"BACKLOG","MES CORRIENTE")))</f>
        <v/>
      </c>
      <c r="AD365" s="3">
        <f>IF(tblOrdenes[[#This Row],[backlog_habiles]]="",FALSE,AND(tblOrdenes[[#This Row],[backlog_habiles]]&gt;p_dias_backlog_min,tblOrdenes[[#This Row],[backlog_habiles]]&lt;=p_dias_backlog_max))</f>
        <v/>
      </c>
      <c r="AE365" s="6" t="n"/>
      <c r="AF3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0">
        <f>IF(tblOrdenes[[#This Row],[orden]]="","",_xlfn.XLOOKUP(tblOrdenes[[#This Row],[id_operacion]],tblEjecucion[id_operacion],tblEjecucion[precio],0))</f>
        <v/>
      </c>
      <c r="AJ365" s="10">
        <f>IF(tblOrdenes[[#This Row],[orden]]="","",MAX(0,_xlfn.XLOOKUP(tblOrdenes[[#This Row],[id_operacion]],tblEjecucion[id_operacion],tblEjecucion[costo_plan_total],0)-tblOrdenes[[#This Row],[costo_servicio]]))</f>
        <v/>
      </c>
      <c r="AK365" s="10">
        <f>IF(tblOrdenes[[#This Row],[orden]]="","",tblOrdenes[[#This Row],[costo_servicio]]+tblOrdenes[[#This Row],[costo_materiales]])</f>
        <v/>
      </c>
      <c r="AL365" s="6" t="n"/>
      <c r="AM365" s="6" t="n"/>
      <c r="AN365" s="6" t="n"/>
      <c r="AO365" s="3">
        <f>IF(tblOrdenes[[#This Row],[link_checklist]]="","",HYPERLINK(p_ruta_base_checklists&amp;tblOrdenes[[#This Row],[link_checklist]],"abrir"))</f>
        <v/>
      </c>
      <c r="AP365" s="6" t="n"/>
      <c r="AQ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3">
        <f>IF(tblOrdenes[[#This Row],[tipo_ot]]="","",_xlfn.XLOOKUP(tblOrdenes[[#This Row],[tipo_ot]],tblTiposOT[codigo],tblTiposOT[clasificacion],"sin_clasificar"))</f>
        <v/>
      </c>
      <c r="U366" s="3">
        <f>IF(tblOrdenes[[#This Row],[centro_costo]]="","",_xlfn.XLOOKUP(tblOrdenes[[#This Row],[centro_costo]],tblCECO[codigo],tblCECO[linea],"(sin catálogo)"))</f>
        <v/>
      </c>
      <c r="V366" s="3">
        <f>IF(tblOrdenes[[#This Row],[centro_costo]]="","",_xlfn.XLOOKUP(tblOrdenes[[#This Row],[centro_costo]],tblCECO[codigo],tblCECO[area],"(sin catálogo)"))</f>
        <v/>
      </c>
      <c r="W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3">
        <f>IF(tblOrdenes[[#This Row],[centro_costo]]="","",_xlfn.XLOOKUP(tblOrdenes[[#This Row],[centro_costo]],tblCECO[codigo],tblCECO[coordinador],"(sin catálogo)"))</f>
        <v/>
      </c>
      <c r="Y366" s="3">
        <f>IF(tblOrdenes[[#This Row],[puesto_trabajo]]="","",_xlfn.XLOOKUP(tblOrdenes[[#This Row],[puesto_trabajo]],tblPuestos[codigo],tblPuestos[especialidad],"(sin catálogo)"))</f>
        <v/>
      </c>
      <c r="Z366" s="3">
        <f>IF(tblOrdenes[[#This Row],[cod_actividad]]="","",_xlfn.XLOOKUP(tblOrdenes[[#This Row],[cod_actividad]],tblActividades[codigo],tblActividades[descripcion],"(sin catálogo)"))</f>
        <v/>
      </c>
      <c r="AA366" s="12">
        <f>IF(tblOrdenes[[#This Row],[fecha_inicio]]="","",TODAY()-tblOrdenes[[#This Row],[fecha_inicio]])</f>
        <v/>
      </c>
      <c r="AB3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3">
        <f>IF(tblOrdenes[[#This Row],[backlog_habiles]]="","",IF(tblOrdenes[[#This Row],[backlog_habiles]]&lt;0,"FUTURO",IF(tblOrdenes[[#This Row],[backlog_habiles]]&gt;p_dias_backlog_max,"BACKLOG","MES CORRIENTE")))</f>
        <v/>
      </c>
      <c r="AD366" s="3">
        <f>IF(tblOrdenes[[#This Row],[backlog_habiles]]="",FALSE,AND(tblOrdenes[[#This Row],[backlog_habiles]]&gt;p_dias_backlog_min,tblOrdenes[[#This Row],[backlog_habiles]]&lt;=p_dias_backlog_max))</f>
        <v/>
      </c>
      <c r="AE366" s="6" t="n"/>
      <c r="AF3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0">
        <f>IF(tblOrdenes[[#This Row],[orden]]="","",_xlfn.XLOOKUP(tblOrdenes[[#This Row],[id_operacion]],tblEjecucion[id_operacion],tblEjecucion[precio],0))</f>
        <v/>
      </c>
      <c r="AJ366" s="10">
        <f>IF(tblOrdenes[[#This Row],[orden]]="","",MAX(0,_xlfn.XLOOKUP(tblOrdenes[[#This Row],[id_operacion]],tblEjecucion[id_operacion],tblEjecucion[costo_plan_total],0)-tblOrdenes[[#This Row],[costo_servicio]]))</f>
        <v/>
      </c>
      <c r="AK366" s="10">
        <f>IF(tblOrdenes[[#This Row],[orden]]="","",tblOrdenes[[#This Row],[costo_servicio]]+tblOrdenes[[#This Row],[costo_materiales]])</f>
        <v/>
      </c>
      <c r="AL366" s="6" t="n"/>
      <c r="AM366" s="6" t="n"/>
      <c r="AN366" s="6" t="n"/>
      <c r="AO366" s="3">
        <f>IF(tblOrdenes[[#This Row],[link_checklist]]="","",HYPERLINK(p_ruta_base_checklists&amp;tblOrdenes[[#This Row],[link_checklist]],"abrir"))</f>
        <v/>
      </c>
      <c r="AP366" s="6" t="n"/>
      <c r="AQ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3">
        <f>IF(tblOrdenes[[#This Row],[tipo_ot]]="","",_xlfn.XLOOKUP(tblOrdenes[[#This Row],[tipo_ot]],tblTiposOT[codigo],tblTiposOT[clasificacion],"sin_clasificar"))</f>
        <v/>
      </c>
      <c r="U367" s="3">
        <f>IF(tblOrdenes[[#This Row],[centro_costo]]="","",_xlfn.XLOOKUP(tblOrdenes[[#This Row],[centro_costo]],tblCECO[codigo],tblCECO[linea],"(sin catálogo)"))</f>
        <v/>
      </c>
      <c r="V367" s="3">
        <f>IF(tblOrdenes[[#This Row],[centro_costo]]="","",_xlfn.XLOOKUP(tblOrdenes[[#This Row],[centro_costo]],tblCECO[codigo],tblCECO[area],"(sin catálogo)"))</f>
        <v/>
      </c>
      <c r="W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3">
        <f>IF(tblOrdenes[[#This Row],[centro_costo]]="","",_xlfn.XLOOKUP(tblOrdenes[[#This Row],[centro_costo]],tblCECO[codigo],tblCECO[coordinador],"(sin catálogo)"))</f>
        <v/>
      </c>
      <c r="Y367" s="3">
        <f>IF(tblOrdenes[[#This Row],[puesto_trabajo]]="","",_xlfn.XLOOKUP(tblOrdenes[[#This Row],[puesto_trabajo]],tblPuestos[codigo],tblPuestos[especialidad],"(sin catálogo)"))</f>
        <v/>
      </c>
      <c r="Z367" s="3">
        <f>IF(tblOrdenes[[#This Row],[cod_actividad]]="","",_xlfn.XLOOKUP(tblOrdenes[[#This Row],[cod_actividad]],tblActividades[codigo],tblActividades[descripcion],"(sin catálogo)"))</f>
        <v/>
      </c>
      <c r="AA367" s="12">
        <f>IF(tblOrdenes[[#This Row],[fecha_inicio]]="","",TODAY()-tblOrdenes[[#This Row],[fecha_inicio]])</f>
        <v/>
      </c>
      <c r="AB3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3">
        <f>IF(tblOrdenes[[#This Row],[backlog_habiles]]="","",IF(tblOrdenes[[#This Row],[backlog_habiles]]&lt;0,"FUTURO",IF(tblOrdenes[[#This Row],[backlog_habiles]]&gt;p_dias_backlog_max,"BACKLOG","MES CORRIENTE")))</f>
        <v/>
      </c>
      <c r="AD367" s="3">
        <f>IF(tblOrdenes[[#This Row],[backlog_habiles]]="",FALSE,AND(tblOrdenes[[#This Row],[backlog_habiles]]&gt;p_dias_backlog_min,tblOrdenes[[#This Row],[backlog_habiles]]&lt;=p_dias_backlog_max))</f>
        <v/>
      </c>
      <c r="AE367" s="6" t="n"/>
      <c r="AF3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0">
        <f>IF(tblOrdenes[[#This Row],[orden]]="","",_xlfn.XLOOKUP(tblOrdenes[[#This Row],[id_operacion]],tblEjecucion[id_operacion],tblEjecucion[precio],0))</f>
        <v/>
      </c>
      <c r="AJ367" s="10">
        <f>IF(tblOrdenes[[#This Row],[orden]]="","",MAX(0,_xlfn.XLOOKUP(tblOrdenes[[#This Row],[id_operacion]],tblEjecucion[id_operacion],tblEjecucion[costo_plan_total],0)-tblOrdenes[[#This Row],[costo_servicio]]))</f>
        <v/>
      </c>
      <c r="AK367" s="10">
        <f>IF(tblOrdenes[[#This Row],[orden]]="","",tblOrdenes[[#This Row],[costo_servicio]]+tblOrdenes[[#This Row],[costo_materiales]])</f>
        <v/>
      </c>
      <c r="AL367" s="6" t="n"/>
      <c r="AM367" s="6" t="n"/>
      <c r="AN367" s="6" t="n"/>
      <c r="AO367" s="3">
        <f>IF(tblOrdenes[[#This Row],[link_checklist]]="","",HYPERLINK(p_ruta_base_checklists&amp;tblOrdenes[[#This Row],[link_checklist]],"abrir"))</f>
        <v/>
      </c>
      <c r="AP367" s="6" t="n"/>
      <c r="AQ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3">
        <f>IF(tblOrdenes[[#This Row],[tipo_ot]]="","",_xlfn.XLOOKUP(tblOrdenes[[#This Row],[tipo_ot]],tblTiposOT[codigo],tblTiposOT[clasificacion],"sin_clasificar"))</f>
        <v/>
      </c>
      <c r="U368" s="3">
        <f>IF(tblOrdenes[[#This Row],[centro_costo]]="","",_xlfn.XLOOKUP(tblOrdenes[[#This Row],[centro_costo]],tblCECO[codigo],tblCECO[linea],"(sin catálogo)"))</f>
        <v/>
      </c>
      <c r="V368" s="3">
        <f>IF(tblOrdenes[[#This Row],[centro_costo]]="","",_xlfn.XLOOKUP(tblOrdenes[[#This Row],[centro_costo]],tblCECO[codigo],tblCECO[area],"(sin catálogo)"))</f>
        <v/>
      </c>
      <c r="W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3">
        <f>IF(tblOrdenes[[#This Row],[centro_costo]]="","",_xlfn.XLOOKUP(tblOrdenes[[#This Row],[centro_costo]],tblCECO[codigo],tblCECO[coordinador],"(sin catálogo)"))</f>
        <v/>
      </c>
      <c r="Y368" s="3">
        <f>IF(tblOrdenes[[#This Row],[puesto_trabajo]]="","",_xlfn.XLOOKUP(tblOrdenes[[#This Row],[puesto_trabajo]],tblPuestos[codigo],tblPuestos[especialidad],"(sin catálogo)"))</f>
        <v/>
      </c>
      <c r="Z368" s="3">
        <f>IF(tblOrdenes[[#This Row],[cod_actividad]]="","",_xlfn.XLOOKUP(tblOrdenes[[#This Row],[cod_actividad]],tblActividades[codigo],tblActividades[descripcion],"(sin catálogo)"))</f>
        <v/>
      </c>
      <c r="AA368" s="12">
        <f>IF(tblOrdenes[[#This Row],[fecha_inicio]]="","",TODAY()-tblOrdenes[[#This Row],[fecha_inicio]])</f>
        <v/>
      </c>
      <c r="AB3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3">
        <f>IF(tblOrdenes[[#This Row],[backlog_habiles]]="","",IF(tblOrdenes[[#This Row],[backlog_habiles]]&lt;0,"FUTURO",IF(tblOrdenes[[#This Row],[backlog_habiles]]&gt;p_dias_backlog_max,"BACKLOG","MES CORRIENTE")))</f>
        <v/>
      </c>
      <c r="AD368" s="3">
        <f>IF(tblOrdenes[[#This Row],[backlog_habiles]]="",FALSE,AND(tblOrdenes[[#This Row],[backlog_habiles]]&gt;p_dias_backlog_min,tblOrdenes[[#This Row],[backlog_habiles]]&lt;=p_dias_backlog_max))</f>
        <v/>
      </c>
      <c r="AE368" s="6" t="n"/>
      <c r="AF3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0">
        <f>IF(tblOrdenes[[#This Row],[orden]]="","",_xlfn.XLOOKUP(tblOrdenes[[#This Row],[id_operacion]],tblEjecucion[id_operacion],tblEjecucion[precio],0))</f>
        <v/>
      </c>
      <c r="AJ368" s="10">
        <f>IF(tblOrdenes[[#This Row],[orden]]="","",MAX(0,_xlfn.XLOOKUP(tblOrdenes[[#This Row],[id_operacion]],tblEjecucion[id_operacion],tblEjecucion[costo_plan_total],0)-tblOrdenes[[#This Row],[costo_servicio]]))</f>
        <v/>
      </c>
      <c r="AK368" s="10">
        <f>IF(tblOrdenes[[#This Row],[orden]]="","",tblOrdenes[[#This Row],[costo_servicio]]+tblOrdenes[[#This Row],[costo_materiales]])</f>
        <v/>
      </c>
      <c r="AL368" s="6" t="n"/>
      <c r="AM368" s="6" t="n"/>
      <c r="AN368" s="6" t="n"/>
      <c r="AO368" s="3">
        <f>IF(tblOrdenes[[#This Row],[link_checklist]]="","",HYPERLINK(p_ruta_base_checklists&amp;tblOrdenes[[#This Row],[link_checklist]],"abrir"))</f>
        <v/>
      </c>
      <c r="AP368" s="6" t="n"/>
      <c r="AQ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3">
        <f>IF(tblOrdenes[[#This Row],[tipo_ot]]="","",_xlfn.XLOOKUP(tblOrdenes[[#This Row],[tipo_ot]],tblTiposOT[codigo],tblTiposOT[clasificacion],"sin_clasificar"))</f>
        <v/>
      </c>
      <c r="U369" s="3">
        <f>IF(tblOrdenes[[#This Row],[centro_costo]]="","",_xlfn.XLOOKUP(tblOrdenes[[#This Row],[centro_costo]],tblCECO[codigo],tblCECO[linea],"(sin catálogo)"))</f>
        <v/>
      </c>
      <c r="V369" s="3">
        <f>IF(tblOrdenes[[#This Row],[centro_costo]]="","",_xlfn.XLOOKUP(tblOrdenes[[#This Row],[centro_costo]],tblCECO[codigo],tblCECO[area],"(sin catálogo)"))</f>
        <v/>
      </c>
      <c r="W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3">
        <f>IF(tblOrdenes[[#This Row],[centro_costo]]="","",_xlfn.XLOOKUP(tblOrdenes[[#This Row],[centro_costo]],tblCECO[codigo],tblCECO[coordinador],"(sin catálogo)"))</f>
        <v/>
      </c>
      <c r="Y369" s="3">
        <f>IF(tblOrdenes[[#This Row],[puesto_trabajo]]="","",_xlfn.XLOOKUP(tblOrdenes[[#This Row],[puesto_trabajo]],tblPuestos[codigo],tblPuestos[especialidad],"(sin catálogo)"))</f>
        <v/>
      </c>
      <c r="Z369" s="3">
        <f>IF(tblOrdenes[[#This Row],[cod_actividad]]="","",_xlfn.XLOOKUP(tblOrdenes[[#This Row],[cod_actividad]],tblActividades[codigo],tblActividades[descripcion],"(sin catálogo)"))</f>
        <v/>
      </c>
      <c r="AA369" s="12">
        <f>IF(tblOrdenes[[#This Row],[fecha_inicio]]="","",TODAY()-tblOrdenes[[#This Row],[fecha_inicio]])</f>
        <v/>
      </c>
      <c r="AB3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3">
        <f>IF(tblOrdenes[[#This Row],[backlog_habiles]]="","",IF(tblOrdenes[[#This Row],[backlog_habiles]]&lt;0,"FUTURO",IF(tblOrdenes[[#This Row],[backlog_habiles]]&gt;p_dias_backlog_max,"BACKLOG","MES CORRIENTE")))</f>
        <v/>
      </c>
      <c r="AD369" s="3">
        <f>IF(tblOrdenes[[#This Row],[backlog_habiles]]="",FALSE,AND(tblOrdenes[[#This Row],[backlog_habiles]]&gt;p_dias_backlog_min,tblOrdenes[[#This Row],[backlog_habiles]]&lt;=p_dias_backlog_max))</f>
        <v/>
      </c>
      <c r="AE369" s="6" t="n"/>
      <c r="AF3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0">
        <f>IF(tblOrdenes[[#This Row],[orden]]="","",_xlfn.XLOOKUP(tblOrdenes[[#This Row],[id_operacion]],tblEjecucion[id_operacion],tblEjecucion[precio],0))</f>
        <v/>
      </c>
      <c r="AJ369" s="10">
        <f>IF(tblOrdenes[[#This Row],[orden]]="","",MAX(0,_xlfn.XLOOKUP(tblOrdenes[[#This Row],[id_operacion]],tblEjecucion[id_operacion],tblEjecucion[costo_plan_total],0)-tblOrdenes[[#This Row],[costo_servicio]]))</f>
        <v/>
      </c>
      <c r="AK369" s="10">
        <f>IF(tblOrdenes[[#This Row],[orden]]="","",tblOrdenes[[#This Row],[costo_servicio]]+tblOrdenes[[#This Row],[costo_materiales]])</f>
        <v/>
      </c>
      <c r="AL369" s="6" t="n"/>
      <c r="AM369" s="6" t="n"/>
      <c r="AN369" s="6" t="n"/>
      <c r="AO369" s="3">
        <f>IF(tblOrdenes[[#This Row],[link_checklist]]="","",HYPERLINK(p_ruta_base_checklists&amp;tblOrdenes[[#This Row],[link_checklist]],"abrir"))</f>
        <v/>
      </c>
      <c r="AP369" s="6" t="n"/>
      <c r="AQ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3">
        <f>IF(tblOrdenes[[#This Row],[tipo_ot]]="","",_xlfn.XLOOKUP(tblOrdenes[[#This Row],[tipo_ot]],tblTiposOT[codigo],tblTiposOT[clasificacion],"sin_clasificar"))</f>
        <v/>
      </c>
      <c r="U370" s="3">
        <f>IF(tblOrdenes[[#This Row],[centro_costo]]="","",_xlfn.XLOOKUP(tblOrdenes[[#This Row],[centro_costo]],tblCECO[codigo],tblCECO[linea],"(sin catálogo)"))</f>
        <v/>
      </c>
      <c r="V370" s="3">
        <f>IF(tblOrdenes[[#This Row],[centro_costo]]="","",_xlfn.XLOOKUP(tblOrdenes[[#This Row],[centro_costo]],tblCECO[codigo],tblCECO[area],"(sin catálogo)"))</f>
        <v/>
      </c>
      <c r="W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3">
        <f>IF(tblOrdenes[[#This Row],[centro_costo]]="","",_xlfn.XLOOKUP(tblOrdenes[[#This Row],[centro_costo]],tblCECO[codigo],tblCECO[coordinador],"(sin catálogo)"))</f>
        <v/>
      </c>
      <c r="Y370" s="3">
        <f>IF(tblOrdenes[[#This Row],[puesto_trabajo]]="","",_xlfn.XLOOKUP(tblOrdenes[[#This Row],[puesto_trabajo]],tblPuestos[codigo],tblPuestos[especialidad],"(sin catálogo)"))</f>
        <v/>
      </c>
      <c r="Z370" s="3">
        <f>IF(tblOrdenes[[#This Row],[cod_actividad]]="","",_xlfn.XLOOKUP(tblOrdenes[[#This Row],[cod_actividad]],tblActividades[codigo],tblActividades[descripcion],"(sin catálogo)"))</f>
        <v/>
      </c>
      <c r="AA370" s="12">
        <f>IF(tblOrdenes[[#This Row],[fecha_inicio]]="","",TODAY()-tblOrdenes[[#This Row],[fecha_inicio]])</f>
        <v/>
      </c>
      <c r="AB3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3">
        <f>IF(tblOrdenes[[#This Row],[backlog_habiles]]="","",IF(tblOrdenes[[#This Row],[backlog_habiles]]&lt;0,"FUTURO",IF(tblOrdenes[[#This Row],[backlog_habiles]]&gt;p_dias_backlog_max,"BACKLOG","MES CORRIENTE")))</f>
        <v/>
      </c>
      <c r="AD370" s="3">
        <f>IF(tblOrdenes[[#This Row],[backlog_habiles]]="",FALSE,AND(tblOrdenes[[#This Row],[backlog_habiles]]&gt;p_dias_backlog_min,tblOrdenes[[#This Row],[backlog_habiles]]&lt;=p_dias_backlog_max))</f>
        <v/>
      </c>
      <c r="AE370" s="6" t="n"/>
      <c r="AF3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0">
        <f>IF(tblOrdenes[[#This Row],[orden]]="","",_xlfn.XLOOKUP(tblOrdenes[[#This Row],[id_operacion]],tblEjecucion[id_operacion],tblEjecucion[precio],0))</f>
        <v/>
      </c>
      <c r="AJ370" s="10">
        <f>IF(tblOrdenes[[#This Row],[orden]]="","",MAX(0,_xlfn.XLOOKUP(tblOrdenes[[#This Row],[id_operacion]],tblEjecucion[id_operacion],tblEjecucion[costo_plan_total],0)-tblOrdenes[[#This Row],[costo_servicio]]))</f>
        <v/>
      </c>
      <c r="AK370" s="10">
        <f>IF(tblOrdenes[[#This Row],[orden]]="","",tblOrdenes[[#This Row],[costo_servicio]]+tblOrdenes[[#This Row],[costo_materiales]])</f>
        <v/>
      </c>
      <c r="AL370" s="6" t="n"/>
      <c r="AM370" s="6" t="n"/>
      <c r="AN370" s="6" t="n"/>
      <c r="AO370" s="3">
        <f>IF(tblOrdenes[[#This Row],[link_checklist]]="","",HYPERLINK(p_ruta_base_checklists&amp;tblOrdenes[[#This Row],[link_checklist]],"abrir"))</f>
        <v/>
      </c>
      <c r="AP370" s="6" t="n"/>
      <c r="AQ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3">
        <f>IF(tblOrdenes[[#This Row],[tipo_ot]]="","",_xlfn.XLOOKUP(tblOrdenes[[#This Row],[tipo_ot]],tblTiposOT[codigo],tblTiposOT[clasificacion],"sin_clasificar"))</f>
        <v/>
      </c>
      <c r="U371" s="3">
        <f>IF(tblOrdenes[[#This Row],[centro_costo]]="","",_xlfn.XLOOKUP(tblOrdenes[[#This Row],[centro_costo]],tblCECO[codigo],tblCECO[linea],"(sin catálogo)"))</f>
        <v/>
      </c>
      <c r="V371" s="3">
        <f>IF(tblOrdenes[[#This Row],[centro_costo]]="","",_xlfn.XLOOKUP(tblOrdenes[[#This Row],[centro_costo]],tblCECO[codigo],tblCECO[area],"(sin catálogo)"))</f>
        <v/>
      </c>
      <c r="W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3">
        <f>IF(tblOrdenes[[#This Row],[centro_costo]]="","",_xlfn.XLOOKUP(tblOrdenes[[#This Row],[centro_costo]],tblCECO[codigo],tblCECO[coordinador],"(sin catálogo)"))</f>
        <v/>
      </c>
      <c r="Y371" s="3">
        <f>IF(tblOrdenes[[#This Row],[puesto_trabajo]]="","",_xlfn.XLOOKUP(tblOrdenes[[#This Row],[puesto_trabajo]],tblPuestos[codigo],tblPuestos[especialidad],"(sin catálogo)"))</f>
        <v/>
      </c>
      <c r="Z371" s="3">
        <f>IF(tblOrdenes[[#This Row],[cod_actividad]]="","",_xlfn.XLOOKUP(tblOrdenes[[#This Row],[cod_actividad]],tblActividades[codigo],tblActividades[descripcion],"(sin catálogo)"))</f>
        <v/>
      </c>
      <c r="AA371" s="12">
        <f>IF(tblOrdenes[[#This Row],[fecha_inicio]]="","",TODAY()-tblOrdenes[[#This Row],[fecha_inicio]])</f>
        <v/>
      </c>
      <c r="AB3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3">
        <f>IF(tblOrdenes[[#This Row],[backlog_habiles]]="","",IF(tblOrdenes[[#This Row],[backlog_habiles]]&lt;0,"FUTURO",IF(tblOrdenes[[#This Row],[backlog_habiles]]&gt;p_dias_backlog_max,"BACKLOG","MES CORRIENTE")))</f>
        <v/>
      </c>
      <c r="AD371" s="3">
        <f>IF(tblOrdenes[[#This Row],[backlog_habiles]]="",FALSE,AND(tblOrdenes[[#This Row],[backlog_habiles]]&gt;p_dias_backlog_min,tblOrdenes[[#This Row],[backlog_habiles]]&lt;=p_dias_backlog_max))</f>
        <v/>
      </c>
      <c r="AE371" s="6" t="n"/>
      <c r="AF3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0">
        <f>IF(tblOrdenes[[#This Row],[orden]]="","",_xlfn.XLOOKUP(tblOrdenes[[#This Row],[id_operacion]],tblEjecucion[id_operacion],tblEjecucion[precio],0))</f>
        <v/>
      </c>
      <c r="AJ371" s="10">
        <f>IF(tblOrdenes[[#This Row],[orden]]="","",MAX(0,_xlfn.XLOOKUP(tblOrdenes[[#This Row],[id_operacion]],tblEjecucion[id_operacion],tblEjecucion[costo_plan_total],0)-tblOrdenes[[#This Row],[costo_servicio]]))</f>
        <v/>
      </c>
      <c r="AK371" s="10">
        <f>IF(tblOrdenes[[#This Row],[orden]]="","",tblOrdenes[[#This Row],[costo_servicio]]+tblOrdenes[[#This Row],[costo_materiales]])</f>
        <v/>
      </c>
      <c r="AL371" s="6" t="n"/>
      <c r="AM371" s="6" t="n"/>
      <c r="AN371" s="6" t="n"/>
      <c r="AO371" s="3">
        <f>IF(tblOrdenes[[#This Row],[link_checklist]]="","",HYPERLINK(p_ruta_base_checklists&amp;tblOrdenes[[#This Row],[link_checklist]],"abrir"))</f>
        <v/>
      </c>
      <c r="AP371" s="6" t="n"/>
      <c r="AQ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3">
        <f>IF(tblOrdenes[[#This Row],[tipo_ot]]="","",_xlfn.XLOOKUP(tblOrdenes[[#This Row],[tipo_ot]],tblTiposOT[codigo],tblTiposOT[clasificacion],"sin_clasificar"))</f>
        <v/>
      </c>
      <c r="U372" s="3">
        <f>IF(tblOrdenes[[#This Row],[centro_costo]]="","",_xlfn.XLOOKUP(tblOrdenes[[#This Row],[centro_costo]],tblCECO[codigo],tblCECO[linea],"(sin catálogo)"))</f>
        <v/>
      </c>
      <c r="V372" s="3">
        <f>IF(tblOrdenes[[#This Row],[centro_costo]]="","",_xlfn.XLOOKUP(tblOrdenes[[#This Row],[centro_costo]],tblCECO[codigo],tblCECO[area],"(sin catálogo)"))</f>
        <v/>
      </c>
      <c r="W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3">
        <f>IF(tblOrdenes[[#This Row],[centro_costo]]="","",_xlfn.XLOOKUP(tblOrdenes[[#This Row],[centro_costo]],tblCECO[codigo],tblCECO[coordinador],"(sin catálogo)"))</f>
        <v/>
      </c>
      <c r="Y372" s="3">
        <f>IF(tblOrdenes[[#This Row],[puesto_trabajo]]="","",_xlfn.XLOOKUP(tblOrdenes[[#This Row],[puesto_trabajo]],tblPuestos[codigo],tblPuestos[especialidad],"(sin catálogo)"))</f>
        <v/>
      </c>
      <c r="Z372" s="3">
        <f>IF(tblOrdenes[[#This Row],[cod_actividad]]="","",_xlfn.XLOOKUP(tblOrdenes[[#This Row],[cod_actividad]],tblActividades[codigo],tblActividades[descripcion],"(sin catálogo)"))</f>
        <v/>
      </c>
      <c r="AA372" s="12">
        <f>IF(tblOrdenes[[#This Row],[fecha_inicio]]="","",TODAY()-tblOrdenes[[#This Row],[fecha_inicio]])</f>
        <v/>
      </c>
      <c r="AB3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3">
        <f>IF(tblOrdenes[[#This Row],[backlog_habiles]]="","",IF(tblOrdenes[[#This Row],[backlog_habiles]]&lt;0,"FUTURO",IF(tblOrdenes[[#This Row],[backlog_habiles]]&gt;p_dias_backlog_max,"BACKLOG","MES CORRIENTE")))</f>
        <v/>
      </c>
      <c r="AD372" s="3">
        <f>IF(tblOrdenes[[#This Row],[backlog_habiles]]="",FALSE,AND(tblOrdenes[[#This Row],[backlog_habiles]]&gt;p_dias_backlog_min,tblOrdenes[[#This Row],[backlog_habiles]]&lt;=p_dias_backlog_max))</f>
        <v/>
      </c>
      <c r="AE372" s="6" t="n"/>
      <c r="AF3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0">
        <f>IF(tblOrdenes[[#This Row],[orden]]="","",_xlfn.XLOOKUP(tblOrdenes[[#This Row],[id_operacion]],tblEjecucion[id_operacion],tblEjecucion[precio],0))</f>
        <v/>
      </c>
      <c r="AJ372" s="10">
        <f>IF(tblOrdenes[[#This Row],[orden]]="","",MAX(0,_xlfn.XLOOKUP(tblOrdenes[[#This Row],[id_operacion]],tblEjecucion[id_operacion],tblEjecucion[costo_plan_total],0)-tblOrdenes[[#This Row],[costo_servicio]]))</f>
        <v/>
      </c>
      <c r="AK372" s="10">
        <f>IF(tblOrdenes[[#This Row],[orden]]="","",tblOrdenes[[#This Row],[costo_servicio]]+tblOrdenes[[#This Row],[costo_materiales]])</f>
        <v/>
      </c>
      <c r="AL372" s="6" t="n"/>
      <c r="AM372" s="6" t="n"/>
      <c r="AN372" s="6" t="n"/>
      <c r="AO372" s="3">
        <f>IF(tblOrdenes[[#This Row],[link_checklist]]="","",HYPERLINK(p_ruta_base_checklists&amp;tblOrdenes[[#This Row],[link_checklist]],"abrir"))</f>
        <v/>
      </c>
      <c r="AP372" s="6" t="n"/>
      <c r="AQ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3">
        <f>IF(tblOrdenes[[#This Row],[tipo_ot]]="","",_xlfn.XLOOKUP(tblOrdenes[[#This Row],[tipo_ot]],tblTiposOT[codigo],tblTiposOT[clasificacion],"sin_clasificar"))</f>
        <v/>
      </c>
      <c r="U373" s="3">
        <f>IF(tblOrdenes[[#This Row],[centro_costo]]="","",_xlfn.XLOOKUP(tblOrdenes[[#This Row],[centro_costo]],tblCECO[codigo],tblCECO[linea],"(sin catálogo)"))</f>
        <v/>
      </c>
      <c r="V373" s="3">
        <f>IF(tblOrdenes[[#This Row],[centro_costo]]="","",_xlfn.XLOOKUP(tblOrdenes[[#This Row],[centro_costo]],tblCECO[codigo],tblCECO[area],"(sin catálogo)"))</f>
        <v/>
      </c>
      <c r="W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3">
        <f>IF(tblOrdenes[[#This Row],[centro_costo]]="","",_xlfn.XLOOKUP(tblOrdenes[[#This Row],[centro_costo]],tblCECO[codigo],tblCECO[coordinador],"(sin catálogo)"))</f>
        <v/>
      </c>
      <c r="Y373" s="3">
        <f>IF(tblOrdenes[[#This Row],[puesto_trabajo]]="","",_xlfn.XLOOKUP(tblOrdenes[[#This Row],[puesto_trabajo]],tblPuestos[codigo],tblPuestos[especialidad],"(sin catálogo)"))</f>
        <v/>
      </c>
      <c r="Z373" s="3">
        <f>IF(tblOrdenes[[#This Row],[cod_actividad]]="","",_xlfn.XLOOKUP(tblOrdenes[[#This Row],[cod_actividad]],tblActividades[codigo],tblActividades[descripcion],"(sin catálogo)"))</f>
        <v/>
      </c>
      <c r="AA373" s="12">
        <f>IF(tblOrdenes[[#This Row],[fecha_inicio]]="","",TODAY()-tblOrdenes[[#This Row],[fecha_inicio]])</f>
        <v/>
      </c>
      <c r="AB3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3">
        <f>IF(tblOrdenes[[#This Row],[backlog_habiles]]="","",IF(tblOrdenes[[#This Row],[backlog_habiles]]&lt;0,"FUTURO",IF(tblOrdenes[[#This Row],[backlog_habiles]]&gt;p_dias_backlog_max,"BACKLOG","MES CORRIENTE")))</f>
        <v/>
      </c>
      <c r="AD373" s="3">
        <f>IF(tblOrdenes[[#This Row],[backlog_habiles]]="",FALSE,AND(tblOrdenes[[#This Row],[backlog_habiles]]&gt;p_dias_backlog_min,tblOrdenes[[#This Row],[backlog_habiles]]&lt;=p_dias_backlog_max))</f>
        <v/>
      </c>
      <c r="AE373" s="6" t="n"/>
      <c r="AF3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0">
        <f>IF(tblOrdenes[[#This Row],[orden]]="","",_xlfn.XLOOKUP(tblOrdenes[[#This Row],[id_operacion]],tblEjecucion[id_operacion],tblEjecucion[precio],0))</f>
        <v/>
      </c>
      <c r="AJ373" s="10">
        <f>IF(tblOrdenes[[#This Row],[orden]]="","",MAX(0,_xlfn.XLOOKUP(tblOrdenes[[#This Row],[id_operacion]],tblEjecucion[id_operacion],tblEjecucion[costo_plan_total],0)-tblOrdenes[[#This Row],[costo_servicio]]))</f>
        <v/>
      </c>
      <c r="AK373" s="10">
        <f>IF(tblOrdenes[[#This Row],[orden]]="","",tblOrdenes[[#This Row],[costo_servicio]]+tblOrdenes[[#This Row],[costo_materiales]])</f>
        <v/>
      </c>
      <c r="AL373" s="6" t="n"/>
      <c r="AM373" s="6" t="n"/>
      <c r="AN373" s="6" t="n"/>
      <c r="AO373" s="3">
        <f>IF(tblOrdenes[[#This Row],[link_checklist]]="","",HYPERLINK(p_ruta_base_checklists&amp;tblOrdenes[[#This Row],[link_checklist]],"abrir"))</f>
        <v/>
      </c>
      <c r="AP373" s="6" t="n"/>
      <c r="AQ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3">
        <f>IF(tblOrdenes[[#This Row],[tipo_ot]]="","",_xlfn.XLOOKUP(tblOrdenes[[#This Row],[tipo_ot]],tblTiposOT[codigo],tblTiposOT[clasificacion],"sin_clasificar"))</f>
        <v/>
      </c>
      <c r="U374" s="3">
        <f>IF(tblOrdenes[[#This Row],[centro_costo]]="","",_xlfn.XLOOKUP(tblOrdenes[[#This Row],[centro_costo]],tblCECO[codigo],tblCECO[linea],"(sin catálogo)"))</f>
        <v/>
      </c>
      <c r="V374" s="3">
        <f>IF(tblOrdenes[[#This Row],[centro_costo]]="","",_xlfn.XLOOKUP(tblOrdenes[[#This Row],[centro_costo]],tblCECO[codigo],tblCECO[area],"(sin catálogo)"))</f>
        <v/>
      </c>
      <c r="W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3">
        <f>IF(tblOrdenes[[#This Row],[centro_costo]]="","",_xlfn.XLOOKUP(tblOrdenes[[#This Row],[centro_costo]],tblCECO[codigo],tblCECO[coordinador],"(sin catálogo)"))</f>
        <v/>
      </c>
      <c r="Y374" s="3">
        <f>IF(tblOrdenes[[#This Row],[puesto_trabajo]]="","",_xlfn.XLOOKUP(tblOrdenes[[#This Row],[puesto_trabajo]],tblPuestos[codigo],tblPuestos[especialidad],"(sin catálogo)"))</f>
        <v/>
      </c>
      <c r="Z374" s="3">
        <f>IF(tblOrdenes[[#This Row],[cod_actividad]]="","",_xlfn.XLOOKUP(tblOrdenes[[#This Row],[cod_actividad]],tblActividades[codigo],tblActividades[descripcion],"(sin catálogo)"))</f>
        <v/>
      </c>
      <c r="AA374" s="12">
        <f>IF(tblOrdenes[[#This Row],[fecha_inicio]]="","",TODAY()-tblOrdenes[[#This Row],[fecha_inicio]])</f>
        <v/>
      </c>
      <c r="AB3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3">
        <f>IF(tblOrdenes[[#This Row],[backlog_habiles]]="","",IF(tblOrdenes[[#This Row],[backlog_habiles]]&lt;0,"FUTURO",IF(tblOrdenes[[#This Row],[backlog_habiles]]&gt;p_dias_backlog_max,"BACKLOG","MES CORRIENTE")))</f>
        <v/>
      </c>
      <c r="AD374" s="3">
        <f>IF(tblOrdenes[[#This Row],[backlog_habiles]]="",FALSE,AND(tblOrdenes[[#This Row],[backlog_habiles]]&gt;p_dias_backlog_min,tblOrdenes[[#This Row],[backlog_habiles]]&lt;=p_dias_backlog_max))</f>
        <v/>
      </c>
      <c r="AE374" s="6" t="n"/>
      <c r="AF3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0">
        <f>IF(tblOrdenes[[#This Row],[orden]]="","",_xlfn.XLOOKUP(tblOrdenes[[#This Row],[id_operacion]],tblEjecucion[id_operacion],tblEjecucion[precio],0))</f>
        <v/>
      </c>
      <c r="AJ374" s="10">
        <f>IF(tblOrdenes[[#This Row],[orden]]="","",MAX(0,_xlfn.XLOOKUP(tblOrdenes[[#This Row],[id_operacion]],tblEjecucion[id_operacion],tblEjecucion[costo_plan_total],0)-tblOrdenes[[#This Row],[costo_servicio]]))</f>
        <v/>
      </c>
      <c r="AK374" s="10">
        <f>IF(tblOrdenes[[#This Row],[orden]]="","",tblOrdenes[[#This Row],[costo_servicio]]+tblOrdenes[[#This Row],[costo_materiales]])</f>
        <v/>
      </c>
      <c r="AL374" s="6" t="n"/>
      <c r="AM374" s="6" t="n"/>
      <c r="AN374" s="6" t="n"/>
      <c r="AO374" s="3">
        <f>IF(tblOrdenes[[#This Row],[link_checklist]]="","",HYPERLINK(p_ruta_base_checklists&amp;tblOrdenes[[#This Row],[link_checklist]],"abrir"))</f>
        <v/>
      </c>
      <c r="AP374" s="6" t="n"/>
      <c r="AQ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3">
        <f>IF(tblOrdenes[[#This Row],[tipo_ot]]="","",_xlfn.XLOOKUP(tblOrdenes[[#This Row],[tipo_ot]],tblTiposOT[codigo],tblTiposOT[clasificacion],"sin_clasificar"))</f>
        <v/>
      </c>
      <c r="U375" s="3">
        <f>IF(tblOrdenes[[#This Row],[centro_costo]]="","",_xlfn.XLOOKUP(tblOrdenes[[#This Row],[centro_costo]],tblCECO[codigo],tblCECO[linea],"(sin catálogo)"))</f>
        <v/>
      </c>
      <c r="V375" s="3">
        <f>IF(tblOrdenes[[#This Row],[centro_costo]]="","",_xlfn.XLOOKUP(tblOrdenes[[#This Row],[centro_costo]],tblCECO[codigo],tblCECO[area],"(sin catálogo)"))</f>
        <v/>
      </c>
      <c r="W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3">
        <f>IF(tblOrdenes[[#This Row],[centro_costo]]="","",_xlfn.XLOOKUP(tblOrdenes[[#This Row],[centro_costo]],tblCECO[codigo],tblCECO[coordinador],"(sin catálogo)"))</f>
        <v/>
      </c>
      <c r="Y375" s="3">
        <f>IF(tblOrdenes[[#This Row],[puesto_trabajo]]="","",_xlfn.XLOOKUP(tblOrdenes[[#This Row],[puesto_trabajo]],tblPuestos[codigo],tblPuestos[especialidad],"(sin catálogo)"))</f>
        <v/>
      </c>
      <c r="Z375" s="3">
        <f>IF(tblOrdenes[[#This Row],[cod_actividad]]="","",_xlfn.XLOOKUP(tblOrdenes[[#This Row],[cod_actividad]],tblActividades[codigo],tblActividades[descripcion],"(sin catálogo)"))</f>
        <v/>
      </c>
      <c r="AA375" s="12">
        <f>IF(tblOrdenes[[#This Row],[fecha_inicio]]="","",TODAY()-tblOrdenes[[#This Row],[fecha_inicio]])</f>
        <v/>
      </c>
      <c r="AB3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3">
        <f>IF(tblOrdenes[[#This Row],[backlog_habiles]]="","",IF(tblOrdenes[[#This Row],[backlog_habiles]]&lt;0,"FUTURO",IF(tblOrdenes[[#This Row],[backlog_habiles]]&gt;p_dias_backlog_max,"BACKLOG","MES CORRIENTE")))</f>
        <v/>
      </c>
      <c r="AD375" s="3">
        <f>IF(tblOrdenes[[#This Row],[backlog_habiles]]="",FALSE,AND(tblOrdenes[[#This Row],[backlog_habiles]]&gt;p_dias_backlog_min,tblOrdenes[[#This Row],[backlog_habiles]]&lt;=p_dias_backlog_max))</f>
        <v/>
      </c>
      <c r="AE375" s="6" t="n"/>
      <c r="AF3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0">
        <f>IF(tblOrdenes[[#This Row],[orden]]="","",_xlfn.XLOOKUP(tblOrdenes[[#This Row],[id_operacion]],tblEjecucion[id_operacion],tblEjecucion[precio],0))</f>
        <v/>
      </c>
      <c r="AJ375" s="10">
        <f>IF(tblOrdenes[[#This Row],[orden]]="","",MAX(0,_xlfn.XLOOKUP(tblOrdenes[[#This Row],[id_operacion]],tblEjecucion[id_operacion],tblEjecucion[costo_plan_total],0)-tblOrdenes[[#This Row],[costo_servicio]]))</f>
        <v/>
      </c>
      <c r="AK375" s="10">
        <f>IF(tblOrdenes[[#This Row],[orden]]="","",tblOrdenes[[#This Row],[costo_servicio]]+tblOrdenes[[#This Row],[costo_materiales]])</f>
        <v/>
      </c>
      <c r="AL375" s="6" t="n"/>
      <c r="AM375" s="6" t="n"/>
      <c r="AN375" s="6" t="n"/>
      <c r="AO375" s="3">
        <f>IF(tblOrdenes[[#This Row],[link_checklist]]="","",HYPERLINK(p_ruta_base_checklists&amp;tblOrdenes[[#This Row],[link_checklist]],"abrir"))</f>
        <v/>
      </c>
      <c r="AP375" s="6" t="n"/>
      <c r="AQ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3">
        <f>IF(tblOrdenes[[#This Row],[tipo_ot]]="","",_xlfn.XLOOKUP(tblOrdenes[[#This Row],[tipo_ot]],tblTiposOT[codigo],tblTiposOT[clasificacion],"sin_clasificar"))</f>
        <v/>
      </c>
      <c r="U376" s="3">
        <f>IF(tblOrdenes[[#This Row],[centro_costo]]="","",_xlfn.XLOOKUP(tblOrdenes[[#This Row],[centro_costo]],tblCECO[codigo],tblCECO[linea],"(sin catálogo)"))</f>
        <v/>
      </c>
      <c r="V376" s="3">
        <f>IF(tblOrdenes[[#This Row],[centro_costo]]="","",_xlfn.XLOOKUP(tblOrdenes[[#This Row],[centro_costo]],tblCECO[codigo],tblCECO[area],"(sin catálogo)"))</f>
        <v/>
      </c>
      <c r="W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3">
        <f>IF(tblOrdenes[[#This Row],[centro_costo]]="","",_xlfn.XLOOKUP(tblOrdenes[[#This Row],[centro_costo]],tblCECO[codigo],tblCECO[coordinador],"(sin catálogo)"))</f>
        <v/>
      </c>
      <c r="Y376" s="3">
        <f>IF(tblOrdenes[[#This Row],[puesto_trabajo]]="","",_xlfn.XLOOKUP(tblOrdenes[[#This Row],[puesto_trabajo]],tblPuestos[codigo],tblPuestos[especialidad],"(sin catálogo)"))</f>
        <v/>
      </c>
      <c r="Z376" s="3">
        <f>IF(tblOrdenes[[#This Row],[cod_actividad]]="","",_xlfn.XLOOKUP(tblOrdenes[[#This Row],[cod_actividad]],tblActividades[codigo],tblActividades[descripcion],"(sin catálogo)"))</f>
        <v/>
      </c>
      <c r="AA376" s="12">
        <f>IF(tblOrdenes[[#This Row],[fecha_inicio]]="","",TODAY()-tblOrdenes[[#This Row],[fecha_inicio]])</f>
        <v/>
      </c>
      <c r="AB3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3">
        <f>IF(tblOrdenes[[#This Row],[backlog_habiles]]="","",IF(tblOrdenes[[#This Row],[backlog_habiles]]&lt;0,"FUTURO",IF(tblOrdenes[[#This Row],[backlog_habiles]]&gt;p_dias_backlog_max,"BACKLOG","MES CORRIENTE")))</f>
        <v/>
      </c>
      <c r="AD376" s="3">
        <f>IF(tblOrdenes[[#This Row],[backlog_habiles]]="",FALSE,AND(tblOrdenes[[#This Row],[backlog_habiles]]&gt;p_dias_backlog_min,tblOrdenes[[#This Row],[backlog_habiles]]&lt;=p_dias_backlog_max))</f>
        <v/>
      </c>
      <c r="AE376" s="6" t="n"/>
      <c r="AF3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0">
        <f>IF(tblOrdenes[[#This Row],[orden]]="","",_xlfn.XLOOKUP(tblOrdenes[[#This Row],[id_operacion]],tblEjecucion[id_operacion],tblEjecucion[precio],0))</f>
        <v/>
      </c>
      <c r="AJ376" s="10">
        <f>IF(tblOrdenes[[#This Row],[orden]]="","",MAX(0,_xlfn.XLOOKUP(tblOrdenes[[#This Row],[id_operacion]],tblEjecucion[id_operacion],tblEjecucion[costo_plan_total],0)-tblOrdenes[[#This Row],[costo_servicio]]))</f>
        <v/>
      </c>
      <c r="AK376" s="10">
        <f>IF(tblOrdenes[[#This Row],[orden]]="","",tblOrdenes[[#This Row],[costo_servicio]]+tblOrdenes[[#This Row],[costo_materiales]])</f>
        <v/>
      </c>
      <c r="AL376" s="6" t="n"/>
      <c r="AM376" s="6" t="n"/>
      <c r="AN376" s="6" t="n"/>
      <c r="AO376" s="3">
        <f>IF(tblOrdenes[[#This Row],[link_checklist]]="","",HYPERLINK(p_ruta_base_checklists&amp;tblOrdenes[[#This Row],[link_checklist]],"abrir"))</f>
        <v/>
      </c>
      <c r="AP376" s="6" t="n"/>
      <c r="AQ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3">
        <f>IF(tblOrdenes[[#This Row],[tipo_ot]]="","",_xlfn.XLOOKUP(tblOrdenes[[#This Row],[tipo_ot]],tblTiposOT[codigo],tblTiposOT[clasificacion],"sin_clasificar"))</f>
        <v/>
      </c>
      <c r="U377" s="3">
        <f>IF(tblOrdenes[[#This Row],[centro_costo]]="","",_xlfn.XLOOKUP(tblOrdenes[[#This Row],[centro_costo]],tblCECO[codigo],tblCECO[linea],"(sin catálogo)"))</f>
        <v/>
      </c>
      <c r="V377" s="3">
        <f>IF(tblOrdenes[[#This Row],[centro_costo]]="","",_xlfn.XLOOKUP(tblOrdenes[[#This Row],[centro_costo]],tblCECO[codigo],tblCECO[area],"(sin catálogo)"))</f>
        <v/>
      </c>
      <c r="W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3">
        <f>IF(tblOrdenes[[#This Row],[centro_costo]]="","",_xlfn.XLOOKUP(tblOrdenes[[#This Row],[centro_costo]],tblCECO[codigo],tblCECO[coordinador],"(sin catálogo)"))</f>
        <v/>
      </c>
      <c r="Y377" s="3">
        <f>IF(tblOrdenes[[#This Row],[puesto_trabajo]]="","",_xlfn.XLOOKUP(tblOrdenes[[#This Row],[puesto_trabajo]],tblPuestos[codigo],tblPuestos[especialidad],"(sin catálogo)"))</f>
        <v/>
      </c>
      <c r="Z377" s="3">
        <f>IF(tblOrdenes[[#This Row],[cod_actividad]]="","",_xlfn.XLOOKUP(tblOrdenes[[#This Row],[cod_actividad]],tblActividades[codigo],tblActividades[descripcion],"(sin catálogo)"))</f>
        <v/>
      </c>
      <c r="AA377" s="12">
        <f>IF(tblOrdenes[[#This Row],[fecha_inicio]]="","",TODAY()-tblOrdenes[[#This Row],[fecha_inicio]])</f>
        <v/>
      </c>
      <c r="AB3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3">
        <f>IF(tblOrdenes[[#This Row],[backlog_habiles]]="","",IF(tblOrdenes[[#This Row],[backlog_habiles]]&lt;0,"FUTURO",IF(tblOrdenes[[#This Row],[backlog_habiles]]&gt;p_dias_backlog_max,"BACKLOG","MES CORRIENTE")))</f>
        <v/>
      </c>
      <c r="AD377" s="3">
        <f>IF(tblOrdenes[[#This Row],[backlog_habiles]]="",FALSE,AND(tblOrdenes[[#This Row],[backlog_habiles]]&gt;p_dias_backlog_min,tblOrdenes[[#This Row],[backlog_habiles]]&lt;=p_dias_backlog_max))</f>
        <v/>
      </c>
      <c r="AE377" s="6" t="n"/>
      <c r="AF3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0">
        <f>IF(tblOrdenes[[#This Row],[orden]]="","",_xlfn.XLOOKUP(tblOrdenes[[#This Row],[id_operacion]],tblEjecucion[id_operacion],tblEjecucion[precio],0))</f>
        <v/>
      </c>
      <c r="AJ377" s="10">
        <f>IF(tblOrdenes[[#This Row],[orden]]="","",MAX(0,_xlfn.XLOOKUP(tblOrdenes[[#This Row],[id_operacion]],tblEjecucion[id_operacion],tblEjecucion[costo_plan_total],0)-tblOrdenes[[#This Row],[costo_servicio]]))</f>
        <v/>
      </c>
      <c r="AK377" s="10">
        <f>IF(tblOrdenes[[#This Row],[orden]]="","",tblOrdenes[[#This Row],[costo_servicio]]+tblOrdenes[[#This Row],[costo_materiales]])</f>
        <v/>
      </c>
      <c r="AL377" s="6" t="n"/>
      <c r="AM377" s="6" t="n"/>
      <c r="AN377" s="6" t="n"/>
      <c r="AO377" s="3">
        <f>IF(tblOrdenes[[#This Row],[link_checklist]]="","",HYPERLINK(p_ruta_base_checklists&amp;tblOrdenes[[#This Row],[link_checklist]],"abrir"))</f>
        <v/>
      </c>
      <c r="AP377" s="6" t="n"/>
      <c r="AQ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3">
        <f>IF(tblOrdenes[[#This Row],[tipo_ot]]="","",_xlfn.XLOOKUP(tblOrdenes[[#This Row],[tipo_ot]],tblTiposOT[codigo],tblTiposOT[clasificacion],"sin_clasificar"))</f>
        <v/>
      </c>
      <c r="U378" s="3">
        <f>IF(tblOrdenes[[#This Row],[centro_costo]]="","",_xlfn.XLOOKUP(tblOrdenes[[#This Row],[centro_costo]],tblCECO[codigo],tblCECO[linea],"(sin catálogo)"))</f>
        <v/>
      </c>
      <c r="V378" s="3">
        <f>IF(tblOrdenes[[#This Row],[centro_costo]]="","",_xlfn.XLOOKUP(tblOrdenes[[#This Row],[centro_costo]],tblCECO[codigo],tblCECO[area],"(sin catálogo)"))</f>
        <v/>
      </c>
      <c r="W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3">
        <f>IF(tblOrdenes[[#This Row],[centro_costo]]="","",_xlfn.XLOOKUP(tblOrdenes[[#This Row],[centro_costo]],tblCECO[codigo],tblCECO[coordinador],"(sin catálogo)"))</f>
        <v/>
      </c>
      <c r="Y378" s="3">
        <f>IF(tblOrdenes[[#This Row],[puesto_trabajo]]="","",_xlfn.XLOOKUP(tblOrdenes[[#This Row],[puesto_trabajo]],tblPuestos[codigo],tblPuestos[especialidad],"(sin catálogo)"))</f>
        <v/>
      </c>
      <c r="Z378" s="3">
        <f>IF(tblOrdenes[[#This Row],[cod_actividad]]="","",_xlfn.XLOOKUP(tblOrdenes[[#This Row],[cod_actividad]],tblActividades[codigo],tblActividades[descripcion],"(sin catálogo)"))</f>
        <v/>
      </c>
      <c r="AA378" s="12">
        <f>IF(tblOrdenes[[#This Row],[fecha_inicio]]="","",TODAY()-tblOrdenes[[#This Row],[fecha_inicio]])</f>
        <v/>
      </c>
      <c r="AB3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3">
        <f>IF(tblOrdenes[[#This Row],[backlog_habiles]]="","",IF(tblOrdenes[[#This Row],[backlog_habiles]]&lt;0,"FUTURO",IF(tblOrdenes[[#This Row],[backlog_habiles]]&gt;p_dias_backlog_max,"BACKLOG","MES CORRIENTE")))</f>
        <v/>
      </c>
      <c r="AD378" s="3">
        <f>IF(tblOrdenes[[#This Row],[backlog_habiles]]="",FALSE,AND(tblOrdenes[[#This Row],[backlog_habiles]]&gt;p_dias_backlog_min,tblOrdenes[[#This Row],[backlog_habiles]]&lt;=p_dias_backlog_max))</f>
        <v/>
      </c>
      <c r="AE378" s="6" t="n"/>
      <c r="AF3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0">
        <f>IF(tblOrdenes[[#This Row],[orden]]="","",_xlfn.XLOOKUP(tblOrdenes[[#This Row],[id_operacion]],tblEjecucion[id_operacion],tblEjecucion[precio],0))</f>
        <v/>
      </c>
      <c r="AJ378" s="10">
        <f>IF(tblOrdenes[[#This Row],[orden]]="","",MAX(0,_xlfn.XLOOKUP(tblOrdenes[[#This Row],[id_operacion]],tblEjecucion[id_operacion],tblEjecucion[costo_plan_total],0)-tblOrdenes[[#This Row],[costo_servicio]]))</f>
        <v/>
      </c>
      <c r="AK378" s="10">
        <f>IF(tblOrdenes[[#This Row],[orden]]="","",tblOrdenes[[#This Row],[costo_servicio]]+tblOrdenes[[#This Row],[costo_materiales]])</f>
        <v/>
      </c>
      <c r="AL378" s="6" t="n"/>
      <c r="AM378" s="6" t="n"/>
      <c r="AN378" s="6" t="n"/>
      <c r="AO378" s="3">
        <f>IF(tblOrdenes[[#This Row],[link_checklist]]="","",HYPERLINK(p_ruta_base_checklists&amp;tblOrdenes[[#This Row],[link_checklist]],"abrir"))</f>
        <v/>
      </c>
      <c r="AP378" s="6" t="n"/>
      <c r="AQ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3">
        <f>IF(tblOrdenes[[#This Row],[tipo_ot]]="","",_xlfn.XLOOKUP(tblOrdenes[[#This Row],[tipo_ot]],tblTiposOT[codigo],tblTiposOT[clasificacion],"sin_clasificar"))</f>
        <v/>
      </c>
      <c r="U379" s="3">
        <f>IF(tblOrdenes[[#This Row],[centro_costo]]="","",_xlfn.XLOOKUP(tblOrdenes[[#This Row],[centro_costo]],tblCECO[codigo],tblCECO[linea],"(sin catálogo)"))</f>
        <v/>
      </c>
      <c r="V379" s="3">
        <f>IF(tblOrdenes[[#This Row],[centro_costo]]="","",_xlfn.XLOOKUP(tblOrdenes[[#This Row],[centro_costo]],tblCECO[codigo],tblCECO[area],"(sin catálogo)"))</f>
        <v/>
      </c>
      <c r="W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3">
        <f>IF(tblOrdenes[[#This Row],[centro_costo]]="","",_xlfn.XLOOKUP(tblOrdenes[[#This Row],[centro_costo]],tblCECO[codigo],tblCECO[coordinador],"(sin catálogo)"))</f>
        <v/>
      </c>
      <c r="Y379" s="3">
        <f>IF(tblOrdenes[[#This Row],[puesto_trabajo]]="","",_xlfn.XLOOKUP(tblOrdenes[[#This Row],[puesto_trabajo]],tblPuestos[codigo],tblPuestos[especialidad],"(sin catálogo)"))</f>
        <v/>
      </c>
      <c r="Z379" s="3">
        <f>IF(tblOrdenes[[#This Row],[cod_actividad]]="","",_xlfn.XLOOKUP(tblOrdenes[[#This Row],[cod_actividad]],tblActividades[codigo],tblActividades[descripcion],"(sin catálogo)"))</f>
        <v/>
      </c>
      <c r="AA379" s="12">
        <f>IF(tblOrdenes[[#This Row],[fecha_inicio]]="","",TODAY()-tblOrdenes[[#This Row],[fecha_inicio]])</f>
        <v/>
      </c>
      <c r="AB3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3">
        <f>IF(tblOrdenes[[#This Row],[backlog_habiles]]="","",IF(tblOrdenes[[#This Row],[backlog_habiles]]&lt;0,"FUTURO",IF(tblOrdenes[[#This Row],[backlog_habiles]]&gt;p_dias_backlog_max,"BACKLOG","MES CORRIENTE")))</f>
        <v/>
      </c>
      <c r="AD379" s="3">
        <f>IF(tblOrdenes[[#This Row],[backlog_habiles]]="",FALSE,AND(tblOrdenes[[#This Row],[backlog_habiles]]&gt;p_dias_backlog_min,tblOrdenes[[#This Row],[backlog_habiles]]&lt;=p_dias_backlog_max))</f>
        <v/>
      </c>
      <c r="AE379" s="6" t="n"/>
      <c r="AF3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0">
        <f>IF(tblOrdenes[[#This Row],[orden]]="","",_xlfn.XLOOKUP(tblOrdenes[[#This Row],[id_operacion]],tblEjecucion[id_operacion],tblEjecucion[precio],0))</f>
        <v/>
      </c>
      <c r="AJ379" s="10">
        <f>IF(tblOrdenes[[#This Row],[orden]]="","",MAX(0,_xlfn.XLOOKUP(tblOrdenes[[#This Row],[id_operacion]],tblEjecucion[id_operacion],tblEjecucion[costo_plan_total],0)-tblOrdenes[[#This Row],[costo_servicio]]))</f>
        <v/>
      </c>
      <c r="AK379" s="10">
        <f>IF(tblOrdenes[[#This Row],[orden]]="","",tblOrdenes[[#This Row],[costo_servicio]]+tblOrdenes[[#This Row],[costo_materiales]])</f>
        <v/>
      </c>
      <c r="AL379" s="6" t="n"/>
      <c r="AM379" s="6" t="n"/>
      <c r="AN379" s="6" t="n"/>
      <c r="AO379" s="3">
        <f>IF(tblOrdenes[[#This Row],[link_checklist]]="","",HYPERLINK(p_ruta_base_checklists&amp;tblOrdenes[[#This Row],[link_checklist]],"abrir"))</f>
        <v/>
      </c>
      <c r="AP379" s="6" t="n"/>
      <c r="AQ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3">
        <f>IF(tblOrdenes[[#This Row],[tipo_ot]]="","",_xlfn.XLOOKUP(tblOrdenes[[#This Row],[tipo_ot]],tblTiposOT[codigo],tblTiposOT[clasificacion],"sin_clasificar"))</f>
        <v/>
      </c>
      <c r="U380" s="3">
        <f>IF(tblOrdenes[[#This Row],[centro_costo]]="","",_xlfn.XLOOKUP(tblOrdenes[[#This Row],[centro_costo]],tblCECO[codigo],tblCECO[linea],"(sin catálogo)"))</f>
        <v/>
      </c>
      <c r="V380" s="3">
        <f>IF(tblOrdenes[[#This Row],[centro_costo]]="","",_xlfn.XLOOKUP(tblOrdenes[[#This Row],[centro_costo]],tblCECO[codigo],tblCECO[area],"(sin catálogo)"))</f>
        <v/>
      </c>
      <c r="W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3">
        <f>IF(tblOrdenes[[#This Row],[centro_costo]]="","",_xlfn.XLOOKUP(tblOrdenes[[#This Row],[centro_costo]],tblCECO[codigo],tblCECO[coordinador],"(sin catálogo)"))</f>
        <v/>
      </c>
      <c r="Y380" s="3">
        <f>IF(tblOrdenes[[#This Row],[puesto_trabajo]]="","",_xlfn.XLOOKUP(tblOrdenes[[#This Row],[puesto_trabajo]],tblPuestos[codigo],tblPuestos[especialidad],"(sin catálogo)"))</f>
        <v/>
      </c>
      <c r="Z380" s="3">
        <f>IF(tblOrdenes[[#This Row],[cod_actividad]]="","",_xlfn.XLOOKUP(tblOrdenes[[#This Row],[cod_actividad]],tblActividades[codigo],tblActividades[descripcion],"(sin catálogo)"))</f>
        <v/>
      </c>
      <c r="AA380" s="12">
        <f>IF(tblOrdenes[[#This Row],[fecha_inicio]]="","",TODAY()-tblOrdenes[[#This Row],[fecha_inicio]])</f>
        <v/>
      </c>
      <c r="AB3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3">
        <f>IF(tblOrdenes[[#This Row],[backlog_habiles]]="","",IF(tblOrdenes[[#This Row],[backlog_habiles]]&lt;0,"FUTURO",IF(tblOrdenes[[#This Row],[backlog_habiles]]&gt;p_dias_backlog_max,"BACKLOG","MES CORRIENTE")))</f>
        <v/>
      </c>
      <c r="AD380" s="3">
        <f>IF(tblOrdenes[[#This Row],[backlog_habiles]]="",FALSE,AND(tblOrdenes[[#This Row],[backlog_habiles]]&gt;p_dias_backlog_min,tblOrdenes[[#This Row],[backlog_habiles]]&lt;=p_dias_backlog_max))</f>
        <v/>
      </c>
      <c r="AE380" s="6" t="n"/>
      <c r="AF3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0">
        <f>IF(tblOrdenes[[#This Row],[orden]]="","",_xlfn.XLOOKUP(tblOrdenes[[#This Row],[id_operacion]],tblEjecucion[id_operacion],tblEjecucion[precio],0))</f>
        <v/>
      </c>
      <c r="AJ380" s="10">
        <f>IF(tblOrdenes[[#This Row],[orden]]="","",MAX(0,_xlfn.XLOOKUP(tblOrdenes[[#This Row],[id_operacion]],tblEjecucion[id_operacion],tblEjecucion[costo_plan_total],0)-tblOrdenes[[#This Row],[costo_servicio]]))</f>
        <v/>
      </c>
      <c r="AK380" s="10">
        <f>IF(tblOrdenes[[#This Row],[orden]]="","",tblOrdenes[[#This Row],[costo_servicio]]+tblOrdenes[[#This Row],[costo_materiales]])</f>
        <v/>
      </c>
      <c r="AL380" s="6" t="n"/>
      <c r="AM380" s="6" t="n"/>
      <c r="AN380" s="6" t="n"/>
      <c r="AO380" s="3">
        <f>IF(tblOrdenes[[#This Row],[link_checklist]]="","",HYPERLINK(p_ruta_base_checklists&amp;tblOrdenes[[#This Row],[link_checklist]],"abrir"))</f>
        <v/>
      </c>
      <c r="AP380" s="6" t="n"/>
      <c r="AQ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3">
        <f>IF(tblOrdenes[[#This Row],[tipo_ot]]="","",_xlfn.XLOOKUP(tblOrdenes[[#This Row],[tipo_ot]],tblTiposOT[codigo],tblTiposOT[clasificacion],"sin_clasificar"))</f>
        <v/>
      </c>
      <c r="U381" s="3">
        <f>IF(tblOrdenes[[#This Row],[centro_costo]]="","",_xlfn.XLOOKUP(tblOrdenes[[#This Row],[centro_costo]],tblCECO[codigo],tblCECO[linea],"(sin catálogo)"))</f>
        <v/>
      </c>
      <c r="V381" s="3">
        <f>IF(tblOrdenes[[#This Row],[centro_costo]]="","",_xlfn.XLOOKUP(tblOrdenes[[#This Row],[centro_costo]],tblCECO[codigo],tblCECO[area],"(sin catálogo)"))</f>
        <v/>
      </c>
      <c r="W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3">
        <f>IF(tblOrdenes[[#This Row],[centro_costo]]="","",_xlfn.XLOOKUP(tblOrdenes[[#This Row],[centro_costo]],tblCECO[codigo],tblCECO[coordinador],"(sin catálogo)"))</f>
        <v/>
      </c>
      <c r="Y381" s="3">
        <f>IF(tblOrdenes[[#This Row],[puesto_trabajo]]="","",_xlfn.XLOOKUP(tblOrdenes[[#This Row],[puesto_trabajo]],tblPuestos[codigo],tblPuestos[especialidad],"(sin catálogo)"))</f>
        <v/>
      </c>
      <c r="Z381" s="3">
        <f>IF(tblOrdenes[[#This Row],[cod_actividad]]="","",_xlfn.XLOOKUP(tblOrdenes[[#This Row],[cod_actividad]],tblActividades[codigo],tblActividades[descripcion],"(sin catálogo)"))</f>
        <v/>
      </c>
      <c r="AA381" s="12">
        <f>IF(tblOrdenes[[#This Row],[fecha_inicio]]="","",TODAY()-tblOrdenes[[#This Row],[fecha_inicio]])</f>
        <v/>
      </c>
      <c r="AB3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3">
        <f>IF(tblOrdenes[[#This Row],[backlog_habiles]]="","",IF(tblOrdenes[[#This Row],[backlog_habiles]]&lt;0,"FUTURO",IF(tblOrdenes[[#This Row],[backlog_habiles]]&gt;p_dias_backlog_max,"BACKLOG","MES CORRIENTE")))</f>
        <v/>
      </c>
      <c r="AD381" s="3">
        <f>IF(tblOrdenes[[#This Row],[backlog_habiles]]="",FALSE,AND(tblOrdenes[[#This Row],[backlog_habiles]]&gt;p_dias_backlog_min,tblOrdenes[[#This Row],[backlog_habiles]]&lt;=p_dias_backlog_max))</f>
        <v/>
      </c>
      <c r="AE381" s="6" t="n"/>
      <c r="AF3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0">
        <f>IF(tblOrdenes[[#This Row],[orden]]="","",_xlfn.XLOOKUP(tblOrdenes[[#This Row],[id_operacion]],tblEjecucion[id_operacion],tblEjecucion[precio],0))</f>
        <v/>
      </c>
      <c r="AJ381" s="10">
        <f>IF(tblOrdenes[[#This Row],[orden]]="","",MAX(0,_xlfn.XLOOKUP(tblOrdenes[[#This Row],[id_operacion]],tblEjecucion[id_operacion],tblEjecucion[costo_plan_total],0)-tblOrdenes[[#This Row],[costo_servicio]]))</f>
        <v/>
      </c>
      <c r="AK381" s="10">
        <f>IF(tblOrdenes[[#This Row],[orden]]="","",tblOrdenes[[#This Row],[costo_servicio]]+tblOrdenes[[#This Row],[costo_materiales]])</f>
        <v/>
      </c>
      <c r="AL381" s="6" t="n"/>
      <c r="AM381" s="6" t="n"/>
      <c r="AN381" s="6" t="n"/>
      <c r="AO381" s="3">
        <f>IF(tblOrdenes[[#This Row],[link_checklist]]="","",HYPERLINK(p_ruta_base_checklists&amp;tblOrdenes[[#This Row],[link_checklist]],"abrir"))</f>
        <v/>
      </c>
      <c r="AP381" s="6" t="n"/>
      <c r="AQ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3">
        <f>IF(tblOrdenes[[#This Row],[tipo_ot]]="","",_xlfn.XLOOKUP(tblOrdenes[[#This Row],[tipo_ot]],tblTiposOT[codigo],tblTiposOT[clasificacion],"sin_clasificar"))</f>
        <v/>
      </c>
      <c r="U382" s="3">
        <f>IF(tblOrdenes[[#This Row],[centro_costo]]="","",_xlfn.XLOOKUP(tblOrdenes[[#This Row],[centro_costo]],tblCECO[codigo],tblCECO[linea],"(sin catálogo)"))</f>
        <v/>
      </c>
      <c r="V382" s="3">
        <f>IF(tblOrdenes[[#This Row],[centro_costo]]="","",_xlfn.XLOOKUP(tblOrdenes[[#This Row],[centro_costo]],tblCECO[codigo],tblCECO[area],"(sin catálogo)"))</f>
        <v/>
      </c>
      <c r="W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3">
        <f>IF(tblOrdenes[[#This Row],[centro_costo]]="","",_xlfn.XLOOKUP(tblOrdenes[[#This Row],[centro_costo]],tblCECO[codigo],tblCECO[coordinador],"(sin catálogo)"))</f>
        <v/>
      </c>
      <c r="Y382" s="3">
        <f>IF(tblOrdenes[[#This Row],[puesto_trabajo]]="","",_xlfn.XLOOKUP(tblOrdenes[[#This Row],[puesto_trabajo]],tblPuestos[codigo],tblPuestos[especialidad],"(sin catálogo)"))</f>
        <v/>
      </c>
      <c r="Z382" s="3">
        <f>IF(tblOrdenes[[#This Row],[cod_actividad]]="","",_xlfn.XLOOKUP(tblOrdenes[[#This Row],[cod_actividad]],tblActividades[codigo],tblActividades[descripcion],"(sin catálogo)"))</f>
        <v/>
      </c>
      <c r="AA382" s="12">
        <f>IF(tblOrdenes[[#This Row],[fecha_inicio]]="","",TODAY()-tblOrdenes[[#This Row],[fecha_inicio]])</f>
        <v/>
      </c>
      <c r="AB3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3">
        <f>IF(tblOrdenes[[#This Row],[backlog_habiles]]="","",IF(tblOrdenes[[#This Row],[backlog_habiles]]&lt;0,"FUTURO",IF(tblOrdenes[[#This Row],[backlog_habiles]]&gt;p_dias_backlog_max,"BACKLOG","MES CORRIENTE")))</f>
        <v/>
      </c>
      <c r="AD382" s="3">
        <f>IF(tblOrdenes[[#This Row],[backlog_habiles]]="",FALSE,AND(tblOrdenes[[#This Row],[backlog_habiles]]&gt;p_dias_backlog_min,tblOrdenes[[#This Row],[backlog_habiles]]&lt;=p_dias_backlog_max))</f>
        <v/>
      </c>
      <c r="AE382" s="6" t="n"/>
      <c r="AF3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0">
        <f>IF(tblOrdenes[[#This Row],[orden]]="","",_xlfn.XLOOKUP(tblOrdenes[[#This Row],[id_operacion]],tblEjecucion[id_operacion],tblEjecucion[precio],0))</f>
        <v/>
      </c>
      <c r="AJ382" s="10">
        <f>IF(tblOrdenes[[#This Row],[orden]]="","",MAX(0,_xlfn.XLOOKUP(tblOrdenes[[#This Row],[id_operacion]],tblEjecucion[id_operacion],tblEjecucion[costo_plan_total],0)-tblOrdenes[[#This Row],[costo_servicio]]))</f>
        <v/>
      </c>
      <c r="AK382" s="10">
        <f>IF(tblOrdenes[[#This Row],[orden]]="","",tblOrdenes[[#This Row],[costo_servicio]]+tblOrdenes[[#This Row],[costo_materiales]])</f>
        <v/>
      </c>
      <c r="AL382" s="6" t="n"/>
      <c r="AM382" s="6" t="n"/>
      <c r="AN382" s="6" t="n"/>
      <c r="AO382" s="3">
        <f>IF(tblOrdenes[[#This Row],[link_checklist]]="","",HYPERLINK(p_ruta_base_checklists&amp;tblOrdenes[[#This Row],[link_checklist]],"abrir"))</f>
        <v/>
      </c>
      <c r="AP382" s="6" t="n"/>
      <c r="AQ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3">
        <f>IF(tblOrdenes[[#This Row],[tipo_ot]]="","",_xlfn.XLOOKUP(tblOrdenes[[#This Row],[tipo_ot]],tblTiposOT[codigo],tblTiposOT[clasificacion],"sin_clasificar"))</f>
        <v/>
      </c>
      <c r="U383" s="3">
        <f>IF(tblOrdenes[[#This Row],[centro_costo]]="","",_xlfn.XLOOKUP(tblOrdenes[[#This Row],[centro_costo]],tblCECO[codigo],tblCECO[linea],"(sin catálogo)"))</f>
        <v/>
      </c>
      <c r="V383" s="3">
        <f>IF(tblOrdenes[[#This Row],[centro_costo]]="","",_xlfn.XLOOKUP(tblOrdenes[[#This Row],[centro_costo]],tblCECO[codigo],tblCECO[area],"(sin catálogo)"))</f>
        <v/>
      </c>
      <c r="W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3">
        <f>IF(tblOrdenes[[#This Row],[centro_costo]]="","",_xlfn.XLOOKUP(tblOrdenes[[#This Row],[centro_costo]],tblCECO[codigo],tblCECO[coordinador],"(sin catálogo)"))</f>
        <v/>
      </c>
      <c r="Y383" s="3">
        <f>IF(tblOrdenes[[#This Row],[puesto_trabajo]]="","",_xlfn.XLOOKUP(tblOrdenes[[#This Row],[puesto_trabajo]],tblPuestos[codigo],tblPuestos[especialidad],"(sin catálogo)"))</f>
        <v/>
      </c>
      <c r="Z383" s="3">
        <f>IF(tblOrdenes[[#This Row],[cod_actividad]]="","",_xlfn.XLOOKUP(tblOrdenes[[#This Row],[cod_actividad]],tblActividades[codigo],tblActividades[descripcion],"(sin catálogo)"))</f>
        <v/>
      </c>
      <c r="AA383" s="12">
        <f>IF(tblOrdenes[[#This Row],[fecha_inicio]]="","",TODAY()-tblOrdenes[[#This Row],[fecha_inicio]])</f>
        <v/>
      </c>
      <c r="AB3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3">
        <f>IF(tblOrdenes[[#This Row],[backlog_habiles]]="","",IF(tblOrdenes[[#This Row],[backlog_habiles]]&lt;0,"FUTURO",IF(tblOrdenes[[#This Row],[backlog_habiles]]&gt;p_dias_backlog_max,"BACKLOG","MES CORRIENTE")))</f>
        <v/>
      </c>
      <c r="AD383" s="3">
        <f>IF(tblOrdenes[[#This Row],[backlog_habiles]]="",FALSE,AND(tblOrdenes[[#This Row],[backlog_habiles]]&gt;p_dias_backlog_min,tblOrdenes[[#This Row],[backlog_habiles]]&lt;=p_dias_backlog_max))</f>
        <v/>
      </c>
      <c r="AE383" s="6" t="n"/>
      <c r="AF3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0">
        <f>IF(tblOrdenes[[#This Row],[orden]]="","",_xlfn.XLOOKUP(tblOrdenes[[#This Row],[id_operacion]],tblEjecucion[id_operacion],tblEjecucion[precio],0))</f>
        <v/>
      </c>
      <c r="AJ383" s="10">
        <f>IF(tblOrdenes[[#This Row],[orden]]="","",MAX(0,_xlfn.XLOOKUP(tblOrdenes[[#This Row],[id_operacion]],tblEjecucion[id_operacion],tblEjecucion[costo_plan_total],0)-tblOrdenes[[#This Row],[costo_servicio]]))</f>
        <v/>
      </c>
      <c r="AK383" s="10">
        <f>IF(tblOrdenes[[#This Row],[orden]]="","",tblOrdenes[[#This Row],[costo_servicio]]+tblOrdenes[[#This Row],[costo_materiales]])</f>
        <v/>
      </c>
      <c r="AL383" s="6" t="n"/>
      <c r="AM383" s="6" t="n"/>
      <c r="AN383" s="6" t="n"/>
      <c r="AO383" s="3">
        <f>IF(tblOrdenes[[#This Row],[link_checklist]]="","",HYPERLINK(p_ruta_base_checklists&amp;tblOrdenes[[#This Row],[link_checklist]],"abrir"))</f>
        <v/>
      </c>
      <c r="AP383" s="6" t="n"/>
      <c r="AQ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3">
        <f>IF(tblOrdenes[[#This Row],[tipo_ot]]="","",_xlfn.XLOOKUP(tblOrdenes[[#This Row],[tipo_ot]],tblTiposOT[codigo],tblTiposOT[clasificacion],"sin_clasificar"))</f>
        <v/>
      </c>
      <c r="U384" s="3">
        <f>IF(tblOrdenes[[#This Row],[centro_costo]]="","",_xlfn.XLOOKUP(tblOrdenes[[#This Row],[centro_costo]],tblCECO[codigo],tblCECO[linea],"(sin catálogo)"))</f>
        <v/>
      </c>
      <c r="V384" s="3">
        <f>IF(tblOrdenes[[#This Row],[centro_costo]]="","",_xlfn.XLOOKUP(tblOrdenes[[#This Row],[centro_costo]],tblCECO[codigo],tblCECO[area],"(sin catálogo)"))</f>
        <v/>
      </c>
      <c r="W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3">
        <f>IF(tblOrdenes[[#This Row],[centro_costo]]="","",_xlfn.XLOOKUP(tblOrdenes[[#This Row],[centro_costo]],tblCECO[codigo],tblCECO[coordinador],"(sin catálogo)"))</f>
        <v/>
      </c>
      <c r="Y384" s="3">
        <f>IF(tblOrdenes[[#This Row],[puesto_trabajo]]="","",_xlfn.XLOOKUP(tblOrdenes[[#This Row],[puesto_trabajo]],tblPuestos[codigo],tblPuestos[especialidad],"(sin catálogo)"))</f>
        <v/>
      </c>
      <c r="Z384" s="3">
        <f>IF(tblOrdenes[[#This Row],[cod_actividad]]="","",_xlfn.XLOOKUP(tblOrdenes[[#This Row],[cod_actividad]],tblActividades[codigo],tblActividades[descripcion],"(sin catálogo)"))</f>
        <v/>
      </c>
      <c r="AA384" s="12">
        <f>IF(tblOrdenes[[#This Row],[fecha_inicio]]="","",TODAY()-tblOrdenes[[#This Row],[fecha_inicio]])</f>
        <v/>
      </c>
      <c r="AB3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3">
        <f>IF(tblOrdenes[[#This Row],[backlog_habiles]]="","",IF(tblOrdenes[[#This Row],[backlog_habiles]]&lt;0,"FUTURO",IF(tblOrdenes[[#This Row],[backlog_habiles]]&gt;p_dias_backlog_max,"BACKLOG","MES CORRIENTE")))</f>
        <v/>
      </c>
      <c r="AD384" s="3">
        <f>IF(tblOrdenes[[#This Row],[backlog_habiles]]="",FALSE,AND(tblOrdenes[[#This Row],[backlog_habiles]]&gt;p_dias_backlog_min,tblOrdenes[[#This Row],[backlog_habiles]]&lt;=p_dias_backlog_max))</f>
        <v/>
      </c>
      <c r="AE384" s="6" t="n"/>
      <c r="AF3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0">
        <f>IF(tblOrdenes[[#This Row],[orden]]="","",_xlfn.XLOOKUP(tblOrdenes[[#This Row],[id_operacion]],tblEjecucion[id_operacion],tblEjecucion[precio],0))</f>
        <v/>
      </c>
      <c r="AJ384" s="10">
        <f>IF(tblOrdenes[[#This Row],[orden]]="","",MAX(0,_xlfn.XLOOKUP(tblOrdenes[[#This Row],[id_operacion]],tblEjecucion[id_operacion],tblEjecucion[costo_plan_total],0)-tblOrdenes[[#This Row],[costo_servicio]]))</f>
        <v/>
      </c>
      <c r="AK384" s="10">
        <f>IF(tblOrdenes[[#This Row],[orden]]="","",tblOrdenes[[#This Row],[costo_servicio]]+tblOrdenes[[#This Row],[costo_materiales]])</f>
        <v/>
      </c>
      <c r="AL384" s="6" t="n"/>
      <c r="AM384" s="6" t="n"/>
      <c r="AN384" s="6" t="n"/>
      <c r="AO384" s="3">
        <f>IF(tblOrdenes[[#This Row],[link_checklist]]="","",HYPERLINK(p_ruta_base_checklists&amp;tblOrdenes[[#This Row],[link_checklist]],"abrir"))</f>
        <v/>
      </c>
      <c r="AP384" s="6" t="n"/>
      <c r="AQ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3">
        <f>IF(tblOrdenes[[#This Row],[tipo_ot]]="","",_xlfn.XLOOKUP(tblOrdenes[[#This Row],[tipo_ot]],tblTiposOT[codigo],tblTiposOT[clasificacion],"sin_clasificar"))</f>
        <v/>
      </c>
      <c r="U385" s="3">
        <f>IF(tblOrdenes[[#This Row],[centro_costo]]="","",_xlfn.XLOOKUP(tblOrdenes[[#This Row],[centro_costo]],tblCECO[codigo],tblCECO[linea],"(sin catálogo)"))</f>
        <v/>
      </c>
      <c r="V385" s="3">
        <f>IF(tblOrdenes[[#This Row],[centro_costo]]="","",_xlfn.XLOOKUP(tblOrdenes[[#This Row],[centro_costo]],tblCECO[codigo],tblCECO[area],"(sin catálogo)"))</f>
        <v/>
      </c>
      <c r="W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3">
        <f>IF(tblOrdenes[[#This Row],[centro_costo]]="","",_xlfn.XLOOKUP(tblOrdenes[[#This Row],[centro_costo]],tblCECO[codigo],tblCECO[coordinador],"(sin catálogo)"))</f>
        <v/>
      </c>
      <c r="Y385" s="3">
        <f>IF(tblOrdenes[[#This Row],[puesto_trabajo]]="","",_xlfn.XLOOKUP(tblOrdenes[[#This Row],[puesto_trabajo]],tblPuestos[codigo],tblPuestos[especialidad],"(sin catálogo)"))</f>
        <v/>
      </c>
      <c r="Z385" s="3">
        <f>IF(tblOrdenes[[#This Row],[cod_actividad]]="","",_xlfn.XLOOKUP(tblOrdenes[[#This Row],[cod_actividad]],tblActividades[codigo],tblActividades[descripcion],"(sin catálogo)"))</f>
        <v/>
      </c>
      <c r="AA385" s="12">
        <f>IF(tblOrdenes[[#This Row],[fecha_inicio]]="","",TODAY()-tblOrdenes[[#This Row],[fecha_inicio]])</f>
        <v/>
      </c>
      <c r="AB3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3">
        <f>IF(tblOrdenes[[#This Row],[backlog_habiles]]="","",IF(tblOrdenes[[#This Row],[backlog_habiles]]&lt;0,"FUTURO",IF(tblOrdenes[[#This Row],[backlog_habiles]]&gt;p_dias_backlog_max,"BACKLOG","MES CORRIENTE")))</f>
        <v/>
      </c>
      <c r="AD385" s="3">
        <f>IF(tblOrdenes[[#This Row],[backlog_habiles]]="",FALSE,AND(tblOrdenes[[#This Row],[backlog_habiles]]&gt;p_dias_backlog_min,tblOrdenes[[#This Row],[backlog_habiles]]&lt;=p_dias_backlog_max))</f>
        <v/>
      </c>
      <c r="AE385" s="6" t="n"/>
      <c r="AF3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0">
        <f>IF(tblOrdenes[[#This Row],[orden]]="","",_xlfn.XLOOKUP(tblOrdenes[[#This Row],[id_operacion]],tblEjecucion[id_operacion],tblEjecucion[precio],0))</f>
        <v/>
      </c>
      <c r="AJ385" s="10">
        <f>IF(tblOrdenes[[#This Row],[orden]]="","",MAX(0,_xlfn.XLOOKUP(tblOrdenes[[#This Row],[id_operacion]],tblEjecucion[id_operacion],tblEjecucion[costo_plan_total],0)-tblOrdenes[[#This Row],[costo_servicio]]))</f>
        <v/>
      </c>
      <c r="AK385" s="10">
        <f>IF(tblOrdenes[[#This Row],[orden]]="","",tblOrdenes[[#This Row],[costo_servicio]]+tblOrdenes[[#This Row],[costo_materiales]])</f>
        <v/>
      </c>
      <c r="AL385" s="6" t="n"/>
      <c r="AM385" s="6" t="n"/>
      <c r="AN385" s="6" t="n"/>
      <c r="AO385" s="3">
        <f>IF(tblOrdenes[[#This Row],[link_checklist]]="","",HYPERLINK(p_ruta_base_checklists&amp;tblOrdenes[[#This Row],[link_checklist]],"abrir"))</f>
        <v/>
      </c>
      <c r="AP385" s="6" t="n"/>
      <c r="AQ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3">
        <f>IF(tblOrdenes[[#This Row],[tipo_ot]]="","",_xlfn.XLOOKUP(tblOrdenes[[#This Row],[tipo_ot]],tblTiposOT[codigo],tblTiposOT[clasificacion],"sin_clasificar"))</f>
        <v/>
      </c>
      <c r="U386" s="3">
        <f>IF(tblOrdenes[[#This Row],[centro_costo]]="","",_xlfn.XLOOKUP(tblOrdenes[[#This Row],[centro_costo]],tblCECO[codigo],tblCECO[linea],"(sin catálogo)"))</f>
        <v/>
      </c>
      <c r="V386" s="3">
        <f>IF(tblOrdenes[[#This Row],[centro_costo]]="","",_xlfn.XLOOKUP(tblOrdenes[[#This Row],[centro_costo]],tblCECO[codigo],tblCECO[area],"(sin catálogo)"))</f>
        <v/>
      </c>
      <c r="W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3">
        <f>IF(tblOrdenes[[#This Row],[centro_costo]]="","",_xlfn.XLOOKUP(tblOrdenes[[#This Row],[centro_costo]],tblCECO[codigo],tblCECO[coordinador],"(sin catálogo)"))</f>
        <v/>
      </c>
      <c r="Y386" s="3">
        <f>IF(tblOrdenes[[#This Row],[puesto_trabajo]]="","",_xlfn.XLOOKUP(tblOrdenes[[#This Row],[puesto_trabajo]],tblPuestos[codigo],tblPuestos[especialidad],"(sin catálogo)"))</f>
        <v/>
      </c>
      <c r="Z386" s="3">
        <f>IF(tblOrdenes[[#This Row],[cod_actividad]]="","",_xlfn.XLOOKUP(tblOrdenes[[#This Row],[cod_actividad]],tblActividades[codigo],tblActividades[descripcion],"(sin catálogo)"))</f>
        <v/>
      </c>
      <c r="AA386" s="12">
        <f>IF(tblOrdenes[[#This Row],[fecha_inicio]]="","",TODAY()-tblOrdenes[[#This Row],[fecha_inicio]])</f>
        <v/>
      </c>
      <c r="AB3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3">
        <f>IF(tblOrdenes[[#This Row],[backlog_habiles]]="","",IF(tblOrdenes[[#This Row],[backlog_habiles]]&lt;0,"FUTURO",IF(tblOrdenes[[#This Row],[backlog_habiles]]&gt;p_dias_backlog_max,"BACKLOG","MES CORRIENTE")))</f>
        <v/>
      </c>
      <c r="AD386" s="3">
        <f>IF(tblOrdenes[[#This Row],[backlog_habiles]]="",FALSE,AND(tblOrdenes[[#This Row],[backlog_habiles]]&gt;p_dias_backlog_min,tblOrdenes[[#This Row],[backlog_habiles]]&lt;=p_dias_backlog_max))</f>
        <v/>
      </c>
      <c r="AE386" s="6" t="n"/>
      <c r="AF3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0">
        <f>IF(tblOrdenes[[#This Row],[orden]]="","",_xlfn.XLOOKUP(tblOrdenes[[#This Row],[id_operacion]],tblEjecucion[id_operacion],tblEjecucion[precio],0))</f>
        <v/>
      </c>
      <c r="AJ386" s="10">
        <f>IF(tblOrdenes[[#This Row],[orden]]="","",MAX(0,_xlfn.XLOOKUP(tblOrdenes[[#This Row],[id_operacion]],tblEjecucion[id_operacion],tblEjecucion[costo_plan_total],0)-tblOrdenes[[#This Row],[costo_servicio]]))</f>
        <v/>
      </c>
      <c r="AK386" s="10">
        <f>IF(tblOrdenes[[#This Row],[orden]]="","",tblOrdenes[[#This Row],[costo_servicio]]+tblOrdenes[[#This Row],[costo_materiales]])</f>
        <v/>
      </c>
      <c r="AL386" s="6" t="n"/>
      <c r="AM386" s="6" t="n"/>
      <c r="AN386" s="6" t="n"/>
      <c r="AO386" s="3">
        <f>IF(tblOrdenes[[#This Row],[link_checklist]]="","",HYPERLINK(p_ruta_base_checklists&amp;tblOrdenes[[#This Row],[link_checklist]],"abrir"))</f>
        <v/>
      </c>
      <c r="AP386" s="6" t="n"/>
      <c r="AQ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3">
        <f>IF(tblOrdenes[[#This Row],[tipo_ot]]="","",_xlfn.XLOOKUP(tblOrdenes[[#This Row],[tipo_ot]],tblTiposOT[codigo],tblTiposOT[clasificacion],"sin_clasificar"))</f>
        <v/>
      </c>
      <c r="U387" s="3">
        <f>IF(tblOrdenes[[#This Row],[centro_costo]]="","",_xlfn.XLOOKUP(tblOrdenes[[#This Row],[centro_costo]],tblCECO[codigo],tblCECO[linea],"(sin catálogo)"))</f>
        <v/>
      </c>
      <c r="V387" s="3">
        <f>IF(tblOrdenes[[#This Row],[centro_costo]]="","",_xlfn.XLOOKUP(tblOrdenes[[#This Row],[centro_costo]],tblCECO[codigo],tblCECO[area],"(sin catálogo)"))</f>
        <v/>
      </c>
      <c r="W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3">
        <f>IF(tblOrdenes[[#This Row],[centro_costo]]="","",_xlfn.XLOOKUP(tblOrdenes[[#This Row],[centro_costo]],tblCECO[codigo],tblCECO[coordinador],"(sin catálogo)"))</f>
        <v/>
      </c>
      <c r="Y387" s="3">
        <f>IF(tblOrdenes[[#This Row],[puesto_trabajo]]="","",_xlfn.XLOOKUP(tblOrdenes[[#This Row],[puesto_trabajo]],tblPuestos[codigo],tblPuestos[especialidad],"(sin catálogo)"))</f>
        <v/>
      </c>
      <c r="Z387" s="3">
        <f>IF(tblOrdenes[[#This Row],[cod_actividad]]="","",_xlfn.XLOOKUP(tblOrdenes[[#This Row],[cod_actividad]],tblActividades[codigo],tblActividades[descripcion],"(sin catálogo)"))</f>
        <v/>
      </c>
      <c r="AA387" s="12">
        <f>IF(tblOrdenes[[#This Row],[fecha_inicio]]="","",TODAY()-tblOrdenes[[#This Row],[fecha_inicio]])</f>
        <v/>
      </c>
      <c r="AB3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3">
        <f>IF(tblOrdenes[[#This Row],[backlog_habiles]]="","",IF(tblOrdenes[[#This Row],[backlog_habiles]]&lt;0,"FUTURO",IF(tblOrdenes[[#This Row],[backlog_habiles]]&gt;p_dias_backlog_max,"BACKLOG","MES CORRIENTE")))</f>
        <v/>
      </c>
      <c r="AD387" s="3">
        <f>IF(tblOrdenes[[#This Row],[backlog_habiles]]="",FALSE,AND(tblOrdenes[[#This Row],[backlog_habiles]]&gt;p_dias_backlog_min,tblOrdenes[[#This Row],[backlog_habiles]]&lt;=p_dias_backlog_max))</f>
        <v/>
      </c>
      <c r="AE387" s="6" t="n"/>
      <c r="AF3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0">
        <f>IF(tblOrdenes[[#This Row],[orden]]="","",_xlfn.XLOOKUP(tblOrdenes[[#This Row],[id_operacion]],tblEjecucion[id_operacion],tblEjecucion[precio],0))</f>
        <v/>
      </c>
      <c r="AJ387" s="10">
        <f>IF(tblOrdenes[[#This Row],[orden]]="","",MAX(0,_xlfn.XLOOKUP(tblOrdenes[[#This Row],[id_operacion]],tblEjecucion[id_operacion],tblEjecucion[costo_plan_total],0)-tblOrdenes[[#This Row],[costo_servicio]]))</f>
        <v/>
      </c>
      <c r="AK387" s="10">
        <f>IF(tblOrdenes[[#This Row],[orden]]="","",tblOrdenes[[#This Row],[costo_servicio]]+tblOrdenes[[#This Row],[costo_materiales]])</f>
        <v/>
      </c>
      <c r="AL387" s="6" t="n"/>
      <c r="AM387" s="6" t="n"/>
      <c r="AN387" s="6" t="n"/>
      <c r="AO387" s="3">
        <f>IF(tblOrdenes[[#This Row],[link_checklist]]="","",HYPERLINK(p_ruta_base_checklists&amp;tblOrdenes[[#This Row],[link_checklist]],"abrir"))</f>
        <v/>
      </c>
      <c r="AP387" s="6" t="n"/>
      <c r="AQ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3">
        <f>IF(tblOrdenes[[#This Row],[tipo_ot]]="","",_xlfn.XLOOKUP(tblOrdenes[[#This Row],[tipo_ot]],tblTiposOT[codigo],tblTiposOT[clasificacion],"sin_clasificar"))</f>
        <v/>
      </c>
      <c r="U388" s="3">
        <f>IF(tblOrdenes[[#This Row],[centro_costo]]="","",_xlfn.XLOOKUP(tblOrdenes[[#This Row],[centro_costo]],tblCECO[codigo],tblCECO[linea],"(sin catálogo)"))</f>
        <v/>
      </c>
      <c r="V388" s="3">
        <f>IF(tblOrdenes[[#This Row],[centro_costo]]="","",_xlfn.XLOOKUP(tblOrdenes[[#This Row],[centro_costo]],tblCECO[codigo],tblCECO[area],"(sin catálogo)"))</f>
        <v/>
      </c>
      <c r="W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3">
        <f>IF(tblOrdenes[[#This Row],[centro_costo]]="","",_xlfn.XLOOKUP(tblOrdenes[[#This Row],[centro_costo]],tblCECO[codigo],tblCECO[coordinador],"(sin catálogo)"))</f>
        <v/>
      </c>
      <c r="Y388" s="3">
        <f>IF(tblOrdenes[[#This Row],[puesto_trabajo]]="","",_xlfn.XLOOKUP(tblOrdenes[[#This Row],[puesto_trabajo]],tblPuestos[codigo],tblPuestos[especialidad],"(sin catálogo)"))</f>
        <v/>
      </c>
      <c r="Z388" s="3">
        <f>IF(tblOrdenes[[#This Row],[cod_actividad]]="","",_xlfn.XLOOKUP(tblOrdenes[[#This Row],[cod_actividad]],tblActividades[codigo],tblActividades[descripcion],"(sin catálogo)"))</f>
        <v/>
      </c>
      <c r="AA388" s="12">
        <f>IF(tblOrdenes[[#This Row],[fecha_inicio]]="","",TODAY()-tblOrdenes[[#This Row],[fecha_inicio]])</f>
        <v/>
      </c>
      <c r="AB3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3">
        <f>IF(tblOrdenes[[#This Row],[backlog_habiles]]="","",IF(tblOrdenes[[#This Row],[backlog_habiles]]&lt;0,"FUTURO",IF(tblOrdenes[[#This Row],[backlog_habiles]]&gt;p_dias_backlog_max,"BACKLOG","MES CORRIENTE")))</f>
        <v/>
      </c>
      <c r="AD388" s="3">
        <f>IF(tblOrdenes[[#This Row],[backlog_habiles]]="",FALSE,AND(tblOrdenes[[#This Row],[backlog_habiles]]&gt;p_dias_backlog_min,tblOrdenes[[#This Row],[backlog_habiles]]&lt;=p_dias_backlog_max))</f>
        <v/>
      </c>
      <c r="AE388" s="6" t="n"/>
      <c r="AF3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0">
        <f>IF(tblOrdenes[[#This Row],[orden]]="","",_xlfn.XLOOKUP(tblOrdenes[[#This Row],[id_operacion]],tblEjecucion[id_operacion],tblEjecucion[precio],0))</f>
        <v/>
      </c>
      <c r="AJ388" s="10">
        <f>IF(tblOrdenes[[#This Row],[orden]]="","",MAX(0,_xlfn.XLOOKUP(tblOrdenes[[#This Row],[id_operacion]],tblEjecucion[id_operacion],tblEjecucion[costo_plan_total],0)-tblOrdenes[[#This Row],[costo_servicio]]))</f>
        <v/>
      </c>
      <c r="AK388" s="10">
        <f>IF(tblOrdenes[[#This Row],[orden]]="","",tblOrdenes[[#This Row],[costo_servicio]]+tblOrdenes[[#This Row],[costo_materiales]])</f>
        <v/>
      </c>
      <c r="AL388" s="6" t="n"/>
      <c r="AM388" s="6" t="n"/>
      <c r="AN388" s="6" t="n"/>
      <c r="AO388" s="3">
        <f>IF(tblOrdenes[[#This Row],[link_checklist]]="","",HYPERLINK(p_ruta_base_checklists&amp;tblOrdenes[[#This Row],[link_checklist]],"abrir"))</f>
        <v/>
      </c>
      <c r="AP388" s="6" t="n"/>
      <c r="AQ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3">
        <f>IF(tblOrdenes[[#This Row],[tipo_ot]]="","",_xlfn.XLOOKUP(tblOrdenes[[#This Row],[tipo_ot]],tblTiposOT[codigo],tblTiposOT[clasificacion],"sin_clasificar"))</f>
        <v/>
      </c>
      <c r="U389" s="3">
        <f>IF(tblOrdenes[[#This Row],[centro_costo]]="","",_xlfn.XLOOKUP(tblOrdenes[[#This Row],[centro_costo]],tblCECO[codigo],tblCECO[linea],"(sin catálogo)"))</f>
        <v/>
      </c>
      <c r="V389" s="3">
        <f>IF(tblOrdenes[[#This Row],[centro_costo]]="","",_xlfn.XLOOKUP(tblOrdenes[[#This Row],[centro_costo]],tblCECO[codigo],tblCECO[area],"(sin catálogo)"))</f>
        <v/>
      </c>
      <c r="W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3">
        <f>IF(tblOrdenes[[#This Row],[centro_costo]]="","",_xlfn.XLOOKUP(tblOrdenes[[#This Row],[centro_costo]],tblCECO[codigo],tblCECO[coordinador],"(sin catálogo)"))</f>
        <v/>
      </c>
      <c r="Y389" s="3">
        <f>IF(tblOrdenes[[#This Row],[puesto_trabajo]]="","",_xlfn.XLOOKUP(tblOrdenes[[#This Row],[puesto_trabajo]],tblPuestos[codigo],tblPuestos[especialidad],"(sin catálogo)"))</f>
        <v/>
      </c>
      <c r="Z389" s="3">
        <f>IF(tblOrdenes[[#This Row],[cod_actividad]]="","",_xlfn.XLOOKUP(tblOrdenes[[#This Row],[cod_actividad]],tblActividades[codigo],tblActividades[descripcion],"(sin catálogo)"))</f>
        <v/>
      </c>
      <c r="AA389" s="12">
        <f>IF(tblOrdenes[[#This Row],[fecha_inicio]]="","",TODAY()-tblOrdenes[[#This Row],[fecha_inicio]])</f>
        <v/>
      </c>
      <c r="AB3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3">
        <f>IF(tblOrdenes[[#This Row],[backlog_habiles]]="","",IF(tblOrdenes[[#This Row],[backlog_habiles]]&lt;0,"FUTURO",IF(tblOrdenes[[#This Row],[backlog_habiles]]&gt;p_dias_backlog_max,"BACKLOG","MES CORRIENTE")))</f>
        <v/>
      </c>
      <c r="AD389" s="3">
        <f>IF(tblOrdenes[[#This Row],[backlog_habiles]]="",FALSE,AND(tblOrdenes[[#This Row],[backlog_habiles]]&gt;p_dias_backlog_min,tblOrdenes[[#This Row],[backlog_habiles]]&lt;=p_dias_backlog_max))</f>
        <v/>
      </c>
      <c r="AE389" s="6" t="n"/>
      <c r="AF3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0">
        <f>IF(tblOrdenes[[#This Row],[orden]]="","",_xlfn.XLOOKUP(tblOrdenes[[#This Row],[id_operacion]],tblEjecucion[id_operacion],tblEjecucion[precio],0))</f>
        <v/>
      </c>
      <c r="AJ389" s="10">
        <f>IF(tblOrdenes[[#This Row],[orden]]="","",MAX(0,_xlfn.XLOOKUP(tblOrdenes[[#This Row],[id_operacion]],tblEjecucion[id_operacion],tblEjecucion[costo_plan_total],0)-tblOrdenes[[#This Row],[costo_servicio]]))</f>
        <v/>
      </c>
      <c r="AK389" s="10">
        <f>IF(tblOrdenes[[#This Row],[orden]]="","",tblOrdenes[[#This Row],[costo_servicio]]+tblOrdenes[[#This Row],[costo_materiales]])</f>
        <v/>
      </c>
      <c r="AL389" s="6" t="n"/>
      <c r="AM389" s="6" t="n"/>
      <c r="AN389" s="6" t="n"/>
      <c r="AO389" s="3">
        <f>IF(tblOrdenes[[#This Row],[link_checklist]]="","",HYPERLINK(p_ruta_base_checklists&amp;tblOrdenes[[#This Row],[link_checklist]],"abrir"))</f>
        <v/>
      </c>
      <c r="AP389" s="6" t="n"/>
      <c r="AQ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3">
        <f>IF(tblOrdenes[[#This Row],[tipo_ot]]="","",_xlfn.XLOOKUP(tblOrdenes[[#This Row],[tipo_ot]],tblTiposOT[codigo],tblTiposOT[clasificacion],"sin_clasificar"))</f>
        <v/>
      </c>
      <c r="U390" s="3">
        <f>IF(tblOrdenes[[#This Row],[centro_costo]]="","",_xlfn.XLOOKUP(tblOrdenes[[#This Row],[centro_costo]],tblCECO[codigo],tblCECO[linea],"(sin catálogo)"))</f>
        <v/>
      </c>
      <c r="V390" s="3">
        <f>IF(tblOrdenes[[#This Row],[centro_costo]]="","",_xlfn.XLOOKUP(tblOrdenes[[#This Row],[centro_costo]],tblCECO[codigo],tblCECO[area],"(sin catálogo)"))</f>
        <v/>
      </c>
      <c r="W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3">
        <f>IF(tblOrdenes[[#This Row],[centro_costo]]="","",_xlfn.XLOOKUP(tblOrdenes[[#This Row],[centro_costo]],tblCECO[codigo],tblCECO[coordinador],"(sin catálogo)"))</f>
        <v/>
      </c>
      <c r="Y390" s="3">
        <f>IF(tblOrdenes[[#This Row],[puesto_trabajo]]="","",_xlfn.XLOOKUP(tblOrdenes[[#This Row],[puesto_trabajo]],tblPuestos[codigo],tblPuestos[especialidad],"(sin catálogo)"))</f>
        <v/>
      </c>
      <c r="Z390" s="3">
        <f>IF(tblOrdenes[[#This Row],[cod_actividad]]="","",_xlfn.XLOOKUP(tblOrdenes[[#This Row],[cod_actividad]],tblActividades[codigo],tblActividades[descripcion],"(sin catálogo)"))</f>
        <v/>
      </c>
      <c r="AA390" s="12">
        <f>IF(tblOrdenes[[#This Row],[fecha_inicio]]="","",TODAY()-tblOrdenes[[#This Row],[fecha_inicio]])</f>
        <v/>
      </c>
      <c r="AB3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3">
        <f>IF(tblOrdenes[[#This Row],[backlog_habiles]]="","",IF(tblOrdenes[[#This Row],[backlog_habiles]]&lt;0,"FUTURO",IF(tblOrdenes[[#This Row],[backlog_habiles]]&gt;p_dias_backlog_max,"BACKLOG","MES CORRIENTE")))</f>
        <v/>
      </c>
      <c r="AD390" s="3">
        <f>IF(tblOrdenes[[#This Row],[backlog_habiles]]="",FALSE,AND(tblOrdenes[[#This Row],[backlog_habiles]]&gt;p_dias_backlog_min,tblOrdenes[[#This Row],[backlog_habiles]]&lt;=p_dias_backlog_max))</f>
        <v/>
      </c>
      <c r="AE390" s="6" t="n"/>
      <c r="AF3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0">
        <f>IF(tblOrdenes[[#This Row],[orden]]="","",_xlfn.XLOOKUP(tblOrdenes[[#This Row],[id_operacion]],tblEjecucion[id_operacion],tblEjecucion[precio],0))</f>
        <v/>
      </c>
      <c r="AJ390" s="10">
        <f>IF(tblOrdenes[[#This Row],[orden]]="","",MAX(0,_xlfn.XLOOKUP(tblOrdenes[[#This Row],[id_operacion]],tblEjecucion[id_operacion],tblEjecucion[costo_plan_total],0)-tblOrdenes[[#This Row],[costo_servicio]]))</f>
        <v/>
      </c>
      <c r="AK390" s="10">
        <f>IF(tblOrdenes[[#This Row],[orden]]="","",tblOrdenes[[#This Row],[costo_servicio]]+tblOrdenes[[#This Row],[costo_materiales]])</f>
        <v/>
      </c>
      <c r="AL390" s="6" t="n"/>
      <c r="AM390" s="6" t="n"/>
      <c r="AN390" s="6" t="n"/>
      <c r="AO390" s="3">
        <f>IF(tblOrdenes[[#This Row],[link_checklist]]="","",HYPERLINK(p_ruta_base_checklists&amp;tblOrdenes[[#This Row],[link_checklist]],"abrir"))</f>
        <v/>
      </c>
      <c r="AP390" s="6" t="n"/>
      <c r="AQ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3">
        <f>IF(tblOrdenes[[#This Row],[tipo_ot]]="","",_xlfn.XLOOKUP(tblOrdenes[[#This Row],[tipo_ot]],tblTiposOT[codigo],tblTiposOT[clasificacion],"sin_clasificar"))</f>
        <v/>
      </c>
      <c r="U391" s="3">
        <f>IF(tblOrdenes[[#This Row],[centro_costo]]="","",_xlfn.XLOOKUP(tblOrdenes[[#This Row],[centro_costo]],tblCECO[codigo],tblCECO[linea],"(sin catálogo)"))</f>
        <v/>
      </c>
      <c r="V391" s="3">
        <f>IF(tblOrdenes[[#This Row],[centro_costo]]="","",_xlfn.XLOOKUP(tblOrdenes[[#This Row],[centro_costo]],tblCECO[codigo],tblCECO[area],"(sin catálogo)"))</f>
        <v/>
      </c>
      <c r="W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3">
        <f>IF(tblOrdenes[[#This Row],[centro_costo]]="","",_xlfn.XLOOKUP(tblOrdenes[[#This Row],[centro_costo]],tblCECO[codigo],tblCECO[coordinador],"(sin catálogo)"))</f>
        <v/>
      </c>
      <c r="Y391" s="3">
        <f>IF(tblOrdenes[[#This Row],[puesto_trabajo]]="","",_xlfn.XLOOKUP(tblOrdenes[[#This Row],[puesto_trabajo]],tblPuestos[codigo],tblPuestos[especialidad],"(sin catálogo)"))</f>
        <v/>
      </c>
      <c r="Z391" s="3">
        <f>IF(tblOrdenes[[#This Row],[cod_actividad]]="","",_xlfn.XLOOKUP(tblOrdenes[[#This Row],[cod_actividad]],tblActividades[codigo],tblActividades[descripcion],"(sin catálogo)"))</f>
        <v/>
      </c>
      <c r="AA391" s="12">
        <f>IF(tblOrdenes[[#This Row],[fecha_inicio]]="","",TODAY()-tblOrdenes[[#This Row],[fecha_inicio]])</f>
        <v/>
      </c>
      <c r="AB3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3">
        <f>IF(tblOrdenes[[#This Row],[backlog_habiles]]="","",IF(tblOrdenes[[#This Row],[backlog_habiles]]&lt;0,"FUTURO",IF(tblOrdenes[[#This Row],[backlog_habiles]]&gt;p_dias_backlog_max,"BACKLOG","MES CORRIENTE")))</f>
        <v/>
      </c>
      <c r="AD391" s="3">
        <f>IF(tblOrdenes[[#This Row],[backlog_habiles]]="",FALSE,AND(tblOrdenes[[#This Row],[backlog_habiles]]&gt;p_dias_backlog_min,tblOrdenes[[#This Row],[backlog_habiles]]&lt;=p_dias_backlog_max))</f>
        <v/>
      </c>
      <c r="AE391" s="6" t="n"/>
      <c r="AF3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0">
        <f>IF(tblOrdenes[[#This Row],[orden]]="","",_xlfn.XLOOKUP(tblOrdenes[[#This Row],[id_operacion]],tblEjecucion[id_operacion],tblEjecucion[precio],0))</f>
        <v/>
      </c>
      <c r="AJ391" s="10">
        <f>IF(tblOrdenes[[#This Row],[orden]]="","",MAX(0,_xlfn.XLOOKUP(tblOrdenes[[#This Row],[id_operacion]],tblEjecucion[id_operacion],tblEjecucion[costo_plan_total],0)-tblOrdenes[[#This Row],[costo_servicio]]))</f>
        <v/>
      </c>
      <c r="AK391" s="10">
        <f>IF(tblOrdenes[[#This Row],[orden]]="","",tblOrdenes[[#This Row],[costo_servicio]]+tblOrdenes[[#This Row],[costo_materiales]])</f>
        <v/>
      </c>
      <c r="AL391" s="6" t="n"/>
      <c r="AM391" s="6" t="n"/>
      <c r="AN391" s="6" t="n"/>
      <c r="AO391" s="3">
        <f>IF(tblOrdenes[[#This Row],[link_checklist]]="","",HYPERLINK(p_ruta_base_checklists&amp;tblOrdenes[[#This Row],[link_checklist]],"abrir"))</f>
        <v/>
      </c>
      <c r="AP391" s="6" t="n"/>
      <c r="AQ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3">
        <f>IF(tblOrdenes[[#This Row],[tipo_ot]]="","",_xlfn.XLOOKUP(tblOrdenes[[#This Row],[tipo_ot]],tblTiposOT[codigo],tblTiposOT[clasificacion],"sin_clasificar"))</f>
        <v/>
      </c>
      <c r="U392" s="3">
        <f>IF(tblOrdenes[[#This Row],[centro_costo]]="","",_xlfn.XLOOKUP(tblOrdenes[[#This Row],[centro_costo]],tblCECO[codigo],tblCECO[linea],"(sin catálogo)"))</f>
        <v/>
      </c>
      <c r="V392" s="3">
        <f>IF(tblOrdenes[[#This Row],[centro_costo]]="","",_xlfn.XLOOKUP(tblOrdenes[[#This Row],[centro_costo]],tblCECO[codigo],tblCECO[area],"(sin catálogo)"))</f>
        <v/>
      </c>
      <c r="W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3">
        <f>IF(tblOrdenes[[#This Row],[centro_costo]]="","",_xlfn.XLOOKUP(tblOrdenes[[#This Row],[centro_costo]],tblCECO[codigo],tblCECO[coordinador],"(sin catálogo)"))</f>
        <v/>
      </c>
      <c r="Y392" s="3">
        <f>IF(tblOrdenes[[#This Row],[puesto_trabajo]]="","",_xlfn.XLOOKUP(tblOrdenes[[#This Row],[puesto_trabajo]],tblPuestos[codigo],tblPuestos[especialidad],"(sin catálogo)"))</f>
        <v/>
      </c>
      <c r="Z392" s="3">
        <f>IF(tblOrdenes[[#This Row],[cod_actividad]]="","",_xlfn.XLOOKUP(tblOrdenes[[#This Row],[cod_actividad]],tblActividades[codigo],tblActividades[descripcion],"(sin catálogo)"))</f>
        <v/>
      </c>
      <c r="AA392" s="12">
        <f>IF(tblOrdenes[[#This Row],[fecha_inicio]]="","",TODAY()-tblOrdenes[[#This Row],[fecha_inicio]])</f>
        <v/>
      </c>
      <c r="AB3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3">
        <f>IF(tblOrdenes[[#This Row],[backlog_habiles]]="","",IF(tblOrdenes[[#This Row],[backlog_habiles]]&lt;0,"FUTURO",IF(tblOrdenes[[#This Row],[backlog_habiles]]&gt;p_dias_backlog_max,"BACKLOG","MES CORRIENTE")))</f>
        <v/>
      </c>
      <c r="AD392" s="3">
        <f>IF(tblOrdenes[[#This Row],[backlog_habiles]]="",FALSE,AND(tblOrdenes[[#This Row],[backlog_habiles]]&gt;p_dias_backlog_min,tblOrdenes[[#This Row],[backlog_habiles]]&lt;=p_dias_backlog_max))</f>
        <v/>
      </c>
      <c r="AE392" s="6" t="n"/>
      <c r="AF3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0">
        <f>IF(tblOrdenes[[#This Row],[orden]]="","",_xlfn.XLOOKUP(tblOrdenes[[#This Row],[id_operacion]],tblEjecucion[id_operacion],tblEjecucion[precio],0))</f>
        <v/>
      </c>
      <c r="AJ392" s="10">
        <f>IF(tblOrdenes[[#This Row],[orden]]="","",MAX(0,_xlfn.XLOOKUP(tblOrdenes[[#This Row],[id_operacion]],tblEjecucion[id_operacion],tblEjecucion[costo_plan_total],0)-tblOrdenes[[#This Row],[costo_servicio]]))</f>
        <v/>
      </c>
      <c r="AK392" s="10">
        <f>IF(tblOrdenes[[#This Row],[orden]]="","",tblOrdenes[[#This Row],[costo_servicio]]+tblOrdenes[[#This Row],[costo_materiales]])</f>
        <v/>
      </c>
      <c r="AL392" s="6" t="n"/>
      <c r="AM392" s="6" t="n"/>
      <c r="AN392" s="6" t="n"/>
      <c r="AO392" s="3">
        <f>IF(tblOrdenes[[#This Row],[link_checklist]]="","",HYPERLINK(p_ruta_base_checklists&amp;tblOrdenes[[#This Row],[link_checklist]],"abrir"))</f>
        <v/>
      </c>
      <c r="AP392" s="6" t="n"/>
      <c r="AQ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3">
        <f>IF(tblOrdenes[[#This Row],[tipo_ot]]="","",_xlfn.XLOOKUP(tblOrdenes[[#This Row],[tipo_ot]],tblTiposOT[codigo],tblTiposOT[clasificacion],"sin_clasificar"))</f>
        <v/>
      </c>
      <c r="U393" s="3">
        <f>IF(tblOrdenes[[#This Row],[centro_costo]]="","",_xlfn.XLOOKUP(tblOrdenes[[#This Row],[centro_costo]],tblCECO[codigo],tblCECO[linea],"(sin catálogo)"))</f>
        <v/>
      </c>
      <c r="V393" s="3">
        <f>IF(tblOrdenes[[#This Row],[centro_costo]]="","",_xlfn.XLOOKUP(tblOrdenes[[#This Row],[centro_costo]],tblCECO[codigo],tblCECO[area],"(sin catálogo)"))</f>
        <v/>
      </c>
      <c r="W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3">
        <f>IF(tblOrdenes[[#This Row],[centro_costo]]="","",_xlfn.XLOOKUP(tblOrdenes[[#This Row],[centro_costo]],tblCECO[codigo],tblCECO[coordinador],"(sin catálogo)"))</f>
        <v/>
      </c>
      <c r="Y393" s="3">
        <f>IF(tblOrdenes[[#This Row],[puesto_trabajo]]="","",_xlfn.XLOOKUP(tblOrdenes[[#This Row],[puesto_trabajo]],tblPuestos[codigo],tblPuestos[especialidad],"(sin catálogo)"))</f>
        <v/>
      </c>
      <c r="Z393" s="3">
        <f>IF(tblOrdenes[[#This Row],[cod_actividad]]="","",_xlfn.XLOOKUP(tblOrdenes[[#This Row],[cod_actividad]],tblActividades[codigo],tblActividades[descripcion],"(sin catálogo)"))</f>
        <v/>
      </c>
      <c r="AA393" s="12">
        <f>IF(tblOrdenes[[#This Row],[fecha_inicio]]="","",TODAY()-tblOrdenes[[#This Row],[fecha_inicio]])</f>
        <v/>
      </c>
      <c r="AB3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3">
        <f>IF(tblOrdenes[[#This Row],[backlog_habiles]]="","",IF(tblOrdenes[[#This Row],[backlog_habiles]]&lt;0,"FUTURO",IF(tblOrdenes[[#This Row],[backlog_habiles]]&gt;p_dias_backlog_max,"BACKLOG","MES CORRIENTE")))</f>
        <v/>
      </c>
      <c r="AD393" s="3">
        <f>IF(tblOrdenes[[#This Row],[backlog_habiles]]="",FALSE,AND(tblOrdenes[[#This Row],[backlog_habiles]]&gt;p_dias_backlog_min,tblOrdenes[[#This Row],[backlog_habiles]]&lt;=p_dias_backlog_max))</f>
        <v/>
      </c>
      <c r="AE393" s="6" t="n"/>
      <c r="AF3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0">
        <f>IF(tblOrdenes[[#This Row],[orden]]="","",_xlfn.XLOOKUP(tblOrdenes[[#This Row],[id_operacion]],tblEjecucion[id_operacion],tblEjecucion[precio],0))</f>
        <v/>
      </c>
      <c r="AJ393" s="10">
        <f>IF(tblOrdenes[[#This Row],[orden]]="","",MAX(0,_xlfn.XLOOKUP(tblOrdenes[[#This Row],[id_operacion]],tblEjecucion[id_operacion],tblEjecucion[costo_plan_total],0)-tblOrdenes[[#This Row],[costo_servicio]]))</f>
        <v/>
      </c>
      <c r="AK393" s="10">
        <f>IF(tblOrdenes[[#This Row],[orden]]="","",tblOrdenes[[#This Row],[costo_servicio]]+tblOrdenes[[#This Row],[costo_materiales]])</f>
        <v/>
      </c>
      <c r="AL393" s="6" t="n"/>
      <c r="AM393" s="6" t="n"/>
      <c r="AN393" s="6" t="n"/>
      <c r="AO393" s="3">
        <f>IF(tblOrdenes[[#This Row],[link_checklist]]="","",HYPERLINK(p_ruta_base_checklists&amp;tblOrdenes[[#This Row],[link_checklist]],"abrir"))</f>
        <v/>
      </c>
      <c r="AP393" s="6" t="n"/>
      <c r="AQ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3">
        <f>IF(tblOrdenes[[#This Row],[tipo_ot]]="","",_xlfn.XLOOKUP(tblOrdenes[[#This Row],[tipo_ot]],tblTiposOT[codigo],tblTiposOT[clasificacion],"sin_clasificar"))</f>
        <v/>
      </c>
      <c r="U394" s="3">
        <f>IF(tblOrdenes[[#This Row],[centro_costo]]="","",_xlfn.XLOOKUP(tblOrdenes[[#This Row],[centro_costo]],tblCECO[codigo],tblCECO[linea],"(sin catálogo)"))</f>
        <v/>
      </c>
      <c r="V394" s="3">
        <f>IF(tblOrdenes[[#This Row],[centro_costo]]="","",_xlfn.XLOOKUP(tblOrdenes[[#This Row],[centro_costo]],tblCECO[codigo],tblCECO[area],"(sin catálogo)"))</f>
        <v/>
      </c>
      <c r="W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3">
        <f>IF(tblOrdenes[[#This Row],[centro_costo]]="","",_xlfn.XLOOKUP(tblOrdenes[[#This Row],[centro_costo]],tblCECO[codigo],tblCECO[coordinador],"(sin catálogo)"))</f>
        <v/>
      </c>
      <c r="Y394" s="3">
        <f>IF(tblOrdenes[[#This Row],[puesto_trabajo]]="","",_xlfn.XLOOKUP(tblOrdenes[[#This Row],[puesto_trabajo]],tblPuestos[codigo],tblPuestos[especialidad],"(sin catálogo)"))</f>
        <v/>
      </c>
      <c r="Z394" s="3">
        <f>IF(tblOrdenes[[#This Row],[cod_actividad]]="","",_xlfn.XLOOKUP(tblOrdenes[[#This Row],[cod_actividad]],tblActividades[codigo],tblActividades[descripcion],"(sin catálogo)"))</f>
        <v/>
      </c>
      <c r="AA394" s="12">
        <f>IF(tblOrdenes[[#This Row],[fecha_inicio]]="","",TODAY()-tblOrdenes[[#This Row],[fecha_inicio]])</f>
        <v/>
      </c>
      <c r="AB3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3">
        <f>IF(tblOrdenes[[#This Row],[backlog_habiles]]="","",IF(tblOrdenes[[#This Row],[backlog_habiles]]&lt;0,"FUTURO",IF(tblOrdenes[[#This Row],[backlog_habiles]]&gt;p_dias_backlog_max,"BACKLOG","MES CORRIENTE")))</f>
        <v/>
      </c>
      <c r="AD394" s="3">
        <f>IF(tblOrdenes[[#This Row],[backlog_habiles]]="",FALSE,AND(tblOrdenes[[#This Row],[backlog_habiles]]&gt;p_dias_backlog_min,tblOrdenes[[#This Row],[backlog_habiles]]&lt;=p_dias_backlog_max))</f>
        <v/>
      </c>
      <c r="AE394" s="6" t="n"/>
      <c r="AF3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0">
        <f>IF(tblOrdenes[[#This Row],[orden]]="","",_xlfn.XLOOKUP(tblOrdenes[[#This Row],[id_operacion]],tblEjecucion[id_operacion],tblEjecucion[precio],0))</f>
        <v/>
      </c>
      <c r="AJ394" s="10">
        <f>IF(tblOrdenes[[#This Row],[orden]]="","",MAX(0,_xlfn.XLOOKUP(tblOrdenes[[#This Row],[id_operacion]],tblEjecucion[id_operacion],tblEjecucion[costo_plan_total],0)-tblOrdenes[[#This Row],[costo_servicio]]))</f>
        <v/>
      </c>
      <c r="AK394" s="10">
        <f>IF(tblOrdenes[[#This Row],[orden]]="","",tblOrdenes[[#This Row],[costo_servicio]]+tblOrdenes[[#This Row],[costo_materiales]])</f>
        <v/>
      </c>
      <c r="AL394" s="6" t="n"/>
      <c r="AM394" s="6" t="n"/>
      <c r="AN394" s="6" t="n"/>
      <c r="AO394" s="3">
        <f>IF(tblOrdenes[[#This Row],[link_checklist]]="","",HYPERLINK(p_ruta_base_checklists&amp;tblOrdenes[[#This Row],[link_checklist]],"abrir"))</f>
        <v/>
      </c>
      <c r="AP394" s="6" t="n"/>
      <c r="AQ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3">
        <f>IF(tblOrdenes[[#This Row],[tipo_ot]]="","",_xlfn.XLOOKUP(tblOrdenes[[#This Row],[tipo_ot]],tblTiposOT[codigo],tblTiposOT[clasificacion],"sin_clasificar"))</f>
        <v/>
      </c>
      <c r="U395" s="3">
        <f>IF(tblOrdenes[[#This Row],[centro_costo]]="","",_xlfn.XLOOKUP(tblOrdenes[[#This Row],[centro_costo]],tblCECO[codigo],tblCECO[linea],"(sin catálogo)"))</f>
        <v/>
      </c>
      <c r="V395" s="3">
        <f>IF(tblOrdenes[[#This Row],[centro_costo]]="","",_xlfn.XLOOKUP(tblOrdenes[[#This Row],[centro_costo]],tblCECO[codigo],tblCECO[area],"(sin catálogo)"))</f>
        <v/>
      </c>
      <c r="W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3">
        <f>IF(tblOrdenes[[#This Row],[centro_costo]]="","",_xlfn.XLOOKUP(tblOrdenes[[#This Row],[centro_costo]],tblCECO[codigo],tblCECO[coordinador],"(sin catálogo)"))</f>
        <v/>
      </c>
      <c r="Y395" s="3">
        <f>IF(tblOrdenes[[#This Row],[puesto_trabajo]]="","",_xlfn.XLOOKUP(tblOrdenes[[#This Row],[puesto_trabajo]],tblPuestos[codigo],tblPuestos[especialidad],"(sin catálogo)"))</f>
        <v/>
      </c>
      <c r="Z395" s="3">
        <f>IF(tblOrdenes[[#This Row],[cod_actividad]]="","",_xlfn.XLOOKUP(tblOrdenes[[#This Row],[cod_actividad]],tblActividades[codigo],tblActividades[descripcion],"(sin catálogo)"))</f>
        <v/>
      </c>
      <c r="AA395" s="12">
        <f>IF(tblOrdenes[[#This Row],[fecha_inicio]]="","",TODAY()-tblOrdenes[[#This Row],[fecha_inicio]])</f>
        <v/>
      </c>
      <c r="AB3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3">
        <f>IF(tblOrdenes[[#This Row],[backlog_habiles]]="","",IF(tblOrdenes[[#This Row],[backlog_habiles]]&lt;0,"FUTURO",IF(tblOrdenes[[#This Row],[backlog_habiles]]&gt;p_dias_backlog_max,"BACKLOG","MES CORRIENTE")))</f>
        <v/>
      </c>
      <c r="AD395" s="3">
        <f>IF(tblOrdenes[[#This Row],[backlog_habiles]]="",FALSE,AND(tblOrdenes[[#This Row],[backlog_habiles]]&gt;p_dias_backlog_min,tblOrdenes[[#This Row],[backlog_habiles]]&lt;=p_dias_backlog_max))</f>
        <v/>
      </c>
      <c r="AE395" s="6" t="n"/>
      <c r="AF3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0">
        <f>IF(tblOrdenes[[#This Row],[orden]]="","",_xlfn.XLOOKUP(tblOrdenes[[#This Row],[id_operacion]],tblEjecucion[id_operacion],tblEjecucion[precio],0))</f>
        <v/>
      </c>
      <c r="AJ395" s="10">
        <f>IF(tblOrdenes[[#This Row],[orden]]="","",MAX(0,_xlfn.XLOOKUP(tblOrdenes[[#This Row],[id_operacion]],tblEjecucion[id_operacion],tblEjecucion[costo_plan_total],0)-tblOrdenes[[#This Row],[costo_servicio]]))</f>
        <v/>
      </c>
      <c r="AK395" s="10">
        <f>IF(tblOrdenes[[#This Row],[orden]]="","",tblOrdenes[[#This Row],[costo_servicio]]+tblOrdenes[[#This Row],[costo_materiales]])</f>
        <v/>
      </c>
      <c r="AL395" s="6" t="n"/>
      <c r="AM395" s="6" t="n"/>
      <c r="AN395" s="6" t="n"/>
      <c r="AO395" s="3">
        <f>IF(tblOrdenes[[#This Row],[link_checklist]]="","",HYPERLINK(p_ruta_base_checklists&amp;tblOrdenes[[#This Row],[link_checklist]],"abrir"))</f>
        <v/>
      </c>
      <c r="AP395" s="6" t="n"/>
      <c r="AQ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3">
        <f>IF(tblOrdenes[[#This Row],[tipo_ot]]="","",_xlfn.XLOOKUP(tblOrdenes[[#This Row],[tipo_ot]],tblTiposOT[codigo],tblTiposOT[clasificacion],"sin_clasificar"))</f>
        <v/>
      </c>
      <c r="U396" s="3">
        <f>IF(tblOrdenes[[#This Row],[centro_costo]]="","",_xlfn.XLOOKUP(tblOrdenes[[#This Row],[centro_costo]],tblCECO[codigo],tblCECO[linea],"(sin catálogo)"))</f>
        <v/>
      </c>
      <c r="V396" s="3">
        <f>IF(tblOrdenes[[#This Row],[centro_costo]]="","",_xlfn.XLOOKUP(tblOrdenes[[#This Row],[centro_costo]],tblCECO[codigo],tblCECO[area],"(sin catálogo)"))</f>
        <v/>
      </c>
      <c r="W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3">
        <f>IF(tblOrdenes[[#This Row],[centro_costo]]="","",_xlfn.XLOOKUP(tblOrdenes[[#This Row],[centro_costo]],tblCECO[codigo],tblCECO[coordinador],"(sin catálogo)"))</f>
        <v/>
      </c>
      <c r="Y396" s="3">
        <f>IF(tblOrdenes[[#This Row],[puesto_trabajo]]="","",_xlfn.XLOOKUP(tblOrdenes[[#This Row],[puesto_trabajo]],tblPuestos[codigo],tblPuestos[especialidad],"(sin catálogo)"))</f>
        <v/>
      </c>
      <c r="Z396" s="3">
        <f>IF(tblOrdenes[[#This Row],[cod_actividad]]="","",_xlfn.XLOOKUP(tblOrdenes[[#This Row],[cod_actividad]],tblActividades[codigo],tblActividades[descripcion],"(sin catálogo)"))</f>
        <v/>
      </c>
      <c r="AA396" s="12">
        <f>IF(tblOrdenes[[#This Row],[fecha_inicio]]="","",TODAY()-tblOrdenes[[#This Row],[fecha_inicio]])</f>
        <v/>
      </c>
      <c r="AB3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3">
        <f>IF(tblOrdenes[[#This Row],[backlog_habiles]]="","",IF(tblOrdenes[[#This Row],[backlog_habiles]]&lt;0,"FUTURO",IF(tblOrdenes[[#This Row],[backlog_habiles]]&gt;p_dias_backlog_max,"BACKLOG","MES CORRIENTE")))</f>
        <v/>
      </c>
      <c r="AD396" s="3">
        <f>IF(tblOrdenes[[#This Row],[backlog_habiles]]="",FALSE,AND(tblOrdenes[[#This Row],[backlog_habiles]]&gt;p_dias_backlog_min,tblOrdenes[[#This Row],[backlog_habiles]]&lt;=p_dias_backlog_max))</f>
        <v/>
      </c>
      <c r="AE396" s="6" t="n"/>
      <c r="AF3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0">
        <f>IF(tblOrdenes[[#This Row],[orden]]="","",_xlfn.XLOOKUP(tblOrdenes[[#This Row],[id_operacion]],tblEjecucion[id_operacion],tblEjecucion[precio],0))</f>
        <v/>
      </c>
      <c r="AJ396" s="10">
        <f>IF(tblOrdenes[[#This Row],[orden]]="","",MAX(0,_xlfn.XLOOKUP(tblOrdenes[[#This Row],[id_operacion]],tblEjecucion[id_operacion],tblEjecucion[costo_plan_total],0)-tblOrdenes[[#This Row],[costo_servicio]]))</f>
        <v/>
      </c>
      <c r="AK396" s="10">
        <f>IF(tblOrdenes[[#This Row],[orden]]="","",tblOrdenes[[#This Row],[costo_servicio]]+tblOrdenes[[#This Row],[costo_materiales]])</f>
        <v/>
      </c>
      <c r="AL396" s="6" t="n"/>
      <c r="AM396" s="6" t="n"/>
      <c r="AN396" s="6" t="n"/>
      <c r="AO396" s="3">
        <f>IF(tblOrdenes[[#This Row],[link_checklist]]="","",HYPERLINK(p_ruta_base_checklists&amp;tblOrdenes[[#This Row],[link_checklist]],"abrir"))</f>
        <v/>
      </c>
      <c r="AP396" s="6" t="n"/>
      <c r="AQ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3">
        <f>IF(tblOrdenes[[#This Row],[tipo_ot]]="","",_xlfn.XLOOKUP(tblOrdenes[[#This Row],[tipo_ot]],tblTiposOT[codigo],tblTiposOT[clasificacion],"sin_clasificar"))</f>
        <v/>
      </c>
      <c r="U397" s="3">
        <f>IF(tblOrdenes[[#This Row],[centro_costo]]="","",_xlfn.XLOOKUP(tblOrdenes[[#This Row],[centro_costo]],tblCECO[codigo],tblCECO[linea],"(sin catálogo)"))</f>
        <v/>
      </c>
      <c r="V397" s="3">
        <f>IF(tblOrdenes[[#This Row],[centro_costo]]="","",_xlfn.XLOOKUP(tblOrdenes[[#This Row],[centro_costo]],tblCECO[codigo],tblCECO[area],"(sin catálogo)"))</f>
        <v/>
      </c>
      <c r="W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3">
        <f>IF(tblOrdenes[[#This Row],[centro_costo]]="","",_xlfn.XLOOKUP(tblOrdenes[[#This Row],[centro_costo]],tblCECO[codigo],tblCECO[coordinador],"(sin catálogo)"))</f>
        <v/>
      </c>
      <c r="Y397" s="3">
        <f>IF(tblOrdenes[[#This Row],[puesto_trabajo]]="","",_xlfn.XLOOKUP(tblOrdenes[[#This Row],[puesto_trabajo]],tblPuestos[codigo],tblPuestos[especialidad],"(sin catálogo)"))</f>
        <v/>
      </c>
      <c r="Z397" s="3">
        <f>IF(tblOrdenes[[#This Row],[cod_actividad]]="","",_xlfn.XLOOKUP(tblOrdenes[[#This Row],[cod_actividad]],tblActividades[codigo],tblActividades[descripcion],"(sin catálogo)"))</f>
        <v/>
      </c>
      <c r="AA397" s="12">
        <f>IF(tblOrdenes[[#This Row],[fecha_inicio]]="","",TODAY()-tblOrdenes[[#This Row],[fecha_inicio]])</f>
        <v/>
      </c>
      <c r="AB3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3">
        <f>IF(tblOrdenes[[#This Row],[backlog_habiles]]="","",IF(tblOrdenes[[#This Row],[backlog_habiles]]&lt;0,"FUTURO",IF(tblOrdenes[[#This Row],[backlog_habiles]]&gt;p_dias_backlog_max,"BACKLOG","MES CORRIENTE")))</f>
        <v/>
      </c>
      <c r="AD397" s="3">
        <f>IF(tblOrdenes[[#This Row],[backlog_habiles]]="",FALSE,AND(tblOrdenes[[#This Row],[backlog_habiles]]&gt;p_dias_backlog_min,tblOrdenes[[#This Row],[backlog_habiles]]&lt;=p_dias_backlog_max))</f>
        <v/>
      </c>
      <c r="AE397" s="6" t="n"/>
      <c r="AF3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0">
        <f>IF(tblOrdenes[[#This Row],[orden]]="","",_xlfn.XLOOKUP(tblOrdenes[[#This Row],[id_operacion]],tblEjecucion[id_operacion],tblEjecucion[precio],0))</f>
        <v/>
      </c>
      <c r="AJ397" s="10">
        <f>IF(tblOrdenes[[#This Row],[orden]]="","",MAX(0,_xlfn.XLOOKUP(tblOrdenes[[#This Row],[id_operacion]],tblEjecucion[id_operacion],tblEjecucion[costo_plan_total],0)-tblOrdenes[[#This Row],[costo_servicio]]))</f>
        <v/>
      </c>
      <c r="AK397" s="10">
        <f>IF(tblOrdenes[[#This Row],[orden]]="","",tblOrdenes[[#This Row],[costo_servicio]]+tblOrdenes[[#This Row],[costo_materiales]])</f>
        <v/>
      </c>
      <c r="AL397" s="6" t="n"/>
      <c r="AM397" s="6" t="n"/>
      <c r="AN397" s="6" t="n"/>
      <c r="AO397" s="3">
        <f>IF(tblOrdenes[[#This Row],[link_checklist]]="","",HYPERLINK(p_ruta_base_checklists&amp;tblOrdenes[[#This Row],[link_checklist]],"abrir"))</f>
        <v/>
      </c>
      <c r="AP397" s="6" t="n"/>
      <c r="AQ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3">
        <f>IF(tblOrdenes[[#This Row],[tipo_ot]]="","",_xlfn.XLOOKUP(tblOrdenes[[#This Row],[tipo_ot]],tblTiposOT[codigo],tblTiposOT[clasificacion],"sin_clasificar"))</f>
        <v/>
      </c>
      <c r="U398" s="3">
        <f>IF(tblOrdenes[[#This Row],[centro_costo]]="","",_xlfn.XLOOKUP(tblOrdenes[[#This Row],[centro_costo]],tblCECO[codigo],tblCECO[linea],"(sin catálogo)"))</f>
        <v/>
      </c>
      <c r="V398" s="3">
        <f>IF(tblOrdenes[[#This Row],[centro_costo]]="","",_xlfn.XLOOKUP(tblOrdenes[[#This Row],[centro_costo]],tblCECO[codigo],tblCECO[area],"(sin catálogo)"))</f>
        <v/>
      </c>
      <c r="W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3">
        <f>IF(tblOrdenes[[#This Row],[centro_costo]]="","",_xlfn.XLOOKUP(tblOrdenes[[#This Row],[centro_costo]],tblCECO[codigo],tblCECO[coordinador],"(sin catálogo)"))</f>
        <v/>
      </c>
      <c r="Y398" s="3">
        <f>IF(tblOrdenes[[#This Row],[puesto_trabajo]]="","",_xlfn.XLOOKUP(tblOrdenes[[#This Row],[puesto_trabajo]],tblPuestos[codigo],tblPuestos[especialidad],"(sin catálogo)"))</f>
        <v/>
      </c>
      <c r="Z398" s="3">
        <f>IF(tblOrdenes[[#This Row],[cod_actividad]]="","",_xlfn.XLOOKUP(tblOrdenes[[#This Row],[cod_actividad]],tblActividades[codigo],tblActividades[descripcion],"(sin catálogo)"))</f>
        <v/>
      </c>
      <c r="AA398" s="12">
        <f>IF(tblOrdenes[[#This Row],[fecha_inicio]]="","",TODAY()-tblOrdenes[[#This Row],[fecha_inicio]])</f>
        <v/>
      </c>
      <c r="AB3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3">
        <f>IF(tblOrdenes[[#This Row],[backlog_habiles]]="","",IF(tblOrdenes[[#This Row],[backlog_habiles]]&lt;0,"FUTURO",IF(tblOrdenes[[#This Row],[backlog_habiles]]&gt;p_dias_backlog_max,"BACKLOG","MES CORRIENTE")))</f>
        <v/>
      </c>
      <c r="AD398" s="3">
        <f>IF(tblOrdenes[[#This Row],[backlog_habiles]]="",FALSE,AND(tblOrdenes[[#This Row],[backlog_habiles]]&gt;p_dias_backlog_min,tblOrdenes[[#This Row],[backlog_habiles]]&lt;=p_dias_backlog_max))</f>
        <v/>
      </c>
      <c r="AE398" s="6" t="n"/>
      <c r="AF3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0">
        <f>IF(tblOrdenes[[#This Row],[orden]]="","",_xlfn.XLOOKUP(tblOrdenes[[#This Row],[id_operacion]],tblEjecucion[id_operacion],tblEjecucion[precio],0))</f>
        <v/>
      </c>
      <c r="AJ398" s="10">
        <f>IF(tblOrdenes[[#This Row],[orden]]="","",MAX(0,_xlfn.XLOOKUP(tblOrdenes[[#This Row],[id_operacion]],tblEjecucion[id_operacion],tblEjecucion[costo_plan_total],0)-tblOrdenes[[#This Row],[costo_servicio]]))</f>
        <v/>
      </c>
      <c r="AK398" s="10">
        <f>IF(tblOrdenes[[#This Row],[orden]]="","",tblOrdenes[[#This Row],[costo_servicio]]+tblOrdenes[[#This Row],[costo_materiales]])</f>
        <v/>
      </c>
      <c r="AL398" s="6" t="n"/>
      <c r="AM398" s="6" t="n"/>
      <c r="AN398" s="6" t="n"/>
      <c r="AO398" s="3">
        <f>IF(tblOrdenes[[#This Row],[link_checklist]]="","",HYPERLINK(p_ruta_base_checklists&amp;tblOrdenes[[#This Row],[link_checklist]],"abrir"))</f>
        <v/>
      </c>
      <c r="AP398" s="6" t="n"/>
      <c r="AQ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3">
        <f>IF(tblOrdenes[[#This Row],[tipo_ot]]="","",_xlfn.XLOOKUP(tblOrdenes[[#This Row],[tipo_ot]],tblTiposOT[codigo],tblTiposOT[clasificacion],"sin_clasificar"))</f>
        <v/>
      </c>
      <c r="U399" s="3">
        <f>IF(tblOrdenes[[#This Row],[centro_costo]]="","",_xlfn.XLOOKUP(tblOrdenes[[#This Row],[centro_costo]],tblCECO[codigo],tblCECO[linea],"(sin catálogo)"))</f>
        <v/>
      </c>
      <c r="V399" s="3">
        <f>IF(tblOrdenes[[#This Row],[centro_costo]]="","",_xlfn.XLOOKUP(tblOrdenes[[#This Row],[centro_costo]],tblCECO[codigo],tblCECO[area],"(sin catálogo)"))</f>
        <v/>
      </c>
      <c r="W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3">
        <f>IF(tblOrdenes[[#This Row],[centro_costo]]="","",_xlfn.XLOOKUP(tblOrdenes[[#This Row],[centro_costo]],tblCECO[codigo],tblCECO[coordinador],"(sin catálogo)"))</f>
        <v/>
      </c>
      <c r="Y399" s="3">
        <f>IF(tblOrdenes[[#This Row],[puesto_trabajo]]="","",_xlfn.XLOOKUP(tblOrdenes[[#This Row],[puesto_trabajo]],tblPuestos[codigo],tblPuestos[especialidad],"(sin catálogo)"))</f>
        <v/>
      </c>
      <c r="Z399" s="3">
        <f>IF(tblOrdenes[[#This Row],[cod_actividad]]="","",_xlfn.XLOOKUP(tblOrdenes[[#This Row],[cod_actividad]],tblActividades[codigo],tblActividades[descripcion],"(sin catálogo)"))</f>
        <v/>
      </c>
      <c r="AA399" s="12">
        <f>IF(tblOrdenes[[#This Row],[fecha_inicio]]="","",TODAY()-tblOrdenes[[#This Row],[fecha_inicio]])</f>
        <v/>
      </c>
      <c r="AB3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3">
        <f>IF(tblOrdenes[[#This Row],[backlog_habiles]]="","",IF(tblOrdenes[[#This Row],[backlog_habiles]]&lt;0,"FUTURO",IF(tblOrdenes[[#This Row],[backlog_habiles]]&gt;p_dias_backlog_max,"BACKLOG","MES CORRIENTE")))</f>
        <v/>
      </c>
      <c r="AD399" s="3">
        <f>IF(tblOrdenes[[#This Row],[backlog_habiles]]="",FALSE,AND(tblOrdenes[[#This Row],[backlog_habiles]]&gt;p_dias_backlog_min,tblOrdenes[[#This Row],[backlog_habiles]]&lt;=p_dias_backlog_max))</f>
        <v/>
      </c>
      <c r="AE399" s="6" t="n"/>
      <c r="AF3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0">
        <f>IF(tblOrdenes[[#This Row],[orden]]="","",_xlfn.XLOOKUP(tblOrdenes[[#This Row],[id_operacion]],tblEjecucion[id_operacion],tblEjecucion[precio],0))</f>
        <v/>
      </c>
      <c r="AJ399" s="10">
        <f>IF(tblOrdenes[[#This Row],[orden]]="","",MAX(0,_xlfn.XLOOKUP(tblOrdenes[[#This Row],[id_operacion]],tblEjecucion[id_operacion],tblEjecucion[costo_plan_total],0)-tblOrdenes[[#This Row],[costo_servicio]]))</f>
        <v/>
      </c>
      <c r="AK399" s="10">
        <f>IF(tblOrdenes[[#This Row],[orden]]="","",tblOrdenes[[#This Row],[costo_servicio]]+tblOrdenes[[#This Row],[costo_materiales]])</f>
        <v/>
      </c>
      <c r="AL399" s="6" t="n"/>
      <c r="AM399" s="6" t="n"/>
      <c r="AN399" s="6" t="n"/>
      <c r="AO399" s="3">
        <f>IF(tblOrdenes[[#This Row],[link_checklist]]="","",HYPERLINK(p_ruta_base_checklists&amp;tblOrdenes[[#This Row],[link_checklist]],"abrir"))</f>
        <v/>
      </c>
      <c r="AP399" s="6" t="n"/>
      <c r="AQ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3">
        <f>IF(tblOrdenes[[#This Row],[tipo_ot]]="","",_xlfn.XLOOKUP(tblOrdenes[[#This Row],[tipo_ot]],tblTiposOT[codigo],tblTiposOT[clasificacion],"sin_clasificar"))</f>
        <v/>
      </c>
      <c r="U400" s="3">
        <f>IF(tblOrdenes[[#This Row],[centro_costo]]="","",_xlfn.XLOOKUP(tblOrdenes[[#This Row],[centro_costo]],tblCECO[codigo],tblCECO[linea],"(sin catálogo)"))</f>
        <v/>
      </c>
      <c r="V400" s="3">
        <f>IF(tblOrdenes[[#This Row],[centro_costo]]="","",_xlfn.XLOOKUP(tblOrdenes[[#This Row],[centro_costo]],tblCECO[codigo],tblCECO[area],"(sin catálogo)"))</f>
        <v/>
      </c>
      <c r="W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3">
        <f>IF(tblOrdenes[[#This Row],[centro_costo]]="","",_xlfn.XLOOKUP(tblOrdenes[[#This Row],[centro_costo]],tblCECO[codigo],tblCECO[coordinador],"(sin catálogo)"))</f>
        <v/>
      </c>
      <c r="Y400" s="3">
        <f>IF(tblOrdenes[[#This Row],[puesto_trabajo]]="","",_xlfn.XLOOKUP(tblOrdenes[[#This Row],[puesto_trabajo]],tblPuestos[codigo],tblPuestos[especialidad],"(sin catálogo)"))</f>
        <v/>
      </c>
      <c r="Z400" s="3">
        <f>IF(tblOrdenes[[#This Row],[cod_actividad]]="","",_xlfn.XLOOKUP(tblOrdenes[[#This Row],[cod_actividad]],tblActividades[codigo],tblActividades[descripcion],"(sin catálogo)"))</f>
        <v/>
      </c>
      <c r="AA400" s="12">
        <f>IF(tblOrdenes[[#This Row],[fecha_inicio]]="","",TODAY()-tblOrdenes[[#This Row],[fecha_inicio]])</f>
        <v/>
      </c>
      <c r="AB4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3">
        <f>IF(tblOrdenes[[#This Row],[backlog_habiles]]="","",IF(tblOrdenes[[#This Row],[backlog_habiles]]&lt;0,"FUTURO",IF(tblOrdenes[[#This Row],[backlog_habiles]]&gt;p_dias_backlog_max,"BACKLOG","MES CORRIENTE")))</f>
        <v/>
      </c>
      <c r="AD400" s="3">
        <f>IF(tblOrdenes[[#This Row],[backlog_habiles]]="",FALSE,AND(tblOrdenes[[#This Row],[backlog_habiles]]&gt;p_dias_backlog_min,tblOrdenes[[#This Row],[backlog_habiles]]&lt;=p_dias_backlog_max))</f>
        <v/>
      </c>
      <c r="AE400" s="6" t="n"/>
      <c r="AF4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0">
        <f>IF(tblOrdenes[[#This Row],[orden]]="","",_xlfn.XLOOKUP(tblOrdenes[[#This Row],[id_operacion]],tblEjecucion[id_operacion],tblEjecucion[precio],0))</f>
        <v/>
      </c>
      <c r="AJ400" s="10">
        <f>IF(tblOrdenes[[#This Row],[orden]]="","",MAX(0,_xlfn.XLOOKUP(tblOrdenes[[#This Row],[id_operacion]],tblEjecucion[id_operacion],tblEjecucion[costo_plan_total],0)-tblOrdenes[[#This Row],[costo_servicio]]))</f>
        <v/>
      </c>
      <c r="AK400" s="10">
        <f>IF(tblOrdenes[[#This Row],[orden]]="","",tblOrdenes[[#This Row],[costo_servicio]]+tblOrdenes[[#This Row],[costo_materiales]])</f>
        <v/>
      </c>
      <c r="AL400" s="6" t="n"/>
      <c r="AM400" s="6" t="n"/>
      <c r="AN400" s="6" t="n"/>
      <c r="AO400" s="3">
        <f>IF(tblOrdenes[[#This Row],[link_checklist]]="","",HYPERLINK(p_ruta_base_checklists&amp;tblOrdenes[[#This Row],[link_checklist]],"abrir"))</f>
        <v/>
      </c>
      <c r="AP400" s="6" t="n"/>
      <c r="AQ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3">
        <f>IF(tblOrdenes[[#This Row],[tipo_ot]]="","",_xlfn.XLOOKUP(tblOrdenes[[#This Row],[tipo_ot]],tblTiposOT[codigo],tblTiposOT[clasificacion],"sin_clasificar"))</f>
        <v/>
      </c>
      <c r="U401" s="3">
        <f>IF(tblOrdenes[[#This Row],[centro_costo]]="","",_xlfn.XLOOKUP(tblOrdenes[[#This Row],[centro_costo]],tblCECO[codigo],tblCECO[linea],"(sin catálogo)"))</f>
        <v/>
      </c>
      <c r="V401" s="3">
        <f>IF(tblOrdenes[[#This Row],[centro_costo]]="","",_xlfn.XLOOKUP(tblOrdenes[[#This Row],[centro_costo]],tblCECO[codigo],tblCECO[area],"(sin catálogo)"))</f>
        <v/>
      </c>
      <c r="W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3">
        <f>IF(tblOrdenes[[#This Row],[centro_costo]]="","",_xlfn.XLOOKUP(tblOrdenes[[#This Row],[centro_costo]],tblCECO[codigo],tblCECO[coordinador],"(sin catálogo)"))</f>
        <v/>
      </c>
      <c r="Y401" s="3">
        <f>IF(tblOrdenes[[#This Row],[puesto_trabajo]]="","",_xlfn.XLOOKUP(tblOrdenes[[#This Row],[puesto_trabajo]],tblPuestos[codigo],tblPuestos[especialidad],"(sin catálogo)"))</f>
        <v/>
      </c>
      <c r="Z401" s="3">
        <f>IF(tblOrdenes[[#This Row],[cod_actividad]]="","",_xlfn.XLOOKUP(tblOrdenes[[#This Row],[cod_actividad]],tblActividades[codigo],tblActividades[descripcion],"(sin catálogo)"))</f>
        <v/>
      </c>
      <c r="AA401" s="12">
        <f>IF(tblOrdenes[[#This Row],[fecha_inicio]]="","",TODAY()-tblOrdenes[[#This Row],[fecha_inicio]])</f>
        <v/>
      </c>
      <c r="AB4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3">
        <f>IF(tblOrdenes[[#This Row],[backlog_habiles]]="","",IF(tblOrdenes[[#This Row],[backlog_habiles]]&lt;0,"FUTURO",IF(tblOrdenes[[#This Row],[backlog_habiles]]&gt;p_dias_backlog_max,"BACKLOG","MES CORRIENTE")))</f>
        <v/>
      </c>
      <c r="AD401" s="3">
        <f>IF(tblOrdenes[[#This Row],[backlog_habiles]]="",FALSE,AND(tblOrdenes[[#This Row],[backlog_habiles]]&gt;p_dias_backlog_min,tblOrdenes[[#This Row],[backlog_habiles]]&lt;=p_dias_backlog_max))</f>
        <v/>
      </c>
      <c r="AE401" s="6" t="n"/>
      <c r="AF4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0">
        <f>IF(tblOrdenes[[#This Row],[orden]]="","",_xlfn.XLOOKUP(tblOrdenes[[#This Row],[id_operacion]],tblEjecucion[id_operacion],tblEjecucion[precio],0))</f>
        <v/>
      </c>
      <c r="AJ401" s="10">
        <f>IF(tblOrdenes[[#This Row],[orden]]="","",MAX(0,_xlfn.XLOOKUP(tblOrdenes[[#This Row],[id_operacion]],tblEjecucion[id_operacion],tblEjecucion[costo_plan_total],0)-tblOrdenes[[#This Row],[costo_servicio]]))</f>
        <v/>
      </c>
      <c r="AK401" s="10">
        <f>IF(tblOrdenes[[#This Row],[orden]]="","",tblOrdenes[[#This Row],[costo_servicio]]+tblOrdenes[[#This Row],[costo_materiales]])</f>
        <v/>
      </c>
      <c r="AL401" s="6" t="n"/>
      <c r="AM401" s="6" t="n"/>
      <c r="AN401" s="6" t="n"/>
      <c r="AO401" s="3">
        <f>IF(tblOrdenes[[#This Row],[link_checklist]]="","",HYPERLINK(p_ruta_base_checklists&amp;tblOrdenes[[#This Row],[link_checklist]],"abrir"))</f>
        <v/>
      </c>
      <c r="AP401" s="6" t="n"/>
      <c r="AQ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3">
        <f>IF(tblOrdenes[[#This Row],[tipo_ot]]="","",_xlfn.XLOOKUP(tblOrdenes[[#This Row],[tipo_ot]],tblTiposOT[codigo],tblTiposOT[clasificacion],"sin_clasificar"))</f>
        <v/>
      </c>
      <c r="U402" s="3">
        <f>IF(tblOrdenes[[#This Row],[centro_costo]]="","",_xlfn.XLOOKUP(tblOrdenes[[#This Row],[centro_costo]],tblCECO[codigo],tblCECO[linea],"(sin catálogo)"))</f>
        <v/>
      </c>
      <c r="V402" s="3">
        <f>IF(tblOrdenes[[#This Row],[centro_costo]]="","",_xlfn.XLOOKUP(tblOrdenes[[#This Row],[centro_costo]],tblCECO[codigo],tblCECO[area],"(sin catálogo)"))</f>
        <v/>
      </c>
      <c r="W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3">
        <f>IF(tblOrdenes[[#This Row],[centro_costo]]="","",_xlfn.XLOOKUP(tblOrdenes[[#This Row],[centro_costo]],tblCECO[codigo],tblCECO[coordinador],"(sin catálogo)"))</f>
        <v/>
      </c>
      <c r="Y402" s="3">
        <f>IF(tblOrdenes[[#This Row],[puesto_trabajo]]="","",_xlfn.XLOOKUP(tblOrdenes[[#This Row],[puesto_trabajo]],tblPuestos[codigo],tblPuestos[especialidad],"(sin catálogo)"))</f>
        <v/>
      </c>
      <c r="Z402" s="3">
        <f>IF(tblOrdenes[[#This Row],[cod_actividad]]="","",_xlfn.XLOOKUP(tblOrdenes[[#This Row],[cod_actividad]],tblActividades[codigo],tblActividades[descripcion],"(sin catálogo)"))</f>
        <v/>
      </c>
      <c r="AA402" s="12">
        <f>IF(tblOrdenes[[#This Row],[fecha_inicio]]="","",TODAY()-tblOrdenes[[#This Row],[fecha_inicio]])</f>
        <v/>
      </c>
      <c r="AB4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3">
        <f>IF(tblOrdenes[[#This Row],[backlog_habiles]]="","",IF(tblOrdenes[[#This Row],[backlog_habiles]]&lt;0,"FUTURO",IF(tblOrdenes[[#This Row],[backlog_habiles]]&gt;p_dias_backlog_max,"BACKLOG","MES CORRIENTE")))</f>
        <v/>
      </c>
      <c r="AD402" s="3">
        <f>IF(tblOrdenes[[#This Row],[backlog_habiles]]="",FALSE,AND(tblOrdenes[[#This Row],[backlog_habiles]]&gt;p_dias_backlog_min,tblOrdenes[[#This Row],[backlog_habiles]]&lt;=p_dias_backlog_max))</f>
        <v/>
      </c>
      <c r="AE402" s="6" t="n"/>
      <c r="AF4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0">
        <f>IF(tblOrdenes[[#This Row],[orden]]="","",_xlfn.XLOOKUP(tblOrdenes[[#This Row],[id_operacion]],tblEjecucion[id_operacion],tblEjecucion[precio],0))</f>
        <v/>
      </c>
      <c r="AJ402" s="10">
        <f>IF(tblOrdenes[[#This Row],[orden]]="","",MAX(0,_xlfn.XLOOKUP(tblOrdenes[[#This Row],[id_operacion]],tblEjecucion[id_operacion],tblEjecucion[costo_plan_total],0)-tblOrdenes[[#This Row],[costo_servicio]]))</f>
        <v/>
      </c>
      <c r="AK402" s="10">
        <f>IF(tblOrdenes[[#This Row],[orden]]="","",tblOrdenes[[#This Row],[costo_servicio]]+tblOrdenes[[#This Row],[costo_materiales]])</f>
        <v/>
      </c>
      <c r="AL402" s="6" t="n"/>
      <c r="AM402" s="6" t="n"/>
      <c r="AN402" s="6" t="n"/>
      <c r="AO402" s="3">
        <f>IF(tblOrdenes[[#This Row],[link_checklist]]="","",HYPERLINK(p_ruta_base_checklists&amp;tblOrdenes[[#This Row],[link_checklist]],"abrir"))</f>
        <v/>
      </c>
      <c r="AP402" s="6" t="n"/>
      <c r="AQ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3">
        <f>IF(tblOrdenes[[#This Row],[tipo_ot]]="","",_xlfn.XLOOKUP(tblOrdenes[[#This Row],[tipo_ot]],tblTiposOT[codigo],tblTiposOT[clasificacion],"sin_clasificar"))</f>
        <v/>
      </c>
      <c r="U403" s="3">
        <f>IF(tblOrdenes[[#This Row],[centro_costo]]="","",_xlfn.XLOOKUP(tblOrdenes[[#This Row],[centro_costo]],tblCECO[codigo],tblCECO[linea],"(sin catálogo)"))</f>
        <v/>
      </c>
      <c r="V403" s="3">
        <f>IF(tblOrdenes[[#This Row],[centro_costo]]="","",_xlfn.XLOOKUP(tblOrdenes[[#This Row],[centro_costo]],tblCECO[codigo],tblCECO[area],"(sin catálogo)"))</f>
        <v/>
      </c>
      <c r="W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3">
        <f>IF(tblOrdenes[[#This Row],[centro_costo]]="","",_xlfn.XLOOKUP(tblOrdenes[[#This Row],[centro_costo]],tblCECO[codigo],tblCECO[coordinador],"(sin catálogo)"))</f>
        <v/>
      </c>
      <c r="Y403" s="3">
        <f>IF(tblOrdenes[[#This Row],[puesto_trabajo]]="","",_xlfn.XLOOKUP(tblOrdenes[[#This Row],[puesto_trabajo]],tblPuestos[codigo],tblPuestos[especialidad],"(sin catálogo)"))</f>
        <v/>
      </c>
      <c r="Z403" s="3">
        <f>IF(tblOrdenes[[#This Row],[cod_actividad]]="","",_xlfn.XLOOKUP(tblOrdenes[[#This Row],[cod_actividad]],tblActividades[codigo],tblActividades[descripcion],"(sin catálogo)"))</f>
        <v/>
      </c>
      <c r="AA403" s="12">
        <f>IF(tblOrdenes[[#This Row],[fecha_inicio]]="","",TODAY()-tblOrdenes[[#This Row],[fecha_inicio]])</f>
        <v/>
      </c>
      <c r="AB4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3">
        <f>IF(tblOrdenes[[#This Row],[backlog_habiles]]="","",IF(tblOrdenes[[#This Row],[backlog_habiles]]&lt;0,"FUTURO",IF(tblOrdenes[[#This Row],[backlog_habiles]]&gt;p_dias_backlog_max,"BACKLOG","MES CORRIENTE")))</f>
        <v/>
      </c>
      <c r="AD403" s="3">
        <f>IF(tblOrdenes[[#This Row],[backlog_habiles]]="",FALSE,AND(tblOrdenes[[#This Row],[backlog_habiles]]&gt;p_dias_backlog_min,tblOrdenes[[#This Row],[backlog_habiles]]&lt;=p_dias_backlog_max))</f>
        <v/>
      </c>
      <c r="AE403" s="6" t="n"/>
      <c r="AF4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0">
        <f>IF(tblOrdenes[[#This Row],[orden]]="","",_xlfn.XLOOKUP(tblOrdenes[[#This Row],[id_operacion]],tblEjecucion[id_operacion],tblEjecucion[precio],0))</f>
        <v/>
      </c>
      <c r="AJ403" s="10">
        <f>IF(tblOrdenes[[#This Row],[orden]]="","",MAX(0,_xlfn.XLOOKUP(tblOrdenes[[#This Row],[id_operacion]],tblEjecucion[id_operacion],tblEjecucion[costo_plan_total],0)-tblOrdenes[[#This Row],[costo_servicio]]))</f>
        <v/>
      </c>
      <c r="AK403" s="10">
        <f>IF(tblOrdenes[[#This Row],[orden]]="","",tblOrdenes[[#This Row],[costo_servicio]]+tblOrdenes[[#This Row],[costo_materiales]])</f>
        <v/>
      </c>
      <c r="AL403" s="6" t="n"/>
      <c r="AM403" s="6" t="n"/>
      <c r="AN403" s="6" t="n"/>
      <c r="AO403" s="3">
        <f>IF(tblOrdenes[[#This Row],[link_checklist]]="","",HYPERLINK(p_ruta_base_checklists&amp;tblOrdenes[[#This Row],[link_checklist]],"abrir"))</f>
        <v/>
      </c>
      <c r="AP403" s="6" t="n"/>
      <c r="AQ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3">
        <f>IF(tblOrdenes[[#This Row],[tipo_ot]]="","",_xlfn.XLOOKUP(tblOrdenes[[#This Row],[tipo_ot]],tblTiposOT[codigo],tblTiposOT[clasificacion],"sin_clasificar"))</f>
        <v/>
      </c>
      <c r="U404" s="3">
        <f>IF(tblOrdenes[[#This Row],[centro_costo]]="","",_xlfn.XLOOKUP(tblOrdenes[[#This Row],[centro_costo]],tblCECO[codigo],tblCECO[linea],"(sin catálogo)"))</f>
        <v/>
      </c>
      <c r="V404" s="3">
        <f>IF(tblOrdenes[[#This Row],[centro_costo]]="","",_xlfn.XLOOKUP(tblOrdenes[[#This Row],[centro_costo]],tblCECO[codigo],tblCECO[area],"(sin catálogo)"))</f>
        <v/>
      </c>
      <c r="W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3">
        <f>IF(tblOrdenes[[#This Row],[centro_costo]]="","",_xlfn.XLOOKUP(tblOrdenes[[#This Row],[centro_costo]],tblCECO[codigo],tblCECO[coordinador],"(sin catálogo)"))</f>
        <v/>
      </c>
      <c r="Y404" s="3">
        <f>IF(tblOrdenes[[#This Row],[puesto_trabajo]]="","",_xlfn.XLOOKUP(tblOrdenes[[#This Row],[puesto_trabajo]],tblPuestos[codigo],tblPuestos[especialidad],"(sin catálogo)"))</f>
        <v/>
      </c>
      <c r="Z404" s="3">
        <f>IF(tblOrdenes[[#This Row],[cod_actividad]]="","",_xlfn.XLOOKUP(tblOrdenes[[#This Row],[cod_actividad]],tblActividades[codigo],tblActividades[descripcion],"(sin catálogo)"))</f>
        <v/>
      </c>
      <c r="AA404" s="12">
        <f>IF(tblOrdenes[[#This Row],[fecha_inicio]]="","",TODAY()-tblOrdenes[[#This Row],[fecha_inicio]])</f>
        <v/>
      </c>
      <c r="AB4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3">
        <f>IF(tblOrdenes[[#This Row],[backlog_habiles]]="","",IF(tblOrdenes[[#This Row],[backlog_habiles]]&lt;0,"FUTURO",IF(tblOrdenes[[#This Row],[backlog_habiles]]&gt;p_dias_backlog_max,"BACKLOG","MES CORRIENTE")))</f>
        <v/>
      </c>
      <c r="AD404" s="3">
        <f>IF(tblOrdenes[[#This Row],[backlog_habiles]]="",FALSE,AND(tblOrdenes[[#This Row],[backlog_habiles]]&gt;p_dias_backlog_min,tblOrdenes[[#This Row],[backlog_habiles]]&lt;=p_dias_backlog_max))</f>
        <v/>
      </c>
      <c r="AE404" s="6" t="n"/>
      <c r="AF4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0">
        <f>IF(tblOrdenes[[#This Row],[orden]]="","",_xlfn.XLOOKUP(tblOrdenes[[#This Row],[id_operacion]],tblEjecucion[id_operacion],tblEjecucion[precio],0))</f>
        <v/>
      </c>
      <c r="AJ404" s="10">
        <f>IF(tblOrdenes[[#This Row],[orden]]="","",MAX(0,_xlfn.XLOOKUP(tblOrdenes[[#This Row],[id_operacion]],tblEjecucion[id_operacion],tblEjecucion[costo_plan_total],0)-tblOrdenes[[#This Row],[costo_servicio]]))</f>
        <v/>
      </c>
      <c r="AK404" s="10">
        <f>IF(tblOrdenes[[#This Row],[orden]]="","",tblOrdenes[[#This Row],[costo_servicio]]+tblOrdenes[[#This Row],[costo_materiales]])</f>
        <v/>
      </c>
      <c r="AL404" s="6" t="n"/>
      <c r="AM404" s="6" t="n"/>
      <c r="AN404" s="6" t="n"/>
      <c r="AO404" s="3">
        <f>IF(tblOrdenes[[#This Row],[link_checklist]]="","",HYPERLINK(p_ruta_base_checklists&amp;tblOrdenes[[#This Row],[link_checklist]],"abrir"))</f>
        <v/>
      </c>
      <c r="AP404" s="6" t="n"/>
      <c r="AQ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3">
        <f>IF(tblOrdenes[[#This Row],[tipo_ot]]="","",_xlfn.XLOOKUP(tblOrdenes[[#This Row],[tipo_ot]],tblTiposOT[codigo],tblTiposOT[clasificacion],"sin_clasificar"))</f>
        <v/>
      </c>
      <c r="U405" s="3">
        <f>IF(tblOrdenes[[#This Row],[centro_costo]]="","",_xlfn.XLOOKUP(tblOrdenes[[#This Row],[centro_costo]],tblCECO[codigo],tblCECO[linea],"(sin catálogo)"))</f>
        <v/>
      </c>
      <c r="V405" s="3">
        <f>IF(tblOrdenes[[#This Row],[centro_costo]]="","",_xlfn.XLOOKUP(tblOrdenes[[#This Row],[centro_costo]],tblCECO[codigo],tblCECO[area],"(sin catálogo)"))</f>
        <v/>
      </c>
      <c r="W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3">
        <f>IF(tblOrdenes[[#This Row],[centro_costo]]="","",_xlfn.XLOOKUP(tblOrdenes[[#This Row],[centro_costo]],tblCECO[codigo],tblCECO[coordinador],"(sin catálogo)"))</f>
        <v/>
      </c>
      <c r="Y405" s="3">
        <f>IF(tblOrdenes[[#This Row],[puesto_trabajo]]="","",_xlfn.XLOOKUP(tblOrdenes[[#This Row],[puesto_trabajo]],tblPuestos[codigo],tblPuestos[especialidad],"(sin catálogo)"))</f>
        <v/>
      </c>
      <c r="Z405" s="3">
        <f>IF(tblOrdenes[[#This Row],[cod_actividad]]="","",_xlfn.XLOOKUP(tblOrdenes[[#This Row],[cod_actividad]],tblActividades[codigo],tblActividades[descripcion],"(sin catálogo)"))</f>
        <v/>
      </c>
      <c r="AA405" s="12">
        <f>IF(tblOrdenes[[#This Row],[fecha_inicio]]="","",TODAY()-tblOrdenes[[#This Row],[fecha_inicio]])</f>
        <v/>
      </c>
      <c r="AB4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3">
        <f>IF(tblOrdenes[[#This Row],[backlog_habiles]]="","",IF(tblOrdenes[[#This Row],[backlog_habiles]]&lt;0,"FUTURO",IF(tblOrdenes[[#This Row],[backlog_habiles]]&gt;p_dias_backlog_max,"BACKLOG","MES CORRIENTE")))</f>
        <v/>
      </c>
      <c r="AD405" s="3">
        <f>IF(tblOrdenes[[#This Row],[backlog_habiles]]="",FALSE,AND(tblOrdenes[[#This Row],[backlog_habiles]]&gt;p_dias_backlog_min,tblOrdenes[[#This Row],[backlog_habiles]]&lt;=p_dias_backlog_max))</f>
        <v/>
      </c>
      <c r="AE405" s="6" t="n"/>
      <c r="AF4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0">
        <f>IF(tblOrdenes[[#This Row],[orden]]="","",_xlfn.XLOOKUP(tblOrdenes[[#This Row],[id_operacion]],tblEjecucion[id_operacion],tblEjecucion[precio],0))</f>
        <v/>
      </c>
      <c r="AJ405" s="10">
        <f>IF(tblOrdenes[[#This Row],[orden]]="","",MAX(0,_xlfn.XLOOKUP(tblOrdenes[[#This Row],[id_operacion]],tblEjecucion[id_operacion],tblEjecucion[costo_plan_total],0)-tblOrdenes[[#This Row],[costo_servicio]]))</f>
        <v/>
      </c>
      <c r="AK405" s="10">
        <f>IF(tblOrdenes[[#This Row],[orden]]="","",tblOrdenes[[#This Row],[costo_servicio]]+tblOrdenes[[#This Row],[costo_materiales]])</f>
        <v/>
      </c>
      <c r="AL405" s="6" t="n"/>
      <c r="AM405" s="6" t="n"/>
      <c r="AN405" s="6" t="n"/>
      <c r="AO405" s="3">
        <f>IF(tblOrdenes[[#This Row],[link_checklist]]="","",HYPERLINK(p_ruta_base_checklists&amp;tblOrdenes[[#This Row],[link_checklist]],"abrir"))</f>
        <v/>
      </c>
      <c r="AP405" s="6" t="n"/>
      <c r="AQ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3">
        <f>IF(tblOrdenes[[#This Row],[tipo_ot]]="","",_xlfn.XLOOKUP(tblOrdenes[[#This Row],[tipo_ot]],tblTiposOT[codigo],tblTiposOT[clasificacion],"sin_clasificar"))</f>
        <v/>
      </c>
      <c r="U406" s="3">
        <f>IF(tblOrdenes[[#This Row],[centro_costo]]="","",_xlfn.XLOOKUP(tblOrdenes[[#This Row],[centro_costo]],tblCECO[codigo],tblCECO[linea],"(sin catálogo)"))</f>
        <v/>
      </c>
      <c r="V406" s="3">
        <f>IF(tblOrdenes[[#This Row],[centro_costo]]="","",_xlfn.XLOOKUP(tblOrdenes[[#This Row],[centro_costo]],tblCECO[codigo],tblCECO[area],"(sin catálogo)"))</f>
        <v/>
      </c>
      <c r="W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3">
        <f>IF(tblOrdenes[[#This Row],[centro_costo]]="","",_xlfn.XLOOKUP(tblOrdenes[[#This Row],[centro_costo]],tblCECO[codigo],tblCECO[coordinador],"(sin catálogo)"))</f>
        <v/>
      </c>
      <c r="Y406" s="3">
        <f>IF(tblOrdenes[[#This Row],[puesto_trabajo]]="","",_xlfn.XLOOKUP(tblOrdenes[[#This Row],[puesto_trabajo]],tblPuestos[codigo],tblPuestos[especialidad],"(sin catálogo)"))</f>
        <v/>
      </c>
      <c r="Z406" s="3">
        <f>IF(tblOrdenes[[#This Row],[cod_actividad]]="","",_xlfn.XLOOKUP(tblOrdenes[[#This Row],[cod_actividad]],tblActividades[codigo],tblActividades[descripcion],"(sin catálogo)"))</f>
        <v/>
      </c>
      <c r="AA406" s="12">
        <f>IF(tblOrdenes[[#This Row],[fecha_inicio]]="","",TODAY()-tblOrdenes[[#This Row],[fecha_inicio]])</f>
        <v/>
      </c>
      <c r="AB4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3">
        <f>IF(tblOrdenes[[#This Row],[backlog_habiles]]="","",IF(tblOrdenes[[#This Row],[backlog_habiles]]&lt;0,"FUTURO",IF(tblOrdenes[[#This Row],[backlog_habiles]]&gt;p_dias_backlog_max,"BACKLOG","MES CORRIENTE")))</f>
        <v/>
      </c>
      <c r="AD406" s="3">
        <f>IF(tblOrdenes[[#This Row],[backlog_habiles]]="",FALSE,AND(tblOrdenes[[#This Row],[backlog_habiles]]&gt;p_dias_backlog_min,tblOrdenes[[#This Row],[backlog_habiles]]&lt;=p_dias_backlog_max))</f>
        <v/>
      </c>
      <c r="AE406" s="6" t="n"/>
      <c r="AF4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0">
        <f>IF(tblOrdenes[[#This Row],[orden]]="","",_xlfn.XLOOKUP(tblOrdenes[[#This Row],[id_operacion]],tblEjecucion[id_operacion],tblEjecucion[precio],0))</f>
        <v/>
      </c>
      <c r="AJ406" s="10">
        <f>IF(tblOrdenes[[#This Row],[orden]]="","",MAX(0,_xlfn.XLOOKUP(tblOrdenes[[#This Row],[id_operacion]],tblEjecucion[id_operacion],tblEjecucion[costo_plan_total],0)-tblOrdenes[[#This Row],[costo_servicio]]))</f>
        <v/>
      </c>
      <c r="AK406" s="10">
        <f>IF(tblOrdenes[[#This Row],[orden]]="","",tblOrdenes[[#This Row],[costo_servicio]]+tblOrdenes[[#This Row],[costo_materiales]])</f>
        <v/>
      </c>
      <c r="AL406" s="6" t="n"/>
      <c r="AM406" s="6" t="n"/>
      <c r="AN406" s="6" t="n"/>
      <c r="AO406" s="3">
        <f>IF(tblOrdenes[[#This Row],[link_checklist]]="","",HYPERLINK(p_ruta_base_checklists&amp;tblOrdenes[[#This Row],[link_checklist]],"abrir"))</f>
        <v/>
      </c>
      <c r="AP406" s="6" t="n"/>
      <c r="AQ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3">
        <f>IF(tblOrdenes[[#This Row],[tipo_ot]]="","",_xlfn.XLOOKUP(tblOrdenes[[#This Row],[tipo_ot]],tblTiposOT[codigo],tblTiposOT[clasificacion],"sin_clasificar"))</f>
        <v/>
      </c>
      <c r="U407" s="3">
        <f>IF(tblOrdenes[[#This Row],[centro_costo]]="","",_xlfn.XLOOKUP(tblOrdenes[[#This Row],[centro_costo]],tblCECO[codigo],tblCECO[linea],"(sin catálogo)"))</f>
        <v/>
      </c>
      <c r="V407" s="3">
        <f>IF(tblOrdenes[[#This Row],[centro_costo]]="","",_xlfn.XLOOKUP(tblOrdenes[[#This Row],[centro_costo]],tblCECO[codigo],tblCECO[area],"(sin catálogo)"))</f>
        <v/>
      </c>
      <c r="W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3">
        <f>IF(tblOrdenes[[#This Row],[centro_costo]]="","",_xlfn.XLOOKUP(tblOrdenes[[#This Row],[centro_costo]],tblCECO[codigo],tblCECO[coordinador],"(sin catálogo)"))</f>
        <v/>
      </c>
      <c r="Y407" s="3">
        <f>IF(tblOrdenes[[#This Row],[puesto_trabajo]]="","",_xlfn.XLOOKUP(tblOrdenes[[#This Row],[puesto_trabajo]],tblPuestos[codigo],tblPuestos[especialidad],"(sin catálogo)"))</f>
        <v/>
      </c>
      <c r="Z407" s="3">
        <f>IF(tblOrdenes[[#This Row],[cod_actividad]]="","",_xlfn.XLOOKUP(tblOrdenes[[#This Row],[cod_actividad]],tblActividades[codigo],tblActividades[descripcion],"(sin catálogo)"))</f>
        <v/>
      </c>
      <c r="AA407" s="12">
        <f>IF(tblOrdenes[[#This Row],[fecha_inicio]]="","",TODAY()-tblOrdenes[[#This Row],[fecha_inicio]])</f>
        <v/>
      </c>
      <c r="AB4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3">
        <f>IF(tblOrdenes[[#This Row],[backlog_habiles]]="","",IF(tblOrdenes[[#This Row],[backlog_habiles]]&lt;0,"FUTURO",IF(tblOrdenes[[#This Row],[backlog_habiles]]&gt;p_dias_backlog_max,"BACKLOG","MES CORRIENTE")))</f>
        <v/>
      </c>
      <c r="AD407" s="3">
        <f>IF(tblOrdenes[[#This Row],[backlog_habiles]]="",FALSE,AND(tblOrdenes[[#This Row],[backlog_habiles]]&gt;p_dias_backlog_min,tblOrdenes[[#This Row],[backlog_habiles]]&lt;=p_dias_backlog_max))</f>
        <v/>
      </c>
      <c r="AE407" s="6" t="n"/>
      <c r="AF4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0">
        <f>IF(tblOrdenes[[#This Row],[orden]]="","",_xlfn.XLOOKUP(tblOrdenes[[#This Row],[id_operacion]],tblEjecucion[id_operacion],tblEjecucion[precio],0))</f>
        <v/>
      </c>
      <c r="AJ407" s="10">
        <f>IF(tblOrdenes[[#This Row],[orden]]="","",MAX(0,_xlfn.XLOOKUP(tblOrdenes[[#This Row],[id_operacion]],tblEjecucion[id_operacion],tblEjecucion[costo_plan_total],0)-tblOrdenes[[#This Row],[costo_servicio]]))</f>
        <v/>
      </c>
      <c r="AK407" s="10">
        <f>IF(tblOrdenes[[#This Row],[orden]]="","",tblOrdenes[[#This Row],[costo_servicio]]+tblOrdenes[[#This Row],[costo_materiales]])</f>
        <v/>
      </c>
      <c r="AL407" s="6" t="n"/>
      <c r="AM407" s="6" t="n"/>
      <c r="AN407" s="6" t="n"/>
      <c r="AO407" s="3">
        <f>IF(tblOrdenes[[#This Row],[link_checklist]]="","",HYPERLINK(p_ruta_base_checklists&amp;tblOrdenes[[#This Row],[link_checklist]],"abrir"))</f>
        <v/>
      </c>
      <c r="AP407" s="6" t="n"/>
      <c r="AQ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3">
        <f>IF(tblOrdenes[[#This Row],[tipo_ot]]="","",_xlfn.XLOOKUP(tblOrdenes[[#This Row],[tipo_ot]],tblTiposOT[codigo],tblTiposOT[clasificacion],"sin_clasificar"))</f>
        <v/>
      </c>
      <c r="U408" s="3">
        <f>IF(tblOrdenes[[#This Row],[centro_costo]]="","",_xlfn.XLOOKUP(tblOrdenes[[#This Row],[centro_costo]],tblCECO[codigo],tblCECO[linea],"(sin catálogo)"))</f>
        <v/>
      </c>
      <c r="V408" s="3">
        <f>IF(tblOrdenes[[#This Row],[centro_costo]]="","",_xlfn.XLOOKUP(tblOrdenes[[#This Row],[centro_costo]],tblCECO[codigo],tblCECO[area],"(sin catálogo)"))</f>
        <v/>
      </c>
      <c r="W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3">
        <f>IF(tblOrdenes[[#This Row],[centro_costo]]="","",_xlfn.XLOOKUP(tblOrdenes[[#This Row],[centro_costo]],tblCECO[codigo],tblCECO[coordinador],"(sin catálogo)"))</f>
        <v/>
      </c>
      <c r="Y408" s="3">
        <f>IF(tblOrdenes[[#This Row],[puesto_trabajo]]="","",_xlfn.XLOOKUP(tblOrdenes[[#This Row],[puesto_trabajo]],tblPuestos[codigo],tblPuestos[especialidad],"(sin catálogo)"))</f>
        <v/>
      </c>
      <c r="Z408" s="3">
        <f>IF(tblOrdenes[[#This Row],[cod_actividad]]="","",_xlfn.XLOOKUP(tblOrdenes[[#This Row],[cod_actividad]],tblActividades[codigo],tblActividades[descripcion],"(sin catálogo)"))</f>
        <v/>
      </c>
      <c r="AA408" s="12">
        <f>IF(tblOrdenes[[#This Row],[fecha_inicio]]="","",TODAY()-tblOrdenes[[#This Row],[fecha_inicio]])</f>
        <v/>
      </c>
      <c r="AB4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3">
        <f>IF(tblOrdenes[[#This Row],[backlog_habiles]]="","",IF(tblOrdenes[[#This Row],[backlog_habiles]]&lt;0,"FUTURO",IF(tblOrdenes[[#This Row],[backlog_habiles]]&gt;p_dias_backlog_max,"BACKLOG","MES CORRIENTE")))</f>
        <v/>
      </c>
      <c r="AD408" s="3">
        <f>IF(tblOrdenes[[#This Row],[backlog_habiles]]="",FALSE,AND(tblOrdenes[[#This Row],[backlog_habiles]]&gt;p_dias_backlog_min,tblOrdenes[[#This Row],[backlog_habiles]]&lt;=p_dias_backlog_max))</f>
        <v/>
      </c>
      <c r="AE408" s="6" t="n"/>
      <c r="AF4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0">
        <f>IF(tblOrdenes[[#This Row],[orden]]="","",_xlfn.XLOOKUP(tblOrdenes[[#This Row],[id_operacion]],tblEjecucion[id_operacion],tblEjecucion[precio],0))</f>
        <v/>
      </c>
      <c r="AJ408" s="10">
        <f>IF(tblOrdenes[[#This Row],[orden]]="","",MAX(0,_xlfn.XLOOKUP(tblOrdenes[[#This Row],[id_operacion]],tblEjecucion[id_operacion],tblEjecucion[costo_plan_total],0)-tblOrdenes[[#This Row],[costo_servicio]]))</f>
        <v/>
      </c>
      <c r="AK408" s="10">
        <f>IF(tblOrdenes[[#This Row],[orden]]="","",tblOrdenes[[#This Row],[costo_servicio]]+tblOrdenes[[#This Row],[costo_materiales]])</f>
        <v/>
      </c>
      <c r="AL408" s="6" t="n"/>
      <c r="AM408" s="6" t="n"/>
      <c r="AN408" s="6" t="n"/>
      <c r="AO408" s="3">
        <f>IF(tblOrdenes[[#This Row],[link_checklist]]="","",HYPERLINK(p_ruta_base_checklists&amp;tblOrdenes[[#This Row],[link_checklist]],"abrir"))</f>
        <v/>
      </c>
      <c r="AP408" s="6" t="n"/>
      <c r="AQ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3">
        <f>IF(tblOrdenes[[#This Row],[tipo_ot]]="","",_xlfn.XLOOKUP(tblOrdenes[[#This Row],[tipo_ot]],tblTiposOT[codigo],tblTiposOT[clasificacion],"sin_clasificar"))</f>
        <v/>
      </c>
      <c r="U409" s="3">
        <f>IF(tblOrdenes[[#This Row],[centro_costo]]="","",_xlfn.XLOOKUP(tblOrdenes[[#This Row],[centro_costo]],tblCECO[codigo],tblCECO[linea],"(sin catálogo)"))</f>
        <v/>
      </c>
      <c r="V409" s="3">
        <f>IF(tblOrdenes[[#This Row],[centro_costo]]="","",_xlfn.XLOOKUP(tblOrdenes[[#This Row],[centro_costo]],tblCECO[codigo],tblCECO[area],"(sin catálogo)"))</f>
        <v/>
      </c>
      <c r="W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3">
        <f>IF(tblOrdenes[[#This Row],[centro_costo]]="","",_xlfn.XLOOKUP(tblOrdenes[[#This Row],[centro_costo]],tblCECO[codigo],tblCECO[coordinador],"(sin catálogo)"))</f>
        <v/>
      </c>
      <c r="Y409" s="3">
        <f>IF(tblOrdenes[[#This Row],[puesto_trabajo]]="","",_xlfn.XLOOKUP(tblOrdenes[[#This Row],[puesto_trabajo]],tblPuestos[codigo],tblPuestos[especialidad],"(sin catálogo)"))</f>
        <v/>
      </c>
      <c r="Z409" s="3">
        <f>IF(tblOrdenes[[#This Row],[cod_actividad]]="","",_xlfn.XLOOKUP(tblOrdenes[[#This Row],[cod_actividad]],tblActividades[codigo],tblActividades[descripcion],"(sin catálogo)"))</f>
        <v/>
      </c>
      <c r="AA409" s="12">
        <f>IF(tblOrdenes[[#This Row],[fecha_inicio]]="","",TODAY()-tblOrdenes[[#This Row],[fecha_inicio]])</f>
        <v/>
      </c>
      <c r="AB4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3">
        <f>IF(tblOrdenes[[#This Row],[backlog_habiles]]="","",IF(tblOrdenes[[#This Row],[backlog_habiles]]&lt;0,"FUTURO",IF(tblOrdenes[[#This Row],[backlog_habiles]]&gt;p_dias_backlog_max,"BACKLOG","MES CORRIENTE")))</f>
        <v/>
      </c>
      <c r="AD409" s="3">
        <f>IF(tblOrdenes[[#This Row],[backlog_habiles]]="",FALSE,AND(tblOrdenes[[#This Row],[backlog_habiles]]&gt;p_dias_backlog_min,tblOrdenes[[#This Row],[backlog_habiles]]&lt;=p_dias_backlog_max))</f>
        <v/>
      </c>
      <c r="AE409" s="6" t="n"/>
      <c r="AF4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0">
        <f>IF(tblOrdenes[[#This Row],[orden]]="","",_xlfn.XLOOKUP(tblOrdenes[[#This Row],[id_operacion]],tblEjecucion[id_operacion],tblEjecucion[precio],0))</f>
        <v/>
      </c>
      <c r="AJ409" s="10">
        <f>IF(tblOrdenes[[#This Row],[orden]]="","",MAX(0,_xlfn.XLOOKUP(tblOrdenes[[#This Row],[id_operacion]],tblEjecucion[id_operacion],tblEjecucion[costo_plan_total],0)-tblOrdenes[[#This Row],[costo_servicio]]))</f>
        <v/>
      </c>
      <c r="AK409" s="10">
        <f>IF(tblOrdenes[[#This Row],[orden]]="","",tblOrdenes[[#This Row],[costo_servicio]]+tblOrdenes[[#This Row],[costo_materiales]])</f>
        <v/>
      </c>
      <c r="AL409" s="6" t="n"/>
      <c r="AM409" s="6" t="n"/>
      <c r="AN409" s="6" t="n"/>
      <c r="AO409" s="3">
        <f>IF(tblOrdenes[[#This Row],[link_checklist]]="","",HYPERLINK(p_ruta_base_checklists&amp;tblOrdenes[[#This Row],[link_checklist]],"abrir"))</f>
        <v/>
      </c>
      <c r="AP409" s="6" t="n"/>
      <c r="AQ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3">
        <f>IF(tblOrdenes[[#This Row],[tipo_ot]]="","",_xlfn.XLOOKUP(tblOrdenes[[#This Row],[tipo_ot]],tblTiposOT[codigo],tblTiposOT[clasificacion],"sin_clasificar"))</f>
        <v/>
      </c>
      <c r="U410" s="3">
        <f>IF(tblOrdenes[[#This Row],[centro_costo]]="","",_xlfn.XLOOKUP(tblOrdenes[[#This Row],[centro_costo]],tblCECO[codigo],tblCECO[linea],"(sin catálogo)"))</f>
        <v/>
      </c>
      <c r="V410" s="3">
        <f>IF(tblOrdenes[[#This Row],[centro_costo]]="","",_xlfn.XLOOKUP(tblOrdenes[[#This Row],[centro_costo]],tblCECO[codigo],tblCECO[area],"(sin catálogo)"))</f>
        <v/>
      </c>
      <c r="W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3">
        <f>IF(tblOrdenes[[#This Row],[centro_costo]]="","",_xlfn.XLOOKUP(tblOrdenes[[#This Row],[centro_costo]],tblCECO[codigo],tblCECO[coordinador],"(sin catálogo)"))</f>
        <v/>
      </c>
      <c r="Y410" s="3">
        <f>IF(tblOrdenes[[#This Row],[puesto_trabajo]]="","",_xlfn.XLOOKUP(tblOrdenes[[#This Row],[puesto_trabajo]],tblPuestos[codigo],tblPuestos[especialidad],"(sin catálogo)"))</f>
        <v/>
      </c>
      <c r="Z410" s="3">
        <f>IF(tblOrdenes[[#This Row],[cod_actividad]]="","",_xlfn.XLOOKUP(tblOrdenes[[#This Row],[cod_actividad]],tblActividades[codigo],tblActividades[descripcion],"(sin catálogo)"))</f>
        <v/>
      </c>
      <c r="AA410" s="12">
        <f>IF(tblOrdenes[[#This Row],[fecha_inicio]]="","",TODAY()-tblOrdenes[[#This Row],[fecha_inicio]])</f>
        <v/>
      </c>
      <c r="AB4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3">
        <f>IF(tblOrdenes[[#This Row],[backlog_habiles]]="","",IF(tblOrdenes[[#This Row],[backlog_habiles]]&lt;0,"FUTURO",IF(tblOrdenes[[#This Row],[backlog_habiles]]&gt;p_dias_backlog_max,"BACKLOG","MES CORRIENTE")))</f>
        <v/>
      </c>
      <c r="AD410" s="3">
        <f>IF(tblOrdenes[[#This Row],[backlog_habiles]]="",FALSE,AND(tblOrdenes[[#This Row],[backlog_habiles]]&gt;p_dias_backlog_min,tblOrdenes[[#This Row],[backlog_habiles]]&lt;=p_dias_backlog_max))</f>
        <v/>
      </c>
      <c r="AE410" s="6" t="n"/>
      <c r="AF4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0">
        <f>IF(tblOrdenes[[#This Row],[orden]]="","",_xlfn.XLOOKUP(tblOrdenes[[#This Row],[id_operacion]],tblEjecucion[id_operacion],tblEjecucion[precio],0))</f>
        <v/>
      </c>
      <c r="AJ410" s="10">
        <f>IF(tblOrdenes[[#This Row],[orden]]="","",MAX(0,_xlfn.XLOOKUP(tblOrdenes[[#This Row],[id_operacion]],tblEjecucion[id_operacion],tblEjecucion[costo_plan_total],0)-tblOrdenes[[#This Row],[costo_servicio]]))</f>
        <v/>
      </c>
      <c r="AK410" s="10">
        <f>IF(tblOrdenes[[#This Row],[orden]]="","",tblOrdenes[[#This Row],[costo_servicio]]+tblOrdenes[[#This Row],[costo_materiales]])</f>
        <v/>
      </c>
      <c r="AL410" s="6" t="n"/>
      <c r="AM410" s="6" t="n"/>
      <c r="AN410" s="6" t="n"/>
      <c r="AO410" s="3">
        <f>IF(tblOrdenes[[#This Row],[link_checklist]]="","",HYPERLINK(p_ruta_base_checklists&amp;tblOrdenes[[#This Row],[link_checklist]],"abrir"))</f>
        <v/>
      </c>
      <c r="AP410" s="6" t="n"/>
      <c r="AQ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3">
        <f>IF(tblOrdenes[[#This Row],[tipo_ot]]="","",_xlfn.XLOOKUP(tblOrdenes[[#This Row],[tipo_ot]],tblTiposOT[codigo],tblTiposOT[clasificacion],"sin_clasificar"))</f>
        <v/>
      </c>
      <c r="U411" s="3">
        <f>IF(tblOrdenes[[#This Row],[centro_costo]]="","",_xlfn.XLOOKUP(tblOrdenes[[#This Row],[centro_costo]],tblCECO[codigo],tblCECO[linea],"(sin catálogo)"))</f>
        <v/>
      </c>
      <c r="V411" s="3">
        <f>IF(tblOrdenes[[#This Row],[centro_costo]]="","",_xlfn.XLOOKUP(tblOrdenes[[#This Row],[centro_costo]],tblCECO[codigo],tblCECO[area],"(sin catálogo)"))</f>
        <v/>
      </c>
      <c r="W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3">
        <f>IF(tblOrdenes[[#This Row],[centro_costo]]="","",_xlfn.XLOOKUP(tblOrdenes[[#This Row],[centro_costo]],tblCECO[codigo],tblCECO[coordinador],"(sin catálogo)"))</f>
        <v/>
      </c>
      <c r="Y411" s="3">
        <f>IF(tblOrdenes[[#This Row],[puesto_trabajo]]="","",_xlfn.XLOOKUP(tblOrdenes[[#This Row],[puesto_trabajo]],tblPuestos[codigo],tblPuestos[especialidad],"(sin catálogo)"))</f>
        <v/>
      </c>
      <c r="Z411" s="3">
        <f>IF(tblOrdenes[[#This Row],[cod_actividad]]="","",_xlfn.XLOOKUP(tblOrdenes[[#This Row],[cod_actividad]],tblActividades[codigo],tblActividades[descripcion],"(sin catálogo)"))</f>
        <v/>
      </c>
      <c r="AA411" s="12">
        <f>IF(tblOrdenes[[#This Row],[fecha_inicio]]="","",TODAY()-tblOrdenes[[#This Row],[fecha_inicio]])</f>
        <v/>
      </c>
      <c r="AB4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3">
        <f>IF(tblOrdenes[[#This Row],[backlog_habiles]]="","",IF(tblOrdenes[[#This Row],[backlog_habiles]]&lt;0,"FUTURO",IF(tblOrdenes[[#This Row],[backlog_habiles]]&gt;p_dias_backlog_max,"BACKLOG","MES CORRIENTE")))</f>
        <v/>
      </c>
      <c r="AD411" s="3">
        <f>IF(tblOrdenes[[#This Row],[backlog_habiles]]="",FALSE,AND(tblOrdenes[[#This Row],[backlog_habiles]]&gt;p_dias_backlog_min,tblOrdenes[[#This Row],[backlog_habiles]]&lt;=p_dias_backlog_max))</f>
        <v/>
      </c>
      <c r="AE411" s="6" t="n"/>
      <c r="AF4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0">
        <f>IF(tblOrdenes[[#This Row],[orden]]="","",_xlfn.XLOOKUP(tblOrdenes[[#This Row],[id_operacion]],tblEjecucion[id_operacion],tblEjecucion[precio],0))</f>
        <v/>
      </c>
      <c r="AJ411" s="10">
        <f>IF(tblOrdenes[[#This Row],[orden]]="","",MAX(0,_xlfn.XLOOKUP(tblOrdenes[[#This Row],[id_operacion]],tblEjecucion[id_operacion],tblEjecucion[costo_plan_total],0)-tblOrdenes[[#This Row],[costo_servicio]]))</f>
        <v/>
      </c>
      <c r="AK411" s="10">
        <f>IF(tblOrdenes[[#This Row],[orden]]="","",tblOrdenes[[#This Row],[costo_servicio]]+tblOrdenes[[#This Row],[costo_materiales]])</f>
        <v/>
      </c>
      <c r="AL411" s="6" t="n"/>
      <c r="AM411" s="6" t="n"/>
      <c r="AN411" s="6" t="n"/>
      <c r="AO411" s="3">
        <f>IF(tblOrdenes[[#This Row],[link_checklist]]="","",HYPERLINK(p_ruta_base_checklists&amp;tblOrdenes[[#This Row],[link_checklist]],"abrir"))</f>
        <v/>
      </c>
      <c r="AP411" s="6" t="n"/>
      <c r="AQ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3">
        <f>IF(tblOrdenes[[#This Row],[tipo_ot]]="","",_xlfn.XLOOKUP(tblOrdenes[[#This Row],[tipo_ot]],tblTiposOT[codigo],tblTiposOT[clasificacion],"sin_clasificar"))</f>
        <v/>
      </c>
      <c r="U412" s="3">
        <f>IF(tblOrdenes[[#This Row],[centro_costo]]="","",_xlfn.XLOOKUP(tblOrdenes[[#This Row],[centro_costo]],tblCECO[codigo],tblCECO[linea],"(sin catálogo)"))</f>
        <v/>
      </c>
      <c r="V412" s="3">
        <f>IF(tblOrdenes[[#This Row],[centro_costo]]="","",_xlfn.XLOOKUP(tblOrdenes[[#This Row],[centro_costo]],tblCECO[codigo],tblCECO[area],"(sin catálogo)"))</f>
        <v/>
      </c>
      <c r="W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3">
        <f>IF(tblOrdenes[[#This Row],[centro_costo]]="","",_xlfn.XLOOKUP(tblOrdenes[[#This Row],[centro_costo]],tblCECO[codigo],tblCECO[coordinador],"(sin catálogo)"))</f>
        <v/>
      </c>
      <c r="Y412" s="3">
        <f>IF(tblOrdenes[[#This Row],[puesto_trabajo]]="","",_xlfn.XLOOKUP(tblOrdenes[[#This Row],[puesto_trabajo]],tblPuestos[codigo],tblPuestos[especialidad],"(sin catálogo)"))</f>
        <v/>
      </c>
      <c r="Z412" s="3">
        <f>IF(tblOrdenes[[#This Row],[cod_actividad]]="","",_xlfn.XLOOKUP(tblOrdenes[[#This Row],[cod_actividad]],tblActividades[codigo],tblActividades[descripcion],"(sin catálogo)"))</f>
        <v/>
      </c>
      <c r="AA412" s="12">
        <f>IF(tblOrdenes[[#This Row],[fecha_inicio]]="","",TODAY()-tblOrdenes[[#This Row],[fecha_inicio]])</f>
        <v/>
      </c>
      <c r="AB4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3">
        <f>IF(tblOrdenes[[#This Row],[backlog_habiles]]="","",IF(tblOrdenes[[#This Row],[backlog_habiles]]&lt;0,"FUTURO",IF(tblOrdenes[[#This Row],[backlog_habiles]]&gt;p_dias_backlog_max,"BACKLOG","MES CORRIENTE")))</f>
        <v/>
      </c>
      <c r="AD412" s="3">
        <f>IF(tblOrdenes[[#This Row],[backlog_habiles]]="",FALSE,AND(tblOrdenes[[#This Row],[backlog_habiles]]&gt;p_dias_backlog_min,tblOrdenes[[#This Row],[backlog_habiles]]&lt;=p_dias_backlog_max))</f>
        <v/>
      </c>
      <c r="AE412" s="6" t="n"/>
      <c r="AF4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0">
        <f>IF(tblOrdenes[[#This Row],[orden]]="","",_xlfn.XLOOKUP(tblOrdenes[[#This Row],[id_operacion]],tblEjecucion[id_operacion],tblEjecucion[precio],0))</f>
        <v/>
      </c>
      <c r="AJ412" s="10">
        <f>IF(tblOrdenes[[#This Row],[orden]]="","",MAX(0,_xlfn.XLOOKUP(tblOrdenes[[#This Row],[id_operacion]],tblEjecucion[id_operacion],tblEjecucion[costo_plan_total],0)-tblOrdenes[[#This Row],[costo_servicio]]))</f>
        <v/>
      </c>
      <c r="AK412" s="10">
        <f>IF(tblOrdenes[[#This Row],[orden]]="","",tblOrdenes[[#This Row],[costo_servicio]]+tblOrdenes[[#This Row],[costo_materiales]])</f>
        <v/>
      </c>
      <c r="AL412" s="6" t="n"/>
      <c r="AM412" s="6" t="n"/>
      <c r="AN412" s="6" t="n"/>
      <c r="AO412" s="3">
        <f>IF(tblOrdenes[[#This Row],[link_checklist]]="","",HYPERLINK(p_ruta_base_checklists&amp;tblOrdenes[[#This Row],[link_checklist]],"abrir"))</f>
        <v/>
      </c>
      <c r="AP412" s="6" t="n"/>
      <c r="AQ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3">
        <f>IF(tblOrdenes[[#This Row],[tipo_ot]]="","",_xlfn.XLOOKUP(tblOrdenes[[#This Row],[tipo_ot]],tblTiposOT[codigo],tblTiposOT[clasificacion],"sin_clasificar"))</f>
        <v/>
      </c>
      <c r="U413" s="3">
        <f>IF(tblOrdenes[[#This Row],[centro_costo]]="","",_xlfn.XLOOKUP(tblOrdenes[[#This Row],[centro_costo]],tblCECO[codigo],tblCECO[linea],"(sin catálogo)"))</f>
        <v/>
      </c>
      <c r="V413" s="3">
        <f>IF(tblOrdenes[[#This Row],[centro_costo]]="","",_xlfn.XLOOKUP(tblOrdenes[[#This Row],[centro_costo]],tblCECO[codigo],tblCECO[area],"(sin catálogo)"))</f>
        <v/>
      </c>
      <c r="W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3">
        <f>IF(tblOrdenes[[#This Row],[centro_costo]]="","",_xlfn.XLOOKUP(tblOrdenes[[#This Row],[centro_costo]],tblCECO[codigo],tblCECO[coordinador],"(sin catálogo)"))</f>
        <v/>
      </c>
      <c r="Y413" s="3">
        <f>IF(tblOrdenes[[#This Row],[puesto_trabajo]]="","",_xlfn.XLOOKUP(tblOrdenes[[#This Row],[puesto_trabajo]],tblPuestos[codigo],tblPuestos[especialidad],"(sin catálogo)"))</f>
        <v/>
      </c>
      <c r="Z413" s="3">
        <f>IF(tblOrdenes[[#This Row],[cod_actividad]]="","",_xlfn.XLOOKUP(tblOrdenes[[#This Row],[cod_actividad]],tblActividades[codigo],tblActividades[descripcion],"(sin catálogo)"))</f>
        <v/>
      </c>
      <c r="AA413" s="12">
        <f>IF(tblOrdenes[[#This Row],[fecha_inicio]]="","",TODAY()-tblOrdenes[[#This Row],[fecha_inicio]])</f>
        <v/>
      </c>
      <c r="AB4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3">
        <f>IF(tblOrdenes[[#This Row],[backlog_habiles]]="","",IF(tblOrdenes[[#This Row],[backlog_habiles]]&lt;0,"FUTURO",IF(tblOrdenes[[#This Row],[backlog_habiles]]&gt;p_dias_backlog_max,"BACKLOG","MES CORRIENTE")))</f>
        <v/>
      </c>
      <c r="AD413" s="3">
        <f>IF(tblOrdenes[[#This Row],[backlog_habiles]]="",FALSE,AND(tblOrdenes[[#This Row],[backlog_habiles]]&gt;p_dias_backlog_min,tblOrdenes[[#This Row],[backlog_habiles]]&lt;=p_dias_backlog_max))</f>
        <v/>
      </c>
      <c r="AE413" s="6" t="n"/>
      <c r="AF4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0">
        <f>IF(tblOrdenes[[#This Row],[orden]]="","",_xlfn.XLOOKUP(tblOrdenes[[#This Row],[id_operacion]],tblEjecucion[id_operacion],tblEjecucion[precio],0))</f>
        <v/>
      </c>
      <c r="AJ413" s="10">
        <f>IF(tblOrdenes[[#This Row],[orden]]="","",MAX(0,_xlfn.XLOOKUP(tblOrdenes[[#This Row],[id_operacion]],tblEjecucion[id_operacion],tblEjecucion[costo_plan_total],0)-tblOrdenes[[#This Row],[costo_servicio]]))</f>
        <v/>
      </c>
      <c r="AK413" s="10">
        <f>IF(tblOrdenes[[#This Row],[orden]]="","",tblOrdenes[[#This Row],[costo_servicio]]+tblOrdenes[[#This Row],[costo_materiales]])</f>
        <v/>
      </c>
      <c r="AL413" s="6" t="n"/>
      <c r="AM413" s="6" t="n"/>
      <c r="AN413" s="6" t="n"/>
      <c r="AO413" s="3">
        <f>IF(tblOrdenes[[#This Row],[link_checklist]]="","",HYPERLINK(p_ruta_base_checklists&amp;tblOrdenes[[#This Row],[link_checklist]],"abrir"))</f>
        <v/>
      </c>
      <c r="AP413" s="6" t="n"/>
      <c r="AQ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3">
        <f>IF(tblOrdenes[[#This Row],[tipo_ot]]="","",_xlfn.XLOOKUP(tblOrdenes[[#This Row],[tipo_ot]],tblTiposOT[codigo],tblTiposOT[clasificacion],"sin_clasificar"))</f>
        <v/>
      </c>
      <c r="U414" s="3">
        <f>IF(tblOrdenes[[#This Row],[centro_costo]]="","",_xlfn.XLOOKUP(tblOrdenes[[#This Row],[centro_costo]],tblCECO[codigo],tblCECO[linea],"(sin catálogo)"))</f>
        <v/>
      </c>
      <c r="V414" s="3">
        <f>IF(tblOrdenes[[#This Row],[centro_costo]]="","",_xlfn.XLOOKUP(tblOrdenes[[#This Row],[centro_costo]],tblCECO[codigo],tblCECO[area],"(sin catálogo)"))</f>
        <v/>
      </c>
      <c r="W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3">
        <f>IF(tblOrdenes[[#This Row],[centro_costo]]="","",_xlfn.XLOOKUP(tblOrdenes[[#This Row],[centro_costo]],tblCECO[codigo],tblCECO[coordinador],"(sin catálogo)"))</f>
        <v/>
      </c>
      <c r="Y414" s="3">
        <f>IF(tblOrdenes[[#This Row],[puesto_trabajo]]="","",_xlfn.XLOOKUP(tblOrdenes[[#This Row],[puesto_trabajo]],tblPuestos[codigo],tblPuestos[especialidad],"(sin catálogo)"))</f>
        <v/>
      </c>
      <c r="Z414" s="3">
        <f>IF(tblOrdenes[[#This Row],[cod_actividad]]="","",_xlfn.XLOOKUP(tblOrdenes[[#This Row],[cod_actividad]],tblActividades[codigo],tblActividades[descripcion],"(sin catálogo)"))</f>
        <v/>
      </c>
      <c r="AA414" s="12">
        <f>IF(tblOrdenes[[#This Row],[fecha_inicio]]="","",TODAY()-tblOrdenes[[#This Row],[fecha_inicio]])</f>
        <v/>
      </c>
      <c r="AB4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3">
        <f>IF(tblOrdenes[[#This Row],[backlog_habiles]]="","",IF(tblOrdenes[[#This Row],[backlog_habiles]]&lt;0,"FUTURO",IF(tblOrdenes[[#This Row],[backlog_habiles]]&gt;p_dias_backlog_max,"BACKLOG","MES CORRIENTE")))</f>
        <v/>
      </c>
      <c r="AD414" s="3">
        <f>IF(tblOrdenes[[#This Row],[backlog_habiles]]="",FALSE,AND(tblOrdenes[[#This Row],[backlog_habiles]]&gt;p_dias_backlog_min,tblOrdenes[[#This Row],[backlog_habiles]]&lt;=p_dias_backlog_max))</f>
        <v/>
      </c>
      <c r="AE414" s="6" t="n"/>
      <c r="AF4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0">
        <f>IF(tblOrdenes[[#This Row],[orden]]="","",_xlfn.XLOOKUP(tblOrdenes[[#This Row],[id_operacion]],tblEjecucion[id_operacion],tblEjecucion[precio],0))</f>
        <v/>
      </c>
      <c r="AJ414" s="10">
        <f>IF(tblOrdenes[[#This Row],[orden]]="","",MAX(0,_xlfn.XLOOKUP(tblOrdenes[[#This Row],[id_operacion]],tblEjecucion[id_operacion],tblEjecucion[costo_plan_total],0)-tblOrdenes[[#This Row],[costo_servicio]]))</f>
        <v/>
      </c>
      <c r="AK414" s="10">
        <f>IF(tblOrdenes[[#This Row],[orden]]="","",tblOrdenes[[#This Row],[costo_servicio]]+tblOrdenes[[#This Row],[costo_materiales]])</f>
        <v/>
      </c>
      <c r="AL414" s="6" t="n"/>
      <c r="AM414" s="6" t="n"/>
      <c r="AN414" s="6" t="n"/>
      <c r="AO414" s="3">
        <f>IF(tblOrdenes[[#This Row],[link_checklist]]="","",HYPERLINK(p_ruta_base_checklists&amp;tblOrdenes[[#This Row],[link_checklist]],"abrir"))</f>
        <v/>
      </c>
      <c r="AP414" s="6" t="n"/>
      <c r="AQ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3">
        <f>IF(tblOrdenes[[#This Row],[tipo_ot]]="","",_xlfn.XLOOKUP(tblOrdenes[[#This Row],[tipo_ot]],tblTiposOT[codigo],tblTiposOT[clasificacion],"sin_clasificar"))</f>
        <v/>
      </c>
      <c r="U415" s="3">
        <f>IF(tblOrdenes[[#This Row],[centro_costo]]="","",_xlfn.XLOOKUP(tblOrdenes[[#This Row],[centro_costo]],tblCECO[codigo],tblCECO[linea],"(sin catálogo)"))</f>
        <v/>
      </c>
      <c r="V415" s="3">
        <f>IF(tblOrdenes[[#This Row],[centro_costo]]="","",_xlfn.XLOOKUP(tblOrdenes[[#This Row],[centro_costo]],tblCECO[codigo],tblCECO[area],"(sin catálogo)"))</f>
        <v/>
      </c>
      <c r="W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3">
        <f>IF(tblOrdenes[[#This Row],[centro_costo]]="","",_xlfn.XLOOKUP(tblOrdenes[[#This Row],[centro_costo]],tblCECO[codigo],tblCECO[coordinador],"(sin catálogo)"))</f>
        <v/>
      </c>
      <c r="Y415" s="3">
        <f>IF(tblOrdenes[[#This Row],[puesto_trabajo]]="","",_xlfn.XLOOKUP(tblOrdenes[[#This Row],[puesto_trabajo]],tblPuestos[codigo],tblPuestos[especialidad],"(sin catálogo)"))</f>
        <v/>
      </c>
      <c r="Z415" s="3">
        <f>IF(tblOrdenes[[#This Row],[cod_actividad]]="","",_xlfn.XLOOKUP(tblOrdenes[[#This Row],[cod_actividad]],tblActividades[codigo],tblActividades[descripcion],"(sin catálogo)"))</f>
        <v/>
      </c>
      <c r="AA415" s="12">
        <f>IF(tblOrdenes[[#This Row],[fecha_inicio]]="","",TODAY()-tblOrdenes[[#This Row],[fecha_inicio]])</f>
        <v/>
      </c>
      <c r="AB4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3">
        <f>IF(tblOrdenes[[#This Row],[backlog_habiles]]="","",IF(tblOrdenes[[#This Row],[backlog_habiles]]&lt;0,"FUTURO",IF(tblOrdenes[[#This Row],[backlog_habiles]]&gt;p_dias_backlog_max,"BACKLOG","MES CORRIENTE")))</f>
        <v/>
      </c>
      <c r="AD415" s="3">
        <f>IF(tblOrdenes[[#This Row],[backlog_habiles]]="",FALSE,AND(tblOrdenes[[#This Row],[backlog_habiles]]&gt;p_dias_backlog_min,tblOrdenes[[#This Row],[backlog_habiles]]&lt;=p_dias_backlog_max))</f>
        <v/>
      </c>
      <c r="AE415" s="6" t="n"/>
      <c r="AF4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0">
        <f>IF(tblOrdenes[[#This Row],[orden]]="","",_xlfn.XLOOKUP(tblOrdenes[[#This Row],[id_operacion]],tblEjecucion[id_operacion],tblEjecucion[precio],0))</f>
        <v/>
      </c>
      <c r="AJ415" s="10">
        <f>IF(tblOrdenes[[#This Row],[orden]]="","",MAX(0,_xlfn.XLOOKUP(tblOrdenes[[#This Row],[id_operacion]],tblEjecucion[id_operacion],tblEjecucion[costo_plan_total],0)-tblOrdenes[[#This Row],[costo_servicio]]))</f>
        <v/>
      </c>
      <c r="AK415" s="10">
        <f>IF(tblOrdenes[[#This Row],[orden]]="","",tblOrdenes[[#This Row],[costo_servicio]]+tblOrdenes[[#This Row],[costo_materiales]])</f>
        <v/>
      </c>
      <c r="AL415" s="6" t="n"/>
      <c r="AM415" s="6" t="n"/>
      <c r="AN415" s="6" t="n"/>
      <c r="AO415" s="3">
        <f>IF(tblOrdenes[[#This Row],[link_checklist]]="","",HYPERLINK(p_ruta_base_checklists&amp;tblOrdenes[[#This Row],[link_checklist]],"abrir"))</f>
        <v/>
      </c>
      <c r="AP415" s="6" t="n"/>
      <c r="AQ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3">
        <f>IF(tblOrdenes[[#This Row],[tipo_ot]]="","",_xlfn.XLOOKUP(tblOrdenes[[#This Row],[tipo_ot]],tblTiposOT[codigo],tblTiposOT[clasificacion],"sin_clasificar"))</f>
        <v/>
      </c>
      <c r="U416" s="3">
        <f>IF(tblOrdenes[[#This Row],[centro_costo]]="","",_xlfn.XLOOKUP(tblOrdenes[[#This Row],[centro_costo]],tblCECO[codigo],tblCECO[linea],"(sin catálogo)"))</f>
        <v/>
      </c>
      <c r="V416" s="3">
        <f>IF(tblOrdenes[[#This Row],[centro_costo]]="","",_xlfn.XLOOKUP(tblOrdenes[[#This Row],[centro_costo]],tblCECO[codigo],tblCECO[area],"(sin catálogo)"))</f>
        <v/>
      </c>
      <c r="W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3">
        <f>IF(tblOrdenes[[#This Row],[centro_costo]]="","",_xlfn.XLOOKUP(tblOrdenes[[#This Row],[centro_costo]],tblCECO[codigo],tblCECO[coordinador],"(sin catálogo)"))</f>
        <v/>
      </c>
      <c r="Y416" s="3">
        <f>IF(tblOrdenes[[#This Row],[puesto_trabajo]]="","",_xlfn.XLOOKUP(tblOrdenes[[#This Row],[puesto_trabajo]],tblPuestos[codigo],tblPuestos[especialidad],"(sin catálogo)"))</f>
        <v/>
      </c>
      <c r="Z416" s="3">
        <f>IF(tblOrdenes[[#This Row],[cod_actividad]]="","",_xlfn.XLOOKUP(tblOrdenes[[#This Row],[cod_actividad]],tblActividades[codigo],tblActividades[descripcion],"(sin catálogo)"))</f>
        <v/>
      </c>
      <c r="AA416" s="12">
        <f>IF(tblOrdenes[[#This Row],[fecha_inicio]]="","",TODAY()-tblOrdenes[[#This Row],[fecha_inicio]])</f>
        <v/>
      </c>
      <c r="AB4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3">
        <f>IF(tblOrdenes[[#This Row],[backlog_habiles]]="","",IF(tblOrdenes[[#This Row],[backlog_habiles]]&lt;0,"FUTURO",IF(tblOrdenes[[#This Row],[backlog_habiles]]&gt;p_dias_backlog_max,"BACKLOG","MES CORRIENTE")))</f>
        <v/>
      </c>
      <c r="AD416" s="3">
        <f>IF(tblOrdenes[[#This Row],[backlog_habiles]]="",FALSE,AND(tblOrdenes[[#This Row],[backlog_habiles]]&gt;p_dias_backlog_min,tblOrdenes[[#This Row],[backlog_habiles]]&lt;=p_dias_backlog_max))</f>
        <v/>
      </c>
      <c r="AE416" s="6" t="n"/>
      <c r="AF4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0">
        <f>IF(tblOrdenes[[#This Row],[orden]]="","",_xlfn.XLOOKUP(tblOrdenes[[#This Row],[id_operacion]],tblEjecucion[id_operacion],tblEjecucion[precio],0))</f>
        <v/>
      </c>
      <c r="AJ416" s="10">
        <f>IF(tblOrdenes[[#This Row],[orden]]="","",MAX(0,_xlfn.XLOOKUP(tblOrdenes[[#This Row],[id_operacion]],tblEjecucion[id_operacion],tblEjecucion[costo_plan_total],0)-tblOrdenes[[#This Row],[costo_servicio]]))</f>
        <v/>
      </c>
      <c r="AK416" s="10">
        <f>IF(tblOrdenes[[#This Row],[orden]]="","",tblOrdenes[[#This Row],[costo_servicio]]+tblOrdenes[[#This Row],[costo_materiales]])</f>
        <v/>
      </c>
      <c r="AL416" s="6" t="n"/>
      <c r="AM416" s="6" t="n"/>
      <c r="AN416" s="6" t="n"/>
      <c r="AO416" s="3">
        <f>IF(tblOrdenes[[#This Row],[link_checklist]]="","",HYPERLINK(p_ruta_base_checklists&amp;tblOrdenes[[#This Row],[link_checklist]],"abrir"))</f>
        <v/>
      </c>
      <c r="AP416" s="6" t="n"/>
      <c r="AQ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3">
        <f>IF(tblOrdenes[[#This Row],[tipo_ot]]="","",_xlfn.XLOOKUP(tblOrdenes[[#This Row],[tipo_ot]],tblTiposOT[codigo],tblTiposOT[clasificacion],"sin_clasificar"))</f>
        <v/>
      </c>
      <c r="U417" s="3">
        <f>IF(tblOrdenes[[#This Row],[centro_costo]]="","",_xlfn.XLOOKUP(tblOrdenes[[#This Row],[centro_costo]],tblCECO[codigo],tblCECO[linea],"(sin catálogo)"))</f>
        <v/>
      </c>
      <c r="V417" s="3">
        <f>IF(tblOrdenes[[#This Row],[centro_costo]]="","",_xlfn.XLOOKUP(tblOrdenes[[#This Row],[centro_costo]],tblCECO[codigo],tblCECO[area],"(sin catálogo)"))</f>
        <v/>
      </c>
      <c r="W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3">
        <f>IF(tblOrdenes[[#This Row],[centro_costo]]="","",_xlfn.XLOOKUP(tblOrdenes[[#This Row],[centro_costo]],tblCECO[codigo],tblCECO[coordinador],"(sin catálogo)"))</f>
        <v/>
      </c>
      <c r="Y417" s="3">
        <f>IF(tblOrdenes[[#This Row],[puesto_trabajo]]="","",_xlfn.XLOOKUP(tblOrdenes[[#This Row],[puesto_trabajo]],tblPuestos[codigo],tblPuestos[especialidad],"(sin catálogo)"))</f>
        <v/>
      </c>
      <c r="Z417" s="3">
        <f>IF(tblOrdenes[[#This Row],[cod_actividad]]="","",_xlfn.XLOOKUP(tblOrdenes[[#This Row],[cod_actividad]],tblActividades[codigo],tblActividades[descripcion],"(sin catálogo)"))</f>
        <v/>
      </c>
      <c r="AA417" s="12">
        <f>IF(tblOrdenes[[#This Row],[fecha_inicio]]="","",TODAY()-tblOrdenes[[#This Row],[fecha_inicio]])</f>
        <v/>
      </c>
      <c r="AB4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3">
        <f>IF(tblOrdenes[[#This Row],[backlog_habiles]]="","",IF(tblOrdenes[[#This Row],[backlog_habiles]]&lt;0,"FUTURO",IF(tblOrdenes[[#This Row],[backlog_habiles]]&gt;p_dias_backlog_max,"BACKLOG","MES CORRIENTE")))</f>
        <v/>
      </c>
      <c r="AD417" s="3">
        <f>IF(tblOrdenes[[#This Row],[backlog_habiles]]="",FALSE,AND(tblOrdenes[[#This Row],[backlog_habiles]]&gt;p_dias_backlog_min,tblOrdenes[[#This Row],[backlog_habiles]]&lt;=p_dias_backlog_max))</f>
        <v/>
      </c>
      <c r="AE417" s="6" t="n"/>
      <c r="AF4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0">
        <f>IF(tblOrdenes[[#This Row],[orden]]="","",_xlfn.XLOOKUP(tblOrdenes[[#This Row],[id_operacion]],tblEjecucion[id_operacion],tblEjecucion[precio],0))</f>
        <v/>
      </c>
      <c r="AJ417" s="10">
        <f>IF(tblOrdenes[[#This Row],[orden]]="","",MAX(0,_xlfn.XLOOKUP(tblOrdenes[[#This Row],[id_operacion]],tblEjecucion[id_operacion],tblEjecucion[costo_plan_total],0)-tblOrdenes[[#This Row],[costo_servicio]]))</f>
        <v/>
      </c>
      <c r="AK417" s="10">
        <f>IF(tblOrdenes[[#This Row],[orden]]="","",tblOrdenes[[#This Row],[costo_servicio]]+tblOrdenes[[#This Row],[costo_materiales]])</f>
        <v/>
      </c>
      <c r="AL417" s="6" t="n"/>
      <c r="AM417" s="6" t="n"/>
      <c r="AN417" s="6" t="n"/>
      <c r="AO417" s="3">
        <f>IF(tblOrdenes[[#This Row],[link_checklist]]="","",HYPERLINK(p_ruta_base_checklists&amp;tblOrdenes[[#This Row],[link_checklist]],"abrir"))</f>
        <v/>
      </c>
      <c r="AP417" s="6" t="n"/>
      <c r="AQ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3">
        <f>IF(tblOrdenes[[#This Row],[tipo_ot]]="","",_xlfn.XLOOKUP(tblOrdenes[[#This Row],[tipo_ot]],tblTiposOT[codigo],tblTiposOT[clasificacion],"sin_clasificar"))</f>
        <v/>
      </c>
      <c r="U418" s="3">
        <f>IF(tblOrdenes[[#This Row],[centro_costo]]="","",_xlfn.XLOOKUP(tblOrdenes[[#This Row],[centro_costo]],tblCECO[codigo],tblCECO[linea],"(sin catálogo)"))</f>
        <v/>
      </c>
      <c r="V418" s="3">
        <f>IF(tblOrdenes[[#This Row],[centro_costo]]="","",_xlfn.XLOOKUP(tblOrdenes[[#This Row],[centro_costo]],tblCECO[codigo],tblCECO[area],"(sin catálogo)"))</f>
        <v/>
      </c>
      <c r="W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3">
        <f>IF(tblOrdenes[[#This Row],[centro_costo]]="","",_xlfn.XLOOKUP(tblOrdenes[[#This Row],[centro_costo]],tblCECO[codigo],tblCECO[coordinador],"(sin catálogo)"))</f>
        <v/>
      </c>
      <c r="Y418" s="3">
        <f>IF(tblOrdenes[[#This Row],[puesto_trabajo]]="","",_xlfn.XLOOKUP(tblOrdenes[[#This Row],[puesto_trabajo]],tblPuestos[codigo],tblPuestos[especialidad],"(sin catálogo)"))</f>
        <v/>
      </c>
      <c r="Z418" s="3">
        <f>IF(tblOrdenes[[#This Row],[cod_actividad]]="","",_xlfn.XLOOKUP(tblOrdenes[[#This Row],[cod_actividad]],tblActividades[codigo],tblActividades[descripcion],"(sin catálogo)"))</f>
        <v/>
      </c>
      <c r="AA418" s="12">
        <f>IF(tblOrdenes[[#This Row],[fecha_inicio]]="","",TODAY()-tblOrdenes[[#This Row],[fecha_inicio]])</f>
        <v/>
      </c>
      <c r="AB4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3">
        <f>IF(tblOrdenes[[#This Row],[backlog_habiles]]="","",IF(tblOrdenes[[#This Row],[backlog_habiles]]&lt;0,"FUTURO",IF(tblOrdenes[[#This Row],[backlog_habiles]]&gt;p_dias_backlog_max,"BACKLOG","MES CORRIENTE")))</f>
        <v/>
      </c>
      <c r="AD418" s="3">
        <f>IF(tblOrdenes[[#This Row],[backlog_habiles]]="",FALSE,AND(tblOrdenes[[#This Row],[backlog_habiles]]&gt;p_dias_backlog_min,tblOrdenes[[#This Row],[backlog_habiles]]&lt;=p_dias_backlog_max))</f>
        <v/>
      </c>
      <c r="AE418" s="6" t="n"/>
      <c r="AF4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0">
        <f>IF(tblOrdenes[[#This Row],[orden]]="","",_xlfn.XLOOKUP(tblOrdenes[[#This Row],[id_operacion]],tblEjecucion[id_operacion],tblEjecucion[precio],0))</f>
        <v/>
      </c>
      <c r="AJ418" s="10">
        <f>IF(tblOrdenes[[#This Row],[orden]]="","",MAX(0,_xlfn.XLOOKUP(tblOrdenes[[#This Row],[id_operacion]],tblEjecucion[id_operacion],tblEjecucion[costo_plan_total],0)-tblOrdenes[[#This Row],[costo_servicio]]))</f>
        <v/>
      </c>
      <c r="AK418" s="10">
        <f>IF(tblOrdenes[[#This Row],[orden]]="","",tblOrdenes[[#This Row],[costo_servicio]]+tblOrdenes[[#This Row],[costo_materiales]])</f>
        <v/>
      </c>
      <c r="AL418" s="6" t="n"/>
      <c r="AM418" s="6" t="n"/>
      <c r="AN418" s="6" t="n"/>
      <c r="AO418" s="3">
        <f>IF(tblOrdenes[[#This Row],[link_checklist]]="","",HYPERLINK(p_ruta_base_checklists&amp;tblOrdenes[[#This Row],[link_checklist]],"abrir"))</f>
        <v/>
      </c>
      <c r="AP418" s="6" t="n"/>
      <c r="AQ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3">
        <f>IF(tblOrdenes[[#This Row],[tipo_ot]]="","",_xlfn.XLOOKUP(tblOrdenes[[#This Row],[tipo_ot]],tblTiposOT[codigo],tblTiposOT[clasificacion],"sin_clasificar"))</f>
        <v/>
      </c>
      <c r="U419" s="3">
        <f>IF(tblOrdenes[[#This Row],[centro_costo]]="","",_xlfn.XLOOKUP(tblOrdenes[[#This Row],[centro_costo]],tblCECO[codigo],tblCECO[linea],"(sin catálogo)"))</f>
        <v/>
      </c>
      <c r="V419" s="3">
        <f>IF(tblOrdenes[[#This Row],[centro_costo]]="","",_xlfn.XLOOKUP(tblOrdenes[[#This Row],[centro_costo]],tblCECO[codigo],tblCECO[area],"(sin catálogo)"))</f>
        <v/>
      </c>
      <c r="W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3">
        <f>IF(tblOrdenes[[#This Row],[centro_costo]]="","",_xlfn.XLOOKUP(tblOrdenes[[#This Row],[centro_costo]],tblCECO[codigo],tblCECO[coordinador],"(sin catálogo)"))</f>
        <v/>
      </c>
      <c r="Y419" s="3">
        <f>IF(tblOrdenes[[#This Row],[puesto_trabajo]]="","",_xlfn.XLOOKUP(tblOrdenes[[#This Row],[puesto_trabajo]],tblPuestos[codigo],tblPuestos[especialidad],"(sin catálogo)"))</f>
        <v/>
      </c>
      <c r="Z419" s="3">
        <f>IF(tblOrdenes[[#This Row],[cod_actividad]]="","",_xlfn.XLOOKUP(tblOrdenes[[#This Row],[cod_actividad]],tblActividades[codigo],tblActividades[descripcion],"(sin catálogo)"))</f>
        <v/>
      </c>
      <c r="AA419" s="12">
        <f>IF(tblOrdenes[[#This Row],[fecha_inicio]]="","",TODAY()-tblOrdenes[[#This Row],[fecha_inicio]])</f>
        <v/>
      </c>
      <c r="AB4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3">
        <f>IF(tblOrdenes[[#This Row],[backlog_habiles]]="","",IF(tblOrdenes[[#This Row],[backlog_habiles]]&lt;0,"FUTURO",IF(tblOrdenes[[#This Row],[backlog_habiles]]&gt;p_dias_backlog_max,"BACKLOG","MES CORRIENTE")))</f>
        <v/>
      </c>
      <c r="AD419" s="3">
        <f>IF(tblOrdenes[[#This Row],[backlog_habiles]]="",FALSE,AND(tblOrdenes[[#This Row],[backlog_habiles]]&gt;p_dias_backlog_min,tblOrdenes[[#This Row],[backlog_habiles]]&lt;=p_dias_backlog_max))</f>
        <v/>
      </c>
      <c r="AE419" s="6" t="n"/>
      <c r="AF4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0">
        <f>IF(tblOrdenes[[#This Row],[orden]]="","",_xlfn.XLOOKUP(tblOrdenes[[#This Row],[id_operacion]],tblEjecucion[id_operacion],tblEjecucion[precio],0))</f>
        <v/>
      </c>
      <c r="AJ419" s="10">
        <f>IF(tblOrdenes[[#This Row],[orden]]="","",MAX(0,_xlfn.XLOOKUP(tblOrdenes[[#This Row],[id_operacion]],tblEjecucion[id_operacion],tblEjecucion[costo_plan_total],0)-tblOrdenes[[#This Row],[costo_servicio]]))</f>
        <v/>
      </c>
      <c r="AK419" s="10">
        <f>IF(tblOrdenes[[#This Row],[orden]]="","",tblOrdenes[[#This Row],[costo_servicio]]+tblOrdenes[[#This Row],[costo_materiales]])</f>
        <v/>
      </c>
      <c r="AL419" s="6" t="n"/>
      <c r="AM419" s="6" t="n"/>
      <c r="AN419" s="6" t="n"/>
      <c r="AO419" s="3">
        <f>IF(tblOrdenes[[#This Row],[link_checklist]]="","",HYPERLINK(p_ruta_base_checklists&amp;tblOrdenes[[#This Row],[link_checklist]],"abrir"))</f>
        <v/>
      </c>
      <c r="AP419" s="6" t="n"/>
      <c r="AQ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3">
        <f>IF(tblOrdenes[[#This Row],[tipo_ot]]="","",_xlfn.XLOOKUP(tblOrdenes[[#This Row],[tipo_ot]],tblTiposOT[codigo],tblTiposOT[clasificacion],"sin_clasificar"))</f>
        <v/>
      </c>
      <c r="U420" s="3">
        <f>IF(tblOrdenes[[#This Row],[centro_costo]]="","",_xlfn.XLOOKUP(tblOrdenes[[#This Row],[centro_costo]],tblCECO[codigo],tblCECO[linea],"(sin catálogo)"))</f>
        <v/>
      </c>
      <c r="V420" s="3">
        <f>IF(tblOrdenes[[#This Row],[centro_costo]]="","",_xlfn.XLOOKUP(tblOrdenes[[#This Row],[centro_costo]],tblCECO[codigo],tblCECO[area],"(sin catálogo)"))</f>
        <v/>
      </c>
      <c r="W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3">
        <f>IF(tblOrdenes[[#This Row],[centro_costo]]="","",_xlfn.XLOOKUP(tblOrdenes[[#This Row],[centro_costo]],tblCECO[codigo],tblCECO[coordinador],"(sin catálogo)"))</f>
        <v/>
      </c>
      <c r="Y420" s="3">
        <f>IF(tblOrdenes[[#This Row],[puesto_trabajo]]="","",_xlfn.XLOOKUP(tblOrdenes[[#This Row],[puesto_trabajo]],tblPuestos[codigo],tblPuestos[especialidad],"(sin catálogo)"))</f>
        <v/>
      </c>
      <c r="Z420" s="3">
        <f>IF(tblOrdenes[[#This Row],[cod_actividad]]="","",_xlfn.XLOOKUP(tblOrdenes[[#This Row],[cod_actividad]],tblActividades[codigo],tblActividades[descripcion],"(sin catálogo)"))</f>
        <v/>
      </c>
      <c r="AA420" s="12">
        <f>IF(tblOrdenes[[#This Row],[fecha_inicio]]="","",TODAY()-tblOrdenes[[#This Row],[fecha_inicio]])</f>
        <v/>
      </c>
      <c r="AB4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3">
        <f>IF(tblOrdenes[[#This Row],[backlog_habiles]]="","",IF(tblOrdenes[[#This Row],[backlog_habiles]]&lt;0,"FUTURO",IF(tblOrdenes[[#This Row],[backlog_habiles]]&gt;p_dias_backlog_max,"BACKLOG","MES CORRIENTE")))</f>
        <v/>
      </c>
      <c r="AD420" s="3">
        <f>IF(tblOrdenes[[#This Row],[backlog_habiles]]="",FALSE,AND(tblOrdenes[[#This Row],[backlog_habiles]]&gt;p_dias_backlog_min,tblOrdenes[[#This Row],[backlog_habiles]]&lt;=p_dias_backlog_max))</f>
        <v/>
      </c>
      <c r="AE420" s="6" t="n"/>
      <c r="AF4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0">
        <f>IF(tblOrdenes[[#This Row],[orden]]="","",_xlfn.XLOOKUP(tblOrdenes[[#This Row],[id_operacion]],tblEjecucion[id_operacion],tblEjecucion[precio],0))</f>
        <v/>
      </c>
      <c r="AJ420" s="10">
        <f>IF(tblOrdenes[[#This Row],[orden]]="","",MAX(0,_xlfn.XLOOKUP(tblOrdenes[[#This Row],[id_operacion]],tblEjecucion[id_operacion],tblEjecucion[costo_plan_total],0)-tblOrdenes[[#This Row],[costo_servicio]]))</f>
        <v/>
      </c>
      <c r="AK420" s="10">
        <f>IF(tblOrdenes[[#This Row],[orden]]="","",tblOrdenes[[#This Row],[costo_servicio]]+tblOrdenes[[#This Row],[costo_materiales]])</f>
        <v/>
      </c>
      <c r="AL420" s="6" t="n"/>
      <c r="AM420" s="6" t="n"/>
      <c r="AN420" s="6" t="n"/>
      <c r="AO420" s="3">
        <f>IF(tblOrdenes[[#This Row],[link_checklist]]="","",HYPERLINK(p_ruta_base_checklists&amp;tblOrdenes[[#This Row],[link_checklist]],"abrir"))</f>
        <v/>
      </c>
      <c r="AP420" s="6" t="n"/>
      <c r="AQ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3">
        <f>IF(tblOrdenes[[#This Row],[tipo_ot]]="","",_xlfn.XLOOKUP(tblOrdenes[[#This Row],[tipo_ot]],tblTiposOT[codigo],tblTiposOT[clasificacion],"sin_clasificar"))</f>
        <v/>
      </c>
      <c r="U421" s="3">
        <f>IF(tblOrdenes[[#This Row],[centro_costo]]="","",_xlfn.XLOOKUP(tblOrdenes[[#This Row],[centro_costo]],tblCECO[codigo],tblCECO[linea],"(sin catálogo)"))</f>
        <v/>
      </c>
      <c r="V421" s="3">
        <f>IF(tblOrdenes[[#This Row],[centro_costo]]="","",_xlfn.XLOOKUP(tblOrdenes[[#This Row],[centro_costo]],tblCECO[codigo],tblCECO[area],"(sin catálogo)"))</f>
        <v/>
      </c>
      <c r="W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3">
        <f>IF(tblOrdenes[[#This Row],[centro_costo]]="","",_xlfn.XLOOKUP(tblOrdenes[[#This Row],[centro_costo]],tblCECO[codigo],tblCECO[coordinador],"(sin catálogo)"))</f>
        <v/>
      </c>
      <c r="Y421" s="3">
        <f>IF(tblOrdenes[[#This Row],[puesto_trabajo]]="","",_xlfn.XLOOKUP(tblOrdenes[[#This Row],[puesto_trabajo]],tblPuestos[codigo],tblPuestos[especialidad],"(sin catálogo)"))</f>
        <v/>
      </c>
      <c r="Z421" s="3">
        <f>IF(tblOrdenes[[#This Row],[cod_actividad]]="","",_xlfn.XLOOKUP(tblOrdenes[[#This Row],[cod_actividad]],tblActividades[codigo],tblActividades[descripcion],"(sin catálogo)"))</f>
        <v/>
      </c>
      <c r="AA421" s="12">
        <f>IF(tblOrdenes[[#This Row],[fecha_inicio]]="","",TODAY()-tblOrdenes[[#This Row],[fecha_inicio]])</f>
        <v/>
      </c>
      <c r="AB4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3">
        <f>IF(tblOrdenes[[#This Row],[backlog_habiles]]="","",IF(tblOrdenes[[#This Row],[backlog_habiles]]&lt;0,"FUTURO",IF(tblOrdenes[[#This Row],[backlog_habiles]]&gt;p_dias_backlog_max,"BACKLOG","MES CORRIENTE")))</f>
        <v/>
      </c>
      <c r="AD421" s="3">
        <f>IF(tblOrdenes[[#This Row],[backlog_habiles]]="",FALSE,AND(tblOrdenes[[#This Row],[backlog_habiles]]&gt;p_dias_backlog_min,tblOrdenes[[#This Row],[backlog_habiles]]&lt;=p_dias_backlog_max))</f>
        <v/>
      </c>
      <c r="AE421" s="6" t="n"/>
      <c r="AF4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0">
        <f>IF(tblOrdenes[[#This Row],[orden]]="","",_xlfn.XLOOKUP(tblOrdenes[[#This Row],[id_operacion]],tblEjecucion[id_operacion],tblEjecucion[precio],0))</f>
        <v/>
      </c>
      <c r="AJ421" s="10">
        <f>IF(tblOrdenes[[#This Row],[orden]]="","",MAX(0,_xlfn.XLOOKUP(tblOrdenes[[#This Row],[id_operacion]],tblEjecucion[id_operacion],tblEjecucion[costo_plan_total],0)-tblOrdenes[[#This Row],[costo_servicio]]))</f>
        <v/>
      </c>
      <c r="AK421" s="10">
        <f>IF(tblOrdenes[[#This Row],[orden]]="","",tblOrdenes[[#This Row],[costo_servicio]]+tblOrdenes[[#This Row],[costo_materiales]])</f>
        <v/>
      </c>
      <c r="AL421" s="6" t="n"/>
      <c r="AM421" s="6" t="n"/>
      <c r="AN421" s="6" t="n"/>
      <c r="AO421" s="3">
        <f>IF(tblOrdenes[[#This Row],[link_checklist]]="","",HYPERLINK(p_ruta_base_checklists&amp;tblOrdenes[[#This Row],[link_checklist]],"abrir"))</f>
        <v/>
      </c>
      <c r="AP421" s="6" t="n"/>
      <c r="AQ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3">
        <f>IF(tblOrdenes[[#This Row],[tipo_ot]]="","",_xlfn.XLOOKUP(tblOrdenes[[#This Row],[tipo_ot]],tblTiposOT[codigo],tblTiposOT[clasificacion],"sin_clasificar"))</f>
        <v/>
      </c>
      <c r="U422" s="3">
        <f>IF(tblOrdenes[[#This Row],[centro_costo]]="","",_xlfn.XLOOKUP(tblOrdenes[[#This Row],[centro_costo]],tblCECO[codigo],tblCECO[linea],"(sin catálogo)"))</f>
        <v/>
      </c>
      <c r="V422" s="3">
        <f>IF(tblOrdenes[[#This Row],[centro_costo]]="","",_xlfn.XLOOKUP(tblOrdenes[[#This Row],[centro_costo]],tblCECO[codigo],tblCECO[area],"(sin catálogo)"))</f>
        <v/>
      </c>
      <c r="W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3">
        <f>IF(tblOrdenes[[#This Row],[centro_costo]]="","",_xlfn.XLOOKUP(tblOrdenes[[#This Row],[centro_costo]],tblCECO[codigo],tblCECO[coordinador],"(sin catálogo)"))</f>
        <v/>
      </c>
      <c r="Y422" s="3">
        <f>IF(tblOrdenes[[#This Row],[puesto_trabajo]]="","",_xlfn.XLOOKUP(tblOrdenes[[#This Row],[puesto_trabajo]],tblPuestos[codigo],tblPuestos[especialidad],"(sin catálogo)"))</f>
        <v/>
      </c>
      <c r="Z422" s="3">
        <f>IF(tblOrdenes[[#This Row],[cod_actividad]]="","",_xlfn.XLOOKUP(tblOrdenes[[#This Row],[cod_actividad]],tblActividades[codigo],tblActividades[descripcion],"(sin catálogo)"))</f>
        <v/>
      </c>
      <c r="AA422" s="12">
        <f>IF(tblOrdenes[[#This Row],[fecha_inicio]]="","",TODAY()-tblOrdenes[[#This Row],[fecha_inicio]])</f>
        <v/>
      </c>
      <c r="AB4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3">
        <f>IF(tblOrdenes[[#This Row],[backlog_habiles]]="","",IF(tblOrdenes[[#This Row],[backlog_habiles]]&lt;0,"FUTURO",IF(tblOrdenes[[#This Row],[backlog_habiles]]&gt;p_dias_backlog_max,"BACKLOG","MES CORRIENTE")))</f>
        <v/>
      </c>
      <c r="AD422" s="3">
        <f>IF(tblOrdenes[[#This Row],[backlog_habiles]]="",FALSE,AND(tblOrdenes[[#This Row],[backlog_habiles]]&gt;p_dias_backlog_min,tblOrdenes[[#This Row],[backlog_habiles]]&lt;=p_dias_backlog_max))</f>
        <v/>
      </c>
      <c r="AE422" s="6" t="n"/>
      <c r="AF4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0">
        <f>IF(tblOrdenes[[#This Row],[orden]]="","",_xlfn.XLOOKUP(tblOrdenes[[#This Row],[id_operacion]],tblEjecucion[id_operacion],tblEjecucion[precio],0))</f>
        <v/>
      </c>
      <c r="AJ422" s="10">
        <f>IF(tblOrdenes[[#This Row],[orden]]="","",MAX(0,_xlfn.XLOOKUP(tblOrdenes[[#This Row],[id_operacion]],tblEjecucion[id_operacion],tblEjecucion[costo_plan_total],0)-tblOrdenes[[#This Row],[costo_servicio]]))</f>
        <v/>
      </c>
      <c r="AK422" s="10">
        <f>IF(tblOrdenes[[#This Row],[orden]]="","",tblOrdenes[[#This Row],[costo_servicio]]+tblOrdenes[[#This Row],[costo_materiales]])</f>
        <v/>
      </c>
      <c r="AL422" s="6" t="n"/>
      <c r="AM422" s="6" t="n"/>
      <c r="AN422" s="6" t="n"/>
      <c r="AO422" s="3">
        <f>IF(tblOrdenes[[#This Row],[link_checklist]]="","",HYPERLINK(p_ruta_base_checklists&amp;tblOrdenes[[#This Row],[link_checklist]],"abrir"))</f>
        <v/>
      </c>
      <c r="AP422" s="6" t="n"/>
      <c r="AQ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3">
        <f>IF(tblOrdenes[[#This Row],[tipo_ot]]="","",_xlfn.XLOOKUP(tblOrdenes[[#This Row],[tipo_ot]],tblTiposOT[codigo],tblTiposOT[clasificacion],"sin_clasificar"))</f>
        <v/>
      </c>
      <c r="U423" s="3">
        <f>IF(tblOrdenes[[#This Row],[centro_costo]]="","",_xlfn.XLOOKUP(tblOrdenes[[#This Row],[centro_costo]],tblCECO[codigo],tblCECO[linea],"(sin catálogo)"))</f>
        <v/>
      </c>
      <c r="V423" s="3">
        <f>IF(tblOrdenes[[#This Row],[centro_costo]]="","",_xlfn.XLOOKUP(tblOrdenes[[#This Row],[centro_costo]],tblCECO[codigo],tblCECO[area],"(sin catálogo)"))</f>
        <v/>
      </c>
      <c r="W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3">
        <f>IF(tblOrdenes[[#This Row],[centro_costo]]="","",_xlfn.XLOOKUP(tblOrdenes[[#This Row],[centro_costo]],tblCECO[codigo],tblCECO[coordinador],"(sin catálogo)"))</f>
        <v/>
      </c>
      <c r="Y423" s="3">
        <f>IF(tblOrdenes[[#This Row],[puesto_trabajo]]="","",_xlfn.XLOOKUP(tblOrdenes[[#This Row],[puesto_trabajo]],tblPuestos[codigo],tblPuestos[especialidad],"(sin catálogo)"))</f>
        <v/>
      </c>
      <c r="Z423" s="3">
        <f>IF(tblOrdenes[[#This Row],[cod_actividad]]="","",_xlfn.XLOOKUP(tblOrdenes[[#This Row],[cod_actividad]],tblActividades[codigo],tblActividades[descripcion],"(sin catálogo)"))</f>
        <v/>
      </c>
      <c r="AA423" s="12">
        <f>IF(tblOrdenes[[#This Row],[fecha_inicio]]="","",TODAY()-tblOrdenes[[#This Row],[fecha_inicio]])</f>
        <v/>
      </c>
      <c r="AB4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3">
        <f>IF(tblOrdenes[[#This Row],[backlog_habiles]]="","",IF(tblOrdenes[[#This Row],[backlog_habiles]]&lt;0,"FUTURO",IF(tblOrdenes[[#This Row],[backlog_habiles]]&gt;p_dias_backlog_max,"BACKLOG","MES CORRIENTE")))</f>
        <v/>
      </c>
      <c r="AD423" s="3">
        <f>IF(tblOrdenes[[#This Row],[backlog_habiles]]="",FALSE,AND(tblOrdenes[[#This Row],[backlog_habiles]]&gt;p_dias_backlog_min,tblOrdenes[[#This Row],[backlog_habiles]]&lt;=p_dias_backlog_max))</f>
        <v/>
      </c>
      <c r="AE423" s="6" t="n"/>
      <c r="AF4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0">
        <f>IF(tblOrdenes[[#This Row],[orden]]="","",_xlfn.XLOOKUP(tblOrdenes[[#This Row],[id_operacion]],tblEjecucion[id_operacion],tblEjecucion[precio],0))</f>
        <v/>
      </c>
      <c r="AJ423" s="10">
        <f>IF(tblOrdenes[[#This Row],[orden]]="","",MAX(0,_xlfn.XLOOKUP(tblOrdenes[[#This Row],[id_operacion]],tblEjecucion[id_operacion],tblEjecucion[costo_plan_total],0)-tblOrdenes[[#This Row],[costo_servicio]]))</f>
        <v/>
      </c>
      <c r="AK423" s="10">
        <f>IF(tblOrdenes[[#This Row],[orden]]="","",tblOrdenes[[#This Row],[costo_servicio]]+tblOrdenes[[#This Row],[costo_materiales]])</f>
        <v/>
      </c>
      <c r="AL423" s="6" t="n"/>
      <c r="AM423" s="6" t="n"/>
      <c r="AN423" s="6" t="n"/>
      <c r="AO423" s="3">
        <f>IF(tblOrdenes[[#This Row],[link_checklist]]="","",HYPERLINK(p_ruta_base_checklists&amp;tblOrdenes[[#This Row],[link_checklist]],"abrir"))</f>
        <v/>
      </c>
      <c r="AP423" s="6" t="n"/>
      <c r="AQ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3">
        <f>IF(tblOrdenes[[#This Row],[tipo_ot]]="","",_xlfn.XLOOKUP(tblOrdenes[[#This Row],[tipo_ot]],tblTiposOT[codigo],tblTiposOT[clasificacion],"sin_clasificar"))</f>
        <v/>
      </c>
      <c r="U424" s="3">
        <f>IF(tblOrdenes[[#This Row],[centro_costo]]="","",_xlfn.XLOOKUP(tblOrdenes[[#This Row],[centro_costo]],tblCECO[codigo],tblCECO[linea],"(sin catálogo)"))</f>
        <v/>
      </c>
      <c r="V424" s="3">
        <f>IF(tblOrdenes[[#This Row],[centro_costo]]="","",_xlfn.XLOOKUP(tblOrdenes[[#This Row],[centro_costo]],tblCECO[codigo],tblCECO[area],"(sin catálogo)"))</f>
        <v/>
      </c>
      <c r="W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3">
        <f>IF(tblOrdenes[[#This Row],[centro_costo]]="","",_xlfn.XLOOKUP(tblOrdenes[[#This Row],[centro_costo]],tblCECO[codigo],tblCECO[coordinador],"(sin catálogo)"))</f>
        <v/>
      </c>
      <c r="Y424" s="3">
        <f>IF(tblOrdenes[[#This Row],[puesto_trabajo]]="","",_xlfn.XLOOKUP(tblOrdenes[[#This Row],[puesto_trabajo]],tblPuestos[codigo],tblPuestos[especialidad],"(sin catálogo)"))</f>
        <v/>
      </c>
      <c r="Z424" s="3">
        <f>IF(tblOrdenes[[#This Row],[cod_actividad]]="","",_xlfn.XLOOKUP(tblOrdenes[[#This Row],[cod_actividad]],tblActividades[codigo],tblActividades[descripcion],"(sin catálogo)"))</f>
        <v/>
      </c>
      <c r="AA424" s="12">
        <f>IF(tblOrdenes[[#This Row],[fecha_inicio]]="","",TODAY()-tblOrdenes[[#This Row],[fecha_inicio]])</f>
        <v/>
      </c>
      <c r="AB4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3">
        <f>IF(tblOrdenes[[#This Row],[backlog_habiles]]="","",IF(tblOrdenes[[#This Row],[backlog_habiles]]&lt;0,"FUTURO",IF(tblOrdenes[[#This Row],[backlog_habiles]]&gt;p_dias_backlog_max,"BACKLOG","MES CORRIENTE")))</f>
        <v/>
      </c>
      <c r="AD424" s="3">
        <f>IF(tblOrdenes[[#This Row],[backlog_habiles]]="",FALSE,AND(tblOrdenes[[#This Row],[backlog_habiles]]&gt;p_dias_backlog_min,tblOrdenes[[#This Row],[backlog_habiles]]&lt;=p_dias_backlog_max))</f>
        <v/>
      </c>
      <c r="AE424" s="6" t="n"/>
      <c r="AF4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0">
        <f>IF(tblOrdenes[[#This Row],[orden]]="","",_xlfn.XLOOKUP(tblOrdenes[[#This Row],[id_operacion]],tblEjecucion[id_operacion],tblEjecucion[precio],0))</f>
        <v/>
      </c>
      <c r="AJ424" s="10">
        <f>IF(tblOrdenes[[#This Row],[orden]]="","",MAX(0,_xlfn.XLOOKUP(tblOrdenes[[#This Row],[id_operacion]],tblEjecucion[id_operacion],tblEjecucion[costo_plan_total],0)-tblOrdenes[[#This Row],[costo_servicio]]))</f>
        <v/>
      </c>
      <c r="AK424" s="10">
        <f>IF(tblOrdenes[[#This Row],[orden]]="","",tblOrdenes[[#This Row],[costo_servicio]]+tblOrdenes[[#This Row],[costo_materiales]])</f>
        <v/>
      </c>
      <c r="AL424" s="6" t="n"/>
      <c r="AM424" s="6" t="n"/>
      <c r="AN424" s="6" t="n"/>
      <c r="AO424" s="3">
        <f>IF(tblOrdenes[[#This Row],[link_checklist]]="","",HYPERLINK(p_ruta_base_checklists&amp;tblOrdenes[[#This Row],[link_checklist]],"abrir"))</f>
        <v/>
      </c>
      <c r="AP424" s="6" t="n"/>
      <c r="AQ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3">
        <f>IF(tblOrdenes[[#This Row],[tipo_ot]]="","",_xlfn.XLOOKUP(tblOrdenes[[#This Row],[tipo_ot]],tblTiposOT[codigo],tblTiposOT[clasificacion],"sin_clasificar"))</f>
        <v/>
      </c>
      <c r="U425" s="3">
        <f>IF(tblOrdenes[[#This Row],[centro_costo]]="","",_xlfn.XLOOKUP(tblOrdenes[[#This Row],[centro_costo]],tblCECO[codigo],tblCECO[linea],"(sin catálogo)"))</f>
        <v/>
      </c>
      <c r="V425" s="3">
        <f>IF(tblOrdenes[[#This Row],[centro_costo]]="","",_xlfn.XLOOKUP(tblOrdenes[[#This Row],[centro_costo]],tblCECO[codigo],tblCECO[area],"(sin catálogo)"))</f>
        <v/>
      </c>
      <c r="W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3">
        <f>IF(tblOrdenes[[#This Row],[centro_costo]]="","",_xlfn.XLOOKUP(tblOrdenes[[#This Row],[centro_costo]],tblCECO[codigo],tblCECO[coordinador],"(sin catálogo)"))</f>
        <v/>
      </c>
      <c r="Y425" s="3">
        <f>IF(tblOrdenes[[#This Row],[puesto_trabajo]]="","",_xlfn.XLOOKUP(tblOrdenes[[#This Row],[puesto_trabajo]],tblPuestos[codigo],tblPuestos[especialidad],"(sin catálogo)"))</f>
        <v/>
      </c>
      <c r="Z425" s="3">
        <f>IF(tblOrdenes[[#This Row],[cod_actividad]]="","",_xlfn.XLOOKUP(tblOrdenes[[#This Row],[cod_actividad]],tblActividades[codigo],tblActividades[descripcion],"(sin catálogo)"))</f>
        <v/>
      </c>
      <c r="AA425" s="12">
        <f>IF(tblOrdenes[[#This Row],[fecha_inicio]]="","",TODAY()-tblOrdenes[[#This Row],[fecha_inicio]])</f>
        <v/>
      </c>
      <c r="AB4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3">
        <f>IF(tblOrdenes[[#This Row],[backlog_habiles]]="","",IF(tblOrdenes[[#This Row],[backlog_habiles]]&lt;0,"FUTURO",IF(tblOrdenes[[#This Row],[backlog_habiles]]&gt;p_dias_backlog_max,"BACKLOG","MES CORRIENTE")))</f>
        <v/>
      </c>
      <c r="AD425" s="3">
        <f>IF(tblOrdenes[[#This Row],[backlog_habiles]]="",FALSE,AND(tblOrdenes[[#This Row],[backlog_habiles]]&gt;p_dias_backlog_min,tblOrdenes[[#This Row],[backlog_habiles]]&lt;=p_dias_backlog_max))</f>
        <v/>
      </c>
      <c r="AE425" s="6" t="n"/>
      <c r="AF4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0">
        <f>IF(tblOrdenes[[#This Row],[orden]]="","",_xlfn.XLOOKUP(tblOrdenes[[#This Row],[id_operacion]],tblEjecucion[id_operacion],tblEjecucion[precio],0))</f>
        <v/>
      </c>
      <c r="AJ425" s="10">
        <f>IF(tblOrdenes[[#This Row],[orden]]="","",MAX(0,_xlfn.XLOOKUP(tblOrdenes[[#This Row],[id_operacion]],tblEjecucion[id_operacion],tblEjecucion[costo_plan_total],0)-tblOrdenes[[#This Row],[costo_servicio]]))</f>
        <v/>
      </c>
      <c r="AK425" s="10">
        <f>IF(tblOrdenes[[#This Row],[orden]]="","",tblOrdenes[[#This Row],[costo_servicio]]+tblOrdenes[[#This Row],[costo_materiales]])</f>
        <v/>
      </c>
      <c r="AL425" s="6" t="n"/>
      <c r="AM425" s="6" t="n"/>
      <c r="AN425" s="6" t="n"/>
      <c r="AO425" s="3">
        <f>IF(tblOrdenes[[#This Row],[link_checklist]]="","",HYPERLINK(p_ruta_base_checklists&amp;tblOrdenes[[#This Row],[link_checklist]],"abrir"))</f>
        <v/>
      </c>
      <c r="AP425" s="6" t="n"/>
      <c r="AQ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3">
        <f>IF(tblOrdenes[[#This Row],[tipo_ot]]="","",_xlfn.XLOOKUP(tblOrdenes[[#This Row],[tipo_ot]],tblTiposOT[codigo],tblTiposOT[clasificacion],"sin_clasificar"))</f>
        <v/>
      </c>
      <c r="U426" s="3">
        <f>IF(tblOrdenes[[#This Row],[centro_costo]]="","",_xlfn.XLOOKUP(tblOrdenes[[#This Row],[centro_costo]],tblCECO[codigo],tblCECO[linea],"(sin catálogo)"))</f>
        <v/>
      </c>
      <c r="V426" s="3">
        <f>IF(tblOrdenes[[#This Row],[centro_costo]]="","",_xlfn.XLOOKUP(tblOrdenes[[#This Row],[centro_costo]],tblCECO[codigo],tblCECO[area],"(sin catálogo)"))</f>
        <v/>
      </c>
      <c r="W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3">
        <f>IF(tblOrdenes[[#This Row],[centro_costo]]="","",_xlfn.XLOOKUP(tblOrdenes[[#This Row],[centro_costo]],tblCECO[codigo],tblCECO[coordinador],"(sin catálogo)"))</f>
        <v/>
      </c>
      <c r="Y426" s="3">
        <f>IF(tblOrdenes[[#This Row],[puesto_trabajo]]="","",_xlfn.XLOOKUP(tblOrdenes[[#This Row],[puesto_trabajo]],tblPuestos[codigo],tblPuestos[especialidad],"(sin catálogo)"))</f>
        <v/>
      </c>
      <c r="Z426" s="3">
        <f>IF(tblOrdenes[[#This Row],[cod_actividad]]="","",_xlfn.XLOOKUP(tblOrdenes[[#This Row],[cod_actividad]],tblActividades[codigo],tblActividades[descripcion],"(sin catálogo)"))</f>
        <v/>
      </c>
      <c r="AA426" s="12">
        <f>IF(tblOrdenes[[#This Row],[fecha_inicio]]="","",TODAY()-tblOrdenes[[#This Row],[fecha_inicio]])</f>
        <v/>
      </c>
      <c r="AB4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3">
        <f>IF(tblOrdenes[[#This Row],[backlog_habiles]]="","",IF(tblOrdenes[[#This Row],[backlog_habiles]]&lt;0,"FUTURO",IF(tblOrdenes[[#This Row],[backlog_habiles]]&gt;p_dias_backlog_max,"BACKLOG","MES CORRIENTE")))</f>
        <v/>
      </c>
      <c r="AD426" s="3">
        <f>IF(tblOrdenes[[#This Row],[backlog_habiles]]="",FALSE,AND(tblOrdenes[[#This Row],[backlog_habiles]]&gt;p_dias_backlog_min,tblOrdenes[[#This Row],[backlog_habiles]]&lt;=p_dias_backlog_max))</f>
        <v/>
      </c>
      <c r="AE426" s="6" t="n"/>
      <c r="AF4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0">
        <f>IF(tblOrdenes[[#This Row],[orden]]="","",_xlfn.XLOOKUP(tblOrdenes[[#This Row],[id_operacion]],tblEjecucion[id_operacion],tblEjecucion[precio],0))</f>
        <v/>
      </c>
      <c r="AJ426" s="10">
        <f>IF(tblOrdenes[[#This Row],[orden]]="","",MAX(0,_xlfn.XLOOKUP(tblOrdenes[[#This Row],[id_operacion]],tblEjecucion[id_operacion],tblEjecucion[costo_plan_total],0)-tblOrdenes[[#This Row],[costo_servicio]]))</f>
        <v/>
      </c>
      <c r="AK426" s="10">
        <f>IF(tblOrdenes[[#This Row],[orden]]="","",tblOrdenes[[#This Row],[costo_servicio]]+tblOrdenes[[#This Row],[costo_materiales]])</f>
        <v/>
      </c>
      <c r="AL426" s="6" t="n"/>
      <c r="AM426" s="6" t="n"/>
      <c r="AN426" s="6" t="n"/>
      <c r="AO426" s="3">
        <f>IF(tblOrdenes[[#This Row],[link_checklist]]="","",HYPERLINK(p_ruta_base_checklists&amp;tblOrdenes[[#This Row],[link_checklist]],"abrir"))</f>
        <v/>
      </c>
      <c r="AP426" s="6" t="n"/>
      <c r="AQ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3">
        <f>IF(tblOrdenes[[#This Row],[tipo_ot]]="","",_xlfn.XLOOKUP(tblOrdenes[[#This Row],[tipo_ot]],tblTiposOT[codigo],tblTiposOT[clasificacion],"sin_clasificar"))</f>
        <v/>
      </c>
      <c r="U427" s="3">
        <f>IF(tblOrdenes[[#This Row],[centro_costo]]="","",_xlfn.XLOOKUP(tblOrdenes[[#This Row],[centro_costo]],tblCECO[codigo],tblCECO[linea],"(sin catálogo)"))</f>
        <v/>
      </c>
      <c r="V427" s="3">
        <f>IF(tblOrdenes[[#This Row],[centro_costo]]="","",_xlfn.XLOOKUP(tblOrdenes[[#This Row],[centro_costo]],tblCECO[codigo],tblCECO[area],"(sin catálogo)"))</f>
        <v/>
      </c>
      <c r="W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3">
        <f>IF(tblOrdenes[[#This Row],[centro_costo]]="","",_xlfn.XLOOKUP(tblOrdenes[[#This Row],[centro_costo]],tblCECO[codigo],tblCECO[coordinador],"(sin catálogo)"))</f>
        <v/>
      </c>
      <c r="Y427" s="3">
        <f>IF(tblOrdenes[[#This Row],[puesto_trabajo]]="","",_xlfn.XLOOKUP(tblOrdenes[[#This Row],[puesto_trabajo]],tblPuestos[codigo],tblPuestos[especialidad],"(sin catálogo)"))</f>
        <v/>
      </c>
      <c r="Z427" s="3">
        <f>IF(tblOrdenes[[#This Row],[cod_actividad]]="","",_xlfn.XLOOKUP(tblOrdenes[[#This Row],[cod_actividad]],tblActividades[codigo],tblActividades[descripcion],"(sin catálogo)"))</f>
        <v/>
      </c>
      <c r="AA427" s="12">
        <f>IF(tblOrdenes[[#This Row],[fecha_inicio]]="","",TODAY()-tblOrdenes[[#This Row],[fecha_inicio]])</f>
        <v/>
      </c>
      <c r="AB4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3">
        <f>IF(tblOrdenes[[#This Row],[backlog_habiles]]="","",IF(tblOrdenes[[#This Row],[backlog_habiles]]&lt;0,"FUTURO",IF(tblOrdenes[[#This Row],[backlog_habiles]]&gt;p_dias_backlog_max,"BACKLOG","MES CORRIENTE")))</f>
        <v/>
      </c>
      <c r="AD427" s="3">
        <f>IF(tblOrdenes[[#This Row],[backlog_habiles]]="",FALSE,AND(tblOrdenes[[#This Row],[backlog_habiles]]&gt;p_dias_backlog_min,tblOrdenes[[#This Row],[backlog_habiles]]&lt;=p_dias_backlog_max))</f>
        <v/>
      </c>
      <c r="AE427" s="6" t="n"/>
      <c r="AF4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0">
        <f>IF(tblOrdenes[[#This Row],[orden]]="","",_xlfn.XLOOKUP(tblOrdenes[[#This Row],[id_operacion]],tblEjecucion[id_operacion],tblEjecucion[precio],0))</f>
        <v/>
      </c>
      <c r="AJ427" s="10">
        <f>IF(tblOrdenes[[#This Row],[orden]]="","",MAX(0,_xlfn.XLOOKUP(tblOrdenes[[#This Row],[id_operacion]],tblEjecucion[id_operacion],tblEjecucion[costo_plan_total],0)-tblOrdenes[[#This Row],[costo_servicio]]))</f>
        <v/>
      </c>
      <c r="AK427" s="10">
        <f>IF(tblOrdenes[[#This Row],[orden]]="","",tblOrdenes[[#This Row],[costo_servicio]]+tblOrdenes[[#This Row],[costo_materiales]])</f>
        <v/>
      </c>
      <c r="AL427" s="6" t="n"/>
      <c r="AM427" s="6" t="n"/>
      <c r="AN427" s="6" t="n"/>
      <c r="AO427" s="3">
        <f>IF(tblOrdenes[[#This Row],[link_checklist]]="","",HYPERLINK(p_ruta_base_checklists&amp;tblOrdenes[[#This Row],[link_checklist]],"abrir"))</f>
        <v/>
      </c>
      <c r="AP427" s="6" t="n"/>
      <c r="AQ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3">
        <f>IF(tblOrdenes[[#This Row],[tipo_ot]]="","",_xlfn.XLOOKUP(tblOrdenes[[#This Row],[tipo_ot]],tblTiposOT[codigo],tblTiposOT[clasificacion],"sin_clasificar"))</f>
        <v/>
      </c>
      <c r="U428" s="3">
        <f>IF(tblOrdenes[[#This Row],[centro_costo]]="","",_xlfn.XLOOKUP(tblOrdenes[[#This Row],[centro_costo]],tblCECO[codigo],tblCECO[linea],"(sin catálogo)"))</f>
        <v/>
      </c>
      <c r="V428" s="3">
        <f>IF(tblOrdenes[[#This Row],[centro_costo]]="","",_xlfn.XLOOKUP(tblOrdenes[[#This Row],[centro_costo]],tblCECO[codigo],tblCECO[area],"(sin catálogo)"))</f>
        <v/>
      </c>
      <c r="W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3">
        <f>IF(tblOrdenes[[#This Row],[centro_costo]]="","",_xlfn.XLOOKUP(tblOrdenes[[#This Row],[centro_costo]],tblCECO[codigo],tblCECO[coordinador],"(sin catálogo)"))</f>
        <v/>
      </c>
      <c r="Y428" s="3">
        <f>IF(tblOrdenes[[#This Row],[puesto_trabajo]]="","",_xlfn.XLOOKUP(tblOrdenes[[#This Row],[puesto_trabajo]],tblPuestos[codigo],tblPuestos[especialidad],"(sin catálogo)"))</f>
        <v/>
      </c>
      <c r="Z428" s="3">
        <f>IF(tblOrdenes[[#This Row],[cod_actividad]]="","",_xlfn.XLOOKUP(tblOrdenes[[#This Row],[cod_actividad]],tblActividades[codigo],tblActividades[descripcion],"(sin catálogo)"))</f>
        <v/>
      </c>
      <c r="AA428" s="12">
        <f>IF(tblOrdenes[[#This Row],[fecha_inicio]]="","",TODAY()-tblOrdenes[[#This Row],[fecha_inicio]])</f>
        <v/>
      </c>
      <c r="AB4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3">
        <f>IF(tblOrdenes[[#This Row],[backlog_habiles]]="","",IF(tblOrdenes[[#This Row],[backlog_habiles]]&lt;0,"FUTURO",IF(tblOrdenes[[#This Row],[backlog_habiles]]&gt;p_dias_backlog_max,"BACKLOG","MES CORRIENTE")))</f>
        <v/>
      </c>
      <c r="AD428" s="3">
        <f>IF(tblOrdenes[[#This Row],[backlog_habiles]]="",FALSE,AND(tblOrdenes[[#This Row],[backlog_habiles]]&gt;p_dias_backlog_min,tblOrdenes[[#This Row],[backlog_habiles]]&lt;=p_dias_backlog_max))</f>
        <v/>
      </c>
      <c r="AE428" s="6" t="n"/>
      <c r="AF4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0">
        <f>IF(tblOrdenes[[#This Row],[orden]]="","",_xlfn.XLOOKUP(tblOrdenes[[#This Row],[id_operacion]],tblEjecucion[id_operacion],tblEjecucion[precio],0))</f>
        <v/>
      </c>
      <c r="AJ428" s="10">
        <f>IF(tblOrdenes[[#This Row],[orden]]="","",MAX(0,_xlfn.XLOOKUP(tblOrdenes[[#This Row],[id_operacion]],tblEjecucion[id_operacion],tblEjecucion[costo_plan_total],0)-tblOrdenes[[#This Row],[costo_servicio]]))</f>
        <v/>
      </c>
      <c r="AK428" s="10">
        <f>IF(tblOrdenes[[#This Row],[orden]]="","",tblOrdenes[[#This Row],[costo_servicio]]+tblOrdenes[[#This Row],[costo_materiales]])</f>
        <v/>
      </c>
      <c r="AL428" s="6" t="n"/>
      <c r="AM428" s="6" t="n"/>
      <c r="AN428" s="6" t="n"/>
      <c r="AO428" s="3">
        <f>IF(tblOrdenes[[#This Row],[link_checklist]]="","",HYPERLINK(p_ruta_base_checklists&amp;tblOrdenes[[#This Row],[link_checklist]],"abrir"))</f>
        <v/>
      </c>
      <c r="AP428" s="6" t="n"/>
      <c r="AQ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3">
        <f>IF(tblOrdenes[[#This Row],[tipo_ot]]="","",_xlfn.XLOOKUP(tblOrdenes[[#This Row],[tipo_ot]],tblTiposOT[codigo],tblTiposOT[clasificacion],"sin_clasificar"))</f>
        <v/>
      </c>
      <c r="U429" s="3">
        <f>IF(tblOrdenes[[#This Row],[centro_costo]]="","",_xlfn.XLOOKUP(tblOrdenes[[#This Row],[centro_costo]],tblCECO[codigo],tblCECO[linea],"(sin catálogo)"))</f>
        <v/>
      </c>
      <c r="V429" s="3">
        <f>IF(tblOrdenes[[#This Row],[centro_costo]]="","",_xlfn.XLOOKUP(tblOrdenes[[#This Row],[centro_costo]],tblCECO[codigo],tblCECO[area],"(sin catálogo)"))</f>
        <v/>
      </c>
      <c r="W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3">
        <f>IF(tblOrdenes[[#This Row],[centro_costo]]="","",_xlfn.XLOOKUP(tblOrdenes[[#This Row],[centro_costo]],tblCECO[codigo],tblCECO[coordinador],"(sin catálogo)"))</f>
        <v/>
      </c>
      <c r="Y429" s="3">
        <f>IF(tblOrdenes[[#This Row],[puesto_trabajo]]="","",_xlfn.XLOOKUP(tblOrdenes[[#This Row],[puesto_trabajo]],tblPuestos[codigo],tblPuestos[especialidad],"(sin catálogo)"))</f>
        <v/>
      </c>
      <c r="Z429" s="3">
        <f>IF(tblOrdenes[[#This Row],[cod_actividad]]="","",_xlfn.XLOOKUP(tblOrdenes[[#This Row],[cod_actividad]],tblActividades[codigo],tblActividades[descripcion],"(sin catálogo)"))</f>
        <v/>
      </c>
      <c r="AA429" s="12">
        <f>IF(tblOrdenes[[#This Row],[fecha_inicio]]="","",TODAY()-tblOrdenes[[#This Row],[fecha_inicio]])</f>
        <v/>
      </c>
      <c r="AB4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3">
        <f>IF(tblOrdenes[[#This Row],[backlog_habiles]]="","",IF(tblOrdenes[[#This Row],[backlog_habiles]]&lt;0,"FUTURO",IF(tblOrdenes[[#This Row],[backlog_habiles]]&gt;p_dias_backlog_max,"BACKLOG","MES CORRIENTE")))</f>
        <v/>
      </c>
      <c r="AD429" s="3">
        <f>IF(tblOrdenes[[#This Row],[backlog_habiles]]="",FALSE,AND(tblOrdenes[[#This Row],[backlog_habiles]]&gt;p_dias_backlog_min,tblOrdenes[[#This Row],[backlog_habiles]]&lt;=p_dias_backlog_max))</f>
        <v/>
      </c>
      <c r="AE429" s="6" t="n"/>
      <c r="AF4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0">
        <f>IF(tblOrdenes[[#This Row],[orden]]="","",_xlfn.XLOOKUP(tblOrdenes[[#This Row],[id_operacion]],tblEjecucion[id_operacion],tblEjecucion[precio],0))</f>
        <v/>
      </c>
      <c r="AJ429" s="10">
        <f>IF(tblOrdenes[[#This Row],[orden]]="","",MAX(0,_xlfn.XLOOKUP(tblOrdenes[[#This Row],[id_operacion]],tblEjecucion[id_operacion],tblEjecucion[costo_plan_total],0)-tblOrdenes[[#This Row],[costo_servicio]]))</f>
        <v/>
      </c>
      <c r="AK429" s="10">
        <f>IF(tblOrdenes[[#This Row],[orden]]="","",tblOrdenes[[#This Row],[costo_servicio]]+tblOrdenes[[#This Row],[costo_materiales]])</f>
        <v/>
      </c>
      <c r="AL429" s="6" t="n"/>
      <c r="AM429" s="6" t="n"/>
      <c r="AN429" s="6" t="n"/>
      <c r="AO429" s="3">
        <f>IF(tblOrdenes[[#This Row],[link_checklist]]="","",HYPERLINK(p_ruta_base_checklists&amp;tblOrdenes[[#This Row],[link_checklist]],"abrir"))</f>
        <v/>
      </c>
      <c r="AP429" s="6" t="n"/>
      <c r="AQ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3">
        <f>IF(tblOrdenes[[#This Row],[tipo_ot]]="","",_xlfn.XLOOKUP(tblOrdenes[[#This Row],[tipo_ot]],tblTiposOT[codigo],tblTiposOT[clasificacion],"sin_clasificar"))</f>
        <v/>
      </c>
      <c r="U430" s="3">
        <f>IF(tblOrdenes[[#This Row],[centro_costo]]="","",_xlfn.XLOOKUP(tblOrdenes[[#This Row],[centro_costo]],tblCECO[codigo],tblCECO[linea],"(sin catálogo)"))</f>
        <v/>
      </c>
      <c r="V430" s="3">
        <f>IF(tblOrdenes[[#This Row],[centro_costo]]="","",_xlfn.XLOOKUP(tblOrdenes[[#This Row],[centro_costo]],tblCECO[codigo],tblCECO[area],"(sin catálogo)"))</f>
        <v/>
      </c>
      <c r="W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3">
        <f>IF(tblOrdenes[[#This Row],[centro_costo]]="","",_xlfn.XLOOKUP(tblOrdenes[[#This Row],[centro_costo]],tblCECO[codigo],tblCECO[coordinador],"(sin catálogo)"))</f>
        <v/>
      </c>
      <c r="Y430" s="3">
        <f>IF(tblOrdenes[[#This Row],[puesto_trabajo]]="","",_xlfn.XLOOKUP(tblOrdenes[[#This Row],[puesto_trabajo]],tblPuestos[codigo],tblPuestos[especialidad],"(sin catálogo)"))</f>
        <v/>
      </c>
      <c r="Z430" s="3">
        <f>IF(tblOrdenes[[#This Row],[cod_actividad]]="","",_xlfn.XLOOKUP(tblOrdenes[[#This Row],[cod_actividad]],tblActividades[codigo],tblActividades[descripcion],"(sin catálogo)"))</f>
        <v/>
      </c>
      <c r="AA430" s="12">
        <f>IF(tblOrdenes[[#This Row],[fecha_inicio]]="","",TODAY()-tblOrdenes[[#This Row],[fecha_inicio]])</f>
        <v/>
      </c>
      <c r="AB4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3">
        <f>IF(tblOrdenes[[#This Row],[backlog_habiles]]="","",IF(tblOrdenes[[#This Row],[backlog_habiles]]&lt;0,"FUTURO",IF(tblOrdenes[[#This Row],[backlog_habiles]]&gt;p_dias_backlog_max,"BACKLOG","MES CORRIENTE")))</f>
        <v/>
      </c>
      <c r="AD430" s="3">
        <f>IF(tblOrdenes[[#This Row],[backlog_habiles]]="",FALSE,AND(tblOrdenes[[#This Row],[backlog_habiles]]&gt;p_dias_backlog_min,tblOrdenes[[#This Row],[backlog_habiles]]&lt;=p_dias_backlog_max))</f>
        <v/>
      </c>
      <c r="AE430" s="6" t="n"/>
      <c r="AF4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0">
        <f>IF(tblOrdenes[[#This Row],[orden]]="","",_xlfn.XLOOKUP(tblOrdenes[[#This Row],[id_operacion]],tblEjecucion[id_operacion],tblEjecucion[precio],0))</f>
        <v/>
      </c>
      <c r="AJ430" s="10">
        <f>IF(tblOrdenes[[#This Row],[orden]]="","",MAX(0,_xlfn.XLOOKUP(tblOrdenes[[#This Row],[id_operacion]],tblEjecucion[id_operacion],tblEjecucion[costo_plan_total],0)-tblOrdenes[[#This Row],[costo_servicio]]))</f>
        <v/>
      </c>
      <c r="AK430" s="10">
        <f>IF(tblOrdenes[[#This Row],[orden]]="","",tblOrdenes[[#This Row],[costo_servicio]]+tblOrdenes[[#This Row],[costo_materiales]])</f>
        <v/>
      </c>
      <c r="AL430" s="6" t="n"/>
      <c r="AM430" s="6" t="n"/>
      <c r="AN430" s="6" t="n"/>
      <c r="AO430" s="3">
        <f>IF(tblOrdenes[[#This Row],[link_checklist]]="","",HYPERLINK(p_ruta_base_checklists&amp;tblOrdenes[[#This Row],[link_checklist]],"abrir"))</f>
        <v/>
      </c>
      <c r="AP430" s="6" t="n"/>
      <c r="AQ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3">
        <f>IF(tblOrdenes[[#This Row],[tipo_ot]]="","",_xlfn.XLOOKUP(tblOrdenes[[#This Row],[tipo_ot]],tblTiposOT[codigo],tblTiposOT[clasificacion],"sin_clasificar"))</f>
        <v/>
      </c>
      <c r="U431" s="3">
        <f>IF(tblOrdenes[[#This Row],[centro_costo]]="","",_xlfn.XLOOKUP(tblOrdenes[[#This Row],[centro_costo]],tblCECO[codigo],tblCECO[linea],"(sin catálogo)"))</f>
        <v/>
      </c>
      <c r="V431" s="3">
        <f>IF(tblOrdenes[[#This Row],[centro_costo]]="","",_xlfn.XLOOKUP(tblOrdenes[[#This Row],[centro_costo]],tblCECO[codigo],tblCECO[area],"(sin catálogo)"))</f>
        <v/>
      </c>
      <c r="W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3">
        <f>IF(tblOrdenes[[#This Row],[centro_costo]]="","",_xlfn.XLOOKUP(tblOrdenes[[#This Row],[centro_costo]],tblCECO[codigo],tblCECO[coordinador],"(sin catálogo)"))</f>
        <v/>
      </c>
      <c r="Y431" s="3">
        <f>IF(tblOrdenes[[#This Row],[puesto_trabajo]]="","",_xlfn.XLOOKUP(tblOrdenes[[#This Row],[puesto_trabajo]],tblPuestos[codigo],tblPuestos[especialidad],"(sin catálogo)"))</f>
        <v/>
      </c>
      <c r="Z431" s="3">
        <f>IF(tblOrdenes[[#This Row],[cod_actividad]]="","",_xlfn.XLOOKUP(tblOrdenes[[#This Row],[cod_actividad]],tblActividades[codigo],tblActividades[descripcion],"(sin catálogo)"))</f>
        <v/>
      </c>
      <c r="AA431" s="12">
        <f>IF(tblOrdenes[[#This Row],[fecha_inicio]]="","",TODAY()-tblOrdenes[[#This Row],[fecha_inicio]])</f>
        <v/>
      </c>
      <c r="AB4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3">
        <f>IF(tblOrdenes[[#This Row],[backlog_habiles]]="","",IF(tblOrdenes[[#This Row],[backlog_habiles]]&lt;0,"FUTURO",IF(tblOrdenes[[#This Row],[backlog_habiles]]&gt;p_dias_backlog_max,"BACKLOG","MES CORRIENTE")))</f>
        <v/>
      </c>
      <c r="AD431" s="3">
        <f>IF(tblOrdenes[[#This Row],[backlog_habiles]]="",FALSE,AND(tblOrdenes[[#This Row],[backlog_habiles]]&gt;p_dias_backlog_min,tblOrdenes[[#This Row],[backlog_habiles]]&lt;=p_dias_backlog_max))</f>
        <v/>
      </c>
      <c r="AE431" s="6" t="n"/>
      <c r="AF4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0">
        <f>IF(tblOrdenes[[#This Row],[orden]]="","",_xlfn.XLOOKUP(tblOrdenes[[#This Row],[id_operacion]],tblEjecucion[id_operacion],tblEjecucion[precio],0))</f>
        <v/>
      </c>
      <c r="AJ431" s="10">
        <f>IF(tblOrdenes[[#This Row],[orden]]="","",MAX(0,_xlfn.XLOOKUP(tblOrdenes[[#This Row],[id_operacion]],tblEjecucion[id_operacion],tblEjecucion[costo_plan_total],0)-tblOrdenes[[#This Row],[costo_servicio]]))</f>
        <v/>
      </c>
      <c r="AK431" s="10">
        <f>IF(tblOrdenes[[#This Row],[orden]]="","",tblOrdenes[[#This Row],[costo_servicio]]+tblOrdenes[[#This Row],[costo_materiales]])</f>
        <v/>
      </c>
      <c r="AL431" s="6" t="n"/>
      <c r="AM431" s="6" t="n"/>
      <c r="AN431" s="6" t="n"/>
      <c r="AO431" s="3">
        <f>IF(tblOrdenes[[#This Row],[link_checklist]]="","",HYPERLINK(p_ruta_base_checklists&amp;tblOrdenes[[#This Row],[link_checklist]],"abrir"))</f>
        <v/>
      </c>
      <c r="AP431" s="6" t="n"/>
      <c r="AQ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3">
        <f>IF(tblOrdenes[[#This Row],[tipo_ot]]="","",_xlfn.XLOOKUP(tblOrdenes[[#This Row],[tipo_ot]],tblTiposOT[codigo],tblTiposOT[clasificacion],"sin_clasificar"))</f>
        <v/>
      </c>
      <c r="U432" s="3">
        <f>IF(tblOrdenes[[#This Row],[centro_costo]]="","",_xlfn.XLOOKUP(tblOrdenes[[#This Row],[centro_costo]],tblCECO[codigo],tblCECO[linea],"(sin catálogo)"))</f>
        <v/>
      </c>
      <c r="V432" s="3">
        <f>IF(tblOrdenes[[#This Row],[centro_costo]]="","",_xlfn.XLOOKUP(tblOrdenes[[#This Row],[centro_costo]],tblCECO[codigo],tblCECO[area],"(sin catálogo)"))</f>
        <v/>
      </c>
      <c r="W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3">
        <f>IF(tblOrdenes[[#This Row],[centro_costo]]="","",_xlfn.XLOOKUP(tblOrdenes[[#This Row],[centro_costo]],tblCECO[codigo],tblCECO[coordinador],"(sin catálogo)"))</f>
        <v/>
      </c>
      <c r="Y432" s="3">
        <f>IF(tblOrdenes[[#This Row],[puesto_trabajo]]="","",_xlfn.XLOOKUP(tblOrdenes[[#This Row],[puesto_trabajo]],tblPuestos[codigo],tblPuestos[especialidad],"(sin catálogo)"))</f>
        <v/>
      </c>
      <c r="Z432" s="3">
        <f>IF(tblOrdenes[[#This Row],[cod_actividad]]="","",_xlfn.XLOOKUP(tblOrdenes[[#This Row],[cod_actividad]],tblActividades[codigo],tblActividades[descripcion],"(sin catálogo)"))</f>
        <v/>
      </c>
      <c r="AA432" s="12">
        <f>IF(tblOrdenes[[#This Row],[fecha_inicio]]="","",TODAY()-tblOrdenes[[#This Row],[fecha_inicio]])</f>
        <v/>
      </c>
      <c r="AB4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3">
        <f>IF(tblOrdenes[[#This Row],[backlog_habiles]]="","",IF(tblOrdenes[[#This Row],[backlog_habiles]]&lt;0,"FUTURO",IF(tblOrdenes[[#This Row],[backlog_habiles]]&gt;p_dias_backlog_max,"BACKLOG","MES CORRIENTE")))</f>
        <v/>
      </c>
      <c r="AD432" s="3">
        <f>IF(tblOrdenes[[#This Row],[backlog_habiles]]="",FALSE,AND(tblOrdenes[[#This Row],[backlog_habiles]]&gt;p_dias_backlog_min,tblOrdenes[[#This Row],[backlog_habiles]]&lt;=p_dias_backlog_max))</f>
        <v/>
      </c>
      <c r="AE432" s="6" t="n"/>
      <c r="AF4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0">
        <f>IF(tblOrdenes[[#This Row],[orden]]="","",_xlfn.XLOOKUP(tblOrdenes[[#This Row],[id_operacion]],tblEjecucion[id_operacion],tblEjecucion[precio],0))</f>
        <v/>
      </c>
      <c r="AJ432" s="10">
        <f>IF(tblOrdenes[[#This Row],[orden]]="","",MAX(0,_xlfn.XLOOKUP(tblOrdenes[[#This Row],[id_operacion]],tblEjecucion[id_operacion],tblEjecucion[costo_plan_total],0)-tblOrdenes[[#This Row],[costo_servicio]]))</f>
        <v/>
      </c>
      <c r="AK432" s="10">
        <f>IF(tblOrdenes[[#This Row],[orden]]="","",tblOrdenes[[#This Row],[costo_servicio]]+tblOrdenes[[#This Row],[costo_materiales]])</f>
        <v/>
      </c>
      <c r="AL432" s="6" t="n"/>
      <c r="AM432" s="6" t="n"/>
      <c r="AN432" s="6" t="n"/>
      <c r="AO432" s="3">
        <f>IF(tblOrdenes[[#This Row],[link_checklist]]="","",HYPERLINK(p_ruta_base_checklists&amp;tblOrdenes[[#This Row],[link_checklist]],"abrir"))</f>
        <v/>
      </c>
      <c r="AP432" s="6" t="n"/>
      <c r="AQ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3">
        <f>IF(tblOrdenes[[#This Row],[tipo_ot]]="","",_xlfn.XLOOKUP(tblOrdenes[[#This Row],[tipo_ot]],tblTiposOT[codigo],tblTiposOT[clasificacion],"sin_clasificar"))</f>
        <v/>
      </c>
      <c r="U433" s="3">
        <f>IF(tblOrdenes[[#This Row],[centro_costo]]="","",_xlfn.XLOOKUP(tblOrdenes[[#This Row],[centro_costo]],tblCECO[codigo],tblCECO[linea],"(sin catálogo)"))</f>
        <v/>
      </c>
      <c r="V433" s="3">
        <f>IF(tblOrdenes[[#This Row],[centro_costo]]="","",_xlfn.XLOOKUP(tblOrdenes[[#This Row],[centro_costo]],tblCECO[codigo],tblCECO[area],"(sin catálogo)"))</f>
        <v/>
      </c>
      <c r="W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3">
        <f>IF(tblOrdenes[[#This Row],[centro_costo]]="","",_xlfn.XLOOKUP(tblOrdenes[[#This Row],[centro_costo]],tblCECO[codigo],tblCECO[coordinador],"(sin catálogo)"))</f>
        <v/>
      </c>
      <c r="Y433" s="3">
        <f>IF(tblOrdenes[[#This Row],[puesto_trabajo]]="","",_xlfn.XLOOKUP(tblOrdenes[[#This Row],[puesto_trabajo]],tblPuestos[codigo],tblPuestos[especialidad],"(sin catálogo)"))</f>
        <v/>
      </c>
      <c r="Z433" s="3">
        <f>IF(tblOrdenes[[#This Row],[cod_actividad]]="","",_xlfn.XLOOKUP(tblOrdenes[[#This Row],[cod_actividad]],tblActividades[codigo],tblActividades[descripcion],"(sin catálogo)"))</f>
        <v/>
      </c>
      <c r="AA433" s="12">
        <f>IF(tblOrdenes[[#This Row],[fecha_inicio]]="","",TODAY()-tblOrdenes[[#This Row],[fecha_inicio]])</f>
        <v/>
      </c>
      <c r="AB4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3">
        <f>IF(tblOrdenes[[#This Row],[backlog_habiles]]="","",IF(tblOrdenes[[#This Row],[backlog_habiles]]&lt;0,"FUTURO",IF(tblOrdenes[[#This Row],[backlog_habiles]]&gt;p_dias_backlog_max,"BACKLOG","MES CORRIENTE")))</f>
        <v/>
      </c>
      <c r="AD433" s="3">
        <f>IF(tblOrdenes[[#This Row],[backlog_habiles]]="",FALSE,AND(tblOrdenes[[#This Row],[backlog_habiles]]&gt;p_dias_backlog_min,tblOrdenes[[#This Row],[backlog_habiles]]&lt;=p_dias_backlog_max))</f>
        <v/>
      </c>
      <c r="AE433" s="6" t="n"/>
      <c r="AF4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0">
        <f>IF(tblOrdenes[[#This Row],[orden]]="","",_xlfn.XLOOKUP(tblOrdenes[[#This Row],[id_operacion]],tblEjecucion[id_operacion],tblEjecucion[precio],0))</f>
        <v/>
      </c>
      <c r="AJ433" s="10">
        <f>IF(tblOrdenes[[#This Row],[orden]]="","",MAX(0,_xlfn.XLOOKUP(tblOrdenes[[#This Row],[id_operacion]],tblEjecucion[id_operacion],tblEjecucion[costo_plan_total],0)-tblOrdenes[[#This Row],[costo_servicio]]))</f>
        <v/>
      </c>
      <c r="AK433" s="10">
        <f>IF(tblOrdenes[[#This Row],[orden]]="","",tblOrdenes[[#This Row],[costo_servicio]]+tblOrdenes[[#This Row],[costo_materiales]])</f>
        <v/>
      </c>
      <c r="AL433" s="6" t="n"/>
      <c r="AM433" s="6" t="n"/>
      <c r="AN433" s="6" t="n"/>
      <c r="AO433" s="3">
        <f>IF(tblOrdenes[[#This Row],[link_checklist]]="","",HYPERLINK(p_ruta_base_checklists&amp;tblOrdenes[[#This Row],[link_checklist]],"abrir"))</f>
        <v/>
      </c>
      <c r="AP433" s="6" t="n"/>
      <c r="AQ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3">
        <f>IF(tblOrdenes[[#This Row],[tipo_ot]]="","",_xlfn.XLOOKUP(tblOrdenes[[#This Row],[tipo_ot]],tblTiposOT[codigo],tblTiposOT[clasificacion],"sin_clasificar"))</f>
        <v/>
      </c>
      <c r="U434" s="3">
        <f>IF(tblOrdenes[[#This Row],[centro_costo]]="","",_xlfn.XLOOKUP(tblOrdenes[[#This Row],[centro_costo]],tblCECO[codigo],tblCECO[linea],"(sin catálogo)"))</f>
        <v/>
      </c>
      <c r="V434" s="3">
        <f>IF(tblOrdenes[[#This Row],[centro_costo]]="","",_xlfn.XLOOKUP(tblOrdenes[[#This Row],[centro_costo]],tblCECO[codigo],tblCECO[area],"(sin catálogo)"))</f>
        <v/>
      </c>
      <c r="W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3">
        <f>IF(tblOrdenes[[#This Row],[centro_costo]]="","",_xlfn.XLOOKUP(tblOrdenes[[#This Row],[centro_costo]],tblCECO[codigo],tblCECO[coordinador],"(sin catálogo)"))</f>
        <v/>
      </c>
      <c r="Y434" s="3">
        <f>IF(tblOrdenes[[#This Row],[puesto_trabajo]]="","",_xlfn.XLOOKUP(tblOrdenes[[#This Row],[puesto_trabajo]],tblPuestos[codigo],tblPuestos[especialidad],"(sin catálogo)"))</f>
        <v/>
      </c>
      <c r="Z434" s="3">
        <f>IF(tblOrdenes[[#This Row],[cod_actividad]]="","",_xlfn.XLOOKUP(tblOrdenes[[#This Row],[cod_actividad]],tblActividades[codigo],tblActividades[descripcion],"(sin catálogo)"))</f>
        <v/>
      </c>
      <c r="AA434" s="12">
        <f>IF(tblOrdenes[[#This Row],[fecha_inicio]]="","",TODAY()-tblOrdenes[[#This Row],[fecha_inicio]])</f>
        <v/>
      </c>
      <c r="AB4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3">
        <f>IF(tblOrdenes[[#This Row],[backlog_habiles]]="","",IF(tblOrdenes[[#This Row],[backlog_habiles]]&lt;0,"FUTURO",IF(tblOrdenes[[#This Row],[backlog_habiles]]&gt;p_dias_backlog_max,"BACKLOG","MES CORRIENTE")))</f>
        <v/>
      </c>
      <c r="AD434" s="3">
        <f>IF(tblOrdenes[[#This Row],[backlog_habiles]]="",FALSE,AND(tblOrdenes[[#This Row],[backlog_habiles]]&gt;p_dias_backlog_min,tblOrdenes[[#This Row],[backlog_habiles]]&lt;=p_dias_backlog_max))</f>
        <v/>
      </c>
      <c r="AE434" s="6" t="n"/>
      <c r="AF4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0">
        <f>IF(tblOrdenes[[#This Row],[orden]]="","",_xlfn.XLOOKUP(tblOrdenes[[#This Row],[id_operacion]],tblEjecucion[id_operacion],tblEjecucion[precio],0))</f>
        <v/>
      </c>
      <c r="AJ434" s="10">
        <f>IF(tblOrdenes[[#This Row],[orden]]="","",MAX(0,_xlfn.XLOOKUP(tblOrdenes[[#This Row],[id_operacion]],tblEjecucion[id_operacion],tblEjecucion[costo_plan_total],0)-tblOrdenes[[#This Row],[costo_servicio]]))</f>
        <v/>
      </c>
      <c r="AK434" s="10">
        <f>IF(tblOrdenes[[#This Row],[orden]]="","",tblOrdenes[[#This Row],[costo_servicio]]+tblOrdenes[[#This Row],[costo_materiales]])</f>
        <v/>
      </c>
      <c r="AL434" s="6" t="n"/>
      <c r="AM434" s="6" t="n"/>
      <c r="AN434" s="6" t="n"/>
      <c r="AO434" s="3">
        <f>IF(tblOrdenes[[#This Row],[link_checklist]]="","",HYPERLINK(p_ruta_base_checklists&amp;tblOrdenes[[#This Row],[link_checklist]],"abrir"))</f>
        <v/>
      </c>
      <c r="AP434" s="6" t="n"/>
      <c r="AQ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3">
        <f>IF(tblOrdenes[[#This Row],[tipo_ot]]="","",_xlfn.XLOOKUP(tblOrdenes[[#This Row],[tipo_ot]],tblTiposOT[codigo],tblTiposOT[clasificacion],"sin_clasificar"))</f>
        <v/>
      </c>
      <c r="U435" s="3">
        <f>IF(tblOrdenes[[#This Row],[centro_costo]]="","",_xlfn.XLOOKUP(tblOrdenes[[#This Row],[centro_costo]],tblCECO[codigo],tblCECO[linea],"(sin catálogo)"))</f>
        <v/>
      </c>
      <c r="V435" s="3">
        <f>IF(tblOrdenes[[#This Row],[centro_costo]]="","",_xlfn.XLOOKUP(tblOrdenes[[#This Row],[centro_costo]],tblCECO[codigo],tblCECO[area],"(sin catálogo)"))</f>
        <v/>
      </c>
      <c r="W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3">
        <f>IF(tblOrdenes[[#This Row],[centro_costo]]="","",_xlfn.XLOOKUP(tblOrdenes[[#This Row],[centro_costo]],tblCECO[codigo],tblCECO[coordinador],"(sin catálogo)"))</f>
        <v/>
      </c>
      <c r="Y435" s="3">
        <f>IF(tblOrdenes[[#This Row],[puesto_trabajo]]="","",_xlfn.XLOOKUP(tblOrdenes[[#This Row],[puesto_trabajo]],tblPuestos[codigo],tblPuestos[especialidad],"(sin catálogo)"))</f>
        <v/>
      </c>
      <c r="Z435" s="3">
        <f>IF(tblOrdenes[[#This Row],[cod_actividad]]="","",_xlfn.XLOOKUP(tblOrdenes[[#This Row],[cod_actividad]],tblActividades[codigo],tblActividades[descripcion],"(sin catálogo)"))</f>
        <v/>
      </c>
      <c r="AA435" s="12">
        <f>IF(tblOrdenes[[#This Row],[fecha_inicio]]="","",TODAY()-tblOrdenes[[#This Row],[fecha_inicio]])</f>
        <v/>
      </c>
      <c r="AB4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3">
        <f>IF(tblOrdenes[[#This Row],[backlog_habiles]]="","",IF(tblOrdenes[[#This Row],[backlog_habiles]]&lt;0,"FUTURO",IF(tblOrdenes[[#This Row],[backlog_habiles]]&gt;p_dias_backlog_max,"BACKLOG","MES CORRIENTE")))</f>
        <v/>
      </c>
      <c r="AD435" s="3">
        <f>IF(tblOrdenes[[#This Row],[backlog_habiles]]="",FALSE,AND(tblOrdenes[[#This Row],[backlog_habiles]]&gt;p_dias_backlog_min,tblOrdenes[[#This Row],[backlog_habiles]]&lt;=p_dias_backlog_max))</f>
        <v/>
      </c>
      <c r="AE435" s="6" t="n"/>
      <c r="AF4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0">
        <f>IF(tblOrdenes[[#This Row],[orden]]="","",_xlfn.XLOOKUP(tblOrdenes[[#This Row],[id_operacion]],tblEjecucion[id_operacion],tblEjecucion[precio],0))</f>
        <v/>
      </c>
      <c r="AJ435" s="10">
        <f>IF(tblOrdenes[[#This Row],[orden]]="","",MAX(0,_xlfn.XLOOKUP(tblOrdenes[[#This Row],[id_operacion]],tblEjecucion[id_operacion],tblEjecucion[costo_plan_total],0)-tblOrdenes[[#This Row],[costo_servicio]]))</f>
        <v/>
      </c>
      <c r="AK435" s="10">
        <f>IF(tblOrdenes[[#This Row],[orden]]="","",tblOrdenes[[#This Row],[costo_servicio]]+tblOrdenes[[#This Row],[costo_materiales]])</f>
        <v/>
      </c>
      <c r="AL435" s="6" t="n"/>
      <c r="AM435" s="6" t="n"/>
      <c r="AN435" s="6" t="n"/>
      <c r="AO435" s="3">
        <f>IF(tblOrdenes[[#This Row],[link_checklist]]="","",HYPERLINK(p_ruta_base_checklists&amp;tblOrdenes[[#This Row],[link_checklist]],"abrir"))</f>
        <v/>
      </c>
      <c r="AP435" s="6" t="n"/>
      <c r="AQ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3">
        <f>IF(tblOrdenes[[#This Row],[tipo_ot]]="","",_xlfn.XLOOKUP(tblOrdenes[[#This Row],[tipo_ot]],tblTiposOT[codigo],tblTiposOT[clasificacion],"sin_clasificar"))</f>
        <v/>
      </c>
      <c r="U436" s="3">
        <f>IF(tblOrdenes[[#This Row],[centro_costo]]="","",_xlfn.XLOOKUP(tblOrdenes[[#This Row],[centro_costo]],tblCECO[codigo],tblCECO[linea],"(sin catálogo)"))</f>
        <v/>
      </c>
      <c r="V436" s="3">
        <f>IF(tblOrdenes[[#This Row],[centro_costo]]="","",_xlfn.XLOOKUP(tblOrdenes[[#This Row],[centro_costo]],tblCECO[codigo],tblCECO[area],"(sin catálogo)"))</f>
        <v/>
      </c>
      <c r="W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3">
        <f>IF(tblOrdenes[[#This Row],[centro_costo]]="","",_xlfn.XLOOKUP(tblOrdenes[[#This Row],[centro_costo]],tblCECO[codigo],tblCECO[coordinador],"(sin catálogo)"))</f>
        <v/>
      </c>
      <c r="Y436" s="3">
        <f>IF(tblOrdenes[[#This Row],[puesto_trabajo]]="","",_xlfn.XLOOKUP(tblOrdenes[[#This Row],[puesto_trabajo]],tblPuestos[codigo],tblPuestos[especialidad],"(sin catálogo)"))</f>
        <v/>
      </c>
      <c r="Z436" s="3">
        <f>IF(tblOrdenes[[#This Row],[cod_actividad]]="","",_xlfn.XLOOKUP(tblOrdenes[[#This Row],[cod_actividad]],tblActividades[codigo],tblActividades[descripcion],"(sin catálogo)"))</f>
        <v/>
      </c>
      <c r="AA436" s="12">
        <f>IF(tblOrdenes[[#This Row],[fecha_inicio]]="","",TODAY()-tblOrdenes[[#This Row],[fecha_inicio]])</f>
        <v/>
      </c>
      <c r="AB4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3">
        <f>IF(tblOrdenes[[#This Row],[backlog_habiles]]="","",IF(tblOrdenes[[#This Row],[backlog_habiles]]&lt;0,"FUTURO",IF(tblOrdenes[[#This Row],[backlog_habiles]]&gt;p_dias_backlog_max,"BACKLOG","MES CORRIENTE")))</f>
        <v/>
      </c>
      <c r="AD436" s="3">
        <f>IF(tblOrdenes[[#This Row],[backlog_habiles]]="",FALSE,AND(tblOrdenes[[#This Row],[backlog_habiles]]&gt;p_dias_backlog_min,tblOrdenes[[#This Row],[backlog_habiles]]&lt;=p_dias_backlog_max))</f>
        <v/>
      </c>
      <c r="AE436" s="6" t="n"/>
      <c r="AF4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0">
        <f>IF(tblOrdenes[[#This Row],[orden]]="","",_xlfn.XLOOKUP(tblOrdenes[[#This Row],[id_operacion]],tblEjecucion[id_operacion],tblEjecucion[precio],0))</f>
        <v/>
      </c>
      <c r="AJ436" s="10">
        <f>IF(tblOrdenes[[#This Row],[orden]]="","",MAX(0,_xlfn.XLOOKUP(tblOrdenes[[#This Row],[id_operacion]],tblEjecucion[id_operacion],tblEjecucion[costo_plan_total],0)-tblOrdenes[[#This Row],[costo_servicio]]))</f>
        <v/>
      </c>
      <c r="AK436" s="10">
        <f>IF(tblOrdenes[[#This Row],[orden]]="","",tblOrdenes[[#This Row],[costo_servicio]]+tblOrdenes[[#This Row],[costo_materiales]])</f>
        <v/>
      </c>
      <c r="AL436" s="6" t="n"/>
      <c r="AM436" s="6" t="n"/>
      <c r="AN436" s="6" t="n"/>
      <c r="AO436" s="3">
        <f>IF(tblOrdenes[[#This Row],[link_checklist]]="","",HYPERLINK(p_ruta_base_checklists&amp;tblOrdenes[[#This Row],[link_checklist]],"abrir"))</f>
        <v/>
      </c>
      <c r="AP436" s="6" t="n"/>
      <c r="AQ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3">
        <f>IF(tblOrdenes[[#This Row],[tipo_ot]]="","",_xlfn.XLOOKUP(tblOrdenes[[#This Row],[tipo_ot]],tblTiposOT[codigo],tblTiposOT[clasificacion],"sin_clasificar"))</f>
        <v/>
      </c>
      <c r="U437" s="3">
        <f>IF(tblOrdenes[[#This Row],[centro_costo]]="","",_xlfn.XLOOKUP(tblOrdenes[[#This Row],[centro_costo]],tblCECO[codigo],tblCECO[linea],"(sin catálogo)"))</f>
        <v/>
      </c>
      <c r="V437" s="3">
        <f>IF(tblOrdenes[[#This Row],[centro_costo]]="","",_xlfn.XLOOKUP(tblOrdenes[[#This Row],[centro_costo]],tblCECO[codigo],tblCECO[area],"(sin catálogo)"))</f>
        <v/>
      </c>
      <c r="W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3">
        <f>IF(tblOrdenes[[#This Row],[centro_costo]]="","",_xlfn.XLOOKUP(tblOrdenes[[#This Row],[centro_costo]],tblCECO[codigo],tblCECO[coordinador],"(sin catálogo)"))</f>
        <v/>
      </c>
      <c r="Y437" s="3">
        <f>IF(tblOrdenes[[#This Row],[puesto_trabajo]]="","",_xlfn.XLOOKUP(tblOrdenes[[#This Row],[puesto_trabajo]],tblPuestos[codigo],tblPuestos[especialidad],"(sin catálogo)"))</f>
        <v/>
      </c>
      <c r="Z437" s="3">
        <f>IF(tblOrdenes[[#This Row],[cod_actividad]]="","",_xlfn.XLOOKUP(tblOrdenes[[#This Row],[cod_actividad]],tblActividades[codigo],tblActividades[descripcion],"(sin catálogo)"))</f>
        <v/>
      </c>
      <c r="AA437" s="12">
        <f>IF(tblOrdenes[[#This Row],[fecha_inicio]]="","",TODAY()-tblOrdenes[[#This Row],[fecha_inicio]])</f>
        <v/>
      </c>
      <c r="AB4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3">
        <f>IF(tblOrdenes[[#This Row],[backlog_habiles]]="","",IF(tblOrdenes[[#This Row],[backlog_habiles]]&lt;0,"FUTURO",IF(tblOrdenes[[#This Row],[backlog_habiles]]&gt;p_dias_backlog_max,"BACKLOG","MES CORRIENTE")))</f>
        <v/>
      </c>
      <c r="AD437" s="3">
        <f>IF(tblOrdenes[[#This Row],[backlog_habiles]]="",FALSE,AND(tblOrdenes[[#This Row],[backlog_habiles]]&gt;p_dias_backlog_min,tblOrdenes[[#This Row],[backlog_habiles]]&lt;=p_dias_backlog_max))</f>
        <v/>
      </c>
      <c r="AE437" s="6" t="n"/>
      <c r="AF4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0">
        <f>IF(tblOrdenes[[#This Row],[orden]]="","",_xlfn.XLOOKUP(tblOrdenes[[#This Row],[id_operacion]],tblEjecucion[id_operacion],tblEjecucion[precio],0))</f>
        <v/>
      </c>
      <c r="AJ437" s="10">
        <f>IF(tblOrdenes[[#This Row],[orden]]="","",MAX(0,_xlfn.XLOOKUP(tblOrdenes[[#This Row],[id_operacion]],tblEjecucion[id_operacion],tblEjecucion[costo_plan_total],0)-tblOrdenes[[#This Row],[costo_servicio]]))</f>
        <v/>
      </c>
      <c r="AK437" s="10">
        <f>IF(tblOrdenes[[#This Row],[orden]]="","",tblOrdenes[[#This Row],[costo_servicio]]+tblOrdenes[[#This Row],[costo_materiales]])</f>
        <v/>
      </c>
      <c r="AL437" s="6" t="n"/>
      <c r="AM437" s="6" t="n"/>
      <c r="AN437" s="6" t="n"/>
      <c r="AO437" s="3">
        <f>IF(tblOrdenes[[#This Row],[link_checklist]]="","",HYPERLINK(p_ruta_base_checklists&amp;tblOrdenes[[#This Row],[link_checklist]],"abrir"))</f>
        <v/>
      </c>
      <c r="AP437" s="6" t="n"/>
      <c r="AQ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3">
        <f>IF(tblOrdenes[[#This Row],[tipo_ot]]="","",_xlfn.XLOOKUP(tblOrdenes[[#This Row],[tipo_ot]],tblTiposOT[codigo],tblTiposOT[clasificacion],"sin_clasificar"))</f>
        <v/>
      </c>
      <c r="U438" s="3">
        <f>IF(tblOrdenes[[#This Row],[centro_costo]]="","",_xlfn.XLOOKUP(tblOrdenes[[#This Row],[centro_costo]],tblCECO[codigo],tblCECO[linea],"(sin catálogo)"))</f>
        <v/>
      </c>
      <c r="V438" s="3">
        <f>IF(tblOrdenes[[#This Row],[centro_costo]]="","",_xlfn.XLOOKUP(tblOrdenes[[#This Row],[centro_costo]],tblCECO[codigo],tblCECO[area],"(sin catálogo)"))</f>
        <v/>
      </c>
      <c r="W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3">
        <f>IF(tblOrdenes[[#This Row],[centro_costo]]="","",_xlfn.XLOOKUP(tblOrdenes[[#This Row],[centro_costo]],tblCECO[codigo],tblCECO[coordinador],"(sin catálogo)"))</f>
        <v/>
      </c>
      <c r="Y438" s="3">
        <f>IF(tblOrdenes[[#This Row],[puesto_trabajo]]="","",_xlfn.XLOOKUP(tblOrdenes[[#This Row],[puesto_trabajo]],tblPuestos[codigo],tblPuestos[especialidad],"(sin catálogo)"))</f>
        <v/>
      </c>
      <c r="Z438" s="3">
        <f>IF(tblOrdenes[[#This Row],[cod_actividad]]="","",_xlfn.XLOOKUP(tblOrdenes[[#This Row],[cod_actividad]],tblActividades[codigo],tblActividades[descripcion],"(sin catálogo)"))</f>
        <v/>
      </c>
      <c r="AA438" s="12">
        <f>IF(tblOrdenes[[#This Row],[fecha_inicio]]="","",TODAY()-tblOrdenes[[#This Row],[fecha_inicio]])</f>
        <v/>
      </c>
      <c r="AB4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3">
        <f>IF(tblOrdenes[[#This Row],[backlog_habiles]]="","",IF(tblOrdenes[[#This Row],[backlog_habiles]]&lt;0,"FUTURO",IF(tblOrdenes[[#This Row],[backlog_habiles]]&gt;p_dias_backlog_max,"BACKLOG","MES CORRIENTE")))</f>
        <v/>
      </c>
      <c r="AD438" s="3">
        <f>IF(tblOrdenes[[#This Row],[backlog_habiles]]="",FALSE,AND(tblOrdenes[[#This Row],[backlog_habiles]]&gt;p_dias_backlog_min,tblOrdenes[[#This Row],[backlog_habiles]]&lt;=p_dias_backlog_max))</f>
        <v/>
      </c>
      <c r="AE438" s="6" t="n"/>
      <c r="AF4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0">
        <f>IF(tblOrdenes[[#This Row],[orden]]="","",_xlfn.XLOOKUP(tblOrdenes[[#This Row],[id_operacion]],tblEjecucion[id_operacion],tblEjecucion[precio],0))</f>
        <v/>
      </c>
      <c r="AJ438" s="10">
        <f>IF(tblOrdenes[[#This Row],[orden]]="","",MAX(0,_xlfn.XLOOKUP(tblOrdenes[[#This Row],[id_operacion]],tblEjecucion[id_operacion],tblEjecucion[costo_plan_total],0)-tblOrdenes[[#This Row],[costo_servicio]]))</f>
        <v/>
      </c>
      <c r="AK438" s="10">
        <f>IF(tblOrdenes[[#This Row],[orden]]="","",tblOrdenes[[#This Row],[costo_servicio]]+tblOrdenes[[#This Row],[costo_materiales]])</f>
        <v/>
      </c>
      <c r="AL438" s="6" t="n"/>
      <c r="AM438" s="6" t="n"/>
      <c r="AN438" s="6" t="n"/>
      <c r="AO438" s="3">
        <f>IF(tblOrdenes[[#This Row],[link_checklist]]="","",HYPERLINK(p_ruta_base_checklists&amp;tblOrdenes[[#This Row],[link_checklist]],"abrir"))</f>
        <v/>
      </c>
      <c r="AP438" s="6" t="n"/>
      <c r="AQ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3">
        <f>IF(tblOrdenes[[#This Row],[tipo_ot]]="","",_xlfn.XLOOKUP(tblOrdenes[[#This Row],[tipo_ot]],tblTiposOT[codigo],tblTiposOT[clasificacion],"sin_clasificar"))</f>
        <v/>
      </c>
      <c r="U439" s="3">
        <f>IF(tblOrdenes[[#This Row],[centro_costo]]="","",_xlfn.XLOOKUP(tblOrdenes[[#This Row],[centro_costo]],tblCECO[codigo],tblCECO[linea],"(sin catálogo)"))</f>
        <v/>
      </c>
      <c r="V439" s="3">
        <f>IF(tblOrdenes[[#This Row],[centro_costo]]="","",_xlfn.XLOOKUP(tblOrdenes[[#This Row],[centro_costo]],tblCECO[codigo],tblCECO[area],"(sin catálogo)"))</f>
        <v/>
      </c>
      <c r="W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3">
        <f>IF(tblOrdenes[[#This Row],[centro_costo]]="","",_xlfn.XLOOKUP(tblOrdenes[[#This Row],[centro_costo]],tblCECO[codigo],tblCECO[coordinador],"(sin catálogo)"))</f>
        <v/>
      </c>
      <c r="Y439" s="3">
        <f>IF(tblOrdenes[[#This Row],[puesto_trabajo]]="","",_xlfn.XLOOKUP(tblOrdenes[[#This Row],[puesto_trabajo]],tblPuestos[codigo],tblPuestos[especialidad],"(sin catálogo)"))</f>
        <v/>
      </c>
      <c r="Z439" s="3">
        <f>IF(tblOrdenes[[#This Row],[cod_actividad]]="","",_xlfn.XLOOKUP(tblOrdenes[[#This Row],[cod_actividad]],tblActividades[codigo],tblActividades[descripcion],"(sin catálogo)"))</f>
        <v/>
      </c>
      <c r="AA439" s="12">
        <f>IF(tblOrdenes[[#This Row],[fecha_inicio]]="","",TODAY()-tblOrdenes[[#This Row],[fecha_inicio]])</f>
        <v/>
      </c>
      <c r="AB4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3">
        <f>IF(tblOrdenes[[#This Row],[backlog_habiles]]="","",IF(tblOrdenes[[#This Row],[backlog_habiles]]&lt;0,"FUTURO",IF(tblOrdenes[[#This Row],[backlog_habiles]]&gt;p_dias_backlog_max,"BACKLOG","MES CORRIENTE")))</f>
        <v/>
      </c>
      <c r="AD439" s="3">
        <f>IF(tblOrdenes[[#This Row],[backlog_habiles]]="",FALSE,AND(tblOrdenes[[#This Row],[backlog_habiles]]&gt;p_dias_backlog_min,tblOrdenes[[#This Row],[backlog_habiles]]&lt;=p_dias_backlog_max))</f>
        <v/>
      </c>
      <c r="AE439" s="6" t="n"/>
      <c r="AF4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0">
        <f>IF(tblOrdenes[[#This Row],[orden]]="","",_xlfn.XLOOKUP(tblOrdenes[[#This Row],[id_operacion]],tblEjecucion[id_operacion],tblEjecucion[precio],0))</f>
        <v/>
      </c>
      <c r="AJ439" s="10">
        <f>IF(tblOrdenes[[#This Row],[orden]]="","",MAX(0,_xlfn.XLOOKUP(tblOrdenes[[#This Row],[id_operacion]],tblEjecucion[id_operacion],tblEjecucion[costo_plan_total],0)-tblOrdenes[[#This Row],[costo_servicio]]))</f>
        <v/>
      </c>
      <c r="AK439" s="10">
        <f>IF(tblOrdenes[[#This Row],[orden]]="","",tblOrdenes[[#This Row],[costo_servicio]]+tblOrdenes[[#This Row],[costo_materiales]])</f>
        <v/>
      </c>
      <c r="AL439" s="6" t="n"/>
      <c r="AM439" s="6" t="n"/>
      <c r="AN439" s="6" t="n"/>
      <c r="AO439" s="3">
        <f>IF(tblOrdenes[[#This Row],[link_checklist]]="","",HYPERLINK(p_ruta_base_checklists&amp;tblOrdenes[[#This Row],[link_checklist]],"abrir"))</f>
        <v/>
      </c>
      <c r="AP439" s="6" t="n"/>
      <c r="AQ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3">
        <f>IF(tblOrdenes[[#This Row],[tipo_ot]]="","",_xlfn.XLOOKUP(tblOrdenes[[#This Row],[tipo_ot]],tblTiposOT[codigo],tblTiposOT[clasificacion],"sin_clasificar"))</f>
        <v/>
      </c>
      <c r="U440" s="3">
        <f>IF(tblOrdenes[[#This Row],[centro_costo]]="","",_xlfn.XLOOKUP(tblOrdenes[[#This Row],[centro_costo]],tblCECO[codigo],tblCECO[linea],"(sin catálogo)"))</f>
        <v/>
      </c>
      <c r="V440" s="3">
        <f>IF(tblOrdenes[[#This Row],[centro_costo]]="","",_xlfn.XLOOKUP(tblOrdenes[[#This Row],[centro_costo]],tblCECO[codigo],tblCECO[area],"(sin catálogo)"))</f>
        <v/>
      </c>
      <c r="W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3">
        <f>IF(tblOrdenes[[#This Row],[centro_costo]]="","",_xlfn.XLOOKUP(tblOrdenes[[#This Row],[centro_costo]],tblCECO[codigo],tblCECO[coordinador],"(sin catálogo)"))</f>
        <v/>
      </c>
      <c r="Y440" s="3">
        <f>IF(tblOrdenes[[#This Row],[puesto_trabajo]]="","",_xlfn.XLOOKUP(tblOrdenes[[#This Row],[puesto_trabajo]],tblPuestos[codigo],tblPuestos[especialidad],"(sin catálogo)"))</f>
        <v/>
      </c>
      <c r="Z440" s="3">
        <f>IF(tblOrdenes[[#This Row],[cod_actividad]]="","",_xlfn.XLOOKUP(tblOrdenes[[#This Row],[cod_actividad]],tblActividades[codigo],tblActividades[descripcion],"(sin catálogo)"))</f>
        <v/>
      </c>
      <c r="AA440" s="12">
        <f>IF(tblOrdenes[[#This Row],[fecha_inicio]]="","",TODAY()-tblOrdenes[[#This Row],[fecha_inicio]])</f>
        <v/>
      </c>
      <c r="AB4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3">
        <f>IF(tblOrdenes[[#This Row],[backlog_habiles]]="","",IF(tblOrdenes[[#This Row],[backlog_habiles]]&lt;0,"FUTURO",IF(tblOrdenes[[#This Row],[backlog_habiles]]&gt;p_dias_backlog_max,"BACKLOG","MES CORRIENTE")))</f>
        <v/>
      </c>
      <c r="AD440" s="3">
        <f>IF(tblOrdenes[[#This Row],[backlog_habiles]]="",FALSE,AND(tblOrdenes[[#This Row],[backlog_habiles]]&gt;p_dias_backlog_min,tblOrdenes[[#This Row],[backlog_habiles]]&lt;=p_dias_backlog_max))</f>
        <v/>
      </c>
      <c r="AE440" s="6" t="n"/>
      <c r="AF4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0">
        <f>IF(tblOrdenes[[#This Row],[orden]]="","",_xlfn.XLOOKUP(tblOrdenes[[#This Row],[id_operacion]],tblEjecucion[id_operacion],tblEjecucion[precio],0))</f>
        <v/>
      </c>
      <c r="AJ440" s="10">
        <f>IF(tblOrdenes[[#This Row],[orden]]="","",MAX(0,_xlfn.XLOOKUP(tblOrdenes[[#This Row],[id_operacion]],tblEjecucion[id_operacion],tblEjecucion[costo_plan_total],0)-tblOrdenes[[#This Row],[costo_servicio]]))</f>
        <v/>
      </c>
      <c r="AK440" s="10">
        <f>IF(tblOrdenes[[#This Row],[orden]]="","",tblOrdenes[[#This Row],[costo_servicio]]+tblOrdenes[[#This Row],[costo_materiales]])</f>
        <v/>
      </c>
      <c r="AL440" s="6" t="n"/>
      <c r="AM440" s="6" t="n"/>
      <c r="AN440" s="6" t="n"/>
      <c r="AO440" s="3">
        <f>IF(tblOrdenes[[#This Row],[link_checklist]]="","",HYPERLINK(p_ruta_base_checklists&amp;tblOrdenes[[#This Row],[link_checklist]],"abrir"))</f>
        <v/>
      </c>
      <c r="AP440" s="6" t="n"/>
      <c r="AQ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3">
        <f>IF(tblOrdenes[[#This Row],[tipo_ot]]="","",_xlfn.XLOOKUP(tblOrdenes[[#This Row],[tipo_ot]],tblTiposOT[codigo],tblTiposOT[clasificacion],"sin_clasificar"))</f>
        <v/>
      </c>
      <c r="U441" s="3">
        <f>IF(tblOrdenes[[#This Row],[centro_costo]]="","",_xlfn.XLOOKUP(tblOrdenes[[#This Row],[centro_costo]],tblCECO[codigo],tblCECO[linea],"(sin catálogo)"))</f>
        <v/>
      </c>
      <c r="V441" s="3">
        <f>IF(tblOrdenes[[#This Row],[centro_costo]]="","",_xlfn.XLOOKUP(tblOrdenes[[#This Row],[centro_costo]],tblCECO[codigo],tblCECO[area],"(sin catálogo)"))</f>
        <v/>
      </c>
      <c r="W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3">
        <f>IF(tblOrdenes[[#This Row],[centro_costo]]="","",_xlfn.XLOOKUP(tblOrdenes[[#This Row],[centro_costo]],tblCECO[codigo],tblCECO[coordinador],"(sin catálogo)"))</f>
        <v/>
      </c>
      <c r="Y441" s="3">
        <f>IF(tblOrdenes[[#This Row],[puesto_trabajo]]="","",_xlfn.XLOOKUP(tblOrdenes[[#This Row],[puesto_trabajo]],tblPuestos[codigo],tblPuestos[especialidad],"(sin catálogo)"))</f>
        <v/>
      </c>
      <c r="Z441" s="3">
        <f>IF(tblOrdenes[[#This Row],[cod_actividad]]="","",_xlfn.XLOOKUP(tblOrdenes[[#This Row],[cod_actividad]],tblActividades[codigo],tblActividades[descripcion],"(sin catálogo)"))</f>
        <v/>
      </c>
      <c r="AA441" s="12">
        <f>IF(tblOrdenes[[#This Row],[fecha_inicio]]="","",TODAY()-tblOrdenes[[#This Row],[fecha_inicio]])</f>
        <v/>
      </c>
      <c r="AB4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3">
        <f>IF(tblOrdenes[[#This Row],[backlog_habiles]]="","",IF(tblOrdenes[[#This Row],[backlog_habiles]]&lt;0,"FUTURO",IF(tblOrdenes[[#This Row],[backlog_habiles]]&gt;p_dias_backlog_max,"BACKLOG","MES CORRIENTE")))</f>
        <v/>
      </c>
      <c r="AD441" s="3">
        <f>IF(tblOrdenes[[#This Row],[backlog_habiles]]="",FALSE,AND(tblOrdenes[[#This Row],[backlog_habiles]]&gt;p_dias_backlog_min,tblOrdenes[[#This Row],[backlog_habiles]]&lt;=p_dias_backlog_max))</f>
        <v/>
      </c>
      <c r="AE441" s="6" t="n"/>
      <c r="AF4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0">
        <f>IF(tblOrdenes[[#This Row],[orden]]="","",_xlfn.XLOOKUP(tblOrdenes[[#This Row],[id_operacion]],tblEjecucion[id_operacion],tblEjecucion[precio],0))</f>
        <v/>
      </c>
      <c r="AJ441" s="10">
        <f>IF(tblOrdenes[[#This Row],[orden]]="","",MAX(0,_xlfn.XLOOKUP(tblOrdenes[[#This Row],[id_operacion]],tblEjecucion[id_operacion],tblEjecucion[costo_plan_total],0)-tblOrdenes[[#This Row],[costo_servicio]]))</f>
        <v/>
      </c>
      <c r="AK441" s="10">
        <f>IF(tblOrdenes[[#This Row],[orden]]="","",tblOrdenes[[#This Row],[costo_servicio]]+tblOrdenes[[#This Row],[costo_materiales]])</f>
        <v/>
      </c>
      <c r="AL441" s="6" t="n"/>
      <c r="AM441" s="6" t="n"/>
      <c r="AN441" s="6" t="n"/>
      <c r="AO441" s="3">
        <f>IF(tblOrdenes[[#This Row],[link_checklist]]="","",HYPERLINK(p_ruta_base_checklists&amp;tblOrdenes[[#This Row],[link_checklist]],"abrir"))</f>
        <v/>
      </c>
      <c r="AP441" s="6" t="n"/>
      <c r="AQ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3">
        <f>IF(tblOrdenes[[#This Row],[tipo_ot]]="","",_xlfn.XLOOKUP(tblOrdenes[[#This Row],[tipo_ot]],tblTiposOT[codigo],tblTiposOT[clasificacion],"sin_clasificar"))</f>
        <v/>
      </c>
      <c r="U442" s="3">
        <f>IF(tblOrdenes[[#This Row],[centro_costo]]="","",_xlfn.XLOOKUP(tblOrdenes[[#This Row],[centro_costo]],tblCECO[codigo],tblCECO[linea],"(sin catálogo)"))</f>
        <v/>
      </c>
      <c r="V442" s="3">
        <f>IF(tblOrdenes[[#This Row],[centro_costo]]="","",_xlfn.XLOOKUP(tblOrdenes[[#This Row],[centro_costo]],tblCECO[codigo],tblCECO[area],"(sin catálogo)"))</f>
        <v/>
      </c>
      <c r="W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3">
        <f>IF(tblOrdenes[[#This Row],[centro_costo]]="","",_xlfn.XLOOKUP(tblOrdenes[[#This Row],[centro_costo]],tblCECO[codigo],tblCECO[coordinador],"(sin catálogo)"))</f>
        <v/>
      </c>
      <c r="Y442" s="3">
        <f>IF(tblOrdenes[[#This Row],[puesto_trabajo]]="","",_xlfn.XLOOKUP(tblOrdenes[[#This Row],[puesto_trabajo]],tblPuestos[codigo],tblPuestos[especialidad],"(sin catálogo)"))</f>
        <v/>
      </c>
      <c r="Z442" s="3">
        <f>IF(tblOrdenes[[#This Row],[cod_actividad]]="","",_xlfn.XLOOKUP(tblOrdenes[[#This Row],[cod_actividad]],tblActividades[codigo],tblActividades[descripcion],"(sin catálogo)"))</f>
        <v/>
      </c>
      <c r="AA442" s="12">
        <f>IF(tblOrdenes[[#This Row],[fecha_inicio]]="","",TODAY()-tblOrdenes[[#This Row],[fecha_inicio]])</f>
        <v/>
      </c>
      <c r="AB4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3">
        <f>IF(tblOrdenes[[#This Row],[backlog_habiles]]="","",IF(tblOrdenes[[#This Row],[backlog_habiles]]&lt;0,"FUTURO",IF(tblOrdenes[[#This Row],[backlog_habiles]]&gt;p_dias_backlog_max,"BACKLOG","MES CORRIENTE")))</f>
        <v/>
      </c>
      <c r="AD442" s="3">
        <f>IF(tblOrdenes[[#This Row],[backlog_habiles]]="",FALSE,AND(tblOrdenes[[#This Row],[backlog_habiles]]&gt;p_dias_backlog_min,tblOrdenes[[#This Row],[backlog_habiles]]&lt;=p_dias_backlog_max))</f>
        <v/>
      </c>
      <c r="AE442" s="6" t="n"/>
      <c r="AF4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0">
        <f>IF(tblOrdenes[[#This Row],[orden]]="","",_xlfn.XLOOKUP(tblOrdenes[[#This Row],[id_operacion]],tblEjecucion[id_operacion],tblEjecucion[precio],0))</f>
        <v/>
      </c>
      <c r="AJ442" s="10">
        <f>IF(tblOrdenes[[#This Row],[orden]]="","",MAX(0,_xlfn.XLOOKUP(tblOrdenes[[#This Row],[id_operacion]],tblEjecucion[id_operacion],tblEjecucion[costo_plan_total],0)-tblOrdenes[[#This Row],[costo_servicio]]))</f>
        <v/>
      </c>
      <c r="AK442" s="10">
        <f>IF(tblOrdenes[[#This Row],[orden]]="","",tblOrdenes[[#This Row],[costo_servicio]]+tblOrdenes[[#This Row],[costo_materiales]])</f>
        <v/>
      </c>
      <c r="AL442" s="6" t="n"/>
      <c r="AM442" s="6" t="n"/>
      <c r="AN442" s="6" t="n"/>
      <c r="AO442" s="3">
        <f>IF(tblOrdenes[[#This Row],[link_checklist]]="","",HYPERLINK(p_ruta_base_checklists&amp;tblOrdenes[[#This Row],[link_checklist]],"abrir"))</f>
        <v/>
      </c>
      <c r="AP442" s="6" t="n"/>
      <c r="AQ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3">
        <f>IF(tblOrdenes[[#This Row],[tipo_ot]]="","",_xlfn.XLOOKUP(tblOrdenes[[#This Row],[tipo_ot]],tblTiposOT[codigo],tblTiposOT[clasificacion],"sin_clasificar"))</f>
        <v/>
      </c>
      <c r="U443" s="3">
        <f>IF(tblOrdenes[[#This Row],[centro_costo]]="","",_xlfn.XLOOKUP(tblOrdenes[[#This Row],[centro_costo]],tblCECO[codigo],tblCECO[linea],"(sin catálogo)"))</f>
        <v/>
      </c>
      <c r="V443" s="3">
        <f>IF(tblOrdenes[[#This Row],[centro_costo]]="","",_xlfn.XLOOKUP(tblOrdenes[[#This Row],[centro_costo]],tblCECO[codigo],tblCECO[area],"(sin catálogo)"))</f>
        <v/>
      </c>
      <c r="W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3">
        <f>IF(tblOrdenes[[#This Row],[centro_costo]]="","",_xlfn.XLOOKUP(tblOrdenes[[#This Row],[centro_costo]],tblCECO[codigo],tblCECO[coordinador],"(sin catálogo)"))</f>
        <v/>
      </c>
      <c r="Y443" s="3">
        <f>IF(tblOrdenes[[#This Row],[puesto_trabajo]]="","",_xlfn.XLOOKUP(tblOrdenes[[#This Row],[puesto_trabajo]],tblPuestos[codigo],tblPuestos[especialidad],"(sin catálogo)"))</f>
        <v/>
      </c>
      <c r="Z443" s="3">
        <f>IF(tblOrdenes[[#This Row],[cod_actividad]]="","",_xlfn.XLOOKUP(tblOrdenes[[#This Row],[cod_actividad]],tblActividades[codigo],tblActividades[descripcion],"(sin catálogo)"))</f>
        <v/>
      </c>
      <c r="AA443" s="12">
        <f>IF(tblOrdenes[[#This Row],[fecha_inicio]]="","",TODAY()-tblOrdenes[[#This Row],[fecha_inicio]])</f>
        <v/>
      </c>
      <c r="AB4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3">
        <f>IF(tblOrdenes[[#This Row],[backlog_habiles]]="","",IF(tblOrdenes[[#This Row],[backlog_habiles]]&lt;0,"FUTURO",IF(tblOrdenes[[#This Row],[backlog_habiles]]&gt;p_dias_backlog_max,"BACKLOG","MES CORRIENTE")))</f>
        <v/>
      </c>
      <c r="AD443" s="3">
        <f>IF(tblOrdenes[[#This Row],[backlog_habiles]]="",FALSE,AND(tblOrdenes[[#This Row],[backlog_habiles]]&gt;p_dias_backlog_min,tblOrdenes[[#This Row],[backlog_habiles]]&lt;=p_dias_backlog_max))</f>
        <v/>
      </c>
      <c r="AE443" s="6" t="n"/>
      <c r="AF4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0">
        <f>IF(tblOrdenes[[#This Row],[orden]]="","",_xlfn.XLOOKUP(tblOrdenes[[#This Row],[id_operacion]],tblEjecucion[id_operacion],tblEjecucion[precio],0))</f>
        <v/>
      </c>
      <c r="AJ443" s="10">
        <f>IF(tblOrdenes[[#This Row],[orden]]="","",MAX(0,_xlfn.XLOOKUP(tblOrdenes[[#This Row],[id_operacion]],tblEjecucion[id_operacion],tblEjecucion[costo_plan_total],0)-tblOrdenes[[#This Row],[costo_servicio]]))</f>
        <v/>
      </c>
      <c r="AK443" s="10">
        <f>IF(tblOrdenes[[#This Row],[orden]]="","",tblOrdenes[[#This Row],[costo_servicio]]+tblOrdenes[[#This Row],[costo_materiales]])</f>
        <v/>
      </c>
      <c r="AL443" s="6" t="n"/>
      <c r="AM443" s="6" t="n"/>
      <c r="AN443" s="6" t="n"/>
      <c r="AO443" s="3">
        <f>IF(tblOrdenes[[#This Row],[link_checklist]]="","",HYPERLINK(p_ruta_base_checklists&amp;tblOrdenes[[#This Row],[link_checklist]],"abrir"))</f>
        <v/>
      </c>
      <c r="AP443" s="6" t="n"/>
      <c r="AQ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3">
        <f>IF(tblOrdenes[[#This Row],[tipo_ot]]="","",_xlfn.XLOOKUP(tblOrdenes[[#This Row],[tipo_ot]],tblTiposOT[codigo],tblTiposOT[clasificacion],"sin_clasificar"))</f>
        <v/>
      </c>
      <c r="U444" s="3">
        <f>IF(tblOrdenes[[#This Row],[centro_costo]]="","",_xlfn.XLOOKUP(tblOrdenes[[#This Row],[centro_costo]],tblCECO[codigo],tblCECO[linea],"(sin catálogo)"))</f>
        <v/>
      </c>
      <c r="V444" s="3">
        <f>IF(tblOrdenes[[#This Row],[centro_costo]]="","",_xlfn.XLOOKUP(tblOrdenes[[#This Row],[centro_costo]],tblCECO[codigo],tblCECO[area],"(sin catálogo)"))</f>
        <v/>
      </c>
      <c r="W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3">
        <f>IF(tblOrdenes[[#This Row],[centro_costo]]="","",_xlfn.XLOOKUP(tblOrdenes[[#This Row],[centro_costo]],tblCECO[codigo],tblCECO[coordinador],"(sin catálogo)"))</f>
        <v/>
      </c>
      <c r="Y444" s="3">
        <f>IF(tblOrdenes[[#This Row],[puesto_trabajo]]="","",_xlfn.XLOOKUP(tblOrdenes[[#This Row],[puesto_trabajo]],tblPuestos[codigo],tblPuestos[especialidad],"(sin catálogo)"))</f>
        <v/>
      </c>
      <c r="Z444" s="3">
        <f>IF(tblOrdenes[[#This Row],[cod_actividad]]="","",_xlfn.XLOOKUP(tblOrdenes[[#This Row],[cod_actividad]],tblActividades[codigo],tblActividades[descripcion],"(sin catálogo)"))</f>
        <v/>
      </c>
      <c r="AA444" s="12">
        <f>IF(tblOrdenes[[#This Row],[fecha_inicio]]="","",TODAY()-tblOrdenes[[#This Row],[fecha_inicio]])</f>
        <v/>
      </c>
      <c r="AB4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3">
        <f>IF(tblOrdenes[[#This Row],[backlog_habiles]]="","",IF(tblOrdenes[[#This Row],[backlog_habiles]]&lt;0,"FUTURO",IF(tblOrdenes[[#This Row],[backlog_habiles]]&gt;p_dias_backlog_max,"BACKLOG","MES CORRIENTE")))</f>
        <v/>
      </c>
      <c r="AD444" s="3">
        <f>IF(tblOrdenes[[#This Row],[backlog_habiles]]="",FALSE,AND(tblOrdenes[[#This Row],[backlog_habiles]]&gt;p_dias_backlog_min,tblOrdenes[[#This Row],[backlog_habiles]]&lt;=p_dias_backlog_max))</f>
        <v/>
      </c>
      <c r="AE444" s="6" t="n"/>
      <c r="AF4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0">
        <f>IF(tblOrdenes[[#This Row],[orden]]="","",_xlfn.XLOOKUP(tblOrdenes[[#This Row],[id_operacion]],tblEjecucion[id_operacion],tblEjecucion[precio],0))</f>
        <v/>
      </c>
      <c r="AJ444" s="10">
        <f>IF(tblOrdenes[[#This Row],[orden]]="","",MAX(0,_xlfn.XLOOKUP(tblOrdenes[[#This Row],[id_operacion]],tblEjecucion[id_operacion],tblEjecucion[costo_plan_total],0)-tblOrdenes[[#This Row],[costo_servicio]]))</f>
        <v/>
      </c>
      <c r="AK444" s="10">
        <f>IF(tblOrdenes[[#This Row],[orden]]="","",tblOrdenes[[#This Row],[costo_servicio]]+tblOrdenes[[#This Row],[costo_materiales]])</f>
        <v/>
      </c>
      <c r="AL444" s="6" t="n"/>
      <c r="AM444" s="6" t="n"/>
      <c r="AN444" s="6" t="n"/>
      <c r="AO444" s="3">
        <f>IF(tblOrdenes[[#This Row],[link_checklist]]="","",HYPERLINK(p_ruta_base_checklists&amp;tblOrdenes[[#This Row],[link_checklist]],"abrir"))</f>
        <v/>
      </c>
      <c r="AP444" s="6" t="n"/>
      <c r="AQ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3">
        <f>IF(tblOrdenes[[#This Row],[tipo_ot]]="","",_xlfn.XLOOKUP(tblOrdenes[[#This Row],[tipo_ot]],tblTiposOT[codigo],tblTiposOT[clasificacion],"sin_clasificar"))</f>
        <v/>
      </c>
      <c r="U445" s="3">
        <f>IF(tblOrdenes[[#This Row],[centro_costo]]="","",_xlfn.XLOOKUP(tblOrdenes[[#This Row],[centro_costo]],tblCECO[codigo],tblCECO[linea],"(sin catálogo)"))</f>
        <v/>
      </c>
      <c r="V445" s="3">
        <f>IF(tblOrdenes[[#This Row],[centro_costo]]="","",_xlfn.XLOOKUP(tblOrdenes[[#This Row],[centro_costo]],tblCECO[codigo],tblCECO[area],"(sin catálogo)"))</f>
        <v/>
      </c>
      <c r="W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3">
        <f>IF(tblOrdenes[[#This Row],[centro_costo]]="","",_xlfn.XLOOKUP(tblOrdenes[[#This Row],[centro_costo]],tblCECO[codigo],tblCECO[coordinador],"(sin catálogo)"))</f>
        <v/>
      </c>
      <c r="Y445" s="3">
        <f>IF(tblOrdenes[[#This Row],[puesto_trabajo]]="","",_xlfn.XLOOKUP(tblOrdenes[[#This Row],[puesto_trabajo]],tblPuestos[codigo],tblPuestos[especialidad],"(sin catálogo)"))</f>
        <v/>
      </c>
      <c r="Z445" s="3">
        <f>IF(tblOrdenes[[#This Row],[cod_actividad]]="","",_xlfn.XLOOKUP(tblOrdenes[[#This Row],[cod_actividad]],tblActividades[codigo],tblActividades[descripcion],"(sin catálogo)"))</f>
        <v/>
      </c>
      <c r="AA445" s="12">
        <f>IF(tblOrdenes[[#This Row],[fecha_inicio]]="","",TODAY()-tblOrdenes[[#This Row],[fecha_inicio]])</f>
        <v/>
      </c>
      <c r="AB4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3">
        <f>IF(tblOrdenes[[#This Row],[backlog_habiles]]="","",IF(tblOrdenes[[#This Row],[backlog_habiles]]&lt;0,"FUTURO",IF(tblOrdenes[[#This Row],[backlog_habiles]]&gt;p_dias_backlog_max,"BACKLOG","MES CORRIENTE")))</f>
        <v/>
      </c>
      <c r="AD445" s="3">
        <f>IF(tblOrdenes[[#This Row],[backlog_habiles]]="",FALSE,AND(tblOrdenes[[#This Row],[backlog_habiles]]&gt;p_dias_backlog_min,tblOrdenes[[#This Row],[backlog_habiles]]&lt;=p_dias_backlog_max))</f>
        <v/>
      </c>
      <c r="AE445" s="6" t="n"/>
      <c r="AF4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0">
        <f>IF(tblOrdenes[[#This Row],[orden]]="","",_xlfn.XLOOKUP(tblOrdenes[[#This Row],[id_operacion]],tblEjecucion[id_operacion],tblEjecucion[precio],0))</f>
        <v/>
      </c>
      <c r="AJ445" s="10">
        <f>IF(tblOrdenes[[#This Row],[orden]]="","",MAX(0,_xlfn.XLOOKUP(tblOrdenes[[#This Row],[id_operacion]],tblEjecucion[id_operacion],tblEjecucion[costo_plan_total],0)-tblOrdenes[[#This Row],[costo_servicio]]))</f>
        <v/>
      </c>
      <c r="AK445" s="10">
        <f>IF(tblOrdenes[[#This Row],[orden]]="","",tblOrdenes[[#This Row],[costo_servicio]]+tblOrdenes[[#This Row],[costo_materiales]])</f>
        <v/>
      </c>
      <c r="AL445" s="6" t="n"/>
      <c r="AM445" s="6" t="n"/>
      <c r="AN445" s="6" t="n"/>
      <c r="AO445" s="3">
        <f>IF(tblOrdenes[[#This Row],[link_checklist]]="","",HYPERLINK(p_ruta_base_checklists&amp;tblOrdenes[[#This Row],[link_checklist]],"abrir"))</f>
        <v/>
      </c>
      <c r="AP445" s="6" t="n"/>
      <c r="AQ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3">
        <f>IF(tblOrdenes[[#This Row],[tipo_ot]]="","",_xlfn.XLOOKUP(tblOrdenes[[#This Row],[tipo_ot]],tblTiposOT[codigo],tblTiposOT[clasificacion],"sin_clasificar"))</f>
        <v/>
      </c>
      <c r="U446" s="3">
        <f>IF(tblOrdenes[[#This Row],[centro_costo]]="","",_xlfn.XLOOKUP(tblOrdenes[[#This Row],[centro_costo]],tblCECO[codigo],tblCECO[linea],"(sin catálogo)"))</f>
        <v/>
      </c>
      <c r="V446" s="3">
        <f>IF(tblOrdenes[[#This Row],[centro_costo]]="","",_xlfn.XLOOKUP(tblOrdenes[[#This Row],[centro_costo]],tblCECO[codigo],tblCECO[area],"(sin catálogo)"))</f>
        <v/>
      </c>
      <c r="W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3">
        <f>IF(tblOrdenes[[#This Row],[centro_costo]]="","",_xlfn.XLOOKUP(tblOrdenes[[#This Row],[centro_costo]],tblCECO[codigo],tblCECO[coordinador],"(sin catálogo)"))</f>
        <v/>
      </c>
      <c r="Y446" s="3">
        <f>IF(tblOrdenes[[#This Row],[puesto_trabajo]]="","",_xlfn.XLOOKUP(tblOrdenes[[#This Row],[puesto_trabajo]],tblPuestos[codigo],tblPuestos[especialidad],"(sin catálogo)"))</f>
        <v/>
      </c>
      <c r="Z446" s="3">
        <f>IF(tblOrdenes[[#This Row],[cod_actividad]]="","",_xlfn.XLOOKUP(tblOrdenes[[#This Row],[cod_actividad]],tblActividades[codigo],tblActividades[descripcion],"(sin catálogo)"))</f>
        <v/>
      </c>
      <c r="AA446" s="12">
        <f>IF(tblOrdenes[[#This Row],[fecha_inicio]]="","",TODAY()-tblOrdenes[[#This Row],[fecha_inicio]])</f>
        <v/>
      </c>
      <c r="AB4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3">
        <f>IF(tblOrdenes[[#This Row],[backlog_habiles]]="","",IF(tblOrdenes[[#This Row],[backlog_habiles]]&lt;0,"FUTURO",IF(tblOrdenes[[#This Row],[backlog_habiles]]&gt;p_dias_backlog_max,"BACKLOG","MES CORRIENTE")))</f>
        <v/>
      </c>
      <c r="AD446" s="3">
        <f>IF(tblOrdenes[[#This Row],[backlog_habiles]]="",FALSE,AND(tblOrdenes[[#This Row],[backlog_habiles]]&gt;p_dias_backlog_min,tblOrdenes[[#This Row],[backlog_habiles]]&lt;=p_dias_backlog_max))</f>
        <v/>
      </c>
      <c r="AE446" s="6" t="n"/>
      <c r="AF4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0">
        <f>IF(tblOrdenes[[#This Row],[orden]]="","",_xlfn.XLOOKUP(tblOrdenes[[#This Row],[id_operacion]],tblEjecucion[id_operacion],tblEjecucion[precio],0))</f>
        <v/>
      </c>
      <c r="AJ446" s="10">
        <f>IF(tblOrdenes[[#This Row],[orden]]="","",MAX(0,_xlfn.XLOOKUP(tblOrdenes[[#This Row],[id_operacion]],tblEjecucion[id_operacion],tblEjecucion[costo_plan_total],0)-tblOrdenes[[#This Row],[costo_servicio]]))</f>
        <v/>
      </c>
      <c r="AK446" s="10">
        <f>IF(tblOrdenes[[#This Row],[orden]]="","",tblOrdenes[[#This Row],[costo_servicio]]+tblOrdenes[[#This Row],[costo_materiales]])</f>
        <v/>
      </c>
      <c r="AL446" s="6" t="n"/>
      <c r="AM446" s="6" t="n"/>
      <c r="AN446" s="6" t="n"/>
      <c r="AO446" s="3">
        <f>IF(tblOrdenes[[#This Row],[link_checklist]]="","",HYPERLINK(p_ruta_base_checklists&amp;tblOrdenes[[#This Row],[link_checklist]],"abrir"))</f>
        <v/>
      </c>
      <c r="AP446" s="6" t="n"/>
      <c r="AQ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3">
        <f>IF(tblOrdenes[[#This Row],[tipo_ot]]="","",_xlfn.XLOOKUP(tblOrdenes[[#This Row],[tipo_ot]],tblTiposOT[codigo],tblTiposOT[clasificacion],"sin_clasificar"))</f>
        <v/>
      </c>
      <c r="U447" s="3">
        <f>IF(tblOrdenes[[#This Row],[centro_costo]]="","",_xlfn.XLOOKUP(tblOrdenes[[#This Row],[centro_costo]],tblCECO[codigo],tblCECO[linea],"(sin catálogo)"))</f>
        <v/>
      </c>
      <c r="V447" s="3">
        <f>IF(tblOrdenes[[#This Row],[centro_costo]]="","",_xlfn.XLOOKUP(tblOrdenes[[#This Row],[centro_costo]],tblCECO[codigo],tblCECO[area],"(sin catálogo)"))</f>
        <v/>
      </c>
      <c r="W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3">
        <f>IF(tblOrdenes[[#This Row],[centro_costo]]="","",_xlfn.XLOOKUP(tblOrdenes[[#This Row],[centro_costo]],tblCECO[codigo],tblCECO[coordinador],"(sin catálogo)"))</f>
        <v/>
      </c>
      <c r="Y447" s="3">
        <f>IF(tblOrdenes[[#This Row],[puesto_trabajo]]="","",_xlfn.XLOOKUP(tblOrdenes[[#This Row],[puesto_trabajo]],tblPuestos[codigo],tblPuestos[especialidad],"(sin catálogo)"))</f>
        <v/>
      </c>
      <c r="Z447" s="3">
        <f>IF(tblOrdenes[[#This Row],[cod_actividad]]="","",_xlfn.XLOOKUP(tblOrdenes[[#This Row],[cod_actividad]],tblActividades[codigo],tblActividades[descripcion],"(sin catálogo)"))</f>
        <v/>
      </c>
      <c r="AA447" s="12">
        <f>IF(tblOrdenes[[#This Row],[fecha_inicio]]="","",TODAY()-tblOrdenes[[#This Row],[fecha_inicio]])</f>
        <v/>
      </c>
      <c r="AB4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3">
        <f>IF(tblOrdenes[[#This Row],[backlog_habiles]]="","",IF(tblOrdenes[[#This Row],[backlog_habiles]]&lt;0,"FUTURO",IF(tblOrdenes[[#This Row],[backlog_habiles]]&gt;p_dias_backlog_max,"BACKLOG","MES CORRIENTE")))</f>
        <v/>
      </c>
      <c r="AD447" s="3">
        <f>IF(tblOrdenes[[#This Row],[backlog_habiles]]="",FALSE,AND(tblOrdenes[[#This Row],[backlog_habiles]]&gt;p_dias_backlog_min,tblOrdenes[[#This Row],[backlog_habiles]]&lt;=p_dias_backlog_max))</f>
        <v/>
      </c>
      <c r="AE447" s="6" t="n"/>
      <c r="AF4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0">
        <f>IF(tblOrdenes[[#This Row],[orden]]="","",_xlfn.XLOOKUP(tblOrdenes[[#This Row],[id_operacion]],tblEjecucion[id_operacion],tblEjecucion[precio],0))</f>
        <v/>
      </c>
      <c r="AJ447" s="10">
        <f>IF(tblOrdenes[[#This Row],[orden]]="","",MAX(0,_xlfn.XLOOKUP(tblOrdenes[[#This Row],[id_operacion]],tblEjecucion[id_operacion],tblEjecucion[costo_plan_total],0)-tblOrdenes[[#This Row],[costo_servicio]]))</f>
        <v/>
      </c>
      <c r="AK447" s="10">
        <f>IF(tblOrdenes[[#This Row],[orden]]="","",tblOrdenes[[#This Row],[costo_servicio]]+tblOrdenes[[#This Row],[costo_materiales]])</f>
        <v/>
      </c>
      <c r="AL447" s="6" t="n"/>
      <c r="AM447" s="6" t="n"/>
      <c r="AN447" s="6" t="n"/>
      <c r="AO447" s="3">
        <f>IF(tblOrdenes[[#This Row],[link_checklist]]="","",HYPERLINK(p_ruta_base_checklists&amp;tblOrdenes[[#This Row],[link_checklist]],"abrir"))</f>
        <v/>
      </c>
      <c r="AP447" s="6" t="n"/>
      <c r="AQ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3">
        <f>IF(tblOrdenes[[#This Row],[tipo_ot]]="","",_xlfn.XLOOKUP(tblOrdenes[[#This Row],[tipo_ot]],tblTiposOT[codigo],tblTiposOT[clasificacion],"sin_clasificar"))</f>
        <v/>
      </c>
      <c r="U448" s="3">
        <f>IF(tblOrdenes[[#This Row],[centro_costo]]="","",_xlfn.XLOOKUP(tblOrdenes[[#This Row],[centro_costo]],tblCECO[codigo],tblCECO[linea],"(sin catálogo)"))</f>
        <v/>
      </c>
      <c r="V448" s="3">
        <f>IF(tblOrdenes[[#This Row],[centro_costo]]="","",_xlfn.XLOOKUP(tblOrdenes[[#This Row],[centro_costo]],tblCECO[codigo],tblCECO[area],"(sin catálogo)"))</f>
        <v/>
      </c>
      <c r="W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3">
        <f>IF(tblOrdenes[[#This Row],[centro_costo]]="","",_xlfn.XLOOKUP(tblOrdenes[[#This Row],[centro_costo]],tblCECO[codigo],tblCECO[coordinador],"(sin catálogo)"))</f>
        <v/>
      </c>
      <c r="Y448" s="3">
        <f>IF(tblOrdenes[[#This Row],[puesto_trabajo]]="","",_xlfn.XLOOKUP(tblOrdenes[[#This Row],[puesto_trabajo]],tblPuestos[codigo],tblPuestos[especialidad],"(sin catálogo)"))</f>
        <v/>
      </c>
      <c r="Z448" s="3">
        <f>IF(tblOrdenes[[#This Row],[cod_actividad]]="","",_xlfn.XLOOKUP(tblOrdenes[[#This Row],[cod_actividad]],tblActividades[codigo],tblActividades[descripcion],"(sin catálogo)"))</f>
        <v/>
      </c>
      <c r="AA448" s="12">
        <f>IF(tblOrdenes[[#This Row],[fecha_inicio]]="","",TODAY()-tblOrdenes[[#This Row],[fecha_inicio]])</f>
        <v/>
      </c>
      <c r="AB4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3">
        <f>IF(tblOrdenes[[#This Row],[backlog_habiles]]="","",IF(tblOrdenes[[#This Row],[backlog_habiles]]&lt;0,"FUTURO",IF(tblOrdenes[[#This Row],[backlog_habiles]]&gt;p_dias_backlog_max,"BACKLOG","MES CORRIENTE")))</f>
        <v/>
      </c>
      <c r="AD448" s="3">
        <f>IF(tblOrdenes[[#This Row],[backlog_habiles]]="",FALSE,AND(tblOrdenes[[#This Row],[backlog_habiles]]&gt;p_dias_backlog_min,tblOrdenes[[#This Row],[backlog_habiles]]&lt;=p_dias_backlog_max))</f>
        <v/>
      </c>
      <c r="AE448" s="6" t="n"/>
      <c r="AF4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0">
        <f>IF(tblOrdenes[[#This Row],[orden]]="","",_xlfn.XLOOKUP(tblOrdenes[[#This Row],[id_operacion]],tblEjecucion[id_operacion],tblEjecucion[precio],0))</f>
        <v/>
      </c>
      <c r="AJ448" s="10">
        <f>IF(tblOrdenes[[#This Row],[orden]]="","",MAX(0,_xlfn.XLOOKUP(tblOrdenes[[#This Row],[id_operacion]],tblEjecucion[id_operacion],tblEjecucion[costo_plan_total],0)-tblOrdenes[[#This Row],[costo_servicio]]))</f>
        <v/>
      </c>
      <c r="AK448" s="10">
        <f>IF(tblOrdenes[[#This Row],[orden]]="","",tblOrdenes[[#This Row],[costo_servicio]]+tblOrdenes[[#This Row],[costo_materiales]])</f>
        <v/>
      </c>
      <c r="AL448" s="6" t="n"/>
      <c r="AM448" s="6" t="n"/>
      <c r="AN448" s="6" t="n"/>
      <c r="AO448" s="3">
        <f>IF(tblOrdenes[[#This Row],[link_checklist]]="","",HYPERLINK(p_ruta_base_checklists&amp;tblOrdenes[[#This Row],[link_checklist]],"abrir"))</f>
        <v/>
      </c>
      <c r="AP448" s="6" t="n"/>
      <c r="AQ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3">
        <f>IF(tblOrdenes[[#This Row],[tipo_ot]]="","",_xlfn.XLOOKUP(tblOrdenes[[#This Row],[tipo_ot]],tblTiposOT[codigo],tblTiposOT[clasificacion],"sin_clasificar"))</f>
        <v/>
      </c>
      <c r="U449" s="3">
        <f>IF(tblOrdenes[[#This Row],[centro_costo]]="","",_xlfn.XLOOKUP(tblOrdenes[[#This Row],[centro_costo]],tblCECO[codigo],tblCECO[linea],"(sin catálogo)"))</f>
        <v/>
      </c>
      <c r="V449" s="3">
        <f>IF(tblOrdenes[[#This Row],[centro_costo]]="","",_xlfn.XLOOKUP(tblOrdenes[[#This Row],[centro_costo]],tblCECO[codigo],tblCECO[area],"(sin catálogo)"))</f>
        <v/>
      </c>
      <c r="W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3">
        <f>IF(tblOrdenes[[#This Row],[centro_costo]]="","",_xlfn.XLOOKUP(tblOrdenes[[#This Row],[centro_costo]],tblCECO[codigo],tblCECO[coordinador],"(sin catálogo)"))</f>
        <v/>
      </c>
      <c r="Y449" s="3">
        <f>IF(tblOrdenes[[#This Row],[puesto_trabajo]]="","",_xlfn.XLOOKUP(tblOrdenes[[#This Row],[puesto_trabajo]],tblPuestos[codigo],tblPuestos[especialidad],"(sin catálogo)"))</f>
        <v/>
      </c>
      <c r="Z449" s="3">
        <f>IF(tblOrdenes[[#This Row],[cod_actividad]]="","",_xlfn.XLOOKUP(tblOrdenes[[#This Row],[cod_actividad]],tblActividades[codigo],tblActividades[descripcion],"(sin catálogo)"))</f>
        <v/>
      </c>
      <c r="AA449" s="12">
        <f>IF(tblOrdenes[[#This Row],[fecha_inicio]]="","",TODAY()-tblOrdenes[[#This Row],[fecha_inicio]])</f>
        <v/>
      </c>
      <c r="AB4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3">
        <f>IF(tblOrdenes[[#This Row],[backlog_habiles]]="","",IF(tblOrdenes[[#This Row],[backlog_habiles]]&lt;0,"FUTURO",IF(tblOrdenes[[#This Row],[backlog_habiles]]&gt;p_dias_backlog_max,"BACKLOG","MES CORRIENTE")))</f>
        <v/>
      </c>
      <c r="AD449" s="3">
        <f>IF(tblOrdenes[[#This Row],[backlog_habiles]]="",FALSE,AND(tblOrdenes[[#This Row],[backlog_habiles]]&gt;p_dias_backlog_min,tblOrdenes[[#This Row],[backlog_habiles]]&lt;=p_dias_backlog_max))</f>
        <v/>
      </c>
      <c r="AE449" s="6" t="n"/>
      <c r="AF4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0">
        <f>IF(tblOrdenes[[#This Row],[orden]]="","",_xlfn.XLOOKUP(tblOrdenes[[#This Row],[id_operacion]],tblEjecucion[id_operacion],tblEjecucion[precio],0))</f>
        <v/>
      </c>
      <c r="AJ449" s="10">
        <f>IF(tblOrdenes[[#This Row],[orden]]="","",MAX(0,_xlfn.XLOOKUP(tblOrdenes[[#This Row],[id_operacion]],tblEjecucion[id_operacion],tblEjecucion[costo_plan_total],0)-tblOrdenes[[#This Row],[costo_servicio]]))</f>
        <v/>
      </c>
      <c r="AK449" s="10">
        <f>IF(tblOrdenes[[#This Row],[orden]]="","",tblOrdenes[[#This Row],[costo_servicio]]+tblOrdenes[[#This Row],[costo_materiales]])</f>
        <v/>
      </c>
      <c r="AL449" s="6" t="n"/>
      <c r="AM449" s="6" t="n"/>
      <c r="AN449" s="6" t="n"/>
      <c r="AO449" s="3">
        <f>IF(tblOrdenes[[#This Row],[link_checklist]]="","",HYPERLINK(p_ruta_base_checklists&amp;tblOrdenes[[#This Row],[link_checklist]],"abrir"))</f>
        <v/>
      </c>
      <c r="AP449" s="6" t="n"/>
      <c r="AQ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3">
        <f>IF(tblOrdenes[[#This Row],[tipo_ot]]="","",_xlfn.XLOOKUP(tblOrdenes[[#This Row],[tipo_ot]],tblTiposOT[codigo],tblTiposOT[clasificacion],"sin_clasificar"))</f>
        <v/>
      </c>
      <c r="U450" s="3">
        <f>IF(tblOrdenes[[#This Row],[centro_costo]]="","",_xlfn.XLOOKUP(tblOrdenes[[#This Row],[centro_costo]],tblCECO[codigo],tblCECO[linea],"(sin catálogo)"))</f>
        <v/>
      </c>
      <c r="V450" s="3">
        <f>IF(tblOrdenes[[#This Row],[centro_costo]]="","",_xlfn.XLOOKUP(tblOrdenes[[#This Row],[centro_costo]],tblCECO[codigo],tblCECO[area],"(sin catálogo)"))</f>
        <v/>
      </c>
      <c r="W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3">
        <f>IF(tblOrdenes[[#This Row],[centro_costo]]="","",_xlfn.XLOOKUP(tblOrdenes[[#This Row],[centro_costo]],tblCECO[codigo],tblCECO[coordinador],"(sin catálogo)"))</f>
        <v/>
      </c>
      <c r="Y450" s="3">
        <f>IF(tblOrdenes[[#This Row],[puesto_trabajo]]="","",_xlfn.XLOOKUP(tblOrdenes[[#This Row],[puesto_trabajo]],tblPuestos[codigo],tblPuestos[especialidad],"(sin catálogo)"))</f>
        <v/>
      </c>
      <c r="Z450" s="3">
        <f>IF(tblOrdenes[[#This Row],[cod_actividad]]="","",_xlfn.XLOOKUP(tblOrdenes[[#This Row],[cod_actividad]],tblActividades[codigo],tblActividades[descripcion],"(sin catálogo)"))</f>
        <v/>
      </c>
      <c r="AA450" s="12">
        <f>IF(tblOrdenes[[#This Row],[fecha_inicio]]="","",TODAY()-tblOrdenes[[#This Row],[fecha_inicio]])</f>
        <v/>
      </c>
      <c r="AB4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3">
        <f>IF(tblOrdenes[[#This Row],[backlog_habiles]]="","",IF(tblOrdenes[[#This Row],[backlog_habiles]]&lt;0,"FUTURO",IF(tblOrdenes[[#This Row],[backlog_habiles]]&gt;p_dias_backlog_max,"BACKLOG","MES CORRIENTE")))</f>
        <v/>
      </c>
      <c r="AD450" s="3">
        <f>IF(tblOrdenes[[#This Row],[backlog_habiles]]="",FALSE,AND(tblOrdenes[[#This Row],[backlog_habiles]]&gt;p_dias_backlog_min,tblOrdenes[[#This Row],[backlog_habiles]]&lt;=p_dias_backlog_max))</f>
        <v/>
      </c>
      <c r="AE450" s="6" t="n"/>
      <c r="AF4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0">
        <f>IF(tblOrdenes[[#This Row],[orden]]="","",_xlfn.XLOOKUP(tblOrdenes[[#This Row],[id_operacion]],tblEjecucion[id_operacion],tblEjecucion[precio],0))</f>
        <v/>
      </c>
      <c r="AJ450" s="10">
        <f>IF(tblOrdenes[[#This Row],[orden]]="","",MAX(0,_xlfn.XLOOKUP(tblOrdenes[[#This Row],[id_operacion]],tblEjecucion[id_operacion],tblEjecucion[costo_plan_total],0)-tblOrdenes[[#This Row],[costo_servicio]]))</f>
        <v/>
      </c>
      <c r="AK450" s="10">
        <f>IF(tblOrdenes[[#This Row],[orden]]="","",tblOrdenes[[#This Row],[costo_servicio]]+tblOrdenes[[#This Row],[costo_materiales]])</f>
        <v/>
      </c>
      <c r="AL450" s="6" t="n"/>
      <c r="AM450" s="6" t="n"/>
      <c r="AN450" s="6" t="n"/>
      <c r="AO450" s="3">
        <f>IF(tblOrdenes[[#This Row],[link_checklist]]="","",HYPERLINK(p_ruta_base_checklists&amp;tblOrdenes[[#This Row],[link_checklist]],"abrir"))</f>
        <v/>
      </c>
      <c r="AP450" s="6" t="n"/>
      <c r="AQ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3">
        <f>IF(tblOrdenes[[#This Row],[tipo_ot]]="","",_xlfn.XLOOKUP(tblOrdenes[[#This Row],[tipo_ot]],tblTiposOT[codigo],tblTiposOT[clasificacion],"sin_clasificar"))</f>
        <v/>
      </c>
      <c r="U451" s="3">
        <f>IF(tblOrdenes[[#This Row],[centro_costo]]="","",_xlfn.XLOOKUP(tblOrdenes[[#This Row],[centro_costo]],tblCECO[codigo],tblCECO[linea],"(sin catálogo)"))</f>
        <v/>
      </c>
      <c r="V451" s="3">
        <f>IF(tblOrdenes[[#This Row],[centro_costo]]="","",_xlfn.XLOOKUP(tblOrdenes[[#This Row],[centro_costo]],tblCECO[codigo],tblCECO[area],"(sin catálogo)"))</f>
        <v/>
      </c>
      <c r="W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3">
        <f>IF(tblOrdenes[[#This Row],[centro_costo]]="","",_xlfn.XLOOKUP(tblOrdenes[[#This Row],[centro_costo]],tblCECO[codigo],tblCECO[coordinador],"(sin catálogo)"))</f>
        <v/>
      </c>
      <c r="Y451" s="3">
        <f>IF(tblOrdenes[[#This Row],[puesto_trabajo]]="","",_xlfn.XLOOKUP(tblOrdenes[[#This Row],[puesto_trabajo]],tblPuestos[codigo],tblPuestos[especialidad],"(sin catálogo)"))</f>
        <v/>
      </c>
      <c r="Z451" s="3">
        <f>IF(tblOrdenes[[#This Row],[cod_actividad]]="","",_xlfn.XLOOKUP(tblOrdenes[[#This Row],[cod_actividad]],tblActividades[codigo],tblActividades[descripcion],"(sin catálogo)"))</f>
        <v/>
      </c>
      <c r="AA451" s="12">
        <f>IF(tblOrdenes[[#This Row],[fecha_inicio]]="","",TODAY()-tblOrdenes[[#This Row],[fecha_inicio]])</f>
        <v/>
      </c>
      <c r="AB4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3">
        <f>IF(tblOrdenes[[#This Row],[backlog_habiles]]="","",IF(tblOrdenes[[#This Row],[backlog_habiles]]&lt;0,"FUTURO",IF(tblOrdenes[[#This Row],[backlog_habiles]]&gt;p_dias_backlog_max,"BACKLOG","MES CORRIENTE")))</f>
        <v/>
      </c>
      <c r="AD451" s="3">
        <f>IF(tblOrdenes[[#This Row],[backlog_habiles]]="",FALSE,AND(tblOrdenes[[#This Row],[backlog_habiles]]&gt;p_dias_backlog_min,tblOrdenes[[#This Row],[backlog_habiles]]&lt;=p_dias_backlog_max))</f>
        <v/>
      </c>
      <c r="AE451" s="6" t="n"/>
      <c r="AF4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0">
        <f>IF(tblOrdenes[[#This Row],[orden]]="","",_xlfn.XLOOKUP(tblOrdenes[[#This Row],[id_operacion]],tblEjecucion[id_operacion],tblEjecucion[precio],0))</f>
        <v/>
      </c>
      <c r="AJ451" s="10">
        <f>IF(tblOrdenes[[#This Row],[orden]]="","",MAX(0,_xlfn.XLOOKUP(tblOrdenes[[#This Row],[id_operacion]],tblEjecucion[id_operacion],tblEjecucion[costo_plan_total],0)-tblOrdenes[[#This Row],[costo_servicio]]))</f>
        <v/>
      </c>
      <c r="AK451" s="10">
        <f>IF(tblOrdenes[[#This Row],[orden]]="","",tblOrdenes[[#This Row],[costo_servicio]]+tblOrdenes[[#This Row],[costo_materiales]])</f>
        <v/>
      </c>
      <c r="AL451" s="6" t="n"/>
      <c r="AM451" s="6" t="n"/>
      <c r="AN451" s="6" t="n"/>
      <c r="AO451" s="3">
        <f>IF(tblOrdenes[[#This Row],[link_checklist]]="","",HYPERLINK(p_ruta_base_checklists&amp;tblOrdenes[[#This Row],[link_checklist]],"abrir"))</f>
        <v/>
      </c>
      <c r="AP451" s="6" t="n"/>
      <c r="AQ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3">
        <f>IF(tblOrdenes[[#This Row],[tipo_ot]]="","",_xlfn.XLOOKUP(tblOrdenes[[#This Row],[tipo_ot]],tblTiposOT[codigo],tblTiposOT[clasificacion],"sin_clasificar"))</f>
        <v/>
      </c>
      <c r="U452" s="3">
        <f>IF(tblOrdenes[[#This Row],[centro_costo]]="","",_xlfn.XLOOKUP(tblOrdenes[[#This Row],[centro_costo]],tblCECO[codigo],tblCECO[linea],"(sin catálogo)"))</f>
        <v/>
      </c>
      <c r="V452" s="3">
        <f>IF(tblOrdenes[[#This Row],[centro_costo]]="","",_xlfn.XLOOKUP(tblOrdenes[[#This Row],[centro_costo]],tblCECO[codigo],tblCECO[area],"(sin catálogo)"))</f>
        <v/>
      </c>
      <c r="W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3">
        <f>IF(tblOrdenes[[#This Row],[centro_costo]]="","",_xlfn.XLOOKUP(tblOrdenes[[#This Row],[centro_costo]],tblCECO[codigo],tblCECO[coordinador],"(sin catálogo)"))</f>
        <v/>
      </c>
      <c r="Y452" s="3">
        <f>IF(tblOrdenes[[#This Row],[puesto_trabajo]]="","",_xlfn.XLOOKUP(tblOrdenes[[#This Row],[puesto_trabajo]],tblPuestos[codigo],tblPuestos[especialidad],"(sin catálogo)"))</f>
        <v/>
      </c>
      <c r="Z452" s="3">
        <f>IF(tblOrdenes[[#This Row],[cod_actividad]]="","",_xlfn.XLOOKUP(tblOrdenes[[#This Row],[cod_actividad]],tblActividades[codigo],tblActividades[descripcion],"(sin catálogo)"))</f>
        <v/>
      </c>
      <c r="AA452" s="12">
        <f>IF(tblOrdenes[[#This Row],[fecha_inicio]]="","",TODAY()-tblOrdenes[[#This Row],[fecha_inicio]])</f>
        <v/>
      </c>
      <c r="AB4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3">
        <f>IF(tblOrdenes[[#This Row],[backlog_habiles]]="","",IF(tblOrdenes[[#This Row],[backlog_habiles]]&lt;0,"FUTURO",IF(tblOrdenes[[#This Row],[backlog_habiles]]&gt;p_dias_backlog_max,"BACKLOG","MES CORRIENTE")))</f>
        <v/>
      </c>
      <c r="AD452" s="3">
        <f>IF(tblOrdenes[[#This Row],[backlog_habiles]]="",FALSE,AND(tblOrdenes[[#This Row],[backlog_habiles]]&gt;p_dias_backlog_min,tblOrdenes[[#This Row],[backlog_habiles]]&lt;=p_dias_backlog_max))</f>
        <v/>
      </c>
      <c r="AE452" s="6" t="n"/>
      <c r="AF4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0">
        <f>IF(tblOrdenes[[#This Row],[orden]]="","",_xlfn.XLOOKUP(tblOrdenes[[#This Row],[id_operacion]],tblEjecucion[id_operacion],tblEjecucion[precio],0))</f>
        <v/>
      </c>
      <c r="AJ452" s="10">
        <f>IF(tblOrdenes[[#This Row],[orden]]="","",MAX(0,_xlfn.XLOOKUP(tblOrdenes[[#This Row],[id_operacion]],tblEjecucion[id_operacion],tblEjecucion[costo_plan_total],0)-tblOrdenes[[#This Row],[costo_servicio]]))</f>
        <v/>
      </c>
      <c r="AK452" s="10">
        <f>IF(tblOrdenes[[#This Row],[orden]]="","",tblOrdenes[[#This Row],[costo_servicio]]+tblOrdenes[[#This Row],[costo_materiales]])</f>
        <v/>
      </c>
      <c r="AL452" s="6" t="n"/>
      <c r="AM452" s="6" t="n"/>
      <c r="AN452" s="6" t="n"/>
      <c r="AO452" s="3">
        <f>IF(tblOrdenes[[#This Row],[link_checklist]]="","",HYPERLINK(p_ruta_base_checklists&amp;tblOrdenes[[#This Row],[link_checklist]],"abrir"))</f>
        <v/>
      </c>
      <c r="AP452" s="6" t="n"/>
      <c r="AQ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3">
        <f>IF(tblOrdenes[[#This Row],[tipo_ot]]="","",_xlfn.XLOOKUP(tblOrdenes[[#This Row],[tipo_ot]],tblTiposOT[codigo],tblTiposOT[clasificacion],"sin_clasificar"))</f>
        <v/>
      </c>
      <c r="U453" s="3">
        <f>IF(tblOrdenes[[#This Row],[centro_costo]]="","",_xlfn.XLOOKUP(tblOrdenes[[#This Row],[centro_costo]],tblCECO[codigo],tblCECO[linea],"(sin catálogo)"))</f>
        <v/>
      </c>
      <c r="V453" s="3">
        <f>IF(tblOrdenes[[#This Row],[centro_costo]]="","",_xlfn.XLOOKUP(tblOrdenes[[#This Row],[centro_costo]],tblCECO[codigo],tblCECO[area],"(sin catálogo)"))</f>
        <v/>
      </c>
      <c r="W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3">
        <f>IF(tblOrdenes[[#This Row],[centro_costo]]="","",_xlfn.XLOOKUP(tblOrdenes[[#This Row],[centro_costo]],tblCECO[codigo],tblCECO[coordinador],"(sin catálogo)"))</f>
        <v/>
      </c>
      <c r="Y453" s="3">
        <f>IF(tblOrdenes[[#This Row],[puesto_trabajo]]="","",_xlfn.XLOOKUP(tblOrdenes[[#This Row],[puesto_trabajo]],tblPuestos[codigo],tblPuestos[especialidad],"(sin catálogo)"))</f>
        <v/>
      </c>
      <c r="Z453" s="3">
        <f>IF(tblOrdenes[[#This Row],[cod_actividad]]="","",_xlfn.XLOOKUP(tblOrdenes[[#This Row],[cod_actividad]],tblActividades[codigo],tblActividades[descripcion],"(sin catálogo)"))</f>
        <v/>
      </c>
      <c r="AA453" s="12">
        <f>IF(tblOrdenes[[#This Row],[fecha_inicio]]="","",TODAY()-tblOrdenes[[#This Row],[fecha_inicio]])</f>
        <v/>
      </c>
      <c r="AB4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3">
        <f>IF(tblOrdenes[[#This Row],[backlog_habiles]]="","",IF(tblOrdenes[[#This Row],[backlog_habiles]]&lt;0,"FUTURO",IF(tblOrdenes[[#This Row],[backlog_habiles]]&gt;p_dias_backlog_max,"BACKLOG","MES CORRIENTE")))</f>
        <v/>
      </c>
      <c r="AD453" s="3">
        <f>IF(tblOrdenes[[#This Row],[backlog_habiles]]="",FALSE,AND(tblOrdenes[[#This Row],[backlog_habiles]]&gt;p_dias_backlog_min,tblOrdenes[[#This Row],[backlog_habiles]]&lt;=p_dias_backlog_max))</f>
        <v/>
      </c>
      <c r="AE453" s="6" t="n"/>
      <c r="AF4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0">
        <f>IF(tblOrdenes[[#This Row],[orden]]="","",_xlfn.XLOOKUP(tblOrdenes[[#This Row],[id_operacion]],tblEjecucion[id_operacion],tblEjecucion[precio],0))</f>
        <v/>
      </c>
      <c r="AJ453" s="10">
        <f>IF(tblOrdenes[[#This Row],[orden]]="","",MAX(0,_xlfn.XLOOKUP(tblOrdenes[[#This Row],[id_operacion]],tblEjecucion[id_operacion],tblEjecucion[costo_plan_total],0)-tblOrdenes[[#This Row],[costo_servicio]]))</f>
        <v/>
      </c>
      <c r="AK453" s="10">
        <f>IF(tblOrdenes[[#This Row],[orden]]="","",tblOrdenes[[#This Row],[costo_servicio]]+tblOrdenes[[#This Row],[costo_materiales]])</f>
        <v/>
      </c>
      <c r="AL453" s="6" t="n"/>
      <c r="AM453" s="6" t="n"/>
      <c r="AN453" s="6" t="n"/>
      <c r="AO453" s="3">
        <f>IF(tblOrdenes[[#This Row],[link_checklist]]="","",HYPERLINK(p_ruta_base_checklists&amp;tblOrdenes[[#This Row],[link_checklist]],"abrir"))</f>
        <v/>
      </c>
      <c r="AP453" s="6" t="n"/>
      <c r="AQ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3">
        <f>IF(tblOrdenes[[#This Row],[tipo_ot]]="","",_xlfn.XLOOKUP(tblOrdenes[[#This Row],[tipo_ot]],tblTiposOT[codigo],tblTiposOT[clasificacion],"sin_clasificar"))</f>
        <v/>
      </c>
      <c r="U454" s="3">
        <f>IF(tblOrdenes[[#This Row],[centro_costo]]="","",_xlfn.XLOOKUP(tblOrdenes[[#This Row],[centro_costo]],tblCECO[codigo],tblCECO[linea],"(sin catálogo)"))</f>
        <v/>
      </c>
      <c r="V454" s="3">
        <f>IF(tblOrdenes[[#This Row],[centro_costo]]="","",_xlfn.XLOOKUP(tblOrdenes[[#This Row],[centro_costo]],tblCECO[codigo],tblCECO[area],"(sin catálogo)"))</f>
        <v/>
      </c>
      <c r="W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3">
        <f>IF(tblOrdenes[[#This Row],[centro_costo]]="","",_xlfn.XLOOKUP(tblOrdenes[[#This Row],[centro_costo]],tblCECO[codigo],tblCECO[coordinador],"(sin catálogo)"))</f>
        <v/>
      </c>
      <c r="Y454" s="3">
        <f>IF(tblOrdenes[[#This Row],[puesto_trabajo]]="","",_xlfn.XLOOKUP(tblOrdenes[[#This Row],[puesto_trabajo]],tblPuestos[codigo],tblPuestos[especialidad],"(sin catálogo)"))</f>
        <v/>
      </c>
      <c r="Z454" s="3">
        <f>IF(tblOrdenes[[#This Row],[cod_actividad]]="","",_xlfn.XLOOKUP(tblOrdenes[[#This Row],[cod_actividad]],tblActividades[codigo],tblActividades[descripcion],"(sin catálogo)"))</f>
        <v/>
      </c>
      <c r="AA454" s="12">
        <f>IF(tblOrdenes[[#This Row],[fecha_inicio]]="","",TODAY()-tblOrdenes[[#This Row],[fecha_inicio]])</f>
        <v/>
      </c>
      <c r="AB4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3">
        <f>IF(tblOrdenes[[#This Row],[backlog_habiles]]="","",IF(tblOrdenes[[#This Row],[backlog_habiles]]&lt;0,"FUTURO",IF(tblOrdenes[[#This Row],[backlog_habiles]]&gt;p_dias_backlog_max,"BACKLOG","MES CORRIENTE")))</f>
        <v/>
      </c>
      <c r="AD454" s="3">
        <f>IF(tblOrdenes[[#This Row],[backlog_habiles]]="",FALSE,AND(tblOrdenes[[#This Row],[backlog_habiles]]&gt;p_dias_backlog_min,tblOrdenes[[#This Row],[backlog_habiles]]&lt;=p_dias_backlog_max))</f>
        <v/>
      </c>
      <c r="AE454" s="6" t="n"/>
      <c r="AF4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0">
        <f>IF(tblOrdenes[[#This Row],[orden]]="","",_xlfn.XLOOKUP(tblOrdenes[[#This Row],[id_operacion]],tblEjecucion[id_operacion],tblEjecucion[precio],0))</f>
        <v/>
      </c>
      <c r="AJ454" s="10">
        <f>IF(tblOrdenes[[#This Row],[orden]]="","",MAX(0,_xlfn.XLOOKUP(tblOrdenes[[#This Row],[id_operacion]],tblEjecucion[id_operacion],tblEjecucion[costo_plan_total],0)-tblOrdenes[[#This Row],[costo_servicio]]))</f>
        <v/>
      </c>
      <c r="AK454" s="10">
        <f>IF(tblOrdenes[[#This Row],[orden]]="","",tblOrdenes[[#This Row],[costo_servicio]]+tblOrdenes[[#This Row],[costo_materiales]])</f>
        <v/>
      </c>
      <c r="AL454" s="6" t="n"/>
      <c r="AM454" s="6" t="n"/>
      <c r="AN454" s="6" t="n"/>
      <c r="AO454" s="3">
        <f>IF(tblOrdenes[[#This Row],[link_checklist]]="","",HYPERLINK(p_ruta_base_checklists&amp;tblOrdenes[[#This Row],[link_checklist]],"abrir"))</f>
        <v/>
      </c>
      <c r="AP454" s="6" t="n"/>
      <c r="AQ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3">
        <f>IF(tblOrdenes[[#This Row],[tipo_ot]]="","",_xlfn.XLOOKUP(tblOrdenes[[#This Row],[tipo_ot]],tblTiposOT[codigo],tblTiposOT[clasificacion],"sin_clasificar"))</f>
        <v/>
      </c>
      <c r="U455" s="3">
        <f>IF(tblOrdenes[[#This Row],[centro_costo]]="","",_xlfn.XLOOKUP(tblOrdenes[[#This Row],[centro_costo]],tblCECO[codigo],tblCECO[linea],"(sin catálogo)"))</f>
        <v/>
      </c>
      <c r="V455" s="3">
        <f>IF(tblOrdenes[[#This Row],[centro_costo]]="","",_xlfn.XLOOKUP(tblOrdenes[[#This Row],[centro_costo]],tblCECO[codigo],tblCECO[area],"(sin catálogo)"))</f>
        <v/>
      </c>
      <c r="W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3">
        <f>IF(tblOrdenes[[#This Row],[centro_costo]]="","",_xlfn.XLOOKUP(tblOrdenes[[#This Row],[centro_costo]],tblCECO[codigo],tblCECO[coordinador],"(sin catálogo)"))</f>
        <v/>
      </c>
      <c r="Y455" s="3">
        <f>IF(tblOrdenes[[#This Row],[puesto_trabajo]]="","",_xlfn.XLOOKUP(tblOrdenes[[#This Row],[puesto_trabajo]],tblPuestos[codigo],tblPuestos[especialidad],"(sin catálogo)"))</f>
        <v/>
      </c>
      <c r="Z455" s="3">
        <f>IF(tblOrdenes[[#This Row],[cod_actividad]]="","",_xlfn.XLOOKUP(tblOrdenes[[#This Row],[cod_actividad]],tblActividades[codigo],tblActividades[descripcion],"(sin catálogo)"))</f>
        <v/>
      </c>
      <c r="AA455" s="12">
        <f>IF(tblOrdenes[[#This Row],[fecha_inicio]]="","",TODAY()-tblOrdenes[[#This Row],[fecha_inicio]])</f>
        <v/>
      </c>
      <c r="AB4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3">
        <f>IF(tblOrdenes[[#This Row],[backlog_habiles]]="","",IF(tblOrdenes[[#This Row],[backlog_habiles]]&lt;0,"FUTURO",IF(tblOrdenes[[#This Row],[backlog_habiles]]&gt;p_dias_backlog_max,"BACKLOG","MES CORRIENTE")))</f>
        <v/>
      </c>
      <c r="AD455" s="3">
        <f>IF(tblOrdenes[[#This Row],[backlog_habiles]]="",FALSE,AND(tblOrdenes[[#This Row],[backlog_habiles]]&gt;p_dias_backlog_min,tblOrdenes[[#This Row],[backlog_habiles]]&lt;=p_dias_backlog_max))</f>
        <v/>
      </c>
      <c r="AE455" s="6" t="n"/>
      <c r="AF4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0">
        <f>IF(tblOrdenes[[#This Row],[orden]]="","",_xlfn.XLOOKUP(tblOrdenes[[#This Row],[id_operacion]],tblEjecucion[id_operacion],tblEjecucion[precio],0))</f>
        <v/>
      </c>
      <c r="AJ455" s="10">
        <f>IF(tblOrdenes[[#This Row],[orden]]="","",MAX(0,_xlfn.XLOOKUP(tblOrdenes[[#This Row],[id_operacion]],tblEjecucion[id_operacion],tblEjecucion[costo_plan_total],0)-tblOrdenes[[#This Row],[costo_servicio]]))</f>
        <v/>
      </c>
      <c r="AK455" s="10">
        <f>IF(tblOrdenes[[#This Row],[orden]]="","",tblOrdenes[[#This Row],[costo_servicio]]+tblOrdenes[[#This Row],[costo_materiales]])</f>
        <v/>
      </c>
      <c r="AL455" s="6" t="n"/>
      <c r="AM455" s="6" t="n"/>
      <c r="AN455" s="6" t="n"/>
      <c r="AO455" s="3">
        <f>IF(tblOrdenes[[#This Row],[link_checklist]]="","",HYPERLINK(p_ruta_base_checklists&amp;tblOrdenes[[#This Row],[link_checklist]],"abrir"))</f>
        <v/>
      </c>
      <c r="AP455" s="6" t="n"/>
      <c r="AQ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3">
        <f>IF(tblOrdenes[[#This Row],[tipo_ot]]="","",_xlfn.XLOOKUP(tblOrdenes[[#This Row],[tipo_ot]],tblTiposOT[codigo],tblTiposOT[clasificacion],"sin_clasificar"))</f>
        <v/>
      </c>
      <c r="U456" s="3">
        <f>IF(tblOrdenes[[#This Row],[centro_costo]]="","",_xlfn.XLOOKUP(tblOrdenes[[#This Row],[centro_costo]],tblCECO[codigo],tblCECO[linea],"(sin catálogo)"))</f>
        <v/>
      </c>
      <c r="V456" s="3">
        <f>IF(tblOrdenes[[#This Row],[centro_costo]]="","",_xlfn.XLOOKUP(tblOrdenes[[#This Row],[centro_costo]],tblCECO[codigo],tblCECO[area],"(sin catálogo)"))</f>
        <v/>
      </c>
      <c r="W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3">
        <f>IF(tblOrdenes[[#This Row],[centro_costo]]="","",_xlfn.XLOOKUP(tblOrdenes[[#This Row],[centro_costo]],tblCECO[codigo],tblCECO[coordinador],"(sin catálogo)"))</f>
        <v/>
      </c>
      <c r="Y456" s="3">
        <f>IF(tblOrdenes[[#This Row],[puesto_trabajo]]="","",_xlfn.XLOOKUP(tblOrdenes[[#This Row],[puesto_trabajo]],tblPuestos[codigo],tblPuestos[especialidad],"(sin catálogo)"))</f>
        <v/>
      </c>
      <c r="Z456" s="3">
        <f>IF(tblOrdenes[[#This Row],[cod_actividad]]="","",_xlfn.XLOOKUP(tblOrdenes[[#This Row],[cod_actividad]],tblActividades[codigo],tblActividades[descripcion],"(sin catálogo)"))</f>
        <v/>
      </c>
      <c r="AA456" s="12">
        <f>IF(tblOrdenes[[#This Row],[fecha_inicio]]="","",TODAY()-tblOrdenes[[#This Row],[fecha_inicio]])</f>
        <v/>
      </c>
      <c r="AB4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3">
        <f>IF(tblOrdenes[[#This Row],[backlog_habiles]]="","",IF(tblOrdenes[[#This Row],[backlog_habiles]]&lt;0,"FUTURO",IF(tblOrdenes[[#This Row],[backlog_habiles]]&gt;p_dias_backlog_max,"BACKLOG","MES CORRIENTE")))</f>
        <v/>
      </c>
      <c r="AD456" s="3">
        <f>IF(tblOrdenes[[#This Row],[backlog_habiles]]="",FALSE,AND(tblOrdenes[[#This Row],[backlog_habiles]]&gt;p_dias_backlog_min,tblOrdenes[[#This Row],[backlog_habiles]]&lt;=p_dias_backlog_max))</f>
        <v/>
      </c>
      <c r="AE456" s="6" t="n"/>
      <c r="AF4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0">
        <f>IF(tblOrdenes[[#This Row],[orden]]="","",_xlfn.XLOOKUP(tblOrdenes[[#This Row],[id_operacion]],tblEjecucion[id_operacion],tblEjecucion[precio],0))</f>
        <v/>
      </c>
      <c r="AJ456" s="10">
        <f>IF(tblOrdenes[[#This Row],[orden]]="","",MAX(0,_xlfn.XLOOKUP(tblOrdenes[[#This Row],[id_operacion]],tblEjecucion[id_operacion],tblEjecucion[costo_plan_total],0)-tblOrdenes[[#This Row],[costo_servicio]]))</f>
        <v/>
      </c>
      <c r="AK456" s="10">
        <f>IF(tblOrdenes[[#This Row],[orden]]="","",tblOrdenes[[#This Row],[costo_servicio]]+tblOrdenes[[#This Row],[costo_materiales]])</f>
        <v/>
      </c>
      <c r="AL456" s="6" t="n"/>
      <c r="AM456" s="6" t="n"/>
      <c r="AN456" s="6" t="n"/>
      <c r="AO456" s="3">
        <f>IF(tblOrdenes[[#This Row],[link_checklist]]="","",HYPERLINK(p_ruta_base_checklists&amp;tblOrdenes[[#This Row],[link_checklist]],"abrir"))</f>
        <v/>
      </c>
      <c r="AP456" s="6" t="n"/>
      <c r="AQ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3">
        <f>IF(tblOrdenes[[#This Row],[tipo_ot]]="","",_xlfn.XLOOKUP(tblOrdenes[[#This Row],[tipo_ot]],tblTiposOT[codigo],tblTiposOT[clasificacion],"sin_clasificar"))</f>
        <v/>
      </c>
      <c r="U457" s="3">
        <f>IF(tblOrdenes[[#This Row],[centro_costo]]="","",_xlfn.XLOOKUP(tblOrdenes[[#This Row],[centro_costo]],tblCECO[codigo],tblCECO[linea],"(sin catálogo)"))</f>
        <v/>
      </c>
      <c r="V457" s="3">
        <f>IF(tblOrdenes[[#This Row],[centro_costo]]="","",_xlfn.XLOOKUP(tblOrdenes[[#This Row],[centro_costo]],tblCECO[codigo],tblCECO[area],"(sin catálogo)"))</f>
        <v/>
      </c>
      <c r="W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3">
        <f>IF(tblOrdenes[[#This Row],[centro_costo]]="","",_xlfn.XLOOKUP(tblOrdenes[[#This Row],[centro_costo]],tblCECO[codigo],tblCECO[coordinador],"(sin catálogo)"))</f>
        <v/>
      </c>
      <c r="Y457" s="3">
        <f>IF(tblOrdenes[[#This Row],[puesto_trabajo]]="","",_xlfn.XLOOKUP(tblOrdenes[[#This Row],[puesto_trabajo]],tblPuestos[codigo],tblPuestos[especialidad],"(sin catálogo)"))</f>
        <v/>
      </c>
      <c r="Z457" s="3">
        <f>IF(tblOrdenes[[#This Row],[cod_actividad]]="","",_xlfn.XLOOKUP(tblOrdenes[[#This Row],[cod_actividad]],tblActividades[codigo],tblActividades[descripcion],"(sin catálogo)"))</f>
        <v/>
      </c>
      <c r="AA457" s="12">
        <f>IF(tblOrdenes[[#This Row],[fecha_inicio]]="","",TODAY()-tblOrdenes[[#This Row],[fecha_inicio]])</f>
        <v/>
      </c>
      <c r="AB4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3">
        <f>IF(tblOrdenes[[#This Row],[backlog_habiles]]="","",IF(tblOrdenes[[#This Row],[backlog_habiles]]&lt;0,"FUTURO",IF(tblOrdenes[[#This Row],[backlog_habiles]]&gt;p_dias_backlog_max,"BACKLOG","MES CORRIENTE")))</f>
        <v/>
      </c>
      <c r="AD457" s="3">
        <f>IF(tblOrdenes[[#This Row],[backlog_habiles]]="",FALSE,AND(tblOrdenes[[#This Row],[backlog_habiles]]&gt;p_dias_backlog_min,tblOrdenes[[#This Row],[backlog_habiles]]&lt;=p_dias_backlog_max))</f>
        <v/>
      </c>
      <c r="AE457" s="6" t="n"/>
      <c r="AF4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0">
        <f>IF(tblOrdenes[[#This Row],[orden]]="","",_xlfn.XLOOKUP(tblOrdenes[[#This Row],[id_operacion]],tblEjecucion[id_operacion],tblEjecucion[precio],0))</f>
        <v/>
      </c>
      <c r="AJ457" s="10">
        <f>IF(tblOrdenes[[#This Row],[orden]]="","",MAX(0,_xlfn.XLOOKUP(tblOrdenes[[#This Row],[id_operacion]],tblEjecucion[id_operacion],tblEjecucion[costo_plan_total],0)-tblOrdenes[[#This Row],[costo_servicio]]))</f>
        <v/>
      </c>
      <c r="AK457" s="10">
        <f>IF(tblOrdenes[[#This Row],[orden]]="","",tblOrdenes[[#This Row],[costo_servicio]]+tblOrdenes[[#This Row],[costo_materiales]])</f>
        <v/>
      </c>
      <c r="AL457" s="6" t="n"/>
      <c r="AM457" s="6" t="n"/>
      <c r="AN457" s="6" t="n"/>
      <c r="AO457" s="3">
        <f>IF(tblOrdenes[[#This Row],[link_checklist]]="","",HYPERLINK(p_ruta_base_checklists&amp;tblOrdenes[[#This Row],[link_checklist]],"abrir"))</f>
        <v/>
      </c>
      <c r="AP457" s="6" t="n"/>
      <c r="AQ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3">
        <f>IF(tblOrdenes[[#This Row],[tipo_ot]]="","",_xlfn.XLOOKUP(tblOrdenes[[#This Row],[tipo_ot]],tblTiposOT[codigo],tblTiposOT[clasificacion],"sin_clasificar"))</f>
        <v/>
      </c>
      <c r="U458" s="3">
        <f>IF(tblOrdenes[[#This Row],[centro_costo]]="","",_xlfn.XLOOKUP(tblOrdenes[[#This Row],[centro_costo]],tblCECO[codigo],tblCECO[linea],"(sin catálogo)"))</f>
        <v/>
      </c>
      <c r="V458" s="3">
        <f>IF(tblOrdenes[[#This Row],[centro_costo]]="","",_xlfn.XLOOKUP(tblOrdenes[[#This Row],[centro_costo]],tblCECO[codigo],tblCECO[area],"(sin catálogo)"))</f>
        <v/>
      </c>
      <c r="W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3">
        <f>IF(tblOrdenes[[#This Row],[centro_costo]]="","",_xlfn.XLOOKUP(tblOrdenes[[#This Row],[centro_costo]],tblCECO[codigo],tblCECO[coordinador],"(sin catálogo)"))</f>
        <v/>
      </c>
      <c r="Y458" s="3">
        <f>IF(tblOrdenes[[#This Row],[puesto_trabajo]]="","",_xlfn.XLOOKUP(tblOrdenes[[#This Row],[puesto_trabajo]],tblPuestos[codigo],tblPuestos[especialidad],"(sin catálogo)"))</f>
        <v/>
      </c>
      <c r="Z458" s="3">
        <f>IF(tblOrdenes[[#This Row],[cod_actividad]]="","",_xlfn.XLOOKUP(tblOrdenes[[#This Row],[cod_actividad]],tblActividades[codigo],tblActividades[descripcion],"(sin catálogo)"))</f>
        <v/>
      </c>
      <c r="AA458" s="12">
        <f>IF(tblOrdenes[[#This Row],[fecha_inicio]]="","",TODAY()-tblOrdenes[[#This Row],[fecha_inicio]])</f>
        <v/>
      </c>
      <c r="AB4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3">
        <f>IF(tblOrdenes[[#This Row],[backlog_habiles]]="","",IF(tblOrdenes[[#This Row],[backlog_habiles]]&lt;0,"FUTURO",IF(tblOrdenes[[#This Row],[backlog_habiles]]&gt;p_dias_backlog_max,"BACKLOG","MES CORRIENTE")))</f>
        <v/>
      </c>
      <c r="AD458" s="3">
        <f>IF(tblOrdenes[[#This Row],[backlog_habiles]]="",FALSE,AND(tblOrdenes[[#This Row],[backlog_habiles]]&gt;p_dias_backlog_min,tblOrdenes[[#This Row],[backlog_habiles]]&lt;=p_dias_backlog_max))</f>
        <v/>
      </c>
      <c r="AE458" s="6" t="n"/>
      <c r="AF4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0">
        <f>IF(tblOrdenes[[#This Row],[orden]]="","",_xlfn.XLOOKUP(tblOrdenes[[#This Row],[id_operacion]],tblEjecucion[id_operacion],tblEjecucion[precio],0))</f>
        <v/>
      </c>
      <c r="AJ458" s="10">
        <f>IF(tblOrdenes[[#This Row],[orden]]="","",MAX(0,_xlfn.XLOOKUP(tblOrdenes[[#This Row],[id_operacion]],tblEjecucion[id_operacion],tblEjecucion[costo_plan_total],0)-tblOrdenes[[#This Row],[costo_servicio]]))</f>
        <v/>
      </c>
      <c r="AK458" s="10">
        <f>IF(tblOrdenes[[#This Row],[orden]]="","",tblOrdenes[[#This Row],[costo_servicio]]+tblOrdenes[[#This Row],[costo_materiales]])</f>
        <v/>
      </c>
      <c r="AL458" s="6" t="n"/>
      <c r="AM458" s="6" t="n"/>
      <c r="AN458" s="6" t="n"/>
      <c r="AO458" s="3">
        <f>IF(tblOrdenes[[#This Row],[link_checklist]]="","",HYPERLINK(p_ruta_base_checklists&amp;tblOrdenes[[#This Row],[link_checklist]],"abrir"))</f>
        <v/>
      </c>
      <c r="AP458" s="6" t="n"/>
      <c r="AQ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3">
        <f>IF(tblOrdenes[[#This Row],[tipo_ot]]="","",_xlfn.XLOOKUP(tblOrdenes[[#This Row],[tipo_ot]],tblTiposOT[codigo],tblTiposOT[clasificacion],"sin_clasificar"))</f>
        <v/>
      </c>
      <c r="U459" s="3">
        <f>IF(tblOrdenes[[#This Row],[centro_costo]]="","",_xlfn.XLOOKUP(tblOrdenes[[#This Row],[centro_costo]],tblCECO[codigo],tblCECO[linea],"(sin catálogo)"))</f>
        <v/>
      </c>
      <c r="V459" s="3">
        <f>IF(tblOrdenes[[#This Row],[centro_costo]]="","",_xlfn.XLOOKUP(tblOrdenes[[#This Row],[centro_costo]],tblCECO[codigo],tblCECO[area],"(sin catálogo)"))</f>
        <v/>
      </c>
      <c r="W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3">
        <f>IF(tblOrdenes[[#This Row],[centro_costo]]="","",_xlfn.XLOOKUP(tblOrdenes[[#This Row],[centro_costo]],tblCECO[codigo],tblCECO[coordinador],"(sin catálogo)"))</f>
        <v/>
      </c>
      <c r="Y459" s="3">
        <f>IF(tblOrdenes[[#This Row],[puesto_trabajo]]="","",_xlfn.XLOOKUP(tblOrdenes[[#This Row],[puesto_trabajo]],tblPuestos[codigo],tblPuestos[especialidad],"(sin catálogo)"))</f>
        <v/>
      </c>
      <c r="Z459" s="3">
        <f>IF(tblOrdenes[[#This Row],[cod_actividad]]="","",_xlfn.XLOOKUP(tblOrdenes[[#This Row],[cod_actividad]],tblActividades[codigo],tblActividades[descripcion],"(sin catálogo)"))</f>
        <v/>
      </c>
      <c r="AA459" s="12">
        <f>IF(tblOrdenes[[#This Row],[fecha_inicio]]="","",TODAY()-tblOrdenes[[#This Row],[fecha_inicio]])</f>
        <v/>
      </c>
      <c r="AB4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3">
        <f>IF(tblOrdenes[[#This Row],[backlog_habiles]]="","",IF(tblOrdenes[[#This Row],[backlog_habiles]]&lt;0,"FUTURO",IF(tblOrdenes[[#This Row],[backlog_habiles]]&gt;p_dias_backlog_max,"BACKLOG","MES CORRIENTE")))</f>
        <v/>
      </c>
      <c r="AD459" s="3">
        <f>IF(tblOrdenes[[#This Row],[backlog_habiles]]="",FALSE,AND(tblOrdenes[[#This Row],[backlog_habiles]]&gt;p_dias_backlog_min,tblOrdenes[[#This Row],[backlog_habiles]]&lt;=p_dias_backlog_max))</f>
        <v/>
      </c>
      <c r="AE459" s="6" t="n"/>
      <c r="AF4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0">
        <f>IF(tblOrdenes[[#This Row],[orden]]="","",_xlfn.XLOOKUP(tblOrdenes[[#This Row],[id_operacion]],tblEjecucion[id_operacion],tblEjecucion[precio],0))</f>
        <v/>
      </c>
      <c r="AJ459" s="10">
        <f>IF(tblOrdenes[[#This Row],[orden]]="","",MAX(0,_xlfn.XLOOKUP(tblOrdenes[[#This Row],[id_operacion]],tblEjecucion[id_operacion],tblEjecucion[costo_plan_total],0)-tblOrdenes[[#This Row],[costo_servicio]]))</f>
        <v/>
      </c>
      <c r="AK459" s="10">
        <f>IF(tblOrdenes[[#This Row],[orden]]="","",tblOrdenes[[#This Row],[costo_servicio]]+tblOrdenes[[#This Row],[costo_materiales]])</f>
        <v/>
      </c>
      <c r="AL459" s="6" t="n"/>
      <c r="AM459" s="6" t="n"/>
      <c r="AN459" s="6" t="n"/>
      <c r="AO459" s="3">
        <f>IF(tblOrdenes[[#This Row],[link_checklist]]="","",HYPERLINK(p_ruta_base_checklists&amp;tblOrdenes[[#This Row],[link_checklist]],"abrir"))</f>
        <v/>
      </c>
      <c r="AP459" s="6" t="n"/>
      <c r="AQ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3">
        <f>IF(tblOrdenes[[#This Row],[tipo_ot]]="","",_xlfn.XLOOKUP(tblOrdenes[[#This Row],[tipo_ot]],tblTiposOT[codigo],tblTiposOT[clasificacion],"sin_clasificar"))</f>
        <v/>
      </c>
      <c r="U460" s="3">
        <f>IF(tblOrdenes[[#This Row],[centro_costo]]="","",_xlfn.XLOOKUP(tblOrdenes[[#This Row],[centro_costo]],tblCECO[codigo],tblCECO[linea],"(sin catálogo)"))</f>
        <v/>
      </c>
      <c r="V460" s="3">
        <f>IF(tblOrdenes[[#This Row],[centro_costo]]="","",_xlfn.XLOOKUP(tblOrdenes[[#This Row],[centro_costo]],tblCECO[codigo],tblCECO[area],"(sin catálogo)"))</f>
        <v/>
      </c>
      <c r="W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3">
        <f>IF(tblOrdenes[[#This Row],[centro_costo]]="","",_xlfn.XLOOKUP(tblOrdenes[[#This Row],[centro_costo]],tblCECO[codigo],tblCECO[coordinador],"(sin catálogo)"))</f>
        <v/>
      </c>
      <c r="Y460" s="3">
        <f>IF(tblOrdenes[[#This Row],[puesto_trabajo]]="","",_xlfn.XLOOKUP(tblOrdenes[[#This Row],[puesto_trabajo]],tblPuestos[codigo],tblPuestos[especialidad],"(sin catálogo)"))</f>
        <v/>
      </c>
      <c r="Z460" s="3">
        <f>IF(tblOrdenes[[#This Row],[cod_actividad]]="","",_xlfn.XLOOKUP(tblOrdenes[[#This Row],[cod_actividad]],tblActividades[codigo],tblActividades[descripcion],"(sin catálogo)"))</f>
        <v/>
      </c>
      <c r="AA460" s="12">
        <f>IF(tblOrdenes[[#This Row],[fecha_inicio]]="","",TODAY()-tblOrdenes[[#This Row],[fecha_inicio]])</f>
        <v/>
      </c>
      <c r="AB4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3">
        <f>IF(tblOrdenes[[#This Row],[backlog_habiles]]="","",IF(tblOrdenes[[#This Row],[backlog_habiles]]&lt;0,"FUTURO",IF(tblOrdenes[[#This Row],[backlog_habiles]]&gt;p_dias_backlog_max,"BACKLOG","MES CORRIENTE")))</f>
        <v/>
      </c>
      <c r="AD460" s="3">
        <f>IF(tblOrdenes[[#This Row],[backlog_habiles]]="",FALSE,AND(tblOrdenes[[#This Row],[backlog_habiles]]&gt;p_dias_backlog_min,tblOrdenes[[#This Row],[backlog_habiles]]&lt;=p_dias_backlog_max))</f>
        <v/>
      </c>
      <c r="AE460" s="6" t="n"/>
      <c r="AF4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0">
        <f>IF(tblOrdenes[[#This Row],[orden]]="","",_xlfn.XLOOKUP(tblOrdenes[[#This Row],[id_operacion]],tblEjecucion[id_operacion],tblEjecucion[precio],0))</f>
        <v/>
      </c>
      <c r="AJ460" s="10">
        <f>IF(tblOrdenes[[#This Row],[orden]]="","",MAX(0,_xlfn.XLOOKUP(tblOrdenes[[#This Row],[id_operacion]],tblEjecucion[id_operacion],tblEjecucion[costo_plan_total],0)-tblOrdenes[[#This Row],[costo_servicio]]))</f>
        <v/>
      </c>
      <c r="AK460" s="10">
        <f>IF(tblOrdenes[[#This Row],[orden]]="","",tblOrdenes[[#This Row],[costo_servicio]]+tblOrdenes[[#This Row],[costo_materiales]])</f>
        <v/>
      </c>
      <c r="AL460" s="6" t="n"/>
      <c r="AM460" s="6" t="n"/>
      <c r="AN460" s="6" t="n"/>
      <c r="AO460" s="3">
        <f>IF(tblOrdenes[[#This Row],[link_checklist]]="","",HYPERLINK(p_ruta_base_checklists&amp;tblOrdenes[[#This Row],[link_checklist]],"abrir"))</f>
        <v/>
      </c>
      <c r="AP460" s="6" t="n"/>
      <c r="AQ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3">
        <f>IF(tblOrdenes[[#This Row],[tipo_ot]]="","",_xlfn.XLOOKUP(tblOrdenes[[#This Row],[tipo_ot]],tblTiposOT[codigo],tblTiposOT[clasificacion],"sin_clasificar"))</f>
        <v/>
      </c>
      <c r="U461" s="3">
        <f>IF(tblOrdenes[[#This Row],[centro_costo]]="","",_xlfn.XLOOKUP(tblOrdenes[[#This Row],[centro_costo]],tblCECO[codigo],tblCECO[linea],"(sin catálogo)"))</f>
        <v/>
      </c>
      <c r="V461" s="3">
        <f>IF(tblOrdenes[[#This Row],[centro_costo]]="","",_xlfn.XLOOKUP(tblOrdenes[[#This Row],[centro_costo]],tblCECO[codigo],tblCECO[area],"(sin catálogo)"))</f>
        <v/>
      </c>
      <c r="W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3">
        <f>IF(tblOrdenes[[#This Row],[centro_costo]]="","",_xlfn.XLOOKUP(tblOrdenes[[#This Row],[centro_costo]],tblCECO[codigo],tblCECO[coordinador],"(sin catálogo)"))</f>
        <v/>
      </c>
      <c r="Y461" s="3">
        <f>IF(tblOrdenes[[#This Row],[puesto_trabajo]]="","",_xlfn.XLOOKUP(tblOrdenes[[#This Row],[puesto_trabajo]],tblPuestos[codigo],tblPuestos[especialidad],"(sin catálogo)"))</f>
        <v/>
      </c>
      <c r="Z461" s="3">
        <f>IF(tblOrdenes[[#This Row],[cod_actividad]]="","",_xlfn.XLOOKUP(tblOrdenes[[#This Row],[cod_actividad]],tblActividades[codigo],tblActividades[descripcion],"(sin catálogo)"))</f>
        <v/>
      </c>
      <c r="AA461" s="12">
        <f>IF(tblOrdenes[[#This Row],[fecha_inicio]]="","",TODAY()-tblOrdenes[[#This Row],[fecha_inicio]])</f>
        <v/>
      </c>
      <c r="AB4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3">
        <f>IF(tblOrdenes[[#This Row],[backlog_habiles]]="","",IF(tblOrdenes[[#This Row],[backlog_habiles]]&lt;0,"FUTURO",IF(tblOrdenes[[#This Row],[backlog_habiles]]&gt;p_dias_backlog_max,"BACKLOG","MES CORRIENTE")))</f>
        <v/>
      </c>
      <c r="AD461" s="3">
        <f>IF(tblOrdenes[[#This Row],[backlog_habiles]]="",FALSE,AND(tblOrdenes[[#This Row],[backlog_habiles]]&gt;p_dias_backlog_min,tblOrdenes[[#This Row],[backlog_habiles]]&lt;=p_dias_backlog_max))</f>
        <v/>
      </c>
      <c r="AE461" s="6" t="n"/>
      <c r="AF4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0">
        <f>IF(tblOrdenes[[#This Row],[orden]]="","",_xlfn.XLOOKUP(tblOrdenes[[#This Row],[id_operacion]],tblEjecucion[id_operacion],tblEjecucion[precio],0))</f>
        <v/>
      </c>
      <c r="AJ461" s="10">
        <f>IF(tblOrdenes[[#This Row],[orden]]="","",MAX(0,_xlfn.XLOOKUP(tblOrdenes[[#This Row],[id_operacion]],tblEjecucion[id_operacion],tblEjecucion[costo_plan_total],0)-tblOrdenes[[#This Row],[costo_servicio]]))</f>
        <v/>
      </c>
      <c r="AK461" s="10">
        <f>IF(tblOrdenes[[#This Row],[orden]]="","",tblOrdenes[[#This Row],[costo_servicio]]+tblOrdenes[[#This Row],[costo_materiales]])</f>
        <v/>
      </c>
      <c r="AL461" s="6" t="n"/>
      <c r="AM461" s="6" t="n"/>
      <c r="AN461" s="6" t="n"/>
      <c r="AO461" s="3">
        <f>IF(tblOrdenes[[#This Row],[link_checklist]]="","",HYPERLINK(p_ruta_base_checklists&amp;tblOrdenes[[#This Row],[link_checklist]],"abrir"))</f>
        <v/>
      </c>
      <c r="AP461" s="6" t="n"/>
      <c r="AQ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3">
        <f>IF(tblOrdenes[[#This Row],[tipo_ot]]="","",_xlfn.XLOOKUP(tblOrdenes[[#This Row],[tipo_ot]],tblTiposOT[codigo],tblTiposOT[clasificacion],"sin_clasificar"))</f>
        <v/>
      </c>
      <c r="U462" s="3">
        <f>IF(tblOrdenes[[#This Row],[centro_costo]]="","",_xlfn.XLOOKUP(tblOrdenes[[#This Row],[centro_costo]],tblCECO[codigo],tblCECO[linea],"(sin catálogo)"))</f>
        <v/>
      </c>
      <c r="V462" s="3">
        <f>IF(tblOrdenes[[#This Row],[centro_costo]]="","",_xlfn.XLOOKUP(tblOrdenes[[#This Row],[centro_costo]],tblCECO[codigo],tblCECO[area],"(sin catálogo)"))</f>
        <v/>
      </c>
      <c r="W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3">
        <f>IF(tblOrdenes[[#This Row],[centro_costo]]="","",_xlfn.XLOOKUP(tblOrdenes[[#This Row],[centro_costo]],tblCECO[codigo],tblCECO[coordinador],"(sin catálogo)"))</f>
        <v/>
      </c>
      <c r="Y462" s="3">
        <f>IF(tblOrdenes[[#This Row],[puesto_trabajo]]="","",_xlfn.XLOOKUP(tblOrdenes[[#This Row],[puesto_trabajo]],tblPuestos[codigo],tblPuestos[especialidad],"(sin catálogo)"))</f>
        <v/>
      </c>
      <c r="Z462" s="3">
        <f>IF(tblOrdenes[[#This Row],[cod_actividad]]="","",_xlfn.XLOOKUP(tblOrdenes[[#This Row],[cod_actividad]],tblActividades[codigo],tblActividades[descripcion],"(sin catálogo)"))</f>
        <v/>
      </c>
      <c r="AA462" s="12">
        <f>IF(tblOrdenes[[#This Row],[fecha_inicio]]="","",TODAY()-tblOrdenes[[#This Row],[fecha_inicio]])</f>
        <v/>
      </c>
      <c r="AB4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3">
        <f>IF(tblOrdenes[[#This Row],[backlog_habiles]]="","",IF(tblOrdenes[[#This Row],[backlog_habiles]]&lt;0,"FUTURO",IF(tblOrdenes[[#This Row],[backlog_habiles]]&gt;p_dias_backlog_max,"BACKLOG","MES CORRIENTE")))</f>
        <v/>
      </c>
      <c r="AD462" s="3">
        <f>IF(tblOrdenes[[#This Row],[backlog_habiles]]="",FALSE,AND(tblOrdenes[[#This Row],[backlog_habiles]]&gt;p_dias_backlog_min,tblOrdenes[[#This Row],[backlog_habiles]]&lt;=p_dias_backlog_max))</f>
        <v/>
      </c>
      <c r="AE462" s="6" t="n"/>
      <c r="AF4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0">
        <f>IF(tblOrdenes[[#This Row],[orden]]="","",_xlfn.XLOOKUP(tblOrdenes[[#This Row],[id_operacion]],tblEjecucion[id_operacion],tblEjecucion[precio],0))</f>
        <v/>
      </c>
      <c r="AJ462" s="10">
        <f>IF(tblOrdenes[[#This Row],[orden]]="","",MAX(0,_xlfn.XLOOKUP(tblOrdenes[[#This Row],[id_operacion]],tblEjecucion[id_operacion],tblEjecucion[costo_plan_total],0)-tblOrdenes[[#This Row],[costo_servicio]]))</f>
        <v/>
      </c>
      <c r="AK462" s="10">
        <f>IF(tblOrdenes[[#This Row],[orden]]="","",tblOrdenes[[#This Row],[costo_servicio]]+tblOrdenes[[#This Row],[costo_materiales]])</f>
        <v/>
      </c>
      <c r="AL462" s="6" t="n"/>
      <c r="AM462" s="6" t="n"/>
      <c r="AN462" s="6" t="n"/>
      <c r="AO462" s="3">
        <f>IF(tblOrdenes[[#This Row],[link_checklist]]="","",HYPERLINK(p_ruta_base_checklists&amp;tblOrdenes[[#This Row],[link_checklist]],"abrir"))</f>
        <v/>
      </c>
      <c r="AP462" s="6" t="n"/>
      <c r="AQ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3">
        <f>IF(tblOrdenes[[#This Row],[tipo_ot]]="","",_xlfn.XLOOKUP(tblOrdenes[[#This Row],[tipo_ot]],tblTiposOT[codigo],tblTiposOT[clasificacion],"sin_clasificar"))</f>
        <v/>
      </c>
      <c r="U463" s="3">
        <f>IF(tblOrdenes[[#This Row],[centro_costo]]="","",_xlfn.XLOOKUP(tblOrdenes[[#This Row],[centro_costo]],tblCECO[codigo],tblCECO[linea],"(sin catálogo)"))</f>
        <v/>
      </c>
      <c r="V463" s="3">
        <f>IF(tblOrdenes[[#This Row],[centro_costo]]="","",_xlfn.XLOOKUP(tblOrdenes[[#This Row],[centro_costo]],tblCECO[codigo],tblCECO[area],"(sin catálogo)"))</f>
        <v/>
      </c>
      <c r="W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3">
        <f>IF(tblOrdenes[[#This Row],[centro_costo]]="","",_xlfn.XLOOKUP(tblOrdenes[[#This Row],[centro_costo]],tblCECO[codigo],tblCECO[coordinador],"(sin catálogo)"))</f>
        <v/>
      </c>
      <c r="Y463" s="3">
        <f>IF(tblOrdenes[[#This Row],[puesto_trabajo]]="","",_xlfn.XLOOKUP(tblOrdenes[[#This Row],[puesto_trabajo]],tblPuestos[codigo],tblPuestos[especialidad],"(sin catálogo)"))</f>
        <v/>
      </c>
      <c r="Z463" s="3">
        <f>IF(tblOrdenes[[#This Row],[cod_actividad]]="","",_xlfn.XLOOKUP(tblOrdenes[[#This Row],[cod_actividad]],tblActividades[codigo],tblActividades[descripcion],"(sin catálogo)"))</f>
        <v/>
      </c>
      <c r="AA463" s="12">
        <f>IF(tblOrdenes[[#This Row],[fecha_inicio]]="","",TODAY()-tblOrdenes[[#This Row],[fecha_inicio]])</f>
        <v/>
      </c>
      <c r="AB4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3">
        <f>IF(tblOrdenes[[#This Row],[backlog_habiles]]="","",IF(tblOrdenes[[#This Row],[backlog_habiles]]&lt;0,"FUTURO",IF(tblOrdenes[[#This Row],[backlog_habiles]]&gt;p_dias_backlog_max,"BACKLOG","MES CORRIENTE")))</f>
        <v/>
      </c>
      <c r="AD463" s="3">
        <f>IF(tblOrdenes[[#This Row],[backlog_habiles]]="",FALSE,AND(tblOrdenes[[#This Row],[backlog_habiles]]&gt;p_dias_backlog_min,tblOrdenes[[#This Row],[backlog_habiles]]&lt;=p_dias_backlog_max))</f>
        <v/>
      </c>
      <c r="AE463" s="6" t="n"/>
      <c r="AF4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0">
        <f>IF(tblOrdenes[[#This Row],[orden]]="","",_xlfn.XLOOKUP(tblOrdenes[[#This Row],[id_operacion]],tblEjecucion[id_operacion],tblEjecucion[precio],0))</f>
        <v/>
      </c>
      <c r="AJ463" s="10">
        <f>IF(tblOrdenes[[#This Row],[orden]]="","",MAX(0,_xlfn.XLOOKUP(tblOrdenes[[#This Row],[id_operacion]],tblEjecucion[id_operacion],tblEjecucion[costo_plan_total],0)-tblOrdenes[[#This Row],[costo_servicio]]))</f>
        <v/>
      </c>
      <c r="AK463" s="10">
        <f>IF(tblOrdenes[[#This Row],[orden]]="","",tblOrdenes[[#This Row],[costo_servicio]]+tblOrdenes[[#This Row],[costo_materiales]])</f>
        <v/>
      </c>
      <c r="AL463" s="6" t="n"/>
      <c r="AM463" s="6" t="n"/>
      <c r="AN463" s="6" t="n"/>
      <c r="AO463" s="3">
        <f>IF(tblOrdenes[[#This Row],[link_checklist]]="","",HYPERLINK(p_ruta_base_checklists&amp;tblOrdenes[[#This Row],[link_checklist]],"abrir"))</f>
        <v/>
      </c>
      <c r="AP463" s="6" t="n"/>
      <c r="AQ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3">
        <f>IF(tblOrdenes[[#This Row],[tipo_ot]]="","",_xlfn.XLOOKUP(tblOrdenes[[#This Row],[tipo_ot]],tblTiposOT[codigo],tblTiposOT[clasificacion],"sin_clasificar"))</f>
        <v/>
      </c>
      <c r="U464" s="3">
        <f>IF(tblOrdenes[[#This Row],[centro_costo]]="","",_xlfn.XLOOKUP(tblOrdenes[[#This Row],[centro_costo]],tblCECO[codigo],tblCECO[linea],"(sin catálogo)"))</f>
        <v/>
      </c>
      <c r="V464" s="3">
        <f>IF(tblOrdenes[[#This Row],[centro_costo]]="","",_xlfn.XLOOKUP(tblOrdenes[[#This Row],[centro_costo]],tblCECO[codigo],tblCECO[area],"(sin catálogo)"))</f>
        <v/>
      </c>
      <c r="W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3">
        <f>IF(tblOrdenes[[#This Row],[centro_costo]]="","",_xlfn.XLOOKUP(tblOrdenes[[#This Row],[centro_costo]],tblCECO[codigo],tblCECO[coordinador],"(sin catálogo)"))</f>
        <v/>
      </c>
      <c r="Y464" s="3">
        <f>IF(tblOrdenes[[#This Row],[puesto_trabajo]]="","",_xlfn.XLOOKUP(tblOrdenes[[#This Row],[puesto_trabajo]],tblPuestos[codigo],tblPuestos[especialidad],"(sin catálogo)"))</f>
        <v/>
      </c>
      <c r="Z464" s="3">
        <f>IF(tblOrdenes[[#This Row],[cod_actividad]]="","",_xlfn.XLOOKUP(tblOrdenes[[#This Row],[cod_actividad]],tblActividades[codigo],tblActividades[descripcion],"(sin catálogo)"))</f>
        <v/>
      </c>
      <c r="AA464" s="12">
        <f>IF(tblOrdenes[[#This Row],[fecha_inicio]]="","",TODAY()-tblOrdenes[[#This Row],[fecha_inicio]])</f>
        <v/>
      </c>
      <c r="AB4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3">
        <f>IF(tblOrdenes[[#This Row],[backlog_habiles]]="","",IF(tblOrdenes[[#This Row],[backlog_habiles]]&lt;0,"FUTURO",IF(tblOrdenes[[#This Row],[backlog_habiles]]&gt;p_dias_backlog_max,"BACKLOG","MES CORRIENTE")))</f>
        <v/>
      </c>
      <c r="AD464" s="3">
        <f>IF(tblOrdenes[[#This Row],[backlog_habiles]]="",FALSE,AND(tblOrdenes[[#This Row],[backlog_habiles]]&gt;p_dias_backlog_min,tblOrdenes[[#This Row],[backlog_habiles]]&lt;=p_dias_backlog_max))</f>
        <v/>
      </c>
      <c r="AE464" s="6" t="n"/>
      <c r="AF4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0">
        <f>IF(tblOrdenes[[#This Row],[orden]]="","",_xlfn.XLOOKUP(tblOrdenes[[#This Row],[id_operacion]],tblEjecucion[id_operacion],tblEjecucion[precio],0))</f>
        <v/>
      </c>
      <c r="AJ464" s="10">
        <f>IF(tblOrdenes[[#This Row],[orden]]="","",MAX(0,_xlfn.XLOOKUP(tblOrdenes[[#This Row],[id_operacion]],tblEjecucion[id_operacion],tblEjecucion[costo_plan_total],0)-tblOrdenes[[#This Row],[costo_servicio]]))</f>
        <v/>
      </c>
      <c r="AK464" s="10">
        <f>IF(tblOrdenes[[#This Row],[orden]]="","",tblOrdenes[[#This Row],[costo_servicio]]+tblOrdenes[[#This Row],[costo_materiales]])</f>
        <v/>
      </c>
      <c r="AL464" s="6" t="n"/>
      <c r="AM464" s="6" t="n"/>
      <c r="AN464" s="6" t="n"/>
      <c r="AO464" s="3">
        <f>IF(tblOrdenes[[#This Row],[link_checklist]]="","",HYPERLINK(p_ruta_base_checklists&amp;tblOrdenes[[#This Row],[link_checklist]],"abrir"))</f>
        <v/>
      </c>
      <c r="AP464" s="6" t="n"/>
      <c r="AQ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3">
        <f>IF(tblOrdenes[[#This Row],[tipo_ot]]="","",_xlfn.XLOOKUP(tblOrdenes[[#This Row],[tipo_ot]],tblTiposOT[codigo],tblTiposOT[clasificacion],"sin_clasificar"))</f>
        <v/>
      </c>
      <c r="U465" s="3">
        <f>IF(tblOrdenes[[#This Row],[centro_costo]]="","",_xlfn.XLOOKUP(tblOrdenes[[#This Row],[centro_costo]],tblCECO[codigo],tblCECO[linea],"(sin catálogo)"))</f>
        <v/>
      </c>
      <c r="V465" s="3">
        <f>IF(tblOrdenes[[#This Row],[centro_costo]]="","",_xlfn.XLOOKUP(tblOrdenes[[#This Row],[centro_costo]],tblCECO[codigo],tblCECO[area],"(sin catálogo)"))</f>
        <v/>
      </c>
      <c r="W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3">
        <f>IF(tblOrdenes[[#This Row],[centro_costo]]="","",_xlfn.XLOOKUP(tblOrdenes[[#This Row],[centro_costo]],tblCECO[codigo],tblCECO[coordinador],"(sin catálogo)"))</f>
        <v/>
      </c>
      <c r="Y465" s="3">
        <f>IF(tblOrdenes[[#This Row],[puesto_trabajo]]="","",_xlfn.XLOOKUP(tblOrdenes[[#This Row],[puesto_trabajo]],tblPuestos[codigo],tblPuestos[especialidad],"(sin catálogo)"))</f>
        <v/>
      </c>
      <c r="Z465" s="3">
        <f>IF(tblOrdenes[[#This Row],[cod_actividad]]="","",_xlfn.XLOOKUP(tblOrdenes[[#This Row],[cod_actividad]],tblActividades[codigo],tblActividades[descripcion],"(sin catálogo)"))</f>
        <v/>
      </c>
      <c r="AA465" s="12">
        <f>IF(tblOrdenes[[#This Row],[fecha_inicio]]="","",TODAY()-tblOrdenes[[#This Row],[fecha_inicio]])</f>
        <v/>
      </c>
      <c r="AB4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3">
        <f>IF(tblOrdenes[[#This Row],[backlog_habiles]]="","",IF(tblOrdenes[[#This Row],[backlog_habiles]]&lt;0,"FUTURO",IF(tblOrdenes[[#This Row],[backlog_habiles]]&gt;p_dias_backlog_max,"BACKLOG","MES CORRIENTE")))</f>
        <v/>
      </c>
      <c r="AD465" s="3">
        <f>IF(tblOrdenes[[#This Row],[backlog_habiles]]="",FALSE,AND(tblOrdenes[[#This Row],[backlog_habiles]]&gt;p_dias_backlog_min,tblOrdenes[[#This Row],[backlog_habiles]]&lt;=p_dias_backlog_max))</f>
        <v/>
      </c>
      <c r="AE465" s="6" t="n"/>
      <c r="AF4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0">
        <f>IF(tblOrdenes[[#This Row],[orden]]="","",_xlfn.XLOOKUP(tblOrdenes[[#This Row],[id_operacion]],tblEjecucion[id_operacion],tblEjecucion[precio],0))</f>
        <v/>
      </c>
      <c r="AJ465" s="10">
        <f>IF(tblOrdenes[[#This Row],[orden]]="","",MAX(0,_xlfn.XLOOKUP(tblOrdenes[[#This Row],[id_operacion]],tblEjecucion[id_operacion],tblEjecucion[costo_plan_total],0)-tblOrdenes[[#This Row],[costo_servicio]]))</f>
        <v/>
      </c>
      <c r="AK465" s="10">
        <f>IF(tblOrdenes[[#This Row],[orden]]="","",tblOrdenes[[#This Row],[costo_servicio]]+tblOrdenes[[#This Row],[costo_materiales]])</f>
        <v/>
      </c>
      <c r="AL465" s="6" t="n"/>
      <c r="AM465" s="6" t="n"/>
      <c r="AN465" s="6" t="n"/>
      <c r="AO465" s="3">
        <f>IF(tblOrdenes[[#This Row],[link_checklist]]="","",HYPERLINK(p_ruta_base_checklists&amp;tblOrdenes[[#This Row],[link_checklist]],"abrir"))</f>
        <v/>
      </c>
      <c r="AP465" s="6" t="n"/>
      <c r="AQ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3">
        <f>IF(tblOrdenes[[#This Row],[tipo_ot]]="","",_xlfn.XLOOKUP(tblOrdenes[[#This Row],[tipo_ot]],tblTiposOT[codigo],tblTiposOT[clasificacion],"sin_clasificar"))</f>
        <v/>
      </c>
      <c r="U466" s="3">
        <f>IF(tblOrdenes[[#This Row],[centro_costo]]="","",_xlfn.XLOOKUP(tblOrdenes[[#This Row],[centro_costo]],tblCECO[codigo],tblCECO[linea],"(sin catálogo)"))</f>
        <v/>
      </c>
      <c r="V466" s="3">
        <f>IF(tblOrdenes[[#This Row],[centro_costo]]="","",_xlfn.XLOOKUP(tblOrdenes[[#This Row],[centro_costo]],tblCECO[codigo],tblCECO[area],"(sin catálogo)"))</f>
        <v/>
      </c>
      <c r="W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3">
        <f>IF(tblOrdenes[[#This Row],[centro_costo]]="","",_xlfn.XLOOKUP(tblOrdenes[[#This Row],[centro_costo]],tblCECO[codigo],tblCECO[coordinador],"(sin catálogo)"))</f>
        <v/>
      </c>
      <c r="Y466" s="3">
        <f>IF(tblOrdenes[[#This Row],[puesto_trabajo]]="","",_xlfn.XLOOKUP(tblOrdenes[[#This Row],[puesto_trabajo]],tblPuestos[codigo],tblPuestos[especialidad],"(sin catálogo)"))</f>
        <v/>
      </c>
      <c r="Z466" s="3">
        <f>IF(tblOrdenes[[#This Row],[cod_actividad]]="","",_xlfn.XLOOKUP(tblOrdenes[[#This Row],[cod_actividad]],tblActividades[codigo],tblActividades[descripcion],"(sin catálogo)"))</f>
        <v/>
      </c>
      <c r="AA466" s="12">
        <f>IF(tblOrdenes[[#This Row],[fecha_inicio]]="","",TODAY()-tblOrdenes[[#This Row],[fecha_inicio]])</f>
        <v/>
      </c>
      <c r="AB4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3">
        <f>IF(tblOrdenes[[#This Row],[backlog_habiles]]="","",IF(tblOrdenes[[#This Row],[backlog_habiles]]&lt;0,"FUTURO",IF(tblOrdenes[[#This Row],[backlog_habiles]]&gt;p_dias_backlog_max,"BACKLOG","MES CORRIENTE")))</f>
        <v/>
      </c>
      <c r="AD466" s="3">
        <f>IF(tblOrdenes[[#This Row],[backlog_habiles]]="",FALSE,AND(tblOrdenes[[#This Row],[backlog_habiles]]&gt;p_dias_backlog_min,tblOrdenes[[#This Row],[backlog_habiles]]&lt;=p_dias_backlog_max))</f>
        <v/>
      </c>
      <c r="AE466" s="6" t="n"/>
      <c r="AF4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0">
        <f>IF(tblOrdenes[[#This Row],[orden]]="","",_xlfn.XLOOKUP(tblOrdenes[[#This Row],[id_operacion]],tblEjecucion[id_operacion],tblEjecucion[precio],0))</f>
        <v/>
      </c>
      <c r="AJ466" s="10">
        <f>IF(tblOrdenes[[#This Row],[orden]]="","",MAX(0,_xlfn.XLOOKUP(tblOrdenes[[#This Row],[id_operacion]],tblEjecucion[id_operacion],tblEjecucion[costo_plan_total],0)-tblOrdenes[[#This Row],[costo_servicio]]))</f>
        <v/>
      </c>
      <c r="AK466" s="10">
        <f>IF(tblOrdenes[[#This Row],[orden]]="","",tblOrdenes[[#This Row],[costo_servicio]]+tblOrdenes[[#This Row],[costo_materiales]])</f>
        <v/>
      </c>
      <c r="AL466" s="6" t="n"/>
      <c r="AM466" s="6" t="n"/>
      <c r="AN466" s="6" t="n"/>
      <c r="AO466" s="3">
        <f>IF(tblOrdenes[[#This Row],[link_checklist]]="","",HYPERLINK(p_ruta_base_checklists&amp;tblOrdenes[[#This Row],[link_checklist]],"abrir"))</f>
        <v/>
      </c>
      <c r="AP466" s="6" t="n"/>
      <c r="AQ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3">
        <f>IF(tblOrdenes[[#This Row],[tipo_ot]]="","",_xlfn.XLOOKUP(tblOrdenes[[#This Row],[tipo_ot]],tblTiposOT[codigo],tblTiposOT[clasificacion],"sin_clasificar"))</f>
        <v/>
      </c>
      <c r="U467" s="3">
        <f>IF(tblOrdenes[[#This Row],[centro_costo]]="","",_xlfn.XLOOKUP(tblOrdenes[[#This Row],[centro_costo]],tblCECO[codigo],tblCECO[linea],"(sin catálogo)"))</f>
        <v/>
      </c>
      <c r="V467" s="3">
        <f>IF(tblOrdenes[[#This Row],[centro_costo]]="","",_xlfn.XLOOKUP(tblOrdenes[[#This Row],[centro_costo]],tblCECO[codigo],tblCECO[area],"(sin catálogo)"))</f>
        <v/>
      </c>
      <c r="W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3">
        <f>IF(tblOrdenes[[#This Row],[centro_costo]]="","",_xlfn.XLOOKUP(tblOrdenes[[#This Row],[centro_costo]],tblCECO[codigo],tblCECO[coordinador],"(sin catálogo)"))</f>
        <v/>
      </c>
      <c r="Y467" s="3">
        <f>IF(tblOrdenes[[#This Row],[puesto_trabajo]]="","",_xlfn.XLOOKUP(tblOrdenes[[#This Row],[puesto_trabajo]],tblPuestos[codigo],tblPuestos[especialidad],"(sin catálogo)"))</f>
        <v/>
      </c>
      <c r="Z467" s="3">
        <f>IF(tblOrdenes[[#This Row],[cod_actividad]]="","",_xlfn.XLOOKUP(tblOrdenes[[#This Row],[cod_actividad]],tblActividades[codigo],tblActividades[descripcion],"(sin catálogo)"))</f>
        <v/>
      </c>
      <c r="AA467" s="12">
        <f>IF(tblOrdenes[[#This Row],[fecha_inicio]]="","",TODAY()-tblOrdenes[[#This Row],[fecha_inicio]])</f>
        <v/>
      </c>
      <c r="AB4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3">
        <f>IF(tblOrdenes[[#This Row],[backlog_habiles]]="","",IF(tblOrdenes[[#This Row],[backlog_habiles]]&lt;0,"FUTURO",IF(tblOrdenes[[#This Row],[backlog_habiles]]&gt;p_dias_backlog_max,"BACKLOG","MES CORRIENTE")))</f>
        <v/>
      </c>
      <c r="AD467" s="3">
        <f>IF(tblOrdenes[[#This Row],[backlog_habiles]]="",FALSE,AND(tblOrdenes[[#This Row],[backlog_habiles]]&gt;p_dias_backlog_min,tblOrdenes[[#This Row],[backlog_habiles]]&lt;=p_dias_backlog_max))</f>
        <v/>
      </c>
      <c r="AE467" s="6" t="n"/>
      <c r="AF4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0">
        <f>IF(tblOrdenes[[#This Row],[orden]]="","",_xlfn.XLOOKUP(tblOrdenes[[#This Row],[id_operacion]],tblEjecucion[id_operacion],tblEjecucion[precio],0))</f>
        <v/>
      </c>
      <c r="AJ467" s="10">
        <f>IF(tblOrdenes[[#This Row],[orden]]="","",MAX(0,_xlfn.XLOOKUP(tblOrdenes[[#This Row],[id_operacion]],tblEjecucion[id_operacion],tblEjecucion[costo_plan_total],0)-tblOrdenes[[#This Row],[costo_servicio]]))</f>
        <v/>
      </c>
      <c r="AK467" s="10">
        <f>IF(tblOrdenes[[#This Row],[orden]]="","",tblOrdenes[[#This Row],[costo_servicio]]+tblOrdenes[[#This Row],[costo_materiales]])</f>
        <v/>
      </c>
      <c r="AL467" s="6" t="n"/>
      <c r="AM467" s="6" t="n"/>
      <c r="AN467" s="6" t="n"/>
      <c r="AO467" s="3">
        <f>IF(tblOrdenes[[#This Row],[link_checklist]]="","",HYPERLINK(p_ruta_base_checklists&amp;tblOrdenes[[#This Row],[link_checklist]],"abrir"))</f>
        <v/>
      </c>
      <c r="AP467" s="6" t="n"/>
      <c r="AQ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3">
        <f>IF(tblOrdenes[[#This Row],[tipo_ot]]="","",_xlfn.XLOOKUP(tblOrdenes[[#This Row],[tipo_ot]],tblTiposOT[codigo],tblTiposOT[clasificacion],"sin_clasificar"))</f>
        <v/>
      </c>
      <c r="U468" s="3">
        <f>IF(tblOrdenes[[#This Row],[centro_costo]]="","",_xlfn.XLOOKUP(tblOrdenes[[#This Row],[centro_costo]],tblCECO[codigo],tblCECO[linea],"(sin catálogo)"))</f>
        <v/>
      </c>
      <c r="V468" s="3">
        <f>IF(tblOrdenes[[#This Row],[centro_costo]]="","",_xlfn.XLOOKUP(tblOrdenes[[#This Row],[centro_costo]],tblCECO[codigo],tblCECO[area],"(sin catálogo)"))</f>
        <v/>
      </c>
      <c r="W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3">
        <f>IF(tblOrdenes[[#This Row],[centro_costo]]="","",_xlfn.XLOOKUP(tblOrdenes[[#This Row],[centro_costo]],tblCECO[codigo],tblCECO[coordinador],"(sin catálogo)"))</f>
        <v/>
      </c>
      <c r="Y468" s="3">
        <f>IF(tblOrdenes[[#This Row],[puesto_trabajo]]="","",_xlfn.XLOOKUP(tblOrdenes[[#This Row],[puesto_trabajo]],tblPuestos[codigo],tblPuestos[especialidad],"(sin catálogo)"))</f>
        <v/>
      </c>
      <c r="Z468" s="3">
        <f>IF(tblOrdenes[[#This Row],[cod_actividad]]="","",_xlfn.XLOOKUP(tblOrdenes[[#This Row],[cod_actividad]],tblActividades[codigo],tblActividades[descripcion],"(sin catálogo)"))</f>
        <v/>
      </c>
      <c r="AA468" s="12">
        <f>IF(tblOrdenes[[#This Row],[fecha_inicio]]="","",TODAY()-tblOrdenes[[#This Row],[fecha_inicio]])</f>
        <v/>
      </c>
      <c r="AB4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3">
        <f>IF(tblOrdenes[[#This Row],[backlog_habiles]]="","",IF(tblOrdenes[[#This Row],[backlog_habiles]]&lt;0,"FUTURO",IF(tblOrdenes[[#This Row],[backlog_habiles]]&gt;p_dias_backlog_max,"BACKLOG","MES CORRIENTE")))</f>
        <v/>
      </c>
      <c r="AD468" s="3">
        <f>IF(tblOrdenes[[#This Row],[backlog_habiles]]="",FALSE,AND(tblOrdenes[[#This Row],[backlog_habiles]]&gt;p_dias_backlog_min,tblOrdenes[[#This Row],[backlog_habiles]]&lt;=p_dias_backlog_max))</f>
        <v/>
      </c>
      <c r="AE468" s="6" t="n"/>
      <c r="AF4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0">
        <f>IF(tblOrdenes[[#This Row],[orden]]="","",_xlfn.XLOOKUP(tblOrdenes[[#This Row],[id_operacion]],tblEjecucion[id_operacion],tblEjecucion[precio],0))</f>
        <v/>
      </c>
      <c r="AJ468" s="10">
        <f>IF(tblOrdenes[[#This Row],[orden]]="","",MAX(0,_xlfn.XLOOKUP(tblOrdenes[[#This Row],[id_operacion]],tblEjecucion[id_operacion],tblEjecucion[costo_plan_total],0)-tblOrdenes[[#This Row],[costo_servicio]]))</f>
        <v/>
      </c>
      <c r="AK468" s="10">
        <f>IF(tblOrdenes[[#This Row],[orden]]="","",tblOrdenes[[#This Row],[costo_servicio]]+tblOrdenes[[#This Row],[costo_materiales]])</f>
        <v/>
      </c>
      <c r="AL468" s="6" t="n"/>
      <c r="AM468" s="6" t="n"/>
      <c r="AN468" s="6" t="n"/>
      <c r="AO468" s="3">
        <f>IF(tblOrdenes[[#This Row],[link_checklist]]="","",HYPERLINK(p_ruta_base_checklists&amp;tblOrdenes[[#This Row],[link_checklist]],"abrir"))</f>
        <v/>
      </c>
      <c r="AP468" s="6" t="n"/>
      <c r="AQ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3">
        <f>IF(tblOrdenes[[#This Row],[tipo_ot]]="","",_xlfn.XLOOKUP(tblOrdenes[[#This Row],[tipo_ot]],tblTiposOT[codigo],tblTiposOT[clasificacion],"sin_clasificar"))</f>
        <v/>
      </c>
      <c r="U469" s="3">
        <f>IF(tblOrdenes[[#This Row],[centro_costo]]="","",_xlfn.XLOOKUP(tblOrdenes[[#This Row],[centro_costo]],tblCECO[codigo],tblCECO[linea],"(sin catálogo)"))</f>
        <v/>
      </c>
      <c r="V469" s="3">
        <f>IF(tblOrdenes[[#This Row],[centro_costo]]="","",_xlfn.XLOOKUP(tblOrdenes[[#This Row],[centro_costo]],tblCECO[codigo],tblCECO[area],"(sin catálogo)"))</f>
        <v/>
      </c>
      <c r="W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3">
        <f>IF(tblOrdenes[[#This Row],[centro_costo]]="","",_xlfn.XLOOKUP(tblOrdenes[[#This Row],[centro_costo]],tblCECO[codigo],tblCECO[coordinador],"(sin catálogo)"))</f>
        <v/>
      </c>
      <c r="Y469" s="3">
        <f>IF(tblOrdenes[[#This Row],[puesto_trabajo]]="","",_xlfn.XLOOKUP(tblOrdenes[[#This Row],[puesto_trabajo]],tblPuestos[codigo],tblPuestos[especialidad],"(sin catálogo)"))</f>
        <v/>
      </c>
      <c r="Z469" s="3">
        <f>IF(tblOrdenes[[#This Row],[cod_actividad]]="","",_xlfn.XLOOKUP(tblOrdenes[[#This Row],[cod_actividad]],tblActividades[codigo],tblActividades[descripcion],"(sin catálogo)"))</f>
        <v/>
      </c>
      <c r="AA469" s="12">
        <f>IF(tblOrdenes[[#This Row],[fecha_inicio]]="","",TODAY()-tblOrdenes[[#This Row],[fecha_inicio]])</f>
        <v/>
      </c>
      <c r="AB4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3">
        <f>IF(tblOrdenes[[#This Row],[backlog_habiles]]="","",IF(tblOrdenes[[#This Row],[backlog_habiles]]&lt;0,"FUTURO",IF(tblOrdenes[[#This Row],[backlog_habiles]]&gt;p_dias_backlog_max,"BACKLOG","MES CORRIENTE")))</f>
        <v/>
      </c>
      <c r="AD469" s="3">
        <f>IF(tblOrdenes[[#This Row],[backlog_habiles]]="",FALSE,AND(tblOrdenes[[#This Row],[backlog_habiles]]&gt;p_dias_backlog_min,tblOrdenes[[#This Row],[backlog_habiles]]&lt;=p_dias_backlog_max))</f>
        <v/>
      </c>
      <c r="AE469" s="6" t="n"/>
      <c r="AF4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0">
        <f>IF(tblOrdenes[[#This Row],[orden]]="","",_xlfn.XLOOKUP(tblOrdenes[[#This Row],[id_operacion]],tblEjecucion[id_operacion],tblEjecucion[precio],0))</f>
        <v/>
      </c>
      <c r="AJ469" s="10">
        <f>IF(tblOrdenes[[#This Row],[orden]]="","",MAX(0,_xlfn.XLOOKUP(tblOrdenes[[#This Row],[id_operacion]],tblEjecucion[id_operacion],tblEjecucion[costo_plan_total],0)-tblOrdenes[[#This Row],[costo_servicio]]))</f>
        <v/>
      </c>
      <c r="AK469" s="10">
        <f>IF(tblOrdenes[[#This Row],[orden]]="","",tblOrdenes[[#This Row],[costo_servicio]]+tblOrdenes[[#This Row],[costo_materiales]])</f>
        <v/>
      </c>
      <c r="AL469" s="6" t="n"/>
      <c r="AM469" s="6" t="n"/>
      <c r="AN469" s="6" t="n"/>
      <c r="AO469" s="3">
        <f>IF(tblOrdenes[[#This Row],[link_checklist]]="","",HYPERLINK(p_ruta_base_checklists&amp;tblOrdenes[[#This Row],[link_checklist]],"abrir"))</f>
        <v/>
      </c>
      <c r="AP469" s="6" t="n"/>
      <c r="AQ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3">
        <f>IF(tblOrdenes[[#This Row],[tipo_ot]]="","",_xlfn.XLOOKUP(tblOrdenes[[#This Row],[tipo_ot]],tblTiposOT[codigo],tblTiposOT[clasificacion],"sin_clasificar"))</f>
        <v/>
      </c>
      <c r="U470" s="3">
        <f>IF(tblOrdenes[[#This Row],[centro_costo]]="","",_xlfn.XLOOKUP(tblOrdenes[[#This Row],[centro_costo]],tblCECO[codigo],tblCECO[linea],"(sin catálogo)"))</f>
        <v/>
      </c>
      <c r="V470" s="3">
        <f>IF(tblOrdenes[[#This Row],[centro_costo]]="","",_xlfn.XLOOKUP(tblOrdenes[[#This Row],[centro_costo]],tblCECO[codigo],tblCECO[area],"(sin catálogo)"))</f>
        <v/>
      </c>
      <c r="W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3">
        <f>IF(tblOrdenes[[#This Row],[centro_costo]]="","",_xlfn.XLOOKUP(tblOrdenes[[#This Row],[centro_costo]],tblCECO[codigo],tblCECO[coordinador],"(sin catálogo)"))</f>
        <v/>
      </c>
      <c r="Y470" s="3">
        <f>IF(tblOrdenes[[#This Row],[puesto_trabajo]]="","",_xlfn.XLOOKUP(tblOrdenes[[#This Row],[puesto_trabajo]],tblPuestos[codigo],tblPuestos[especialidad],"(sin catálogo)"))</f>
        <v/>
      </c>
      <c r="Z470" s="3">
        <f>IF(tblOrdenes[[#This Row],[cod_actividad]]="","",_xlfn.XLOOKUP(tblOrdenes[[#This Row],[cod_actividad]],tblActividades[codigo],tblActividades[descripcion],"(sin catálogo)"))</f>
        <v/>
      </c>
      <c r="AA470" s="12">
        <f>IF(tblOrdenes[[#This Row],[fecha_inicio]]="","",TODAY()-tblOrdenes[[#This Row],[fecha_inicio]])</f>
        <v/>
      </c>
      <c r="AB4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3">
        <f>IF(tblOrdenes[[#This Row],[backlog_habiles]]="","",IF(tblOrdenes[[#This Row],[backlog_habiles]]&lt;0,"FUTURO",IF(tblOrdenes[[#This Row],[backlog_habiles]]&gt;p_dias_backlog_max,"BACKLOG","MES CORRIENTE")))</f>
        <v/>
      </c>
      <c r="AD470" s="3">
        <f>IF(tblOrdenes[[#This Row],[backlog_habiles]]="",FALSE,AND(tblOrdenes[[#This Row],[backlog_habiles]]&gt;p_dias_backlog_min,tblOrdenes[[#This Row],[backlog_habiles]]&lt;=p_dias_backlog_max))</f>
        <v/>
      </c>
      <c r="AE470" s="6" t="n"/>
      <c r="AF4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0">
        <f>IF(tblOrdenes[[#This Row],[orden]]="","",_xlfn.XLOOKUP(tblOrdenes[[#This Row],[id_operacion]],tblEjecucion[id_operacion],tblEjecucion[precio],0))</f>
        <v/>
      </c>
      <c r="AJ470" s="10">
        <f>IF(tblOrdenes[[#This Row],[orden]]="","",MAX(0,_xlfn.XLOOKUP(tblOrdenes[[#This Row],[id_operacion]],tblEjecucion[id_operacion],tblEjecucion[costo_plan_total],0)-tblOrdenes[[#This Row],[costo_servicio]]))</f>
        <v/>
      </c>
      <c r="AK470" s="10">
        <f>IF(tblOrdenes[[#This Row],[orden]]="","",tblOrdenes[[#This Row],[costo_servicio]]+tblOrdenes[[#This Row],[costo_materiales]])</f>
        <v/>
      </c>
      <c r="AL470" s="6" t="n"/>
      <c r="AM470" s="6" t="n"/>
      <c r="AN470" s="6" t="n"/>
      <c r="AO470" s="3">
        <f>IF(tblOrdenes[[#This Row],[link_checklist]]="","",HYPERLINK(p_ruta_base_checklists&amp;tblOrdenes[[#This Row],[link_checklist]],"abrir"))</f>
        <v/>
      </c>
      <c r="AP470" s="6" t="n"/>
      <c r="AQ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3">
        <f>IF(tblOrdenes[[#This Row],[tipo_ot]]="","",_xlfn.XLOOKUP(tblOrdenes[[#This Row],[tipo_ot]],tblTiposOT[codigo],tblTiposOT[clasificacion],"sin_clasificar"))</f>
        <v/>
      </c>
      <c r="U471" s="3">
        <f>IF(tblOrdenes[[#This Row],[centro_costo]]="","",_xlfn.XLOOKUP(tblOrdenes[[#This Row],[centro_costo]],tblCECO[codigo],tblCECO[linea],"(sin catálogo)"))</f>
        <v/>
      </c>
      <c r="V471" s="3">
        <f>IF(tblOrdenes[[#This Row],[centro_costo]]="","",_xlfn.XLOOKUP(tblOrdenes[[#This Row],[centro_costo]],tblCECO[codigo],tblCECO[area],"(sin catálogo)"))</f>
        <v/>
      </c>
      <c r="W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3">
        <f>IF(tblOrdenes[[#This Row],[centro_costo]]="","",_xlfn.XLOOKUP(tblOrdenes[[#This Row],[centro_costo]],tblCECO[codigo],tblCECO[coordinador],"(sin catálogo)"))</f>
        <v/>
      </c>
      <c r="Y471" s="3">
        <f>IF(tblOrdenes[[#This Row],[puesto_trabajo]]="","",_xlfn.XLOOKUP(tblOrdenes[[#This Row],[puesto_trabajo]],tblPuestos[codigo],tblPuestos[especialidad],"(sin catálogo)"))</f>
        <v/>
      </c>
      <c r="Z471" s="3">
        <f>IF(tblOrdenes[[#This Row],[cod_actividad]]="","",_xlfn.XLOOKUP(tblOrdenes[[#This Row],[cod_actividad]],tblActividades[codigo],tblActividades[descripcion],"(sin catálogo)"))</f>
        <v/>
      </c>
      <c r="AA471" s="12">
        <f>IF(tblOrdenes[[#This Row],[fecha_inicio]]="","",TODAY()-tblOrdenes[[#This Row],[fecha_inicio]])</f>
        <v/>
      </c>
      <c r="AB4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3">
        <f>IF(tblOrdenes[[#This Row],[backlog_habiles]]="","",IF(tblOrdenes[[#This Row],[backlog_habiles]]&lt;0,"FUTURO",IF(tblOrdenes[[#This Row],[backlog_habiles]]&gt;p_dias_backlog_max,"BACKLOG","MES CORRIENTE")))</f>
        <v/>
      </c>
      <c r="AD471" s="3">
        <f>IF(tblOrdenes[[#This Row],[backlog_habiles]]="",FALSE,AND(tblOrdenes[[#This Row],[backlog_habiles]]&gt;p_dias_backlog_min,tblOrdenes[[#This Row],[backlog_habiles]]&lt;=p_dias_backlog_max))</f>
        <v/>
      </c>
      <c r="AE471" s="6" t="n"/>
      <c r="AF4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0">
        <f>IF(tblOrdenes[[#This Row],[orden]]="","",_xlfn.XLOOKUP(tblOrdenes[[#This Row],[id_operacion]],tblEjecucion[id_operacion],tblEjecucion[precio],0))</f>
        <v/>
      </c>
      <c r="AJ471" s="10">
        <f>IF(tblOrdenes[[#This Row],[orden]]="","",MAX(0,_xlfn.XLOOKUP(tblOrdenes[[#This Row],[id_operacion]],tblEjecucion[id_operacion],tblEjecucion[costo_plan_total],0)-tblOrdenes[[#This Row],[costo_servicio]]))</f>
        <v/>
      </c>
      <c r="AK471" s="10">
        <f>IF(tblOrdenes[[#This Row],[orden]]="","",tblOrdenes[[#This Row],[costo_servicio]]+tblOrdenes[[#This Row],[costo_materiales]])</f>
        <v/>
      </c>
      <c r="AL471" s="6" t="n"/>
      <c r="AM471" s="6" t="n"/>
      <c r="AN471" s="6" t="n"/>
      <c r="AO471" s="3">
        <f>IF(tblOrdenes[[#This Row],[link_checklist]]="","",HYPERLINK(p_ruta_base_checklists&amp;tblOrdenes[[#This Row],[link_checklist]],"abrir"))</f>
        <v/>
      </c>
      <c r="AP471" s="6" t="n"/>
      <c r="AQ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3">
        <f>IF(tblOrdenes[[#This Row],[tipo_ot]]="","",_xlfn.XLOOKUP(tblOrdenes[[#This Row],[tipo_ot]],tblTiposOT[codigo],tblTiposOT[clasificacion],"sin_clasificar"))</f>
        <v/>
      </c>
      <c r="U472" s="3">
        <f>IF(tblOrdenes[[#This Row],[centro_costo]]="","",_xlfn.XLOOKUP(tblOrdenes[[#This Row],[centro_costo]],tblCECO[codigo],tblCECO[linea],"(sin catálogo)"))</f>
        <v/>
      </c>
      <c r="V472" s="3">
        <f>IF(tblOrdenes[[#This Row],[centro_costo]]="","",_xlfn.XLOOKUP(tblOrdenes[[#This Row],[centro_costo]],tblCECO[codigo],tblCECO[area],"(sin catálogo)"))</f>
        <v/>
      </c>
      <c r="W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3">
        <f>IF(tblOrdenes[[#This Row],[centro_costo]]="","",_xlfn.XLOOKUP(tblOrdenes[[#This Row],[centro_costo]],tblCECO[codigo],tblCECO[coordinador],"(sin catálogo)"))</f>
        <v/>
      </c>
      <c r="Y472" s="3">
        <f>IF(tblOrdenes[[#This Row],[puesto_trabajo]]="","",_xlfn.XLOOKUP(tblOrdenes[[#This Row],[puesto_trabajo]],tblPuestos[codigo],tblPuestos[especialidad],"(sin catálogo)"))</f>
        <v/>
      </c>
      <c r="Z472" s="3">
        <f>IF(tblOrdenes[[#This Row],[cod_actividad]]="","",_xlfn.XLOOKUP(tblOrdenes[[#This Row],[cod_actividad]],tblActividades[codigo],tblActividades[descripcion],"(sin catálogo)"))</f>
        <v/>
      </c>
      <c r="AA472" s="12">
        <f>IF(tblOrdenes[[#This Row],[fecha_inicio]]="","",TODAY()-tblOrdenes[[#This Row],[fecha_inicio]])</f>
        <v/>
      </c>
      <c r="AB4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3">
        <f>IF(tblOrdenes[[#This Row],[backlog_habiles]]="","",IF(tblOrdenes[[#This Row],[backlog_habiles]]&lt;0,"FUTURO",IF(tblOrdenes[[#This Row],[backlog_habiles]]&gt;p_dias_backlog_max,"BACKLOG","MES CORRIENTE")))</f>
        <v/>
      </c>
      <c r="AD472" s="3">
        <f>IF(tblOrdenes[[#This Row],[backlog_habiles]]="",FALSE,AND(tblOrdenes[[#This Row],[backlog_habiles]]&gt;p_dias_backlog_min,tblOrdenes[[#This Row],[backlog_habiles]]&lt;=p_dias_backlog_max))</f>
        <v/>
      </c>
      <c r="AE472" s="6" t="n"/>
      <c r="AF4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0">
        <f>IF(tblOrdenes[[#This Row],[orden]]="","",_xlfn.XLOOKUP(tblOrdenes[[#This Row],[id_operacion]],tblEjecucion[id_operacion],tblEjecucion[precio],0))</f>
        <v/>
      </c>
      <c r="AJ472" s="10">
        <f>IF(tblOrdenes[[#This Row],[orden]]="","",MAX(0,_xlfn.XLOOKUP(tblOrdenes[[#This Row],[id_operacion]],tblEjecucion[id_operacion],tblEjecucion[costo_plan_total],0)-tblOrdenes[[#This Row],[costo_servicio]]))</f>
        <v/>
      </c>
      <c r="AK472" s="10">
        <f>IF(tblOrdenes[[#This Row],[orden]]="","",tblOrdenes[[#This Row],[costo_servicio]]+tblOrdenes[[#This Row],[costo_materiales]])</f>
        <v/>
      </c>
      <c r="AL472" s="6" t="n"/>
      <c r="AM472" s="6" t="n"/>
      <c r="AN472" s="6" t="n"/>
      <c r="AO472" s="3">
        <f>IF(tblOrdenes[[#This Row],[link_checklist]]="","",HYPERLINK(p_ruta_base_checklists&amp;tblOrdenes[[#This Row],[link_checklist]],"abrir"))</f>
        <v/>
      </c>
      <c r="AP472" s="6" t="n"/>
      <c r="AQ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3">
        <f>IF(tblOrdenes[[#This Row],[tipo_ot]]="","",_xlfn.XLOOKUP(tblOrdenes[[#This Row],[tipo_ot]],tblTiposOT[codigo],tblTiposOT[clasificacion],"sin_clasificar"))</f>
        <v/>
      </c>
      <c r="U473" s="3">
        <f>IF(tblOrdenes[[#This Row],[centro_costo]]="","",_xlfn.XLOOKUP(tblOrdenes[[#This Row],[centro_costo]],tblCECO[codigo],tblCECO[linea],"(sin catálogo)"))</f>
        <v/>
      </c>
      <c r="V473" s="3">
        <f>IF(tblOrdenes[[#This Row],[centro_costo]]="","",_xlfn.XLOOKUP(tblOrdenes[[#This Row],[centro_costo]],tblCECO[codigo],tblCECO[area],"(sin catálogo)"))</f>
        <v/>
      </c>
      <c r="W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3">
        <f>IF(tblOrdenes[[#This Row],[centro_costo]]="","",_xlfn.XLOOKUP(tblOrdenes[[#This Row],[centro_costo]],tblCECO[codigo],tblCECO[coordinador],"(sin catálogo)"))</f>
        <v/>
      </c>
      <c r="Y473" s="3">
        <f>IF(tblOrdenes[[#This Row],[puesto_trabajo]]="","",_xlfn.XLOOKUP(tblOrdenes[[#This Row],[puesto_trabajo]],tblPuestos[codigo],tblPuestos[especialidad],"(sin catálogo)"))</f>
        <v/>
      </c>
      <c r="Z473" s="3">
        <f>IF(tblOrdenes[[#This Row],[cod_actividad]]="","",_xlfn.XLOOKUP(tblOrdenes[[#This Row],[cod_actividad]],tblActividades[codigo],tblActividades[descripcion],"(sin catálogo)"))</f>
        <v/>
      </c>
      <c r="AA473" s="12">
        <f>IF(tblOrdenes[[#This Row],[fecha_inicio]]="","",TODAY()-tblOrdenes[[#This Row],[fecha_inicio]])</f>
        <v/>
      </c>
      <c r="AB4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3">
        <f>IF(tblOrdenes[[#This Row],[backlog_habiles]]="","",IF(tblOrdenes[[#This Row],[backlog_habiles]]&lt;0,"FUTURO",IF(tblOrdenes[[#This Row],[backlog_habiles]]&gt;p_dias_backlog_max,"BACKLOG","MES CORRIENTE")))</f>
        <v/>
      </c>
      <c r="AD473" s="3">
        <f>IF(tblOrdenes[[#This Row],[backlog_habiles]]="",FALSE,AND(tblOrdenes[[#This Row],[backlog_habiles]]&gt;p_dias_backlog_min,tblOrdenes[[#This Row],[backlog_habiles]]&lt;=p_dias_backlog_max))</f>
        <v/>
      </c>
      <c r="AE473" s="6" t="n"/>
      <c r="AF4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0">
        <f>IF(tblOrdenes[[#This Row],[orden]]="","",_xlfn.XLOOKUP(tblOrdenes[[#This Row],[id_operacion]],tblEjecucion[id_operacion],tblEjecucion[precio],0))</f>
        <v/>
      </c>
      <c r="AJ473" s="10">
        <f>IF(tblOrdenes[[#This Row],[orden]]="","",MAX(0,_xlfn.XLOOKUP(tblOrdenes[[#This Row],[id_operacion]],tblEjecucion[id_operacion],tblEjecucion[costo_plan_total],0)-tblOrdenes[[#This Row],[costo_servicio]]))</f>
        <v/>
      </c>
      <c r="AK473" s="10">
        <f>IF(tblOrdenes[[#This Row],[orden]]="","",tblOrdenes[[#This Row],[costo_servicio]]+tblOrdenes[[#This Row],[costo_materiales]])</f>
        <v/>
      </c>
      <c r="AL473" s="6" t="n"/>
      <c r="AM473" s="6" t="n"/>
      <c r="AN473" s="6" t="n"/>
      <c r="AO473" s="3">
        <f>IF(tblOrdenes[[#This Row],[link_checklist]]="","",HYPERLINK(p_ruta_base_checklists&amp;tblOrdenes[[#This Row],[link_checklist]],"abrir"))</f>
        <v/>
      </c>
      <c r="AP473" s="6" t="n"/>
      <c r="AQ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3">
        <f>IF(tblOrdenes[[#This Row],[tipo_ot]]="","",_xlfn.XLOOKUP(tblOrdenes[[#This Row],[tipo_ot]],tblTiposOT[codigo],tblTiposOT[clasificacion],"sin_clasificar"))</f>
        <v/>
      </c>
      <c r="U474" s="3">
        <f>IF(tblOrdenes[[#This Row],[centro_costo]]="","",_xlfn.XLOOKUP(tblOrdenes[[#This Row],[centro_costo]],tblCECO[codigo],tblCECO[linea],"(sin catálogo)"))</f>
        <v/>
      </c>
      <c r="V474" s="3">
        <f>IF(tblOrdenes[[#This Row],[centro_costo]]="","",_xlfn.XLOOKUP(tblOrdenes[[#This Row],[centro_costo]],tblCECO[codigo],tblCECO[area],"(sin catálogo)"))</f>
        <v/>
      </c>
      <c r="W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3">
        <f>IF(tblOrdenes[[#This Row],[centro_costo]]="","",_xlfn.XLOOKUP(tblOrdenes[[#This Row],[centro_costo]],tblCECO[codigo],tblCECO[coordinador],"(sin catálogo)"))</f>
        <v/>
      </c>
      <c r="Y474" s="3">
        <f>IF(tblOrdenes[[#This Row],[puesto_trabajo]]="","",_xlfn.XLOOKUP(tblOrdenes[[#This Row],[puesto_trabajo]],tblPuestos[codigo],tblPuestos[especialidad],"(sin catálogo)"))</f>
        <v/>
      </c>
      <c r="Z474" s="3">
        <f>IF(tblOrdenes[[#This Row],[cod_actividad]]="","",_xlfn.XLOOKUP(tblOrdenes[[#This Row],[cod_actividad]],tblActividades[codigo],tblActividades[descripcion],"(sin catálogo)"))</f>
        <v/>
      </c>
      <c r="AA474" s="12">
        <f>IF(tblOrdenes[[#This Row],[fecha_inicio]]="","",TODAY()-tblOrdenes[[#This Row],[fecha_inicio]])</f>
        <v/>
      </c>
      <c r="AB4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3">
        <f>IF(tblOrdenes[[#This Row],[backlog_habiles]]="","",IF(tblOrdenes[[#This Row],[backlog_habiles]]&lt;0,"FUTURO",IF(tblOrdenes[[#This Row],[backlog_habiles]]&gt;p_dias_backlog_max,"BACKLOG","MES CORRIENTE")))</f>
        <v/>
      </c>
      <c r="AD474" s="3">
        <f>IF(tblOrdenes[[#This Row],[backlog_habiles]]="",FALSE,AND(tblOrdenes[[#This Row],[backlog_habiles]]&gt;p_dias_backlog_min,tblOrdenes[[#This Row],[backlog_habiles]]&lt;=p_dias_backlog_max))</f>
        <v/>
      </c>
      <c r="AE474" s="6" t="n"/>
      <c r="AF4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0">
        <f>IF(tblOrdenes[[#This Row],[orden]]="","",_xlfn.XLOOKUP(tblOrdenes[[#This Row],[id_operacion]],tblEjecucion[id_operacion],tblEjecucion[precio],0))</f>
        <v/>
      </c>
      <c r="AJ474" s="10">
        <f>IF(tblOrdenes[[#This Row],[orden]]="","",MAX(0,_xlfn.XLOOKUP(tblOrdenes[[#This Row],[id_operacion]],tblEjecucion[id_operacion],tblEjecucion[costo_plan_total],0)-tblOrdenes[[#This Row],[costo_servicio]]))</f>
        <v/>
      </c>
      <c r="AK474" s="10">
        <f>IF(tblOrdenes[[#This Row],[orden]]="","",tblOrdenes[[#This Row],[costo_servicio]]+tblOrdenes[[#This Row],[costo_materiales]])</f>
        <v/>
      </c>
      <c r="AL474" s="6" t="n"/>
      <c r="AM474" s="6" t="n"/>
      <c r="AN474" s="6" t="n"/>
      <c r="AO474" s="3">
        <f>IF(tblOrdenes[[#This Row],[link_checklist]]="","",HYPERLINK(p_ruta_base_checklists&amp;tblOrdenes[[#This Row],[link_checklist]],"abrir"))</f>
        <v/>
      </c>
      <c r="AP474" s="6" t="n"/>
      <c r="AQ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3">
        <f>IF(tblOrdenes[[#This Row],[tipo_ot]]="","",_xlfn.XLOOKUP(tblOrdenes[[#This Row],[tipo_ot]],tblTiposOT[codigo],tblTiposOT[clasificacion],"sin_clasificar"))</f>
        <v/>
      </c>
      <c r="U475" s="3">
        <f>IF(tblOrdenes[[#This Row],[centro_costo]]="","",_xlfn.XLOOKUP(tblOrdenes[[#This Row],[centro_costo]],tblCECO[codigo],tblCECO[linea],"(sin catálogo)"))</f>
        <v/>
      </c>
      <c r="V475" s="3">
        <f>IF(tblOrdenes[[#This Row],[centro_costo]]="","",_xlfn.XLOOKUP(tblOrdenes[[#This Row],[centro_costo]],tblCECO[codigo],tblCECO[area],"(sin catálogo)"))</f>
        <v/>
      </c>
      <c r="W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3">
        <f>IF(tblOrdenes[[#This Row],[centro_costo]]="","",_xlfn.XLOOKUP(tblOrdenes[[#This Row],[centro_costo]],tblCECO[codigo],tblCECO[coordinador],"(sin catálogo)"))</f>
        <v/>
      </c>
      <c r="Y475" s="3">
        <f>IF(tblOrdenes[[#This Row],[puesto_trabajo]]="","",_xlfn.XLOOKUP(tblOrdenes[[#This Row],[puesto_trabajo]],tblPuestos[codigo],tblPuestos[especialidad],"(sin catálogo)"))</f>
        <v/>
      </c>
      <c r="Z475" s="3">
        <f>IF(tblOrdenes[[#This Row],[cod_actividad]]="","",_xlfn.XLOOKUP(tblOrdenes[[#This Row],[cod_actividad]],tblActividades[codigo],tblActividades[descripcion],"(sin catálogo)"))</f>
        <v/>
      </c>
      <c r="AA475" s="12">
        <f>IF(tblOrdenes[[#This Row],[fecha_inicio]]="","",TODAY()-tblOrdenes[[#This Row],[fecha_inicio]])</f>
        <v/>
      </c>
      <c r="AB4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3">
        <f>IF(tblOrdenes[[#This Row],[backlog_habiles]]="","",IF(tblOrdenes[[#This Row],[backlog_habiles]]&lt;0,"FUTURO",IF(tblOrdenes[[#This Row],[backlog_habiles]]&gt;p_dias_backlog_max,"BACKLOG","MES CORRIENTE")))</f>
        <v/>
      </c>
      <c r="AD475" s="3">
        <f>IF(tblOrdenes[[#This Row],[backlog_habiles]]="",FALSE,AND(tblOrdenes[[#This Row],[backlog_habiles]]&gt;p_dias_backlog_min,tblOrdenes[[#This Row],[backlog_habiles]]&lt;=p_dias_backlog_max))</f>
        <v/>
      </c>
      <c r="AE475" s="6" t="n"/>
      <c r="AF4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0">
        <f>IF(tblOrdenes[[#This Row],[orden]]="","",_xlfn.XLOOKUP(tblOrdenes[[#This Row],[id_operacion]],tblEjecucion[id_operacion],tblEjecucion[precio],0))</f>
        <v/>
      </c>
      <c r="AJ475" s="10">
        <f>IF(tblOrdenes[[#This Row],[orden]]="","",MAX(0,_xlfn.XLOOKUP(tblOrdenes[[#This Row],[id_operacion]],tblEjecucion[id_operacion],tblEjecucion[costo_plan_total],0)-tblOrdenes[[#This Row],[costo_servicio]]))</f>
        <v/>
      </c>
      <c r="AK475" s="10">
        <f>IF(tblOrdenes[[#This Row],[orden]]="","",tblOrdenes[[#This Row],[costo_servicio]]+tblOrdenes[[#This Row],[costo_materiales]])</f>
        <v/>
      </c>
      <c r="AL475" s="6" t="n"/>
      <c r="AM475" s="6" t="n"/>
      <c r="AN475" s="6" t="n"/>
      <c r="AO475" s="3">
        <f>IF(tblOrdenes[[#This Row],[link_checklist]]="","",HYPERLINK(p_ruta_base_checklists&amp;tblOrdenes[[#This Row],[link_checklist]],"abrir"))</f>
        <v/>
      </c>
      <c r="AP475" s="6" t="n"/>
      <c r="AQ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3">
        <f>IF(tblOrdenes[[#This Row],[tipo_ot]]="","",_xlfn.XLOOKUP(tblOrdenes[[#This Row],[tipo_ot]],tblTiposOT[codigo],tblTiposOT[clasificacion],"sin_clasificar"))</f>
        <v/>
      </c>
      <c r="U476" s="3">
        <f>IF(tblOrdenes[[#This Row],[centro_costo]]="","",_xlfn.XLOOKUP(tblOrdenes[[#This Row],[centro_costo]],tblCECO[codigo],tblCECO[linea],"(sin catálogo)"))</f>
        <v/>
      </c>
      <c r="V476" s="3">
        <f>IF(tblOrdenes[[#This Row],[centro_costo]]="","",_xlfn.XLOOKUP(tblOrdenes[[#This Row],[centro_costo]],tblCECO[codigo],tblCECO[area],"(sin catálogo)"))</f>
        <v/>
      </c>
      <c r="W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3">
        <f>IF(tblOrdenes[[#This Row],[centro_costo]]="","",_xlfn.XLOOKUP(tblOrdenes[[#This Row],[centro_costo]],tblCECO[codigo],tblCECO[coordinador],"(sin catálogo)"))</f>
        <v/>
      </c>
      <c r="Y476" s="3">
        <f>IF(tblOrdenes[[#This Row],[puesto_trabajo]]="","",_xlfn.XLOOKUP(tblOrdenes[[#This Row],[puesto_trabajo]],tblPuestos[codigo],tblPuestos[especialidad],"(sin catálogo)"))</f>
        <v/>
      </c>
      <c r="Z476" s="3">
        <f>IF(tblOrdenes[[#This Row],[cod_actividad]]="","",_xlfn.XLOOKUP(tblOrdenes[[#This Row],[cod_actividad]],tblActividades[codigo],tblActividades[descripcion],"(sin catálogo)"))</f>
        <v/>
      </c>
      <c r="AA476" s="12">
        <f>IF(tblOrdenes[[#This Row],[fecha_inicio]]="","",TODAY()-tblOrdenes[[#This Row],[fecha_inicio]])</f>
        <v/>
      </c>
      <c r="AB4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3">
        <f>IF(tblOrdenes[[#This Row],[backlog_habiles]]="","",IF(tblOrdenes[[#This Row],[backlog_habiles]]&lt;0,"FUTURO",IF(tblOrdenes[[#This Row],[backlog_habiles]]&gt;p_dias_backlog_max,"BACKLOG","MES CORRIENTE")))</f>
        <v/>
      </c>
      <c r="AD476" s="3">
        <f>IF(tblOrdenes[[#This Row],[backlog_habiles]]="",FALSE,AND(tblOrdenes[[#This Row],[backlog_habiles]]&gt;p_dias_backlog_min,tblOrdenes[[#This Row],[backlog_habiles]]&lt;=p_dias_backlog_max))</f>
        <v/>
      </c>
      <c r="AE476" s="6" t="n"/>
      <c r="AF4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0">
        <f>IF(tblOrdenes[[#This Row],[orden]]="","",_xlfn.XLOOKUP(tblOrdenes[[#This Row],[id_operacion]],tblEjecucion[id_operacion],tblEjecucion[precio],0))</f>
        <v/>
      </c>
      <c r="AJ476" s="10">
        <f>IF(tblOrdenes[[#This Row],[orden]]="","",MAX(0,_xlfn.XLOOKUP(tblOrdenes[[#This Row],[id_operacion]],tblEjecucion[id_operacion],tblEjecucion[costo_plan_total],0)-tblOrdenes[[#This Row],[costo_servicio]]))</f>
        <v/>
      </c>
      <c r="AK476" s="10">
        <f>IF(tblOrdenes[[#This Row],[orden]]="","",tblOrdenes[[#This Row],[costo_servicio]]+tblOrdenes[[#This Row],[costo_materiales]])</f>
        <v/>
      </c>
      <c r="AL476" s="6" t="n"/>
      <c r="AM476" s="6" t="n"/>
      <c r="AN476" s="6" t="n"/>
      <c r="AO476" s="3">
        <f>IF(tblOrdenes[[#This Row],[link_checklist]]="","",HYPERLINK(p_ruta_base_checklists&amp;tblOrdenes[[#This Row],[link_checklist]],"abrir"))</f>
        <v/>
      </c>
      <c r="AP476" s="6" t="n"/>
      <c r="AQ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3">
        <f>IF(tblOrdenes[[#This Row],[tipo_ot]]="","",_xlfn.XLOOKUP(tblOrdenes[[#This Row],[tipo_ot]],tblTiposOT[codigo],tblTiposOT[clasificacion],"sin_clasificar"))</f>
        <v/>
      </c>
      <c r="U477" s="3">
        <f>IF(tblOrdenes[[#This Row],[centro_costo]]="","",_xlfn.XLOOKUP(tblOrdenes[[#This Row],[centro_costo]],tblCECO[codigo],tblCECO[linea],"(sin catálogo)"))</f>
        <v/>
      </c>
      <c r="V477" s="3">
        <f>IF(tblOrdenes[[#This Row],[centro_costo]]="","",_xlfn.XLOOKUP(tblOrdenes[[#This Row],[centro_costo]],tblCECO[codigo],tblCECO[area],"(sin catálogo)"))</f>
        <v/>
      </c>
      <c r="W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3">
        <f>IF(tblOrdenes[[#This Row],[centro_costo]]="","",_xlfn.XLOOKUP(tblOrdenes[[#This Row],[centro_costo]],tblCECO[codigo],tblCECO[coordinador],"(sin catálogo)"))</f>
        <v/>
      </c>
      <c r="Y477" s="3">
        <f>IF(tblOrdenes[[#This Row],[puesto_trabajo]]="","",_xlfn.XLOOKUP(tblOrdenes[[#This Row],[puesto_trabajo]],tblPuestos[codigo],tblPuestos[especialidad],"(sin catálogo)"))</f>
        <v/>
      </c>
      <c r="Z477" s="3">
        <f>IF(tblOrdenes[[#This Row],[cod_actividad]]="","",_xlfn.XLOOKUP(tblOrdenes[[#This Row],[cod_actividad]],tblActividades[codigo],tblActividades[descripcion],"(sin catálogo)"))</f>
        <v/>
      </c>
      <c r="AA477" s="12">
        <f>IF(tblOrdenes[[#This Row],[fecha_inicio]]="","",TODAY()-tblOrdenes[[#This Row],[fecha_inicio]])</f>
        <v/>
      </c>
      <c r="AB4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3">
        <f>IF(tblOrdenes[[#This Row],[backlog_habiles]]="","",IF(tblOrdenes[[#This Row],[backlog_habiles]]&lt;0,"FUTURO",IF(tblOrdenes[[#This Row],[backlog_habiles]]&gt;p_dias_backlog_max,"BACKLOG","MES CORRIENTE")))</f>
        <v/>
      </c>
      <c r="AD477" s="3">
        <f>IF(tblOrdenes[[#This Row],[backlog_habiles]]="",FALSE,AND(tblOrdenes[[#This Row],[backlog_habiles]]&gt;p_dias_backlog_min,tblOrdenes[[#This Row],[backlog_habiles]]&lt;=p_dias_backlog_max))</f>
        <v/>
      </c>
      <c r="AE477" s="6" t="n"/>
      <c r="AF4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0">
        <f>IF(tblOrdenes[[#This Row],[orden]]="","",_xlfn.XLOOKUP(tblOrdenes[[#This Row],[id_operacion]],tblEjecucion[id_operacion],tblEjecucion[precio],0))</f>
        <v/>
      </c>
      <c r="AJ477" s="10">
        <f>IF(tblOrdenes[[#This Row],[orden]]="","",MAX(0,_xlfn.XLOOKUP(tblOrdenes[[#This Row],[id_operacion]],tblEjecucion[id_operacion],tblEjecucion[costo_plan_total],0)-tblOrdenes[[#This Row],[costo_servicio]]))</f>
        <v/>
      </c>
      <c r="AK477" s="10">
        <f>IF(tblOrdenes[[#This Row],[orden]]="","",tblOrdenes[[#This Row],[costo_servicio]]+tblOrdenes[[#This Row],[costo_materiales]])</f>
        <v/>
      </c>
      <c r="AL477" s="6" t="n"/>
      <c r="AM477" s="6" t="n"/>
      <c r="AN477" s="6" t="n"/>
      <c r="AO477" s="3">
        <f>IF(tblOrdenes[[#This Row],[link_checklist]]="","",HYPERLINK(p_ruta_base_checklists&amp;tblOrdenes[[#This Row],[link_checklist]],"abrir"))</f>
        <v/>
      </c>
      <c r="AP477" s="6" t="n"/>
      <c r="AQ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3">
        <f>IF(tblOrdenes[[#This Row],[tipo_ot]]="","",_xlfn.XLOOKUP(tblOrdenes[[#This Row],[tipo_ot]],tblTiposOT[codigo],tblTiposOT[clasificacion],"sin_clasificar"))</f>
        <v/>
      </c>
      <c r="U478" s="3">
        <f>IF(tblOrdenes[[#This Row],[centro_costo]]="","",_xlfn.XLOOKUP(tblOrdenes[[#This Row],[centro_costo]],tblCECO[codigo],tblCECO[linea],"(sin catálogo)"))</f>
        <v/>
      </c>
      <c r="V478" s="3">
        <f>IF(tblOrdenes[[#This Row],[centro_costo]]="","",_xlfn.XLOOKUP(tblOrdenes[[#This Row],[centro_costo]],tblCECO[codigo],tblCECO[area],"(sin catálogo)"))</f>
        <v/>
      </c>
      <c r="W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3">
        <f>IF(tblOrdenes[[#This Row],[centro_costo]]="","",_xlfn.XLOOKUP(tblOrdenes[[#This Row],[centro_costo]],tblCECO[codigo],tblCECO[coordinador],"(sin catálogo)"))</f>
        <v/>
      </c>
      <c r="Y478" s="3">
        <f>IF(tblOrdenes[[#This Row],[puesto_trabajo]]="","",_xlfn.XLOOKUP(tblOrdenes[[#This Row],[puesto_trabajo]],tblPuestos[codigo],tblPuestos[especialidad],"(sin catálogo)"))</f>
        <v/>
      </c>
      <c r="Z478" s="3">
        <f>IF(tblOrdenes[[#This Row],[cod_actividad]]="","",_xlfn.XLOOKUP(tblOrdenes[[#This Row],[cod_actividad]],tblActividades[codigo],tblActividades[descripcion],"(sin catálogo)"))</f>
        <v/>
      </c>
      <c r="AA478" s="12">
        <f>IF(tblOrdenes[[#This Row],[fecha_inicio]]="","",TODAY()-tblOrdenes[[#This Row],[fecha_inicio]])</f>
        <v/>
      </c>
      <c r="AB4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3">
        <f>IF(tblOrdenes[[#This Row],[backlog_habiles]]="","",IF(tblOrdenes[[#This Row],[backlog_habiles]]&lt;0,"FUTURO",IF(tblOrdenes[[#This Row],[backlog_habiles]]&gt;p_dias_backlog_max,"BACKLOG","MES CORRIENTE")))</f>
        <v/>
      </c>
      <c r="AD478" s="3">
        <f>IF(tblOrdenes[[#This Row],[backlog_habiles]]="",FALSE,AND(tblOrdenes[[#This Row],[backlog_habiles]]&gt;p_dias_backlog_min,tblOrdenes[[#This Row],[backlog_habiles]]&lt;=p_dias_backlog_max))</f>
        <v/>
      </c>
      <c r="AE478" s="6" t="n"/>
      <c r="AF4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0">
        <f>IF(tblOrdenes[[#This Row],[orden]]="","",_xlfn.XLOOKUP(tblOrdenes[[#This Row],[id_operacion]],tblEjecucion[id_operacion],tblEjecucion[precio],0))</f>
        <v/>
      </c>
      <c r="AJ478" s="10">
        <f>IF(tblOrdenes[[#This Row],[orden]]="","",MAX(0,_xlfn.XLOOKUP(tblOrdenes[[#This Row],[id_operacion]],tblEjecucion[id_operacion],tblEjecucion[costo_plan_total],0)-tblOrdenes[[#This Row],[costo_servicio]]))</f>
        <v/>
      </c>
      <c r="AK478" s="10">
        <f>IF(tblOrdenes[[#This Row],[orden]]="","",tblOrdenes[[#This Row],[costo_servicio]]+tblOrdenes[[#This Row],[costo_materiales]])</f>
        <v/>
      </c>
      <c r="AL478" s="6" t="n"/>
      <c r="AM478" s="6" t="n"/>
      <c r="AN478" s="6" t="n"/>
      <c r="AO478" s="3">
        <f>IF(tblOrdenes[[#This Row],[link_checklist]]="","",HYPERLINK(p_ruta_base_checklists&amp;tblOrdenes[[#This Row],[link_checklist]],"abrir"))</f>
        <v/>
      </c>
      <c r="AP478" s="6" t="n"/>
      <c r="AQ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3">
        <f>IF(tblOrdenes[[#This Row],[tipo_ot]]="","",_xlfn.XLOOKUP(tblOrdenes[[#This Row],[tipo_ot]],tblTiposOT[codigo],tblTiposOT[clasificacion],"sin_clasificar"))</f>
        <v/>
      </c>
      <c r="U479" s="3">
        <f>IF(tblOrdenes[[#This Row],[centro_costo]]="","",_xlfn.XLOOKUP(tblOrdenes[[#This Row],[centro_costo]],tblCECO[codigo],tblCECO[linea],"(sin catálogo)"))</f>
        <v/>
      </c>
      <c r="V479" s="3">
        <f>IF(tblOrdenes[[#This Row],[centro_costo]]="","",_xlfn.XLOOKUP(tblOrdenes[[#This Row],[centro_costo]],tblCECO[codigo],tblCECO[area],"(sin catálogo)"))</f>
        <v/>
      </c>
      <c r="W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3">
        <f>IF(tblOrdenes[[#This Row],[centro_costo]]="","",_xlfn.XLOOKUP(tblOrdenes[[#This Row],[centro_costo]],tblCECO[codigo],tblCECO[coordinador],"(sin catálogo)"))</f>
        <v/>
      </c>
      <c r="Y479" s="3">
        <f>IF(tblOrdenes[[#This Row],[puesto_trabajo]]="","",_xlfn.XLOOKUP(tblOrdenes[[#This Row],[puesto_trabajo]],tblPuestos[codigo],tblPuestos[especialidad],"(sin catálogo)"))</f>
        <v/>
      </c>
      <c r="Z479" s="3">
        <f>IF(tblOrdenes[[#This Row],[cod_actividad]]="","",_xlfn.XLOOKUP(tblOrdenes[[#This Row],[cod_actividad]],tblActividades[codigo],tblActividades[descripcion],"(sin catálogo)"))</f>
        <v/>
      </c>
      <c r="AA479" s="12">
        <f>IF(tblOrdenes[[#This Row],[fecha_inicio]]="","",TODAY()-tblOrdenes[[#This Row],[fecha_inicio]])</f>
        <v/>
      </c>
      <c r="AB4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3">
        <f>IF(tblOrdenes[[#This Row],[backlog_habiles]]="","",IF(tblOrdenes[[#This Row],[backlog_habiles]]&lt;0,"FUTURO",IF(tblOrdenes[[#This Row],[backlog_habiles]]&gt;p_dias_backlog_max,"BACKLOG","MES CORRIENTE")))</f>
        <v/>
      </c>
      <c r="AD479" s="3">
        <f>IF(tblOrdenes[[#This Row],[backlog_habiles]]="",FALSE,AND(tblOrdenes[[#This Row],[backlog_habiles]]&gt;p_dias_backlog_min,tblOrdenes[[#This Row],[backlog_habiles]]&lt;=p_dias_backlog_max))</f>
        <v/>
      </c>
      <c r="AE479" s="6" t="n"/>
      <c r="AF4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0">
        <f>IF(tblOrdenes[[#This Row],[orden]]="","",_xlfn.XLOOKUP(tblOrdenes[[#This Row],[id_operacion]],tblEjecucion[id_operacion],tblEjecucion[precio],0))</f>
        <v/>
      </c>
      <c r="AJ479" s="10">
        <f>IF(tblOrdenes[[#This Row],[orden]]="","",MAX(0,_xlfn.XLOOKUP(tblOrdenes[[#This Row],[id_operacion]],tblEjecucion[id_operacion],tblEjecucion[costo_plan_total],0)-tblOrdenes[[#This Row],[costo_servicio]]))</f>
        <v/>
      </c>
      <c r="AK479" s="10">
        <f>IF(tblOrdenes[[#This Row],[orden]]="","",tblOrdenes[[#This Row],[costo_servicio]]+tblOrdenes[[#This Row],[costo_materiales]])</f>
        <v/>
      </c>
      <c r="AL479" s="6" t="n"/>
      <c r="AM479" s="6" t="n"/>
      <c r="AN479" s="6" t="n"/>
      <c r="AO479" s="3">
        <f>IF(tblOrdenes[[#This Row],[link_checklist]]="","",HYPERLINK(p_ruta_base_checklists&amp;tblOrdenes[[#This Row],[link_checklist]],"abrir"))</f>
        <v/>
      </c>
      <c r="AP479" s="6" t="n"/>
      <c r="AQ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3">
        <f>IF(tblOrdenes[[#This Row],[tipo_ot]]="","",_xlfn.XLOOKUP(tblOrdenes[[#This Row],[tipo_ot]],tblTiposOT[codigo],tblTiposOT[clasificacion],"sin_clasificar"))</f>
        <v/>
      </c>
      <c r="U480" s="3">
        <f>IF(tblOrdenes[[#This Row],[centro_costo]]="","",_xlfn.XLOOKUP(tblOrdenes[[#This Row],[centro_costo]],tblCECO[codigo],tblCECO[linea],"(sin catálogo)"))</f>
        <v/>
      </c>
      <c r="V480" s="3">
        <f>IF(tblOrdenes[[#This Row],[centro_costo]]="","",_xlfn.XLOOKUP(tblOrdenes[[#This Row],[centro_costo]],tblCECO[codigo],tblCECO[area],"(sin catálogo)"))</f>
        <v/>
      </c>
      <c r="W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3">
        <f>IF(tblOrdenes[[#This Row],[centro_costo]]="","",_xlfn.XLOOKUP(tblOrdenes[[#This Row],[centro_costo]],tblCECO[codigo],tblCECO[coordinador],"(sin catálogo)"))</f>
        <v/>
      </c>
      <c r="Y480" s="3">
        <f>IF(tblOrdenes[[#This Row],[puesto_trabajo]]="","",_xlfn.XLOOKUP(tblOrdenes[[#This Row],[puesto_trabajo]],tblPuestos[codigo],tblPuestos[especialidad],"(sin catálogo)"))</f>
        <v/>
      </c>
      <c r="Z480" s="3">
        <f>IF(tblOrdenes[[#This Row],[cod_actividad]]="","",_xlfn.XLOOKUP(tblOrdenes[[#This Row],[cod_actividad]],tblActividades[codigo],tblActividades[descripcion],"(sin catálogo)"))</f>
        <v/>
      </c>
      <c r="AA480" s="12">
        <f>IF(tblOrdenes[[#This Row],[fecha_inicio]]="","",TODAY()-tblOrdenes[[#This Row],[fecha_inicio]])</f>
        <v/>
      </c>
      <c r="AB4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3">
        <f>IF(tblOrdenes[[#This Row],[backlog_habiles]]="","",IF(tblOrdenes[[#This Row],[backlog_habiles]]&lt;0,"FUTURO",IF(tblOrdenes[[#This Row],[backlog_habiles]]&gt;p_dias_backlog_max,"BACKLOG","MES CORRIENTE")))</f>
        <v/>
      </c>
      <c r="AD480" s="3">
        <f>IF(tblOrdenes[[#This Row],[backlog_habiles]]="",FALSE,AND(tblOrdenes[[#This Row],[backlog_habiles]]&gt;p_dias_backlog_min,tblOrdenes[[#This Row],[backlog_habiles]]&lt;=p_dias_backlog_max))</f>
        <v/>
      </c>
      <c r="AE480" s="6" t="n"/>
      <c r="AF4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0">
        <f>IF(tblOrdenes[[#This Row],[orden]]="","",_xlfn.XLOOKUP(tblOrdenes[[#This Row],[id_operacion]],tblEjecucion[id_operacion],tblEjecucion[precio],0))</f>
        <v/>
      </c>
      <c r="AJ480" s="10">
        <f>IF(tblOrdenes[[#This Row],[orden]]="","",MAX(0,_xlfn.XLOOKUP(tblOrdenes[[#This Row],[id_operacion]],tblEjecucion[id_operacion],tblEjecucion[costo_plan_total],0)-tblOrdenes[[#This Row],[costo_servicio]]))</f>
        <v/>
      </c>
      <c r="AK480" s="10">
        <f>IF(tblOrdenes[[#This Row],[orden]]="","",tblOrdenes[[#This Row],[costo_servicio]]+tblOrdenes[[#This Row],[costo_materiales]])</f>
        <v/>
      </c>
      <c r="AL480" s="6" t="n"/>
      <c r="AM480" s="6" t="n"/>
      <c r="AN480" s="6" t="n"/>
      <c r="AO480" s="3">
        <f>IF(tblOrdenes[[#This Row],[link_checklist]]="","",HYPERLINK(p_ruta_base_checklists&amp;tblOrdenes[[#This Row],[link_checklist]],"abrir"))</f>
        <v/>
      </c>
      <c r="AP480" s="6" t="n"/>
      <c r="AQ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3">
        <f>IF(tblOrdenes[[#This Row],[tipo_ot]]="","",_xlfn.XLOOKUP(tblOrdenes[[#This Row],[tipo_ot]],tblTiposOT[codigo],tblTiposOT[clasificacion],"sin_clasificar"))</f>
        <v/>
      </c>
      <c r="U481" s="3">
        <f>IF(tblOrdenes[[#This Row],[centro_costo]]="","",_xlfn.XLOOKUP(tblOrdenes[[#This Row],[centro_costo]],tblCECO[codigo],tblCECO[linea],"(sin catálogo)"))</f>
        <v/>
      </c>
      <c r="V481" s="3">
        <f>IF(tblOrdenes[[#This Row],[centro_costo]]="","",_xlfn.XLOOKUP(tblOrdenes[[#This Row],[centro_costo]],tblCECO[codigo],tblCECO[area],"(sin catálogo)"))</f>
        <v/>
      </c>
      <c r="W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3">
        <f>IF(tblOrdenes[[#This Row],[centro_costo]]="","",_xlfn.XLOOKUP(tblOrdenes[[#This Row],[centro_costo]],tblCECO[codigo],tblCECO[coordinador],"(sin catálogo)"))</f>
        <v/>
      </c>
      <c r="Y481" s="3">
        <f>IF(tblOrdenes[[#This Row],[puesto_trabajo]]="","",_xlfn.XLOOKUP(tblOrdenes[[#This Row],[puesto_trabajo]],tblPuestos[codigo],tblPuestos[especialidad],"(sin catálogo)"))</f>
        <v/>
      </c>
      <c r="Z481" s="3">
        <f>IF(tblOrdenes[[#This Row],[cod_actividad]]="","",_xlfn.XLOOKUP(tblOrdenes[[#This Row],[cod_actividad]],tblActividades[codigo],tblActividades[descripcion],"(sin catálogo)"))</f>
        <v/>
      </c>
      <c r="AA481" s="12">
        <f>IF(tblOrdenes[[#This Row],[fecha_inicio]]="","",TODAY()-tblOrdenes[[#This Row],[fecha_inicio]])</f>
        <v/>
      </c>
      <c r="AB4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3">
        <f>IF(tblOrdenes[[#This Row],[backlog_habiles]]="","",IF(tblOrdenes[[#This Row],[backlog_habiles]]&lt;0,"FUTURO",IF(tblOrdenes[[#This Row],[backlog_habiles]]&gt;p_dias_backlog_max,"BACKLOG","MES CORRIENTE")))</f>
        <v/>
      </c>
      <c r="AD481" s="3">
        <f>IF(tblOrdenes[[#This Row],[backlog_habiles]]="",FALSE,AND(tblOrdenes[[#This Row],[backlog_habiles]]&gt;p_dias_backlog_min,tblOrdenes[[#This Row],[backlog_habiles]]&lt;=p_dias_backlog_max))</f>
        <v/>
      </c>
      <c r="AE481" s="6" t="n"/>
      <c r="AF4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0">
        <f>IF(tblOrdenes[[#This Row],[orden]]="","",_xlfn.XLOOKUP(tblOrdenes[[#This Row],[id_operacion]],tblEjecucion[id_operacion],tblEjecucion[precio],0))</f>
        <v/>
      </c>
      <c r="AJ481" s="10">
        <f>IF(tblOrdenes[[#This Row],[orden]]="","",MAX(0,_xlfn.XLOOKUP(tblOrdenes[[#This Row],[id_operacion]],tblEjecucion[id_operacion],tblEjecucion[costo_plan_total],0)-tblOrdenes[[#This Row],[costo_servicio]]))</f>
        <v/>
      </c>
      <c r="AK481" s="10">
        <f>IF(tblOrdenes[[#This Row],[orden]]="","",tblOrdenes[[#This Row],[costo_servicio]]+tblOrdenes[[#This Row],[costo_materiales]])</f>
        <v/>
      </c>
      <c r="AL481" s="6" t="n"/>
      <c r="AM481" s="6" t="n"/>
      <c r="AN481" s="6" t="n"/>
      <c r="AO481" s="3">
        <f>IF(tblOrdenes[[#This Row],[link_checklist]]="","",HYPERLINK(p_ruta_base_checklists&amp;tblOrdenes[[#This Row],[link_checklist]],"abrir"))</f>
        <v/>
      </c>
      <c r="AP481" s="6" t="n"/>
      <c r="AQ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3">
        <f>IF(tblOrdenes[[#This Row],[tipo_ot]]="","",_xlfn.XLOOKUP(tblOrdenes[[#This Row],[tipo_ot]],tblTiposOT[codigo],tblTiposOT[clasificacion],"sin_clasificar"))</f>
        <v/>
      </c>
      <c r="U482" s="3">
        <f>IF(tblOrdenes[[#This Row],[centro_costo]]="","",_xlfn.XLOOKUP(tblOrdenes[[#This Row],[centro_costo]],tblCECO[codigo],tblCECO[linea],"(sin catálogo)"))</f>
        <v/>
      </c>
      <c r="V482" s="3">
        <f>IF(tblOrdenes[[#This Row],[centro_costo]]="","",_xlfn.XLOOKUP(tblOrdenes[[#This Row],[centro_costo]],tblCECO[codigo],tblCECO[area],"(sin catálogo)"))</f>
        <v/>
      </c>
      <c r="W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3">
        <f>IF(tblOrdenes[[#This Row],[centro_costo]]="","",_xlfn.XLOOKUP(tblOrdenes[[#This Row],[centro_costo]],tblCECO[codigo],tblCECO[coordinador],"(sin catálogo)"))</f>
        <v/>
      </c>
      <c r="Y482" s="3">
        <f>IF(tblOrdenes[[#This Row],[puesto_trabajo]]="","",_xlfn.XLOOKUP(tblOrdenes[[#This Row],[puesto_trabajo]],tblPuestos[codigo],tblPuestos[especialidad],"(sin catálogo)"))</f>
        <v/>
      </c>
      <c r="Z482" s="3">
        <f>IF(tblOrdenes[[#This Row],[cod_actividad]]="","",_xlfn.XLOOKUP(tblOrdenes[[#This Row],[cod_actividad]],tblActividades[codigo],tblActividades[descripcion],"(sin catálogo)"))</f>
        <v/>
      </c>
      <c r="AA482" s="12">
        <f>IF(tblOrdenes[[#This Row],[fecha_inicio]]="","",TODAY()-tblOrdenes[[#This Row],[fecha_inicio]])</f>
        <v/>
      </c>
      <c r="AB4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3">
        <f>IF(tblOrdenes[[#This Row],[backlog_habiles]]="","",IF(tblOrdenes[[#This Row],[backlog_habiles]]&lt;0,"FUTURO",IF(tblOrdenes[[#This Row],[backlog_habiles]]&gt;p_dias_backlog_max,"BACKLOG","MES CORRIENTE")))</f>
        <v/>
      </c>
      <c r="AD482" s="3">
        <f>IF(tblOrdenes[[#This Row],[backlog_habiles]]="",FALSE,AND(tblOrdenes[[#This Row],[backlog_habiles]]&gt;p_dias_backlog_min,tblOrdenes[[#This Row],[backlog_habiles]]&lt;=p_dias_backlog_max))</f>
        <v/>
      </c>
      <c r="AE482" s="6" t="n"/>
      <c r="AF4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0">
        <f>IF(tblOrdenes[[#This Row],[orden]]="","",_xlfn.XLOOKUP(tblOrdenes[[#This Row],[id_operacion]],tblEjecucion[id_operacion],tblEjecucion[precio],0))</f>
        <v/>
      </c>
      <c r="AJ482" s="10">
        <f>IF(tblOrdenes[[#This Row],[orden]]="","",MAX(0,_xlfn.XLOOKUP(tblOrdenes[[#This Row],[id_operacion]],tblEjecucion[id_operacion],tblEjecucion[costo_plan_total],0)-tblOrdenes[[#This Row],[costo_servicio]]))</f>
        <v/>
      </c>
      <c r="AK482" s="10">
        <f>IF(tblOrdenes[[#This Row],[orden]]="","",tblOrdenes[[#This Row],[costo_servicio]]+tblOrdenes[[#This Row],[costo_materiales]])</f>
        <v/>
      </c>
      <c r="AL482" s="6" t="n"/>
      <c r="AM482" s="6" t="n"/>
      <c r="AN482" s="6" t="n"/>
      <c r="AO482" s="3">
        <f>IF(tblOrdenes[[#This Row],[link_checklist]]="","",HYPERLINK(p_ruta_base_checklists&amp;tblOrdenes[[#This Row],[link_checklist]],"abrir"))</f>
        <v/>
      </c>
      <c r="AP482" s="6" t="n"/>
      <c r="AQ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3">
        <f>IF(tblOrdenes[[#This Row],[tipo_ot]]="","",_xlfn.XLOOKUP(tblOrdenes[[#This Row],[tipo_ot]],tblTiposOT[codigo],tblTiposOT[clasificacion],"sin_clasificar"))</f>
        <v/>
      </c>
      <c r="U483" s="3">
        <f>IF(tblOrdenes[[#This Row],[centro_costo]]="","",_xlfn.XLOOKUP(tblOrdenes[[#This Row],[centro_costo]],tblCECO[codigo],tblCECO[linea],"(sin catálogo)"))</f>
        <v/>
      </c>
      <c r="V483" s="3">
        <f>IF(tblOrdenes[[#This Row],[centro_costo]]="","",_xlfn.XLOOKUP(tblOrdenes[[#This Row],[centro_costo]],tblCECO[codigo],tblCECO[area],"(sin catálogo)"))</f>
        <v/>
      </c>
      <c r="W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3">
        <f>IF(tblOrdenes[[#This Row],[centro_costo]]="","",_xlfn.XLOOKUP(tblOrdenes[[#This Row],[centro_costo]],tblCECO[codigo],tblCECO[coordinador],"(sin catálogo)"))</f>
        <v/>
      </c>
      <c r="Y483" s="3">
        <f>IF(tblOrdenes[[#This Row],[puesto_trabajo]]="","",_xlfn.XLOOKUP(tblOrdenes[[#This Row],[puesto_trabajo]],tblPuestos[codigo],tblPuestos[especialidad],"(sin catálogo)"))</f>
        <v/>
      </c>
      <c r="Z483" s="3">
        <f>IF(tblOrdenes[[#This Row],[cod_actividad]]="","",_xlfn.XLOOKUP(tblOrdenes[[#This Row],[cod_actividad]],tblActividades[codigo],tblActividades[descripcion],"(sin catálogo)"))</f>
        <v/>
      </c>
      <c r="AA483" s="12">
        <f>IF(tblOrdenes[[#This Row],[fecha_inicio]]="","",TODAY()-tblOrdenes[[#This Row],[fecha_inicio]])</f>
        <v/>
      </c>
      <c r="AB4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3">
        <f>IF(tblOrdenes[[#This Row],[backlog_habiles]]="","",IF(tblOrdenes[[#This Row],[backlog_habiles]]&lt;0,"FUTURO",IF(tblOrdenes[[#This Row],[backlog_habiles]]&gt;p_dias_backlog_max,"BACKLOG","MES CORRIENTE")))</f>
        <v/>
      </c>
      <c r="AD483" s="3">
        <f>IF(tblOrdenes[[#This Row],[backlog_habiles]]="",FALSE,AND(tblOrdenes[[#This Row],[backlog_habiles]]&gt;p_dias_backlog_min,tblOrdenes[[#This Row],[backlog_habiles]]&lt;=p_dias_backlog_max))</f>
        <v/>
      </c>
      <c r="AE483" s="6" t="n"/>
      <c r="AF4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0">
        <f>IF(tblOrdenes[[#This Row],[orden]]="","",_xlfn.XLOOKUP(tblOrdenes[[#This Row],[id_operacion]],tblEjecucion[id_operacion],tblEjecucion[precio],0))</f>
        <v/>
      </c>
      <c r="AJ483" s="10">
        <f>IF(tblOrdenes[[#This Row],[orden]]="","",MAX(0,_xlfn.XLOOKUP(tblOrdenes[[#This Row],[id_operacion]],tblEjecucion[id_operacion],tblEjecucion[costo_plan_total],0)-tblOrdenes[[#This Row],[costo_servicio]]))</f>
        <v/>
      </c>
      <c r="AK483" s="10">
        <f>IF(tblOrdenes[[#This Row],[orden]]="","",tblOrdenes[[#This Row],[costo_servicio]]+tblOrdenes[[#This Row],[costo_materiales]])</f>
        <v/>
      </c>
      <c r="AL483" s="6" t="n"/>
      <c r="AM483" s="6" t="n"/>
      <c r="AN483" s="6" t="n"/>
      <c r="AO483" s="3">
        <f>IF(tblOrdenes[[#This Row],[link_checklist]]="","",HYPERLINK(p_ruta_base_checklists&amp;tblOrdenes[[#This Row],[link_checklist]],"abrir"))</f>
        <v/>
      </c>
      <c r="AP483" s="6" t="n"/>
      <c r="AQ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3">
        <f>IF(tblOrdenes[[#This Row],[tipo_ot]]="","",_xlfn.XLOOKUP(tblOrdenes[[#This Row],[tipo_ot]],tblTiposOT[codigo],tblTiposOT[clasificacion],"sin_clasificar"))</f>
        <v/>
      </c>
      <c r="U484" s="3">
        <f>IF(tblOrdenes[[#This Row],[centro_costo]]="","",_xlfn.XLOOKUP(tblOrdenes[[#This Row],[centro_costo]],tblCECO[codigo],tblCECO[linea],"(sin catálogo)"))</f>
        <v/>
      </c>
      <c r="V484" s="3">
        <f>IF(tblOrdenes[[#This Row],[centro_costo]]="","",_xlfn.XLOOKUP(tblOrdenes[[#This Row],[centro_costo]],tblCECO[codigo],tblCECO[area],"(sin catálogo)"))</f>
        <v/>
      </c>
      <c r="W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3">
        <f>IF(tblOrdenes[[#This Row],[centro_costo]]="","",_xlfn.XLOOKUP(tblOrdenes[[#This Row],[centro_costo]],tblCECO[codigo],tblCECO[coordinador],"(sin catálogo)"))</f>
        <v/>
      </c>
      <c r="Y484" s="3">
        <f>IF(tblOrdenes[[#This Row],[puesto_trabajo]]="","",_xlfn.XLOOKUP(tblOrdenes[[#This Row],[puesto_trabajo]],tblPuestos[codigo],tblPuestos[especialidad],"(sin catálogo)"))</f>
        <v/>
      </c>
      <c r="Z484" s="3">
        <f>IF(tblOrdenes[[#This Row],[cod_actividad]]="","",_xlfn.XLOOKUP(tblOrdenes[[#This Row],[cod_actividad]],tblActividades[codigo],tblActividades[descripcion],"(sin catálogo)"))</f>
        <v/>
      </c>
      <c r="AA484" s="12">
        <f>IF(tblOrdenes[[#This Row],[fecha_inicio]]="","",TODAY()-tblOrdenes[[#This Row],[fecha_inicio]])</f>
        <v/>
      </c>
      <c r="AB4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3">
        <f>IF(tblOrdenes[[#This Row],[backlog_habiles]]="","",IF(tblOrdenes[[#This Row],[backlog_habiles]]&lt;0,"FUTURO",IF(tblOrdenes[[#This Row],[backlog_habiles]]&gt;p_dias_backlog_max,"BACKLOG","MES CORRIENTE")))</f>
        <v/>
      </c>
      <c r="AD484" s="3">
        <f>IF(tblOrdenes[[#This Row],[backlog_habiles]]="",FALSE,AND(tblOrdenes[[#This Row],[backlog_habiles]]&gt;p_dias_backlog_min,tblOrdenes[[#This Row],[backlog_habiles]]&lt;=p_dias_backlog_max))</f>
        <v/>
      </c>
      <c r="AE484" s="6" t="n"/>
      <c r="AF4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0">
        <f>IF(tblOrdenes[[#This Row],[orden]]="","",_xlfn.XLOOKUP(tblOrdenes[[#This Row],[id_operacion]],tblEjecucion[id_operacion],tblEjecucion[precio],0))</f>
        <v/>
      </c>
      <c r="AJ484" s="10">
        <f>IF(tblOrdenes[[#This Row],[orden]]="","",MAX(0,_xlfn.XLOOKUP(tblOrdenes[[#This Row],[id_operacion]],tblEjecucion[id_operacion],tblEjecucion[costo_plan_total],0)-tblOrdenes[[#This Row],[costo_servicio]]))</f>
        <v/>
      </c>
      <c r="AK484" s="10">
        <f>IF(tblOrdenes[[#This Row],[orden]]="","",tblOrdenes[[#This Row],[costo_servicio]]+tblOrdenes[[#This Row],[costo_materiales]])</f>
        <v/>
      </c>
      <c r="AL484" s="6" t="n"/>
      <c r="AM484" s="6" t="n"/>
      <c r="AN484" s="6" t="n"/>
      <c r="AO484" s="3">
        <f>IF(tblOrdenes[[#This Row],[link_checklist]]="","",HYPERLINK(p_ruta_base_checklists&amp;tblOrdenes[[#This Row],[link_checklist]],"abrir"))</f>
        <v/>
      </c>
      <c r="AP484" s="6" t="n"/>
      <c r="AQ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3">
        <f>IF(tblOrdenes[[#This Row],[tipo_ot]]="","",_xlfn.XLOOKUP(tblOrdenes[[#This Row],[tipo_ot]],tblTiposOT[codigo],tblTiposOT[clasificacion],"sin_clasificar"))</f>
        <v/>
      </c>
      <c r="U485" s="3">
        <f>IF(tblOrdenes[[#This Row],[centro_costo]]="","",_xlfn.XLOOKUP(tblOrdenes[[#This Row],[centro_costo]],tblCECO[codigo],tblCECO[linea],"(sin catálogo)"))</f>
        <v/>
      </c>
      <c r="V485" s="3">
        <f>IF(tblOrdenes[[#This Row],[centro_costo]]="","",_xlfn.XLOOKUP(tblOrdenes[[#This Row],[centro_costo]],tblCECO[codigo],tblCECO[area],"(sin catálogo)"))</f>
        <v/>
      </c>
      <c r="W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3">
        <f>IF(tblOrdenes[[#This Row],[centro_costo]]="","",_xlfn.XLOOKUP(tblOrdenes[[#This Row],[centro_costo]],tblCECO[codigo],tblCECO[coordinador],"(sin catálogo)"))</f>
        <v/>
      </c>
      <c r="Y485" s="3">
        <f>IF(tblOrdenes[[#This Row],[puesto_trabajo]]="","",_xlfn.XLOOKUP(tblOrdenes[[#This Row],[puesto_trabajo]],tblPuestos[codigo],tblPuestos[especialidad],"(sin catálogo)"))</f>
        <v/>
      </c>
      <c r="Z485" s="3">
        <f>IF(tblOrdenes[[#This Row],[cod_actividad]]="","",_xlfn.XLOOKUP(tblOrdenes[[#This Row],[cod_actividad]],tblActividades[codigo],tblActividades[descripcion],"(sin catálogo)"))</f>
        <v/>
      </c>
      <c r="AA485" s="12">
        <f>IF(tblOrdenes[[#This Row],[fecha_inicio]]="","",TODAY()-tblOrdenes[[#This Row],[fecha_inicio]])</f>
        <v/>
      </c>
      <c r="AB4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3">
        <f>IF(tblOrdenes[[#This Row],[backlog_habiles]]="","",IF(tblOrdenes[[#This Row],[backlog_habiles]]&lt;0,"FUTURO",IF(tblOrdenes[[#This Row],[backlog_habiles]]&gt;p_dias_backlog_max,"BACKLOG","MES CORRIENTE")))</f>
        <v/>
      </c>
      <c r="AD485" s="3">
        <f>IF(tblOrdenes[[#This Row],[backlog_habiles]]="",FALSE,AND(tblOrdenes[[#This Row],[backlog_habiles]]&gt;p_dias_backlog_min,tblOrdenes[[#This Row],[backlog_habiles]]&lt;=p_dias_backlog_max))</f>
        <v/>
      </c>
      <c r="AE485" s="6" t="n"/>
      <c r="AF4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0">
        <f>IF(tblOrdenes[[#This Row],[orden]]="","",_xlfn.XLOOKUP(tblOrdenes[[#This Row],[id_operacion]],tblEjecucion[id_operacion],tblEjecucion[precio],0))</f>
        <v/>
      </c>
      <c r="AJ485" s="10">
        <f>IF(tblOrdenes[[#This Row],[orden]]="","",MAX(0,_xlfn.XLOOKUP(tblOrdenes[[#This Row],[id_operacion]],tblEjecucion[id_operacion],tblEjecucion[costo_plan_total],0)-tblOrdenes[[#This Row],[costo_servicio]]))</f>
        <v/>
      </c>
      <c r="AK485" s="10">
        <f>IF(tblOrdenes[[#This Row],[orden]]="","",tblOrdenes[[#This Row],[costo_servicio]]+tblOrdenes[[#This Row],[costo_materiales]])</f>
        <v/>
      </c>
      <c r="AL485" s="6" t="n"/>
      <c r="AM485" s="6" t="n"/>
      <c r="AN485" s="6" t="n"/>
      <c r="AO485" s="3">
        <f>IF(tblOrdenes[[#This Row],[link_checklist]]="","",HYPERLINK(p_ruta_base_checklists&amp;tblOrdenes[[#This Row],[link_checklist]],"abrir"))</f>
        <v/>
      </c>
      <c r="AP485" s="6" t="n"/>
      <c r="AQ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3">
        <f>IF(tblOrdenes[[#This Row],[tipo_ot]]="","",_xlfn.XLOOKUP(tblOrdenes[[#This Row],[tipo_ot]],tblTiposOT[codigo],tblTiposOT[clasificacion],"sin_clasificar"))</f>
        <v/>
      </c>
      <c r="U486" s="3">
        <f>IF(tblOrdenes[[#This Row],[centro_costo]]="","",_xlfn.XLOOKUP(tblOrdenes[[#This Row],[centro_costo]],tblCECO[codigo],tblCECO[linea],"(sin catálogo)"))</f>
        <v/>
      </c>
      <c r="V486" s="3">
        <f>IF(tblOrdenes[[#This Row],[centro_costo]]="","",_xlfn.XLOOKUP(tblOrdenes[[#This Row],[centro_costo]],tblCECO[codigo],tblCECO[area],"(sin catálogo)"))</f>
        <v/>
      </c>
      <c r="W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3">
        <f>IF(tblOrdenes[[#This Row],[centro_costo]]="","",_xlfn.XLOOKUP(tblOrdenes[[#This Row],[centro_costo]],tblCECO[codigo],tblCECO[coordinador],"(sin catálogo)"))</f>
        <v/>
      </c>
      <c r="Y486" s="3">
        <f>IF(tblOrdenes[[#This Row],[puesto_trabajo]]="","",_xlfn.XLOOKUP(tblOrdenes[[#This Row],[puesto_trabajo]],tblPuestos[codigo],tblPuestos[especialidad],"(sin catálogo)"))</f>
        <v/>
      </c>
      <c r="Z486" s="3">
        <f>IF(tblOrdenes[[#This Row],[cod_actividad]]="","",_xlfn.XLOOKUP(tblOrdenes[[#This Row],[cod_actividad]],tblActividades[codigo],tblActividades[descripcion],"(sin catálogo)"))</f>
        <v/>
      </c>
      <c r="AA486" s="12">
        <f>IF(tblOrdenes[[#This Row],[fecha_inicio]]="","",TODAY()-tblOrdenes[[#This Row],[fecha_inicio]])</f>
        <v/>
      </c>
      <c r="AB4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3">
        <f>IF(tblOrdenes[[#This Row],[backlog_habiles]]="","",IF(tblOrdenes[[#This Row],[backlog_habiles]]&lt;0,"FUTURO",IF(tblOrdenes[[#This Row],[backlog_habiles]]&gt;p_dias_backlog_max,"BACKLOG","MES CORRIENTE")))</f>
        <v/>
      </c>
      <c r="AD486" s="3">
        <f>IF(tblOrdenes[[#This Row],[backlog_habiles]]="",FALSE,AND(tblOrdenes[[#This Row],[backlog_habiles]]&gt;p_dias_backlog_min,tblOrdenes[[#This Row],[backlog_habiles]]&lt;=p_dias_backlog_max))</f>
        <v/>
      </c>
      <c r="AE486" s="6" t="n"/>
      <c r="AF4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0">
        <f>IF(tblOrdenes[[#This Row],[orden]]="","",_xlfn.XLOOKUP(tblOrdenes[[#This Row],[id_operacion]],tblEjecucion[id_operacion],tblEjecucion[precio],0))</f>
        <v/>
      </c>
      <c r="AJ486" s="10">
        <f>IF(tblOrdenes[[#This Row],[orden]]="","",MAX(0,_xlfn.XLOOKUP(tblOrdenes[[#This Row],[id_operacion]],tblEjecucion[id_operacion],tblEjecucion[costo_plan_total],0)-tblOrdenes[[#This Row],[costo_servicio]]))</f>
        <v/>
      </c>
      <c r="AK486" s="10">
        <f>IF(tblOrdenes[[#This Row],[orden]]="","",tblOrdenes[[#This Row],[costo_servicio]]+tblOrdenes[[#This Row],[costo_materiales]])</f>
        <v/>
      </c>
      <c r="AL486" s="6" t="n"/>
      <c r="AM486" s="6" t="n"/>
      <c r="AN486" s="6" t="n"/>
      <c r="AO486" s="3">
        <f>IF(tblOrdenes[[#This Row],[link_checklist]]="","",HYPERLINK(p_ruta_base_checklists&amp;tblOrdenes[[#This Row],[link_checklist]],"abrir"))</f>
        <v/>
      </c>
      <c r="AP486" s="6" t="n"/>
      <c r="AQ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3">
        <f>IF(tblOrdenes[[#This Row],[tipo_ot]]="","",_xlfn.XLOOKUP(tblOrdenes[[#This Row],[tipo_ot]],tblTiposOT[codigo],tblTiposOT[clasificacion],"sin_clasificar"))</f>
        <v/>
      </c>
      <c r="U487" s="3">
        <f>IF(tblOrdenes[[#This Row],[centro_costo]]="","",_xlfn.XLOOKUP(tblOrdenes[[#This Row],[centro_costo]],tblCECO[codigo],tblCECO[linea],"(sin catálogo)"))</f>
        <v/>
      </c>
      <c r="V487" s="3">
        <f>IF(tblOrdenes[[#This Row],[centro_costo]]="","",_xlfn.XLOOKUP(tblOrdenes[[#This Row],[centro_costo]],tblCECO[codigo],tblCECO[area],"(sin catálogo)"))</f>
        <v/>
      </c>
      <c r="W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3">
        <f>IF(tblOrdenes[[#This Row],[centro_costo]]="","",_xlfn.XLOOKUP(tblOrdenes[[#This Row],[centro_costo]],tblCECO[codigo],tblCECO[coordinador],"(sin catálogo)"))</f>
        <v/>
      </c>
      <c r="Y487" s="3">
        <f>IF(tblOrdenes[[#This Row],[puesto_trabajo]]="","",_xlfn.XLOOKUP(tblOrdenes[[#This Row],[puesto_trabajo]],tblPuestos[codigo],tblPuestos[especialidad],"(sin catálogo)"))</f>
        <v/>
      </c>
      <c r="Z487" s="3">
        <f>IF(tblOrdenes[[#This Row],[cod_actividad]]="","",_xlfn.XLOOKUP(tblOrdenes[[#This Row],[cod_actividad]],tblActividades[codigo],tblActividades[descripcion],"(sin catálogo)"))</f>
        <v/>
      </c>
      <c r="AA487" s="12">
        <f>IF(tblOrdenes[[#This Row],[fecha_inicio]]="","",TODAY()-tblOrdenes[[#This Row],[fecha_inicio]])</f>
        <v/>
      </c>
      <c r="AB4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3">
        <f>IF(tblOrdenes[[#This Row],[backlog_habiles]]="","",IF(tblOrdenes[[#This Row],[backlog_habiles]]&lt;0,"FUTURO",IF(tblOrdenes[[#This Row],[backlog_habiles]]&gt;p_dias_backlog_max,"BACKLOG","MES CORRIENTE")))</f>
        <v/>
      </c>
      <c r="AD487" s="3">
        <f>IF(tblOrdenes[[#This Row],[backlog_habiles]]="",FALSE,AND(tblOrdenes[[#This Row],[backlog_habiles]]&gt;p_dias_backlog_min,tblOrdenes[[#This Row],[backlog_habiles]]&lt;=p_dias_backlog_max))</f>
        <v/>
      </c>
      <c r="AE487" s="6" t="n"/>
      <c r="AF4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0">
        <f>IF(tblOrdenes[[#This Row],[orden]]="","",_xlfn.XLOOKUP(tblOrdenes[[#This Row],[id_operacion]],tblEjecucion[id_operacion],tblEjecucion[precio],0))</f>
        <v/>
      </c>
      <c r="AJ487" s="10">
        <f>IF(tblOrdenes[[#This Row],[orden]]="","",MAX(0,_xlfn.XLOOKUP(tblOrdenes[[#This Row],[id_operacion]],tblEjecucion[id_operacion],tblEjecucion[costo_plan_total],0)-tblOrdenes[[#This Row],[costo_servicio]]))</f>
        <v/>
      </c>
      <c r="AK487" s="10">
        <f>IF(tblOrdenes[[#This Row],[orden]]="","",tblOrdenes[[#This Row],[costo_servicio]]+tblOrdenes[[#This Row],[costo_materiales]])</f>
        <v/>
      </c>
      <c r="AL487" s="6" t="n"/>
      <c r="AM487" s="6" t="n"/>
      <c r="AN487" s="6" t="n"/>
      <c r="AO487" s="3">
        <f>IF(tblOrdenes[[#This Row],[link_checklist]]="","",HYPERLINK(p_ruta_base_checklists&amp;tblOrdenes[[#This Row],[link_checklist]],"abrir"))</f>
        <v/>
      </c>
      <c r="AP487" s="6" t="n"/>
      <c r="AQ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3">
        <f>IF(tblOrdenes[[#This Row],[tipo_ot]]="","",_xlfn.XLOOKUP(tblOrdenes[[#This Row],[tipo_ot]],tblTiposOT[codigo],tblTiposOT[clasificacion],"sin_clasificar"))</f>
        <v/>
      </c>
      <c r="U488" s="3">
        <f>IF(tblOrdenes[[#This Row],[centro_costo]]="","",_xlfn.XLOOKUP(tblOrdenes[[#This Row],[centro_costo]],tblCECO[codigo],tblCECO[linea],"(sin catálogo)"))</f>
        <v/>
      </c>
      <c r="V488" s="3">
        <f>IF(tblOrdenes[[#This Row],[centro_costo]]="","",_xlfn.XLOOKUP(tblOrdenes[[#This Row],[centro_costo]],tblCECO[codigo],tblCECO[area],"(sin catálogo)"))</f>
        <v/>
      </c>
      <c r="W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3">
        <f>IF(tblOrdenes[[#This Row],[centro_costo]]="","",_xlfn.XLOOKUP(tblOrdenes[[#This Row],[centro_costo]],tblCECO[codigo],tblCECO[coordinador],"(sin catálogo)"))</f>
        <v/>
      </c>
      <c r="Y488" s="3">
        <f>IF(tblOrdenes[[#This Row],[puesto_trabajo]]="","",_xlfn.XLOOKUP(tblOrdenes[[#This Row],[puesto_trabajo]],tblPuestos[codigo],tblPuestos[especialidad],"(sin catálogo)"))</f>
        <v/>
      </c>
      <c r="Z488" s="3">
        <f>IF(tblOrdenes[[#This Row],[cod_actividad]]="","",_xlfn.XLOOKUP(tblOrdenes[[#This Row],[cod_actividad]],tblActividades[codigo],tblActividades[descripcion],"(sin catálogo)"))</f>
        <v/>
      </c>
      <c r="AA488" s="12">
        <f>IF(tblOrdenes[[#This Row],[fecha_inicio]]="","",TODAY()-tblOrdenes[[#This Row],[fecha_inicio]])</f>
        <v/>
      </c>
      <c r="AB4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3">
        <f>IF(tblOrdenes[[#This Row],[backlog_habiles]]="","",IF(tblOrdenes[[#This Row],[backlog_habiles]]&lt;0,"FUTURO",IF(tblOrdenes[[#This Row],[backlog_habiles]]&gt;p_dias_backlog_max,"BACKLOG","MES CORRIENTE")))</f>
        <v/>
      </c>
      <c r="AD488" s="3">
        <f>IF(tblOrdenes[[#This Row],[backlog_habiles]]="",FALSE,AND(tblOrdenes[[#This Row],[backlog_habiles]]&gt;p_dias_backlog_min,tblOrdenes[[#This Row],[backlog_habiles]]&lt;=p_dias_backlog_max))</f>
        <v/>
      </c>
      <c r="AE488" s="6" t="n"/>
      <c r="AF4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0">
        <f>IF(tblOrdenes[[#This Row],[orden]]="","",_xlfn.XLOOKUP(tblOrdenes[[#This Row],[id_operacion]],tblEjecucion[id_operacion],tblEjecucion[precio],0))</f>
        <v/>
      </c>
      <c r="AJ488" s="10">
        <f>IF(tblOrdenes[[#This Row],[orden]]="","",MAX(0,_xlfn.XLOOKUP(tblOrdenes[[#This Row],[id_operacion]],tblEjecucion[id_operacion],tblEjecucion[costo_plan_total],0)-tblOrdenes[[#This Row],[costo_servicio]]))</f>
        <v/>
      </c>
      <c r="AK488" s="10">
        <f>IF(tblOrdenes[[#This Row],[orden]]="","",tblOrdenes[[#This Row],[costo_servicio]]+tblOrdenes[[#This Row],[costo_materiales]])</f>
        <v/>
      </c>
      <c r="AL488" s="6" t="n"/>
      <c r="AM488" s="6" t="n"/>
      <c r="AN488" s="6" t="n"/>
      <c r="AO488" s="3">
        <f>IF(tblOrdenes[[#This Row],[link_checklist]]="","",HYPERLINK(p_ruta_base_checklists&amp;tblOrdenes[[#This Row],[link_checklist]],"abrir"))</f>
        <v/>
      </c>
      <c r="AP488" s="6" t="n"/>
      <c r="AQ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3">
        <f>IF(tblOrdenes[[#This Row],[tipo_ot]]="","",_xlfn.XLOOKUP(tblOrdenes[[#This Row],[tipo_ot]],tblTiposOT[codigo],tblTiposOT[clasificacion],"sin_clasificar"))</f>
        <v/>
      </c>
      <c r="U489" s="3">
        <f>IF(tblOrdenes[[#This Row],[centro_costo]]="","",_xlfn.XLOOKUP(tblOrdenes[[#This Row],[centro_costo]],tblCECO[codigo],tblCECO[linea],"(sin catálogo)"))</f>
        <v/>
      </c>
      <c r="V489" s="3">
        <f>IF(tblOrdenes[[#This Row],[centro_costo]]="","",_xlfn.XLOOKUP(tblOrdenes[[#This Row],[centro_costo]],tblCECO[codigo],tblCECO[area],"(sin catálogo)"))</f>
        <v/>
      </c>
      <c r="W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3">
        <f>IF(tblOrdenes[[#This Row],[centro_costo]]="","",_xlfn.XLOOKUP(tblOrdenes[[#This Row],[centro_costo]],tblCECO[codigo],tblCECO[coordinador],"(sin catálogo)"))</f>
        <v/>
      </c>
      <c r="Y489" s="3">
        <f>IF(tblOrdenes[[#This Row],[puesto_trabajo]]="","",_xlfn.XLOOKUP(tblOrdenes[[#This Row],[puesto_trabajo]],tblPuestos[codigo],tblPuestos[especialidad],"(sin catálogo)"))</f>
        <v/>
      </c>
      <c r="Z489" s="3">
        <f>IF(tblOrdenes[[#This Row],[cod_actividad]]="","",_xlfn.XLOOKUP(tblOrdenes[[#This Row],[cod_actividad]],tblActividades[codigo],tblActividades[descripcion],"(sin catálogo)"))</f>
        <v/>
      </c>
      <c r="AA489" s="12">
        <f>IF(tblOrdenes[[#This Row],[fecha_inicio]]="","",TODAY()-tblOrdenes[[#This Row],[fecha_inicio]])</f>
        <v/>
      </c>
      <c r="AB4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3">
        <f>IF(tblOrdenes[[#This Row],[backlog_habiles]]="","",IF(tblOrdenes[[#This Row],[backlog_habiles]]&lt;0,"FUTURO",IF(tblOrdenes[[#This Row],[backlog_habiles]]&gt;p_dias_backlog_max,"BACKLOG","MES CORRIENTE")))</f>
        <v/>
      </c>
      <c r="AD489" s="3">
        <f>IF(tblOrdenes[[#This Row],[backlog_habiles]]="",FALSE,AND(tblOrdenes[[#This Row],[backlog_habiles]]&gt;p_dias_backlog_min,tblOrdenes[[#This Row],[backlog_habiles]]&lt;=p_dias_backlog_max))</f>
        <v/>
      </c>
      <c r="AE489" s="6" t="n"/>
      <c r="AF4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0">
        <f>IF(tblOrdenes[[#This Row],[orden]]="","",_xlfn.XLOOKUP(tblOrdenes[[#This Row],[id_operacion]],tblEjecucion[id_operacion],tblEjecucion[precio],0))</f>
        <v/>
      </c>
      <c r="AJ489" s="10">
        <f>IF(tblOrdenes[[#This Row],[orden]]="","",MAX(0,_xlfn.XLOOKUP(tblOrdenes[[#This Row],[id_operacion]],tblEjecucion[id_operacion],tblEjecucion[costo_plan_total],0)-tblOrdenes[[#This Row],[costo_servicio]]))</f>
        <v/>
      </c>
      <c r="AK489" s="10">
        <f>IF(tblOrdenes[[#This Row],[orden]]="","",tblOrdenes[[#This Row],[costo_servicio]]+tblOrdenes[[#This Row],[costo_materiales]])</f>
        <v/>
      </c>
      <c r="AL489" s="6" t="n"/>
      <c r="AM489" s="6" t="n"/>
      <c r="AN489" s="6" t="n"/>
      <c r="AO489" s="3">
        <f>IF(tblOrdenes[[#This Row],[link_checklist]]="","",HYPERLINK(p_ruta_base_checklists&amp;tblOrdenes[[#This Row],[link_checklist]],"abrir"))</f>
        <v/>
      </c>
      <c r="AP489" s="6" t="n"/>
      <c r="AQ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3">
        <f>IF(tblOrdenes[[#This Row],[tipo_ot]]="","",_xlfn.XLOOKUP(tblOrdenes[[#This Row],[tipo_ot]],tblTiposOT[codigo],tblTiposOT[clasificacion],"sin_clasificar"))</f>
        <v/>
      </c>
      <c r="U490" s="3">
        <f>IF(tblOrdenes[[#This Row],[centro_costo]]="","",_xlfn.XLOOKUP(tblOrdenes[[#This Row],[centro_costo]],tblCECO[codigo],tblCECO[linea],"(sin catálogo)"))</f>
        <v/>
      </c>
      <c r="V490" s="3">
        <f>IF(tblOrdenes[[#This Row],[centro_costo]]="","",_xlfn.XLOOKUP(tblOrdenes[[#This Row],[centro_costo]],tblCECO[codigo],tblCECO[area],"(sin catálogo)"))</f>
        <v/>
      </c>
      <c r="W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3">
        <f>IF(tblOrdenes[[#This Row],[centro_costo]]="","",_xlfn.XLOOKUP(tblOrdenes[[#This Row],[centro_costo]],tblCECO[codigo],tblCECO[coordinador],"(sin catálogo)"))</f>
        <v/>
      </c>
      <c r="Y490" s="3">
        <f>IF(tblOrdenes[[#This Row],[puesto_trabajo]]="","",_xlfn.XLOOKUP(tblOrdenes[[#This Row],[puesto_trabajo]],tblPuestos[codigo],tblPuestos[especialidad],"(sin catálogo)"))</f>
        <v/>
      </c>
      <c r="Z490" s="3">
        <f>IF(tblOrdenes[[#This Row],[cod_actividad]]="","",_xlfn.XLOOKUP(tblOrdenes[[#This Row],[cod_actividad]],tblActividades[codigo],tblActividades[descripcion],"(sin catálogo)"))</f>
        <v/>
      </c>
      <c r="AA490" s="12">
        <f>IF(tblOrdenes[[#This Row],[fecha_inicio]]="","",TODAY()-tblOrdenes[[#This Row],[fecha_inicio]])</f>
        <v/>
      </c>
      <c r="AB4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3">
        <f>IF(tblOrdenes[[#This Row],[backlog_habiles]]="","",IF(tblOrdenes[[#This Row],[backlog_habiles]]&lt;0,"FUTURO",IF(tblOrdenes[[#This Row],[backlog_habiles]]&gt;p_dias_backlog_max,"BACKLOG","MES CORRIENTE")))</f>
        <v/>
      </c>
      <c r="AD490" s="3">
        <f>IF(tblOrdenes[[#This Row],[backlog_habiles]]="",FALSE,AND(tblOrdenes[[#This Row],[backlog_habiles]]&gt;p_dias_backlog_min,tblOrdenes[[#This Row],[backlog_habiles]]&lt;=p_dias_backlog_max))</f>
        <v/>
      </c>
      <c r="AE490" s="6" t="n"/>
      <c r="AF4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0">
        <f>IF(tblOrdenes[[#This Row],[orden]]="","",_xlfn.XLOOKUP(tblOrdenes[[#This Row],[id_operacion]],tblEjecucion[id_operacion],tblEjecucion[precio],0))</f>
        <v/>
      </c>
      <c r="AJ490" s="10">
        <f>IF(tblOrdenes[[#This Row],[orden]]="","",MAX(0,_xlfn.XLOOKUP(tblOrdenes[[#This Row],[id_operacion]],tblEjecucion[id_operacion],tblEjecucion[costo_plan_total],0)-tblOrdenes[[#This Row],[costo_servicio]]))</f>
        <v/>
      </c>
      <c r="AK490" s="10">
        <f>IF(tblOrdenes[[#This Row],[orden]]="","",tblOrdenes[[#This Row],[costo_servicio]]+tblOrdenes[[#This Row],[costo_materiales]])</f>
        <v/>
      </c>
      <c r="AL490" s="6" t="n"/>
      <c r="AM490" s="6" t="n"/>
      <c r="AN490" s="6" t="n"/>
      <c r="AO490" s="3">
        <f>IF(tblOrdenes[[#This Row],[link_checklist]]="","",HYPERLINK(p_ruta_base_checklists&amp;tblOrdenes[[#This Row],[link_checklist]],"abrir"))</f>
        <v/>
      </c>
      <c r="AP490" s="6" t="n"/>
      <c r="AQ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3">
        <f>IF(tblOrdenes[[#This Row],[tipo_ot]]="","",_xlfn.XLOOKUP(tblOrdenes[[#This Row],[tipo_ot]],tblTiposOT[codigo],tblTiposOT[clasificacion],"sin_clasificar"))</f>
        <v/>
      </c>
      <c r="U491" s="3">
        <f>IF(tblOrdenes[[#This Row],[centro_costo]]="","",_xlfn.XLOOKUP(tblOrdenes[[#This Row],[centro_costo]],tblCECO[codigo],tblCECO[linea],"(sin catálogo)"))</f>
        <v/>
      </c>
      <c r="V491" s="3">
        <f>IF(tblOrdenes[[#This Row],[centro_costo]]="","",_xlfn.XLOOKUP(tblOrdenes[[#This Row],[centro_costo]],tblCECO[codigo],tblCECO[area],"(sin catálogo)"))</f>
        <v/>
      </c>
      <c r="W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3">
        <f>IF(tblOrdenes[[#This Row],[centro_costo]]="","",_xlfn.XLOOKUP(tblOrdenes[[#This Row],[centro_costo]],tblCECO[codigo],tblCECO[coordinador],"(sin catálogo)"))</f>
        <v/>
      </c>
      <c r="Y491" s="3">
        <f>IF(tblOrdenes[[#This Row],[puesto_trabajo]]="","",_xlfn.XLOOKUP(tblOrdenes[[#This Row],[puesto_trabajo]],tblPuestos[codigo],tblPuestos[especialidad],"(sin catálogo)"))</f>
        <v/>
      </c>
      <c r="Z491" s="3">
        <f>IF(tblOrdenes[[#This Row],[cod_actividad]]="","",_xlfn.XLOOKUP(tblOrdenes[[#This Row],[cod_actividad]],tblActividades[codigo],tblActividades[descripcion],"(sin catálogo)"))</f>
        <v/>
      </c>
      <c r="AA491" s="12">
        <f>IF(tblOrdenes[[#This Row],[fecha_inicio]]="","",TODAY()-tblOrdenes[[#This Row],[fecha_inicio]])</f>
        <v/>
      </c>
      <c r="AB4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3">
        <f>IF(tblOrdenes[[#This Row],[backlog_habiles]]="","",IF(tblOrdenes[[#This Row],[backlog_habiles]]&lt;0,"FUTURO",IF(tblOrdenes[[#This Row],[backlog_habiles]]&gt;p_dias_backlog_max,"BACKLOG","MES CORRIENTE")))</f>
        <v/>
      </c>
      <c r="AD491" s="3">
        <f>IF(tblOrdenes[[#This Row],[backlog_habiles]]="",FALSE,AND(tblOrdenes[[#This Row],[backlog_habiles]]&gt;p_dias_backlog_min,tblOrdenes[[#This Row],[backlog_habiles]]&lt;=p_dias_backlog_max))</f>
        <v/>
      </c>
      <c r="AE491" s="6" t="n"/>
      <c r="AF4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0">
        <f>IF(tblOrdenes[[#This Row],[orden]]="","",_xlfn.XLOOKUP(tblOrdenes[[#This Row],[id_operacion]],tblEjecucion[id_operacion],tblEjecucion[precio],0))</f>
        <v/>
      </c>
      <c r="AJ491" s="10">
        <f>IF(tblOrdenes[[#This Row],[orden]]="","",MAX(0,_xlfn.XLOOKUP(tblOrdenes[[#This Row],[id_operacion]],tblEjecucion[id_operacion],tblEjecucion[costo_plan_total],0)-tblOrdenes[[#This Row],[costo_servicio]]))</f>
        <v/>
      </c>
      <c r="AK491" s="10">
        <f>IF(tblOrdenes[[#This Row],[orden]]="","",tblOrdenes[[#This Row],[costo_servicio]]+tblOrdenes[[#This Row],[costo_materiales]])</f>
        <v/>
      </c>
      <c r="AL491" s="6" t="n"/>
      <c r="AM491" s="6" t="n"/>
      <c r="AN491" s="6" t="n"/>
      <c r="AO491" s="3">
        <f>IF(tblOrdenes[[#This Row],[link_checklist]]="","",HYPERLINK(p_ruta_base_checklists&amp;tblOrdenes[[#This Row],[link_checklist]],"abrir"))</f>
        <v/>
      </c>
      <c r="AP491" s="6" t="n"/>
      <c r="AQ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3">
        <f>IF(tblOrdenes[[#This Row],[tipo_ot]]="","",_xlfn.XLOOKUP(tblOrdenes[[#This Row],[tipo_ot]],tblTiposOT[codigo],tblTiposOT[clasificacion],"sin_clasificar"))</f>
        <v/>
      </c>
      <c r="U492" s="3">
        <f>IF(tblOrdenes[[#This Row],[centro_costo]]="","",_xlfn.XLOOKUP(tblOrdenes[[#This Row],[centro_costo]],tblCECO[codigo],tblCECO[linea],"(sin catálogo)"))</f>
        <v/>
      </c>
      <c r="V492" s="3">
        <f>IF(tblOrdenes[[#This Row],[centro_costo]]="","",_xlfn.XLOOKUP(tblOrdenes[[#This Row],[centro_costo]],tblCECO[codigo],tblCECO[area],"(sin catálogo)"))</f>
        <v/>
      </c>
      <c r="W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3">
        <f>IF(tblOrdenes[[#This Row],[centro_costo]]="","",_xlfn.XLOOKUP(tblOrdenes[[#This Row],[centro_costo]],tblCECO[codigo],tblCECO[coordinador],"(sin catálogo)"))</f>
        <v/>
      </c>
      <c r="Y492" s="3">
        <f>IF(tblOrdenes[[#This Row],[puesto_trabajo]]="","",_xlfn.XLOOKUP(tblOrdenes[[#This Row],[puesto_trabajo]],tblPuestos[codigo],tblPuestos[especialidad],"(sin catálogo)"))</f>
        <v/>
      </c>
      <c r="Z492" s="3">
        <f>IF(tblOrdenes[[#This Row],[cod_actividad]]="","",_xlfn.XLOOKUP(tblOrdenes[[#This Row],[cod_actividad]],tblActividades[codigo],tblActividades[descripcion],"(sin catálogo)"))</f>
        <v/>
      </c>
      <c r="AA492" s="12">
        <f>IF(tblOrdenes[[#This Row],[fecha_inicio]]="","",TODAY()-tblOrdenes[[#This Row],[fecha_inicio]])</f>
        <v/>
      </c>
      <c r="AB4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3">
        <f>IF(tblOrdenes[[#This Row],[backlog_habiles]]="","",IF(tblOrdenes[[#This Row],[backlog_habiles]]&lt;0,"FUTURO",IF(tblOrdenes[[#This Row],[backlog_habiles]]&gt;p_dias_backlog_max,"BACKLOG","MES CORRIENTE")))</f>
        <v/>
      </c>
      <c r="AD492" s="3">
        <f>IF(tblOrdenes[[#This Row],[backlog_habiles]]="",FALSE,AND(tblOrdenes[[#This Row],[backlog_habiles]]&gt;p_dias_backlog_min,tblOrdenes[[#This Row],[backlog_habiles]]&lt;=p_dias_backlog_max))</f>
        <v/>
      </c>
      <c r="AE492" s="6" t="n"/>
      <c r="AF4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0">
        <f>IF(tblOrdenes[[#This Row],[orden]]="","",_xlfn.XLOOKUP(tblOrdenes[[#This Row],[id_operacion]],tblEjecucion[id_operacion],tblEjecucion[precio],0))</f>
        <v/>
      </c>
      <c r="AJ492" s="10">
        <f>IF(tblOrdenes[[#This Row],[orden]]="","",MAX(0,_xlfn.XLOOKUP(tblOrdenes[[#This Row],[id_operacion]],tblEjecucion[id_operacion],tblEjecucion[costo_plan_total],0)-tblOrdenes[[#This Row],[costo_servicio]]))</f>
        <v/>
      </c>
      <c r="AK492" s="10">
        <f>IF(tblOrdenes[[#This Row],[orden]]="","",tblOrdenes[[#This Row],[costo_servicio]]+tblOrdenes[[#This Row],[costo_materiales]])</f>
        <v/>
      </c>
      <c r="AL492" s="6" t="n"/>
      <c r="AM492" s="6" t="n"/>
      <c r="AN492" s="6" t="n"/>
      <c r="AO492" s="3">
        <f>IF(tblOrdenes[[#This Row],[link_checklist]]="","",HYPERLINK(p_ruta_base_checklists&amp;tblOrdenes[[#This Row],[link_checklist]],"abrir"))</f>
        <v/>
      </c>
      <c r="AP492" s="6" t="n"/>
      <c r="AQ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3">
        <f>IF(tblOrdenes[[#This Row],[tipo_ot]]="","",_xlfn.XLOOKUP(tblOrdenes[[#This Row],[tipo_ot]],tblTiposOT[codigo],tblTiposOT[clasificacion],"sin_clasificar"))</f>
        <v/>
      </c>
      <c r="U493" s="3">
        <f>IF(tblOrdenes[[#This Row],[centro_costo]]="","",_xlfn.XLOOKUP(tblOrdenes[[#This Row],[centro_costo]],tblCECO[codigo],tblCECO[linea],"(sin catálogo)"))</f>
        <v/>
      </c>
      <c r="V493" s="3">
        <f>IF(tblOrdenes[[#This Row],[centro_costo]]="","",_xlfn.XLOOKUP(tblOrdenes[[#This Row],[centro_costo]],tblCECO[codigo],tblCECO[area],"(sin catálogo)"))</f>
        <v/>
      </c>
      <c r="W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3">
        <f>IF(tblOrdenes[[#This Row],[centro_costo]]="","",_xlfn.XLOOKUP(tblOrdenes[[#This Row],[centro_costo]],tblCECO[codigo],tblCECO[coordinador],"(sin catálogo)"))</f>
        <v/>
      </c>
      <c r="Y493" s="3">
        <f>IF(tblOrdenes[[#This Row],[puesto_trabajo]]="","",_xlfn.XLOOKUP(tblOrdenes[[#This Row],[puesto_trabajo]],tblPuestos[codigo],tblPuestos[especialidad],"(sin catálogo)"))</f>
        <v/>
      </c>
      <c r="Z493" s="3">
        <f>IF(tblOrdenes[[#This Row],[cod_actividad]]="","",_xlfn.XLOOKUP(tblOrdenes[[#This Row],[cod_actividad]],tblActividades[codigo],tblActividades[descripcion],"(sin catálogo)"))</f>
        <v/>
      </c>
      <c r="AA493" s="12">
        <f>IF(tblOrdenes[[#This Row],[fecha_inicio]]="","",TODAY()-tblOrdenes[[#This Row],[fecha_inicio]])</f>
        <v/>
      </c>
      <c r="AB4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3">
        <f>IF(tblOrdenes[[#This Row],[backlog_habiles]]="","",IF(tblOrdenes[[#This Row],[backlog_habiles]]&lt;0,"FUTURO",IF(tblOrdenes[[#This Row],[backlog_habiles]]&gt;p_dias_backlog_max,"BACKLOG","MES CORRIENTE")))</f>
        <v/>
      </c>
      <c r="AD493" s="3">
        <f>IF(tblOrdenes[[#This Row],[backlog_habiles]]="",FALSE,AND(tblOrdenes[[#This Row],[backlog_habiles]]&gt;p_dias_backlog_min,tblOrdenes[[#This Row],[backlog_habiles]]&lt;=p_dias_backlog_max))</f>
        <v/>
      </c>
      <c r="AE493" s="6" t="n"/>
      <c r="AF4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0">
        <f>IF(tblOrdenes[[#This Row],[orden]]="","",_xlfn.XLOOKUP(tblOrdenes[[#This Row],[id_operacion]],tblEjecucion[id_operacion],tblEjecucion[precio],0))</f>
        <v/>
      </c>
      <c r="AJ493" s="10">
        <f>IF(tblOrdenes[[#This Row],[orden]]="","",MAX(0,_xlfn.XLOOKUP(tblOrdenes[[#This Row],[id_operacion]],tblEjecucion[id_operacion],tblEjecucion[costo_plan_total],0)-tblOrdenes[[#This Row],[costo_servicio]]))</f>
        <v/>
      </c>
      <c r="AK493" s="10">
        <f>IF(tblOrdenes[[#This Row],[orden]]="","",tblOrdenes[[#This Row],[costo_servicio]]+tblOrdenes[[#This Row],[costo_materiales]])</f>
        <v/>
      </c>
      <c r="AL493" s="6" t="n"/>
      <c r="AM493" s="6" t="n"/>
      <c r="AN493" s="6" t="n"/>
      <c r="AO493" s="3">
        <f>IF(tblOrdenes[[#This Row],[link_checklist]]="","",HYPERLINK(p_ruta_base_checklists&amp;tblOrdenes[[#This Row],[link_checklist]],"abrir"))</f>
        <v/>
      </c>
      <c r="AP493" s="6" t="n"/>
      <c r="AQ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3">
        <f>IF(tblOrdenes[[#This Row],[tipo_ot]]="","",_xlfn.XLOOKUP(tblOrdenes[[#This Row],[tipo_ot]],tblTiposOT[codigo],tblTiposOT[clasificacion],"sin_clasificar"))</f>
        <v/>
      </c>
      <c r="U494" s="3">
        <f>IF(tblOrdenes[[#This Row],[centro_costo]]="","",_xlfn.XLOOKUP(tblOrdenes[[#This Row],[centro_costo]],tblCECO[codigo],tblCECO[linea],"(sin catálogo)"))</f>
        <v/>
      </c>
      <c r="V494" s="3">
        <f>IF(tblOrdenes[[#This Row],[centro_costo]]="","",_xlfn.XLOOKUP(tblOrdenes[[#This Row],[centro_costo]],tblCECO[codigo],tblCECO[area],"(sin catálogo)"))</f>
        <v/>
      </c>
      <c r="W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3">
        <f>IF(tblOrdenes[[#This Row],[centro_costo]]="","",_xlfn.XLOOKUP(tblOrdenes[[#This Row],[centro_costo]],tblCECO[codigo],tblCECO[coordinador],"(sin catálogo)"))</f>
        <v/>
      </c>
      <c r="Y494" s="3">
        <f>IF(tblOrdenes[[#This Row],[puesto_trabajo]]="","",_xlfn.XLOOKUP(tblOrdenes[[#This Row],[puesto_trabajo]],tblPuestos[codigo],tblPuestos[especialidad],"(sin catálogo)"))</f>
        <v/>
      </c>
      <c r="Z494" s="3">
        <f>IF(tblOrdenes[[#This Row],[cod_actividad]]="","",_xlfn.XLOOKUP(tblOrdenes[[#This Row],[cod_actividad]],tblActividades[codigo],tblActividades[descripcion],"(sin catálogo)"))</f>
        <v/>
      </c>
      <c r="AA494" s="12">
        <f>IF(tblOrdenes[[#This Row],[fecha_inicio]]="","",TODAY()-tblOrdenes[[#This Row],[fecha_inicio]])</f>
        <v/>
      </c>
      <c r="AB4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3">
        <f>IF(tblOrdenes[[#This Row],[backlog_habiles]]="","",IF(tblOrdenes[[#This Row],[backlog_habiles]]&lt;0,"FUTURO",IF(tblOrdenes[[#This Row],[backlog_habiles]]&gt;p_dias_backlog_max,"BACKLOG","MES CORRIENTE")))</f>
        <v/>
      </c>
      <c r="AD494" s="3">
        <f>IF(tblOrdenes[[#This Row],[backlog_habiles]]="",FALSE,AND(tblOrdenes[[#This Row],[backlog_habiles]]&gt;p_dias_backlog_min,tblOrdenes[[#This Row],[backlog_habiles]]&lt;=p_dias_backlog_max))</f>
        <v/>
      </c>
      <c r="AE494" s="6" t="n"/>
      <c r="AF4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0">
        <f>IF(tblOrdenes[[#This Row],[orden]]="","",_xlfn.XLOOKUP(tblOrdenes[[#This Row],[id_operacion]],tblEjecucion[id_operacion],tblEjecucion[precio],0))</f>
        <v/>
      </c>
      <c r="AJ494" s="10">
        <f>IF(tblOrdenes[[#This Row],[orden]]="","",MAX(0,_xlfn.XLOOKUP(tblOrdenes[[#This Row],[id_operacion]],tblEjecucion[id_operacion],tblEjecucion[costo_plan_total],0)-tblOrdenes[[#This Row],[costo_servicio]]))</f>
        <v/>
      </c>
      <c r="AK494" s="10">
        <f>IF(tblOrdenes[[#This Row],[orden]]="","",tblOrdenes[[#This Row],[costo_servicio]]+tblOrdenes[[#This Row],[costo_materiales]])</f>
        <v/>
      </c>
      <c r="AL494" s="6" t="n"/>
      <c r="AM494" s="6" t="n"/>
      <c r="AN494" s="6" t="n"/>
      <c r="AO494" s="3">
        <f>IF(tblOrdenes[[#This Row],[link_checklist]]="","",HYPERLINK(p_ruta_base_checklists&amp;tblOrdenes[[#This Row],[link_checklist]],"abrir"))</f>
        <v/>
      </c>
      <c r="AP494" s="6" t="n"/>
      <c r="AQ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3">
        <f>IF(tblOrdenes[[#This Row],[tipo_ot]]="","",_xlfn.XLOOKUP(tblOrdenes[[#This Row],[tipo_ot]],tblTiposOT[codigo],tblTiposOT[clasificacion],"sin_clasificar"))</f>
        <v/>
      </c>
      <c r="U495" s="3">
        <f>IF(tblOrdenes[[#This Row],[centro_costo]]="","",_xlfn.XLOOKUP(tblOrdenes[[#This Row],[centro_costo]],tblCECO[codigo],tblCECO[linea],"(sin catálogo)"))</f>
        <v/>
      </c>
      <c r="V495" s="3">
        <f>IF(tblOrdenes[[#This Row],[centro_costo]]="","",_xlfn.XLOOKUP(tblOrdenes[[#This Row],[centro_costo]],tblCECO[codigo],tblCECO[area],"(sin catálogo)"))</f>
        <v/>
      </c>
      <c r="W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3">
        <f>IF(tblOrdenes[[#This Row],[centro_costo]]="","",_xlfn.XLOOKUP(tblOrdenes[[#This Row],[centro_costo]],tblCECO[codigo],tblCECO[coordinador],"(sin catálogo)"))</f>
        <v/>
      </c>
      <c r="Y495" s="3">
        <f>IF(tblOrdenes[[#This Row],[puesto_trabajo]]="","",_xlfn.XLOOKUP(tblOrdenes[[#This Row],[puesto_trabajo]],tblPuestos[codigo],tblPuestos[especialidad],"(sin catálogo)"))</f>
        <v/>
      </c>
      <c r="Z495" s="3">
        <f>IF(tblOrdenes[[#This Row],[cod_actividad]]="","",_xlfn.XLOOKUP(tblOrdenes[[#This Row],[cod_actividad]],tblActividades[codigo],tblActividades[descripcion],"(sin catálogo)"))</f>
        <v/>
      </c>
      <c r="AA495" s="12">
        <f>IF(tblOrdenes[[#This Row],[fecha_inicio]]="","",TODAY()-tblOrdenes[[#This Row],[fecha_inicio]])</f>
        <v/>
      </c>
      <c r="AB4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3">
        <f>IF(tblOrdenes[[#This Row],[backlog_habiles]]="","",IF(tblOrdenes[[#This Row],[backlog_habiles]]&lt;0,"FUTURO",IF(tblOrdenes[[#This Row],[backlog_habiles]]&gt;p_dias_backlog_max,"BACKLOG","MES CORRIENTE")))</f>
        <v/>
      </c>
      <c r="AD495" s="3">
        <f>IF(tblOrdenes[[#This Row],[backlog_habiles]]="",FALSE,AND(tblOrdenes[[#This Row],[backlog_habiles]]&gt;p_dias_backlog_min,tblOrdenes[[#This Row],[backlog_habiles]]&lt;=p_dias_backlog_max))</f>
        <v/>
      </c>
      <c r="AE495" s="6" t="n"/>
      <c r="AF4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0">
        <f>IF(tblOrdenes[[#This Row],[orden]]="","",_xlfn.XLOOKUP(tblOrdenes[[#This Row],[id_operacion]],tblEjecucion[id_operacion],tblEjecucion[precio],0))</f>
        <v/>
      </c>
      <c r="AJ495" s="10">
        <f>IF(tblOrdenes[[#This Row],[orden]]="","",MAX(0,_xlfn.XLOOKUP(tblOrdenes[[#This Row],[id_operacion]],tblEjecucion[id_operacion],tblEjecucion[costo_plan_total],0)-tblOrdenes[[#This Row],[costo_servicio]]))</f>
        <v/>
      </c>
      <c r="AK495" s="10">
        <f>IF(tblOrdenes[[#This Row],[orden]]="","",tblOrdenes[[#This Row],[costo_servicio]]+tblOrdenes[[#This Row],[costo_materiales]])</f>
        <v/>
      </c>
      <c r="AL495" s="6" t="n"/>
      <c r="AM495" s="6" t="n"/>
      <c r="AN495" s="6" t="n"/>
      <c r="AO495" s="3">
        <f>IF(tblOrdenes[[#This Row],[link_checklist]]="","",HYPERLINK(p_ruta_base_checklists&amp;tblOrdenes[[#This Row],[link_checklist]],"abrir"))</f>
        <v/>
      </c>
      <c r="AP495" s="6" t="n"/>
      <c r="AQ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3">
        <f>IF(tblOrdenes[[#This Row],[tipo_ot]]="","",_xlfn.XLOOKUP(tblOrdenes[[#This Row],[tipo_ot]],tblTiposOT[codigo],tblTiposOT[clasificacion],"sin_clasificar"))</f>
        <v/>
      </c>
      <c r="U496" s="3">
        <f>IF(tblOrdenes[[#This Row],[centro_costo]]="","",_xlfn.XLOOKUP(tblOrdenes[[#This Row],[centro_costo]],tblCECO[codigo],tblCECO[linea],"(sin catálogo)"))</f>
        <v/>
      </c>
      <c r="V496" s="3">
        <f>IF(tblOrdenes[[#This Row],[centro_costo]]="","",_xlfn.XLOOKUP(tblOrdenes[[#This Row],[centro_costo]],tblCECO[codigo],tblCECO[area],"(sin catálogo)"))</f>
        <v/>
      </c>
      <c r="W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3">
        <f>IF(tblOrdenes[[#This Row],[centro_costo]]="","",_xlfn.XLOOKUP(tblOrdenes[[#This Row],[centro_costo]],tblCECO[codigo],tblCECO[coordinador],"(sin catálogo)"))</f>
        <v/>
      </c>
      <c r="Y496" s="3">
        <f>IF(tblOrdenes[[#This Row],[puesto_trabajo]]="","",_xlfn.XLOOKUP(tblOrdenes[[#This Row],[puesto_trabajo]],tblPuestos[codigo],tblPuestos[especialidad],"(sin catálogo)"))</f>
        <v/>
      </c>
      <c r="Z496" s="3">
        <f>IF(tblOrdenes[[#This Row],[cod_actividad]]="","",_xlfn.XLOOKUP(tblOrdenes[[#This Row],[cod_actividad]],tblActividades[codigo],tblActividades[descripcion],"(sin catálogo)"))</f>
        <v/>
      </c>
      <c r="AA496" s="12">
        <f>IF(tblOrdenes[[#This Row],[fecha_inicio]]="","",TODAY()-tblOrdenes[[#This Row],[fecha_inicio]])</f>
        <v/>
      </c>
      <c r="AB4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3">
        <f>IF(tblOrdenes[[#This Row],[backlog_habiles]]="","",IF(tblOrdenes[[#This Row],[backlog_habiles]]&lt;0,"FUTURO",IF(tblOrdenes[[#This Row],[backlog_habiles]]&gt;p_dias_backlog_max,"BACKLOG","MES CORRIENTE")))</f>
        <v/>
      </c>
      <c r="AD496" s="3">
        <f>IF(tblOrdenes[[#This Row],[backlog_habiles]]="",FALSE,AND(tblOrdenes[[#This Row],[backlog_habiles]]&gt;p_dias_backlog_min,tblOrdenes[[#This Row],[backlog_habiles]]&lt;=p_dias_backlog_max))</f>
        <v/>
      </c>
      <c r="AE496" s="6" t="n"/>
      <c r="AF4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0">
        <f>IF(tblOrdenes[[#This Row],[orden]]="","",_xlfn.XLOOKUP(tblOrdenes[[#This Row],[id_operacion]],tblEjecucion[id_operacion],tblEjecucion[precio],0))</f>
        <v/>
      </c>
      <c r="AJ496" s="10">
        <f>IF(tblOrdenes[[#This Row],[orden]]="","",MAX(0,_xlfn.XLOOKUP(tblOrdenes[[#This Row],[id_operacion]],tblEjecucion[id_operacion],tblEjecucion[costo_plan_total],0)-tblOrdenes[[#This Row],[costo_servicio]]))</f>
        <v/>
      </c>
      <c r="AK496" s="10">
        <f>IF(tblOrdenes[[#This Row],[orden]]="","",tblOrdenes[[#This Row],[costo_servicio]]+tblOrdenes[[#This Row],[costo_materiales]])</f>
        <v/>
      </c>
      <c r="AL496" s="6" t="n"/>
      <c r="AM496" s="6" t="n"/>
      <c r="AN496" s="6" t="n"/>
      <c r="AO496" s="3">
        <f>IF(tblOrdenes[[#This Row],[link_checklist]]="","",HYPERLINK(p_ruta_base_checklists&amp;tblOrdenes[[#This Row],[link_checklist]],"abrir"))</f>
        <v/>
      </c>
      <c r="AP496" s="6" t="n"/>
      <c r="AQ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3">
        <f>IF(tblOrdenes[[#This Row],[tipo_ot]]="","",_xlfn.XLOOKUP(tblOrdenes[[#This Row],[tipo_ot]],tblTiposOT[codigo],tblTiposOT[clasificacion],"sin_clasificar"))</f>
        <v/>
      </c>
      <c r="U497" s="3">
        <f>IF(tblOrdenes[[#This Row],[centro_costo]]="","",_xlfn.XLOOKUP(tblOrdenes[[#This Row],[centro_costo]],tblCECO[codigo],tblCECO[linea],"(sin catálogo)"))</f>
        <v/>
      </c>
      <c r="V497" s="3">
        <f>IF(tblOrdenes[[#This Row],[centro_costo]]="","",_xlfn.XLOOKUP(tblOrdenes[[#This Row],[centro_costo]],tblCECO[codigo],tblCECO[area],"(sin catálogo)"))</f>
        <v/>
      </c>
      <c r="W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3">
        <f>IF(tblOrdenes[[#This Row],[centro_costo]]="","",_xlfn.XLOOKUP(tblOrdenes[[#This Row],[centro_costo]],tblCECO[codigo],tblCECO[coordinador],"(sin catálogo)"))</f>
        <v/>
      </c>
      <c r="Y497" s="3">
        <f>IF(tblOrdenes[[#This Row],[puesto_trabajo]]="","",_xlfn.XLOOKUP(tblOrdenes[[#This Row],[puesto_trabajo]],tblPuestos[codigo],tblPuestos[especialidad],"(sin catálogo)"))</f>
        <v/>
      </c>
      <c r="Z497" s="3">
        <f>IF(tblOrdenes[[#This Row],[cod_actividad]]="","",_xlfn.XLOOKUP(tblOrdenes[[#This Row],[cod_actividad]],tblActividades[codigo],tblActividades[descripcion],"(sin catálogo)"))</f>
        <v/>
      </c>
      <c r="AA497" s="12">
        <f>IF(tblOrdenes[[#This Row],[fecha_inicio]]="","",TODAY()-tblOrdenes[[#This Row],[fecha_inicio]])</f>
        <v/>
      </c>
      <c r="AB4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3">
        <f>IF(tblOrdenes[[#This Row],[backlog_habiles]]="","",IF(tblOrdenes[[#This Row],[backlog_habiles]]&lt;0,"FUTURO",IF(tblOrdenes[[#This Row],[backlog_habiles]]&gt;p_dias_backlog_max,"BACKLOG","MES CORRIENTE")))</f>
        <v/>
      </c>
      <c r="AD497" s="3">
        <f>IF(tblOrdenes[[#This Row],[backlog_habiles]]="",FALSE,AND(tblOrdenes[[#This Row],[backlog_habiles]]&gt;p_dias_backlog_min,tblOrdenes[[#This Row],[backlog_habiles]]&lt;=p_dias_backlog_max))</f>
        <v/>
      </c>
      <c r="AE497" s="6" t="n"/>
      <c r="AF4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0">
        <f>IF(tblOrdenes[[#This Row],[orden]]="","",_xlfn.XLOOKUP(tblOrdenes[[#This Row],[id_operacion]],tblEjecucion[id_operacion],tblEjecucion[precio],0))</f>
        <v/>
      </c>
      <c r="AJ497" s="10">
        <f>IF(tblOrdenes[[#This Row],[orden]]="","",MAX(0,_xlfn.XLOOKUP(tblOrdenes[[#This Row],[id_operacion]],tblEjecucion[id_operacion],tblEjecucion[costo_plan_total],0)-tblOrdenes[[#This Row],[costo_servicio]]))</f>
        <v/>
      </c>
      <c r="AK497" s="10">
        <f>IF(tblOrdenes[[#This Row],[orden]]="","",tblOrdenes[[#This Row],[costo_servicio]]+tblOrdenes[[#This Row],[costo_materiales]])</f>
        <v/>
      </c>
      <c r="AL497" s="6" t="n"/>
      <c r="AM497" s="6" t="n"/>
      <c r="AN497" s="6" t="n"/>
      <c r="AO497" s="3">
        <f>IF(tblOrdenes[[#This Row],[link_checklist]]="","",HYPERLINK(p_ruta_base_checklists&amp;tblOrdenes[[#This Row],[link_checklist]],"abrir"))</f>
        <v/>
      </c>
      <c r="AP497" s="6" t="n"/>
      <c r="AQ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3">
        <f>IF(tblOrdenes[[#This Row],[tipo_ot]]="","",_xlfn.XLOOKUP(tblOrdenes[[#This Row],[tipo_ot]],tblTiposOT[codigo],tblTiposOT[clasificacion],"sin_clasificar"))</f>
        <v/>
      </c>
      <c r="U498" s="3">
        <f>IF(tblOrdenes[[#This Row],[centro_costo]]="","",_xlfn.XLOOKUP(tblOrdenes[[#This Row],[centro_costo]],tblCECO[codigo],tblCECO[linea],"(sin catálogo)"))</f>
        <v/>
      </c>
      <c r="V498" s="3">
        <f>IF(tblOrdenes[[#This Row],[centro_costo]]="","",_xlfn.XLOOKUP(tblOrdenes[[#This Row],[centro_costo]],tblCECO[codigo],tblCECO[area],"(sin catálogo)"))</f>
        <v/>
      </c>
      <c r="W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3">
        <f>IF(tblOrdenes[[#This Row],[centro_costo]]="","",_xlfn.XLOOKUP(tblOrdenes[[#This Row],[centro_costo]],tblCECO[codigo],tblCECO[coordinador],"(sin catálogo)"))</f>
        <v/>
      </c>
      <c r="Y498" s="3">
        <f>IF(tblOrdenes[[#This Row],[puesto_trabajo]]="","",_xlfn.XLOOKUP(tblOrdenes[[#This Row],[puesto_trabajo]],tblPuestos[codigo],tblPuestos[especialidad],"(sin catálogo)"))</f>
        <v/>
      </c>
      <c r="Z498" s="3">
        <f>IF(tblOrdenes[[#This Row],[cod_actividad]]="","",_xlfn.XLOOKUP(tblOrdenes[[#This Row],[cod_actividad]],tblActividades[codigo],tblActividades[descripcion],"(sin catálogo)"))</f>
        <v/>
      </c>
      <c r="AA498" s="12">
        <f>IF(tblOrdenes[[#This Row],[fecha_inicio]]="","",TODAY()-tblOrdenes[[#This Row],[fecha_inicio]])</f>
        <v/>
      </c>
      <c r="AB4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3">
        <f>IF(tblOrdenes[[#This Row],[backlog_habiles]]="","",IF(tblOrdenes[[#This Row],[backlog_habiles]]&lt;0,"FUTURO",IF(tblOrdenes[[#This Row],[backlog_habiles]]&gt;p_dias_backlog_max,"BACKLOG","MES CORRIENTE")))</f>
        <v/>
      </c>
      <c r="AD498" s="3">
        <f>IF(tblOrdenes[[#This Row],[backlog_habiles]]="",FALSE,AND(tblOrdenes[[#This Row],[backlog_habiles]]&gt;p_dias_backlog_min,tblOrdenes[[#This Row],[backlog_habiles]]&lt;=p_dias_backlog_max))</f>
        <v/>
      </c>
      <c r="AE498" s="6" t="n"/>
      <c r="AF4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0">
        <f>IF(tblOrdenes[[#This Row],[orden]]="","",_xlfn.XLOOKUP(tblOrdenes[[#This Row],[id_operacion]],tblEjecucion[id_operacion],tblEjecucion[precio],0))</f>
        <v/>
      </c>
      <c r="AJ498" s="10">
        <f>IF(tblOrdenes[[#This Row],[orden]]="","",MAX(0,_xlfn.XLOOKUP(tblOrdenes[[#This Row],[id_operacion]],tblEjecucion[id_operacion],tblEjecucion[costo_plan_total],0)-tblOrdenes[[#This Row],[costo_servicio]]))</f>
        <v/>
      </c>
      <c r="AK498" s="10">
        <f>IF(tblOrdenes[[#This Row],[orden]]="","",tblOrdenes[[#This Row],[costo_servicio]]+tblOrdenes[[#This Row],[costo_materiales]])</f>
        <v/>
      </c>
      <c r="AL498" s="6" t="n"/>
      <c r="AM498" s="6" t="n"/>
      <c r="AN498" s="6" t="n"/>
      <c r="AO498" s="3">
        <f>IF(tblOrdenes[[#This Row],[link_checklist]]="","",HYPERLINK(p_ruta_base_checklists&amp;tblOrdenes[[#This Row],[link_checklist]],"abrir"))</f>
        <v/>
      </c>
      <c r="AP498" s="6" t="n"/>
      <c r="AQ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3">
        <f>IF(tblOrdenes[[#This Row],[tipo_ot]]="","",_xlfn.XLOOKUP(tblOrdenes[[#This Row],[tipo_ot]],tblTiposOT[codigo],tblTiposOT[clasificacion],"sin_clasificar"))</f>
        <v/>
      </c>
      <c r="U499" s="3">
        <f>IF(tblOrdenes[[#This Row],[centro_costo]]="","",_xlfn.XLOOKUP(tblOrdenes[[#This Row],[centro_costo]],tblCECO[codigo],tblCECO[linea],"(sin catálogo)"))</f>
        <v/>
      </c>
      <c r="V499" s="3">
        <f>IF(tblOrdenes[[#This Row],[centro_costo]]="","",_xlfn.XLOOKUP(tblOrdenes[[#This Row],[centro_costo]],tblCECO[codigo],tblCECO[area],"(sin catálogo)"))</f>
        <v/>
      </c>
      <c r="W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3">
        <f>IF(tblOrdenes[[#This Row],[centro_costo]]="","",_xlfn.XLOOKUP(tblOrdenes[[#This Row],[centro_costo]],tblCECO[codigo],tblCECO[coordinador],"(sin catálogo)"))</f>
        <v/>
      </c>
      <c r="Y499" s="3">
        <f>IF(tblOrdenes[[#This Row],[puesto_trabajo]]="","",_xlfn.XLOOKUP(tblOrdenes[[#This Row],[puesto_trabajo]],tblPuestos[codigo],tblPuestos[especialidad],"(sin catálogo)"))</f>
        <v/>
      </c>
      <c r="Z499" s="3">
        <f>IF(tblOrdenes[[#This Row],[cod_actividad]]="","",_xlfn.XLOOKUP(tblOrdenes[[#This Row],[cod_actividad]],tblActividades[codigo],tblActividades[descripcion],"(sin catálogo)"))</f>
        <v/>
      </c>
      <c r="AA499" s="12">
        <f>IF(tblOrdenes[[#This Row],[fecha_inicio]]="","",TODAY()-tblOrdenes[[#This Row],[fecha_inicio]])</f>
        <v/>
      </c>
      <c r="AB4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3">
        <f>IF(tblOrdenes[[#This Row],[backlog_habiles]]="","",IF(tblOrdenes[[#This Row],[backlog_habiles]]&lt;0,"FUTURO",IF(tblOrdenes[[#This Row],[backlog_habiles]]&gt;p_dias_backlog_max,"BACKLOG","MES CORRIENTE")))</f>
        <v/>
      </c>
      <c r="AD499" s="3">
        <f>IF(tblOrdenes[[#This Row],[backlog_habiles]]="",FALSE,AND(tblOrdenes[[#This Row],[backlog_habiles]]&gt;p_dias_backlog_min,tblOrdenes[[#This Row],[backlog_habiles]]&lt;=p_dias_backlog_max))</f>
        <v/>
      </c>
      <c r="AE499" s="6" t="n"/>
      <c r="AF4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0">
        <f>IF(tblOrdenes[[#This Row],[orden]]="","",_xlfn.XLOOKUP(tblOrdenes[[#This Row],[id_operacion]],tblEjecucion[id_operacion],tblEjecucion[precio],0))</f>
        <v/>
      </c>
      <c r="AJ499" s="10">
        <f>IF(tblOrdenes[[#This Row],[orden]]="","",MAX(0,_xlfn.XLOOKUP(tblOrdenes[[#This Row],[id_operacion]],tblEjecucion[id_operacion],tblEjecucion[costo_plan_total],0)-tblOrdenes[[#This Row],[costo_servicio]]))</f>
        <v/>
      </c>
      <c r="AK499" s="10">
        <f>IF(tblOrdenes[[#This Row],[orden]]="","",tblOrdenes[[#This Row],[costo_servicio]]+tblOrdenes[[#This Row],[costo_materiales]])</f>
        <v/>
      </c>
      <c r="AL499" s="6" t="n"/>
      <c r="AM499" s="6" t="n"/>
      <c r="AN499" s="6" t="n"/>
      <c r="AO499" s="3">
        <f>IF(tblOrdenes[[#This Row],[link_checklist]]="","",HYPERLINK(p_ruta_base_checklists&amp;tblOrdenes[[#This Row],[link_checklist]],"abrir"))</f>
        <v/>
      </c>
      <c r="AP499" s="6" t="n"/>
      <c r="AQ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3">
        <f>IF(tblOrdenes[[#This Row],[tipo_ot]]="","",_xlfn.XLOOKUP(tblOrdenes[[#This Row],[tipo_ot]],tblTiposOT[codigo],tblTiposOT[clasificacion],"sin_clasificar"))</f>
        <v/>
      </c>
      <c r="U500" s="3">
        <f>IF(tblOrdenes[[#This Row],[centro_costo]]="","",_xlfn.XLOOKUP(tblOrdenes[[#This Row],[centro_costo]],tblCECO[codigo],tblCECO[linea],"(sin catálogo)"))</f>
        <v/>
      </c>
      <c r="V500" s="3">
        <f>IF(tblOrdenes[[#This Row],[centro_costo]]="","",_xlfn.XLOOKUP(tblOrdenes[[#This Row],[centro_costo]],tblCECO[codigo],tblCECO[area],"(sin catálogo)"))</f>
        <v/>
      </c>
      <c r="W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3">
        <f>IF(tblOrdenes[[#This Row],[centro_costo]]="","",_xlfn.XLOOKUP(tblOrdenes[[#This Row],[centro_costo]],tblCECO[codigo],tblCECO[coordinador],"(sin catálogo)"))</f>
        <v/>
      </c>
      <c r="Y500" s="3">
        <f>IF(tblOrdenes[[#This Row],[puesto_trabajo]]="","",_xlfn.XLOOKUP(tblOrdenes[[#This Row],[puesto_trabajo]],tblPuestos[codigo],tblPuestos[especialidad],"(sin catálogo)"))</f>
        <v/>
      </c>
      <c r="Z500" s="3">
        <f>IF(tblOrdenes[[#This Row],[cod_actividad]]="","",_xlfn.XLOOKUP(tblOrdenes[[#This Row],[cod_actividad]],tblActividades[codigo],tblActividades[descripcion],"(sin catálogo)"))</f>
        <v/>
      </c>
      <c r="AA500" s="12">
        <f>IF(tblOrdenes[[#This Row],[fecha_inicio]]="","",TODAY()-tblOrdenes[[#This Row],[fecha_inicio]])</f>
        <v/>
      </c>
      <c r="AB5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3">
        <f>IF(tblOrdenes[[#This Row],[backlog_habiles]]="","",IF(tblOrdenes[[#This Row],[backlog_habiles]]&lt;0,"FUTURO",IF(tblOrdenes[[#This Row],[backlog_habiles]]&gt;p_dias_backlog_max,"BACKLOG","MES CORRIENTE")))</f>
        <v/>
      </c>
      <c r="AD500" s="3">
        <f>IF(tblOrdenes[[#This Row],[backlog_habiles]]="",FALSE,AND(tblOrdenes[[#This Row],[backlog_habiles]]&gt;p_dias_backlog_min,tblOrdenes[[#This Row],[backlog_habiles]]&lt;=p_dias_backlog_max))</f>
        <v/>
      </c>
      <c r="AE500" s="6" t="n"/>
      <c r="AF5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0">
        <f>IF(tblOrdenes[[#This Row],[orden]]="","",_xlfn.XLOOKUP(tblOrdenes[[#This Row],[id_operacion]],tblEjecucion[id_operacion],tblEjecucion[precio],0))</f>
        <v/>
      </c>
      <c r="AJ500" s="10">
        <f>IF(tblOrdenes[[#This Row],[orden]]="","",MAX(0,_xlfn.XLOOKUP(tblOrdenes[[#This Row],[id_operacion]],tblEjecucion[id_operacion],tblEjecucion[costo_plan_total],0)-tblOrdenes[[#This Row],[costo_servicio]]))</f>
        <v/>
      </c>
      <c r="AK500" s="10">
        <f>IF(tblOrdenes[[#This Row],[orden]]="","",tblOrdenes[[#This Row],[costo_servicio]]+tblOrdenes[[#This Row],[costo_materiales]])</f>
        <v/>
      </c>
      <c r="AL500" s="6" t="n"/>
      <c r="AM500" s="6" t="n"/>
      <c r="AN500" s="6" t="n"/>
      <c r="AO500" s="3">
        <f>IF(tblOrdenes[[#This Row],[link_checklist]]="","",HYPERLINK(p_ruta_base_checklists&amp;tblOrdenes[[#This Row],[link_checklist]],"abrir"))</f>
        <v/>
      </c>
      <c r="AP500" s="6" t="n"/>
      <c r="AQ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3">
        <f>IF(tblOrdenes[[#This Row],[tipo_ot]]="","",_xlfn.XLOOKUP(tblOrdenes[[#This Row],[tipo_ot]],tblTiposOT[codigo],tblTiposOT[clasificacion],"sin_clasificar"))</f>
        <v/>
      </c>
      <c r="U501" s="3">
        <f>IF(tblOrdenes[[#This Row],[centro_costo]]="","",_xlfn.XLOOKUP(tblOrdenes[[#This Row],[centro_costo]],tblCECO[codigo],tblCECO[linea],"(sin catálogo)"))</f>
        <v/>
      </c>
      <c r="V501" s="3">
        <f>IF(tblOrdenes[[#This Row],[centro_costo]]="","",_xlfn.XLOOKUP(tblOrdenes[[#This Row],[centro_costo]],tblCECO[codigo],tblCECO[area],"(sin catálogo)"))</f>
        <v/>
      </c>
      <c r="W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3">
        <f>IF(tblOrdenes[[#This Row],[centro_costo]]="","",_xlfn.XLOOKUP(tblOrdenes[[#This Row],[centro_costo]],tblCECO[codigo],tblCECO[coordinador],"(sin catálogo)"))</f>
        <v/>
      </c>
      <c r="Y501" s="3">
        <f>IF(tblOrdenes[[#This Row],[puesto_trabajo]]="","",_xlfn.XLOOKUP(tblOrdenes[[#This Row],[puesto_trabajo]],tblPuestos[codigo],tblPuestos[especialidad],"(sin catálogo)"))</f>
        <v/>
      </c>
      <c r="Z501" s="3">
        <f>IF(tblOrdenes[[#This Row],[cod_actividad]]="","",_xlfn.XLOOKUP(tblOrdenes[[#This Row],[cod_actividad]],tblActividades[codigo],tblActividades[descripcion],"(sin catálogo)"))</f>
        <v/>
      </c>
      <c r="AA501" s="12">
        <f>IF(tblOrdenes[[#This Row],[fecha_inicio]]="","",TODAY()-tblOrdenes[[#This Row],[fecha_inicio]])</f>
        <v/>
      </c>
      <c r="AB5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3">
        <f>IF(tblOrdenes[[#This Row],[backlog_habiles]]="","",IF(tblOrdenes[[#This Row],[backlog_habiles]]&lt;0,"FUTURO",IF(tblOrdenes[[#This Row],[backlog_habiles]]&gt;p_dias_backlog_max,"BACKLOG","MES CORRIENTE")))</f>
        <v/>
      </c>
      <c r="AD501" s="3">
        <f>IF(tblOrdenes[[#This Row],[backlog_habiles]]="",FALSE,AND(tblOrdenes[[#This Row],[backlog_habiles]]&gt;p_dias_backlog_min,tblOrdenes[[#This Row],[backlog_habiles]]&lt;=p_dias_backlog_max))</f>
        <v/>
      </c>
      <c r="AE501" s="6" t="n"/>
      <c r="AF5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0">
        <f>IF(tblOrdenes[[#This Row],[orden]]="","",_xlfn.XLOOKUP(tblOrdenes[[#This Row],[id_operacion]],tblEjecucion[id_operacion],tblEjecucion[precio],0))</f>
        <v/>
      </c>
      <c r="AJ501" s="10">
        <f>IF(tblOrdenes[[#This Row],[orden]]="","",MAX(0,_xlfn.XLOOKUP(tblOrdenes[[#This Row],[id_operacion]],tblEjecucion[id_operacion],tblEjecucion[costo_plan_total],0)-tblOrdenes[[#This Row],[costo_servicio]]))</f>
        <v/>
      </c>
      <c r="AK501" s="10">
        <f>IF(tblOrdenes[[#This Row],[orden]]="","",tblOrdenes[[#This Row],[costo_servicio]]+tblOrdenes[[#This Row],[costo_materiales]])</f>
        <v/>
      </c>
      <c r="AL501" s="6" t="n"/>
      <c r="AM501" s="6" t="n"/>
      <c r="AN501" s="6" t="n"/>
      <c r="AO501" s="3">
        <f>IF(tblOrdenes[[#This Row],[link_checklist]]="","",HYPERLINK(p_ruta_base_checklists&amp;tblOrdenes[[#This Row],[link_checklist]],"abrir"))</f>
        <v/>
      </c>
      <c r="AP501" s="6" t="n"/>
      <c r="AQ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3">
        <f>IF(tblOrdenes[[#This Row],[tipo_ot]]="","",_xlfn.XLOOKUP(tblOrdenes[[#This Row],[tipo_ot]],tblTiposOT[codigo],tblTiposOT[clasificacion],"sin_clasificar"))</f>
        <v/>
      </c>
      <c r="U502" s="3">
        <f>IF(tblOrdenes[[#This Row],[centro_costo]]="","",_xlfn.XLOOKUP(tblOrdenes[[#This Row],[centro_costo]],tblCECO[codigo],tblCECO[linea],"(sin catálogo)"))</f>
        <v/>
      </c>
      <c r="V502" s="3">
        <f>IF(tblOrdenes[[#This Row],[centro_costo]]="","",_xlfn.XLOOKUP(tblOrdenes[[#This Row],[centro_costo]],tblCECO[codigo],tblCECO[area],"(sin catálogo)"))</f>
        <v/>
      </c>
      <c r="W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3">
        <f>IF(tblOrdenes[[#This Row],[centro_costo]]="","",_xlfn.XLOOKUP(tblOrdenes[[#This Row],[centro_costo]],tblCECO[codigo],tblCECO[coordinador],"(sin catálogo)"))</f>
        <v/>
      </c>
      <c r="Y502" s="3">
        <f>IF(tblOrdenes[[#This Row],[puesto_trabajo]]="","",_xlfn.XLOOKUP(tblOrdenes[[#This Row],[puesto_trabajo]],tblPuestos[codigo],tblPuestos[especialidad],"(sin catálogo)"))</f>
        <v/>
      </c>
      <c r="Z502" s="3">
        <f>IF(tblOrdenes[[#This Row],[cod_actividad]]="","",_xlfn.XLOOKUP(tblOrdenes[[#This Row],[cod_actividad]],tblActividades[codigo],tblActividades[descripcion],"(sin catálogo)"))</f>
        <v/>
      </c>
      <c r="AA502" s="12">
        <f>IF(tblOrdenes[[#This Row],[fecha_inicio]]="","",TODAY()-tblOrdenes[[#This Row],[fecha_inicio]])</f>
        <v/>
      </c>
      <c r="AB5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3">
        <f>IF(tblOrdenes[[#This Row],[backlog_habiles]]="","",IF(tblOrdenes[[#This Row],[backlog_habiles]]&lt;0,"FUTURO",IF(tblOrdenes[[#This Row],[backlog_habiles]]&gt;p_dias_backlog_max,"BACKLOG","MES CORRIENTE")))</f>
        <v/>
      </c>
      <c r="AD502" s="3">
        <f>IF(tblOrdenes[[#This Row],[backlog_habiles]]="",FALSE,AND(tblOrdenes[[#This Row],[backlog_habiles]]&gt;p_dias_backlog_min,tblOrdenes[[#This Row],[backlog_habiles]]&lt;=p_dias_backlog_max))</f>
        <v/>
      </c>
      <c r="AE502" s="6" t="n"/>
      <c r="AF5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0">
        <f>IF(tblOrdenes[[#This Row],[orden]]="","",_xlfn.XLOOKUP(tblOrdenes[[#This Row],[id_operacion]],tblEjecucion[id_operacion],tblEjecucion[precio],0))</f>
        <v/>
      </c>
      <c r="AJ502" s="10">
        <f>IF(tblOrdenes[[#This Row],[orden]]="","",MAX(0,_xlfn.XLOOKUP(tblOrdenes[[#This Row],[id_operacion]],tblEjecucion[id_operacion],tblEjecucion[costo_plan_total],0)-tblOrdenes[[#This Row],[costo_servicio]]))</f>
        <v/>
      </c>
      <c r="AK502" s="10">
        <f>IF(tblOrdenes[[#This Row],[orden]]="","",tblOrdenes[[#This Row],[costo_servicio]]+tblOrdenes[[#This Row],[costo_materiales]])</f>
        <v/>
      </c>
      <c r="AL502" s="6" t="n"/>
      <c r="AM502" s="6" t="n"/>
      <c r="AN502" s="6" t="n"/>
      <c r="AO502" s="3">
        <f>IF(tblOrdenes[[#This Row],[link_checklist]]="","",HYPERLINK(p_ruta_base_checklists&amp;tblOrdenes[[#This Row],[link_checklist]],"abrir"))</f>
        <v/>
      </c>
      <c r="AP502" s="6" t="n"/>
      <c r="AQ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3">
        <f>IF(tblOrdenes[[#This Row],[tipo_ot]]="","",_xlfn.XLOOKUP(tblOrdenes[[#This Row],[tipo_ot]],tblTiposOT[codigo],tblTiposOT[clasificacion],"sin_clasificar"))</f>
        <v/>
      </c>
      <c r="U503" s="3">
        <f>IF(tblOrdenes[[#This Row],[centro_costo]]="","",_xlfn.XLOOKUP(tblOrdenes[[#This Row],[centro_costo]],tblCECO[codigo],tblCECO[linea],"(sin catálogo)"))</f>
        <v/>
      </c>
      <c r="V503" s="3">
        <f>IF(tblOrdenes[[#This Row],[centro_costo]]="","",_xlfn.XLOOKUP(tblOrdenes[[#This Row],[centro_costo]],tblCECO[codigo],tblCECO[area],"(sin catálogo)"))</f>
        <v/>
      </c>
      <c r="W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3">
        <f>IF(tblOrdenes[[#This Row],[centro_costo]]="","",_xlfn.XLOOKUP(tblOrdenes[[#This Row],[centro_costo]],tblCECO[codigo],tblCECO[coordinador],"(sin catálogo)"))</f>
        <v/>
      </c>
      <c r="Y503" s="3">
        <f>IF(tblOrdenes[[#This Row],[puesto_trabajo]]="","",_xlfn.XLOOKUP(tblOrdenes[[#This Row],[puesto_trabajo]],tblPuestos[codigo],tblPuestos[especialidad],"(sin catálogo)"))</f>
        <v/>
      </c>
      <c r="Z503" s="3">
        <f>IF(tblOrdenes[[#This Row],[cod_actividad]]="","",_xlfn.XLOOKUP(tblOrdenes[[#This Row],[cod_actividad]],tblActividades[codigo],tblActividades[descripcion],"(sin catálogo)"))</f>
        <v/>
      </c>
      <c r="AA503" s="12">
        <f>IF(tblOrdenes[[#This Row],[fecha_inicio]]="","",TODAY()-tblOrdenes[[#This Row],[fecha_inicio]])</f>
        <v/>
      </c>
      <c r="AB5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3">
        <f>IF(tblOrdenes[[#This Row],[backlog_habiles]]="","",IF(tblOrdenes[[#This Row],[backlog_habiles]]&lt;0,"FUTURO",IF(tblOrdenes[[#This Row],[backlog_habiles]]&gt;p_dias_backlog_max,"BACKLOG","MES CORRIENTE")))</f>
        <v/>
      </c>
      <c r="AD503" s="3">
        <f>IF(tblOrdenes[[#This Row],[backlog_habiles]]="",FALSE,AND(tblOrdenes[[#This Row],[backlog_habiles]]&gt;p_dias_backlog_min,tblOrdenes[[#This Row],[backlog_habiles]]&lt;=p_dias_backlog_max))</f>
        <v/>
      </c>
      <c r="AE503" s="6" t="n"/>
      <c r="AF5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0">
        <f>IF(tblOrdenes[[#This Row],[orden]]="","",_xlfn.XLOOKUP(tblOrdenes[[#This Row],[id_operacion]],tblEjecucion[id_operacion],tblEjecucion[precio],0))</f>
        <v/>
      </c>
      <c r="AJ503" s="10">
        <f>IF(tblOrdenes[[#This Row],[orden]]="","",MAX(0,_xlfn.XLOOKUP(tblOrdenes[[#This Row],[id_operacion]],tblEjecucion[id_operacion],tblEjecucion[costo_plan_total],0)-tblOrdenes[[#This Row],[costo_servicio]]))</f>
        <v/>
      </c>
      <c r="AK503" s="10">
        <f>IF(tblOrdenes[[#This Row],[orden]]="","",tblOrdenes[[#This Row],[costo_servicio]]+tblOrdenes[[#This Row],[costo_materiales]])</f>
        <v/>
      </c>
      <c r="AL503" s="6" t="n"/>
      <c r="AM503" s="6" t="n"/>
      <c r="AN503" s="6" t="n"/>
      <c r="AO503" s="3">
        <f>IF(tblOrdenes[[#This Row],[link_checklist]]="","",HYPERLINK(p_ruta_base_checklists&amp;tblOrdenes[[#This Row],[link_checklist]],"abrir"))</f>
        <v/>
      </c>
      <c r="AP503" s="6" t="n"/>
      <c r="AQ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3">
        <f>IF(tblOrdenes[[#This Row],[tipo_ot]]="","",_xlfn.XLOOKUP(tblOrdenes[[#This Row],[tipo_ot]],tblTiposOT[codigo],tblTiposOT[clasificacion],"sin_clasificar"))</f>
        <v/>
      </c>
      <c r="U504" s="3">
        <f>IF(tblOrdenes[[#This Row],[centro_costo]]="","",_xlfn.XLOOKUP(tblOrdenes[[#This Row],[centro_costo]],tblCECO[codigo],tblCECO[linea],"(sin catálogo)"))</f>
        <v/>
      </c>
      <c r="V504" s="3">
        <f>IF(tblOrdenes[[#This Row],[centro_costo]]="","",_xlfn.XLOOKUP(tblOrdenes[[#This Row],[centro_costo]],tblCECO[codigo],tblCECO[area],"(sin catálogo)"))</f>
        <v/>
      </c>
      <c r="W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3">
        <f>IF(tblOrdenes[[#This Row],[centro_costo]]="","",_xlfn.XLOOKUP(tblOrdenes[[#This Row],[centro_costo]],tblCECO[codigo],tblCECO[coordinador],"(sin catálogo)"))</f>
        <v/>
      </c>
      <c r="Y504" s="3">
        <f>IF(tblOrdenes[[#This Row],[puesto_trabajo]]="","",_xlfn.XLOOKUP(tblOrdenes[[#This Row],[puesto_trabajo]],tblPuestos[codigo],tblPuestos[especialidad],"(sin catálogo)"))</f>
        <v/>
      </c>
      <c r="Z504" s="3">
        <f>IF(tblOrdenes[[#This Row],[cod_actividad]]="","",_xlfn.XLOOKUP(tblOrdenes[[#This Row],[cod_actividad]],tblActividades[codigo],tblActividades[descripcion],"(sin catálogo)"))</f>
        <v/>
      </c>
      <c r="AA504" s="12">
        <f>IF(tblOrdenes[[#This Row],[fecha_inicio]]="","",TODAY()-tblOrdenes[[#This Row],[fecha_inicio]])</f>
        <v/>
      </c>
      <c r="AB5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3">
        <f>IF(tblOrdenes[[#This Row],[backlog_habiles]]="","",IF(tblOrdenes[[#This Row],[backlog_habiles]]&lt;0,"FUTURO",IF(tblOrdenes[[#This Row],[backlog_habiles]]&gt;p_dias_backlog_max,"BACKLOG","MES CORRIENTE")))</f>
        <v/>
      </c>
      <c r="AD504" s="3">
        <f>IF(tblOrdenes[[#This Row],[backlog_habiles]]="",FALSE,AND(tblOrdenes[[#This Row],[backlog_habiles]]&gt;p_dias_backlog_min,tblOrdenes[[#This Row],[backlog_habiles]]&lt;=p_dias_backlog_max))</f>
        <v/>
      </c>
      <c r="AE504" s="6" t="n"/>
      <c r="AF5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0">
        <f>IF(tblOrdenes[[#This Row],[orden]]="","",_xlfn.XLOOKUP(tblOrdenes[[#This Row],[id_operacion]],tblEjecucion[id_operacion],tblEjecucion[precio],0))</f>
        <v/>
      </c>
      <c r="AJ504" s="10">
        <f>IF(tblOrdenes[[#This Row],[orden]]="","",MAX(0,_xlfn.XLOOKUP(tblOrdenes[[#This Row],[id_operacion]],tblEjecucion[id_operacion],tblEjecucion[costo_plan_total],0)-tblOrdenes[[#This Row],[costo_servicio]]))</f>
        <v/>
      </c>
      <c r="AK504" s="10">
        <f>IF(tblOrdenes[[#This Row],[orden]]="","",tblOrdenes[[#This Row],[costo_servicio]]+tblOrdenes[[#This Row],[costo_materiales]])</f>
        <v/>
      </c>
      <c r="AL504" s="6" t="n"/>
      <c r="AM504" s="6" t="n"/>
      <c r="AN504" s="6" t="n"/>
      <c r="AO504" s="3">
        <f>IF(tblOrdenes[[#This Row],[link_checklist]]="","",HYPERLINK(p_ruta_base_checklists&amp;tblOrdenes[[#This Row],[link_checklist]],"abrir"))</f>
        <v/>
      </c>
      <c r="AP504" s="6" t="n"/>
      <c r="AQ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3">
        <f>IF(tblOrdenes[[#This Row],[tipo_ot]]="","",_xlfn.XLOOKUP(tblOrdenes[[#This Row],[tipo_ot]],tblTiposOT[codigo],tblTiposOT[clasificacion],"sin_clasificar"))</f>
        <v/>
      </c>
      <c r="U505" s="3">
        <f>IF(tblOrdenes[[#This Row],[centro_costo]]="","",_xlfn.XLOOKUP(tblOrdenes[[#This Row],[centro_costo]],tblCECO[codigo],tblCECO[linea],"(sin catálogo)"))</f>
        <v/>
      </c>
      <c r="V505" s="3">
        <f>IF(tblOrdenes[[#This Row],[centro_costo]]="","",_xlfn.XLOOKUP(tblOrdenes[[#This Row],[centro_costo]],tblCECO[codigo],tblCECO[area],"(sin catálogo)"))</f>
        <v/>
      </c>
      <c r="W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3">
        <f>IF(tblOrdenes[[#This Row],[centro_costo]]="","",_xlfn.XLOOKUP(tblOrdenes[[#This Row],[centro_costo]],tblCECO[codigo],tblCECO[coordinador],"(sin catálogo)"))</f>
        <v/>
      </c>
      <c r="Y505" s="3">
        <f>IF(tblOrdenes[[#This Row],[puesto_trabajo]]="","",_xlfn.XLOOKUP(tblOrdenes[[#This Row],[puesto_trabajo]],tblPuestos[codigo],tblPuestos[especialidad],"(sin catálogo)"))</f>
        <v/>
      </c>
      <c r="Z505" s="3">
        <f>IF(tblOrdenes[[#This Row],[cod_actividad]]="","",_xlfn.XLOOKUP(tblOrdenes[[#This Row],[cod_actividad]],tblActividades[codigo],tblActividades[descripcion],"(sin catálogo)"))</f>
        <v/>
      </c>
      <c r="AA505" s="12">
        <f>IF(tblOrdenes[[#This Row],[fecha_inicio]]="","",TODAY()-tblOrdenes[[#This Row],[fecha_inicio]])</f>
        <v/>
      </c>
      <c r="AB5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3">
        <f>IF(tblOrdenes[[#This Row],[backlog_habiles]]="","",IF(tblOrdenes[[#This Row],[backlog_habiles]]&lt;0,"FUTURO",IF(tblOrdenes[[#This Row],[backlog_habiles]]&gt;p_dias_backlog_max,"BACKLOG","MES CORRIENTE")))</f>
        <v/>
      </c>
      <c r="AD505" s="3">
        <f>IF(tblOrdenes[[#This Row],[backlog_habiles]]="",FALSE,AND(tblOrdenes[[#This Row],[backlog_habiles]]&gt;p_dias_backlog_min,tblOrdenes[[#This Row],[backlog_habiles]]&lt;=p_dias_backlog_max))</f>
        <v/>
      </c>
      <c r="AE505" s="6" t="n"/>
      <c r="AF5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0">
        <f>IF(tblOrdenes[[#This Row],[orden]]="","",_xlfn.XLOOKUP(tblOrdenes[[#This Row],[id_operacion]],tblEjecucion[id_operacion],tblEjecucion[precio],0))</f>
        <v/>
      </c>
      <c r="AJ505" s="10">
        <f>IF(tblOrdenes[[#This Row],[orden]]="","",MAX(0,_xlfn.XLOOKUP(tblOrdenes[[#This Row],[id_operacion]],tblEjecucion[id_operacion],tblEjecucion[costo_plan_total],0)-tblOrdenes[[#This Row],[costo_servicio]]))</f>
        <v/>
      </c>
      <c r="AK505" s="10">
        <f>IF(tblOrdenes[[#This Row],[orden]]="","",tblOrdenes[[#This Row],[costo_servicio]]+tblOrdenes[[#This Row],[costo_materiales]])</f>
        <v/>
      </c>
      <c r="AL505" s="6" t="n"/>
      <c r="AM505" s="6" t="n"/>
      <c r="AN505" s="6" t="n"/>
      <c r="AO505" s="3">
        <f>IF(tblOrdenes[[#This Row],[link_checklist]]="","",HYPERLINK(p_ruta_base_checklists&amp;tblOrdenes[[#This Row],[link_checklist]],"abrir"))</f>
        <v/>
      </c>
      <c r="AP505" s="6" t="n"/>
      <c r="AQ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3">
        <f>IF(tblOrdenes[[#This Row],[tipo_ot]]="","",_xlfn.XLOOKUP(tblOrdenes[[#This Row],[tipo_ot]],tblTiposOT[codigo],tblTiposOT[clasificacion],"sin_clasificar"))</f>
        <v/>
      </c>
      <c r="U506" s="3">
        <f>IF(tblOrdenes[[#This Row],[centro_costo]]="","",_xlfn.XLOOKUP(tblOrdenes[[#This Row],[centro_costo]],tblCECO[codigo],tblCECO[linea],"(sin catálogo)"))</f>
        <v/>
      </c>
      <c r="V506" s="3">
        <f>IF(tblOrdenes[[#This Row],[centro_costo]]="","",_xlfn.XLOOKUP(tblOrdenes[[#This Row],[centro_costo]],tblCECO[codigo],tblCECO[area],"(sin catálogo)"))</f>
        <v/>
      </c>
      <c r="W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3">
        <f>IF(tblOrdenes[[#This Row],[centro_costo]]="","",_xlfn.XLOOKUP(tblOrdenes[[#This Row],[centro_costo]],tblCECO[codigo],tblCECO[coordinador],"(sin catálogo)"))</f>
        <v/>
      </c>
      <c r="Y506" s="3">
        <f>IF(tblOrdenes[[#This Row],[puesto_trabajo]]="","",_xlfn.XLOOKUP(tblOrdenes[[#This Row],[puesto_trabajo]],tblPuestos[codigo],tblPuestos[especialidad],"(sin catálogo)"))</f>
        <v/>
      </c>
      <c r="Z506" s="3">
        <f>IF(tblOrdenes[[#This Row],[cod_actividad]]="","",_xlfn.XLOOKUP(tblOrdenes[[#This Row],[cod_actividad]],tblActividades[codigo],tblActividades[descripcion],"(sin catálogo)"))</f>
        <v/>
      </c>
      <c r="AA506" s="12">
        <f>IF(tblOrdenes[[#This Row],[fecha_inicio]]="","",TODAY()-tblOrdenes[[#This Row],[fecha_inicio]])</f>
        <v/>
      </c>
      <c r="AB5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3">
        <f>IF(tblOrdenes[[#This Row],[backlog_habiles]]="","",IF(tblOrdenes[[#This Row],[backlog_habiles]]&lt;0,"FUTURO",IF(tblOrdenes[[#This Row],[backlog_habiles]]&gt;p_dias_backlog_max,"BACKLOG","MES CORRIENTE")))</f>
        <v/>
      </c>
      <c r="AD506" s="3">
        <f>IF(tblOrdenes[[#This Row],[backlog_habiles]]="",FALSE,AND(tblOrdenes[[#This Row],[backlog_habiles]]&gt;p_dias_backlog_min,tblOrdenes[[#This Row],[backlog_habiles]]&lt;=p_dias_backlog_max))</f>
        <v/>
      </c>
      <c r="AE506" s="6" t="n"/>
      <c r="AF5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0">
        <f>IF(tblOrdenes[[#This Row],[orden]]="","",_xlfn.XLOOKUP(tblOrdenes[[#This Row],[id_operacion]],tblEjecucion[id_operacion],tblEjecucion[precio],0))</f>
        <v/>
      </c>
      <c r="AJ506" s="10">
        <f>IF(tblOrdenes[[#This Row],[orden]]="","",MAX(0,_xlfn.XLOOKUP(tblOrdenes[[#This Row],[id_operacion]],tblEjecucion[id_operacion],tblEjecucion[costo_plan_total],0)-tblOrdenes[[#This Row],[costo_servicio]]))</f>
        <v/>
      </c>
      <c r="AK506" s="10">
        <f>IF(tblOrdenes[[#This Row],[orden]]="","",tblOrdenes[[#This Row],[costo_servicio]]+tblOrdenes[[#This Row],[costo_materiales]])</f>
        <v/>
      </c>
      <c r="AL506" s="6" t="n"/>
      <c r="AM506" s="6" t="n"/>
      <c r="AN506" s="6" t="n"/>
      <c r="AO506" s="3">
        <f>IF(tblOrdenes[[#This Row],[link_checklist]]="","",HYPERLINK(p_ruta_base_checklists&amp;tblOrdenes[[#This Row],[link_checklist]],"abrir"))</f>
        <v/>
      </c>
      <c r="AP506" s="6" t="n"/>
      <c r="AQ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3">
        <f>IF(tblOrdenes[[#This Row],[tipo_ot]]="","",_xlfn.XLOOKUP(tblOrdenes[[#This Row],[tipo_ot]],tblTiposOT[codigo],tblTiposOT[clasificacion],"sin_clasificar"))</f>
        <v/>
      </c>
      <c r="U507" s="3">
        <f>IF(tblOrdenes[[#This Row],[centro_costo]]="","",_xlfn.XLOOKUP(tblOrdenes[[#This Row],[centro_costo]],tblCECO[codigo],tblCECO[linea],"(sin catálogo)"))</f>
        <v/>
      </c>
      <c r="V507" s="3">
        <f>IF(tblOrdenes[[#This Row],[centro_costo]]="","",_xlfn.XLOOKUP(tblOrdenes[[#This Row],[centro_costo]],tblCECO[codigo],tblCECO[area],"(sin catálogo)"))</f>
        <v/>
      </c>
      <c r="W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3">
        <f>IF(tblOrdenes[[#This Row],[centro_costo]]="","",_xlfn.XLOOKUP(tblOrdenes[[#This Row],[centro_costo]],tblCECO[codigo],tblCECO[coordinador],"(sin catálogo)"))</f>
        <v/>
      </c>
      <c r="Y507" s="3">
        <f>IF(tblOrdenes[[#This Row],[puesto_trabajo]]="","",_xlfn.XLOOKUP(tblOrdenes[[#This Row],[puesto_trabajo]],tblPuestos[codigo],tblPuestos[especialidad],"(sin catálogo)"))</f>
        <v/>
      </c>
      <c r="Z507" s="3">
        <f>IF(tblOrdenes[[#This Row],[cod_actividad]]="","",_xlfn.XLOOKUP(tblOrdenes[[#This Row],[cod_actividad]],tblActividades[codigo],tblActividades[descripcion],"(sin catálogo)"))</f>
        <v/>
      </c>
      <c r="AA507" s="12">
        <f>IF(tblOrdenes[[#This Row],[fecha_inicio]]="","",TODAY()-tblOrdenes[[#This Row],[fecha_inicio]])</f>
        <v/>
      </c>
      <c r="AB5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3">
        <f>IF(tblOrdenes[[#This Row],[backlog_habiles]]="","",IF(tblOrdenes[[#This Row],[backlog_habiles]]&lt;0,"FUTURO",IF(tblOrdenes[[#This Row],[backlog_habiles]]&gt;p_dias_backlog_max,"BACKLOG","MES CORRIENTE")))</f>
        <v/>
      </c>
      <c r="AD507" s="3">
        <f>IF(tblOrdenes[[#This Row],[backlog_habiles]]="",FALSE,AND(tblOrdenes[[#This Row],[backlog_habiles]]&gt;p_dias_backlog_min,tblOrdenes[[#This Row],[backlog_habiles]]&lt;=p_dias_backlog_max))</f>
        <v/>
      </c>
      <c r="AE507" s="6" t="n"/>
      <c r="AF5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0">
        <f>IF(tblOrdenes[[#This Row],[orden]]="","",_xlfn.XLOOKUP(tblOrdenes[[#This Row],[id_operacion]],tblEjecucion[id_operacion],tblEjecucion[precio],0))</f>
        <v/>
      </c>
      <c r="AJ507" s="10">
        <f>IF(tblOrdenes[[#This Row],[orden]]="","",MAX(0,_xlfn.XLOOKUP(tblOrdenes[[#This Row],[id_operacion]],tblEjecucion[id_operacion],tblEjecucion[costo_plan_total],0)-tblOrdenes[[#This Row],[costo_servicio]]))</f>
        <v/>
      </c>
      <c r="AK507" s="10">
        <f>IF(tblOrdenes[[#This Row],[orden]]="","",tblOrdenes[[#This Row],[costo_servicio]]+tblOrdenes[[#This Row],[costo_materiales]])</f>
        <v/>
      </c>
      <c r="AL507" s="6" t="n"/>
      <c r="AM507" s="6" t="n"/>
      <c r="AN507" s="6" t="n"/>
      <c r="AO507" s="3">
        <f>IF(tblOrdenes[[#This Row],[link_checklist]]="","",HYPERLINK(p_ruta_base_checklists&amp;tblOrdenes[[#This Row],[link_checklist]],"abrir"))</f>
        <v/>
      </c>
      <c r="AP507" s="6" t="n"/>
      <c r="AQ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3">
        <f>IF(tblOrdenes[[#This Row],[tipo_ot]]="","",_xlfn.XLOOKUP(tblOrdenes[[#This Row],[tipo_ot]],tblTiposOT[codigo],tblTiposOT[clasificacion],"sin_clasificar"))</f>
        <v/>
      </c>
      <c r="U508" s="3">
        <f>IF(tblOrdenes[[#This Row],[centro_costo]]="","",_xlfn.XLOOKUP(tblOrdenes[[#This Row],[centro_costo]],tblCECO[codigo],tblCECO[linea],"(sin catálogo)"))</f>
        <v/>
      </c>
      <c r="V508" s="3">
        <f>IF(tblOrdenes[[#This Row],[centro_costo]]="","",_xlfn.XLOOKUP(tblOrdenes[[#This Row],[centro_costo]],tblCECO[codigo],tblCECO[area],"(sin catálogo)"))</f>
        <v/>
      </c>
      <c r="W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3">
        <f>IF(tblOrdenes[[#This Row],[centro_costo]]="","",_xlfn.XLOOKUP(tblOrdenes[[#This Row],[centro_costo]],tblCECO[codigo],tblCECO[coordinador],"(sin catálogo)"))</f>
        <v/>
      </c>
      <c r="Y508" s="3">
        <f>IF(tblOrdenes[[#This Row],[puesto_trabajo]]="","",_xlfn.XLOOKUP(tblOrdenes[[#This Row],[puesto_trabajo]],tblPuestos[codigo],tblPuestos[especialidad],"(sin catálogo)"))</f>
        <v/>
      </c>
      <c r="Z508" s="3">
        <f>IF(tblOrdenes[[#This Row],[cod_actividad]]="","",_xlfn.XLOOKUP(tblOrdenes[[#This Row],[cod_actividad]],tblActividades[codigo],tblActividades[descripcion],"(sin catálogo)"))</f>
        <v/>
      </c>
      <c r="AA508" s="12">
        <f>IF(tblOrdenes[[#This Row],[fecha_inicio]]="","",TODAY()-tblOrdenes[[#This Row],[fecha_inicio]])</f>
        <v/>
      </c>
      <c r="AB5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3">
        <f>IF(tblOrdenes[[#This Row],[backlog_habiles]]="","",IF(tblOrdenes[[#This Row],[backlog_habiles]]&lt;0,"FUTURO",IF(tblOrdenes[[#This Row],[backlog_habiles]]&gt;p_dias_backlog_max,"BACKLOG","MES CORRIENTE")))</f>
        <v/>
      </c>
      <c r="AD508" s="3">
        <f>IF(tblOrdenes[[#This Row],[backlog_habiles]]="",FALSE,AND(tblOrdenes[[#This Row],[backlog_habiles]]&gt;p_dias_backlog_min,tblOrdenes[[#This Row],[backlog_habiles]]&lt;=p_dias_backlog_max))</f>
        <v/>
      </c>
      <c r="AE508" s="6" t="n"/>
      <c r="AF5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0">
        <f>IF(tblOrdenes[[#This Row],[orden]]="","",_xlfn.XLOOKUP(tblOrdenes[[#This Row],[id_operacion]],tblEjecucion[id_operacion],tblEjecucion[precio],0))</f>
        <v/>
      </c>
      <c r="AJ508" s="10">
        <f>IF(tblOrdenes[[#This Row],[orden]]="","",MAX(0,_xlfn.XLOOKUP(tblOrdenes[[#This Row],[id_operacion]],tblEjecucion[id_operacion],tblEjecucion[costo_plan_total],0)-tblOrdenes[[#This Row],[costo_servicio]]))</f>
        <v/>
      </c>
      <c r="AK508" s="10">
        <f>IF(tblOrdenes[[#This Row],[orden]]="","",tblOrdenes[[#This Row],[costo_servicio]]+tblOrdenes[[#This Row],[costo_materiales]])</f>
        <v/>
      </c>
      <c r="AL508" s="6" t="n"/>
      <c r="AM508" s="6" t="n"/>
      <c r="AN508" s="6" t="n"/>
      <c r="AO508" s="3">
        <f>IF(tblOrdenes[[#This Row],[link_checklist]]="","",HYPERLINK(p_ruta_base_checklists&amp;tblOrdenes[[#This Row],[link_checklist]],"abrir"))</f>
        <v/>
      </c>
      <c r="AP508" s="6" t="n"/>
      <c r="AQ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3">
        <f>IF(tblOrdenes[[#This Row],[tipo_ot]]="","",_xlfn.XLOOKUP(tblOrdenes[[#This Row],[tipo_ot]],tblTiposOT[codigo],tblTiposOT[clasificacion],"sin_clasificar"))</f>
        <v/>
      </c>
      <c r="U509" s="3">
        <f>IF(tblOrdenes[[#This Row],[centro_costo]]="","",_xlfn.XLOOKUP(tblOrdenes[[#This Row],[centro_costo]],tblCECO[codigo],tblCECO[linea],"(sin catálogo)"))</f>
        <v/>
      </c>
      <c r="V509" s="3">
        <f>IF(tblOrdenes[[#This Row],[centro_costo]]="","",_xlfn.XLOOKUP(tblOrdenes[[#This Row],[centro_costo]],tblCECO[codigo],tblCECO[area],"(sin catálogo)"))</f>
        <v/>
      </c>
      <c r="W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3">
        <f>IF(tblOrdenes[[#This Row],[centro_costo]]="","",_xlfn.XLOOKUP(tblOrdenes[[#This Row],[centro_costo]],tblCECO[codigo],tblCECO[coordinador],"(sin catálogo)"))</f>
        <v/>
      </c>
      <c r="Y509" s="3">
        <f>IF(tblOrdenes[[#This Row],[puesto_trabajo]]="","",_xlfn.XLOOKUP(tblOrdenes[[#This Row],[puesto_trabajo]],tblPuestos[codigo],tblPuestos[especialidad],"(sin catálogo)"))</f>
        <v/>
      </c>
      <c r="Z509" s="3">
        <f>IF(tblOrdenes[[#This Row],[cod_actividad]]="","",_xlfn.XLOOKUP(tblOrdenes[[#This Row],[cod_actividad]],tblActividades[codigo],tblActividades[descripcion],"(sin catálogo)"))</f>
        <v/>
      </c>
      <c r="AA509" s="12">
        <f>IF(tblOrdenes[[#This Row],[fecha_inicio]]="","",TODAY()-tblOrdenes[[#This Row],[fecha_inicio]])</f>
        <v/>
      </c>
      <c r="AB5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3">
        <f>IF(tblOrdenes[[#This Row],[backlog_habiles]]="","",IF(tblOrdenes[[#This Row],[backlog_habiles]]&lt;0,"FUTURO",IF(tblOrdenes[[#This Row],[backlog_habiles]]&gt;p_dias_backlog_max,"BACKLOG","MES CORRIENTE")))</f>
        <v/>
      </c>
      <c r="AD509" s="3">
        <f>IF(tblOrdenes[[#This Row],[backlog_habiles]]="",FALSE,AND(tblOrdenes[[#This Row],[backlog_habiles]]&gt;p_dias_backlog_min,tblOrdenes[[#This Row],[backlog_habiles]]&lt;=p_dias_backlog_max))</f>
        <v/>
      </c>
      <c r="AE509" s="6" t="n"/>
      <c r="AF5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0">
        <f>IF(tblOrdenes[[#This Row],[orden]]="","",_xlfn.XLOOKUP(tblOrdenes[[#This Row],[id_operacion]],tblEjecucion[id_operacion],tblEjecucion[precio],0))</f>
        <v/>
      </c>
      <c r="AJ509" s="10">
        <f>IF(tblOrdenes[[#This Row],[orden]]="","",MAX(0,_xlfn.XLOOKUP(tblOrdenes[[#This Row],[id_operacion]],tblEjecucion[id_operacion],tblEjecucion[costo_plan_total],0)-tblOrdenes[[#This Row],[costo_servicio]]))</f>
        <v/>
      </c>
      <c r="AK509" s="10">
        <f>IF(tblOrdenes[[#This Row],[orden]]="","",tblOrdenes[[#This Row],[costo_servicio]]+tblOrdenes[[#This Row],[costo_materiales]])</f>
        <v/>
      </c>
      <c r="AL509" s="6" t="n"/>
      <c r="AM509" s="6" t="n"/>
      <c r="AN509" s="6" t="n"/>
      <c r="AO509" s="3">
        <f>IF(tblOrdenes[[#This Row],[link_checklist]]="","",HYPERLINK(p_ruta_base_checklists&amp;tblOrdenes[[#This Row],[link_checklist]],"abrir"))</f>
        <v/>
      </c>
      <c r="AP509" s="6" t="n"/>
      <c r="AQ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3">
        <f>IF(tblOrdenes[[#This Row],[tipo_ot]]="","",_xlfn.XLOOKUP(tblOrdenes[[#This Row],[tipo_ot]],tblTiposOT[codigo],tblTiposOT[clasificacion],"sin_clasificar"))</f>
        <v/>
      </c>
      <c r="U510" s="3">
        <f>IF(tblOrdenes[[#This Row],[centro_costo]]="","",_xlfn.XLOOKUP(tblOrdenes[[#This Row],[centro_costo]],tblCECO[codigo],tblCECO[linea],"(sin catálogo)"))</f>
        <v/>
      </c>
      <c r="V510" s="3">
        <f>IF(tblOrdenes[[#This Row],[centro_costo]]="","",_xlfn.XLOOKUP(tblOrdenes[[#This Row],[centro_costo]],tblCECO[codigo],tblCECO[area],"(sin catálogo)"))</f>
        <v/>
      </c>
      <c r="W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3">
        <f>IF(tblOrdenes[[#This Row],[centro_costo]]="","",_xlfn.XLOOKUP(tblOrdenes[[#This Row],[centro_costo]],tblCECO[codigo],tblCECO[coordinador],"(sin catálogo)"))</f>
        <v/>
      </c>
      <c r="Y510" s="3">
        <f>IF(tblOrdenes[[#This Row],[puesto_trabajo]]="","",_xlfn.XLOOKUP(tblOrdenes[[#This Row],[puesto_trabajo]],tblPuestos[codigo],tblPuestos[especialidad],"(sin catálogo)"))</f>
        <v/>
      </c>
      <c r="Z510" s="3">
        <f>IF(tblOrdenes[[#This Row],[cod_actividad]]="","",_xlfn.XLOOKUP(tblOrdenes[[#This Row],[cod_actividad]],tblActividades[codigo],tblActividades[descripcion],"(sin catálogo)"))</f>
        <v/>
      </c>
      <c r="AA510" s="12">
        <f>IF(tblOrdenes[[#This Row],[fecha_inicio]]="","",TODAY()-tblOrdenes[[#This Row],[fecha_inicio]])</f>
        <v/>
      </c>
      <c r="AB5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3">
        <f>IF(tblOrdenes[[#This Row],[backlog_habiles]]="","",IF(tblOrdenes[[#This Row],[backlog_habiles]]&lt;0,"FUTURO",IF(tblOrdenes[[#This Row],[backlog_habiles]]&gt;p_dias_backlog_max,"BACKLOG","MES CORRIENTE")))</f>
        <v/>
      </c>
      <c r="AD510" s="3">
        <f>IF(tblOrdenes[[#This Row],[backlog_habiles]]="",FALSE,AND(tblOrdenes[[#This Row],[backlog_habiles]]&gt;p_dias_backlog_min,tblOrdenes[[#This Row],[backlog_habiles]]&lt;=p_dias_backlog_max))</f>
        <v/>
      </c>
      <c r="AE510" s="6" t="n"/>
      <c r="AF5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0">
        <f>IF(tblOrdenes[[#This Row],[orden]]="","",_xlfn.XLOOKUP(tblOrdenes[[#This Row],[id_operacion]],tblEjecucion[id_operacion],tblEjecucion[precio],0))</f>
        <v/>
      </c>
      <c r="AJ510" s="10">
        <f>IF(tblOrdenes[[#This Row],[orden]]="","",MAX(0,_xlfn.XLOOKUP(tblOrdenes[[#This Row],[id_operacion]],tblEjecucion[id_operacion],tblEjecucion[costo_plan_total],0)-tblOrdenes[[#This Row],[costo_servicio]]))</f>
        <v/>
      </c>
      <c r="AK510" s="10">
        <f>IF(tblOrdenes[[#This Row],[orden]]="","",tblOrdenes[[#This Row],[costo_servicio]]+tblOrdenes[[#This Row],[costo_materiales]])</f>
        <v/>
      </c>
      <c r="AL510" s="6" t="n"/>
      <c r="AM510" s="6" t="n"/>
      <c r="AN510" s="6" t="n"/>
      <c r="AO510" s="3">
        <f>IF(tblOrdenes[[#This Row],[link_checklist]]="","",HYPERLINK(p_ruta_base_checklists&amp;tblOrdenes[[#This Row],[link_checklist]],"abrir"))</f>
        <v/>
      </c>
      <c r="AP510" s="6" t="n"/>
      <c r="AQ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3">
        <f>IF(tblOrdenes[[#This Row],[tipo_ot]]="","",_xlfn.XLOOKUP(tblOrdenes[[#This Row],[tipo_ot]],tblTiposOT[codigo],tblTiposOT[clasificacion],"sin_clasificar"))</f>
        <v/>
      </c>
      <c r="U511" s="3">
        <f>IF(tblOrdenes[[#This Row],[centro_costo]]="","",_xlfn.XLOOKUP(tblOrdenes[[#This Row],[centro_costo]],tblCECO[codigo],tblCECO[linea],"(sin catálogo)"))</f>
        <v/>
      </c>
      <c r="V511" s="3">
        <f>IF(tblOrdenes[[#This Row],[centro_costo]]="","",_xlfn.XLOOKUP(tblOrdenes[[#This Row],[centro_costo]],tblCECO[codigo],tblCECO[area],"(sin catálogo)"))</f>
        <v/>
      </c>
      <c r="W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3">
        <f>IF(tblOrdenes[[#This Row],[centro_costo]]="","",_xlfn.XLOOKUP(tblOrdenes[[#This Row],[centro_costo]],tblCECO[codigo],tblCECO[coordinador],"(sin catálogo)"))</f>
        <v/>
      </c>
      <c r="Y511" s="3">
        <f>IF(tblOrdenes[[#This Row],[puesto_trabajo]]="","",_xlfn.XLOOKUP(tblOrdenes[[#This Row],[puesto_trabajo]],tblPuestos[codigo],tblPuestos[especialidad],"(sin catálogo)"))</f>
        <v/>
      </c>
      <c r="Z511" s="3">
        <f>IF(tblOrdenes[[#This Row],[cod_actividad]]="","",_xlfn.XLOOKUP(tblOrdenes[[#This Row],[cod_actividad]],tblActividades[codigo],tblActividades[descripcion],"(sin catálogo)"))</f>
        <v/>
      </c>
      <c r="AA511" s="12">
        <f>IF(tblOrdenes[[#This Row],[fecha_inicio]]="","",TODAY()-tblOrdenes[[#This Row],[fecha_inicio]])</f>
        <v/>
      </c>
      <c r="AB5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3">
        <f>IF(tblOrdenes[[#This Row],[backlog_habiles]]="","",IF(tblOrdenes[[#This Row],[backlog_habiles]]&lt;0,"FUTURO",IF(tblOrdenes[[#This Row],[backlog_habiles]]&gt;p_dias_backlog_max,"BACKLOG","MES CORRIENTE")))</f>
        <v/>
      </c>
      <c r="AD511" s="3">
        <f>IF(tblOrdenes[[#This Row],[backlog_habiles]]="",FALSE,AND(tblOrdenes[[#This Row],[backlog_habiles]]&gt;p_dias_backlog_min,tblOrdenes[[#This Row],[backlog_habiles]]&lt;=p_dias_backlog_max))</f>
        <v/>
      </c>
      <c r="AE511" s="6" t="n"/>
      <c r="AF5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0">
        <f>IF(tblOrdenes[[#This Row],[orden]]="","",_xlfn.XLOOKUP(tblOrdenes[[#This Row],[id_operacion]],tblEjecucion[id_operacion],tblEjecucion[precio],0))</f>
        <v/>
      </c>
      <c r="AJ511" s="10">
        <f>IF(tblOrdenes[[#This Row],[orden]]="","",MAX(0,_xlfn.XLOOKUP(tblOrdenes[[#This Row],[id_operacion]],tblEjecucion[id_operacion],tblEjecucion[costo_plan_total],0)-tblOrdenes[[#This Row],[costo_servicio]]))</f>
        <v/>
      </c>
      <c r="AK511" s="10">
        <f>IF(tblOrdenes[[#This Row],[orden]]="","",tblOrdenes[[#This Row],[costo_servicio]]+tblOrdenes[[#This Row],[costo_materiales]])</f>
        <v/>
      </c>
      <c r="AL511" s="6" t="n"/>
      <c r="AM511" s="6" t="n"/>
      <c r="AN511" s="6" t="n"/>
      <c r="AO511" s="3">
        <f>IF(tblOrdenes[[#This Row],[link_checklist]]="","",HYPERLINK(p_ruta_base_checklists&amp;tblOrdenes[[#This Row],[link_checklist]],"abrir"))</f>
        <v/>
      </c>
      <c r="AP511" s="6" t="n"/>
      <c r="AQ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3">
        <f>IF(tblOrdenes[[#This Row],[tipo_ot]]="","",_xlfn.XLOOKUP(tblOrdenes[[#This Row],[tipo_ot]],tblTiposOT[codigo],tblTiposOT[clasificacion],"sin_clasificar"))</f>
        <v/>
      </c>
      <c r="U512" s="3">
        <f>IF(tblOrdenes[[#This Row],[centro_costo]]="","",_xlfn.XLOOKUP(tblOrdenes[[#This Row],[centro_costo]],tblCECO[codigo],tblCECO[linea],"(sin catálogo)"))</f>
        <v/>
      </c>
      <c r="V512" s="3">
        <f>IF(tblOrdenes[[#This Row],[centro_costo]]="","",_xlfn.XLOOKUP(tblOrdenes[[#This Row],[centro_costo]],tblCECO[codigo],tblCECO[area],"(sin catálogo)"))</f>
        <v/>
      </c>
      <c r="W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3">
        <f>IF(tblOrdenes[[#This Row],[centro_costo]]="","",_xlfn.XLOOKUP(tblOrdenes[[#This Row],[centro_costo]],tblCECO[codigo],tblCECO[coordinador],"(sin catálogo)"))</f>
        <v/>
      </c>
      <c r="Y512" s="3">
        <f>IF(tblOrdenes[[#This Row],[puesto_trabajo]]="","",_xlfn.XLOOKUP(tblOrdenes[[#This Row],[puesto_trabajo]],tblPuestos[codigo],tblPuestos[especialidad],"(sin catálogo)"))</f>
        <v/>
      </c>
      <c r="Z512" s="3">
        <f>IF(tblOrdenes[[#This Row],[cod_actividad]]="","",_xlfn.XLOOKUP(tblOrdenes[[#This Row],[cod_actividad]],tblActividades[codigo],tblActividades[descripcion],"(sin catálogo)"))</f>
        <v/>
      </c>
      <c r="AA512" s="12">
        <f>IF(tblOrdenes[[#This Row],[fecha_inicio]]="","",TODAY()-tblOrdenes[[#This Row],[fecha_inicio]])</f>
        <v/>
      </c>
      <c r="AB5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3">
        <f>IF(tblOrdenes[[#This Row],[backlog_habiles]]="","",IF(tblOrdenes[[#This Row],[backlog_habiles]]&lt;0,"FUTURO",IF(tblOrdenes[[#This Row],[backlog_habiles]]&gt;p_dias_backlog_max,"BACKLOG","MES CORRIENTE")))</f>
        <v/>
      </c>
      <c r="AD512" s="3">
        <f>IF(tblOrdenes[[#This Row],[backlog_habiles]]="",FALSE,AND(tblOrdenes[[#This Row],[backlog_habiles]]&gt;p_dias_backlog_min,tblOrdenes[[#This Row],[backlog_habiles]]&lt;=p_dias_backlog_max))</f>
        <v/>
      </c>
      <c r="AE512" s="6" t="n"/>
      <c r="AF5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0">
        <f>IF(tblOrdenes[[#This Row],[orden]]="","",_xlfn.XLOOKUP(tblOrdenes[[#This Row],[id_operacion]],tblEjecucion[id_operacion],tblEjecucion[precio],0))</f>
        <v/>
      </c>
      <c r="AJ512" s="10">
        <f>IF(tblOrdenes[[#This Row],[orden]]="","",MAX(0,_xlfn.XLOOKUP(tblOrdenes[[#This Row],[id_operacion]],tblEjecucion[id_operacion],tblEjecucion[costo_plan_total],0)-tblOrdenes[[#This Row],[costo_servicio]]))</f>
        <v/>
      </c>
      <c r="AK512" s="10">
        <f>IF(tblOrdenes[[#This Row],[orden]]="","",tblOrdenes[[#This Row],[costo_servicio]]+tblOrdenes[[#This Row],[costo_materiales]])</f>
        <v/>
      </c>
      <c r="AL512" s="6" t="n"/>
      <c r="AM512" s="6" t="n"/>
      <c r="AN512" s="6" t="n"/>
      <c r="AO512" s="3">
        <f>IF(tblOrdenes[[#This Row],[link_checklist]]="","",HYPERLINK(p_ruta_base_checklists&amp;tblOrdenes[[#This Row],[link_checklist]],"abrir"))</f>
        <v/>
      </c>
      <c r="AP512" s="6" t="n"/>
      <c r="AQ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3">
        <f>IF(tblOrdenes[[#This Row],[tipo_ot]]="","",_xlfn.XLOOKUP(tblOrdenes[[#This Row],[tipo_ot]],tblTiposOT[codigo],tblTiposOT[clasificacion],"sin_clasificar"))</f>
        <v/>
      </c>
      <c r="U513" s="3">
        <f>IF(tblOrdenes[[#This Row],[centro_costo]]="","",_xlfn.XLOOKUP(tblOrdenes[[#This Row],[centro_costo]],tblCECO[codigo],tblCECO[linea],"(sin catálogo)"))</f>
        <v/>
      </c>
      <c r="V513" s="3">
        <f>IF(tblOrdenes[[#This Row],[centro_costo]]="","",_xlfn.XLOOKUP(tblOrdenes[[#This Row],[centro_costo]],tblCECO[codigo],tblCECO[area],"(sin catálogo)"))</f>
        <v/>
      </c>
      <c r="W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3">
        <f>IF(tblOrdenes[[#This Row],[centro_costo]]="","",_xlfn.XLOOKUP(tblOrdenes[[#This Row],[centro_costo]],tblCECO[codigo],tblCECO[coordinador],"(sin catálogo)"))</f>
        <v/>
      </c>
      <c r="Y513" s="3">
        <f>IF(tblOrdenes[[#This Row],[puesto_trabajo]]="","",_xlfn.XLOOKUP(tblOrdenes[[#This Row],[puesto_trabajo]],tblPuestos[codigo],tblPuestos[especialidad],"(sin catálogo)"))</f>
        <v/>
      </c>
      <c r="Z513" s="3">
        <f>IF(tblOrdenes[[#This Row],[cod_actividad]]="","",_xlfn.XLOOKUP(tblOrdenes[[#This Row],[cod_actividad]],tblActividades[codigo],tblActividades[descripcion],"(sin catálogo)"))</f>
        <v/>
      </c>
      <c r="AA513" s="12">
        <f>IF(tblOrdenes[[#This Row],[fecha_inicio]]="","",TODAY()-tblOrdenes[[#This Row],[fecha_inicio]])</f>
        <v/>
      </c>
      <c r="AB5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3">
        <f>IF(tblOrdenes[[#This Row],[backlog_habiles]]="","",IF(tblOrdenes[[#This Row],[backlog_habiles]]&lt;0,"FUTURO",IF(tblOrdenes[[#This Row],[backlog_habiles]]&gt;p_dias_backlog_max,"BACKLOG","MES CORRIENTE")))</f>
        <v/>
      </c>
      <c r="AD513" s="3">
        <f>IF(tblOrdenes[[#This Row],[backlog_habiles]]="",FALSE,AND(tblOrdenes[[#This Row],[backlog_habiles]]&gt;p_dias_backlog_min,tblOrdenes[[#This Row],[backlog_habiles]]&lt;=p_dias_backlog_max))</f>
        <v/>
      </c>
      <c r="AE513" s="6" t="n"/>
      <c r="AF5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0">
        <f>IF(tblOrdenes[[#This Row],[orden]]="","",_xlfn.XLOOKUP(tblOrdenes[[#This Row],[id_operacion]],tblEjecucion[id_operacion],tblEjecucion[precio],0))</f>
        <v/>
      </c>
      <c r="AJ513" s="10">
        <f>IF(tblOrdenes[[#This Row],[orden]]="","",MAX(0,_xlfn.XLOOKUP(tblOrdenes[[#This Row],[id_operacion]],tblEjecucion[id_operacion],tblEjecucion[costo_plan_total],0)-tblOrdenes[[#This Row],[costo_servicio]]))</f>
        <v/>
      </c>
      <c r="AK513" s="10">
        <f>IF(tblOrdenes[[#This Row],[orden]]="","",tblOrdenes[[#This Row],[costo_servicio]]+tblOrdenes[[#This Row],[costo_materiales]])</f>
        <v/>
      </c>
      <c r="AL513" s="6" t="n"/>
      <c r="AM513" s="6" t="n"/>
      <c r="AN513" s="6" t="n"/>
      <c r="AO513" s="3">
        <f>IF(tblOrdenes[[#This Row],[link_checklist]]="","",HYPERLINK(p_ruta_base_checklists&amp;tblOrdenes[[#This Row],[link_checklist]],"abrir"))</f>
        <v/>
      </c>
      <c r="AP513" s="6" t="n"/>
      <c r="AQ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3">
        <f>IF(tblOrdenes[[#This Row],[tipo_ot]]="","",_xlfn.XLOOKUP(tblOrdenes[[#This Row],[tipo_ot]],tblTiposOT[codigo],tblTiposOT[clasificacion],"sin_clasificar"))</f>
        <v/>
      </c>
      <c r="U514" s="3">
        <f>IF(tblOrdenes[[#This Row],[centro_costo]]="","",_xlfn.XLOOKUP(tblOrdenes[[#This Row],[centro_costo]],tblCECO[codigo],tblCECO[linea],"(sin catálogo)"))</f>
        <v/>
      </c>
      <c r="V514" s="3">
        <f>IF(tblOrdenes[[#This Row],[centro_costo]]="","",_xlfn.XLOOKUP(tblOrdenes[[#This Row],[centro_costo]],tblCECO[codigo],tblCECO[area],"(sin catálogo)"))</f>
        <v/>
      </c>
      <c r="W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3">
        <f>IF(tblOrdenes[[#This Row],[centro_costo]]="","",_xlfn.XLOOKUP(tblOrdenes[[#This Row],[centro_costo]],tblCECO[codigo],tblCECO[coordinador],"(sin catálogo)"))</f>
        <v/>
      </c>
      <c r="Y514" s="3">
        <f>IF(tblOrdenes[[#This Row],[puesto_trabajo]]="","",_xlfn.XLOOKUP(tblOrdenes[[#This Row],[puesto_trabajo]],tblPuestos[codigo],tblPuestos[especialidad],"(sin catálogo)"))</f>
        <v/>
      </c>
      <c r="Z514" s="3">
        <f>IF(tblOrdenes[[#This Row],[cod_actividad]]="","",_xlfn.XLOOKUP(tblOrdenes[[#This Row],[cod_actividad]],tblActividades[codigo],tblActividades[descripcion],"(sin catálogo)"))</f>
        <v/>
      </c>
      <c r="AA514" s="12">
        <f>IF(tblOrdenes[[#This Row],[fecha_inicio]]="","",TODAY()-tblOrdenes[[#This Row],[fecha_inicio]])</f>
        <v/>
      </c>
      <c r="AB5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3">
        <f>IF(tblOrdenes[[#This Row],[backlog_habiles]]="","",IF(tblOrdenes[[#This Row],[backlog_habiles]]&lt;0,"FUTURO",IF(tblOrdenes[[#This Row],[backlog_habiles]]&gt;p_dias_backlog_max,"BACKLOG","MES CORRIENTE")))</f>
        <v/>
      </c>
      <c r="AD514" s="3">
        <f>IF(tblOrdenes[[#This Row],[backlog_habiles]]="",FALSE,AND(tblOrdenes[[#This Row],[backlog_habiles]]&gt;p_dias_backlog_min,tblOrdenes[[#This Row],[backlog_habiles]]&lt;=p_dias_backlog_max))</f>
        <v/>
      </c>
      <c r="AE514" s="6" t="n"/>
      <c r="AF5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0">
        <f>IF(tblOrdenes[[#This Row],[orden]]="","",_xlfn.XLOOKUP(tblOrdenes[[#This Row],[id_operacion]],tblEjecucion[id_operacion],tblEjecucion[precio],0))</f>
        <v/>
      </c>
      <c r="AJ514" s="10">
        <f>IF(tblOrdenes[[#This Row],[orden]]="","",MAX(0,_xlfn.XLOOKUP(tblOrdenes[[#This Row],[id_operacion]],tblEjecucion[id_operacion],tblEjecucion[costo_plan_total],0)-tblOrdenes[[#This Row],[costo_servicio]]))</f>
        <v/>
      </c>
      <c r="AK514" s="10">
        <f>IF(tblOrdenes[[#This Row],[orden]]="","",tblOrdenes[[#This Row],[costo_servicio]]+tblOrdenes[[#This Row],[costo_materiales]])</f>
        <v/>
      </c>
      <c r="AL514" s="6" t="n"/>
      <c r="AM514" s="6" t="n"/>
      <c r="AN514" s="6" t="n"/>
      <c r="AO514" s="3">
        <f>IF(tblOrdenes[[#This Row],[link_checklist]]="","",HYPERLINK(p_ruta_base_checklists&amp;tblOrdenes[[#This Row],[link_checklist]],"abrir"))</f>
        <v/>
      </c>
      <c r="AP514" s="6" t="n"/>
      <c r="AQ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3">
        <f>IF(tblOrdenes[[#This Row],[tipo_ot]]="","",_xlfn.XLOOKUP(tblOrdenes[[#This Row],[tipo_ot]],tblTiposOT[codigo],tblTiposOT[clasificacion],"sin_clasificar"))</f>
        <v/>
      </c>
      <c r="U515" s="3">
        <f>IF(tblOrdenes[[#This Row],[centro_costo]]="","",_xlfn.XLOOKUP(tblOrdenes[[#This Row],[centro_costo]],tblCECO[codigo],tblCECO[linea],"(sin catálogo)"))</f>
        <v/>
      </c>
      <c r="V515" s="3">
        <f>IF(tblOrdenes[[#This Row],[centro_costo]]="","",_xlfn.XLOOKUP(tblOrdenes[[#This Row],[centro_costo]],tblCECO[codigo],tblCECO[area],"(sin catálogo)"))</f>
        <v/>
      </c>
      <c r="W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3">
        <f>IF(tblOrdenes[[#This Row],[centro_costo]]="","",_xlfn.XLOOKUP(tblOrdenes[[#This Row],[centro_costo]],tblCECO[codigo],tblCECO[coordinador],"(sin catálogo)"))</f>
        <v/>
      </c>
      <c r="Y515" s="3">
        <f>IF(tblOrdenes[[#This Row],[puesto_trabajo]]="","",_xlfn.XLOOKUP(tblOrdenes[[#This Row],[puesto_trabajo]],tblPuestos[codigo],tblPuestos[especialidad],"(sin catálogo)"))</f>
        <v/>
      </c>
      <c r="Z515" s="3">
        <f>IF(tblOrdenes[[#This Row],[cod_actividad]]="","",_xlfn.XLOOKUP(tblOrdenes[[#This Row],[cod_actividad]],tblActividades[codigo],tblActividades[descripcion],"(sin catálogo)"))</f>
        <v/>
      </c>
      <c r="AA515" s="12">
        <f>IF(tblOrdenes[[#This Row],[fecha_inicio]]="","",TODAY()-tblOrdenes[[#This Row],[fecha_inicio]])</f>
        <v/>
      </c>
      <c r="AB5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3">
        <f>IF(tblOrdenes[[#This Row],[backlog_habiles]]="","",IF(tblOrdenes[[#This Row],[backlog_habiles]]&lt;0,"FUTURO",IF(tblOrdenes[[#This Row],[backlog_habiles]]&gt;p_dias_backlog_max,"BACKLOG","MES CORRIENTE")))</f>
        <v/>
      </c>
      <c r="AD515" s="3">
        <f>IF(tblOrdenes[[#This Row],[backlog_habiles]]="",FALSE,AND(tblOrdenes[[#This Row],[backlog_habiles]]&gt;p_dias_backlog_min,tblOrdenes[[#This Row],[backlog_habiles]]&lt;=p_dias_backlog_max))</f>
        <v/>
      </c>
      <c r="AE515" s="6" t="n"/>
      <c r="AF5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0">
        <f>IF(tblOrdenes[[#This Row],[orden]]="","",_xlfn.XLOOKUP(tblOrdenes[[#This Row],[id_operacion]],tblEjecucion[id_operacion],tblEjecucion[precio],0))</f>
        <v/>
      </c>
      <c r="AJ515" s="10">
        <f>IF(tblOrdenes[[#This Row],[orden]]="","",MAX(0,_xlfn.XLOOKUP(tblOrdenes[[#This Row],[id_operacion]],tblEjecucion[id_operacion],tblEjecucion[costo_plan_total],0)-tblOrdenes[[#This Row],[costo_servicio]]))</f>
        <v/>
      </c>
      <c r="AK515" s="10">
        <f>IF(tblOrdenes[[#This Row],[orden]]="","",tblOrdenes[[#This Row],[costo_servicio]]+tblOrdenes[[#This Row],[costo_materiales]])</f>
        <v/>
      </c>
      <c r="AL515" s="6" t="n"/>
      <c r="AM515" s="6" t="n"/>
      <c r="AN515" s="6" t="n"/>
      <c r="AO515" s="3">
        <f>IF(tblOrdenes[[#This Row],[link_checklist]]="","",HYPERLINK(p_ruta_base_checklists&amp;tblOrdenes[[#This Row],[link_checklist]],"abrir"))</f>
        <v/>
      </c>
      <c r="AP515" s="6" t="n"/>
      <c r="AQ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3">
        <f>IF(tblOrdenes[[#This Row],[tipo_ot]]="","",_xlfn.XLOOKUP(tblOrdenes[[#This Row],[tipo_ot]],tblTiposOT[codigo],tblTiposOT[clasificacion],"sin_clasificar"))</f>
        <v/>
      </c>
      <c r="U516" s="3">
        <f>IF(tblOrdenes[[#This Row],[centro_costo]]="","",_xlfn.XLOOKUP(tblOrdenes[[#This Row],[centro_costo]],tblCECO[codigo],tblCECO[linea],"(sin catálogo)"))</f>
        <v/>
      </c>
      <c r="V516" s="3">
        <f>IF(tblOrdenes[[#This Row],[centro_costo]]="","",_xlfn.XLOOKUP(tblOrdenes[[#This Row],[centro_costo]],tblCECO[codigo],tblCECO[area],"(sin catálogo)"))</f>
        <v/>
      </c>
      <c r="W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3">
        <f>IF(tblOrdenes[[#This Row],[centro_costo]]="","",_xlfn.XLOOKUP(tblOrdenes[[#This Row],[centro_costo]],tblCECO[codigo],tblCECO[coordinador],"(sin catálogo)"))</f>
        <v/>
      </c>
      <c r="Y516" s="3">
        <f>IF(tblOrdenes[[#This Row],[puesto_trabajo]]="","",_xlfn.XLOOKUP(tblOrdenes[[#This Row],[puesto_trabajo]],tblPuestos[codigo],tblPuestos[especialidad],"(sin catálogo)"))</f>
        <v/>
      </c>
      <c r="Z516" s="3">
        <f>IF(tblOrdenes[[#This Row],[cod_actividad]]="","",_xlfn.XLOOKUP(tblOrdenes[[#This Row],[cod_actividad]],tblActividades[codigo],tblActividades[descripcion],"(sin catálogo)"))</f>
        <v/>
      </c>
      <c r="AA516" s="12">
        <f>IF(tblOrdenes[[#This Row],[fecha_inicio]]="","",TODAY()-tblOrdenes[[#This Row],[fecha_inicio]])</f>
        <v/>
      </c>
      <c r="AB5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3">
        <f>IF(tblOrdenes[[#This Row],[backlog_habiles]]="","",IF(tblOrdenes[[#This Row],[backlog_habiles]]&lt;0,"FUTURO",IF(tblOrdenes[[#This Row],[backlog_habiles]]&gt;p_dias_backlog_max,"BACKLOG","MES CORRIENTE")))</f>
        <v/>
      </c>
      <c r="AD516" s="3">
        <f>IF(tblOrdenes[[#This Row],[backlog_habiles]]="",FALSE,AND(tblOrdenes[[#This Row],[backlog_habiles]]&gt;p_dias_backlog_min,tblOrdenes[[#This Row],[backlog_habiles]]&lt;=p_dias_backlog_max))</f>
        <v/>
      </c>
      <c r="AE516" s="6" t="n"/>
      <c r="AF5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0">
        <f>IF(tblOrdenes[[#This Row],[orden]]="","",_xlfn.XLOOKUP(tblOrdenes[[#This Row],[id_operacion]],tblEjecucion[id_operacion],tblEjecucion[precio],0))</f>
        <v/>
      </c>
      <c r="AJ516" s="10">
        <f>IF(tblOrdenes[[#This Row],[orden]]="","",MAX(0,_xlfn.XLOOKUP(tblOrdenes[[#This Row],[id_operacion]],tblEjecucion[id_operacion],tblEjecucion[costo_plan_total],0)-tblOrdenes[[#This Row],[costo_servicio]]))</f>
        <v/>
      </c>
      <c r="AK516" s="10">
        <f>IF(tblOrdenes[[#This Row],[orden]]="","",tblOrdenes[[#This Row],[costo_servicio]]+tblOrdenes[[#This Row],[costo_materiales]])</f>
        <v/>
      </c>
      <c r="AL516" s="6" t="n"/>
      <c r="AM516" s="6" t="n"/>
      <c r="AN516" s="6" t="n"/>
      <c r="AO516" s="3">
        <f>IF(tblOrdenes[[#This Row],[link_checklist]]="","",HYPERLINK(p_ruta_base_checklists&amp;tblOrdenes[[#This Row],[link_checklist]],"abrir"))</f>
        <v/>
      </c>
      <c r="AP516" s="6" t="n"/>
      <c r="AQ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3">
        <f>IF(tblOrdenes[[#This Row],[tipo_ot]]="","",_xlfn.XLOOKUP(tblOrdenes[[#This Row],[tipo_ot]],tblTiposOT[codigo],tblTiposOT[clasificacion],"sin_clasificar"))</f>
        <v/>
      </c>
      <c r="U517" s="3">
        <f>IF(tblOrdenes[[#This Row],[centro_costo]]="","",_xlfn.XLOOKUP(tblOrdenes[[#This Row],[centro_costo]],tblCECO[codigo],tblCECO[linea],"(sin catálogo)"))</f>
        <v/>
      </c>
      <c r="V517" s="3">
        <f>IF(tblOrdenes[[#This Row],[centro_costo]]="","",_xlfn.XLOOKUP(tblOrdenes[[#This Row],[centro_costo]],tblCECO[codigo],tblCECO[area],"(sin catálogo)"))</f>
        <v/>
      </c>
      <c r="W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3">
        <f>IF(tblOrdenes[[#This Row],[centro_costo]]="","",_xlfn.XLOOKUP(tblOrdenes[[#This Row],[centro_costo]],tblCECO[codigo],tblCECO[coordinador],"(sin catálogo)"))</f>
        <v/>
      </c>
      <c r="Y517" s="3">
        <f>IF(tblOrdenes[[#This Row],[puesto_trabajo]]="","",_xlfn.XLOOKUP(tblOrdenes[[#This Row],[puesto_trabajo]],tblPuestos[codigo],tblPuestos[especialidad],"(sin catálogo)"))</f>
        <v/>
      </c>
      <c r="Z517" s="3">
        <f>IF(tblOrdenes[[#This Row],[cod_actividad]]="","",_xlfn.XLOOKUP(tblOrdenes[[#This Row],[cod_actividad]],tblActividades[codigo],tblActividades[descripcion],"(sin catálogo)"))</f>
        <v/>
      </c>
      <c r="AA517" s="12">
        <f>IF(tblOrdenes[[#This Row],[fecha_inicio]]="","",TODAY()-tblOrdenes[[#This Row],[fecha_inicio]])</f>
        <v/>
      </c>
      <c r="AB5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3">
        <f>IF(tblOrdenes[[#This Row],[backlog_habiles]]="","",IF(tblOrdenes[[#This Row],[backlog_habiles]]&lt;0,"FUTURO",IF(tblOrdenes[[#This Row],[backlog_habiles]]&gt;p_dias_backlog_max,"BACKLOG","MES CORRIENTE")))</f>
        <v/>
      </c>
      <c r="AD517" s="3">
        <f>IF(tblOrdenes[[#This Row],[backlog_habiles]]="",FALSE,AND(tblOrdenes[[#This Row],[backlog_habiles]]&gt;p_dias_backlog_min,tblOrdenes[[#This Row],[backlog_habiles]]&lt;=p_dias_backlog_max))</f>
        <v/>
      </c>
      <c r="AE517" s="6" t="n"/>
      <c r="AF5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0">
        <f>IF(tblOrdenes[[#This Row],[orden]]="","",_xlfn.XLOOKUP(tblOrdenes[[#This Row],[id_operacion]],tblEjecucion[id_operacion],tblEjecucion[precio],0))</f>
        <v/>
      </c>
      <c r="AJ517" s="10">
        <f>IF(tblOrdenes[[#This Row],[orden]]="","",MAX(0,_xlfn.XLOOKUP(tblOrdenes[[#This Row],[id_operacion]],tblEjecucion[id_operacion],tblEjecucion[costo_plan_total],0)-tblOrdenes[[#This Row],[costo_servicio]]))</f>
        <v/>
      </c>
      <c r="AK517" s="10">
        <f>IF(tblOrdenes[[#This Row],[orden]]="","",tblOrdenes[[#This Row],[costo_servicio]]+tblOrdenes[[#This Row],[costo_materiales]])</f>
        <v/>
      </c>
      <c r="AL517" s="6" t="n"/>
      <c r="AM517" s="6" t="n"/>
      <c r="AN517" s="6" t="n"/>
      <c r="AO517" s="3">
        <f>IF(tblOrdenes[[#This Row],[link_checklist]]="","",HYPERLINK(p_ruta_base_checklists&amp;tblOrdenes[[#This Row],[link_checklist]],"abrir"))</f>
        <v/>
      </c>
      <c r="AP517" s="6" t="n"/>
      <c r="AQ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3">
        <f>IF(tblOrdenes[[#This Row],[tipo_ot]]="","",_xlfn.XLOOKUP(tblOrdenes[[#This Row],[tipo_ot]],tblTiposOT[codigo],tblTiposOT[clasificacion],"sin_clasificar"))</f>
        <v/>
      </c>
      <c r="U518" s="3">
        <f>IF(tblOrdenes[[#This Row],[centro_costo]]="","",_xlfn.XLOOKUP(tblOrdenes[[#This Row],[centro_costo]],tblCECO[codigo],tblCECO[linea],"(sin catálogo)"))</f>
        <v/>
      </c>
      <c r="V518" s="3">
        <f>IF(tblOrdenes[[#This Row],[centro_costo]]="","",_xlfn.XLOOKUP(tblOrdenes[[#This Row],[centro_costo]],tblCECO[codigo],tblCECO[area],"(sin catálogo)"))</f>
        <v/>
      </c>
      <c r="W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3">
        <f>IF(tblOrdenes[[#This Row],[centro_costo]]="","",_xlfn.XLOOKUP(tblOrdenes[[#This Row],[centro_costo]],tblCECO[codigo],tblCECO[coordinador],"(sin catálogo)"))</f>
        <v/>
      </c>
      <c r="Y518" s="3">
        <f>IF(tblOrdenes[[#This Row],[puesto_trabajo]]="","",_xlfn.XLOOKUP(tblOrdenes[[#This Row],[puesto_trabajo]],tblPuestos[codigo],tblPuestos[especialidad],"(sin catálogo)"))</f>
        <v/>
      </c>
      <c r="Z518" s="3">
        <f>IF(tblOrdenes[[#This Row],[cod_actividad]]="","",_xlfn.XLOOKUP(tblOrdenes[[#This Row],[cod_actividad]],tblActividades[codigo],tblActividades[descripcion],"(sin catálogo)"))</f>
        <v/>
      </c>
      <c r="AA518" s="12">
        <f>IF(tblOrdenes[[#This Row],[fecha_inicio]]="","",TODAY()-tblOrdenes[[#This Row],[fecha_inicio]])</f>
        <v/>
      </c>
      <c r="AB5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3">
        <f>IF(tblOrdenes[[#This Row],[backlog_habiles]]="","",IF(tblOrdenes[[#This Row],[backlog_habiles]]&lt;0,"FUTURO",IF(tblOrdenes[[#This Row],[backlog_habiles]]&gt;p_dias_backlog_max,"BACKLOG","MES CORRIENTE")))</f>
        <v/>
      </c>
      <c r="AD518" s="3">
        <f>IF(tblOrdenes[[#This Row],[backlog_habiles]]="",FALSE,AND(tblOrdenes[[#This Row],[backlog_habiles]]&gt;p_dias_backlog_min,tblOrdenes[[#This Row],[backlog_habiles]]&lt;=p_dias_backlog_max))</f>
        <v/>
      </c>
      <c r="AE518" s="6" t="n"/>
      <c r="AF5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0">
        <f>IF(tblOrdenes[[#This Row],[orden]]="","",_xlfn.XLOOKUP(tblOrdenes[[#This Row],[id_operacion]],tblEjecucion[id_operacion],tblEjecucion[precio],0))</f>
        <v/>
      </c>
      <c r="AJ518" s="10">
        <f>IF(tblOrdenes[[#This Row],[orden]]="","",MAX(0,_xlfn.XLOOKUP(tblOrdenes[[#This Row],[id_operacion]],tblEjecucion[id_operacion],tblEjecucion[costo_plan_total],0)-tblOrdenes[[#This Row],[costo_servicio]]))</f>
        <v/>
      </c>
      <c r="AK518" s="10">
        <f>IF(tblOrdenes[[#This Row],[orden]]="","",tblOrdenes[[#This Row],[costo_servicio]]+tblOrdenes[[#This Row],[costo_materiales]])</f>
        <v/>
      </c>
      <c r="AL518" s="6" t="n"/>
      <c r="AM518" s="6" t="n"/>
      <c r="AN518" s="6" t="n"/>
      <c r="AO518" s="3">
        <f>IF(tblOrdenes[[#This Row],[link_checklist]]="","",HYPERLINK(p_ruta_base_checklists&amp;tblOrdenes[[#This Row],[link_checklist]],"abrir"))</f>
        <v/>
      </c>
      <c r="AP518" s="6" t="n"/>
      <c r="AQ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3">
        <f>IF(tblOrdenes[[#This Row],[tipo_ot]]="","",_xlfn.XLOOKUP(tblOrdenes[[#This Row],[tipo_ot]],tblTiposOT[codigo],tblTiposOT[clasificacion],"sin_clasificar"))</f>
        <v/>
      </c>
      <c r="U519" s="3">
        <f>IF(tblOrdenes[[#This Row],[centro_costo]]="","",_xlfn.XLOOKUP(tblOrdenes[[#This Row],[centro_costo]],tblCECO[codigo],tblCECO[linea],"(sin catálogo)"))</f>
        <v/>
      </c>
      <c r="V519" s="3">
        <f>IF(tblOrdenes[[#This Row],[centro_costo]]="","",_xlfn.XLOOKUP(tblOrdenes[[#This Row],[centro_costo]],tblCECO[codigo],tblCECO[area],"(sin catálogo)"))</f>
        <v/>
      </c>
      <c r="W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3">
        <f>IF(tblOrdenes[[#This Row],[centro_costo]]="","",_xlfn.XLOOKUP(tblOrdenes[[#This Row],[centro_costo]],tblCECO[codigo],tblCECO[coordinador],"(sin catálogo)"))</f>
        <v/>
      </c>
      <c r="Y519" s="3">
        <f>IF(tblOrdenes[[#This Row],[puesto_trabajo]]="","",_xlfn.XLOOKUP(tblOrdenes[[#This Row],[puesto_trabajo]],tblPuestos[codigo],tblPuestos[especialidad],"(sin catálogo)"))</f>
        <v/>
      </c>
      <c r="Z519" s="3">
        <f>IF(tblOrdenes[[#This Row],[cod_actividad]]="","",_xlfn.XLOOKUP(tblOrdenes[[#This Row],[cod_actividad]],tblActividades[codigo],tblActividades[descripcion],"(sin catálogo)"))</f>
        <v/>
      </c>
      <c r="AA519" s="12">
        <f>IF(tblOrdenes[[#This Row],[fecha_inicio]]="","",TODAY()-tblOrdenes[[#This Row],[fecha_inicio]])</f>
        <v/>
      </c>
      <c r="AB5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3">
        <f>IF(tblOrdenes[[#This Row],[backlog_habiles]]="","",IF(tblOrdenes[[#This Row],[backlog_habiles]]&lt;0,"FUTURO",IF(tblOrdenes[[#This Row],[backlog_habiles]]&gt;p_dias_backlog_max,"BACKLOG","MES CORRIENTE")))</f>
        <v/>
      </c>
      <c r="AD519" s="3">
        <f>IF(tblOrdenes[[#This Row],[backlog_habiles]]="",FALSE,AND(tblOrdenes[[#This Row],[backlog_habiles]]&gt;p_dias_backlog_min,tblOrdenes[[#This Row],[backlog_habiles]]&lt;=p_dias_backlog_max))</f>
        <v/>
      </c>
      <c r="AE519" s="6" t="n"/>
      <c r="AF5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0">
        <f>IF(tblOrdenes[[#This Row],[orden]]="","",_xlfn.XLOOKUP(tblOrdenes[[#This Row],[id_operacion]],tblEjecucion[id_operacion],tblEjecucion[precio],0))</f>
        <v/>
      </c>
      <c r="AJ519" s="10">
        <f>IF(tblOrdenes[[#This Row],[orden]]="","",MAX(0,_xlfn.XLOOKUP(tblOrdenes[[#This Row],[id_operacion]],tblEjecucion[id_operacion],tblEjecucion[costo_plan_total],0)-tblOrdenes[[#This Row],[costo_servicio]]))</f>
        <v/>
      </c>
      <c r="AK519" s="10">
        <f>IF(tblOrdenes[[#This Row],[orden]]="","",tblOrdenes[[#This Row],[costo_servicio]]+tblOrdenes[[#This Row],[costo_materiales]])</f>
        <v/>
      </c>
      <c r="AL519" s="6" t="n"/>
      <c r="AM519" s="6" t="n"/>
      <c r="AN519" s="6" t="n"/>
      <c r="AO519" s="3">
        <f>IF(tblOrdenes[[#This Row],[link_checklist]]="","",HYPERLINK(p_ruta_base_checklists&amp;tblOrdenes[[#This Row],[link_checklist]],"abrir"))</f>
        <v/>
      </c>
      <c r="AP519" s="6" t="n"/>
      <c r="AQ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3">
        <f>IF(tblOrdenes[[#This Row],[tipo_ot]]="","",_xlfn.XLOOKUP(tblOrdenes[[#This Row],[tipo_ot]],tblTiposOT[codigo],tblTiposOT[clasificacion],"sin_clasificar"))</f>
        <v/>
      </c>
      <c r="U520" s="3">
        <f>IF(tblOrdenes[[#This Row],[centro_costo]]="","",_xlfn.XLOOKUP(tblOrdenes[[#This Row],[centro_costo]],tblCECO[codigo],tblCECO[linea],"(sin catálogo)"))</f>
        <v/>
      </c>
      <c r="V520" s="3">
        <f>IF(tblOrdenes[[#This Row],[centro_costo]]="","",_xlfn.XLOOKUP(tblOrdenes[[#This Row],[centro_costo]],tblCECO[codigo],tblCECO[area],"(sin catálogo)"))</f>
        <v/>
      </c>
      <c r="W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3">
        <f>IF(tblOrdenes[[#This Row],[centro_costo]]="","",_xlfn.XLOOKUP(tblOrdenes[[#This Row],[centro_costo]],tblCECO[codigo],tblCECO[coordinador],"(sin catálogo)"))</f>
        <v/>
      </c>
      <c r="Y520" s="3">
        <f>IF(tblOrdenes[[#This Row],[puesto_trabajo]]="","",_xlfn.XLOOKUP(tblOrdenes[[#This Row],[puesto_trabajo]],tblPuestos[codigo],tblPuestos[especialidad],"(sin catálogo)"))</f>
        <v/>
      </c>
      <c r="Z520" s="3">
        <f>IF(tblOrdenes[[#This Row],[cod_actividad]]="","",_xlfn.XLOOKUP(tblOrdenes[[#This Row],[cod_actividad]],tblActividades[codigo],tblActividades[descripcion],"(sin catálogo)"))</f>
        <v/>
      </c>
      <c r="AA520" s="12">
        <f>IF(tblOrdenes[[#This Row],[fecha_inicio]]="","",TODAY()-tblOrdenes[[#This Row],[fecha_inicio]])</f>
        <v/>
      </c>
      <c r="AB5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3">
        <f>IF(tblOrdenes[[#This Row],[backlog_habiles]]="","",IF(tblOrdenes[[#This Row],[backlog_habiles]]&lt;0,"FUTURO",IF(tblOrdenes[[#This Row],[backlog_habiles]]&gt;p_dias_backlog_max,"BACKLOG","MES CORRIENTE")))</f>
        <v/>
      </c>
      <c r="AD520" s="3">
        <f>IF(tblOrdenes[[#This Row],[backlog_habiles]]="",FALSE,AND(tblOrdenes[[#This Row],[backlog_habiles]]&gt;p_dias_backlog_min,tblOrdenes[[#This Row],[backlog_habiles]]&lt;=p_dias_backlog_max))</f>
        <v/>
      </c>
      <c r="AE520" s="6" t="n"/>
      <c r="AF5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0">
        <f>IF(tblOrdenes[[#This Row],[orden]]="","",_xlfn.XLOOKUP(tblOrdenes[[#This Row],[id_operacion]],tblEjecucion[id_operacion],tblEjecucion[precio],0))</f>
        <v/>
      </c>
      <c r="AJ520" s="10">
        <f>IF(tblOrdenes[[#This Row],[orden]]="","",MAX(0,_xlfn.XLOOKUP(tblOrdenes[[#This Row],[id_operacion]],tblEjecucion[id_operacion],tblEjecucion[costo_plan_total],0)-tblOrdenes[[#This Row],[costo_servicio]]))</f>
        <v/>
      </c>
      <c r="AK520" s="10">
        <f>IF(tblOrdenes[[#This Row],[orden]]="","",tblOrdenes[[#This Row],[costo_servicio]]+tblOrdenes[[#This Row],[costo_materiales]])</f>
        <v/>
      </c>
      <c r="AL520" s="6" t="n"/>
      <c r="AM520" s="6" t="n"/>
      <c r="AN520" s="6" t="n"/>
      <c r="AO520" s="3">
        <f>IF(tblOrdenes[[#This Row],[link_checklist]]="","",HYPERLINK(p_ruta_base_checklists&amp;tblOrdenes[[#This Row],[link_checklist]],"abrir"))</f>
        <v/>
      </c>
      <c r="AP520" s="6" t="n"/>
      <c r="AQ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3">
        <f>IF(tblOrdenes[[#This Row],[tipo_ot]]="","",_xlfn.XLOOKUP(tblOrdenes[[#This Row],[tipo_ot]],tblTiposOT[codigo],tblTiposOT[clasificacion],"sin_clasificar"))</f>
        <v/>
      </c>
      <c r="U521" s="3">
        <f>IF(tblOrdenes[[#This Row],[centro_costo]]="","",_xlfn.XLOOKUP(tblOrdenes[[#This Row],[centro_costo]],tblCECO[codigo],tblCECO[linea],"(sin catálogo)"))</f>
        <v/>
      </c>
      <c r="V521" s="3">
        <f>IF(tblOrdenes[[#This Row],[centro_costo]]="","",_xlfn.XLOOKUP(tblOrdenes[[#This Row],[centro_costo]],tblCECO[codigo],tblCECO[area],"(sin catálogo)"))</f>
        <v/>
      </c>
      <c r="W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3">
        <f>IF(tblOrdenes[[#This Row],[centro_costo]]="","",_xlfn.XLOOKUP(tblOrdenes[[#This Row],[centro_costo]],tblCECO[codigo],tblCECO[coordinador],"(sin catálogo)"))</f>
        <v/>
      </c>
      <c r="Y521" s="3">
        <f>IF(tblOrdenes[[#This Row],[puesto_trabajo]]="","",_xlfn.XLOOKUP(tblOrdenes[[#This Row],[puesto_trabajo]],tblPuestos[codigo],tblPuestos[especialidad],"(sin catálogo)"))</f>
        <v/>
      </c>
      <c r="Z521" s="3">
        <f>IF(tblOrdenes[[#This Row],[cod_actividad]]="","",_xlfn.XLOOKUP(tblOrdenes[[#This Row],[cod_actividad]],tblActividades[codigo],tblActividades[descripcion],"(sin catálogo)"))</f>
        <v/>
      </c>
      <c r="AA521" s="12">
        <f>IF(tblOrdenes[[#This Row],[fecha_inicio]]="","",TODAY()-tblOrdenes[[#This Row],[fecha_inicio]])</f>
        <v/>
      </c>
      <c r="AB5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3">
        <f>IF(tblOrdenes[[#This Row],[backlog_habiles]]="","",IF(tblOrdenes[[#This Row],[backlog_habiles]]&lt;0,"FUTURO",IF(tblOrdenes[[#This Row],[backlog_habiles]]&gt;p_dias_backlog_max,"BACKLOG","MES CORRIENTE")))</f>
        <v/>
      </c>
      <c r="AD521" s="3">
        <f>IF(tblOrdenes[[#This Row],[backlog_habiles]]="",FALSE,AND(tblOrdenes[[#This Row],[backlog_habiles]]&gt;p_dias_backlog_min,tblOrdenes[[#This Row],[backlog_habiles]]&lt;=p_dias_backlog_max))</f>
        <v/>
      </c>
      <c r="AE521" s="6" t="n"/>
      <c r="AF5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0">
        <f>IF(tblOrdenes[[#This Row],[orden]]="","",_xlfn.XLOOKUP(tblOrdenes[[#This Row],[id_operacion]],tblEjecucion[id_operacion],tblEjecucion[precio],0))</f>
        <v/>
      </c>
      <c r="AJ521" s="10">
        <f>IF(tblOrdenes[[#This Row],[orden]]="","",MAX(0,_xlfn.XLOOKUP(tblOrdenes[[#This Row],[id_operacion]],tblEjecucion[id_operacion],tblEjecucion[costo_plan_total],0)-tblOrdenes[[#This Row],[costo_servicio]]))</f>
        <v/>
      </c>
      <c r="AK521" s="10">
        <f>IF(tblOrdenes[[#This Row],[orden]]="","",tblOrdenes[[#This Row],[costo_servicio]]+tblOrdenes[[#This Row],[costo_materiales]])</f>
        <v/>
      </c>
      <c r="AL521" s="6" t="n"/>
      <c r="AM521" s="6" t="n"/>
      <c r="AN521" s="6" t="n"/>
      <c r="AO521" s="3">
        <f>IF(tblOrdenes[[#This Row],[link_checklist]]="","",HYPERLINK(p_ruta_base_checklists&amp;tblOrdenes[[#This Row],[link_checklist]],"abrir"))</f>
        <v/>
      </c>
      <c r="AP521" s="6" t="n"/>
      <c r="AQ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3">
        <f>IF(tblOrdenes[[#This Row],[tipo_ot]]="","",_xlfn.XLOOKUP(tblOrdenes[[#This Row],[tipo_ot]],tblTiposOT[codigo],tblTiposOT[clasificacion],"sin_clasificar"))</f>
        <v/>
      </c>
      <c r="U522" s="3">
        <f>IF(tblOrdenes[[#This Row],[centro_costo]]="","",_xlfn.XLOOKUP(tblOrdenes[[#This Row],[centro_costo]],tblCECO[codigo],tblCECO[linea],"(sin catálogo)"))</f>
        <v/>
      </c>
      <c r="V522" s="3">
        <f>IF(tblOrdenes[[#This Row],[centro_costo]]="","",_xlfn.XLOOKUP(tblOrdenes[[#This Row],[centro_costo]],tblCECO[codigo],tblCECO[area],"(sin catálogo)"))</f>
        <v/>
      </c>
      <c r="W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3">
        <f>IF(tblOrdenes[[#This Row],[centro_costo]]="","",_xlfn.XLOOKUP(tblOrdenes[[#This Row],[centro_costo]],tblCECO[codigo],tblCECO[coordinador],"(sin catálogo)"))</f>
        <v/>
      </c>
      <c r="Y522" s="3">
        <f>IF(tblOrdenes[[#This Row],[puesto_trabajo]]="","",_xlfn.XLOOKUP(tblOrdenes[[#This Row],[puesto_trabajo]],tblPuestos[codigo],tblPuestos[especialidad],"(sin catálogo)"))</f>
        <v/>
      </c>
      <c r="Z522" s="3">
        <f>IF(tblOrdenes[[#This Row],[cod_actividad]]="","",_xlfn.XLOOKUP(tblOrdenes[[#This Row],[cod_actividad]],tblActividades[codigo],tblActividades[descripcion],"(sin catálogo)"))</f>
        <v/>
      </c>
      <c r="AA522" s="12">
        <f>IF(tblOrdenes[[#This Row],[fecha_inicio]]="","",TODAY()-tblOrdenes[[#This Row],[fecha_inicio]])</f>
        <v/>
      </c>
      <c r="AB5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3">
        <f>IF(tblOrdenes[[#This Row],[backlog_habiles]]="","",IF(tblOrdenes[[#This Row],[backlog_habiles]]&lt;0,"FUTURO",IF(tblOrdenes[[#This Row],[backlog_habiles]]&gt;p_dias_backlog_max,"BACKLOG","MES CORRIENTE")))</f>
        <v/>
      </c>
      <c r="AD522" s="3">
        <f>IF(tblOrdenes[[#This Row],[backlog_habiles]]="",FALSE,AND(tblOrdenes[[#This Row],[backlog_habiles]]&gt;p_dias_backlog_min,tblOrdenes[[#This Row],[backlog_habiles]]&lt;=p_dias_backlog_max))</f>
        <v/>
      </c>
      <c r="AE522" s="6" t="n"/>
      <c r="AF5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0">
        <f>IF(tblOrdenes[[#This Row],[orden]]="","",_xlfn.XLOOKUP(tblOrdenes[[#This Row],[id_operacion]],tblEjecucion[id_operacion],tblEjecucion[precio],0))</f>
        <v/>
      </c>
      <c r="AJ522" s="10">
        <f>IF(tblOrdenes[[#This Row],[orden]]="","",MAX(0,_xlfn.XLOOKUP(tblOrdenes[[#This Row],[id_operacion]],tblEjecucion[id_operacion],tblEjecucion[costo_plan_total],0)-tblOrdenes[[#This Row],[costo_servicio]]))</f>
        <v/>
      </c>
      <c r="AK522" s="10">
        <f>IF(tblOrdenes[[#This Row],[orden]]="","",tblOrdenes[[#This Row],[costo_servicio]]+tblOrdenes[[#This Row],[costo_materiales]])</f>
        <v/>
      </c>
      <c r="AL522" s="6" t="n"/>
      <c r="AM522" s="6" t="n"/>
      <c r="AN522" s="6" t="n"/>
      <c r="AO522" s="3">
        <f>IF(tblOrdenes[[#This Row],[link_checklist]]="","",HYPERLINK(p_ruta_base_checklists&amp;tblOrdenes[[#This Row],[link_checklist]],"abrir"))</f>
        <v/>
      </c>
      <c r="AP522" s="6" t="n"/>
      <c r="AQ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3">
        <f>IF(tblOrdenes[[#This Row],[tipo_ot]]="","",_xlfn.XLOOKUP(tblOrdenes[[#This Row],[tipo_ot]],tblTiposOT[codigo],tblTiposOT[clasificacion],"sin_clasificar"))</f>
        <v/>
      </c>
      <c r="U523" s="3">
        <f>IF(tblOrdenes[[#This Row],[centro_costo]]="","",_xlfn.XLOOKUP(tblOrdenes[[#This Row],[centro_costo]],tblCECO[codigo],tblCECO[linea],"(sin catálogo)"))</f>
        <v/>
      </c>
      <c r="V523" s="3">
        <f>IF(tblOrdenes[[#This Row],[centro_costo]]="","",_xlfn.XLOOKUP(tblOrdenes[[#This Row],[centro_costo]],tblCECO[codigo],tblCECO[area],"(sin catálogo)"))</f>
        <v/>
      </c>
      <c r="W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3">
        <f>IF(tblOrdenes[[#This Row],[centro_costo]]="","",_xlfn.XLOOKUP(tblOrdenes[[#This Row],[centro_costo]],tblCECO[codigo],tblCECO[coordinador],"(sin catálogo)"))</f>
        <v/>
      </c>
      <c r="Y523" s="3">
        <f>IF(tblOrdenes[[#This Row],[puesto_trabajo]]="","",_xlfn.XLOOKUP(tblOrdenes[[#This Row],[puesto_trabajo]],tblPuestos[codigo],tblPuestos[especialidad],"(sin catálogo)"))</f>
        <v/>
      </c>
      <c r="Z523" s="3">
        <f>IF(tblOrdenes[[#This Row],[cod_actividad]]="","",_xlfn.XLOOKUP(tblOrdenes[[#This Row],[cod_actividad]],tblActividades[codigo],tblActividades[descripcion],"(sin catálogo)"))</f>
        <v/>
      </c>
      <c r="AA523" s="12">
        <f>IF(tblOrdenes[[#This Row],[fecha_inicio]]="","",TODAY()-tblOrdenes[[#This Row],[fecha_inicio]])</f>
        <v/>
      </c>
      <c r="AB5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3">
        <f>IF(tblOrdenes[[#This Row],[backlog_habiles]]="","",IF(tblOrdenes[[#This Row],[backlog_habiles]]&lt;0,"FUTURO",IF(tblOrdenes[[#This Row],[backlog_habiles]]&gt;p_dias_backlog_max,"BACKLOG","MES CORRIENTE")))</f>
        <v/>
      </c>
      <c r="AD523" s="3">
        <f>IF(tblOrdenes[[#This Row],[backlog_habiles]]="",FALSE,AND(tblOrdenes[[#This Row],[backlog_habiles]]&gt;p_dias_backlog_min,tblOrdenes[[#This Row],[backlog_habiles]]&lt;=p_dias_backlog_max))</f>
        <v/>
      </c>
      <c r="AE523" s="6" t="n"/>
      <c r="AF5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0">
        <f>IF(tblOrdenes[[#This Row],[orden]]="","",_xlfn.XLOOKUP(tblOrdenes[[#This Row],[id_operacion]],tblEjecucion[id_operacion],tblEjecucion[precio],0))</f>
        <v/>
      </c>
      <c r="AJ523" s="10">
        <f>IF(tblOrdenes[[#This Row],[orden]]="","",MAX(0,_xlfn.XLOOKUP(tblOrdenes[[#This Row],[id_operacion]],tblEjecucion[id_operacion],tblEjecucion[costo_plan_total],0)-tblOrdenes[[#This Row],[costo_servicio]]))</f>
        <v/>
      </c>
      <c r="AK523" s="10">
        <f>IF(tblOrdenes[[#This Row],[orden]]="","",tblOrdenes[[#This Row],[costo_servicio]]+tblOrdenes[[#This Row],[costo_materiales]])</f>
        <v/>
      </c>
      <c r="AL523" s="6" t="n"/>
      <c r="AM523" s="6" t="n"/>
      <c r="AN523" s="6" t="n"/>
      <c r="AO523" s="3">
        <f>IF(tblOrdenes[[#This Row],[link_checklist]]="","",HYPERLINK(p_ruta_base_checklists&amp;tblOrdenes[[#This Row],[link_checklist]],"abrir"))</f>
        <v/>
      </c>
      <c r="AP523" s="6" t="n"/>
      <c r="AQ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3">
        <f>IF(tblOrdenes[[#This Row],[tipo_ot]]="","",_xlfn.XLOOKUP(tblOrdenes[[#This Row],[tipo_ot]],tblTiposOT[codigo],tblTiposOT[clasificacion],"sin_clasificar"))</f>
        <v/>
      </c>
      <c r="U524" s="3">
        <f>IF(tblOrdenes[[#This Row],[centro_costo]]="","",_xlfn.XLOOKUP(tblOrdenes[[#This Row],[centro_costo]],tblCECO[codigo],tblCECO[linea],"(sin catálogo)"))</f>
        <v/>
      </c>
      <c r="V524" s="3">
        <f>IF(tblOrdenes[[#This Row],[centro_costo]]="","",_xlfn.XLOOKUP(tblOrdenes[[#This Row],[centro_costo]],tblCECO[codigo],tblCECO[area],"(sin catálogo)"))</f>
        <v/>
      </c>
      <c r="W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3">
        <f>IF(tblOrdenes[[#This Row],[centro_costo]]="","",_xlfn.XLOOKUP(tblOrdenes[[#This Row],[centro_costo]],tblCECO[codigo],tblCECO[coordinador],"(sin catálogo)"))</f>
        <v/>
      </c>
      <c r="Y524" s="3">
        <f>IF(tblOrdenes[[#This Row],[puesto_trabajo]]="","",_xlfn.XLOOKUP(tblOrdenes[[#This Row],[puesto_trabajo]],tblPuestos[codigo],tblPuestos[especialidad],"(sin catálogo)"))</f>
        <v/>
      </c>
      <c r="Z524" s="3">
        <f>IF(tblOrdenes[[#This Row],[cod_actividad]]="","",_xlfn.XLOOKUP(tblOrdenes[[#This Row],[cod_actividad]],tblActividades[codigo],tblActividades[descripcion],"(sin catálogo)"))</f>
        <v/>
      </c>
      <c r="AA524" s="12">
        <f>IF(tblOrdenes[[#This Row],[fecha_inicio]]="","",TODAY()-tblOrdenes[[#This Row],[fecha_inicio]])</f>
        <v/>
      </c>
      <c r="AB5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3">
        <f>IF(tblOrdenes[[#This Row],[backlog_habiles]]="","",IF(tblOrdenes[[#This Row],[backlog_habiles]]&lt;0,"FUTURO",IF(tblOrdenes[[#This Row],[backlog_habiles]]&gt;p_dias_backlog_max,"BACKLOG","MES CORRIENTE")))</f>
        <v/>
      </c>
      <c r="AD524" s="3">
        <f>IF(tblOrdenes[[#This Row],[backlog_habiles]]="",FALSE,AND(tblOrdenes[[#This Row],[backlog_habiles]]&gt;p_dias_backlog_min,tblOrdenes[[#This Row],[backlog_habiles]]&lt;=p_dias_backlog_max))</f>
        <v/>
      </c>
      <c r="AE524" s="6" t="n"/>
      <c r="AF5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0">
        <f>IF(tblOrdenes[[#This Row],[orden]]="","",_xlfn.XLOOKUP(tblOrdenes[[#This Row],[id_operacion]],tblEjecucion[id_operacion],tblEjecucion[precio],0))</f>
        <v/>
      </c>
      <c r="AJ524" s="10">
        <f>IF(tblOrdenes[[#This Row],[orden]]="","",MAX(0,_xlfn.XLOOKUP(tblOrdenes[[#This Row],[id_operacion]],tblEjecucion[id_operacion],tblEjecucion[costo_plan_total],0)-tblOrdenes[[#This Row],[costo_servicio]]))</f>
        <v/>
      </c>
      <c r="AK524" s="10">
        <f>IF(tblOrdenes[[#This Row],[orden]]="","",tblOrdenes[[#This Row],[costo_servicio]]+tblOrdenes[[#This Row],[costo_materiales]])</f>
        <v/>
      </c>
      <c r="AL524" s="6" t="n"/>
      <c r="AM524" s="6" t="n"/>
      <c r="AN524" s="6" t="n"/>
      <c r="AO524" s="3">
        <f>IF(tblOrdenes[[#This Row],[link_checklist]]="","",HYPERLINK(p_ruta_base_checklists&amp;tblOrdenes[[#This Row],[link_checklist]],"abrir"))</f>
        <v/>
      </c>
      <c r="AP524" s="6" t="n"/>
      <c r="AQ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3">
        <f>IF(tblOrdenes[[#This Row],[tipo_ot]]="","",_xlfn.XLOOKUP(tblOrdenes[[#This Row],[tipo_ot]],tblTiposOT[codigo],tblTiposOT[clasificacion],"sin_clasificar"))</f>
        <v/>
      </c>
      <c r="U525" s="3">
        <f>IF(tblOrdenes[[#This Row],[centro_costo]]="","",_xlfn.XLOOKUP(tblOrdenes[[#This Row],[centro_costo]],tblCECO[codigo],tblCECO[linea],"(sin catálogo)"))</f>
        <v/>
      </c>
      <c r="V525" s="3">
        <f>IF(tblOrdenes[[#This Row],[centro_costo]]="","",_xlfn.XLOOKUP(tblOrdenes[[#This Row],[centro_costo]],tblCECO[codigo],tblCECO[area],"(sin catálogo)"))</f>
        <v/>
      </c>
      <c r="W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3">
        <f>IF(tblOrdenes[[#This Row],[centro_costo]]="","",_xlfn.XLOOKUP(tblOrdenes[[#This Row],[centro_costo]],tblCECO[codigo],tblCECO[coordinador],"(sin catálogo)"))</f>
        <v/>
      </c>
      <c r="Y525" s="3">
        <f>IF(tblOrdenes[[#This Row],[puesto_trabajo]]="","",_xlfn.XLOOKUP(tblOrdenes[[#This Row],[puesto_trabajo]],tblPuestos[codigo],tblPuestos[especialidad],"(sin catálogo)"))</f>
        <v/>
      </c>
      <c r="Z525" s="3">
        <f>IF(tblOrdenes[[#This Row],[cod_actividad]]="","",_xlfn.XLOOKUP(tblOrdenes[[#This Row],[cod_actividad]],tblActividades[codigo],tblActividades[descripcion],"(sin catálogo)"))</f>
        <v/>
      </c>
      <c r="AA525" s="12">
        <f>IF(tblOrdenes[[#This Row],[fecha_inicio]]="","",TODAY()-tblOrdenes[[#This Row],[fecha_inicio]])</f>
        <v/>
      </c>
      <c r="AB5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3">
        <f>IF(tblOrdenes[[#This Row],[backlog_habiles]]="","",IF(tblOrdenes[[#This Row],[backlog_habiles]]&lt;0,"FUTURO",IF(tblOrdenes[[#This Row],[backlog_habiles]]&gt;p_dias_backlog_max,"BACKLOG","MES CORRIENTE")))</f>
        <v/>
      </c>
      <c r="AD525" s="3">
        <f>IF(tblOrdenes[[#This Row],[backlog_habiles]]="",FALSE,AND(tblOrdenes[[#This Row],[backlog_habiles]]&gt;p_dias_backlog_min,tblOrdenes[[#This Row],[backlog_habiles]]&lt;=p_dias_backlog_max))</f>
        <v/>
      </c>
      <c r="AE525" s="6" t="n"/>
      <c r="AF5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0">
        <f>IF(tblOrdenes[[#This Row],[orden]]="","",_xlfn.XLOOKUP(tblOrdenes[[#This Row],[id_operacion]],tblEjecucion[id_operacion],tblEjecucion[precio],0))</f>
        <v/>
      </c>
      <c r="AJ525" s="10">
        <f>IF(tblOrdenes[[#This Row],[orden]]="","",MAX(0,_xlfn.XLOOKUP(tblOrdenes[[#This Row],[id_operacion]],tblEjecucion[id_operacion],tblEjecucion[costo_plan_total],0)-tblOrdenes[[#This Row],[costo_servicio]]))</f>
        <v/>
      </c>
      <c r="AK525" s="10">
        <f>IF(tblOrdenes[[#This Row],[orden]]="","",tblOrdenes[[#This Row],[costo_servicio]]+tblOrdenes[[#This Row],[costo_materiales]])</f>
        <v/>
      </c>
      <c r="AL525" s="6" t="n"/>
      <c r="AM525" s="6" t="n"/>
      <c r="AN525" s="6" t="n"/>
      <c r="AO525" s="3">
        <f>IF(tblOrdenes[[#This Row],[link_checklist]]="","",HYPERLINK(p_ruta_base_checklists&amp;tblOrdenes[[#This Row],[link_checklist]],"abrir"))</f>
        <v/>
      </c>
      <c r="AP525" s="6" t="n"/>
      <c r="AQ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3">
        <f>IF(tblOrdenes[[#This Row],[tipo_ot]]="","",_xlfn.XLOOKUP(tblOrdenes[[#This Row],[tipo_ot]],tblTiposOT[codigo],tblTiposOT[clasificacion],"sin_clasificar"))</f>
        <v/>
      </c>
      <c r="U526" s="3">
        <f>IF(tblOrdenes[[#This Row],[centro_costo]]="","",_xlfn.XLOOKUP(tblOrdenes[[#This Row],[centro_costo]],tblCECO[codigo],tblCECO[linea],"(sin catálogo)"))</f>
        <v/>
      </c>
      <c r="V526" s="3">
        <f>IF(tblOrdenes[[#This Row],[centro_costo]]="","",_xlfn.XLOOKUP(tblOrdenes[[#This Row],[centro_costo]],tblCECO[codigo],tblCECO[area],"(sin catálogo)"))</f>
        <v/>
      </c>
      <c r="W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3">
        <f>IF(tblOrdenes[[#This Row],[centro_costo]]="","",_xlfn.XLOOKUP(tblOrdenes[[#This Row],[centro_costo]],tblCECO[codigo],tblCECO[coordinador],"(sin catálogo)"))</f>
        <v/>
      </c>
      <c r="Y526" s="3">
        <f>IF(tblOrdenes[[#This Row],[puesto_trabajo]]="","",_xlfn.XLOOKUP(tblOrdenes[[#This Row],[puesto_trabajo]],tblPuestos[codigo],tblPuestos[especialidad],"(sin catálogo)"))</f>
        <v/>
      </c>
      <c r="Z526" s="3">
        <f>IF(tblOrdenes[[#This Row],[cod_actividad]]="","",_xlfn.XLOOKUP(tblOrdenes[[#This Row],[cod_actividad]],tblActividades[codigo],tblActividades[descripcion],"(sin catálogo)"))</f>
        <v/>
      </c>
      <c r="AA526" s="12">
        <f>IF(tblOrdenes[[#This Row],[fecha_inicio]]="","",TODAY()-tblOrdenes[[#This Row],[fecha_inicio]])</f>
        <v/>
      </c>
      <c r="AB5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3">
        <f>IF(tblOrdenes[[#This Row],[backlog_habiles]]="","",IF(tblOrdenes[[#This Row],[backlog_habiles]]&lt;0,"FUTURO",IF(tblOrdenes[[#This Row],[backlog_habiles]]&gt;p_dias_backlog_max,"BACKLOG","MES CORRIENTE")))</f>
        <v/>
      </c>
      <c r="AD526" s="3">
        <f>IF(tblOrdenes[[#This Row],[backlog_habiles]]="",FALSE,AND(tblOrdenes[[#This Row],[backlog_habiles]]&gt;p_dias_backlog_min,tblOrdenes[[#This Row],[backlog_habiles]]&lt;=p_dias_backlog_max))</f>
        <v/>
      </c>
      <c r="AE526" s="6" t="n"/>
      <c r="AF5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0">
        <f>IF(tblOrdenes[[#This Row],[orden]]="","",_xlfn.XLOOKUP(tblOrdenes[[#This Row],[id_operacion]],tblEjecucion[id_operacion],tblEjecucion[precio],0))</f>
        <v/>
      </c>
      <c r="AJ526" s="10">
        <f>IF(tblOrdenes[[#This Row],[orden]]="","",MAX(0,_xlfn.XLOOKUP(tblOrdenes[[#This Row],[id_operacion]],tblEjecucion[id_operacion],tblEjecucion[costo_plan_total],0)-tblOrdenes[[#This Row],[costo_servicio]]))</f>
        <v/>
      </c>
      <c r="AK526" s="10">
        <f>IF(tblOrdenes[[#This Row],[orden]]="","",tblOrdenes[[#This Row],[costo_servicio]]+tblOrdenes[[#This Row],[costo_materiales]])</f>
        <v/>
      </c>
      <c r="AL526" s="6" t="n"/>
      <c r="AM526" s="6" t="n"/>
      <c r="AN526" s="6" t="n"/>
      <c r="AO526" s="3">
        <f>IF(tblOrdenes[[#This Row],[link_checklist]]="","",HYPERLINK(p_ruta_base_checklists&amp;tblOrdenes[[#This Row],[link_checklist]],"abrir"))</f>
        <v/>
      </c>
      <c r="AP526" s="6" t="n"/>
      <c r="AQ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3">
        <f>IF(tblOrdenes[[#This Row],[tipo_ot]]="","",_xlfn.XLOOKUP(tblOrdenes[[#This Row],[tipo_ot]],tblTiposOT[codigo],tblTiposOT[clasificacion],"sin_clasificar"))</f>
        <v/>
      </c>
      <c r="U527" s="3">
        <f>IF(tblOrdenes[[#This Row],[centro_costo]]="","",_xlfn.XLOOKUP(tblOrdenes[[#This Row],[centro_costo]],tblCECO[codigo],tblCECO[linea],"(sin catálogo)"))</f>
        <v/>
      </c>
      <c r="V527" s="3">
        <f>IF(tblOrdenes[[#This Row],[centro_costo]]="","",_xlfn.XLOOKUP(tblOrdenes[[#This Row],[centro_costo]],tblCECO[codigo],tblCECO[area],"(sin catálogo)"))</f>
        <v/>
      </c>
      <c r="W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3">
        <f>IF(tblOrdenes[[#This Row],[centro_costo]]="","",_xlfn.XLOOKUP(tblOrdenes[[#This Row],[centro_costo]],tblCECO[codigo],tblCECO[coordinador],"(sin catálogo)"))</f>
        <v/>
      </c>
      <c r="Y527" s="3">
        <f>IF(tblOrdenes[[#This Row],[puesto_trabajo]]="","",_xlfn.XLOOKUP(tblOrdenes[[#This Row],[puesto_trabajo]],tblPuestos[codigo],tblPuestos[especialidad],"(sin catálogo)"))</f>
        <v/>
      </c>
      <c r="Z527" s="3">
        <f>IF(tblOrdenes[[#This Row],[cod_actividad]]="","",_xlfn.XLOOKUP(tblOrdenes[[#This Row],[cod_actividad]],tblActividades[codigo],tblActividades[descripcion],"(sin catálogo)"))</f>
        <v/>
      </c>
      <c r="AA527" s="12">
        <f>IF(tblOrdenes[[#This Row],[fecha_inicio]]="","",TODAY()-tblOrdenes[[#This Row],[fecha_inicio]])</f>
        <v/>
      </c>
      <c r="AB5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3">
        <f>IF(tblOrdenes[[#This Row],[backlog_habiles]]="","",IF(tblOrdenes[[#This Row],[backlog_habiles]]&lt;0,"FUTURO",IF(tblOrdenes[[#This Row],[backlog_habiles]]&gt;p_dias_backlog_max,"BACKLOG","MES CORRIENTE")))</f>
        <v/>
      </c>
      <c r="AD527" s="3">
        <f>IF(tblOrdenes[[#This Row],[backlog_habiles]]="",FALSE,AND(tblOrdenes[[#This Row],[backlog_habiles]]&gt;p_dias_backlog_min,tblOrdenes[[#This Row],[backlog_habiles]]&lt;=p_dias_backlog_max))</f>
        <v/>
      </c>
      <c r="AE527" s="6" t="n"/>
      <c r="AF5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0">
        <f>IF(tblOrdenes[[#This Row],[orden]]="","",_xlfn.XLOOKUP(tblOrdenes[[#This Row],[id_operacion]],tblEjecucion[id_operacion],tblEjecucion[precio],0))</f>
        <v/>
      </c>
      <c r="AJ527" s="10">
        <f>IF(tblOrdenes[[#This Row],[orden]]="","",MAX(0,_xlfn.XLOOKUP(tblOrdenes[[#This Row],[id_operacion]],tblEjecucion[id_operacion],tblEjecucion[costo_plan_total],0)-tblOrdenes[[#This Row],[costo_servicio]]))</f>
        <v/>
      </c>
      <c r="AK527" s="10">
        <f>IF(tblOrdenes[[#This Row],[orden]]="","",tblOrdenes[[#This Row],[costo_servicio]]+tblOrdenes[[#This Row],[costo_materiales]])</f>
        <v/>
      </c>
      <c r="AL527" s="6" t="n"/>
      <c r="AM527" s="6" t="n"/>
      <c r="AN527" s="6" t="n"/>
      <c r="AO527" s="3">
        <f>IF(tblOrdenes[[#This Row],[link_checklist]]="","",HYPERLINK(p_ruta_base_checklists&amp;tblOrdenes[[#This Row],[link_checklist]],"abrir"))</f>
        <v/>
      </c>
      <c r="AP527" s="6" t="n"/>
      <c r="AQ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3">
        <f>IF(tblOrdenes[[#This Row],[tipo_ot]]="","",_xlfn.XLOOKUP(tblOrdenes[[#This Row],[tipo_ot]],tblTiposOT[codigo],tblTiposOT[clasificacion],"sin_clasificar"))</f>
        <v/>
      </c>
      <c r="U528" s="3">
        <f>IF(tblOrdenes[[#This Row],[centro_costo]]="","",_xlfn.XLOOKUP(tblOrdenes[[#This Row],[centro_costo]],tblCECO[codigo],tblCECO[linea],"(sin catálogo)"))</f>
        <v/>
      </c>
      <c r="V528" s="3">
        <f>IF(tblOrdenes[[#This Row],[centro_costo]]="","",_xlfn.XLOOKUP(tblOrdenes[[#This Row],[centro_costo]],tblCECO[codigo],tblCECO[area],"(sin catálogo)"))</f>
        <v/>
      </c>
      <c r="W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3">
        <f>IF(tblOrdenes[[#This Row],[centro_costo]]="","",_xlfn.XLOOKUP(tblOrdenes[[#This Row],[centro_costo]],tblCECO[codigo],tblCECO[coordinador],"(sin catálogo)"))</f>
        <v/>
      </c>
      <c r="Y528" s="3">
        <f>IF(tblOrdenes[[#This Row],[puesto_trabajo]]="","",_xlfn.XLOOKUP(tblOrdenes[[#This Row],[puesto_trabajo]],tblPuestos[codigo],tblPuestos[especialidad],"(sin catálogo)"))</f>
        <v/>
      </c>
      <c r="Z528" s="3">
        <f>IF(tblOrdenes[[#This Row],[cod_actividad]]="","",_xlfn.XLOOKUP(tblOrdenes[[#This Row],[cod_actividad]],tblActividades[codigo],tblActividades[descripcion],"(sin catálogo)"))</f>
        <v/>
      </c>
      <c r="AA528" s="12">
        <f>IF(tblOrdenes[[#This Row],[fecha_inicio]]="","",TODAY()-tblOrdenes[[#This Row],[fecha_inicio]])</f>
        <v/>
      </c>
      <c r="AB5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3">
        <f>IF(tblOrdenes[[#This Row],[backlog_habiles]]="","",IF(tblOrdenes[[#This Row],[backlog_habiles]]&lt;0,"FUTURO",IF(tblOrdenes[[#This Row],[backlog_habiles]]&gt;p_dias_backlog_max,"BACKLOG","MES CORRIENTE")))</f>
        <v/>
      </c>
      <c r="AD528" s="3">
        <f>IF(tblOrdenes[[#This Row],[backlog_habiles]]="",FALSE,AND(tblOrdenes[[#This Row],[backlog_habiles]]&gt;p_dias_backlog_min,tblOrdenes[[#This Row],[backlog_habiles]]&lt;=p_dias_backlog_max))</f>
        <v/>
      </c>
      <c r="AE528" s="6" t="n"/>
      <c r="AF5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0">
        <f>IF(tblOrdenes[[#This Row],[orden]]="","",_xlfn.XLOOKUP(tblOrdenes[[#This Row],[id_operacion]],tblEjecucion[id_operacion],tblEjecucion[precio],0))</f>
        <v/>
      </c>
      <c r="AJ528" s="10">
        <f>IF(tblOrdenes[[#This Row],[orden]]="","",MAX(0,_xlfn.XLOOKUP(tblOrdenes[[#This Row],[id_operacion]],tblEjecucion[id_operacion],tblEjecucion[costo_plan_total],0)-tblOrdenes[[#This Row],[costo_servicio]]))</f>
        <v/>
      </c>
      <c r="AK528" s="10">
        <f>IF(tblOrdenes[[#This Row],[orden]]="","",tblOrdenes[[#This Row],[costo_servicio]]+tblOrdenes[[#This Row],[costo_materiales]])</f>
        <v/>
      </c>
      <c r="AL528" s="6" t="n"/>
      <c r="AM528" s="6" t="n"/>
      <c r="AN528" s="6" t="n"/>
      <c r="AO528" s="3">
        <f>IF(tblOrdenes[[#This Row],[link_checklist]]="","",HYPERLINK(p_ruta_base_checklists&amp;tblOrdenes[[#This Row],[link_checklist]],"abrir"))</f>
        <v/>
      </c>
      <c r="AP528" s="6" t="n"/>
      <c r="AQ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3">
        <f>IF(tblOrdenes[[#This Row],[tipo_ot]]="","",_xlfn.XLOOKUP(tblOrdenes[[#This Row],[tipo_ot]],tblTiposOT[codigo],tblTiposOT[clasificacion],"sin_clasificar"))</f>
        <v/>
      </c>
      <c r="U529" s="3">
        <f>IF(tblOrdenes[[#This Row],[centro_costo]]="","",_xlfn.XLOOKUP(tblOrdenes[[#This Row],[centro_costo]],tblCECO[codigo],tblCECO[linea],"(sin catálogo)"))</f>
        <v/>
      </c>
      <c r="V529" s="3">
        <f>IF(tblOrdenes[[#This Row],[centro_costo]]="","",_xlfn.XLOOKUP(tblOrdenes[[#This Row],[centro_costo]],tblCECO[codigo],tblCECO[area],"(sin catálogo)"))</f>
        <v/>
      </c>
      <c r="W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3">
        <f>IF(tblOrdenes[[#This Row],[centro_costo]]="","",_xlfn.XLOOKUP(tblOrdenes[[#This Row],[centro_costo]],tblCECO[codigo],tblCECO[coordinador],"(sin catálogo)"))</f>
        <v/>
      </c>
      <c r="Y529" s="3">
        <f>IF(tblOrdenes[[#This Row],[puesto_trabajo]]="","",_xlfn.XLOOKUP(tblOrdenes[[#This Row],[puesto_trabajo]],tblPuestos[codigo],tblPuestos[especialidad],"(sin catálogo)"))</f>
        <v/>
      </c>
      <c r="Z529" s="3">
        <f>IF(tblOrdenes[[#This Row],[cod_actividad]]="","",_xlfn.XLOOKUP(tblOrdenes[[#This Row],[cod_actividad]],tblActividades[codigo],tblActividades[descripcion],"(sin catálogo)"))</f>
        <v/>
      </c>
      <c r="AA529" s="12">
        <f>IF(tblOrdenes[[#This Row],[fecha_inicio]]="","",TODAY()-tblOrdenes[[#This Row],[fecha_inicio]])</f>
        <v/>
      </c>
      <c r="AB5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3">
        <f>IF(tblOrdenes[[#This Row],[backlog_habiles]]="","",IF(tblOrdenes[[#This Row],[backlog_habiles]]&lt;0,"FUTURO",IF(tblOrdenes[[#This Row],[backlog_habiles]]&gt;p_dias_backlog_max,"BACKLOG","MES CORRIENTE")))</f>
        <v/>
      </c>
      <c r="AD529" s="3">
        <f>IF(tblOrdenes[[#This Row],[backlog_habiles]]="",FALSE,AND(tblOrdenes[[#This Row],[backlog_habiles]]&gt;p_dias_backlog_min,tblOrdenes[[#This Row],[backlog_habiles]]&lt;=p_dias_backlog_max))</f>
        <v/>
      </c>
      <c r="AE529" s="6" t="n"/>
      <c r="AF5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0">
        <f>IF(tblOrdenes[[#This Row],[orden]]="","",_xlfn.XLOOKUP(tblOrdenes[[#This Row],[id_operacion]],tblEjecucion[id_operacion],tblEjecucion[precio],0))</f>
        <v/>
      </c>
      <c r="AJ529" s="10">
        <f>IF(tblOrdenes[[#This Row],[orden]]="","",MAX(0,_xlfn.XLOOKUP(tblOrdenes[[#This Row],[id_operacion]],tblEjecucion[id_operacion],tblEjecucion[costo_plan_total],0)-tblOrdenes[[#This Row],[costo_servicio]]))</f>
        <v/>
      </c>
      <c r="AK529" s="10">
        <f>IF(tblOrdenes[[#This Row],[orden]]="","",tblOrdenes[[#This Row],[costo_servicio]]+tblOrdenes[[#This Row],[costo_materiales]])</f>
        <v/>
      </c>
      <c r="AL529" s="6" t="n"/>
      <c r="AM529" s="6" t="n"/>
      <c r="AN529" s="6" t="n"/>
      <c r="AO529" s="3">
        <f>IF(tblOrdenes[[#This Row],[link_checklist]]="","",HYPERLINK(p_ruta_base_checklists&amp;tblOrdenes[[#This Row],[link_checklist]],"abrir"))</f>
        <v/>
      </c>
      <c r="AP529" s="6" t="n"/>
      <c r="AQ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3">
        <f>IF(tblOrdenes[[#This Row],[tipo_ot]]="","",_xlfn.XLOOKUP(tblOrdenes[[#This Row],[tipo_ot]],tblTiposOT[codigo],tblTiposOT[clasificacion],"sin_clasificar"))</f>
        <v/>
      </c>
      <c r="U530" s="3">
        <f>IF(tblOrdenes[[#This Row],[centro_costo]]="","",_xlfn.XLOOKUP(tblOrdenes[[#This Row],[centro_costo]],tblCECO[codigo],tblCECO[linea],"(sin catálogo)"))</f>
        <v/>
      </c>
      <c r="V530" s="3">
        <f>IF(tblOrdenes[[#This Row],[centro_costo]]="","",_xlfn.XLOOKUP(tblOrdenes[[#This Row],[centro_costo]],tblCECO[codigo],tblCECO[area],"(sin catálogo)"))</f>
        <v/>
      </c>
      <c r="W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3">
        <f>IF(tblOrdenes[[#This Row],[centro_costo]]="","",_xlfn.XLOOKUP(tblOrdenes[[#This Row],[centro_costo]],tblCECO[codigo],tblCECO[coordinador],"(sin catálogo)"))</f>
        <v/>
      </c>
      <c r="Y530" s="3">
        <f>IF(tblOrdenes[[#This Row],[puesto_trabajo]]="","",_xlfn.XLOOKUP(tblOrdenes[[#This Row],[puesto_trabajo]],tblPuestos[codigo],tblPuestos[especialidad],"(sin catálogo)"))</f>
        <v/>
      </c>
      <c r="Z530" s="3">
        <f>IF(tblOrdenes[[#This Row],[cod_actividad]]="","",_xlfn.XLOOKUP(tblOrdenes[[#This Row],[cod_actividad]],tblActividades[codigo],tblActividades[descripcion],"(sin catálogo)"))</f>
        <v/>
      </c>
      <c r="AA530" s="12">
        <f>IF(tblOrdenes[[#This Row],[fecha_inicio]]="","",TODAY()-tblOrdenes[[#This Row],[fecha_inicio]])</f>
        <v/>
      </c>
      <c r="AB5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3">
        <f>IF(tblOrdenes[[#This Row],[backlog_habiles]]="","",IF(tblOrdenes[[#This Row],[backlog_habiles]]&lt;0,"FUTURO",IF(tblOrdenes[[#This Row],[backlog_habiles]]&gt;p_dias_backlog_max,"BACKLOG","MES CORRIENTE")))</f>
        <v/>
      </c>
      <c r="AD530" s="3">
        <f>IF(tblOrdenes[[#This Row],[backlog_habiles]]="",FALSE,AND(tblOrdenes[[#This Row],[backlog_habiles]]&gt;p_dias_backlog_min,tblOrdenes[[#This Row],[backlog_habiles]]&lt;=p_dias_backlog_max))</f>
        <v/>
      </c>
      <c r="AE530" s="6" t="n"/>
      <c r="AF5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0">
        <f>IF(tblOrdenes[[#This Row],[orden]]="","",_xlfn.XLOOKUP(tblOrdenes[[#This Row],[id_operacion]],tblEjecucion[id_operacion],tblEjecucion[precio],0))</f>
        <v/>
      </c>
      <c r="AJ530" s="10">
        <f>IF(tblOrdenes[[#This Row],[orden]]="","",MAX(0,_xlfn.XLOOKUP(tblOrdenes[[#This Row],[id_operacion]],tblEjecucion[id_operacion],tblEjecucion[costo_plan_total],0)-tblOrdenes[[#This Row],[costo_servicio]]))</f>
        <v/>
      </c>
      <c r="AK530" s="10">
        <f>IF(tblOrdenes[[#This Row],[orden]]="","",tblOrdenes[[#This Row],[costo_servicio]]+tblOrdenes[[#This Row],[costo_materiales]])</f>
        <v/>
      </c>
      <c r="AL530" s="6" t="n"/>
      <c r="AM530" s="6" t="n"/>
      <c r="AN530" s="6" t="n"/>
      <c r="AO530" s="3">
        <f>IF(tblOrdenes[[#This Row],[link_checklist]]="","",HYPERLINK(p_ruta_base_checklists&amp;tblOrdenes[[#This Row],[link_checklist]],"abrir"))</f>
        <v/>
      </c>
      <c r="AP530" s="6" t="n"/>
      <c r="AQ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3">
        <f>IF(tblOrdenes[[#This Row],[tipo_ot]]="","",_xlfn.XLOOKUP(tblOrdenes[[#This Row],[tipo_ot]],tblTiposOT[codigo],tblTiposOT[clasificacion],"sin_clasificar"))</f>
        <v/>
      </c>
      <c r="U531" s="3">
        <f>IF(tblOrdenes[[#This Row],[centro_costo]]="","",_xlfn.XLOOKUP(tblOrdenes[[#This Row],[centro_costo]],tblCECO[codigo],tblCECO[linea],"(sin catálogo)"))</f>
        <v/>
      </c>
      <c r="V531" s="3">
        <f>IF(tblOrdenes[[#This Row],[centro_costo]]="","",_xlfn.XLOOKUP(tblOrdenes[[#This Row],[centro_costo]],tblCECO[codigo],tblCECO[area],"(sin catálogo)"))</f>
        <v/>
      </c>
      <c r="W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3">
        <f>IF(tblOrdenes[[#This Row],[centro_costo]]="","",_xlfn.XLOOKUP(tblOrdenes[[#This Row],[centro_costo]],tblCECO[codigo],tblCECO[coordinador],"(sin catálogo)"))</f>
        <v/>
      </c>
      <c r="Y531" s="3">
        <f>IF(tblOrdenes[[#This Row],[puesto_trabajo]]="","",_xlfn.XLOOKUP(tblOrdenes[[#This Row],[puesto_trabajo]],tblPuestos[codigo],tblPuestos[especialidad],"(sin catálogo)"))</f>
        <v/>
      </c>
      <c r="Z531" s="3">
        <f>IF(tblOrdenes[[#This Row],[cod_actividad]]="","",_xlfn.XLOOKUP(tblOrdenes[[#This Row],[cod_actividad]],tblActividades[codigo],tblActividades[descripcion],"(sin catálogo)"))</f>
        <v/>
      </c>
      <c r="AA531" s="12">
        <f>IF(tblOrdenes[[#This Row],[fecha_inicio]]="","",TODAY()-tblOrdenes[[#This Row],[fecha_inicio]])</f>
        <v/>
      </c>
      <c r="AB5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3">
        <f>IF(tblOrdenes[[#This Row],[backlog_habiles]]="","",IF(tblOrdenes[[#This Row],[backlog_habiles]]&lt;0,"FUTURO",IF(tblOrdenes[[#This Row],[backlog_habiles]]&gt;p_dias_backlog_max,"BACKLOG","MES CORRIENTE")))</f>
        <v/>
      </c>
      <c r="AD531" s="3">
        <f>IF(tblOrdenes[[#This Row],[backlog_habiles]]="",FALSE,AND(tblOrdenes[[#This Row],[backlog_habiles]]&gt;p_dias_backlog_min,tblOrdenes[[#This Row],[backlog_habiles]]&lt;=p_dias_backlog_max))</f>
        <v/>
      </c>
      <c r="AE531" s="6" t="n"/>
      <c r="AF5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0">
        <f>IF(tblOrdenes[[#This Row],[orden]]="","",_xlfn.XLOOKUP(tblOrdenes[[#This Row],[id_operacion]],tblEjecucion[id_operacion],tblEjecucion[precio],0))</f>
        <v/>
      </c>
      <c r="AJ531" s="10">
        <f>IF(tblOrdenes[[#This Row],[orden]]="","",MAX(0,_xlfn.XLOOKUP(tblOrdenes[[#This Row],[id_operacion]],tblEjecucion[id_operacion],tblEjecucion[costo_plan_total],0)-tblOrdenes[[#This Row],[costo_servicio]]))</f>
        <v/>
      </c>
      <c r="AK531" s="10">
        <f>IF(tblOrdenes[[#This Row],[orden]]="","",tblOrdenes[[#This Row],[costo_servicio]]+tblOrdenes[[#This Row],[costo_materiales]])</f>
        <v/>
      </c>
      <c r="AL531" s="6" t="n"/>
      <c r="AM531" s="6" t="n"/>
      <c r="AN531" s="6" t="n"/>
      <c r="AO531" s="3">
        <f>IF(tblOrdenes[[#This Row],[link_checklist]]="","",HYPERLINK(p_ruta_base_checklists&amp;tblOrdenes[[#This Row],[link_checklist]],"abrir"))</f>
        <v/>
      </c>
      <c r="AP531" s="6" t="n"/>
      <c r="AQ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3">
        <f>IF(tblOrdenes[[#This Row],[tipo_ot]]="","",_xlfn.XLOOKUP(tblOrdenes[[#This Row],[tipo_ot]],tblTiposOT[codigo],tblTiposOT[clasificacion],"sin_clasificar"))</f>
        <v/>
      </c>
      <c r="U532" s="3">
        <f>IF(tblOrdenes[[#This Row],[centro_costo]]="","",_xlfn.XLOOKUP(tblOrdenes[[#This Row],[centro_costo]],tblCECO[codigo],tblCECO[linea],"(sin catálogo)"))</f>
        <v/>
      </c>
      <c r="V532" s="3">
        <f>IF(tblOrdenes[[#This Row],[centro_costo]]="","",_xlfn.XLOOKUP(tblOrdenes[[#This Row],[centro_costo]],tblCECO[codigo],tblCECO[area],"(sin catálogo)"))</f>
        <v/>
      </c>
      <c r="W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3">
        <f>IF(tblOrdenes[[#This Row],[centro_costo]]="","",_xlfn.XLOOKUP(tblOrdenes[[#This Row],[centro_costo]],tblCECO[codigo],tblCECO[coordinador],"(sin catálogo)"))</f>
        <v/>
      </c>
      <c r="Y532" s="3">
        <f>IF(tblOrdenes[[#This Row],[puesto_trabajo]]="","",_xlfn.XLOOKUP(tblOrdenes[[#This Row],[puesto_trabajo]],tblPuestos[codigo],tblPuestos[especialidad],"(sin catálogo)"))</f>
        <v/>
      </c>
      <c r="Z532" s="3">
        <f>IF(tblOrdenes[[#This Row],[cod_actividad]]="","",_xlfn.XLOOKUP(tblOrdenes[[#This Row],[cod_actividad]],tblActividades[codigo],tblActividades[descripcion],"(sin catálogo)"))</f>
        <v/>
      </c>
      <c r="AA532" s="12">
        <f>IF(tblOrdenes[[#This Row],[fecha_inicio]]="","",TODAY()-tblOrdenes[[#This Row],[fecha_inicio]])</f>
        <v/>
      </c>
      <c r="AB5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3">
        <f>IF(tblOrdenes[[#This Row],[backlog_habiles]]="","",IF(tblOrdenes[[#This Row],[backlog_habiles]]&lt;0,"FUTURO",IF(tblOrdenes[[#This Row],[backlog_habiles]]&gt;p_dias_backlog_max,"BACKLOG","MES CORRIENTE")))</f>
        <v/>
      </c>
      <c r="AD532" s="3">
        <f>IF(tblOrdenes[[#This Row],[backlog_habiles]]="",FALSE,AND(tblOrdenes[[#This Row],[backlog_habiles]]&gt;p_dias_backlog_min,tblOrdenes[[#This Row],[backlog_habiles]]&lt;=p_dias_backlog_max))</f>
        <v/>
      </c>
      <c r="AE532" s="6" t="n"/>
      <c r="AF5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0">
        <f>IF(tblOrdenes[[#This Row],[orden]]="","",_xlfn.XLOOKUP(tblOrdenes[[#This Row],[id_operacion]],tblEjecucion[id_operacion],tblEjecucion[precio],0))</f>
        <v/>
      </c>
      <c r="AJ532" s="10">
        <f>IF(tblOrdenes[[#This Row],[orden]]="","",MAX(0,_xlfn.XLOOKUP(tblOrdenes[[#This Row],[id_operacion]],tblEjecucion[id_operacion],tblEjecucion[costo_plan_total],0)-tblOrdenes[[#This Row],[costo_servicio]]))</f>
        <v/>
      </c>
      <c r="AK532" s="10">
        <f>IF(tblOrdenes[[#This Row],[orden]]="","",tblOrdenes[[#This Row],[costo_servicio]]+tblOrdenes[[#This Row],[costo_materiales]])</f>
        <v/>
      </c>
      <c r="AL532" s="6" t="n"/>
      <c r="AM532" s="6" t="n"/>
      <c r="AN532" s="6" t="n"/>
      <c r="AO532" s="3">
        <f>IF(tblOrdenes[[#This Row],[link_checklist]]="","",HYPERLINK(p_ruta_base_checklists&amp;tblOrdenes[[#This Row],[link_checklist]],"abrir"))</f>
        <v/>
      </c>
      <c r="AP532" s="6" t="n"/>
      <c r="AQ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3">
        <f>IF(tblOrdenes[[#This Row],[tipo_ot]]="","",_xlfn.XLOOKUP(tblOrdenes[[#This Row],[tipo_ot]],tblTiposOT[codigo],tblTiposOT[clasificacion],"sin_clasificar"))</f>
        <v/>
      </c>
      <c r="U533" s="3">
        <f>IF(tblOrdenes[[#This Row],[centro_costo]]="","",_xlfn.XLOOKUP(tblOrdenes[[#This Row],[centro_costo]],tblCECO[codigo],tblCECO[linea],"(sin catálogo)"))</f>
        <v/>
      </c>
      <c r="V533" s="3">
        <f>IF(tblOrdenes[[#This Row],[centro_costo]]="","",_xlfn.XLOOKUP(tblOrdenes[[#This Row],[centro_costo]],tblCECO[codigo],tblCECO[area],"(sin catálogo)"))</f>
        <v/>
      </c>
      <c r="W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3">
        <f>IF(tblOrdenes[[#This Row],[centro_costo]]="","",_xlfn.XLOOKUP(tblOrdenes[[#This Row],[centro_costo]],tblCECO[codigo],tblCECO[coordinador],"(sin catálogo)"))</f>
        <v/>
      </c>
      <c r="Y533" s="3">
        <f>IF(tblOrdenes[[#This Row],[puesto_trabajo]]="","",_xlfn.XLOOKUP(tblOrdenes[[#This Row],[puesto_trabajo]],tblPuestos[codigo],tblPuestos[especialidad],"(sin catálogo)"))</f>
        <v/>
      </c>
      <c r="Z533" s="3">
        <f>IF(tblOrdenes[[#This Row],[cod_actividad]]="","",_xlfn.XLOOKUP(tblOrdenes[[#This Row],[cod_actividad]],tblActividades[codigo],tblActividades[descripcion],"(sin catálogo)"))</f>
        <v/>
      </c>
      <c r="AA533" s="12">
        <f>IF(tblOrdenes[[#This Row],[fecha_inicio]]="","",TODAY()-tblOrdenes[[#This Row],[fecha_inicio]])</f>
        <v/>
      </c>
      <c r="AB5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3">
        <f>IF(tblOrdenes[[#This Row],[backlog_habiles]]="","",IF(tblOrdenes[[#This Row],[backlog_habiles]]&lt;0,"FUTURO",IF(tblOrdenes[[#This Row],[backlog_habiles]]&gt;p_dias_backlog_max,"BACKLOG","MES CORRIENTE")))</f>
        <v/>
      </c>
      <c r="AD533" s="3">
        <f>IF(tblOrdenes[[#This Row],[backlog_habiles]]="",FALSE,AND(tblOrdenes[[#This Row],[backlog_habiles]]&gt;p_dias_backlog_min,tblOrdenes[[#This Row],[backlog_habiles]]&lt;=p_dias_backlog_max))</f>
        <v/>
      </c>
      <c r="AE533" s="6" t="n"/>
      <c r="AF5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0">
        <f>IF(tblOrdenes[[#This Row],[orden]]="","",_xlfn.XLOOKUP(tblOrdenes[[#This Row],[id_operacion]],tblEjecucion[id_operacion],tblEjecucion[precio],0))</f>
        <v/>
      </c>
      <c r="AJ533" s="10">
        <f>IF(tblOrdenes[[#This Row],[orden]]="","",MAX(0,_xlfn.XLOOKUP(tblOrdenes[[#This Row],[id_operacion]],tblEjecucion[id_operacion],tblEjecucion[costo_plan_total],0)-tblOrdenes[[#This Row],[costo_servicio]]))</f>
        <v/>
      </c>
      <c r="AK533" s="10">
        <f>IF(tblOrdenes[[#This Row],[orden]]="","",tblOrdenes[[#This Row],[costo_servicio]]+tblOrdenes[[#This Row],[costo_materiales]])</f>
        <v/>
      </c>
      <c r="AL533" s="6" t="n"/>
      <c r="AM533" s="6" t="n"/>
      <c r="AN533" s="6" t="n"/>
      <c r="AO533" s="3">
        <f>IF(tblOrdenes[[#This Row],[link_checklist]]="","",HYPERLINK(p_ruta_base_checklists&amp;tblOrdenes[[#This Row],[link_checklist]],"abrir"))</f>
        <v/>
      </c>
      <c r="AP533" s="6" t="n"/>
      <c r="AQ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3">
        <f>IF(tblOrdenes[[#This Row],[tipo_ot]]="","",_xlfn.XLOOKUP(tblOrdenes[[#This Row],[tipo_ot]],tblTiposOT[codigo],tblTiposOT[clasificacion],"sin_clasificar"))</f>
        <v/>
      </c>
      <c r="U534" s="3">
        <f>IF(tblOrdenes[[#This Row],[centro_costo]]="","",_xlfn.XLOOKUP(tblOrdenes[[#This Row],[centro_costo]],tblCECO[codigo],tblCECO[linea],"(sin catálogo)"))</f>
        <v/>
      </c>
      <c r="V534" s="3">
        <f>IF(tblOrdenes[[#This Row],[centro_costo]]="","",_xlfn.XLOOKUP(tblOrdenes[[#This Row],[centro_costo]],tblCECO[codigo],tblCECO[area],"(sin catálogo)"))</f>
        <v/>
      </c>
      <c r="W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3">
        <f>IF(tblOrdenes[[#This Row],[centro_costo]]="","",_xlfn.XLOOKUP(tblOrdenes[[#This Row],[centro_costo]],tblCECO[codigo],tblCECO[coordinador],"(sin catálogo)"))</f>
        <v/>
      </c>
      <c r="Y534" s="3">
        <f>IF(tblOrdenes[[#This Row],[puesto_trabajo]]="","",_xlfn.XLOOKUP(tblOrdenes[[#This Row],[puesto_trabajo]],tblPuestos[codigo],tblPuestos[especialidad],"(sin catálogo)"))</f>
        <v/>
      </c>
      <c r="Z534" s="3">
        <f>IF(tblOrdenes[[#This Row],[cod_actividad]]="","",_xlfn.XLOOKUP(tblOrdenes[[#This Row],[cod_actividad]],tblActividades[codigo],tblActividades[descripcion],"(sin catálogo)"))</f>
        <v/>
      </c>
      <c r="AA534" s="12">
        <f>IF(tblOrdenes[[#This Row],[fecha_inicio]]="","",TODAY()-tblOrdenes[[#This Row],[fecha_inicio]])</f>
        <v/>
      </c>
      <c r="AB5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3">
        <f>IF(tblOrdenes[[#This Row],[backlog_habiles]]="","",IF(tblOrdenes[[#This Row],[backlog_habiles]]&lt;0,"FUTURO",IF(tblOrdenes[[#This Row],[backlog_habiles]]&gt;p_dias_backlog_max,"BACKLOG","MES CORRIENTE")))</f>
        <v/>
      </c>
      <c r="AD534" s="3">
        <f>IF(tblOrdenes[[#This Row],[backlog_habiles]]="",FALSE,AND(tblOrdenes[[#This Row],[backlog_habiles]]&gt;p_dias_backlog_min,tblOrdenes[[#This Row],[backlog_habiles]]&lt;=p_dias_backlog_max))</f>
        <v/>
      </c>
      <c r="AE534" s="6" t="n"/>
      <c r="AF5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0">
        <f>IF(tblOrdenes[[#This Row],[orden]]="","",_xlfn.XLOOKUP(tblOrdenes[[#This Row],[id_operacion]],tblEjecucion[id_operacion],tblEjecucion[precio],0))</f>
        <v/>
      </c>
      <c r="AJ534" s="10">
        <f>IF(tblOrdenes[[#This Row],[orden]]="","",MAX(0,_xlfn.XLOOKUP(tblOrdenes[[#This Row],[id_operacion]],tblEjecucion[id_operacion],tblEjecucion[costo_plan_total],0)-tblOrdenes[[#This Row],[costo_servicio]]))</f>
        <v/>
      </c>
      <c r="AK534" s="10">
        <f>IF(tblOrdenes[[#This Row],[orden]]="","",tblOrdenes[[#This Row],[costo_servicio]]+tblOrdenes[[#This Row],[costo_materiales]])</f>
        <v/>
      </c>
      <c r="AL534" s="6" t="n"/>
      <c r="AM534" s="6" t="n"/>
      <c r="AN534" s="6" t="n"/>
      <c r="AO534" s="3">
        <f>IF(tblOrdenes[[#This Row],[link_checklist]]="","",HYPERLINK(p_ruta_base_checklists&amp;tblOrdenes[[#This Row],[link_checklist]],"abrir"))</f>
        <v/>
      </c>
      <c r="AP534" s="6" t="n"/>
      <c r="AQ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3">
        <f>IF(tblOrdenes[[#This Row],[tipo_ot]]="","",_xlfn.XLOOKUP(tblOrdenes[[#This Row],[tipo_ot]],tblTiposOT[codigo],tblTiposOT[clasificacion],"sin_clasificar"))</f>
        <v/>
      </c>
      <c r="U535" s="3">
        <f>IF(tblOrdenes[[#This Row],[centro_costo]]="","",_xlfn.XLOOKUP(tblOrdenes[[#This Row],[centro_costo]],tblCECO[codigo],tblCECO[linea],"(sin catálogo)"))</f>
        <v/>
      </c>
      <c r="V535" s="3">
        <f>IF(tblOrdenes[[#This Row],[centro_costo]]="","",_xlfn.XLOOKUP(tblOrdenes[[#This Row],[centro_costo]],tblCECO[codigo],tblCECO[area],"(sin catálogo)"))</f>
        <v/>
      </c>
      <c r="W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3">
        <f>IF(tblOrdenes[[#This Row],[centro_costo]]="","",_xlfn.XLOOKUP(tblOrdenes[[#This Row],[centro_costo]],tblCECO[codigo],tblCECO[coordinador],"(sin catálogo)"))</f>
        <v/>
      </c>
      <c r="Y535" s="3">
        <f>IF(tblOrdenes[[#This Row],[puesto_trabajo]]="","",_xlfn.XLOOKUP(tblOrdenes[[#This Row],[puesto_trabajo]],tblPuestos[codigo],tblPuestos[especialidad],"(sin catálogo)"))</f>
        <v/>
      </c>
      <c r="Z535" s="3">
        <f>IF(tblOrdenes[[#This Row],[cod_actividad]]="","",_xlfn.XLOOKUP(tblOrdenes[[#This Row],[cod_actividad]],tblActividades[codigo],tblActividades[descripcion],"(sin catálogo)"))</f>
        <v/>
      </c>
      <c r="AA535" s="12">
        <f>IF(tblOrdenes[[#This Row],[fecha_inicio]]="","",TODAY()-tblOrdenes[[#This Row],[fecha_inicio]])</f>
        <v/>
      </c>
      <c r="AB5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3">
        <f>IF(tblOrdenes[[#This Row],[backlog_habiles]]="","",IF(tblOrdenes[[#This Row],[backlog_habiles]]&lt;0,"FUTURO",IF(tblOrdenes[[#This Row],[backlog_habiles]]&gt;p_dias_backlog_max,"BACKLOG","MES CORRIENTE")))</f>
        <v/>
      </c>
      <c r="AD535" s="3">
        <f>IF(tblOrdenes[[#This Row],[backlog_habiles]]="",FALSE,AND(tblOrdenes[[#This Row],[backlog_habiles]]&gt;p_dias_backlog_min,tblOrdenes[[#This Row],[backlog_habiles]]&lt;=p_dias_backlog_max))</f>
        <v/>
      </c>
      <c r="AE535" s="6" t="n"/>
      <c r="AF5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0">
        <f>IF(tblOrdenes[[#This Row],[orden]]="","",_xlfn.XLOOKUP(tblOrdenes[[#This Row],[id_operacion]],tblEjecucion[id_operacion],tblEjecucion[precio],0))</f>
        <v/>
      </c>
      <c r="AJ535" s="10">
        <f>IF(tblOrdenes[[#This Row],[orden]]="","",MAX(0,_xlfn.XLOOKUP(tblOrdenes[[#This Row],[id_operacion]],tblEjecucion[id_operacion],tblEjecucion[costo_plan_total],0)-tblOrdenes[[#This Row],[costo_servicio]]))</f>
        <v/>
      </c>
      <c r="AK535" s="10">
        <f>IF(tblOrdenes[[#This Row],[orden]]="","",tblOrdenes[[#This Row],[costo_servicio]]+tblOrdenes[[#This Row],[costo_materiales]])</f>
        <v/>
      </c>
      <c r="AL535" s="6" t="n"/>
      <c r="AM535" s="6" t="n"/>
      <c r="AN535" s="6" t="n"/>
      <c r="AO535" s="3">
        <f>IF(tblOrdenes[[#This Row],[link_checklist]]="","",HYPERLINK(p_ruta_base_checklists&amp;tblOrdenes[[#This Row],[link_checklist]],"abrir"))</f>
        <v/>
      </c>
      <c r="AP535" s="6" t="n"/>
      <c r="AQ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3">
        <f>IF(tblOrdenes[[#This Row],[tipo_ot]]="","",_xlfn.XLOOKUP(tblOrdenes[[#This Row],[tipo_ot]],tblTiposOT[codigo],tblTiposOT[clasificacion],"sin_clasificar"))</f>
        <v/>
      </c>
      <c r="U536" s="3">
        <f>IF(tblOrdenes[[#This Row],[centro_costo]]="","",_xlfn.XLOOKUP(tblOrdenes[[#This Row],[centro_costo]],tblCECO[codigo],tblCECO[linea],"(sin catálogo)"))</f>
        <v/>
      </c>
      <c r="V536" s="3">
        <f>IF(tblOrdenes[[#This Row],[centro_costo]]="","",_xlfn.XLOOKUP(tblOrdenes[[#This Row],[centro_costo]],tblCECO[codigo],tblCECO[area],"(sin catálogo)"))</f>
        <v/>
      </c>
      <c r="W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3">
        <f>IF(tblOrdenes[[#This Row],[centro_costo]]="","",_xlfn.XLOOKUP(tblOrdenes[[#This Row],[centro_costo]],tblCECO[codigo],tblCECO[coordinador],"(sin catálogo)"))</f>
        <v/>
      </c>
      <c r="Y536" s="3">
        <f>IF(tblOrdenes[[#This Row],[puesto_trabajo]]="","",_xlfn.XLOOKUP(tblOrdenes[[#This Row],[puesto_trabajo]],tblPuestos[codigo],tblPuestos[especialidad],"(sin catálogo)"))</f>
        <v/>
      </c>
      <c r="Z536" s="3">
        <f>IF(tblOrdenes[[#This Row],[cod_actividad]]="","",_xlfn.XLOOKUP(tblOrdenes[[#This Row],[cod_actividad]],tblActividades[codigo],tblActividades[descripcion],"(sin catálogo)"))</f>
        <v/>
      </c>
      <c r="AA536" s="12">
        <f>IF(tblOrdenes[[#This Row],[fecha_inicio]]="","",TODAY()-tblOrdenes[[#This Row],[fecha_inicio]])</f>
        <v/>
      </c>
      <c r="AB5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3">
        <f>IF(tblOrdenes[[#This Row],[backlog_habiles]]="","",IF(tblOrdenes[[#This Row],[backlog_habiles]]&lt;0,"FUTURO",IF(tblOrdenes[[#This Row],[backlog_habiles]]&gt;p_dias_backlog_max,"BACKLOG","MES CORRIENTE")))</f>
        <v/>
      </c>
      <c r="AD536" s="3">
        <f>IF(tblOrdenes[[#This Row],[backlog_habiles]]="",FALSE,AND(tblOrdenes[[#This Row],[backlog_habiles]]&gt;p_dias_backlog_min,tblOrdenes[[#This Row],[backlog_habiles]]&lt;=p_dias_backlog_max))</f>
        <v/>
      </c>
      <c r="AE536" s="6" t="n"/>
      <c r="AF5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0">
        <f>IF(tblOrdenes[[#This Row],[orden]]="","",_xlfn.XLOOKUP(tblOrdenes[[#This Row],[id_operacion]],tblEjecucion[id_operacion],tblEjecucion[precio],0))</f>
        <v/>
      </c>
      <c r="AJ536" s="10">
        <f>IF(tblOrdenes[[#This Row],[orden]]="","",MAX(0,_xlfn.XLOOKUP(tblOrdenes[[#This Row],[id_operacion]],tblEjecucion[id_operacion],tblEjecucion[costo_plan_total],0)-tblOrdenes[[#This Row],[costo_servicio]]))</f>
        <v/>
      </c>
      <c r="AK536" s="10">
        <f>IF(tblOrdenes[[#This Row],[orden]]="","",tblOrdenes[[#This Row],[costo_servicio]]+tblOrdenes[[#This Row],[costo_materiales]])</f>
        <v/>
      </c>
      <c r="AL536" s="6" t="n"/>
      <c r="AM536" s="6" t="n"/>
      <c r="AN536" s="6" t="n"/>
      <c r="AO536" s="3">
        <f>IF(tblOrdenes[[#This Row],[link_checklist]]="","",HYPERLINK(p_ruta_base_checklists&amp;tblOrdenes[[#This Row],[link_checklist]],"abrir"))</f>
        <v/>
      </c>
      <c r="AP536" s="6" t="n"/>
      <c r="AQ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3">
        <f>IF(tblOrdenes[[#This Row],[tipo_ot]]="","",_xlfn.XLOOKUP(tblOrdenes[[#This Row],[tipo_ot]],tblTiposOT[codigo],tblTiposOT[clasificacion],"sin_clasificar"))</f>
        <v/>
      </c>
      <c r="U537" s="3">
        <f>IF(tblOrdenes[[#This Row],[centro_costo]]="","",_xlfn.XLOOKUP(tblOrdenes[[#This Row],[centro_costo]],tblCECO[codigo],tblCECO[linea],"(sin catálogo)"))</f>
        <v/>
      </c>
      <c r="V537" s="3">
        <f>IF(tblOrdenes[[#This Row],[centro_costo]]="","",_xlfn.XLOOKUP(tblOrdenes[[#This Row],[centro_costo]],tblCECO[codigo],tblCECO[area],"(sin catálogo)"))</f>
        <v/>
      </c>
      <c r="W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3">
        <f>IF(tblOrdenes[[#This Row],[centro_costo]]="","",_xlfn.XLOOKUP(tblOrdenes[[#This Row],[centro_costo]],tblCECO[codigo],tblCECO[coordinador],"(sin catálogo)"))</f>
        <v/>
      </c>
      <c r="Y537" s="3">
        <f>IF(tblOrdenes[[#This Row],[puesto_trabajo]]="","",_xlfn.XLOOKUP(tblOrdenes[[#This Row],[puesto_trabajo]],tblPuestos[codigo],tblPuestos[especialidad],"(sin catálogo)"))</f>
        <v/>
      </c>
      <c r="Z537" s="3">
        <f>IF(tblOrdenes[[#This Row],[cod_actividad]]="","",_xlfn.XLOOKUP(tblOrdenes[[#This Row],[cod_actividad]],tblActividades[codigo],tblActividades[descripcion],"(sin catálogo)"))</f>
        <v/>
      </c>
      <c r="AA537" s="12">
        <f>IF(tblOrdenes[[#This Row],[fecha_inicio]]="","",TODAY()-tblOrdenes[[#This Row],[fecha_inicio]])</f>
        <v/>
      </c>
      <c r="AB5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3">
        <f>IF(tblOrdenes[[#This Row],[backlog_habiles]]="","",IF(tblOrdenes[[#This Row],[backlog_habiles]]&lt;0,"FUTURO",IF(tblOrdenes[[#This Row],[backlog_habiles]]&gt;p_dias_backlog_max,"BACKLOG","MES CORRIENTE")))</f>
        <v/>
      </c>
      <c r="AD537" s="3">
        <f>IF(tblOrdenes[[#This Row],[backlog_habiles]]="",FALSE,AND(tblOrdenes[[#This Row],[backlog_habiles]]&gt;p_dias_backlog_min,tblOrdenes[[#This Row],[backlog_habiles]]&lt;=p_dias_backlog_max))</f>
        <v/>
      </c>
      <c r="AE537" s="6" t="n"/>
      <c r="AF5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0">
        <f>IF(tblOrdenes[[#This Row],[orden]]="","",_xlfn.XLOOKUP(tblOrdenes[[#This Row],[id_operacion]],tblEjecucion[id_operacion],tblEjecucion[precio],0))</f>
        <v/>
      </c>
      <c r="AJ537" s="10">
        <f>IF(tblOrdenes[[#This Row],[orden]]="","",MAX(0,_xlfn.XLOOKUP(tblOrdenes[[#This Row],[id_operacion]],tblEjecucion[id_operacion],tblEjecucion[costo_plan_total],0)-tblOrdenes[[#This Row],[costo_servicio]]))</f>
        <v/>
      </c>
      <c r="AK537" s="10">
        <f>IF(tblOrdenes[[#This Row],[orden]]="","",tblOrdenes[[#This Row],[costo_servicio]]+tblOrdenes[[#This Row],[costo_materiales]])</f>
        <v/>
      </c>
      <c r="AL537" s="6" t="n"/>
      <c r="AM537" s="6" t="n"/>
      <c r="AN537" s="6" t="n"/>
      <c r="AO537" s="3">
        <f>IF(tblOrdenes[[#This Row],[link_checklist]]="","",HYPERLINK(p_ruta_base_checklists&amp;tblOrdenes[[#This Row],[link_checklist]],"abrir"))</f>
        <v/>
      </c>
      <c r="AP537" s="6" t="n"/>
      <c r="AQ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3">
        <f>IF(tblOrdenes[[#This Row],[tipo_ot]]="","",_xlfn.XLOOKUP(tblOrdenes[[#This Row],[tipo_ot]],tblTiposOT[codigo],tblTiposOT[clasificacion],"sin_clasificar"))</f>
        <v/>
      </c>
      <c r="U538" s="3">
        <f>IF(tblOrdenes[[#This Row],[centro_costo]]="","",_xlfn.XLOOKUP(tblOrdenes[[#This Row],[centro_costo]],tblCECO[codigo],tblCECO[linea],"(sin catálogo)"))</f>
        <v/>
      </c>
      <c r="V538" s="3">
        <f>IF(tblOrdenes[[#This Row],[centro_costo]]="","",_xlfn.XLOOKUP(tblOrdenes[[#This Row],[centro_costo]],tblCECO[codigo],tblCECO[area],"(sin catálogo)"))</f>
        <v/>
      </c>
      <c r="W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3">
        <f>IF(tblOrdenes[[#This Row],[centro_costo]]="","",_xlfn.XLOOKUP(tblOrdenes[[#This Row],[centro_costo]],tblCECO[codigo],tblCECO[coordinador],"(sin catálogo)"))</f>
        <v/>
      </c>
      <c r="Y538" s="3">
        <f>IF(tblOrdenes[[#This Row],[puesto_trabajo]]="","",_xlfn.XLOOKUP(tblOrdenes[[#This Row],[puesto_trabajo]],tblPuestos[codigo],tblPuestos[especialidad],"(sin catálogo)"))</f>
        <v/>
      </c>
      <c r="Z538" s="3">
        <f>IF(tblOrdenes[[#This Row],[cod_actividad]]="","",_xlfn.XLOOKUP(tblOrdenes[[#This Row],[cod_actividad]],tblActividades[codigo],tblActividades[descripcion],"(sin catálogo)"))</f>
        <v/>
      </c>
      <c r="AA538" s="12">
        <f>IF(tblOrdenes[[#This Row],[fecha_inicio]]="","",TODAY()-tblOrdenes[[#This Row],[fecha_inicio]])</f>
        <v/>
      </c>
      <c r="AB5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3">
        <f>IF(tblOrdenes[[#This Row],[backlog_habiles]]="","",IF(tblOrdenes[[#This Row],[backlog_habiles]]&lt;0,"FUTURO",IF(tblOrdenes[[#This Row],[backlog_habiles]]&gt;p_dias_backlog_max,"BACKLOG","MES CORRIENTE")))</f>
        <v/>
      </c>
      <c r="AD538" s="3">
        <f>IF(tblOrdenes[[#This Row],[backlog_habiles]]="",FALSE,AND(tblOrdenes[[#This Row],[backlog_habiles]]&gt;p_dias_backlog_min,tblOrdenes[[#This Row],[backlog_habiles]]&lt;=p_dias_backlog_max))</f>
        <v/>
      </c>
      <c r="AE538" s="6" t="n"/>
      <c r="AF5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0">
        <f>IF(tblOrdenes[[#This Row],[orden]]="","",_xlfn.XLOOKUP(tblOrdenes[[#This Row],[id_operacion]],tblEjecucion[id_operacion],tblEjecucion[precio],0))</f>
        <v/>
      </c>
      <c r="AJ538" s="10">
        <f>IF(tblOrdenes[[#This Row],[orden]]="","",MAX(0,_xlfn.XLOOKUP(tblOrdenes[[#This Row],[id_operacion]],tblEjecucion[id_operacion],tblEjecucion[costo_plan_total],0)-tblOrdenes[[#This Row],[costo_servicio]]))</f>
        <v/>
      </c>
      <c r="AK538" s="10">
        <f>IF(tblOrdenes[[#This Row],[orden]]="","",tblOrdenes[[#This Row],[costo_servicio]]+tblOrdenes[[#This Row],[costo_materiales]])</f>
        <v/>
      </c>
      <c r="AL538" s="6" t="n"/>
      <c r="AM538" s="6" t="n"/>
      <c r="AN538" s="6" t="n"/>
      <c r="AO538" s="3">
        <f>IF(tblOrdenes[[#This Row],[link_checklist]]="","",HYPERLINK(p_ruta_base_checklists&amp;tblOrdenes[[#This Row],[link_checklist]],"abrir"))</f>
        <v/>
      </c>
      <c r="AP538" s="6" t="n"/>
      <c r="AQ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3">
        <f>IF(tblOrdenes[[#This Row],[tipo_ot]]="","",_xlfn.XLOOKUP(tblOrdenes[[#This Row],[tipo_ot]],tblTiposOT[codigo],tblTiposOT[clasificacion],"sin_clasificar"))</f>
        <v/>
      </c>
      <c r="U539" s="3">
        <f>IF(tblOrdenes[[#This Row],[centro_costo]]="","",_xlfn.XLOOKUP(tblOrdenes[[#This Row],[centro_costo]],tblCECO[codigo],tblCECO[linea],"(sin catálogo)"))</f>
        <v/>
      </c>
      <c r="V539" s="3">
        <f>IF(tblOrdenes[[#This Row],[centro_costo]]="","",_xlfn.XLOOKUP(tblOrdenes[[#This Row],[centro_costo]],tblCECO[codigo],tblCECO[area],"(sin catálogo)"))</f>
        <v/>
      </c>
      <c r="W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3">
        <f>IF(tblOrdenes[[#This Row],[centro_costo]]="","",_xlfn.XLOOKUP(tblOrdenes[[#This Row],[centro_costo]],tblCECO[codigo],tblCECO[coordinador],"(sin catálogo)"))</f>
        <v/>
      </c>
      <c r="Y539" s="3">
        <f>IF(tblOrdenes[[#This Row],[puesto_trabajo]]="","",_xlfn.XLOOKUP(tblOrdenes[[#This Row],[puesto_trabajo]],tblPuestos[codigo],tblPuestos[especialidad],"(sin catálogo)"))</f>
        <v/>
      </c>
      <c r="Z539" s="3">
        <f>IF(tblOrdenes[[#This Row],[cod_actividad]]="","",_xlfn.XLOOKUP(tblOrdenes[[#This Row],[cod_actividad]],tblActividades[codigo],tblActividades[descripcion],"(sin catálogo)"))</f>
        <v/>
      </c>
      <c r="AA539" s="12">
        <f>IF(tblOrdenes[[#This Row],[fecha_inicio]]="","",TODAY()-tblOrdenes[[#This Row],[fecha_inicio]])</f>
        <v/>
      </c>
      <c r="AB5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3">
        <f>IF(tblOrdenes[[#This Row],[backlog_habiles]]="","",IF(tblOrdenes[[#This Row],[backlog_habiles]]&lt;0,"FUTURO",IF(tblOrdenes[[#This Row],[backlog_habiles]]&gt;p_dias_backlog_max,"BACKLOG","MES CORRIENTE")))</f>
        <v/>
      </c>
      <c r="AD539" s="3">
        <f>IF(tblOrdenes[[#This Row],[backlog_habiles]]="",FALSE,AND(tblOrdenes[[#This Row],[backlog_habiles]]&gt;p_dias_backlog_min,tblOrdenes[[#This Row],[backlog_habiles]]&lt;=p_dias_backlog_max))</f>
        <v/>
      </c>
      <c r="AE539" s="6" t="n"/>
      <c r="AF5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0">
        <f>IF(tblOrdenes[[#This Row],[orden]]="","",_xlfn.XLOOKUP(tblOrdenes[[#This Row],[id_operacion]],tblEjecucion[id_operacion],tblEjecucion[precio],0))</f>
        <v/>
      </c>
      <c r="AJ539" s="10">
        <f>IF(tblOrdenes[[#This Row],[orden]]="","",MAX(0,_xlfn.XLOOKUP(tblOrdenes[[#This Row],[id_operacion]],tblEjecucion[id_operacion],tblEjecucion[costo_plan_total],0)-tblOrdenes[[#This Row],[costo_servicio]]))</f>
        <v/>
      </c>
      <c r="AK539" s="10">
        <f>IF(tblOrdenes[[#This Row],[orden]]="","",tblOrdenes[[#This Row],[costo_servicio]]+tblOrdenes[[#This Row],[costo_materiales]])</f>
        <v/>
      </c>
      <c r="AL539" s="6" t="n"/>
      <c r="AM539" s="6" t="n"/>
      <c r="AN539" s="6" t="n"/>
      <c r="AO539" s="3">
        <f>IF(tblOrdenes[[#This Row],[link_checklist]]="","",HYPERLINK(p_ruta_base_checklists&amp;tblOrdenes[[#This Row],[link_checklist]],"abrir"))</f>
        <v/>
      </c>
      <c r="AP539" s="6" t="n"/>
      <c r="AQ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3">
        <f>IF(tblOrdenes[[#This Row],[tipo_ot]]="","",_xlfn.XLOOKUP(tblOrdenes[[#This Row],[tipo_ot]],tblTiposOT[codigo],tblTiposOT[clasificacion],"sin_clasificar"))</f>
        <v/>
      </c>
      <c r="U540" s="3">
        <f>IF(tblOrdenes[[#This Row],[centro_costo]]="","",_xlfn.XLOOKUP(tblOrdenes[[#This Row],[centro_costo]],tblCECO[codigo],tblCECO[linea],"(sin catálogo)"))</f>
        <v/>
      </c>
      <c r="V540" s="3">
        <f>IF(tblOrdenes[[#This Row],[centro_costo]]="","",_xlfn.XLOOKUP(tblOrdenes[[#This Row],[centro_costo]],tblCECO[codigo],tblCECO[area],"(sin catálogo)"))</f>
        <v/>
      </c>
      <c r="W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3">
        <f>IF(tblOrdenes[[#This Row],[centro_costo]]="","",_xlfn.XLOOKUP(tblOrdenes[[#This Row],[centro_costo]],tblCECO[codigo],tblCECO[coordinador],"(sin catálogo)"))</f>
        <v/>
      </c>
      <c r="Y540" s="3">
        <f>IF(tblOrdenes[[#This Row],[puesto_trabajo]]="","",_xlfn.XLOOKUP(tblOrdenes[[#This Row],[puesto_trabajo]],tblPuestos[codigo],tblPuestos[especialidad],"(sin catálogo)"))</f>
        <v/>
      </c>
      <c r="Z540" s="3">
        <f>IF(tblOrdenes[[#This Row],[cod_actividad]]="","",_xlfn.XLOOKUP(tblOrdenes[[#This Row],[cod_actividad]],tblActividades[codigo],tblActividades[descripcion],"(sin catálogo)"))</f>
        <v/>
      </c>
      <c r="AA540" s="12">
        <f>IF(tblOrdenes[[#This Row],[fecha_inicio]]="","",TODAY()-tblOrdenes[[#This Row],[fecha_inicio]])</f>
        <v/>
      </c>
      <c r="AB5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3">
        <f>IF(tblOrdenes[[#This Row],[backlog_habiles]]="","",IF(tblOrdenes[[#This Row],[backlog_habiles]]&lt;0,"FUTURO",IF(tblOrdenes[[#This Row],[backlog_habiles]]&gt;p_dias_backlog_max,"BACKLOG","MES CORRIENTE")))</f>
        <v/>
      </c>
      <c r="AD540" s="3">
        <f>IF(tblOrdenes[[#This Row],[backlog_habiles]]="",FALSE,AND(tblOrdenes[[#This Row],[backlog_habiles]]&gt;p_dias_backlog_min,tblOrdenes[[#This Row],[backlog_habiles]]&lt;=p_dias_backlog_max))</f>
        <v/>
      </c>
      <c r="AE540" s="6" t="n"/>
      <c r="AF5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0">
        <f>IF(tblOrdenes[[#This Row],[orden]]="","",_xlfn.XLOOKUP(tblOrdenes[[#This Row],[id_operacion]],tblEjecucion[id_operacion],tblEjecucion[precio],0))</f>
        <v/>
      </c>
      <c r="AJ540" s="10">
        <f>IF(tblOrdenes[[#This Row],[orden]]="","",MAX(0,_xlfn.XLOOKUP(tblOrdenes[[#This Row],[id_operacion]],tblEjecucion[id_operacion],tblEjecucion[costo_plan_total],0)-tblOrdenes[[#This Row],[costo_servicio]]))</f>
        <v/>
      </c>
      <c r="AK540" s="10">
        <f>IF(tblOrdenes[[#This Row],[orden]]="","",tblOrdenes[[#This Row],[costo_servicio]]+tblOrdenes[[#This Row],[costo_materiales]])</f>
        <v/>
      </c>
      <c r="AL540" s="6" t="n"/>
      <c r="AM540" s="6" t="n"/>
      <c r="AN540" s="6" t="n"/>
      <c r="AO540" s="3">
        <f>IF(tblOrdenes[[#This Row],[link_checklist]]="","",HYPERLINK(p_ruta_base_checklists&amp;tblOrdenes[[#This Row],[link_checklist]],"abrir"))</f>
        <v/>
      </c>
      <c r="AP540" s="6" t="n"/>
      <c r="AQ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3">
        <f>IF(tblOrdenes[[#This Row],[tipo_ot]]="","",_xlfn.XLOOKUP(tblOrdenes[[#This Row],[tipo_ot]],tblTiposOT[codigo],tblTiposOT[clasificacion],"sin_clasificar"))</f>
        <v/>
      </c>
      <c r="U541" s="3">
        <f>IF(tblOrdenes[[#This Row],[centro_costo]]="","",_xlfn.XLOOKUP(tblOrdenes[[#This Row],[centro_costo]],tblCECO[codigo],tblCECO[linea],"(sin catálogo)"))</f>
        <v/>
      </c>
      <c r="V541" s="3">
        <f>IF(tblOrdenes[[#This Row],[centro_costo]]="","",_xlfn.XLOOKUP(tblOrdenes[[#This Row],[centro_costo]],tblCECO[codigo],tblCECO[area],"(sin catálogo)"))</f>
        <v/>
      </c>
      <c r="W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3">
        <f>IF(tblOrdenes[[#This Row],[centro_costo]]="","",_xlfn.XLOOKUP(tblOrdenes[[#This Row],[centro_costo]],tblCECO[codigo],tblCECO[coordinador],"(sin catálogo)"))</f>
        <v/>
      </c>
      <c r="Y541" s="3">
        <f>IF(tblOrdenes[[#This Row],[puesto_trabajo]]="","",_xlfn.XLOOKUP(tblOrdenes[[#This Row],[puesto_trabajo]],tblPuestos[codigo],tblPuestos[especialidad],"(sin catálogo)"))</f>
        <v/>
      </c>
      <c r="Z541" s="3">
        <f>IF(tblOrdenes[[#This Row],[cod_actividad]]="","",_xlfn.XLOOKUP(tblOrdenes[[#This Row],[cod_actividad]],tblActividades[codigo],tblActividades[descripcion],"(sin catálogo)"))</f>
        <v/>
      </c>
      <c r="AA541" s="12">
        <f>IF(tblOrdenes[[#This Row],[fecha_inicio]]="","",TODAY()-tblOrdenes[[#This Row],[fecha_inicio]])</f>
        <v/>
      </c>
      <c r="AB5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3">
        <f>IF(tblOrdenes[[#This Row],[backlog_habiles]]="","",IF(tblOrdenes[[#This Row],[backlog_habiles]]&lt;0,"FUTURO",IF(tblOrdenes[[#This Row],[backlog_habiles]]&gt;p_dias_backlog_max,"BACKLOG","MES CORRIENTE")))</f>
        <v/>
      </c>
      <c r="AD541" s="3">
        <f>IF(tblOrdenes[[#This Row],[backlog_habiles]]="",FALSE,AND(tblOrdenes[[#This Row],[backlog_habiles]]&gt;p_dias_backlog_min,tblOrdenes[[#This Row],[backlog_habiles]]&lt;=p_dias_backlog_max))</f>
        <v/>
      </c>
      <c r="AE541" s="6" t="n"/>
      <c r="AF5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0">
        <f>IF(tblOrdenes[[#This Row],[orden]]="","",_xlfn.XLOOKUP(tblOrdenes[[#This Row],[id_operacion]],tblEjecucion[id_operacion],tblEjecucion[precio],0))</f>
        <v/>
      </c>
      <c r="AJ541" s="10">
        <f>IF(tblOrdenes[[#This Row],[orden]]="","",MAX(0,_xlfn.XLOOKUP(tblOrdenes[[#This Row],[id_operacion]],tblEjecucion[id_operacion],tblEjecucion[costo_plan_total],0)-tblOrdenes[[#This Row],[costo_servicio]]))</f>
        <v/>
      </c>
      <c r="AK541" s="10">
        <f>IF(tblOrdenes[[#This Row],[orden]]="","",tblOrdenes[[#This Row],[costo_servicio]]+tblOrdenes[[#This Row],[costo_materiales]])</f>
        <v/>
      </c>
      <c r="AL541" s="6" t="n"/>
      <c r="AM541" s="6" t="n"/>
      <c r="AN541" s="6" t="n"/>
      <c r="AO541" s="3">
        <f>IF(tblOrdenes[[#This Row],[link_checklist]]="","",HYPERLINK(p_ruta_base_checklists&amp;tblOrdenes[[#This Row],[link_checklist]],"abrir"))</f>
        <v/>
      </c>
      <c r="AP541" s="6" t="n"/>
      <c r="AQ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3">
        <f>IF(tblOrdenes[[#This Row],[tipo_ot]]="","",_xlfn.XLOOKUP(tblOrdenes[[#This Row],[tipo_ot]],tblTiposOT[codigo],tblTiposOT[clasificacion],"sin_clasificar"))</f>
        <v/>
      </c>
      <c r="U542" s="3">
        <f>IF(tblOrdenes[[#This Row],[centro_costo]]="","",_xlfn.XLOOKUP(tblOrdenes[[#This Row],[centro_costo]],tblCECO[codigo],tblCECO[linea],"(sin catálogo)"))</f>
        <v/>
      </c>
      <c r="V542" s="3">
        <f>IF(tblOrdenes[[#This Row],[centro_costo]]="","",_xlfn.XLOOKUP(tblOrdenes[[#This Row],[centro_costo]],tblCECO[codigo],tblCECO[area],"(sin catálogo)"))</f>
        <v/>
      </c>
      <c r="W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3">
        <f>IF(tblOrdenes[[#This Row],[centro_costo]]="","",_xlfn.XLOOKUP(tblOrdenes[[#This Row],[centro_costo]],tblCECO[codigo],tblCECO[coordinador],"(sin catálogo)"))</f>
        <v/>
      </c>
      <c r="Y542" s="3">
        <f>IF(tblOrdenes[[#This Row],[puesto_trabajo]]="","",_xlfn.XLOOKUP(tblOrdenes[[#This Row],[puesto_trabajo]],tblPuestos[codigo],tblPuestos[especialidad],"(sin catálogo)"))</f>
        <v/>
      </c>
      <c r="Z542" s="3">
        <f>IF(tblOrdenes[[#This Row],[cod_actividad]]="","",_xlfn.XLOOKUP(tblOrdenes[[#This Row],[cod_actividad]],tblActividades[codigo],tblActividades[descripcion],"(sin catálogo)"))</f>
        <v/>
      </c>
      <c r="AA542" s="12">
        <f>IF(tblOrdenes[[#This Row],[fecha_inicio]]="","",TODAY()-tblOrdenes[[#This Row],[fecha_inicio]])</f>
        <v/>
      </c>
      <c r="AB5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3">
        <f>IF(tblOrdenes[[#This Row],[backlog_habiles]]="","",IF(tblOrdenes[[#This Row],[backlog_habiles]]&lt;0,"FUTURO",IF(tblOrdenes[[#This Row],[backlog_habiles]]&gt;p_dias_backlog_max,"BACKLOG","MES CORRIENTE")))</f>
        <v/>
      </c>
      <c r="AD542" s="3">
        <f>IF(tblOrdenes[[#This Row],[backlog_habiles]]="",FALSE,AND(tblOrdenes[[#This Row],[backlog_habiles]]&gt;p_dias_backlog_min,tblOrdenes[[#This Row],[backlog_habiles]]&lt;=p_dias_backlog_max))</f>
        <v/>
      </c>
      <c r="AE542" s="6" t="n"/>
      <c r="AF5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0">
        <f>IF(tblOrdenes[[#This Row],[orden]]="","",_xlfn.XLOOKUP(tblOrdenes[[#This Row],[id_operacion]],tblEjecucion[id_operacion],tblEjecucion[precio],0))</f>
        <v/>
      </c>
      <c r="AJ542" s="10">
        <f>IF(tblOrdenes[[#This Row],[orden]]="","",MAX(0,_xlfn.XLOOKUP(tblOrdenes[[#This Row],[id_operacion]],tblEjecucion[id_operacion],tblEjecucion[costo_plan_total],0)-tblOrdenes[[#This Row],[costo_servicio]]))</f>
        <v/>
      </c>
      <c r="AK542" s="10">
        <f>IF(tblOrdenes[[#This Row],[orden]]="","",tblOrdenes[[#This Row],[costo_servicio]]+tblOrdenes[[#This Row],[costo_materiales]])</f>
        <v/>
      </c>
      <c r="AL542" s="6" t="n"/>
      <c r="AM542" s="6" t="n"/>
      <c r="AN542" s="6" t="n"/>
      <c r="AO542" s="3">
        <f>IF(tblOrdenes[[#This Row],[link_checklist]]="","",HYPERLINK(p_ruta_base_checklists&amp;tblOrdenes[[#This Row],[link_checklist]],"abrir"))</f>
        <v/>
      </c>
      <c r="AP542" s="6" t="n"/>
      <c r="AQ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3">
        <f>IF(tblOrdenes[[#This Row],[tipo_ot]]="","",_xlfn.XLOOKUP(tblOrdenes[[#This Row],[tipo_ot]],tblTiposOT[codigo],tblTiposOT[clasificacion],"sin_clasificar"))</f>
        <v/>
      </c>
      <c r="U543" s="3">
        <f>IF(tblOrdenes[[#This Row],[centro_costo]]="","",_xlfn.XLOOKUP(tblOrdenes[[#This Row],[centro_costo]],tblCECO[codigo],tblCECO[linea],"(sin catálogo)"))</f>
        <v/>
      </c>
      <c r="V543" s="3">
        <f>IF(tblOrdenes[[#This Row],[centro_costo]]="","",_xlfn.XLOOKUP(tblOrdenes[[#This Row],[centro_costo]],tblCECO[codigo],tblCECO[area],"(sin catálogo)"))</f>
        <v/>
      </c>
      <c r="W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3">
        <f>IF(tblOrdenes[[#This Row],[centro_costo]]="","",_xlfn.XLOOKUP(tblOrdenes[[#This Row],[centro_costo]],tblCECO[codigo],tblCECO[coordinador],"(sin catálogo)"))</f>
        <v/>
      </c>
      <c r="Y543" s="3">
        <f>IF(tblOrdenes[[#This Row],[puesto_trabajo]]="","",_xlfn.XLOOKUP(tblOrdenes[[#This Row],[puesto_trabajo]],tblPuestos[codigo],tblPuestos[especialidad],"(sin catálogo)"))</f>
        <v/>
      </c>
      <c r="Z543" s="3">
        <f>IF(tblOrdenes[[#This Row],[cod_actividad]]="","",_xlfn.XLOOKUP(tblOrdenes[[#This Row],[cod_actividad]],tblActividades[codigo],tblActividades[descripcion],"(sin catálogo)"))</f>
        <v/>
      </c>
      <c r="AA543" s="12">
        <f>IF(tblOrdenes[[#This Row],[fecha_inicio]]="","",TODAY()-tblOrdenes[[#This Row],[fecha_inicio]])</f>
        <v/>
      </c>
      <c r="AB5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3">
        <f>IF(tblOrdenes[[#This Row],[backlog_habiles]]="","",IF(tblOrdenes[[#This Row],[backlog_habiles]]&lt;0,"FUTURO",IF(tblOrdenes[[#This Row],[backlog_habiles]]&gt;p_dias_backlog_max,"BACKLOG","MES CORRIENTE")))</f>
        <v/>
      </c>
      <c r="AD543" s="3">
        <f>IF(tblOrdenes[[#This Row],[backlog_habiles]]="",FALSE,AND(tblOrdenes[[#This Row],[backlog_habiles]]&gt;p_dias_backlog_min,tblOrdenes[[#This Row],[backlog_habiles]]&lt;=p_dias_backlog_max))</f>
        <v/>
      </c>
      <c r="AE543" s="6" t="n"/>
      <c r="AF5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0">
        <f>IF(tblOrdenes[[#This Row],[orden]]="","",_xlfn.XLOOKUP(tblOrdenes[[#This Row],[id_operacion]],tblEjecucion[id_operacion],tblEjecucion[precio],0))</f>
        <v/>
      </c>
      <c r="AJ543" s="10">
        <f>IF(tblOrdenes[[#This Row],[orden]]="","",MAX(0,_xlfn.XLOOKUP(tblOrdenes[[#This Row],[id_operacion]],tblEjecucion[id_operacion],tblEjecucion[costo_plan_total],0)-tblOrdenes[[#This Row],[costo_servicio]]))</f>
        <v/>
      </c>
      <c r="AK543" s="10">
        <f>IF(tblOrdenes[[#This Row],[orden]]="","",tblOrdenes[[#This Row],[costo_servicio]]+tblOrdenes[[#This Row],[costo_materiales]])</f>
        <v/>
      </c>
      <c r="AL543" s="6" t="n"/>
      <c r="AM543" s="6" t="n"/>
      <c r="AN543" s="6" t="n"/>
      <c r="AO543" s="3">
        <f>IF(tblOrdenes[[#This Row],[link_checklist]]="","",HYPERLINK(p_ruta_base_checklists&amp;tblOrdenes[[#This Row],[link_checklist]],"abrir"))</f>
        <v/>
      </c>
      <c r="AP543" s="6" t="n"/>
      <c r="AQ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3">
        <f>IF(tblOrdenes[[#This Row],[tipo_ot]]="","",_xlfn.XLOOKUP(tblOrdenes[[#This Row],[tipo_ot]],tblTiposOT[codigo],tblTiposOT[clasificacion],"sin_clasificar"))</f>
        <v/>
      </c>
      <c r="U544" s="3">
        <f>IF(tblOrdenes[[#This Row],[centro_costo]]="","",_xlfn.XLOOKUP(tblOrdenes[[#This Row],[centro_costo]],tblCECO[codigo],tblCECO[linea],"(sin catálogo)"))</f>
        <v/>
      </c>
      <c r="V544" s="3">
        <f>IF(tblOrdenes[[#This Row],[centro_costo]]="","",_xlfn.XLOOKUP(tblOrdenes[[#This Row],[centro_costo]],tblCECO[codigo],tblCECO[area],"(sin catálogo)"))</f>
        <v/>
      </c>
      <c r="W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3">
        <f>IF(tblOrdenes[[#This Row],[centro_costo]]="","",_xlfn.XLOOKUP(tblOrdenes[[#This Row],[centro_costo]],tblCECO[codigo],tblCECO[coordinador],"(sin catálogo)"))</f>
        <v/>
      </c>
      <c r="Y544" s="3">
        <f>IF(tblOrdenes[[#This Row],[puesto_trabajo]]="","",_xlfn.XLOOKUP(tblOrdenes[[#This Row],[puesto_trabajo]],tblPuestos[codigo],tblPuestos[especialidad],"(sin catálogo)"))</f>
        <v/>
      </c>
      <c r="Z544" s="3">
        <f>IF(tblOrdenes[[#This Row],[cod_actividad]]="","",_xlfn.XLOOKUP(tblOrdenes[[#This Row],[cod_actividad]],tblActividades[codigo],tblActividades[descripcion],"(sin catálogo)"))</f>
        <v/>
      </c>
      <c r="AA544" s="12">
        <f>IF(tblOrdenes[[#This Row],[fecha_inicio]]="","",TODAY()-tblOrdenes[[#This Row],[fecha_inicio]])</f>
        <v/>
      </c>
      <c r="AB5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3">
        <f>IF(tblOrdenes[[#This Row],[backlog_habiles]]="","",IF(tblOrdenes[[#This Row],[backlog_habiles]]&lt;0,"FUTURO",IF(tblOrdenes[[#This Row],[backlog_habiles]]&gt;p_dias_backlog_max,"BACKLOG","MES CORRIENTE")))</f>
        <v/>
      </c>
      <c r="AD544" s="3">
        <f>IF(tblOrdenes[[#This Row],[backlog_habiles]]="",FALSE,AND(tblOrdenes[[#This Row],[backlog_habiles]]&gt;p_dias_backlog_min,tblOrdenes[[#This Row],[backlog_habiles]]&lt;=p_dias_backlog_max))</f>
        <v/>
      </c>
      <c r="AE544" s="6" t="n"/>
      <c r="AF5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0">
        <f>IF(tblOrdenes[[#This Row],[orden]]="","",_xlfn.XLOOKUP(tblOrdenes[[#This Row],[id_operacion]],tblEjecucion[id_operacion],tblEjecucion[precio],0))</f>
        <v/>
      </c>
      <c r="AJ544" s="10">
        <f>IF(tblOrdenes[[#This Row],[orden]]="","",MAX(0,_xlfn.XLOOKUP(tblOrdenes[[#This Row],[id_operacion]],tblEjecucion[id_operacion],tblEjecucion[costo_plan_total],0)-tblOrdenes[[#This Row],[costo_servicio]]))</f>
        <v/>
      </c>
      <c r="AK544" s="10">
        <f>IF(tblOrdenes[[#This Row],[orden]]="","",tblOrdenes[[#This Row],[costo_servicio]]+tblOrdenes[[#This Row],[costo_materiales]])</f>
        <v/>
      </c>
      <c r="AL544" s="6" t="n"/>
      <c r="AM544" s="6" t="n"/>
      <c r="AN544" s="6" t="n"/>
      <c r="AO544" s="3">
        <f>IF(tblOrdenes[[#This Row],[link_checklist]]="","",HYPERLINK(p_ruta_base_checklists&amp;tblOrdenes[[#This Row],[link_checklist]],"abrir"))</f>
        <v/>
      </c>
      <c r="AP544" s="6" t="n"/>
      <c r="AQ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3">
        <f>IF(tblOrdenes[[#This Row],[tipo_ot]]="","",_xlfn.XLOOKUP(tblOrdenes[[#This Row],[tipo_ot]],tblTiposOT[codigo],tblTiposOT[clasificacion],"sin_clasificar"))</f>
        <v/>
      </c>
      <c r="U545" s="3">
        <f>IF(tblOrdenes[[#This Row],[centro_costo]]="","",_xlfn.XLOOKUP(tblOrdenes[[#This Row],[centro_costo]],tblCECO[codigo],tblCECO[linea],"(sin catálogo)"))</f>
        <v/>
      </c>
      <c r="V545" s="3">
        <f>IF(tblOrdenes[[#This Row],[centro_costo]]="","",_xlfn.XLOOKUP(tblOrdenes[[#This Row],[centro_costo]],tblCECO[codigo],tblCECO[area],"(sin catálogo)"))</f>
        <v/>
      </c>
      <c r="W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3">
        <f>IF(tblOrdenes[[#This Row],[centro_costo]]="","",_xlfn.XLOOKUP(tblOrdenes[[#This Row],[centro_costo]],tblCECO[codigo],tblCECO[coordinador],"(sin catálogo)"))</f>
        <v/>
      </c>
      <c r="Y545" s="3">
        <f>IF(tblOrdenes[[#This Row],[puesto_trabajo]]="","",_xlfn.XLOOKUP(tblOrdenes[[#This Row],[puesto_trabajo]],tblPuestos[codigo],tblPuestos[especialidad],"(sin catálogo)"))</f>
        <v/>
      </c>
      <c r="Z545" s="3">
        <f>IF(tblOrdenes[[#This Row],[cod_actividad]]="","",_xlfn.XLOOKUP(tblOrdenes[[#This Row],[cod_actividad]],tblActividades[codigo],tblActividades[descripcion],"(sin catálogo)"))</f>
        <v/>
      </c>
      <c r="AA545" s="12">
        <f>IF(tblOrdenes[[#This Row],[fecha_inicio]]="","",TODAY()-tblOrdenes[[#This Row],[fecha_inicio]])</f>
        <v/>
      </c>
      <c r="AB5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3">
        <f>IF(tblOrdenes[[#This Row],[backlog_habiles]]="","",IF(tblOrdenes[[#This Row],[backlog_habiles]]&lt;0,"FUTURO",IF(tblOrdenes[[#This Row],[backlog_habiles]]&gt;p_dias_backlog_max,"BACKLOG","MES CORRIENTE")))</f>
        <v/>
      </c>
      <c r="AD545" s="3">
        <f>IF(tblOrdenes[[#This Row],[backlog_habiles]]="",FALSE,AND(tblOrdenes[[#This Row],[backlog_habiles]]&gt;p_dias_backlog_min,tblOrdenes[[#This Row],[backlog_habiles]]&lt;=p_dias_backlog_max))</f>
        <v/>
      </c>
      <c r="AE545" s="6" t="n"/>
      <c r="AF5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0">
        <f>IF(tblOrdenes[[#This Row],[orden]]="","",_xlfn.XLOOKUP(tblOrdenes[[#This Row],[id_operacion]],tblEjecucion[id_operacion],tblEjecucion[precio],0))</f>
        <v/>
      </c>
      <c r="AJ545" s="10">
        <f>IF(tblOrdenes[[#This Row],[orden]]="","",MAX(0,_xlfn.XLOOKUP(tblOrdenes[[#This Row],[id_operacion]],tblEjecucion[id_operacion],tblEjecucion[costo_plan_total],0)-tblOrdenes[[#This Row],[costo_servicio]]))</f>
        <v/>
      </c>
      <c r="AK545" s="10">
        <f>IF(tblOrdenes[[#This Row],[orden]]="","",tblOrdenes[[#This Row],[costo_servicio]]+tblOrdenes[[#This Row],[costo_materiales]])</f>
        <v/>
      </c>
      <c r="AL545" s="6" t="n"/>
      <c r="AM545" s="6" t="n"/>
      <c r="AN545" s="6" t="n"/>
      <c r="AO545" s="3">
        <f>IF(tblOrdenes[[#This Row],[link_checklist]]="","",HYPERLINK(p_ruta_base_checklists&amp;tblOrdenes[[#This Row],[link_checklist]],"abrir"))</f>
        <v/>
      </c>
      <c r="AP545" s="6" t="n"/>
      <c r="AQ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3">
        <f>IF(tblOrdenes[[#This Row],[tipo_ot]]="","",_xlfn.XLOOKUP(tblOrdenes[[#This Row],[tipo_ot]],tblTiposOT[codigo],tblTiposOT[clasificacion],"sin_clasificar"))</f>
        <v/>
      </c>
      <c r="U546" s="3">
        <f>IF(tblOrdenes[[#This Row],[centro_costo]]="","",_xlfn.XLOOKUP(tblOrdenes[[#This Row],[centro_costo]],tblCECO[codigo],tblCECO[linea],"(sin catálogo)"))</f>
        <v/>
      </c>
      <c r="V546" s="3">
        <f>IF(tblOrdenes[[#This Row],[centro_costo]]="","",_xlfn.XLOOKUP(tblOrdenes[[#This Row],[centro_costo]],tblCECO[codigo],tblCECO[area],"(sin catálogo)"))</f>
        <v/>
      </c>
      <c r="W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3">
        <f>IF(tblOrdenes[[#This Row],[centro_costo]]="","",_xlfn.XLOOKUP(tblOrdenes[[#This Row],[centro_costo]],tblCECO[codigo],tblCECO[coordinador],"(sin catálogo)"))</f>
        <v/>
      </c>
      <c r="Y546" s="3">
        <f>IF(tblOrdenes[[#This Row],[puesto_trabajo]]="","",_xlfn.XLOOKUP(tblOrdenes[[#This Row],[puesto_trabajo]],tblPuestos[codigo],tblPuestos[especialidad],"(sin catálogo)"))</f>
        <v/>
      </c>
      <c r="Z546" s="3">
        <f>IF(tblOrdenes[[#This Row],[cod_actividad]]="","",_xlfn.XLOOKUP(tblOrdenes[[#This Row],[cod_actividad]],tblActividades[codigo],tblActividades[descripcion],"(sin catálogo)"))</f>
        <v/>
      </c>
      <c r="AA546" s="12">
        <f>IF(tblOrdenes[[#This Row],[fecha_inicio]]="","",TODAY()-tblOrdenes[[#This Row],[fecha_inicio]])</f>
        <v/>
      </c>
      <c r="AB5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3">
        <f>IF(tblOrdenes[[#This Row],[backlog_habiles]]="","",IF(tblOrdenes[[#This Row],[backlog_habiles]]&lt;0,"FUTURO",IF(tblOrdenes[[#This Row],[backlog_habiles]]&gt;p_dias_backlog_max,"BACKLOG","MES CORRIENTE")))</f>
        <v/>
      </c>
      <c r="AD546" s="3">
        <f>IF(tblOrdenes[[#This Row],[backlog_habiles]]="",FALSE,AND(tblOrdenes[[#This Row],[backlog_habiles]]&gt;p_dias_backlog_min,tblOrdenes[[#This Row],[backlog_habiles]]&lt;=p_dias_backlog_max))</f>
        <v/>
      </c>
      <c r="AE546" s="6" t="n"/>
      <c r="AF5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0">
        <f>IF(tblOrdenes[[#This Row],[orden]]="","",_xlfn.XLOOKUP(tblOrdenes[[#This Row],[id_operacion]],tblEjecucion[id_operacion],tblEjecucion[precio],0))</f>
        <v/>
      </c>
      <c r="AJ546" s="10">
        <f>IF(tblOrdenes[[#This Row],[orden]]="","",MAX(0,_xlfn.XLOOKUP(tblOrdenes[[#This Row],[id_operacion]],tblEjecucion[id_operacion],tblEjecucion[costo_plan_total],0)-tblOrdenes[[#This Row],[costo_servicio]]))</f>
        <v/>
      </c>
      <c r="AK546" s="10">
        <f>IF(tblOrdenes[[#This Row],[orden]]="","",tblOrdenes[[#This Row],[costo_servicio]]+tblOrdenes[[#This Row],[costo_materiales]])</f>
        <v/>
      </c>
      <c r="AL546" s="6" t="n"/>
      <c r="AM546" s="6" t="n"/>
      <c r="AN546" s="6" t="n"/>
      <c r="AO546" s="3">
        <f>IF(tblOrdenes[[#This Row],[link_checklist]]="","",HYPERLINK(p_ruta_base_checklists&amp;tblOrdenes[[#This Row],[link_checklist]],"abrir"))</f>
        <v/>
      </c>
      <c r="AP546" s="6" t="n"/>
      <c r="AQ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3">
        <f>IF(tblOrdenes[[#This Row],[tipo_ot]]="","",_xlfn.XLOOKUP(tblOrdenes[[#This Row],[tipo_ot]],tblTiposOT[codigo],tblTiposOT[clasificacion],"sin_clasificar"))</f>
        <v/>
      </c>
      <c r="U547" s="3">
        <f>IF(tblOrdenes[[#This Row],[centro_costo]]="","",_xlfn.XLOOKUP(tblOrdenes[[#This Row],[centro_costo]],tblCECO[codigo],tblCECO[linea],"(sin catálogo)"))</f>
        <v/>
      </c>
      <c r="V547" s="3">
        <f>IF(tblOrdenes[[#This Row],[centro_costo]]="","",_xlfn.XLOOKUP(tblOrdenes[[#This Row],[centro_costo]],tblCECO[codigo],tblCECO[area],"(sin catálogo)"))</f>
        <v/>
      </c>
      <c r="W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3">
        <f>IF(tblOrdenes[[#This Row],[centro_costo]]="","",_xlfn.XLOOKUP(tblOrdenes[[#This Row],[centro_costo]],tblCECO[codigo],tblCECO[coordinador],"(sin catálogo)"))</f>
        <v/>
      </c>
      <c r="Y547" s="3">
        <f>IF(tblOrdenes[[#This Row],[puesto_trabajo]]="","",_xlfn.XLOOKUP(tblOrdenes[[#This Row],[puesto_trabajo]],tblPuestos[codigo],tblPuestos[especialidad],"(sin catálogo)"))</f>
        <v/>
      </c>
      <c r="Z547" s="3">
        <f>IF(tblOrdenes[[#This Row],[cod_actividad]]="","",_xlfn.XLOOKUP(tblOrdenes[[#This Row],[cod_actividad]],tblActividades[codigo],tblActividades[descripcion],"(sin catálogo)"))</f>
        <v/>
      </c>
      <c r="AA547" s="12">
        <f>IF(tblOrdenes[[#This Row],[fecha_inicio]]="","",TODAY()-tblOrdenes[[#This Row],[fecha_inicio]])</f>
        <v/>
      </c>
      <c r="AB5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3">
        <f>IF(tblOrdenes[[#This Row],[backlog_habiles]]="","",IF(tblOrdenes[[#This Row],[backlog_habiles]]&lt;0,"FUTURO",IF(tblOrdenes[[#This Row],[backlog_habiles]]&gt;p_dias_backlog_max,"BACKLOG","MES CORRIENTE")))</f>
        <v/>
      </c>
      <c r="AD547" s="3">
        <f>IF(tblOrdenes[[#This Row],[backlog_habiles]]="",FALSE,AND(tblOrdenes[[#This Row],[backlog_habiles]]&gt;p_dias_backlog_min,tblOrdenes[[#This Row],[backlog_habiles]]&lt;=p_dias_backlog_max))</f>
        <v/>
      </c>
      <c r="AE547" s="6" t="n"/>
      <c r="AF5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0">
        <f>IF(tblOrdenes[[#This Row],[orden]]="","",_xlfn.XLOOKUP(tblOrdenes[[#This Row],[id_operacion]],tblEjecucion[id_operacion],tblEjecucion[precio],0))</f>
        <v/>
      </c>
      <c r="AJ547" s="10">
        <f>IF(tblOrdenes[[#This Row],[orden]]="","",MAX(0,_xlfn.XLOOKUP(tblOrdenes[[#This Row],[id_operacion]],tblEjecucion[id_operacion],tblEjecucion[costo_plan_total],0)-tblOrdenes[[#This Row],[costo_servicio]]))</f>
        <v/>
      </c>
      <c r="AK547" s="10">
        <f>IF(tblOrdenes[[#This Row],[orden]]="","",tblOrdenes[[#This Row],[costo_servicio]]+tblOrdenes[[#This Row],[costo_materiales]])</f>
        <v/>
      </c>
      <c r="AL547" s="6" t="n"/>
      <c r="AM547" s="6" t="n"/>
      <c r="AN547" s="6" t="n"/>
      <c r="AO547" s="3">
        <f>IF(tblOrdenes[[#This Row],[link_checklist]]="","",HYPERLINK(p_ruta_base_checklists&amp;tblOrdenes[[#This Row],[link_checklist]],"abrir"))</f>
        <v/>
      </c>
      <c r="AP547" s="6" t="n"/>
      <c r="AQ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3">
        <f>IF(tblOrdenes[[#This Row],[tipo_ot]]="","",_xlfn.XLOOKUP(tblOrdenes[[#This Row],[tipo_ot]],tblTiposOT[codigo],tblTiposOT[clasificacion],"sin_clasificar"))</f>
        <v/>
      </c>
      <c r="U548" s="3">
        <f>IF(tblOrdenes[[#This Row],[centro_costo]]="","",_xlfn.XLOOKUP(tblOrdenes[[#This Row],[centro_costo]],tblCECO[codigo],tblCECO[linea],"(sin catálogo)"))</f>
        <v/>
      </c>
      <c r="V548" s="3">
        <f>IF(tblOrdenes[[#This Row],[centro_costo]]="","",_xlfn.XLOOKUP(tblOrdenes[[#This Row],[centro_costo]],tblCECO[codigo],tblCECO[area],"(sin catálogo)"))</f>
        <v/>
      </c>
      <c r="W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3">
        <f>IF(tblOrdenes[[#This Row],[centro_costo]]="","",_xlfn.XLOOKUP(tblOrdenes[[#This Row],[centro_costo]],tblCECO[codigo],tblCECO[coordinador],"(sin catálogo)"))</f>
        <v/>
      </c>
      <c r="Y548" s="3">
        <f>IF(tblOrdenes[[#This Row],[puesto_trabajo]]="","",_xlfn.XLOOKUP(tblOrdenes[[#This Row],[puesto_trabajo]],tblPuestos[codigo],tblPuestos[especialidad],"(sin catálogo)"))</f>
        <v/>
      </c>
      <c r="Z548" s="3">
        <f>IF(tblOrdenes[[#This Row],[cod_actividad]]="","",_xlfn.XLOOKUP(tblOrdenes[[#This Row],[cod_actividad]],tblActividades[codigo],tblActividades[descripcion],"(sin catálogo)"))</f>
        <v/>
      </c>
      <c r="AA548" s="12">
        <f>IF(tblOrdenes[[#This Row],[fecha_inicio]]="","",TODAY()-tblOrdenes[[#This Row],[fecha_inicio]])</f>
        <v/>
      </c>
      <c r="AB5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3">
        <f>IF(tblOrdenes[[#This Row],[backlog_habiles]]="","",IF(tblOrdenes[[#This Row],[backlog_habiles]]&lt;0,"FUTURO",IF(tblOrdenes[[#This Row],[backlog_habiles]]&gt;p_dias_backlog_max,"BACKLOG","MES CORRIENTE")))</f>
        <v/>
      </c>
      <c r="AD548" s="3">
        <f>IF(tblOrdenes[[#This Row],[backlog_habiles]]="",FALSE,AND(tblOrdenes[[#This Row],[backlog_habiles]]&gt;p_dias_backlog_min,tblOrdenes[[#This Row],[backlog_habiles]]&lt;=p_dias_backlog_max))</f>
        <v/>
      </c>
      <c r="AE548" s="6" t="n"/>
      <c r="AF5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0">
        <f>IF(tblOrdenes[[#This Row],[orden]]="","",_xlfn.XLOOKUP(tblOrdenes[[#This Row],[id_operacion]],tblEjecucion[id_operacion],tblEjecucion[precio],0))</f>
        <v/>
      </c>
      <c r="AJ548" s="10">
        <f>IF(tblOrdenes[[#This Row],[orden]]="","",MAX(0,_xlfn.XLOOKUP(tblOrdenes[[#This Row],[id_operacion]],tblEjecucion[id_operacion],tblEjecucion[costo_plan_total],0)-tblOrdenes[[#This Row],[costo_servicio]]))</f>
        <v/>
      </c>
      <c r="AK548" s="10">
        <f>IF(tblOrdenes[[#This Row],[orden]]="","",tblOrdenes[[#This Row],[costo_servicio]]+tblOrdenes[[#This Row],[costo_materiales]])</f>
        <v/>
      </c>
      <c r="AL548" s="6" t="n"/>
      <c r="AM548" s="6" t="n"/>
      <c r="AN548" s="6" t="n"/>
      <c r="AO548" s="3">
        <f>IF(tblOrdenes[[#This Row],[link_checklist]]="","",HYPERLINK(p_ruta_base_checklists&amp;tblOrdenes[[#This Row],[link_checklist]],"abrir"))</f>
        <v/>
      </c>
      <c r="AP548" s="6" t="n"/>
      <c r="AQ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3">
        <f>IF(tblOrdenes[[#This Row],[tipo_ot]]="","",_xlfn.XLOOKUP(tblOrdenes[[#This Row],[tipo_ot]],tblTiposOT[codigo],tblTiposOT[clasificacion],"sin_clasificar"))</f>
        <v/>
      </c>
      <c r="U549" s="3">
        <f>IF(tblOrdenes[[#This Row],[centro_costo]]="","",_xlfn.XLOOKUP(tblOrdenes[[#This Row],[centro_costo]],tblCECO[codigo],tblCECO[linea],"(sin catálogo)"))</f>
        <v/>
      </c>
      <c r="V549" s="3">
        <f>IF(tblOrdenes[[#This Row],[centro_costo]]="","",_xlfn.XLOOKUP(tblOrdenes[[#This Row],[centro_costo]],tblCECO[codigo],tblCECO[area],"(sin catálogo)"))</f>
        <v/>
      </c>
      <c r="W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3">
        <f>IF(tblOrdenes[[#This Row],[centro_costo]]="","",_xlfn.XLOOKUP(tblOrdenes[[#This Row],[centro_costo]],tblCECO[codigo],tblCECO[coordinador],"(sin catálogo)"))</f>
        <v/>
      </c>
      <c r="Y549" s="3">
        <f>IF(tblOrdenes[[#This Row],[puesto_trabajo]]="","",_xlfn.XLOOKUP(tblOrdenes[[#This Row],[puesto_trabajo]],tblPuestos[codigo],tblPuestos[especialidad],"(sin catálogo)"))</f>
        <v/>
      </c>
      <c r="Z549" s="3">
        <f>IF(tblOrdenes[[#This Row],[cod_actividad]]="","",_xlfn.XLOOKUP(tblOrdenes[[#This Row],[cod_actividad]],tblActividades[codigo],tblActividades[descripcion],"(sin catálogo)"))</f>
        <v/>
      </c>
      <c r="AA549" s="12">
        <f>IF(tblOrdenes[[#This Row],[fecha_inicio]]="","",TODAY()-tblOrdenes[[#This Row],[fecha_inicio]])</f>
        <v/>
      </c>
      <c r="AB5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3">
        <f>IF(tblOrdenes[[#This Row],[backlog_habiles]]="","",IF(tblOrdenes[[#This Row],[backlog_habiles]]&lt;0,"FUTURO",IF(tblOrdenes[[#This Row],[backlog_habiles]]&gt;p_dias_backlog_max,"BACKLOG","MES CORRIENTE")))</f>
        <v/>
      </c>
      <c r="AD549" s="3">
        <f>IF(tblOrdenes[[#This Row],[backlog_habiles]]="",FALSE,AND(tblOrdenes[[#This Row],[backlog_habiles]]&gt;p_dias_backlog_min,tblOrdenes[[#This Row],[backlog_habiles]]&lt;=p_dias_backlog_max))</f>
        <v/>
      </c>
      <c r="AE549" s="6" t="n"/>
      <c r="AF5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0">
        <f>IF(tblOrdenes[[#This Row],[orden]]="","",_xlfn.XLOOKUP(tblOrdenes[[#This Row],[id_operacion]],tblEjecucion[id_operacion],tblEjecucion[precio],0))</f>
        <v/>
      </c>
      <c r="AJ549" s="10">
        <f>IF(tblOrdenes[[#This Row],[orden]]="","",MAX(0,_xlfn.XLOOKUP(tblOrdenes[[#This Row],[id_operacion]],tblEjecucion[id_operacion],tblEjecucion[costo_plan_total],0)-tblOrdenes[[#This Row],[costo_servicio]]))</f>
        <v/>
      </c>
      <c r="AK549" s="10">
        <f>IF(tblOrdenes[[#This Row],[orden]]="","",tblOrdenes[[#This Row],[costo_servicio]]+tblOrdenes[[#This Row],[costo_materiales]])</f>
        <v/>
      </c>
      <c r="AL549" s="6" t="n"/>
      <c r="AM549" s="6" t="n"/>
      <c r="AN549" s="6" t="n"/>
      <c r="AO549" s="3">
        <f>IF(tblOrdenes[[#This Row],[link_checklist]]="","",HYPERLINK(p_ruta_base_checklists&amp;tblOrdenes[[#This Row],[link_checklist]],"abrir"))</f>
        <v/>
      </c>
      <c r="AP549" s="6" t="n"/>
      <c r="AQ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3">
        <f>IF(tblOrdenes[[#This Row],[tipo_ot]]="","",_xlfn.XLOOKUP(tblOrdenes[[#This Row],[tipo_ot]],tblTiposOT[codigo],tblTiposOT[clasificacion],"sin_clasificar"))</f>
        <v/>
      </c>
      <c r="U550" s="3">
        <f>IF(tblOrdenes[[#This Row],[centro_costo]]="","",_xlfn.XLOOKUP(tblOrdenes[[#This Row],[centro_costo]],tblCECO[codigo],tblCECO[linea],"(sin catálogo)"))</f>
        <v/>
      </c>
      <c r="V550" s="3">
        <f>IF(tblOrdenes[[#This Row],[centro_costo]]="","",_xlfn.XLOOKUP(tblOrdenes[[#This Row],[centro_costo]],tblCECO[codigo],tblCECO[area],"(sin catálogo)"))</f>
        <v/>
      </c>
      <c r="W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3">
        <f>IF(tblOrdenes[[#This Row],[centro_costo]]="","",_xlfn.XLOOKUP(tblOrdenes[[#This Row],[centro_costo]],tblCECO[codigo],tblCECO[coordinador],"(sin catálogo)"))</f>
        <v/>
      </c>
      <c r="Y550" s="3">
        <f>IF(tblOrdenes[[#This Row],[puesto_trabajo]]="","",_xlfn.XLOOKUP(tblOrdenes[[#This Row],[puesto_trabajo]],tblPuestos[codigo],tblPuestos[especialidad],"(sin catálogo)"))</f>
        <v/>
      </c>
      <c r="Z550" s="3">
        <f>IF(tblOrdenes[[#This Row],[cod_actividad]]="","",_xlfn.XLOOKUP(tblOrdenes[[#This Row],[cod_actividad]],tblActividades[codigo],tblActividades[descripcion],"(sin catálogo)"))</f>
        <v/>
      </c>
      <c r="AA550" s="12">
        <f>IF(tblOrdenes[[#This Row],[fecha_inicio]]="","",TODAY()-tblOrdenes[[#This Row],[fecha_inicio]])</f>
        <v/>
      </c>
      <c r="AB5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3">
        <f>IF(tblOrdenes[[#This Row],[backlog_habiles]]="","",IF(tblOrdenes[[#This Row],[backlog_habiles]]&lt;0,"FUTURO",IF(tblOrdenes[[#This Row],[backlog_habiles]]&gt;p_dias_backlog_max,"BACKLOG","MES CORRIENTE")))</f>
        <v/>
      </c>
      <c r="AD550" s="3">
        <f>IF(tblOrdenes[[#This Row],[backlog_habiles]]="",FALSE,AND(tblOrdenes[[#This Row],[backlog_habiles]]&gt;p_dias_backlog_min,tblOrdenes[[#This Row],[backlog_habiles]]&lt;=p_dias_backlog_max))</f>
        <v/>
      </c>
      <c r="AE550" s="6" t="n"/>
      <c r="AF5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0">
        <f>IF(tblOrdenes[[#This Row],[orden]]="","",_xlfn.XLOOKUP(tblOrdenes[[#This Row],[id_operacion]],tblEjecucion[id_operacion],tblEjecucion[precio],0))</f>
        <v/>
      </c>
      <c r="AJ550" s="10">
        <f>IF(tblOrdenes[[#This Row],[orden]]="","",MAX(0,_xlfn.XLOOKUP(tblOrdenes[[#This Row],[id_operacion]],tblEjecucion[id_operacion],tblEjecucion[costo_plan_total],0)-tblOrdenes[[#This Row],[costo_servicio]]))</f>
        <v/>
      </c>
      <c r="AK550" s="10">
        <f>IF(tblOrdenes[[#This Row],[orden]]="","",tblOrdenes[[#This Row],[costo_servicio]]+tblOrdenes[[#This Row],[costo_materiales]])</f>
        <v/>
      </c>
      <c r="AL550" s="6" t="n"/>
      <c r="AM550" s="6" t="n"/>
      <c r="AN550" s="6" t="n"/>
      <c r="AO550" s="3">
        <f>IF(tblOrdenes[[#This Row],[link_checklist]]="","",HYPERLINK(p_ruta_base_checklists&amp;tblOrdenes[[#This Row],[link_checklist]],"abrir"))</f>
        <v/>
      </c>
      <c r="AP550" s="6" t="n"/>
      <c r="AQ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3">
        <f>IF(tblOrdenes[[#This Row],[tipo_ot]]="","",_xlfn.XLOOKUP(tblOrdenes[[#This Row],[tipo_ot]],tblTiposOT[codigo],tblTiposOT[clasificacion],"sin_clasificar"))</f>
        <v/>
      </c>
      <c r="U551" s="3">
        <f>IF(tblOrdenes[[#This Row],[centro_costo]]="","",_xlfn.XLOOKUP(tblOrdenes[[#This Row],[centro_costo]],tblCECO[codigo],tblCECO[linea],"(sin catálogo)"))</f>
        <v/>
      </c>
      <c r="V551" s="3">
        <f>IF(tblOrdenes[[#This Row],[centro_costo]]="","",_xlfn.XLOOKUP(tblOrdenes[[#This Row],[centro_costo]],tblCECO[codigo],tblCECO[area],"(sin catálogo)"))</f>
        <v/>
      </c>
      <c r="W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3">
        <f>IF(tblOrdenes[[#This Row],[centro_costo]]="","",_xlfn.XLOOKUP(tblOrdenes[[#This Row],[centro_costo]],tblCECO[codigo],tblCECO[coordinador],"(sin catálogo)"))</f>
        <v/>
      </c>
      <c r="Y551" s="3">
        <f>IF(tblOrdenes[[#This Row],[puesto_trabajo]]="","",_xlfn.XLOOKUP(tblOrdenes[[#This Row],[puesto_trabajo]],tblPuestos[codigo],tblPuestos[especialidad],"(sin catálogo)"))</f>
        <v/>
      </c>
      <c r="Z551" s="3">
        <f>IF(tblOrdenes[[#This Row],[cod_actividad]]="","",_xlfn.XLOOKUP(tblOrdenes[[#This Row],[cod_actividad]],tblActividades[codigo],tblActividades[descripcion],"(sin catálogo)"))</f>
        <v/>
      </c>
      <c r="AA551" s="12">
        <f>IF(tblOrdenes[[#This Row],[fecha_inicio]]="","",TODAY()-tblOrdenes[[#This Row],[fecha_inicio]])</f>
        <v/>
      </c>
      <c r="AB5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3">
        <f>IF(tblOrdenes[[#This Row],[backlog_habiles]]="","",IF(tblOrdenes[[#This Row],[backlog_habiles]]&lt;0,"FUTURO",IF(tblOrdenes[[#This Row],[backlog_habiles]]&gt;p_dias_backlog_max,"BACKLOG","MES CORRIENTE")))</f>
        <v/>
      </c>
      <c r="AD551" s="3">
        <f>IF(tblOrdenes[[#This Row],[backlog_habiles]]="",FALSE,AND(tblOrdenes[[#This Row],[backlog_habiles]]&gt;p_dias_backlog_min,tblOrdenes[[#This Row],[backlog_habiles]]&lt;=p_dias_backlog_max))</f>
        <v/>
      </c>
      <c r="AE551" s="6" t="n"/>
      <c r="AF5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0">
        <f>IF(tblOrdenes[[#This Row],[orden]]="","",_xlfn.XLOOKUP(tblOrdenes[[#This Row],[id_operacion]],tblEjecucion[id_operacion],tblEjecucion[precio],0))</f>
        <v/>
      </c>
      <c r="AJ551" s="10">
        <f>IF(tblOrdenes[[#This Row],[orden]]="","",MAX(0,_xlfn.XLOOKUP(tblOrdenes[[#This Row],[id_operacion]],tblEjecucion[id_operacion],tblEjecucion[costo_plan_total],0)-tblOrdenes[[#This Row],[costo_servicio]]))</f>
        <v/>
      </c>
      <c r="AK551" s="10">
        <f>IF(tblOrdenes[[#This Row],[orden]]="","",tblOrdenes[[#This Row],[costo_servicio]]+tblOrdenes[[#This Row],[costo_materiales]])</f>
        <v/>
      </c>
      <c r="AL551" s="6" t="n"/>
      <c r="AM551" s="6" t="n"/>
      <c r="AN551" s="6" t="n"/>
      <c r="AO551" s="3">
        <f>IF(tblOrdenes[[#This Row],[link_checklist]]="","",HYPERLINK(p_ruta_base_checklists&amp;tblOrdenes[[#This Row],[link_checklist]],"abrir"))</f>
        <v/>
      </c>
      <c r="AP551" s="6" t="n"/>
      <c r="AQ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3">
        <f>IF(tblOrdenes[[#This Row],[tipo_ot]]="","",_xlfn.XLOOKUP(tblOrdenes[[#This Row],[tipo_ot]],tblTiposOT[codigo],tblTiposOT[clasificacion],"sin_clasificar"))</f>
        <v/>
      </c>
      <c r="U552" s="3">
        <f>IF(tblOrdenes[[#This Row],[centro_costo]]="","",_xlfn.XLOOKUP(tblOrdenes[[#This Row],[centro_costo]],tblCECO[codigo],tblCECO[linea],"(sin catálogo)"))</f>
        <v/>
      </c>
      <c r="V552" s="3">
        <f>IF(tblOrdenes[[#This Row],[centro_costo]]="","",_xlfn.XLOOKUP(tblOrdenes[[#This Row],[centro_costo]],tblCECO[codigo],tblCECO[area],"(sin catálogo)"))</f>
        <v/>
      </c>
      <c r="W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3">
        <f>IF(tblOrdenes[[#This Row],[centro_costo]]="","",_xlfn.XLOOKUP(tblOrdenes[[#This Row],[centro_costo]],tblCECO[codigo],tblCECO[coordinador],"(sin catálogo)"))</f>
        <v/>
      </c>
      <c r="Y552" s="3">
        <f>IF(tblOrdenes[[#This Row],[puesto_trabajo]]="","",_xlfn.XLOOKUP(tblOrdenes[[#This Row],[puesto_trabajo]],tblPuestos[codigo],tblPuestos[especialidad],"(sin catálogo)"))</f>
        <v/>
      </c>
      <c r="Z552" s="3">
        <f>IF(tblOrdenes[[#This Row],[cod_actividad]]="","",_xlfn.XLOOKUP(tblOrdenes[[#This Row],[cod_actividad]],tblActividades[codigo],tblActividades[descripcion],"(sin catálogo)"))</f>
        <v/>
      </c>
      <c r="AA552" s="12">
        <f>IF(tblOrdenes[[#This Row],[fecha_inicio]]="","",TODAY()-tblOrdenes[[#This Row],[fecha_inicio]])</f>
        <v/>
      </c>
      <c r="AB5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3">
        <f>IF(tblOrdenes[[#This Row],[backlog_habiles]]="","",IF(tblOrdenes[[#This Row],[backlog_habiles]]&lt;0,"FUTURO",IF(tblOrdenes[[#This Row],[backlog_habiles]]&gt;p_dias_backlog_max,"BACKLOG","MES CORRIENTE")))</f>
        <v/>
      </c>
      <c r="AD552" s="3">
        <f>IF(tblOrdenes[[#This Row],[backlog_habiles]]="",FALSE,AND(tblOrdenes[[#This Row],[backlog_habiles]]&gt;p_dias_backlog_min,tblOrdenes[[#This Row],[backlog_habiles]]&lt;=p_dias_backlog_max))</f>
        <v/>
      </c>
      <c r="AE552" s="6" t="n"/>
      <c r="AF5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0">
        <f>IF(tblOrdenes[[#This Row],[orden]]="","",_xlfn.XLOOKUP(tblOrdenes[[#This Row],[id_operacion]],tblEjecucion[id_operacion],tblEjecucion[precio],0))</f>
        <v/>
      </c>
      <c r="AJ552" s="10">
        <f>IF(tblOrdenes[[#This Row],[orden]]="","",MAX(0,_xlfn.XLOOKUP(tblOrdenes[[#This Row],[id_operacion]],tblEjecucion[id_operacion],tblEjecucion[costo_plan_total],0)-tblOrdenes[[#This Row],[costo_servicio]]))</f>
        <v/>
      </c>
      <c r="AK552" s="10">
        <f>IF(tblOrdenes[[#This Row],[orden]]="","",tblOrdenes[[#This Row],[costo_servicio]]+tblOrdenes[[#This Row],[costo_materiales]])</f>
        <v/>
      </c>
      <c r="AL552" s="6" t="n"/>
      <c r="AM552" s="6" t="n"/>
      <c r="AN552" s="6" t="n"/>
      <c r="AO552" s="3">
        <f>IF(tblOrdenes[[#This Row],[link_checklist]]="","",HYPERLINK(p_ruta_base_checklists&amp;tblOrdenes[[#This Row],[link_checklist]],"abrir"))</f>
        <v/>
      </c>
      <c r="AP552" s="6" t="n"/>
      <c r="AQ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3">
        <f>IF(tblOrdenes[[#This Row],[tipo_ot]]="","",_xlfn.XLOOKUP(tblOrdenes[[#This Row],[tipo_ot]],tblTiposOT[codigo],tblTiposOT[clasificacion],"sin_clasificar"))</f>
        <v/>
      </c>
      <c r="U553" s="3">
        <f>IF(tblOrdenes[[#This Row],[centro_costo]]="","",_xlfn.XLOOKUP(tblOrdenes[[#This Row],[centro_costo]],tblCECO[codigo],tblCECO[linea],"(sin catálogo)"))</f>
        <v/>
      </c>
      <c r="V553" s="3">
        <f>IF(tblOrdenes[[#This Row],[centro_costo]]="","",_xlfn.XLOOKUP(tblOrdenes[[#This Row],[centro_costo]],tblCECO[codigo],tblCECO[area],"(sin catálogo)"))</f>
        <v/>
      </c>
      <c r="W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3">
        <f>IF(tblOrdenes[[#This Row],[centro_costo]]="","",_xlfn.XLOOKUP(tblOrdenes[[#This Row],[centro_costo]],tblCECO[codigo],tblCECO[coordinador],"(sin catálogo)"))</f>
        <v/>
      </c>
      <c r="Y553" s="3">
        <f>IF(tblOrdenes[[#This Row],[puesto_trabajo]]="","",_xlfn.XLOOKUP(tblOrdenes[[#This Row],[puesto_trabajo]],tblPuestos[codigo],tblPuestos[especialidad],"(sin catálogo)"))</f>
        <v/>
      </c>
      <c r="Z553" s="3">
        <f>IF(tblOrdenes[[#This Row],[cod_actividad]]="","",_xlfn.XLOOKUP(tblOrdenes[[#This Row],[cod_actividad]],tblActividades[codigo],tblActividades[descripcion],"(sin catálogo)"))</f>
        <v/>
      </c>
      <c r="AA553" s="12">
        <f>IF(tblOrdenes[[#This Row],[fecha_inicio]]="","",TODAY()-tblOrdenes[[#This Row],[fecha_inicio]])</f>
        <v/>
      </c>
      <c r="AB5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3">
        <f>IF(tblOrdenes[[#This Row],[backlog_habiles]]="","",IF(tblOrdenes[[#This Row],[backlog_habiles]]&lt;0,"FUTURO",IF(tblOrdenes[[#This Row],[backlog_habiles]]&gt;p_dias_backlog_max,"BACKLOG","MES CORRIENTE")))</f>
        <v/>
      </c>
      <c r="AD553" s="3">
        <f>IF(tblOrdenes[[#This Row],[backlog_habiles]]="",FALSE,AND(tblOrdenes[[#This Row],[backlog_habiles]]&gt;p_dias_backlog_min,tblOrdenes[[#This Row],[backlog_habiles]]&lt;=p_dias_backlog_max))</f>
        <v/>
      </c>
      <c r="AE553" s="6" t="n"/>
      <c r="AF5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0">
        <f>IF(tblOrdenes[[#This Row],[orden]]="","",_xlfn.XLOOKUP(tblOrdenes[[#This Row],[id_operacion]],tblEjecucion[id_operacion],tblEjecucion[precio],0))</f>
        <v/>
      </c>
      <c r="AJ553" s="10">
        <f>IF(tblOrdenes[[#This Row],[orden]]="","",MAX(0,_xlfn.XLOOKUP(tblOrdenes[[#This Row],[id_operacion]],tblEjecucion[id_operacion],tblEjecucion[costo_plan_total],0)-tblOrdenes[[#This Row],[costo_servicio]]))</f>
        <v/>
      </c>
      <c r="AK553" s="10">
        <f>IF(tblOrdenes[[#This Row],[orden]]="","",tblOrdenes[[#This Row],[costo_servicio]]+tblOrdenes[[#This Row],[costo_materiales]])</f>
        <v/>
      </c>
      <c r="AL553" s="6" t="n"/>
      <c r="AM553" s="6" t="n"/>
      <c r="AN553" s="6" t="n"/>
      <c r="AO553" s="3">
        <f>IF(tblOrdenes[[#This Row],[link_checklist]]="","",HYPERLINK(p_ruta_base_checklists&amp;tblOrdenes[[#This Row],[link_checklist]],"abrir"))</f>
        <v/>
      </c>
      <c r="AP553" s="6" t="n"/>
      <c r="AQ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3">
        <f>IF(tblOrdenes[[#This Row],[tipo_ot]]="","",_xlfn.XLOOKUP(tblOrdenes[[#This Row],[tipo_ot]],tblTiposOT[codigo],tblTiposOT[clasificacion],"sin_clasificar"))</f>
        <v/>
      </c>
      <c r="U554" s="3">
        <f>IF(tblOrdenes[[#This Row],[centro_costo]]="","",_xlfn.XLOOKUP(tblOrdenes[[#This Row],[centro_costo]],tblCECO[codigo],tblCECO[linea],"(sin catálogo)"))</f>
        <v/>
      </c>
      <c r="V554" s="3">
        <f>IF(tblOrdenes[[#This Row],[centro_costo]]="","",_xlfn.XLOOKUP(tblOrdenes[[#This Row],[centro_costo]],tblCECO[codigo],tblCECO[area],"(sin catálogo)"))</f>
        <v/>
      </c>
      <c r="W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3">
        <f>IF(tblOrdenes[[#This Row],[centro_costo]]="","",_xlfn.XLOOKUP(tblOrdenes[[#This Row],[centro_costo]],tblCECO[codigo],tblCECO[coordinador],"(sin catálogo)"))</f>
        <v/>
      </c>
      <c r="Y554" s="3">
        <f>IF(tblOrdenes[[#This Row],[puesto_trabajo]]="","",_xlfn.XLOOKUP(tblOrdenes[[#This Row],[puesto_trabajo]],tblPuestos[codigo],tblPuestos[especialidad],"(sin catálogo)"))</f>
        <v/>
      </c>
      <c r="Z554" s="3">
        <f>IF(tblOrdenes[[#This Row],[cod_actividad]]="","",_xlfn.XLOOKUP(tblOrdenes[[#This Row],[cod_actividad]],tblActividades[codigo],tblActividades[descripcion],"(sin catálogo)"))</f>
        <v/>
      </c>
      <c r="AA554" s="12">
        <f>IF(tblOrdenes[[#This Row],[fecha_inicio]]="","",TODAY()-tblOrdenes[[#This Row],[fecha_inicio]])</f>
        <v/>
      </c>
      <c r="AB5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3">
        <f>IF(tblOrdenes[[#This Row],[backlog_habiles]]="","",IF(tblOrdenes[[#This Row],[backlog_habiles]]&lt;0,"FUTURO",IF(tblOrdenes[[#This Row],[backlog_habiles]]&gt;p_dias_backlog_max,"BACKLOG","MES CORRIENTE")))</f>
        <v/>
      </c>
      <c r="AD554" s="3">
        <f>IF(tblOrdenes[[#This Row],[backlog_habiles]]="",FALSE,AND(tblOrdenes[[#This Row],[backlog_habiles]]&gt;p_dias_backlog_min,tblOrdenes[[#This Row],[backlog_habiles]]&lt;=p_dias_backlog_max))</f>
        <v/>
      </c>
      <c r="AE554" s="6" t="n"/>
      <c r="AF5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0">
        <f>IF(tblOrdenes[[#This Row],[orden]]="","",_xlfn.XLOOKUP(tblOrdenes[[#This Row],[id_operacion]],tblEjecucion[id_operacion],tblEjecucion[precio],0))</f>
        <v/>
      </c>
      <c r="AJ554" s="10">
        <f>IF(tblOrdenes[[#This Row],[orden]]="","",MAX(0,_xlfn.XLOOKUP(tblOrdenes[[#This Row],[id_operacion]],tblEjecucion[id_operacion],tblEjecucion[costo_plan_total],0)-tblOrdenes[[#This Row],[costo_servicio]]))</f>
        <v/>
      </c>
      <c r="AK554" s="10">
        <f>IF(tblOrdenes[[#This Row],[orden]]="","",tblOrdenes[[#This Row],[costo_servicio]]+tblOrdenes[[#This Row],[costo_materiales]])</f>
        <v/>
      </c>
      <c r="AL554" s="6" t="n"/>
      <c r="AM554" s="6" t="n"/>
      <c r="AN554" s="6" t="n"/>
      <c r="AO554" s="3">
        <f>IF(tblOrdenes[[#This Row],[link_checklist]]="","",HYPERLINK(p_ruta_base_checklists&amp;tblOrdenes[[#This Row],[link_checklist]],"abrir"))</f>
        <v/>
      </c>
      <c r="AP554" s="6" t="n"/>
      <c r="AQ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3">
        <f>IF(tblOrdenes[[#This Row],[tipo_ot]]="","",_xlfn.XLOOKUP(tblOrdenes[[#This Row],[tipo_ot]],tblTiposOT[codigo],tblTiposOT[clasificacion],"sin_clasificar"))</f>
        <v/>
      </c>
      <c r="U555" s="3">
        <f>IF(tblOrdenes[[#This Row],[centro_costo]]="","",_xlfn.XLOOKUP(tblOrdenes[[#This Row],[centro_costo]],tblCECO[codigo],tblCECO[linea],"(sin catálogo)"))</f>
        <v/>
      </c>
      <c r="V555" s="3">
        <f>IF(tblOrdenes[[#This Row],[centro_costo]]="","",_xlfn.XLOOKUP(tblOrdenes[[#This Row],[centro_costo]],tblCECO[codigo],tblCECO[area],"(sin catálogo)"))</f>
        <v/>
      </c>
      <c r="W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3">
        <f>IF(tblOrdenes[[#This Row],[centro_costo]]="","",_xlfn.XLOOKUP(tblOrdenes[[#This Row],[centro_costo]],tblCECO[codigo],tblCECO[coordinador],"(sin catálogo)"))</f>
        <v/>
      </c>
      <c r="Y555" s="3">
        <f>IF(tblOrdenes[[#This Row],[puesto_trabajo]]="","",_xlfn.XLOOKUP(tblOrdenes[[#This Row],[puesto_trabajo]],tblPuestos[codigo],tblPuestos[especialidad],"(sin catálogo)"))</f>
        <v/>
      </c>
      <c r="Z555" s="3">
        <f>IF(tblOrdenes[[#This Row],[cod_actividad]]="","",_xlfn.XLOOKUP(tblOrdenes[[#This Row],[cod_actividad]],tblActividades[codigo],tblActividades[descripcion],"(sin catálogo)"))</f>
        <v/>
      </c>
      <c r="AA555" s="12">
        <f>IF(tblOrdenes[[#This Row],[fecha_inicio]]="","",TODAY()-tblOrdenes[[#This Row],[fecha_inicio]])</f>
        <v/>
      </c>
      <c r="AB5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3">
        <f>IF(tblOrdenes[[#This Row],[backlog_habiles]]="","",IF(tblOrdenes[[#This Row],[backlog_habiles]]&lt;0,"FUTURO",IF(tblOrdenes[[#This Row],[backlog_habiles]]&gt;p_dias_backlog_max,"BACKLOG","MES CORRIENTE")))</f>
        <v/>
      </c>
      <c r="AD555" s="3">
        <f>IF(tblOrdenes[[#This Row],[backlog_habiles]]="",FALSE,AND(tblOrdenes[[#This Row],[backlog_habiles]]&gt;p_dias_backlog_min,tblOrdenes[[#This Row],[backlog_habiles]]&lt;=p_dias_backlog_max))</f>
        <v/>
      </c>
      <c r="AE555" s="6" t="n"/>
      <c r="AF5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0">
        <f>IF(tblOrdenes[[#This Row],[orden]]="","",_xlfn.XLOOKUP(tblOrdenes[[#This Row],[id_operacion]],tblEjecucion[id_operacion],tblEjecucion[precio],0))</f>
        <v/>
      </c>
      <c r="AJ555" s="10">
        <f>IF(tblOrdenes[[#This Row],[orden]]="","",MAX(0,_xlfn.XLOOKUP(tblOrdenes[[#This Row],[id_operacion]],tblEjecucion[id_operacion],tblEjecucion[costo_plan_total],0)-tblOrdenes[[#This Row],[costo_servicio]]))</f>
        <v/>
      </c>
      <c r="AK555" s="10">
        <f>IF(tblOrdenes[[#This Row],[orden]]="","",tblOrdenes[[#This Row],[costo_servicio]]+tblOrdenes[[#This Row],[costo_materiales]])</f>
        <v/>
      </c>
      <c r="AL555" s="6" t="n"/>
      <c r="AM555" s="6" t="n"/>
      <c r="AN555" s="6" t="n"/>
      <c r="AO555" s="3">
        <f>IF(tblOrdenes[[#This Row],[link_checklist]]="","",HYPERLINK(p_ruta_base_checklists&amp;tblOrdenes[[#This Row],[link_checklist]],"abrir"))</f>
        <v/>
      </c>
      <c r="AP555" s="6" t="n"/>
      <c r="AQ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3">
        <f>IF(tblOrdenes[[#This Row],[tipo_ot]]="","",_xlfn.XLOOKUP(tblOrdenes[[#This Row],[tipo_ot]],tblTiposOT[codigo],tblTiposOT[clasificacion],"sin_clasificar"))</f>
        <v/>
      </c>
      <c r="U556" s="3">
        <f>IF(tblOrdenes[[#This Row],[centro_costo]]="","",_xlfn.XLOOKUP(tblOrdenes[[#This Row],[centro_costo]],tblCECO[codigo],tblCECO[linea],"(sin catálogo)"))</f>
        <v/>
      </c>
      <c r="V556" s="3">
        <f>IF(tblOrdenes[[#This Row],[centro_costo]]="","",_xlfn.XLOOKUP(tblOrdenes[[#This Row],[centro_costo]],tblCECO[codigo],tblCECO[area],"(sin catálogo)"))</f>
        <v/>
      </c>
      <c r="W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3">
        <f>IF(tblOrdenes[[#This Row],[centro_costo]]="","",_xlfn.XLOOKUP(tblOrdenes[[#This Row],[centro_costo]],tblCECO[codigo],tblCECO[coordinador],"(sin catálogo)"))</f>
        <v/>
      </c>
      <c r="Y556" s="3">
        <f>IF(tblOrdenes[[#This Row],[puesto_trabajo]]="","",_xlfn.XLOOKUP(tblOrdenes[[#This Row],[puesto_trabajo]],tblPuestos[codigo],tblPuestos[especialidad],"(sin catálogo)"))</f>
        <v/>
      </c>
      <c r="Z556" s="3">
        <f>IF(tblOrdenes[[#This Row],[cod_actividad]]="","",_xlfn.XLOOKUP(tblOrdenes[[#This Row],[cod_actividad]],tblActividades[codigo],tblActividades[descripcion],"(sin catálogo)"))</f>
        <v/>
      </c>
      <c r="AA556" s="12">
        <f>IF(tblOrdenes[[#This Row],[fecha_inicio]]="","",TODAY()-tblOrdenes[[#This Row],[fecha_inicio]])</f>
        <v/>
      </c>
      <c r="AB5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3">
        <f>IF(tblOrdenes[[#This Row],[backlog_habiles]]="","",IF(tblOrdenes[[#This Row],[backlog_habiles]]&lt;0,"FUTURO",IF(tblOrdenes[[#This Row],[backlog_habiles]]&gt;p_dias_backlog_max,"BACKLOG","MES CORRIENTE")))</f>
        <v/>
      </c>
      <c r="AD556" s="3">
        <f>IF(tblOrdenes[[#This Row],[backlog_habiles]]="",FALSE,AND(tblOrdenes[[#This Row],[backlog_habiles]]&gt;p_dias_backlog_min,tblOrdenes[[#This Row],[backlog_habiles]]&lt;=p_dias_backlog_max))</f>
        <v/>
      </c>
      <c r="AE556" s="6" t="n"/>
      <c r="AF5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0">
        <f>IF(tblOrdenes[[#This Row],[orden]]="","",_xlfn.XLOOKUP(tblOrdenes[[#This Row],[id_operacion]],tblEjecucion[id_operacion],tblEjecucion[precio],0))</f>
        <v/>
      </c>
      <c r="AJ556" s="10">
        <f>IF(tblOrdenes[[#This Row],[orden]]="","",MAX(0,_xlfn.XLOOKUP(tblOrdenes[[#This Row],[id_operacion]],tblEjecucion[id_operacion],tblEjecucion[costo_plan_total],0)-tblOrdenes[[#This Row],[costo_servicio]]))</f>
        <v/>
      </c>
      <c r="AK556" s="10">
        <f>IF(tblOrdenes[[#This Row],[orden]]="","",tblOrdenes[[#This Row],[costo_servicio]]+tblOrdenes[[#This Row],[costo_materiales]])</f>
        <v/>
      </c>
      <c r="AL556" s="6" t="n"/>
      <c r="AM556" s="6" t="n"/>
      <c r="AN556" s="6" t="n"/>
      <c r="AO556" s="3">
        <f>IF(tblOrdenes[[#This Row],[link_checklist]]="","",HYPERLINK(p_ruta_base_checklists&amp;tblOrdenes[[#This Row],[link_checklist]],"abrir"))</f>
        <v/>
      </c>
      <c r="AP556" s="6" t="n"/>
      <c r="AQ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3">
        <f>IF(tblOrdenes[[#This Row],[tipo_ot]]="","",_xlfn.XLOOKUP(tblOrdenes[[#This Row],[tipo_ot]],tblTiposOT[codigo],tblTiposOT[clasificacion],"sin_clasificar"))</f>
        <v/>
      </c>
      <c r="U557" s="3">
        <f>IF(tblOrdenes[[#This Row],[centro_costo]]="","",_xlfn.XLOOKUP(tblOrdenes[[#This Row],[centro_costo]],tblCECO[codigo],tblCECO[linea],"(sin catálogo)"))</f>
        <v/>
      </c>
      <c r="V557" s="3">
        <f>IF(tblOrdenes[[#This Row],[centro_costo]]="","",_xlfn.XLOOKUP(tblOrdenes[[#This Row],[centro_costo]],tblCECO[codigo],tblCECO[area],"(sin catálogo)"))</f>
        <v/>
      </c>
      <c r="W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3">
        <f>IF(tblOrdenes[[#This Row],[centro_costo]]="","",_xlfn.XLOOKUP(tblOrdenes[[#This Row],[centro_costo]],tblCECO[codigo],tblCECO[coordinador],"(sin catálogo)"))</f>
        <v/>
      </c>
      <c r="Y557" s="3">
        <f>IF(tblOrdenes[[#This Row],[puesto_trabajo]]="","",_xlfn.XLOOKUP(tblOrdenes[[#This Row],[puesto_trabajo]],tblPuestos[codigo],tblPuestos[especialidad],"(sin catálogo)"))</f>
        <v/>
      </c>
      <c r="Z557" s="3">
        <f>IF(tblOrdenes[[#This Row],[cod_actividad]]="","",_xlfn.XLOOKUP(tblOrdenes[[#This Row],[cod_actividad]],tblActividades[codigo],tblActividades[descripcion],"(sin catálogo)"))</f>
        <v/>
      </c>
      <c r="AA557" s="12">
        <f>IF(tblOrdenes[[#This Row],[fecha_inicio]]="","",TODAY()-tblOrdenes[[#This Row],[fecha_inicio]])</f>
        <v/>
      </c>
      <c r="AB5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3">
        <f>IF(tblOrdenes[[#This Row],[backlog_habiles]]="","",IF(tblOrdenes[[#This Row],[backlog_habiles]]&lt;0,"FUTURO",IF(tblOrdenes[[#This Row],[backlog_habiles]]&gt;p_dias_backlog_max,"BACKLOG","MES CORRIENTE")))</f>
        <v/>
      </c>
      <c r="AD557" s="3">
        <f>IF(tblOrdenes[[#This Row],[backlog_habiles]]="",FALSE,AND(tblOrdenes[[#This Row],[backlog_habiles]]&gt;p_dias_backlog_min,tblOrdenes[[#This Row],[backlog_habiles]]&lt;=p_dias_backlog_max))</f>
        <v/>
      </c>
      <c r="AE557" s="6" t="n"/>
      <c r="AF5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0">
        <f>IF(tblOrdenes[[#This Row],[orden]]="","",_xlfn.XLOOKUP(tblOrdenes[[#This Row],[id_operacion]],tblEjecucion[id_operacion],tblEjecucion[precio],0))</f>
        <v/>
      </c>
      <c r="AJ557" s="10">
        <f>IF(tblOrdenes[[#This Row],[orden]]="","",MAX(0,_xlfn.XLOOKUP(tblOrdenes[[#This Row],[id_operacion]],tblEjecucion[id_operacion],tblEjecucion[costo_plan_total],0)-tblOrdenes[[#This Row],[costo_servicio]]))</f>
        <v/>
      </c>
      <c r="AK557" s="10">
        <f>IF(tblOrdenes[[#This Row],[orden]]="","",tblOrdenes[[#This Row],[costo_servicio]]+tblOrdenes[[#This Row],[costo_materiales]])</f>
        <v/>
      </c>
      <c r="AL557" s="6" t="n"/>
      <c r="AM557" s="6" t="n"/>
      <c r="AN557" s="6" t="n"/>
      <c r="AO557" s="3">
        <f>IF(tblOrdenes[[#This Row],[link_checklist]]="","",HYPERLINK(p_ruta_base_checklists&amp;tblOrdenes[[#This Row],[link_checklist]],"abrir"))</f>
        <v/>
      </c>
      <c r="AP557" s="6" t="n"/>
      <c r="AQ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3">
        <f>IF(tblOrdenes[[#This Row],[tipo_ot]]="","",_xlfn.XLOOKUP(tblOrdenes[[#This Row],[tipo_ot]],tblTiposOT[codigo],tblTiposOT[clasificacion],"sin_clasificar"))</f>
        <v/>
      </c>
      <c r="U558" s="3">
        <f>IF(tblOrdenes[[#This Row],[centro_costo]]="","",_xlfn.XLOOKUP(tblOrdenes[[#This Row],[centro_costo]],tblCECO[codigo],tblCECO[linea],"(sin catálogo)"))</f>
        <v/>
      </c>
      <c r="V558" s="3">
        <f>IF(tblOrdenes[[#This Row],[centro_costo]]="","",_xlfn.XLOOKUP(tblOrdenes[[#This Row],[centro_costo]],tblCECO[codigo],tblCECO[area],"(sin catálogo)"))</f>
        <v/>
      </c>
      <c r="W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3">
        <f>IF(tblOrdenes[[#This Row],[centro_costo]]="","",_xlfn.XLOOKUP(tblOrdenes[[#This Row],[centro_costo]],tblCECO[codigo],tblCECO[coordinador],"(sin catálogo)"))</f>
        <v/>
      </c>
      <c r="Y558" s="3">
        <f>IF(tblOrdenes[[#This Row],[puesto_trabajo]]="","",_xlfn.XLOOKUP(tblOrdenes[[#This Row],[puesto_trabajo]],tblPuestos[codigo],tblPuestos[especialidad],"(sin catálogo)"))</f>
        <v/>
      </c>
      <c r="Z558" s="3">
        <f>IF(tblOrdenes[[#This Row],[cod_actividad]]="","",_xlfn.XLOOKUP(tblOrdenes[[#This Row],[cod_actividad]],tblActividades[codigo],tblActividades[descripcion],"(sin catálogo)"))</f>
        <v/>
      </c>
      <c r="AA558" s="12">
        <f>IF(tblOrdenes[[#This Row],[fecha_inicio]]="","",TODAY()-tblOrdenes[[#This Row],[fecha_inicio]])</f>
        <v/>
      </c>
      <c r="AB5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3">
        <f>IF(tblOrdenes[[#This Row],[backlog_habiles]]="","",IF(tblOrdenes[[#This Row],[backlog_habiles]]&lt;0,"FUTURO",IF(tblOrdenes[[#This Row],[backlog_habiles]]&gt;p_dias_backlog_max,"BACKLOG","MES CORRIENTE")))</f>
        <v/>
      </c>
      <c r="AD558" s="3">
        <f>IF(tblOrdenes[[#This Row],[backlog_habiles]]="",FALSE,AND(tblOrdenes[[#This Row],[backlog_habiles]]&gt;p_dias_backlog_min,tblOrdenes[[#This Row],[backlog_habiles]]&lt;=p_dias_backlog_max))</f>
        <v/>
      </c>
      <c r="AE558" s="6" t="n"/>
      <c r="AF5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0">
        <f>IF(tblOrdenes[[#This Row],[orden]]="","",_xlfn.XLOOKUP(tblOrdenes[[#This Row],[id_operacion]],tblEjecucion[id_operacion],tblEjecucion[precio],0))</f>
        <v/>
      </c>
      <c r="AJ558" s="10">
        <f>IF(tblOrdenes[[#This Row],[orden]]="","",MAX(0,_xlfn.XLOOKUP(tblOrdenes[[#This Row],[id_operacion]],tblEjecucion[id_operacion],tblEjecucion[costo_plan_total],0)-tblOrdenes[[#This Row],[costo_servicio]]))</f>
        <v/>
      </c>
      <c r="AK558" s="10">
        <f>IF(tblOrdenes[[#This Row],[orden]]="","",tblOrdenes[[#This Row],[costo_servicio]]+tblOrdenes[[#This Row],[costo_materiales]])</f>
        <v/>
      </c>
      <c r="AL558" s="6" t="n"/>
      <c r="AM558" s="6" t="n"/>
      <c r="AN558" s="6" t="n"/>
      <c r="AO558" s="3">
        <f>IF(tblOrdenes[[#This Row],[link_checklist]]="","",HYPERLINK(p_ruta_base_checklists&amp;tblOrdenes[[#This Row],[link_checklist]],"abrir"))</f>
        <v/>
      </c>
      <c r="AP558" s="6" t="n"/>
      <c r="AQ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3">
        <f>IF(tblOrdenes[[#This Row],[tipo_ot]]="","",_xlfn.XLOOKUP(tblOrdenes[[#This Row],[tipo_ot]],tblTiposOT[codigo],tblTiposOT[clasificacion],"sin_clasificar"))</f>
        <v/>
      </c>
      <c r="U559" s="3">
        <f>IF(tblOrdenes[[#This Row],[centro_costo]]="","",_xlfn.XLOOKUP(tblOrdenes[[#This Row],[centro_costo]],tblCECO[codigo],tblCECO[linea],"(sin catálogo)"))</f>
        <v/>
      </c>
      <c r="V559" s="3">
        <f>IF(tblOrdenes[[#This Row],[centro_costo]]="","",_xlfn.XLOOKUP(tblOrdenes[[#This Row],[centro_costo]],tblCECO[codigo],tblCECO[area],"(sin catálogo)"))</f>
        <v/>
      </c>
      <c r="W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3">
        <f>IF(tblOrdenes[[#This Row],[centro_costo]]="","",_xlfn.XLOOKUP(tblOrdenes[[#This Row],[centro_costo]],tblCECO[codigo],tblCECO[coordinador],"(sin catálogo)"))</f>
        <v/>
      </c>
      <c r="Y559" s="3">
        <f>IF(tblOrdenes[[#This Row],[puesto_trabajo]]="","",_xlfn.XLOOKUP(tblOrdenes[[#This Row],[puesto_trabajo]],tblPuestos[codigo],tblPuestos[especialidad],"(sin catálogo)"))</f>
        <v/>
      </c>
      <c r="Z559" s="3">
        <f>IF(tblOrdenes[[#This Row],[cod_actividad]]="","",_xlfn.XLOOKUP(tblOrdenes[[#This Row],[cod_actividad]],tblActividades[codigo],tblActividades[descripcion],"(sin catálogo)"))</f>
        <v/>
      </c>
      <c r="AA559" s="12">
        <f>IF(tblOrdenes[[#This Row],[fecha_inicio]]="","",TODAY()-tblOrdenes[[#This Row],[fecha_inicio]])</f>
        <v/>
      </c>
      <c r="AB5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3">
        <f>IF(tblOrdenes[[#This Row],[backlog_habiles]]="","",IF(tblOrdenes[[#This Row],[backlog_habiles]]&lt;0,"FUTURO",IF(tblOrdenes[[#This Row],[backlog_habiles]]&gt;p_dias_backlog_max,"BACKLOG","MES CORRIENTE")))</f>
        <v/>
      </c>
      <c r="AD559" s="3">
        <f>IF(tblOrdenes[[#This Row],[backlog_habiles]]="",FALSE,AND(tblOrdenes[[#This Row],[backlog_habiles]]&gt;p_dias_backlog_min,tblOrdenes[[#This Row],[backlog_habiles]]&lt;=p_dias_backlog_max))</f>
        <v/>
      </c>
      <c r="AE559" s="6" t="n"/>
      <c r="AF5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0">
        <f>IF(tblOrdenes[[#This Row],[orden]]="","",_xlfn.XLOOKUP(tblOrdenes[[#This Row],[id_operacion]],tblEjecucion[id_operacion],tblEjecucion[precio],0))</f>
        <v/>
      </c>
      <c r="AJ559" s="10">
        <f>IF(tblOrdenes[[#This Row],[orden]]="","",MAX(0,_xlfn.XLOOKUP(tblOrdenes[[#This Row],[id_operacion]],tblEjecucion[id_operacion],tblEjecucion[costo_plan_total],0)-tblOrdenes[[#This Row],[costo_servicio]]))</f>
        <v/>
      </c>
      <c r="AK559" s="10">
        <f>IF(tblOrdenes[[#This Row],[orden]]="","",tblOrdenes[[#This Row],[costo_servicio]]+tblOrdenes[[#This Row],[costo_materiales]])</f>
        <v/>
      </c>
      <c r="AL559" s="6" t="n"/>
      <c r="AM559" s="6" t="n"/>
      <c r="AN559" s="6" t="n"/>
      <c r="AO559" s="3">
        <f>IF(tblOrdenes[[#This Row],[link_checklist]]="","",HYPERLINK(p_ruta_base_checklists&amp;tblOrdenes[[#This Row],[link_checklist]],"abrir"))</f>
        <v/>
      </c>
      <c r="AP559" s="6" t="n"/>
      <c r="AQ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3">
        <f>IF(tblOrdenes[[#This Row],[tipo_ot]]="","",_xlfn.XLOOKUP(tblOrdenes[[#This Row],[tipo_ot]],tblTiposOT[codigo],tblTiposOT[clasificacion],"sin_clasificar"))</f>
        <v/>
      </c>
      <c r="U560" s="3">
        <f>IF(tblOrdenes[[#This Row],[centro_costo]]="","",_xlfn.XLOOKUP(tblOrdenes[[#This Row],[centro_costo]],tblCECO[codigo],tblCECO[linea],"(sin catálogo)"))</f>
        <v/>
      </c>
      <c r="V560" s="3">
        <f>IF(tblOrdenes[[#This Row],[centro_costo]]="","",_xlfn.XLOOKUP(tblOrdenes[[#This Row],[centro_costo]],tblCECO[codigo],tblCECO[area],"(sin catálogo)"))</f>
        <v/>
      </c>
      <c r="W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3">
        <f>IF(tblOrdenes[[#This Row],[centro_costo]]="","",_xlfn.XLOOKUP(tblOrdenes[[#This Row],[centro_costo]],tblCECO[codigo],tblCECO[coordinador],"(sin catálogo)"))</f>
        <v/>
      </c>
      <c r="Y560" s="3">
        <f>IF(tblOrdenes[[#This Row],[puesto_trabajo]]="","",_xlfn.XLOOKUP(tblOrdenes[[#This Row],[puesto_trabajo]],tblPuestos[codigo],tblPuestos[especialidad],"(sin catálogo)"))</f>
        <v/>
      </c>
      <c r="Z560" s="3">
        <f>IF(tblOrdenes[[#This Row],[cod_actividad]]="","",_xlfn.XLOOKUP(tblOrdenes[[#This Row],[cod_actividad]],tblActividades[codigo],tblActividades[descripcion],"(sin catálogo)"))</f>
        <v/>
      </c>
      <c r="AA560" s="12">
        <f>IF(tblOrdenes[[#This Row],[fecha_inicio]]="","",TODAY()-tblOrdenes[[#This Row],[fecha_inicio]])</f>
        <v/>
      </c>
      <c r="AB5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3">
        <f>IF(tblOrdenes[[#This Row],[backlog_habiles]]="","",IF(tblOrdenes[[#This Row],[backlog_habiles]]&lt;0,"FUTURO",IF(tblOrdenes[[#This Row],[backlog_habiles]]&gt;p_dias_backlog_max,"BACKLOG","MES CORRIENTE")))</f>
        <v/>
      </c>
      <c r="AD560" s="3">
        <f>IF(tblOrdenes[[#This Row],[backlog_habiles]]="",FALSE,AND(tblOrdenes[[#This Row],[backlog_habiles]]&gt;p_dias_backlog_min,tblOrdenes[[#This Row],[backlog_habiles]]&lt;=p_dias_backlog_max))</f>
        <v/>
      </c>
      <c r="AE560" s="6" t="n"/>
      <c r="AF5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0">
        <f>IF(tblOrdenes[[#This Row],[orden]]="","",_xlfn.XLOOKUP(tblOrdenes[[#This Row],[id_operacion]],tblEjecucion[id_operacion],tblEjecucion[precio],0))</f>
        <v/>
      </c>
      <c r="AJ560" s="10">
        <f>IF(tblOrdenes[[#This Row],[orden]]="","",MAX(0,_xlfn.XLOOKUP(tblOrdenes[[#This Row],[id_operacion]],tblEjecucion[id_operacion],tblEjecucion[costo_plan_total],0)-tblOrdenes[[#This Row],[costo_servicio]]))</f>
        <v/>
      </c>
      <c r="AK560" s="10">
        <f>IF(tblOrdenes[[#This Row],[orden]]="","",tblOrdenes[[#This Row],[costo_servicio]]+tblOrdenes[[#This Row],[costo_materiales]])</f>
        <v/>
      </c>
      <c r="AL560" s="6" t="n"/>
      <c r="AM560" s="6" t="n"/>
      <c r="AN560" s="6" t="n"/>
      <c r="AO560" s="3">
        <f>IF(tblOrdenes[[#This Row],[link_checklist]]="","",HYPERLINK(p_ruta_base_checklists&amp;tblOrdenes[[#This Row],[link_checklist]],"abrir"))</f>
        <v/>
      </c>
      <c r="AP560" s="6" t="n"/>
      <c r="AQ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3">
        <f>IF(tblOrdenes[[#This Row],[tipo_ot]]="","",_xlfn.XLOOKUP(tblOrdenes[[#This Row],[tipo_ot]],tblTiposOT[codigo],tblTiposOT[clasificacion],"sin_clasificar"))</f>
        <v/>
      </c>
      <c r="U561" s="3">
        <f>IF(tblOrdenes[[#This Row],[centro_costo]]="","",_xlfn.XLOOKUP(tblOrdenes[[#This Row],[centro_costo]],tblCECO[codigo],tblCECO[linea],"(sin catálogo)"))</f>
        <v/>
      </c>
      <c r="V561" s="3">
        <f>IF(tblOrdenes[[#This Row],[centro_costo]]="","",_xlfn.XLOOKUP(tblOrdenes[[#This Row],[centro_costo]],tblCECO[codigo],tblCECO[area],"(sin catálogo)"))</f>
        <v/>
      </c>
      <c r="W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3">
        <f>IF(tblOrdenes[[#This Row],[centro_costo]]="","",_xlfn.XLOOKUP(tblOrdenes[[#This Row],[centro_costo]],tblCECO[codigo],tblCECO[coordinador],"(sin catálogo)"))</f>
        <v/>
      </c>
      <c r="Y561" s="3">
        <f>IF(tblOrdenes[[#This Row],[puesto_trabajo]]="","",_xlfn.XLOOKUP(tblOrdenes[[#This Row],[puesto_trabajo]],tblPuestos[codigo],tblPuestos[especialidad],"(sin catálogo)"))</f>
        <v/>
      </c>
      <c r="Z561" s="3">
        <f>IF(tblOrdenes[[#This Row],[cod_actividad]]="","",_xlfn.XLOOKUP(tblOrdenes[[#This Row],[cod_actividad]],tblActividades[codigo],tblActividades[descripcion],"(sin catálogo)"))</f>
        <v/>
      </c>
      <c r="AA561" s="12">
        <f>IF(tblOrdenes[[#This Row],[fecha_inicio]]="","",TODAY()-tblOrdenes[[#This Row],[fecha_inicio]])</f>
        <v/>
      </c>
      <c r="AB5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3">
        <f>IF(tblOrdenes[[#This Row],[backlog_habiles]]="","",IF(tblOrdenes[[#This Row],[backlog_habiles]]&lt;0,"FUTURO",IF(tblOrdenes[[#This Row],[backlog_habiles]]&gt;p_dias_backlog_max,"BACKLOG","MES CORRIENTE")))</f>
        <v/>
      </c>
      <c r="AD561" s="3">
        <f>IF(tblOrdenes[[#This Row],[backlog_habiles]]="",FALSE,AND(tblOrdenes[[#This Row],[backlog_habiles]]&gt;p_dias_backlog_min,tblOrdenes[[#This Row],[backlog_habiles]]&lt;=p_dias_backlog_max))</f>
        <v/>
      </c>
      <c r="AE561" s="6" t="n"/>
      <c r="AF5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0">
        <f>IF(tblOrdenes[[#This Row],[orden]]="","",_xlfn.XLOOKUP(tblOrdenes[[#This Row],[id_operacion]],tblEjecucion[id_operacion],tblEjecucion[precio],0))</f>
        <v/>
      </c>
      <c r="AJ561" s="10">
        <f>IF(tblOrdenes[[#This Row],[orden]]="","",MAX(0,_xlfn.XLOOKUP(tblOrdenes[[#This Row],[id_operacion]],tblEjecucion[id_operacion],tblEjecucion[costo_plan_total],0)-tblOrdenes[[#This Row],[costo_servicio]]))</f>
        <v/>
      </c>
      <c r="AK561" s="10">
        <f>IF(tblOrdenes[[#This Row],[orden]]="","",tblOrdenes[[#This Row],[costo_servicio]]+tblOrdenes[[#This Row],[costo_materiales]])</f>
        <v/>
      </c>
      <c r="AL561" s="6" t="n"/>
      <c r="AM561" s="6" t="n"/>
      <c r="AN561" s="6" t="n"/>
      <c r="AO561" s="3">
        <f>IF(tblOrdenes[[#This Row],[link_checklist]]="","",HYPERLINK(p_ruta_base_checklists&amp;tblOrdenes[[#This Row],[link_checklist]],"abrir"))</f>
        <v/>
      </c>
      <c r="AP561" s="6" t="n"/>
      <c r="AQ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3">
        <f>IF(tblOrdenes[[#This Row],[tipo_ot]]="","",_xlfn.XLOOKUP(tblOrdenes[[#This Row],[tipo_ot]],tblTiposOT[codigo],tblTiposOT[clasificacion],"sin_clasificar"))</f>
        <v/>
      </c>
      <c r="U562" s="3">
        <f>IF(tblOrdenes[[#This Row],[centro_costo]]="","",_xlfn.XLOOKUP(tblOrdenes[[#This Row],[centro_costo]],tblCECO[codigo],tblCECO[linea],"(sin catálogo)"))</f>
        <v/>
      </c>
      <c r="V562" s="3">
        <f>IF(tblOrdenes[[#This Row],[centro_costo]]="","",_xlfn.XLOOKUP(tblOrdenes[[#This Row],[centro_costo]],tblCECO[codigo],tblCECO[area],"(sin catálogo)"))</f>
        <v/>
      </c>
      <c r="W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3">
        <f>IF(tblOrdenes[[#This Row],[centro_costo]]="","",_xlfn.XLOOKUP(tblOrdenes[[#This Row],[centro_costo]],tblCECO[codigo],tblCECO[coordinador],"(sin catálogo)"))</f>
        <v/>
      </c>
      <c r="Y562" s="3">
        <f>IF(tblOrdenes[[#This Row],[puesto_trabajo]]="","",_xlfn.XLOOKUP(tblOrdenes[[#This Row],[puesto_trabajo]],tblPuestos[codigo],tblPuestos[especialidad],"(sin catálogo)"))</f>
        <v/>
      </c>
      <c r="Z562" s="3">
        <f>IF(tblOrdenes[[#This Row],[cod_actividad]]="","",_xlfn.XLOOKUP(tblOrdenes[[#This Row],[cod_actividad]],tblActividades[codigo],tblActividades[descripcion],"(sin catálogo)"))</f>
        <v/>
      </c>
      <c r="AA562" s="12">
        <f>IF(tblOrdenes[[#This Row],[fecha_inicio]]="","",TODAY()-tblOrdenes[[#This Row],[fecha_inicio]])</f>
        <v/>
      </c>
      <c r="AB5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3">
        <f>IF(tblOrdenes[[#This Row],[backlog_habiles]]="","",IF(tblOrdenes[[#This Row],[backlog_habiles]]&lt;0,"FUTURO",IF(tblOrdenes[[#This Row],[backlog_habiles]]&gt;p_dias_backlog_max,"BACKLOG","MES CORRIENTE")))</f>
        <v/>
      </c>
      <c r="AD562" s="3">
        <f>IF(tblOrdenes[[#This Row],[backlog_habiles]]="",FALSE,AND(tblOrdenes[[#This Row],[backlog_habiles]]&gt;p_dias_backlog_min,tblOrdenes[[#This Row],[backlog_habiles]]&lt;=p_dias_backlog_max))</f>
        <v/>
      </c>
      <c r="AE562" s="6" t="n"/>
      <c r="AF5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0">
        <f>IF(tblOrdenes[[#This Row],[orden]]="","",_xlfn.XLOOKUP(tblOrdenes[[#This Row],[id_operacion]],tblEjecucion[id_operacion],tblEjecucion[precio],0))</f>
        <v/>
      </c>
      <c r="AJ562" s="10">
        <f>IF(tblOrdenes[[#This Row],[orden]]="","",MAX(0,_xlfn.XLOOKUP(tblOrdenes[[#This Row],[id_operacion]],tblEjecucion[id_operacion],tblEjecucion[costo_plan_total],0)-tblOrdenes[[#This Row],[costo_servicio]]))</f>
        <v/>
      </c>
      <c r="AK562" s="10">
        <f>IF(tblOrdenes[[#This Row],[orden]]="","",tblOrdenes[[#This Row],[costo_servicio]]+tblOrdenes[[#This Row],[costo_materiales]])</f>
        <v/>
      </c>
      <c r="AL562" s="6" t="n"/>
      <c r="AM562" s="6" t="n"/>
      <c r="AN562" s="6" t="n"/>
      <c r="AO562" s="3">
        <f>IF(tblOrdenes[[#This Row],[link_checklist]]="","",HYPERLINK(p_ruta_base_checklists&amp;tblOrdenes[[#This Row],[link_checklist]],"abrir"))</f>
        <v/>
      </c>
      <c r="AP562" s="6" t="n"/>
      <c r="AQ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3">
        <f>IF(tblOrdenes[[#This Row],[tipo_ot]]="","",_xlfn.XLOOKUP(tblOrdenes[[#This Row],[tipo_ot]],tblTiposOT[codigo],tblTiposOT[clasificacion],"sin_clasificar"))</f>
        <v/>
      </c>
      <c r="U563" s="3">
        <f>IF(tblOrdenes[[#This Row],[centro_costo]]="","",_xlfn.XLOOKUP(tblOrdenes[[#This Row],[centro_costo]],tblCECO[codigo],tblCECO[linea],"(sin catálogo)"))</f>
        <v/>
      </c>
      <c r="V563" s="3">
        <f>IF(tblOrdenes[[#This Row],[centro_costo]]="","",_xlfn.XLOOKUP(tblOrdenes[[#This Row],[centro_costo]],tblCECO[codigo],tblCECO[area],"(sin catálogo)"))</f>
        <v/>
      </c>
      <c r="W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3">
        <f>IF(tblOrdenes[[#This Row],[centro_costo]]="","",_xlfn.XLOOKUP(tblOrdenes[[#This Row],[centro_costo]],tblCECO[codigo],tblCECO[coordinador],"(sin catálogo)"))</f>
        <v/>
      </c>
      <c r="Y563" s="3">
        <f>IF(tblOrdenes[[#This Row],[puesto_trabajo]]="","",_xlfn.XLOOKUP(tblOrdenes[[#This Row],[puesto_trabajo]],tblPuestos[codigo],tblPuestos[especialidad],"(sin catálogo)"))</f>
        <v/>
      </c>
      <c r="Z563" s="3">
        <f>IF(tblOrdenes[[#This Row],[cod_actividad]]="","",_xlfn.XLOOKUP(tblOrdenes[[#This Row],[cod_actividad]],tblActividades[codigo],tblActividades[descripcion],"(sin catálogo)"))</f>
        <v/>
      </c>
      <c r="AA563" s="12">
        <f>IF(tblOrdenes[[#This Row],[fecha_inicio]]="","",TODAY()-tblOrdenes[[#This Row],[fecha_inicio]])</f>
        <v/>
      </c>
      <c r="AB5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3">
        <f>IF(tblOrdenes[[#This Row],[backlog_habiles]]="","",IF(tblOrdenes[[#This Row],[backlog_habiles]]&lt;0,"FUTURO",IF(tblOrdenes[[#This Row],[backlog_habiles]]&gt;p_dias_backlog_max,"BACKLOG","MES CORRIENTE")))</f>
        <v/>
      </c>
      <c r="AD563" s="3">
        <f>IF(tblOrdenes[[#This Row],[backlog_habiles]]="",FALSE,AND(tblOrdenes[[#This Row],[backlog_habiles]]&gt;p_dias_backlog_min,tblOrdenes[[#This Row],[backlog_habiles]]&lt;=p_dias_backlog_max))</f>
        <v/>
      </c>
      <c r="AE563" s="6" t="n"/>
      <c r="AF5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0">
        <f>IF(tblOrdenes[[#This Row],[orden]]="","",_xlfn.XLOOKUP(tblOrdenes[[#This Row],[id_operacion]],tblEjecucion[id_operacion],tblEjecucion[precio],0))</f>
        <v/>
      </c>
      <c r="AJ563" s="10">
        <f>IF(tblOrdenes[[#This Row],[orden]]="","",MAX(0,_xlfn.XLOOKUP(tblOrdenes[[#This Row],[id_operacion]],tblEjecucion[id_operacion],tblEjecucion[costo_plan_total],0)-tblOrdenes[[#This Row],[costo_servicio]]))</f>
        <v/>
      </c>
      <c r="AK563" s="10">
        <f>IF(tblOrdenes[[#This Row],[orden]]="","",tblOrdenes[[#This Row],[costo_servicio]]+tblOrdenes[[#This Row],[costo_materiales]])</f>
        <v/>
      </c>
      <c r="AL563" s="6" t="n"/>
      <c r="AM563" s="6" t="n"/>
      <c r="AN563" s="6" t="n"/>
      <c r="AO563" s="3">
        <f>IF(tblOrdenes[[#This Row],[link_checklist]]="","",HYPERLINK(p_ruta_base_checklists&amp;tblOrdenes[[#This Row],[link_checklist]],"abrir"))</f>
        <v/>
      </c>
      <c r="AP563" s="6" t="n"/>
      <c r="AQ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3">
        <f>IF(tblOrdenes[[#This Row],[tipo_ot]]="","",_xlfn.XLOOKUP(tblOrdenes[[#This Row],[tipo_ot]],tblTiposOT[codigo],tblTiposOT[clasificacion],"sin_clasificar"))</f>
        <v/>
      </c>
      <c r="U564" s="3">
        <f>IF(tblOrdenes[[#This Row],[centro_costo]]="","",_xlfn.XLOOKUP(tblOrdenes[[#This Row],[centro_costo]],tblCECO[codigo],tblCECO[linea],"(sin catálogo)"))</f>
        <v/>
      </c>
      <c r="V564" s="3">
        <f>IF(tblOrdenes[[#This Row],[centro_costo]]="","",_xlfn.XLOOKUP(tblOrdenes[[#This Row],[centro_costo]],tblCECO[codigo],tblCECO[area],"(sin catálogo)"))</f>
        <v/>
      </c>
      <c r="W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3">
        <f>IF(tblOrdenes[[#This Row],[centro_costo]]="","",_xlfn.XLOOKUP(tblOrdenes[[#This Row],[centro_costo]],tblCECO[codigo],tblCECO[coordinador],"(sin catálogo)"))</f>
        <v/>
      </c>
      <c r="Y564" s="3">
        <f>IF(tblOrdenes[[#This Row],[puesto_trabajo]]="","",_xlfn.XLOOKUP(tblOrdenes[[#This Row],[puesto_trabajo]],tblPuestos[codigo],tblPuestos[especialidad],"(sin catálogo)"))</f>
        <v/>
      </c>
      <c r="Z564" s="3">
        <f>IF(tblOrdenes[[#This Row],[cod_actividad]]="","",_xlfn.XLOOKUP(tblOrdenes[[#This Row],[cod_actividad]],tblActividades[codigo],tblActividades[descripcion],"(sin catálogo)"))</f>
        <v/>
      </c>
      <c r="AA564" s="12">
        <f>IF(tblOrdenes[[#This Row],[fecha_inicio]]="","",TODAY()-tblOrdenes[[#This Row],[fecha_inicio]])</f>
        <v/>
      </c>
      <c r="AB5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3">
        <f>IF(tblOrdenes[[#This Row],[backlog_habiles]]="","",IF(tblOrdenes[[#This Row],[backlog_habiles]]&lt;0,"FUTURO",IF(tblOrdenes[[#This Row],[backlog_habiles]]&gt;p_dias_backlog_max,"BACKLOG","MES CORRIENTE")))</f>
        <v/>
      </c>
      <c r="AD564" s="3">
        <f>IF(tblOrdenes[[#This Row],[backlog_habiles]]="",FALSE,AND(tblOrdenes[[#This Row],[backlog_habiles]]&gt;p_dias_backlog_min,tblOrdenes[[#This Row],[backlog_habiles]]&lt;=p_dias_backlog_max))</f>
        <v/>
      </c>
      <c r="AE564" s="6" t="n"/>
      <c r="AF5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0">
        <f>IF(tblOrdenes[[#This Row],[orden]]="","",_xlfn.XLOOKUP(tblOrdenes[[#This Row],[id_operacion]],tblEjecucion[id_operacion],tblEjecucion[precio],0))</f>
        <v/>
      </c>
      <c r="AJ564" s="10">
        <f>IF(tblOrdenes[[#This Row],[orden]]="","",MAX(0,_xlfn.XLOOKUP(tblOrdenes[[#This Row],[id_operacion]],tblEjecucion[id_operacion],tblEjecucion[costo_plan_total],0)-tblOrdenes[[#This Row],[costo_servicio]]))</f>
        <v/>
      </c>
      <c r="AK564" s="10">
        <f>IF(tblOrdenes[[#This Row],[orden]]="","",tblOrdenes[[#This Row],[costo_servicio]]+tblOrdenes[[#This Row],[costo_materiales]])</f>
        <v/>
      </c>
      <c r="AL564" s="6" t="n"/>
      <c r="AM564" s="6" t="n"/>
      <c r="AN564" s="6" t="n"/>
      <c r="AO564" s="3">
        <f>IF(tblOrdenes[[#This Row],[link_checklist]]="","",HYPERLINK(p_ruta_base_checklists&amp;tblOrdenes[[#This Row],[link_checklist]],"abrir"))</f>
        <v/>
      </c>
      <c r="AP564" s="6" t="n"/>
      <c r="AQ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3">
        <f>IF(tblOrdenes[[#This Row],[tipo_ot]]="","",_xlfn.XLOOKUP(tblOrdenes[[#This Row],[tipo_ot]],tblTiposOT[codigo],tblTiposOT[clasificacion],"sin_clasificar"))</f>
        <v/>
      </c>
      <c r="U565" s="3">
        <f>IF(tblOrdenes[[#This Row],[centro_costo]]="","",_xlfn.XLOOKUP(tblOrdenes[[#This Row],[centro_costo]],tblCECO[codigo],tblCECO[linea],"(sin catálogo)"))</f>
        <v/>
      </c>
      <c r="V565" s="3">
        <f>IF(tblOrdenes[[#This Row],[centro_costo]]="","",_xlfn.XLOOKUP(tblOrdenes[[#This Row],[centro_costo]],tblCECO[codigo],tblCECO[area],"(sin catálogo)"))</f>
        <v/>
      </c>
      <c r="W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3">
        <f>IF(tblOrdenes[[#This Row],[centro_costo]]="","",_xlfn.XLOOKUP(tblOrdenes[[#This Row],[centro_costo]],tblCECO[codigo],tblCECO[coordinador],"(sin catálogo)"))</f>
        <v/>
      </c>
      <c r="Y565" s="3">
        <f>IF(tblOrdenes[[#This Row],[puesto_trabajo]]="","",_xlfn.XLOOKUP(tblOrdenes[[#This Row],[puesto_trabajo]],tblPuestos[codigo],tblPuestos[especialidad],"(sin catálogo)"))</f>
        <v/>
      </c>
      <c r="Z565" s="3">
        <f>IF(tblOrdenes[[#This Row],[cod_actividad]]="","",_xlfn.XLOOKUP(tblOrdenes[[#This Row],[cod_actividad]],tblActividades[codigo],tblActividades[descripcion],"(sin catálogo)"))</f>
        <v/>
      </c>
      <c r="AA565" s="12">
        <f>IF(tblOrdenes[[#This Row],[fecha_inicio]]="","",TODAY()-tblOrdenes[[#This Row],[fecha_inicio]])</f>
        <v/>
      </c>
      <c r="AB5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3">
        <f>IF(tblOrdenes[[#This Row],[backlog_habiles]]="","",IF(tblOrdenes[[#This Row],[backlog_habiles]]&lt;0,"FUTURO",IF(tblOrdenes[[#This Row],[backlog_habiles]]&gt;p_dias_backlog_max,"BACKLOG","MES CORRIENTE")))</f>
        <v/>
      </c>
      <c r="AD565" s="3">
        <f>IF(tblOrdenes[[#This Row],[backlog_habiles]]="",FALSE,AND(tblOrdenes[[#This Row],[backlog_habiles]]&gt;p_dias_backlog_min,tblOrdenes[[#This Row],[backlog_habiles]]&lt;=p_dias_backlog_max))</f>
        <v/>
      </c>
      <c r="AE565" s="6" t="n"/>
      <c r="AF5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0">
        <f>IF(tblOrdenes[[#This Row],[orden]]="","",_xlfn.XLOOKUP(tblOrdenes[[#This Row],[id_operacion]],tblEjecucion[id_operacion],tblEjecucion[precio],0))</f>
        <v/>
      </c>
      <c r="AJ565" s="10">
        <f>IF(tblOrdenes[[#This Row],[orden]]="","",MAX(0,_xlfn.XLOOKUP(tblOrdenes[[#This Row],[id_operacion]],tblEjecucion[id_operacion],tblEjecucion[costo_plan_total],0)-tblOrdenes[[#This Row],[costo_servicio]]))</f>
        <v/>
      </c>
      <c r="AK565" s="10">
        <f>IF(tblOrdenes[[#This Row],[orden]]="","",tblOrdenes[[#This Row],[costo_servicio]]+tblOrdenes[[#This Row],[costo_materiales]])</f>
        <v/>
      </c>
      <c r="AL565" s="6" t="n"/>
      <c r="AM565" s="6" t="n"/>
      <c r="AN565" s="6" t="n"/>
      <c r="AO565" s="3">
        <f>IF(tblOrdenes[[#This Row],[link_checklist]]="","",HYPERLINK(p_ruta_base_checklists&amp;tblOrdenes[[#This Row],[link_checklist]],"abrir"))</f>
        <v/>
      </c>
      <c r="AP565" s="6" t="n"/>
      <c r="AQ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3">
        <f>IF(tblOrdenes[[#This Row],[tipo_ot]]="","",_xlfn.XLOOKUP(tblOrdenes[[#This Row],[tipo_ot]],tblTiposOT[codigo],tblTiposOT[clasificacion],"sin_clasificar"))</f>
        <v/>
      </c>
      <c r="U566" s="3">
        <f>IF(tblOrdenes[[#This Row],[centro_costo]]="","",_xlfn.XLOOKUP(tblOrdenes[[#This Row],[centro_costo]],tblCECO[codigo],tblCECO[linea],"(sin catálogo)"))</f>
        <v/>
      </c>
      <c r="V566" s="3">
        <f>IF(tblOrdenes[[#This Row],[centro_costo]]="","",_xlfn.XLOOKUP(tblOrdenes[[#This Row],[centro_costo]],tblCECO[codigo],tblCECO[area],"(sin catálogo)"))</f>
        <v/>
      </c>
      <c r="W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3">
        <f>IF(tblOrdenes[[#This Row],[centro_costo]]="","",_xlfn.XLOOKUP(tblOrdenes[[#This Row],[centro_costo]],tblCECO[codigo],tblCECO[coordinador],"(sin catálogo)"))</f>
        <v/>
      </c>
      <c r="Y566" s="3">
        <f>IF(tblOrdenes[[#This Row],[puesto_trabajo]]="","",_xlfn.XLOOKUP(tblOrdenes[[#This Row],[puesto_trabajo]],tblPuestos[codigo],tblPuestos[especialidad],"(sin catálogo)"))</f>
        <v/>
      </c>
      <c r="Z566" s="3">
        <f>IF(tblOrdenes[[#This Row],[cod_actividad]]="","",_xlfn.XLOOKUP(tblOrdenes[[#This Row],[cod_actividad]],tblActividades[codigo],tblActividades[descripcion],"(sin catálogo)"))</f>
        <v/>
      </c>
      <c r="AA566" s="12">
        <f>IF(tblOrdenes[[#This Row],[fecha_inicio]]="","",TODAY()-tblOrdenes[[#This Row],[fecha_inicio]])</f>
        <v/>
      </c>
      <c r="AB5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3">
        <f>IF(tblOrdenes[[#This Row],[backlog_habiles]]="","",IF(tblOrdenes[[#This Row],[backlog_habiles]]&lt;0,"FUTURO",IF(tblOrdenes[[#This Row],[backlog_habiles]]&gt;p_dias_backlog_max,"BACKLOG","MES CORRIENTE")))</f>
        <v/>
      </c>
      <c r="AD566" s="3">
        <f>IF(tblOrdenes[[#This Row],[backlog_habiles]]="",FALSE,AND(tblOrdenes[[#This Row],[backlog_habiles]]&gt;p_dias_backlog_min,tblOrdenes[[#This Row],[backlog_habiles]]&lt;=p_dias_backlog_max))</f>
        <v/>
      </c>
      <c r="AE566" s="6" t="n"/>
      <c r="AF5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0">
        <f>IF(tblOrdenes[[#This Row],[orden]]="","",_xlfn.XLOOKUP(tblOrdenes[[#This Row],[id_operacion]],tblEjecucion[id_operacion],tblEjecucion[precio],0))</f>
        <v/>
      </c>
      <c r="AJ566" s="10">
        <f>IF(tblOrdenes[[#This Row],[orden]]="","",MAX(0,_xlfn.XLOOKUP(tblOrdenes[[#This Row],[id_operacion]],tblEjecucion[id_operacion],tblEjecucion[costo_plan_total],0)-tblOrdenes[[#This Row],[costo_servicio]]))</f>
        <v/>
      </c>
      <c r="AK566" s="10">
        <f>IF(tblOrdenes[[#This Row],[orden]]="","",tblOrdenes[[#This Row],[costo_servicio]]+tblOrdenes[[#This Row],[costo_materiales]])</f>
        <v/>
      </c>
      <c r="AL566" s="6" t="n"/>
      <c r="AM566" s="6" t="n"/>
      <c r="AN566" s="6" t="n"/>
      <c r="AO566" s="3">
        <f>IF(tblOrdenes[[#This Row],[link_checklist]]="","",HYPERLINK(p_ruta_base_checklists&amp;tblOrdenes[[#This Row],[link_checklist]],"abrir"))</f>
        <v/>
      </c>
      <c r="AP566" s="6" t="n"/>
      <c r="AQ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3">
        <f>IF(tblOrdenes[[#This Row],[tipo_ot]]="","",_xlfn.XLOOKUP(tblOrdenes[[#This Row],[tipo_ot]],tblTiposOT[codigo],tblTiposOT[clasificacion],"sin_clasificar"))</f>
        <v/>
      </c>
      <c r="U567" s="3">
        <f>IF(tblOrdenes[[#This Row],[centro_costo]]="","",_xlfn.XLOOKUP(tblOrdenes[[#This Row],[centro_costo]],tblCECO[codigo],tblCECO[linea],"(sin catálogo)"))</f>
        <v/>
      </c>
      <c r="V567" s="3">
        <f>IF(tblOrdenes[[#This Row],[centro_costo]]="","",_xlfn.XLOOKUP(tblOrdenes[[#This Row],[centro_costo]],tblCECO[codigo],tblCECO[area],"(sin catálogo)"))</f>
        <v/>
      </c>
      <c r="W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3">
        <f>IF(tblOrdenes[[#This Row],[centro_costo]]="","",_xlfn.XLOOKUP(tblOrdenes[[#This Row],[centro_costo]],tblCECO[codigo],tblCECO[coordinador],"(sin catálogo)"))</f>
        <v/>
      </c>
      <c r="Y567" s="3">
        <f>IF(tblOrdenes[[#This Row],[puesto_trabajo]]="","",_xlfn.XLOOKUP(tblOrdenes[[#This Row],[puesto_trabajo]],tblPuestos[codigo],tblPuestos[especialidad],"(sin catálogo)"))</f>
        <v/>
      </c>
      <c r="Z567" s="3">
        <f>IF(tblOrdenes[[#This Row],[cod_actividad]]="","",_xlfn.XLOOKUP(tblOrdenes[[#This Row],[cod_actividad]],tblActividades[codigo],tblActividades[descripcion],"(sin catálogo)"))</f>
        <v/>
      </c>
      <c r="AA567" s="12">
        <f>IF(tblOrdenes[[#This Row],[fecha_inicio]]="","",TODAY()-tblOrdenes[[#This Row],[fecha_inicio]])</f>
        <v/>
      </c>
      <c r="AB5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3">
        <f>IF(tblOrdenes[[#This Row],[backlog_habiles]]="","",IF(tblOrdenes[[#This Row],[backlog_habiles]]&lt;0,"FUTURO",IF(tblOrdenes[[#This Row],[backlog_habiles]]&gt;p_dias_backlog_max,"BACKLOG","MES CORRIENTE")))</f>
        <v/>
      </c>
      <c r="AD567" s="3">
        <f>IF(tblOrdenes[[#This Row],[backlog_habiles]]="",FALSE,AND(tblOrdenes[[#This Row],[backlog_habiles]]&gt;p_dias_backlog_min,tblOrdenes[[#This Row],[backlog_habiles]]&lt;=p_dias_backlog_max))</f>
        <v/>
      </c>
      <c r="AE567" s="6" t="n"/>
      <c r="AF5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0">
        <f>IF(tblOrdenes[[#This Row],[orden]]="","",_xlfn.XLOOKUP(tblOrdenes[[#This Row],[id_operacion]],tblEjecucion[id_operacion],tblEjecucion[precio],0))</f>
        <v/>
      </c>
      <c r="AJ567" s="10">
        <f>IF(tblOrdenes[[#This Row],[orden]]="","",MAX(0,_xlfn.XLOOKUP(tblOrdenes[[#This Row],[id_operacion]],tblEjecucion[id_operacion],tblEjecucion[costo_plan_total],0)-tblOrdenes[[#This Row],[costo_servicio]]))</f>
        <v/>
      </c>
      <c r="AK567" s="10">
        <f>IF(tblOrdenes[[#This Row],[orden]]="","",tblOrdenes[[#This Row],[costo_servicio]]+tblOrdenes[[#This Row],[costo_materiales]])</f>
        <v/>
      </c>
      <c r="AL567" s="6" t="n"/>
      <c r="AM567" s="6" t="n"/>
      <c r="AN567" s="6" t="n"/>
      <c r="AO567" s="3">
        <f>IF(tblOrdenes[[#This Row],[link_checklist]]="","",HYPERLINK(p_ruta_base_checklists&amp;tblOrdenes[[#This Row],[link_checklist]],"abrir"))</f>
        <v/>
      </c>
      <c r="AP567" s="6" t="n"/>
      <c r="AQ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3">
        <f>IF(tblOrdenes[[#This Row],[tipo_ot]]="","",_xlfn.XLOOKUP(tblOrdenes[[#This Row],[tipo_ot]],tblTiposOT[codigo],tblTiposOT[clasificacion],"sin_clasificar"))</f>
        <v/>
      </c>
      <c r="U568" s="3">
        <f>IF(tblOrdenes[[#This Row],[centro_costo]]="","",_xlfn.XLOOKUP(tblOrdenes[[#This Row],[centro_costo]],tblCECO[codigo],tblCECO[linea],"(sin catálogo)"))</f>
        <v/>
      </c>
      <c r="V568" s="3">
        <f>IF(tblOrdenes[[#This Row],[centro_costo]]="","",_xlfn.XLOOKUP(tblOrdenes[[#This Row],[centro_costo]],tblCECO[codigo],tblCECO[area],"(sin catálogo)"))</f>
        <v/>
      </c>
      <c r="W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3">
        <f>IF(tblOrdenes[[#This Row],[centro_costo]]="","",_xlfn.XLOOKUP(tblOrdenes[[#This Row],[centro_costo]],tblCECO[codigo],tblCECO[coordinador],"(sin catálogo)"))</f>
        <v/>
      </c>
      <c r="Y568" s="3">
        <f>IF(tblOrdenes[[#This Row],[puesto_trabajo]]="","",_xlfn.XLOOKUP(tblOrdenes[[#This Row],[puesto_trabajo]],tblPuestos[codigo],tblPuestos[especialidad],"(sin catálogo)"))</f>
        <v/>
      </c>
      <c r="Z568" s="3">
        <f>IF(tblOrdenes[[#This Row],[cod_actividad]]="","",_xlfn.XLOOKUP(tblOrdenes[[#This Row],[cod_actividad]],tblActividades[codigo],tblActividades[descripcion],"(sin catálogo)"))</f>
        <v/>
      </c>
      <c r="AA568" s="12">
        <f>IF(tblOrdenes[[#This Row],[fecha_inicio]]="","",TODAY()-tblOrdenes[[#This Row],[fecha_inicio]])</f>
        <v/>
      </c>
      <c r="AB5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3">
        <f>IF(tblOrdenes[[#This Row],[backlog_habiles]]="","",IF(tblOrdenes[[#This Row],[backlog_habiles]]&lt;0,"FUTURO",IF(tblOrdenes[[#This Row],[backlog_habiles]]&gt;p_dias_backlog_max,"BACKLOG","MES CORRIENTE")))</f>
        <v/>
      </c>
      <c r="AD568" s="3">
        <f>IF(tblOrdenes[[#This Row],[backlog_habiles]]="",FALSE,AND(tblOrdenes[[#This Row],[backlog_habiles]]&gt;p_dias_backlog_min,tblOrdenes[[#This Row],[backlog_habiles]]&lt;=p_dias_backlog_max))</f>
        <v/>
      </c>
      <c r="AE568" s="6" t="n"/>
      <c r="AF5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0">
        <f>IF(tblOrdenes[[#This Row],[orden]]="","",_xlfn.XLOOKUP(tblOrdenes[[#This Row],[id_operacion]],tblEjecucion[id_operacion],tblEjecucion[precio],0))</f>
        <v/>
      </c>
      <c r="AJ568" s="10">
        <f>IF(tblOrdenes[[#This Row],[orden]]="","",MAX(0,_xlfn.XLOOKUP(tblOrdenes[[#This Row],[id_operacion]],tblEjecucion[id_operacion],tblEjecucion[costo_plan_total],0)-tblOrdenes[[#This Row],[costo_servicio]]))</f>
        <v/>
      </c>
      <c r="AK568" s="10">
        <f>IF(tblOrdenes[[#This Row],[orden]]="","",tblOrdenes[[#This Row],[costo_servicio]]+tblOrdenes[[#This Row],[costo_materiales]])</f>
        <v/>
      </c>
      <c r="AL568" s="6" t="n"/>
      <c r="AM568" s="6" t="n"/>
      <c r="AN568" s="6" t="n"/>
      <c r="AO568" s="3">
        <f>IF(tblOrdenes[[#This Row],[link_checklist]]="","",HYPERLINK(p_ruta_base_checklists&amp;tblOrdenes[[#This Row],[link_checklist]],"abrir"))</f>
        <v/>
      </c>
      <c r="AP568" s="6" t="n"/>
      <c r="AQ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3">
        <f>IF(tblOrdenes[[#This Row],[tipo_ot]]="","",_xlfn.XLOOKUP(tblOrdenes[[#This Row],[tipo_ot]],tblTiposOT[codigo],tblTiposOT[clasificacion],"sin_clasificar"))</f>
        <v/>
      </c>
      <c r="U569" s="3">
        <f>IF(tblOrdenes[[#This Row],[centro_costo]]="","",_xlfn.XLOOKUP(tblOrdenes[[#This Row],[centro_costo]],tblCECO[codigo],tblCECO[linea],"(sin catálogo)"))</f>
        <v/>
      </c>
      <c r="V569" s="3">
        <f>IF(tblOrdenes[[#This Row],[centro_costo]]="","",_xlfn.XLOOKUP(tblOrdenes[[#This Row],[centro_costo]],tblCECO[codigo],tblCECO[area],"(sin catálogo)"))</f>
        <v/>
      </c>
      <c r="W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3">
        <f>IF(tblOrdenes[[#This Row],[centro_costo]]="","",_xlfn.XLOOKUP(tblOrdenes[[#This Row],[centro_costo]],tblCECO[codigo],tblCECO[coordinador],"(sin catálogo)"))</f>
        <v/>
      </c>
      <c r="Y569" s="3">
        <f>IF(tblOrdenes[[#This Row],[puesto_trabajo]]="","",_xlfn.XLOOKUP(tblOrdenes[[#This Row],[puesto_trabajo]],tblPuestos[codigo],tblPuestos[especialidad],"(sin catálogo)"))</f>
        <v/>
      </c>
      <c r="Z569" s="3">
        <f>IF(tblOrdenes[[#This Row],[cod_actividad]]="","",_xlfn.XLOOKUP(tblOrdenes[[#This Row],[cod_actividad]],tblActividades[codigo],tblActividades[descripcion],"(sin catálogo)"))</f>
        <v/>
      </c>
      <c r="AA569" s="12">
        <f>IF(tblOrdenes[[#This Row],[fecha_inicio]]="","",TODAY()-tblOrdenes[[#This Row],[fecha_inicio]])</f>
        <v/>
      </c>
      <c r="AB5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3">
        <f>IF(tblOrdenes[[#This Row],[backlog_habiles]]="","",IF(tblOrdenes[[#This Row],[backlog_habiles]]&lt;0,"FUTURO",IF(tblOrdenes[[#This Row],[backlog_habiles]]&gt;p_dias_backlog_max,"BACKLOG","MES CORRIENTE")))</f>
        <v/>
      </c>
      <c r="AD569" s="3">
        <f>IF(tblOrdenes[[#This Row],[backlog_habiles]]="",FALSE,AND(tblOrdenes[[#This Row],[backlog_habiles]]&gt;p_dias_backlog_min,tblOrdenes[[#This Row],[backlog_habiles]]&lt;=p_dias_backlog_max))</f>
        <v/>
      </c>
      <c r="AE569" s="6" t="n"/>
      <c r="AF5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0">
        <f>IF(tblOrdenes[[#This Row],[orden]]="","",_xlfn.XLOOKUP(tblOrdenes[[#This Row],[id_operacion]],tblEjecucion[id_operacion],tblEjecucion[precio],0))</f>
        <v/>
      </c>
      <c r="AJ569" s="10">
        <f>IF(tblOrdenes[[#This Row],[orden]]="","",MAX(0,_xlfn.XLOOKUP(tblOrdenes[[#This Row],[id_operacion]],tblEjecucion[id_operacion],tblEjecucion[costo_plan_total],0)-tblOrdenes[[#This Row],[costo_servicio]]))</f>
        <v/>
      </c>
      <c r="AK569" s="10">
        <f>IF(tblOrdenes[[#This Row],[orden]]="","",tblOrdenes[[#This Row],[costo_servicio]]+tblOrdenes[[#This Row],[costo_materiales]])</f>
        <v/>
      </c>
      <c r="AL569" s="6" t="n"/>
      <c r="AM569" s="6" t="n"/>
      <c r="AN569" s="6" t="n"/>
      <c r="AO569" s="3">
        <f>IF(tblOrdenes[[#This Row],[link_checklist]]="","",HYPERLINK(p_ruta_base_checklists&amp;tblOrdenes[[#This Row],[link_checklist]],"abrir"))</f>
        <v/>
      </c>
      <c r="AP569" s="6" t="n"/>
      <c r="AQ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3">
        <f>IF(tblOrdenes[[#This Row],[tipo_ot]]="","",_xlfn.XLOOKUP(tblOrdenes[[#This Row],[tipo_ot]],tblTiposOT[codigo],tblTiposOT[clasificacion],"sin_clasificar"))</f>
        <v/>
      </c>
      <c r="U570" s="3">
        <f>IF(tblOrdenes[[#This Row],[centro_costo]]="","",_xlfn.XLOOKUP(tblOrdenes[[#This Row],[centro_costo]],tblCECO[codigo],tblCECO[linea],"(sin catálogo)"))</f>
        <v/>
      </c>
      <c r="V570" s="3">
        <f>IF(tblOrdenes[[#This Row],[centro_costo]]="","",_xlfn.XLOOKUP(tblOrdenes[[#This Row],[centro_costo]],tblCECO[codigo],tblCECO[area],"(sin catálogo)"))</f>
        <v/>
      </c>
      <c r="W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3">
        <f>IF(tblOrdenes[[#This Row],[centro_costo]]="","",_xlfn.XLOOKUP(tblOrdenes[[#This Row],[centro_costo]],tblCECO[codigo],tblCECO[coordinador],"(sin catálogo)"))</f>
        <v/>
      </c>
      <c r="Y570" s="3">
        <f>IF(tblOrdenes[[#This Row],[puesto_trabajo]]="","",_xlfn.XLOOKUP(tblOrdenes[[#This Row],[puesto_trabajo]],tblPuestos[codigo],tblPuestos[especialidad],"(sin catálogo)"))</f>
        <v/>
      </c>
      <c r="Z570" s="3">
        <f>IF(tblOrdenes[[#This Row],[cod_actividad]]="","",_xlfn.XLOOKUP(tblOrdenes[[#This Row],[cod_actividad]],tblActividades[codigo],tblActividades[descripcion],"(sin catálogo)"))</f>
        <v/>
      </c>
      <c r="AA570" s="12">
        <f>IF(tblOrdenes[[#This Row],[fecha_inicio]]="","",TODAY()-tblOrdenes[[#This Row],[fecha_inicio]])</f>
        <v/>
      </c>
      <c r="AB5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3">
        <f>IF(tblOrdenes[[#This Row],[backlog_habiles]]="","",IF(tblOrdenes[[#This Row],[backlog_habiles]]&lt;0,"FUTURO",IF(tblOrdenes[[#This Row],[backlog_habiles]]&gt;p_dias_backlog_max,"BACKLOG","MES CORRIENTE")))</f>
        <v/>
      </c>
      <c r="AD570" s="3">
        <f>IF(tblOrdenes[[#This Row],[backlog_habiles]]="",FALSE,AND(tblOrdenes[[#This Row],[backlog_habiles]]&gt;p_dias_backlog_min,tblOrdenes[[#This Row],[backlog_habiles]]&lt;=p_dias_backlog_max))</f>
        <v/>
      </c>
      <c r="AE570" s="6" t="n"/>
      <c r="AF5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0">
        <f>IF(tblOrdenes[[#This Row],[orden]]="","",_xlfn.XLOOKUP(tblOrdenes[[#This Row],[id_operacion]],tblEjecucion[id_operacion],tblEjecucion[precio],0))</f>
        <v/>
      </c>
      <c r="AJ570" s="10">
        <f>IF(tblOrdenes[[#This Row],[orden]]="","",MAX(0,_xlfn.XLOOKUP(tblOrdenes[[#This Row],[id_operacion]],tblEjecucion[id_operacion],tblEjecucion[costo_plan_total],0)-tblOrdenes[[#This Row],[costo_servicio]]))</f>
        <v/>
      </c>
      <c r="AK570" s="10">
        <f>IF(tblOrdenes[[#This Row],[orden]]="","",tblOrdenes[[#This Row],[costo_servicio]]+tblOrdenes[[#This Row],[costo_materiales]])</f>
        <v/>
      </c>
      <c r="AL570" s="6" t="n"/>
      <c r="AM570" s="6" t="n"/>
      <c r="AN570" s="6" t="n"/>
      <c r="AO570" s="3">
        <f>IF(tblOrdenes[[#This Row],[link_checklist]]="","",HYPERLINK(p_ruta_base_checklists&amp;tblOrdenes[[#This Row],[link_checklist]],"abrir"))</f>
        <v/>
      </c>
      <c r="AP570" s="6" t="n"/>
      <c r="AQ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3">
        <f>IF(tblOrdenes[[#This Row],[tipo_ot]]="","",_xlfn.XLOOKUP(tblOrdenes[[#This Row],[tipo_ot]],tblTiposOT[codigo],tblTiposOT[clasificacion],"sin_clasificar"))</f>
        <v/>
      </c>
      <c r="U571" s="3">
        <f>IF(tblOrdenes[[#This Row],[centro_costo]]="","",_xlfn.XLOOKUP(tblOrdenes[[#This Row],[centro_costo]],tblCECO[codigo],tblCECO[linea],"(sin catálogo)"))</f>
        <v/>
      </c>
      <c r="V571" s="3">
        <f>IF(tblOrdenes[[#This Row],[centro_costo]]="","",_xlfn.XLOOKUP(tblOrdenes[[#This Row],[centro_costo]],tblCECO[codigo],tblCECO[area],"(sin catálogo)"))</f>
        <v/>
      </c>
      <c r="W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3">
        <f>IF(tblOrdenes[[#This Row],[centro_costo]]="","",_xlfn.XLOOKUP(tblOrdenes[[#This Row],[centro_costo]],tblCECO[codigo],tblCECO[coordinador],"(sin catálogo)"))</f>
        <v/>
      </c>
      <c r="Y571" s="3">
        <f>IF(tblOrdenes[[#This Row],[puesto_trabajo]]="","",_xlfn.XLOOKUP(tblOrdenes[[#This Row],[puesto_trabajo]],tblPuestos[codigo],tblPuestos[especialidad],"(sin catálogo)"))</f>
        <v/>
      </c>
      <c r="Z571" s="3">
        <f>IF(tblOrdenes[[#This Row],[cod_actividad]]="","",_xlfn.XLOOKUP(tblOrdenes[[#This Row],[cod_actividad]],tblActividades[codigo],tblActividades[descripcion],"(sin catálogo)"))</f>
        <v/>
      </c>
      <c r="AA571" s="12">
        <f>IF(tblOrdenes[[#This Row],[fecha_inicio]]="","",TODAY()-tblOrdenes[[#This Row],[fecha_inicio]])</f>
        <v/>
      </c>
      <c r="AB5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3">
        <f>IF(tblOrdenes[[#This Row],[backlog_habiles]]="","",IF(tblOrdenes[[#This Row],[backlog_habiles]]&lt;0,"FUTURO",IF(tblOrdenes[[#This Row],[backlog_habiles]]&gt;p_dias_backlog_max,"BACKLOG","MES CORRIENTE")))</f>
        <v/>
      </c>
      <c r="AD571" s="3">
        <f>IF(tblOrdenes[[#This Row],[backlog_habiles]]="",FALSE,AND(tblOrdenes[[#This Row],[backlog_habiles]]&gt;p_dias_backlog_min,tblOrdenes[[#This Row],[backlog_habiles]]&lt;=p_dias_backlog_max))</f>
        <v/>
      </c>
      <c r="AE571" s="6" t="n"/>
      <c r="AF5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0">
        <f>IF(tblOrdenes[[#This Row],[orden]]="","",_xlfn.XLOOKUP(tblOrdenes[[#This Row],[id_operacion]],tblEjecucion[id_operacion],tblEjecucion[precio],0))</f>
        <v/>
      </c>
      <c r="AJ571" s="10">
        <f>IF(tblOrdenes[[#This Row],[orden]]="","",MAX(0,_xlfn.XLOOKUP(tblOrdenes[[#This Row],[id_operacion]],tblEjecucion[id_operacion],tblEjecucion[costo_plan_total],0)-tblOrdenes[[#This Row],[costo_servicio]]))</f>
        <v/>
      </c>
      <c r="AK571" s="10">
        <f>IF(tblOrdenes[[#This Row],[orden]]="","",tblOrdenes[[#This Row],[costo_servicio]]+tblOrdenes[[#This Row],[costo_materiales]])</f>
        <v/>
      </c>
      <c r="AL571" s="6" t="n"/>
      <c r="AM571" s="6" t="n"/>
      <c r="AN571" s="6" t="n"/>
      <c r="AO571" s="3">
        <f>IF(tblOrdenes[[#This Row],[link_checklist]]="","",HYPERLINK(p_ruta_base_checklists&amp;tblOrdenes[[#This Row],[link_checklist]],"abrir"))</f>
        <v/>
      </c>
      <c r="AP571" s="6" t="n"/>
      <c r="AQ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3">
        <f>IF(tblOrdenes[[#This Row],[tipo_ot]]="","",_xlfn.XLOOKUP(tblOrdenes[[#This Row],[tipo_ot]],tblTiposOT[codigo],tblTiposOT[clasificacion],"sin_clasificar"))</f>
        <v/>
      </c>
      <c r="U572" s="3">
        <f>IF(tblOrdenes[[#This Row],[centro_costo]]="","",_xlfn.XLOOKUP(tblOrdenes[[#This Row],[centro_costo]],tblCECO[codigo],tblCECO[linea],"(sin catálogo)"))</f>
        <v/>
      </c>
      <c r="V572" s="3">
        <f>IF(tblOrdenes[[#This Row],[centro_costo]]="","",_xlfn.XLOOKUP(tblOrdenes[[#This Row],[centro_costo]],tblCECO[codigo],tblCECO[area],"(sin catálogo)"))</f>
        <v/>
      </c>
      <c r="W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3">
        <f>IF(tblOrdenes[[#This Row],[centro_costo]]="","",_xlfn.XLOOKUP(tblOrdenes[[#This Row],[centro_costo]],tblCECO[codigo],tblCECO[coordinador],"(sin catálogo)"))</f>
        <v/>
      </c>
      <c r="Y572" s="3">
        <f>IF(tblOrdenes[[#This Row],[puesto_trabajo]]="","",_xlfn.XLOOKUP(tblOrdenes[[#This Row],[puesto_trabajo]],tblPuestos[codigo],tblPuestos[especialidad],"(sin catálogo)"))</f>
        <v/>
      </c>
      <c r="Z572" s="3">
        <f>IF(tblOrdenes[[#This Row],[cod_actividad]]="","",_xlfn.XLOOKUP(tblOrdenes[[#This Row],[cod_actividad]],tblActividades[codigo],tblActividades[descripcion],"(sin catálogo)"))</f>
        <v/>
      </c>
      <c r="AA572" s="12">
        <f>IF(tblOrdenes[[#This Row],[fecha_inicio]]="","",TODAY()-tblOrdenes[[#This Row],[fecha_inicio]])</f>
        <v/>
      </c>
      <c r="AB5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3">
        <f>IF(tblOrdenes[[#This Row],[backlog_habiles]]="","",IF(tblOrdenes[[#This Row],[backlog_habiles]]&lt;0,"FUTURO",IF(tblOrdenes[[#This Row],[backlog_habiles]]&gt;p_dias_backlog_max,"BACKLOG","MES CORRIENTE")))</f>
        <v/>
      </c>
      <c r="AD572" s="3">
        <f>IF(tblOrdenes[[#This Row],[backlog_habiles]]="",FALSE,AND(tblOrdenes[[#This Row],[backlog_habiles]]&gt;p_dias_backlog_min,tblOrdenes[[#This Row],[backlog_habiles]]&lt;=p_dias_backlog_max))</f>
        <v/>
      </c>
      <c r="AE572" s="6" t="n"/>
      <c r="AF5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0">
        <f>IF(tblOrdenes[[#This Row],[orden]]="","",_xlfn.XLOOKUP(tblOrdenes[[#This Row],[id_operacion]],tblEjecucion[id_operacion],tblEjecucion[precio],0))</f>
        <v/>
      </c>
      <c r="AJ572" s="10">
        <f>IF(tblOrdenes[[#This Row],[orden]]="","",MAX(0,_xlfn.XLOOKUP(tblOrdenes[[#This Row],[id_operacion]],tblEjecucion[id_operacion],tblEjecucion[costo_plan_total],0)-tblOrdenes[[#This Row],[costo_servicio]]))</f>
        <v/>
      </c>
      <c r="AK572" s="10">
        <f>IF(tblOrdenes[[#This Row],[orden]]="","",tblOrdenes[[#This Row],[costo_servicio]]+tblOrdenes[[#This Row],[costo_materiales]])</f>
        <v/>
      </c>
      <c r="AL572" s="6" t="n"/>
      <c r="AM572" s="6" t="n"/>
      <c r="AN572" s="6" t="n"/>
      <c r="AO572" s="3">
        <f>IF(tblOrdenes[[#This Row],[link_checklist]]="","",HYPERLINK(p_ruta_base_checklists&amp;tblOrdenes[[#This Row],[link_checklist]],"abrir"))</f>
        <v/>
      </c>
      <c r="AP572" s="6" t="n"/>
      <c r="AQ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3">
        <f>IF(tblOrdenes[[#This Row],[tipo_ot]]="","",_xlfn.XLOOKUP(tblOrdenes[[#This Row],[tipo_ot]],tblTiposOT[codigo],tblTiposOT[clasificacion],"sin_clasificar"))</f>
        <v/>
      </c>
      <c r="U573" s="3">
        <f>IF(tblOrdenes[[#This Row],[centro_costo]]="","",_xlfn.XLOOKUP(tblOrdenes[[#This Row],[centro_costo]],tblCECO[codigo],tblCECO[linea],"(sin catálogo)"))</f>
        <v/>
      </c>
      <c r="V573" s="3">
        <f>IF(tblOrdenes[[#This Row],[centro_costo]]="","",_xlfn.XLOOKUP(tblOrdenes[[#This Row],[centro_costo]],tblCECO[codigo],tblCECO[area],"(sin catálogo)"))</f>
        <v/>
      </c>
      <c r="W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3">
        <f>IF(tblOrdenes[[#This Row],[centro_costo]]="","",_xlfn.XLOOKUP(tblOrdenes[[#This Row],[centro_costo]],tblCECO[codigo],tblCECO[coordinador],"(sin catálogo)"))</f>
        <v/>
      </c>
      <c r="Y573" s="3">
        <f>IF(tblOrdenes[[#This Row],[puesto_trabajo]]="","",_xlfn.XLOOKUP(tblOrdenes[[#This Row],[puesto_trabajo]],tblPuestos[codigo],tblPuestos[especialidad],"(sin catálogo)"))</f>
        <v/>
      </c>
      <c r="Z573" s="3">
        <f>IF(tblOrdenes[[#This Row],[cod_actividad]]="","",_xlfn.XLOOKUP(tblOrdenes[[#This Row],[cod_actividad]],tblActividades[codigo],tblActividades[descripcion],"(sin catálogo)"))</f>
        <v/>
      </c>
      <c r="AA573" s="12">
        <f>IF(tblOrdenes[[#This Row],[fecha_inicio]]="","",TODAY()-tblOrdenes[[#This Row],[fecha_inicio]])</f>
        <v/>
      </c>
      <c r="AB5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3">
        <f>IF(tblOrdenes[[#This Row],[backlog_habiles]]="","",IF(tblOrdenes[[#This Row],[backlog_habiles]]&lt;0,"FUTURO",IF(tblOrdenes[[#This Row],[backlog_habiles]]&gt;p_dias_backlog_max,"BACKLOG","MES CORRIENTE")))</f>
        <v/>
      </c>
      <c r="AD573" s="3">
        <f>IF(tblOrdenes[[#This Row],[backlog_habiles]]="",FALSE,AND(tblOrdenes[[#This Row],[backlog_habiles]]&gt;p_dias_backlog_min,tblOrdenes[[#This Row],[backlog_habiles]]&lt;=p_dias_backlog_max))</f>
        <v/>
      </c>
      <c r="AE573" s="6" t="n"/>
      <c r="AF5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0">
        <f>IF(tblOrdenes[[#This Row],[orden]]="","",_xlfn.XLOOKUP(tblOrdenes[[#This Row],[id_operacion]],tblEjecucion[id_operacion],tblEjecucion[precio],0))</f>
        <v/>
      </c>
      <c r="AJ573" s="10">
        <f>IF(tblOrdenes[[#This Row],[orden]]="","",MAX(0,_xlfn.XLOOKUP(tblOrdenes[[#This Row],[id_operacion]],tblEjecucion[id_operacion],tblEjecucion[costo_plan_total],0)-tblOrdenes[[#This Row],[costo_servicio]]))</f>
        <v/>
      </c>
      <c r="AK573" s="10">
        <f>IF(tblOrdenes[[#This Row],[orden]]="","",tblOrdenes[[#This Row],[costo_servicio]]+tblOrdenes[[#This Row],[costo_materiales]])</f>
        <v/>
      </c>
      <c r="AL573" s="6" t="n"/>
      <c r="AM573" s="6" t="n"/>
      <c r="AN573" s="6" t="n"/>
      <c r="AO573" s="3">
        <f>IF(tblOrdenes[[#This Row],[link_checklist]]="","",HYPERLINK(p_ruta_base_checklists&amp;tblOrdenes[[#This Row],[link_checklist]],"abrir"))</f>
        <v/>
      </c>
      <c r="AP573" s="6" t="n"/>
      <c r="AQ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3">
        <f>IF(tblOrdenes[[#This Row],[tipo_ot]]="","",_xlfn.XLOOKUP(tblOrdenes[[#This Row],[tipo_ot]],tblTiposOT[codigo],tblTiposOT[clasificacion],"sin_clasificar"))</f>
        <v/>
      </c>
      <c r="U574" s="3">
        <f>IF(tblOrdenes[[#This Row],[centro_costo]]="","",_xlfn.XLOOKUP(tblOrdenes[[#This Row],[centro_costo]],tblCECO[codigo],tblCECO[linea],"(sin catálogo)"))</f>
        <v/>
      </c>
      <c r="V574" s="3">
        <f>IF(tblOrdenes[[#This Row],[centro_costo]]="","",_xlfn.XLOOKUP(tblOrdenes[[#This Row],[centro_costo]],tblCECO[codigo],tblCECO[area],"(sin catálogo)"))</f>
        <v/>
      </c>
      <c r="W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3">
        <f>IF(tblOrdenes[[#This Row],[centro_costo]]="","",_xlfn.XLOOKUP(tblOrdenes[[#This Row],[centro_costo]],tblCECO[codigo],tblCECO[coordinador],"(sin catálogo)"))</f>
        <v/>
      </c>
      <c r="Y574" s="3">
        <f>IF(tblOrdenes[[#This Row],[puesto_trabajo]]="","",_xlfn.XLOOKUP(tblOrdenes[[#This Row],[puesto_trabajo]],tblPuestos[codigo],tblPuestos[especialidad],"(sin catálogo)"))</f>
        <v/>
      </c>
      <c r="Z574" s="3">
        <f>IF(tblOrdenes[[#This Row],[cod_actividad]]="","",_xlfn.XLOOKUP(tblOrdenes[[#This Row],[cod_actividad]],tblActividades[codigo],tblActividades[descripcion],"(sin catálogo)"))</f>
        <v/>
      </c>
      <c r="AA574" s="12">
        <f>IF(tblOrdenes[[#This Row],[fecha_inicio]]="","",TODAY()-tblOrdenes[[#This Row],[fecha_inicio]])</f>
        <v/>
      </c>
      <c r="AB5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3">
        <f>IF(tblOrdenes[[#This Row],[backlog_habiles]]="","",IF(tblOrdenes[[#This Row],[backlog_habiles]]&lt;0,"FUTURO",IF(tblOrdenes[[#This Row],[backlog_habiles]]&gt;p_dias_backlog_max,"BACKLOG","MES CORRIENTE")))</f>
        <v/>
      </c>
      <c r="AD574" s="3">
        <f>IF(tblOrdenes[[#This Row],[backlog_habiles]]="",FALSE,AND(tblOrdenes[[#This Row],[backlog_habiles]]&gt;p_dias_backlog_min,tblOrdenes[[#This Row],[backlog_habiles]]&lt;=p_dias_backlog_max))</f>
        <v/>
      </c>
      <c r="AE574" s="6" t="n"/>
      <c r="AF5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0">
        <f>IF(tblOrdenes[[#This Row],[orden]]="","",_xlfn.XLOOKUP(tblOrdenes[[#This Row],[id_operacion]],tblEjecucion[id_operacion],tblEjecucion[precio],0))</f>
        <v/>
      </c>
      <c r="AJ574" s="10">
        <f>IF(tblOrdenes[[#This Row],[orden]]="","",MAX(0,_xlfn.XLOOKUP(tblOrdenes[[#This Row],[id_operacion]],tblEjecucion[id_operacion],tblEjecucion[costo_plan_total],0)-tblOrdenes[[#This Row],[costo_servicio]]))</f>
        <v/>
      </c>
      <c r="AK574" s="10">
        <f>IF(tblOrdenes[[#This Row],[orden]]="","",tblOrdenes[[#This Row],[costo_servicio]]+tblOrdenes[[#This Row],[costo_materiales]])</f>
        <v/>
      </c>
      <c r="AL574" s="6" t="n"/>
      <c r="AM574" s="6" t="n"/>
      <c r="AN574" s="6" t="n"/>
      <c r="AO574" s="3">
        <f>IF(tblOrdenes[[#This Row],[link_checklist]]="","",HYPERLINK(p_ruta_base_checklists&amp;tblOrdenes[[#This Row],[link_checklist]],"abrir"))</f>
        <v/>
      </c>
      <c r="AP574" s="6" t="n"/>
      <c r="AQ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3">
        <f>IF(tblOrdenes[[#This Row],[tipo_ot]]="","",_xlfn.XLOOKUP(tblOrdenes[[#This Row],[tipo_ot]],tblTiposOT[codigo],tblTiposOT[clasificacion],"sin_clasificar"))</f>
        <v/>
      </c>
      <c r="U575" s="3">
        <f>IF(tblOrdenes[[#This Row],[centro_costo]]="","",_xlfn.XLOOKUP(tblOrdenes[[#This Row],[centro_costo]],tblCECO[codigo],tblCECO[linea],"(sin catálogo)"))</f>
        <v/>
      </c>
      <c r="V575" s="3">
        <f>IF(tblOrdenes[[#This Row],[centro_costo]]="","",_xlfn.XLOOKUP(tblOrdenes[[#This Row],[centro_costo]],tblCECO[codigo],tblCECO[area],"(sin catálogo)"))</f>
        <v/>
      </c>
      <c r="W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3">
        <f>IF(tblOrdenes[[#This Row],[centro_costo]]="","",_xlfn.XLOOKUP(tblOrdenes[[#This Row],[centro_costo]],tblCECO[codigo],tblCECO[coordinador],"(sin catálogo)"))</f>
        <v/>
      </c>
      <c r="Y575" s="3">
        <f>IF(tblOrdenes[[#This Row],[puesto_trabajo]]="","",_xlfn.XLOOKUP(tblOrdenes[[#This Row],[puesto_trabajo]],tblPuestos[codigo],tblPuestos[especialidad],"(sin catálogo)"))</f>
        <v/>
      </c>
      <c r="Z575" s="3">
        <f>IF(tblOrdenes[[#This Row],[cod_actividad]]="","",_xlfn.XLOOKUP(tblOrdenes[[#This Row],[cod_actividad]],tblActividades[codigo],tblActividades[descripcion],"(sin catálogo)"))</f>
        <v/>
      </c>
      <c r="AA575" s="12">
        <f>IF(tblOrdenes[[#This Row],[fecha_inicio]]="","",TODAY()-tblOrdenes[[#This Row],[fecha_inicio]])</f>
        <v/>
      </c>
      <c r="AB5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3">
        <f>IF(tblOrdenes[[#This Row],[backlog_habiles]]="","",IF(tblOrdenes[[#This Row],[backlog_habiles]]&lt;0,"FUTURO",IF(tblOrdenes[[#This Row],[backlog_habiles]]&gt;p_dias_backlog_max,"BACKLOG","MES CORRIENTE")))</f>
        <v/>
      </c>
      <c r="AD575" s="3">
        <f>IF(tblOrdenes[[#This Row],[backlog_habiles]]="",FALSE,AND(tblOrdenes[[#This Row],[backlog_habiles]]&gt;p_dias_backlog_min,tblOrdenes[[#This Row],[backlog_habiles]]&lt;=p_dias_backlog_max))</f>
        <v/>
      </c>
      <c r="AE575" s="6" t="n"/>
      <c r="AF5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0">
        <f>IF(tblOrdenes[[#This Row],[orden]]="","",_xlfn.XLOOKUP(tblOrdenes[[#This Row],[id_operacion]],tblEjecucion[id_operacion],tblEjecucion[precio],0))</f>
        <v/>
      </c>
      <c r="AJ575" s="10">
        <f>IF(tblOrdenes[[#This Row],[orden]]="","",MAX(0,_xlfn.XLOOKUP(tblOrdenes[[#This Row],[id_operacion]],tblEjecucion[id_operacion],tblEjecucion[costo_plan_total],0)-tblOrdenes[[#This Row],[costo_servicio]]))</f>
        <v/>
      </c>
      <c r="AK575" s="10">
        <f>IF(tblOrdenes[[#This Row],[orden]]="","",tblOrdenes[[#This Row],[costo_servicio]]+tblOrdenes[[#This Row],[costo_materiales]])</f>
        <v/>
      </c>
      <c r="AL575" s="6" t="n"/>
      <c r="AM575" s="6" t="n"/>
      <c r="AN575" s="6" t="n"/>
      <c r="AO575" s="3">
        <f>IF(tblOrdenes[[#This Row],[link_checklist]]="","",HYPERLINK(p_ruta_base_checklists&amp;tblOrdenes[[#This Row],[link_checklist]],"abrir"))</f>
        <v/>
      </c>
      <c r="AP575" s="6" t="n"/>
      <c r="AQ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3">
        <f>IF(tblOrdenes[[#This Row],[tipo_ot]]="","",_xlfn.XLOOKUP(tblOrdenes[[#This Row],[tipo_ot]],tblTiposOT[codigo],tblTiposOT[clasificacion],"sin_clasificar"))</f>
        <v/>
      </c>
      <c r="U576" s="3">
        <f>IF(tblOrdenes[[#This Row],[centro_costo]]="","",_xlfn.XLOOKUP(tblOrdenes[[#This Row],[centro_costo]],tblCECO[codigo],tblCECO[linea],"(sin catálogo)"))</f>
        <v/>
      </c>
      <c r="V576" s="3">
        <f>IF(tblOrdenes[[#This Row],[centro_costo]]="","",_xlfn.XLOOKUP(tblOrdenes[[#This Row],[centro_costo]],tblCECO[codigo],tblCECO[area],"(sin catálogo)"))</f>
        <v/>
      </c>
      <c r="W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3">
        <f>IF(tblOrdenes[[#This Row],[centro_costo]]="","",_xlfn.XLOOKUP(tblOrdenes[[#This Row],[centro_costo]],tblCECO[codigo],tblCECO[coordinador],"(sin catálogo)"))</f>
        <v/>
      </c>
      <c r="Y576" s="3">
        <f>IF(tblOrdenes[[#This Row],[puesto_trabajo]]="","",_xlfn.XLOOKUP(tblOrdenes[[#This Row],[puesto_trabajo]],tblPuestos[codigo],tblPuestos[especialidad],"(sin catálogo)"))</f>
        <v/>
      </c>
      <c r="Z576" s="3">
        <f>IF(tblOrdenes[[#This Row],[cod_actividad]]="","",_xlfn.XLOOKUP(tblOrdenes[[#This Row],[cod_actividad]],tblActividades[codigo],tblActividades[descripcion],"(sin catálogo)"))</f>
        <v/>
      </c>
      <c r="AA576" s="12">
        <f>IF(tblOrdenes[[#This Row],[fecha_inicio]]="","",TODAY()-tblOrdenes[[#This Row],[fecha_inicio]])</f>
        <v/>
      </c>
      <c r="AB5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3">
        <f>IF(tblOrdenes[[#This Row],[backlog_habiles]]="","",IF(tblOrdenes[[#This Row],[backlog_habiles]]&lt;0,"FUTURO",IF(tblOrdenes[[#This Row],[backlog_habiles]]&gt;p_dias_backlog_max,"BACKLOG","MES CORRIENTE")))</f>
        <v/>
      </c>
      <c r="AD576" s="3">
        <f>IF(tblOrdenes[[#This Row],[backlog_habiles]]="",FALSE,AND(tblOrdenes[[#This Row],[backlog_habiles]]&gt;p_dias_backlog_min,tblOrdenes[[#This Row],[backlog_habiles]]&lt;=p_dias_backlog_max))</f>
        <v/>
      </c>
      <c r="AE576" s="6" t="n"/>
      <c r="AF5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0">
        <f>IF(tblOrdenes[[#This Row],[orden]]="","",_xlfn.XLOOKUP(tblOrdenes[[#This Row],[id_operacion]],tblEjecucion[id_operacion],tblEjecucion[precio],0))</f>
        <v/>
      </c>
      <c r="AJ576" s="10">
        <f>IF(tblOrdenes[[#This Row],[orden]]="","",MAX(0,_xlfn.XLOOKUP(tblOrdenes[[#This Row],[id_operacion]],tblEjecucion[id_operacion],tblEjecucion[costo_plan_total],0)-tblOrdenes[[#This Row],[costo_servicio]]))</f>
        <v/>
      </c>
      <c r="AK576" s="10">
        <f>IF(tblOrdenes[[#This Row],[orden]]="","",tblOrdenes[[#This Row],[costo_servicio]]+tblOrdenes[[#This Row],[costo_materiales]])</f>
        <v/>
      </c>
      <c r="AL576" s="6" t="n"/>
      <c r="AM576" s="6" t="n"/>
      <c r="AN576" s="6" t="n"/>
      <c r="AO576" s="3">
        <f>IF(tblOrdenes[[#This Row],[link_checklist]]="","",HYPERLINK(p_ruta_base_checklists&amp;tblOrdenes[[#This Row],[link_checklist]],"abrir"))</f>
        <v/>
      </c>
      <c r="AP576" s="6" t="n"/>
      <c r="AQ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3">
        <f>IF(tblOrdenes[[#This Row],[tipo_ot]]="","",_xlfn.XLOOKUP(tblOrdenes[[#This Row],[tipo_ot]],tblTiposOT[codigo],tblTiposOT[clasificacion],"sin_clasificar"))</f>
        <v/>
      </c>
      <c r="U577" s="3">
        <f>IF(tblOrdenes[[#This Row],[centro_costo]]="","",_xlfn.XLOOKUP(tblOrdenes[[#This Row],[centro_costo]],tblCECO[codigo],tblCECO[linea],"(sin catálogo)"))</f>
        <v/>
      </c>
      <c r="V577" s="3">
        <f>IF(tblOrdenes[[#This Row],[centro_costo]]="","",_xlfn.XLOOKUP(tblOrdenes[[#This Row],[centro_costo]],tblCECO[codigo],tblCECO[area],"(sin catálogo)"))</f>
        <v/>
      </c>
      <c r="W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3">
        <f>IF(tblOrdenes[[#This Row],[centro_costo]]="","",_xlfn.XLOOKUP(tblOrdenes[[#This Row],[centro_costo]],tblCECO[codigo],tblCECO[coordinador],"(sin catálogo)"))</f>
        <v/>
      </c>
      <c r="Y577" s="3">
        <f>IF(tblOrdenes[[#This Row],[puesto_trabajo]]="","",_xlfn.XLOOKUP(tblOrdenes[[#This Row],[puesto_trabajo]],tblPuestos[codigo],tblPuestos[especialidad],"(sin catálogo)"))</f>
        <v/>
      </c>
      <c r="Z577" s="3">
        <f>IF(tblOrdenes[[#This Row],[cod_actividad]]="","",_xlfn.XLOOKUP(tblOrdenes[[#This Row],[cod_actividad]],tblActividades[codigo],tblActividades[descripcion],"(sin catálogo)"))</f>
        <v/>
      </c>
      <c r="AA577" s="12">
        <f>IF(tblOrdenes[[#This Row],[fecha_inicio]]="","",TODAY()-tblOrdenes[[#This Row],[fecha_inicio]])</f>
        <v/>
      </c>
      <c r="AB5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3">
        <f>IF(tblOrdenes[[#This Row],[backlog_habiles]]="","",IF(tblOrdenes[[#This Row],[backlog_habiles]]&lt;0,"FUTURO",IF(tblOrdenes[[#This Row],[backlog_habiles]]&gt;p_dias_backlog_max,"BACKLOG","MES CORRIENTE")))</f>
        <v/>
      </c>
      <c r="AD577" s="3">
        <f>IF(tblOrdenes[[#This Row],[backlog_habiles]]="",FALSE,AND(tblOrdenes[[#This Row],[backlog_habiles]]&gt;p_dias_backlog_min,tblOrdenes[[#This Row],[backlog_habiles]]&lt;=p_dias_backlog_max))</f>
        <v/>
      </c>
      <c r="AE577" s="6" t="n"/>
      <c r="AF5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0">
        <f>IF(tblOrdenes[[#This Row],[orden]]="","",_xlfn.XLOOKUP(tblOrdenes[[#This Row],[id_operacion]],tblEjecucion[id_operacion],tblEjecucion[precio],0))</f>
        <v/>
      </c>
      <c r="AJ577" s="10">
        <f>IF(tblOrdenes[[#This Row],[orden]]="","",MAX(0,_xlfn.XLOOKUP(tblOrdenes[[#This Row],[id_operacion]],tblEjecucion[id_operacion],tblEjecucion[costo_plan_total],0)-tblOrdenes[[#This Row],[costo_servicio]]))</f>
        <v/>
      </c>
      <c r="AK577" s="10">
        <f>IF(tblOrdenes[[#This Row],[orden]]="","",tblOrdenes[[#This Row],[costo_servicio]]+tblOrdenes[[#This Row],[costo_materiales]])</f>
        <v/>
      </c>
      <c r="AL577" s="6" t="n"/>
      <c r="AM577" s="6" t="n"/>
      <c r="AN577" s="6" t="n"/>
      <c r="AO577" s="3">
        <f>IF(tblOrdenes[[#This Row],[link_checklist]]="","",HYPERLINK(p_ruta_base_checklists&amp;tblOrdenes[[#This Row],[link_checklist]],"abrir"))</f>
        <v/>
      </c>
      <c r="AP577" s="6" t="n"/>
      <c r="AQ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3">
        <f>IF(tblOrdenes[[#This Row],[tipo_ot]]="","",_xlfn.XLOOKUP(tblOrdenes[[#This Row],[tipo_ot]],tblTiposOT[codigo],tblTiposOT[clasificacion],"sin_clasificar"))</f>
        <v/>
      </c>
      <c r="U578" s="3">
        <f>IF(tblOrdenes[[#This Row],[centro_costo]]="","",_xlfn.XLOOKUP(tblOrdenes[[#This Row],[centro_costo]],tblCECO[codigo],tblCECO[linea],"(sin catálogo)"))</f>
        <v/>
      </c>
      <c r="V578" s="3">
        <f>IF(tblOrdenes[[#This Row],[centro_costo]]="","",_xlfn.XLOOKUP(tblOrdenes[[#This Row],[centro_costo]],tblCECO[codigo],tblCECO[area],"(sin catálogo)"))</f>
        <v/>
      </c>
      <c r="W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3">
        <f>IF(tblOrdenes[[#This Row],[centro_costo]]="","",_xlfn.XLOOKUP(tblOrdenes[[#This Row],[centro_costo]],tblCECO[codigo],tblCECO[coordinador],"(sin catálogo)"))</f>
        <v/>
      </c>
      <c r="Y578" s="3">
        <f>IF(tblOrdenes[[#This Row],[puesto_trabajo]]="","",_xlfn.XLOOKUP(tblOrdenes[[#This Row],[puesto_trabajo]],tblPuestos[codigo],tblPuestos[especialidad],"(sin catálogo)"))</f>
        <v/>
      </c>
      <c r="Z578" s="3">
        <f>IF(tblOrdenes[[#This Row],[cod_actividad]]="","",_xlfn.XLOOKUP(tblOrdenes[[#This Row],[cod_actividad]],tblActividades[codigo],tblActividades[descripcion],"(sin catálogo)"))</f>
        <v/>
      </c>
      <c r="AA578" s="12">
        <f>IF(tblOrdenes[[#This Row],[fecha_inicio]]="","",TODAY()-tblOrdenes[[#This Row],[fecha_inicio]])</f>
        <v/>
      </c>
      <c r="AB5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3">
        <f>IF(tblOrdenes[[#This Row],[backlog_habiles]]="","",IF(tblOrdenes[[#This Row],[backlog_habiles]]&lt;0,"FUTURO",IF(tblOrdenes[[#This Row],[backlog_habiles]]&gt;p_dias_backlog_max,"BACKLOG","MES CORRIENTE")))</f>
        <v/>
      </c>
      <c r="AD578" s="3">
        <f>IF(tblOrdenes[[#This Row],[backlog_habiles]]="",FALSE,AND(tblOrdenes[[#This Row],[backlog_habiles]]&gt;p_dias_backlog_min,tblOrdenes[[#This Row],[backlog_habiles]]&lt;=p_dias_backlog_max))</f>
        <v/>
      </c>
      <c r="AE578" s="6" t="n"/>
      <c r="AF5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0">
        <f>IF(tblOrdenes[[#This Row],[orden]]="","",_xlfn.XLOOKUP(tblOrdenes[[#This Row],[id_operacion]],tblEjecucion[id_operacion],tblEjecucion[precio],0))</f>
        <v/>
      </c>
      <c r="AJ578" s="10">
        <f>IF(tblOrdenes[[#This Row],[orden]]="","",MAX(0,_xlfn.XLOOKUP(tblOrdenes[[#This Row],[id_operacion]],tblEjecucion[id_operacion],tblEjecucion[costo_plan_total],0)-tblOrdenes[[#This Row],[costo_servicio]]))</f>
        <v/>
      </c>
      <c r="AK578" s="10">
        <f>IF(tblOrdenes[[#This Row],[orden]]="","",tblOrdenes[[#This Row],[costo_servicio]]+tblOrdenes[[#This Row],[costo_materiales]])</f>
        <v/>
      </c>
      <c r="AL578" s="6" t="n"/>
      <c r="AM578" s="6" t="n"/>
      <c r="AN578" s="6" t="n"/>
      <c r="AO578" s="3">
        <f>IF(tblOrdenes[[#This Row],[link_checklist]]="","",HYPERLINK(p_ruta_base_checklists&amp;tblOrdenes[[#This Row],[link_checklist]],"abrir"))</f>
        <v/>
      </c>
      <c r="AP578" s="6" t="n"/>
      <c r="AQ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3">
        <f>IF(tblOrdenes[[#This Row],[tipo_ot]]="","",_xlfn.XLOOKUP(tblOrdenes[[#This Row],[tipo_ot]],tblTiposOT[codigo],tblTiposOT[clasificacion],"sin_clasificar"))</f>
        <v/>
      </c>
      <c r="U579" s="3">
        <f>IF(tblOrdenes[[#This Row],[centro_costo]]="","",_xlfn.XLOOKUP(tblOrdenes[[#This Row],[centro_costo]],tblCECO[codigo],tblCECO[linea],"(sin catálogo)"))</f>
        <v/>
      </c>
      <c r="V579" s="3">
        <f>IF(tblOrdenes[[#This Row],[centro_costo]]="","",_xlfn.XLOOKUP(tblOrdenes[[#This Row],[centro_costo]],tblCECO[codigo],tblCECO[area],"(sin catálogo)"))</f>
        <v/>
      </c>
      <c r="W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3">
        <f>IF(tblOrdenes[[#This Row],[centro_costo]]="","",_xlfn.XLOOKUP(tblOrdenes[[#This Row],[centro_costo]],tblCECO[codigo],tblCECO[coordinador],"(sin catálogo)"))</f>
        <v/>
      </c>
      <c r="Y579" s="3">
        <f>IF(tblOrdenes[[#This Row],[puesto_trabajo]]="","",_xlfn.XLOOKUP(tblOrdenes[[#This Row],[puesto_trabajo]],tblPuestos[codigo],tblPuestos[especialidad],"(sin catálogo)"))</f>
        <v/>
      </c>
      <c r="Z579" s="3">
        <f>IF(tblOrdenes[[#This Row],[cod_actividad]]="","",_xlfn.XLOOKUP(tblOrdenes[[#This Row],[cod_actividad]],tblActividades[codigo],tblActividades[descripcion],"(sin catálogo)"))</f>
        <v/>
      </c>
      <c r="AA579" s="12">
        <f>IF(tblOrdenes[[#This Row],[fecha_inicio]]="","",TODAY()-tblOrdenes[[#This Row],[fecha_inicio]])</f>
        <v/>
      </c>
      <c r="AB5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3">
        <f>IF(tblOrdenes[[#This Row],[backlog_habiles]]="","",IF(tblOrdenes[[#This Row],[backlog_habiles]]&lt;0,"FUTURO",IF(tblOrdenes[[#This Row],[backlog_habiles]]&gt;p_dias_backlog_max,"BACKLOG","MES CORRIENTE")))</f>
        <v/>
      </c>
      <c r="AD579" s="3">
        <f>IF(tblOrdenes[[#This Row],[backlog_habiles]]="",FALSE,AND(tblOrdenes[[#This Row],[backlog_habiles]]&gt;p_dias_backlog_min,tblOrdenes[[#This Row],[backlog_habiles]]&lt;=p_dias_backlog_max))</f>
        <v/>
      </c>
      <c r="AE579" s="6" t="n"/>
      <c r="AF5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0">
        <f>IF(tblOrdenes[[#This Row],[orden]]="","",_xlfn.XLOOKUP(tblOrdenes[[#This Row],[id_operacion]],tblEjecucion[id_operacion],tblEjecucion[precio],0))</f>
        <v/>
      </c>
      <c r="AJ579" s="10">
        <f>IF(tblOrdenes[[#This Row],[orden]]="","",MAX(0,_xlfn.XLOOKUP(tblOrdenes[[#This Row],[id_operacion]],tblEjecucion[id_operacion],tblEjecucion[costo_plan_total],0)-tblOrdenes[[#This Row],[costo_servicio]]))</f>
        <v/>
      </c>
      <c r="AK579" s="10">
        <f>IF(tblOrdenes[[#This Row],[orden]]="","",tblOrdenes[[#This Row],[costo_servicio]]+tblOrdenes[[#This Row],[costo_materiales]])</f>
        <v/>
      </c>
      <c r="AL579" s="6" t="n"/>
      <c r="AM579" s="6" t="n"/>
      <c r="AN579" s="6" t="n"/>
      <c r="AO579" s="3">
        <f>IF(tblOrdenes[[#This Row],[link_checklist]]="","",HYPERLINK(p_ruta_base_checklists&amp;tblOrdenes[[#This Row],[link_checklist]],"abrir"))</f>
        <v/>
      </c>
      <c r="AP579" s="6" t="n"/>
      <c r="AQ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3">
        <f>IF(tblOrdenes[[#This Row],[tipo_ot]]="","",_xlfn.XLOOKUP(tblOrdenes[[#This Row],[tipo_ot]],tblTiposOT[codigo],tblTiposOT[clasificacion],"sin_clasificar"))</f>
        <v/>
      </c>
      <c r="U580" s="3">
        <f>IF(tblOrdenes[[#This Row],[centro_costo]]="","",_xlfn.XLOOKUP(tblOrdenes[[#This Row],[centro_costo]],tblCECO[codigo],tblCECO[linea],"(sin catálogo)"))</f>
        <v/>
      </c>
      <c r="V580" s="3">
        <f>IF(tblOrdenes[[#This Row],[centro_costo]]="","",_xlfn.XLOOKUP(tblOrdenes[[#This Row],[centro_costo]],tblCECO[codigo],tblCECO[area],"(sin catálogo)"))</f>
        <v/>
      </c>
      <c r="W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3">
        <f>IF(tblOrdenes[[#This Row],[centro_costo]]="","",_xlfn.XLOOKUP(tblOrdenes[[#This Row],[centro_costo]],tblCECO[codigo],tblCECO[coordinador],"(sin catálogo)"))</f>
        <v/>
      </c>
      <c r="Y580" s="3">
        <f>IF(tblOrdenes[[#This Row],[puesto_trabajo]]="","",_xlfn.XLOOKUP(tblOrdenes[[#This Row],[puesto_trabajo]],tblPuestos[codigo],tblPuestos[especialidad],"(sin catálogo)"))</f>
        <v/>
      </c>
      <c r="Z580" s="3">
        <f>IF(tblOrdenes[[#This Row],[cod_actividad]]="","",_xlfn.XLOOKUP(tblOrdenes[[#This Row],[cod_actividad]],tblActividades[codigo],tblActividades[descripcion],"(sin catálogo)"))</f>
        <v/>
      </c>
      <c r="AA580" s="12">
        <f>IF(tblOrdenes[[#This Row],[fecha_inicio]]="","",TODAY()-tblOrdenes[[#This Row],[fecha_inicio]])</f>
        <v/>
      </c>
      <c r="AB5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3">
        <f>IF(tblOrdenes[[#This Row],[backlog_habiles]]="","",IF(tblOrdenes[[#This Row],[backlog_habiles]]&lt;0,"FUTURO",IF(tblOrdenes[[#This Row],[backlog_habiles]]&gt;p_dias_backlog_max,"BACKLOG","MES CORRIENTE")))</f>
        <v/>
      </c>
      <c r="AD580" s="3">
        <f>IF(tblOrdenes[[#This Row],[backlog_habiles]]="",FALSE,AND(tblOrdenes[[#This Row],[backlog_habiles]]&gt;p_dias_backlog_min,tblOrdenes[[#This Row],[backlog_habiles]]&lt;=p_dias_backlog_max))</f>
        <v/>
      </c>
      <c r="AE580" s="6" t="n"/>
      <c r="AF5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0">
        <f>IF(tblOrdenes[[#This Row],[orden]]="","",_xlfn.XLOOKUP(tblOrdenes[[#This Row],[id_operacion]],tblEjecucion[id_operacion],tblEjecucion[precio],0))</f>
        <v/>
      </c>
      <c r="AJ580" s="10">
        <f>IF(tblOrdenes[[#This Row],[orden]]="","",MAX(0,_xlfn.XLOOKUP(tblOrdenes[[#This Row],[id_operacion]],tblEjecucion[id_operacion],tblEjecucion[costo_plan_total],0)-tblOrdenes[[#This Row],[costo_servicio]]))</f>
        <v/>
      </c>
      <c r="AK580" s="10">
        <f>IF(tblOrdenes[[#This Row],[orden]]="","",tblOrdenes[[#This Row],[costo_servicio]]+tblOrdenes[[#This Row],[costo_materiales]])</f>
        <v/>
      </c>
      <c r="AL580" s="6" t="n"/>
      <c r="AM580" s="6" t="n"/>
      <c r="AN580" s="6" t="n"/>
      <c r="AO580" s="3">
        <f>IF(tblOrdenes[[#This Row],[link_checklist]]="","",HYPERLINK(p_ruta_base_checklists&amp;tblOrdenes[[#This Row],[link_checklist]],"abrir"))</f>
        <v/>
      </c>
      <c r="AP580" s="6" t="n"/>
      <c r="AQ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3">
        <f>IF(tblOrdenes[[#This Row],[tipo_ot]]="","",_xlfn.XLOOKUP(tblOrdenes[[#This Row],[tipo_ot]],tblTiposOT[codigo],tblTiposOT[clasificacion],"sin_clasificar"))</f>
        <v/>
      </c>
      <c r="U581" s="3">
        <f>IF(tblOrdenes[[#This Row],[centro_costo]]="","",_xlfn.XLOOKUP(tblOrdenes[[#This Row],[centro_costo]],tblCECO[codigo],tblCECO[linea],"(sin catálogo)"))</f>
        <v/>
      </c>
      <c r="V581" s="3">
        <f>IF(tblOrdenes[[#This Row],[centro_costo]]="","",_xlfn.XLOOKUP(tblOrdenes[[#This Row],[centro_costo]],tblCECO[codigo],tblCECO[area],"(sin catálogo)"))</f>
        <v/>
      </c>
      <c r="W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3">
        <f>IF(tblOrdenes[[#This Row],[centro_costo]]="","",_xlfn.XLOOKUP(tblOrdenes[[#This Row],[centro_costo]],tblCECO[codigo],tblCECO[coordinador],"(sin catálogo)"))</f>
        <v/>
      </c>
      <c r="Y581" s="3">
        <f>IF(tblOrdenes[[#This Row],[puesto_trabajo]]="","",_xlfn.XLOOKUP(tblOrdenes[[#This Row],[puesto_trabajo]],tblPuestos[codigo],tblPuestos[especialidad],"(sin catálogo)"))</f>
        <v/>
      </c>
      <c r="Z581" s="3">
        <f>IF(tblOrdenes[[#This Row],[cod_actividad]]="","",_xlfn.XLOOKUP(tblOrdenes[[#This Row],[cod_actividad]],tblActividades[codigo],tblActividades[descripcion],"(sin catálogo)"))</f>
        <v/>
      </c>
      <c r="AA581" s="12">
        <f>IF(tblOrdenes[[#This Row],[fecha_inicio]]="","",TODAY()-tblOrdenes[[#This Row],[fecha_inicio]])</f>
        <v/>
      </c>
      <c r="AB5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3">
        <f>IF(tblOrdenes[[#This Row],[backlog_habiles]]="","",IF(tblOrdenes[[#This Row],[backlog_habiles]]&lt;0,"FUTURO",IF(tblOrdenes[[#This Row],[backlog_habiles]]&gt;p_dias_backlog_max,"BACKLOG","MES CORRIENTE")))</f>
        <v/>
      </c>
      <c r="AD581" s="3">
        <f>IF(tblOrdenes[[#This Row],[backlog_habiles]]="",FALSE,AND(tblOrdenes[[#This Row],[backlog_habiles]]&gt;p_dias_backlog_min,tblOrdenes[[#This Row],[backlog_habiles]]&lt;=p_dias_backlog_max))</f>
        <v/>
      </c>
      <c r="AE581" s="6" t="n"/>
      <c r="AF5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0">
        <f>IF(tblOrdenes[[#This Row],[orden]]="","",_xlfn.XLOOKUP(tblOrdenes[[#This Row],[id_operacion]],tblEjecucion[id_operacion],tblEjecucion[precio],0))</f>
        <v/>
      </c>
      <c r="AJ581" s="10">
        <f>IF(tblOrdenes[[#This Row],[orden]]="","",MAX(0,_xlfn.XLOOKUP(tblOrdenes[[#This Row],[id_operacion]],tblEjecucion[id_operacion],tblEjecucion[costo_plan_total],0)-tblOrdenes[[#This Row],[costo_servicio]]))</f>
        <v/>
      </c>
      <c r="AK581" s="10">
        <f>IF(tblOrdenes[[#This Row],[orden]]="","",tblOrdenes[[#This Row],[costo_servicio]]+tblOrdenes[[#This Row],[costo_materiales]])</f>
        <v/>
      </c>
      <c r="AL581" s="6" t="n"/>
      <c r="AM581" s="6" t="n"/>
      <c r="AN581" s="6" t="n"/>
      <c r="AO581" s="3">
        <f>IF(tblOrdenes[[#This Row],[link_checklist]]="","",HYPERLINK(p_ruta_base_checklists&amp;tblOrdenes[[#This Row],[link_checklist]],"abrir"))</f>
        <v/>
      </c>
      <c r="AP581" s="6" t="n"/>
      <c r="AQ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3">
        <f>IF(tblOrdenes[[#This Row],[tipo_ot]]="","",_xlfn.XLOOKUP(tblOrdenes[[#This Row],[tipo_ot]],tblTiposOT[codigo],tblTiposOT[clasificacion],"sin_clasificar"))</f>
        <v/>
      </c>
      <c r="U582" s="3">
        <f>IF(tblOrdenes[[#This Row],[centro_costo]]="","",_xlfn.XLOOKUP(tblOrdenes[[#This Row],[centro_costo]],tblCECO[codigo],tblCECO[linea],"(sin catálogo)"))</f>
        <v/>
      </c>
      <c r="V582" s="3">
        <f>IF(tblOrdenes[[#This Row],[centro_costo]]="","",_xlfn.XLOOKUP(tblOrdenes[[#This Row],[centro_costo]],tblCECO[codigo],tblCECO[area],"(sin catálogo)"))</f>
        <v/>
      </c>
      <c r="W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3">
        <f>IF(tblOrdenes[[#This Row],[centro_costo]]="","",_xlfn.XLOOKUP(tblOrdenes[[#This Row],[centro_costo]],tblCECO[codigo],tblCECO[coordinador],"(sin catálogo)"))</f>
        <v/>
      </c>
      <c r="Y582" s="3">
        <f>IF(tblOrdenes[[#This Row],[puesto_trabajo]]="","",_xlfn.XLOOKUP(tblOrdenes[[#This Row],[puesto_trabajo]],tblPuestos[codigo],tblPuestos[especialidad],"(sin catálogo)"))</f>
        <v/>
      </c>
      <c r="Z582" s="3">
        <f>IF(tblOrdenes[[#This Row],[cod_actividad]]="","",_xlfn.XLOOKUP(tblOrdenes[[#This Row],[cod_actividad]],tblActividades[codigo],tblActividades[descripcion],"(sin catálogo)"))</f>
        <v/>
      </c>
      <c r="AA582" s="12">
        <f>IF(tblOrdenes[[#This Row],[fecha_inicio]]="","",TODAY()-tblOrdenes[[#This Row],[fecha_inicio]])</f>
        <v/>
      </c>
      <c r="AB5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3">
        <f>IF(tblOrdenes[[#This Row],[backlog_habiles]]="","",IF(tblOrdenes[[#This Row],[backlog_habiles]]&lt;0,"FUTURO",IF(tblOrdenes[[#This Row],[backlog_habiles]]&gt;p_dias_backlog_max,"BACKLOG","MES CORRIENTE")))</f>
        <v/>
      </c>
      <c r="AD582" s="3">
        <f>IF(tblOrdenes[[#This Row],[backlog_habiles]]="",FALSE,AND(tblOrdenes[[#This Row],[backlog_habiles]]&gt;p_dias_backlog_min,tblOrdenes[[#This Row],[backlog_habiles]]&lt;=p_dias_backlog_max))</f>
        <v/>
      </c>
      <c r="AE582" s="6" t="n"/>
      <c r="AF5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0">
        <f>IF(tblOrdenes[[#This Row],[orden]]="","",_xlfn.XLOOKUP(tblOrdenes[[#This Row],[id_operacion]],tblEjecucion[id_operacion],tblEjecucion[precio],0))</f>
        <v/>
      </c>
      <c r="AJ582" s="10">
        <f>IF(tblOrdenes[[#This Row],[orden]]="","",MAX(0,_xlfn.XLOOKUP(tblOrdenes[[#This Row],[id_operacion]],tblEjecucion[id_operacion],tblEjecucion[costo_plan_total],0)-tblOrdenes[[#This Row],[costo_servicio]]))</f>
        <v/>
      </c>
      <c r="AK582" s="10">
        <f>IF(tblOrdenes[[#This Row],[orden]]="","",tblOrdenes[[#This Row],[costo_servicio]]+tblOrdenes[[#This Row],[costo_materiales]])</f>
        <v/>
      </c>
      <c r="AL582" s="6" t="n"/>
      <c r="AM582" s="6" t="n"/>
      <c r="AN582" s="6" t="n"/>
      <c r="AO582" s="3">
        <f>IF(tblOrdenes[[#This Row],[link_checklist]]="","",HYPERLINK(p_ruta_base_checklists&amp;tblOrdenes[[#This Row],[link_checklist]],"abrir"))</f>
        <v/>
      </c>
      <c r="AP582" s="6" t="n"/>
      <c r="AQ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3">
        <f>IF(tblOrdenes[[#This Row],[tipo_ot]]="","",_xlfn.XLOOKUP(tblOrdenes[[#This Row],[tipo_ot]],tblTiposOT[codigo],tblTiposOT[clasificacion],"sin_clasificar"))</f>
        <v/>
      </c>
      <c r="U583" s="3">
        <f>IF(tblOrdenes[[#This Row],[centro_costo]]="","",_xlfn.XLOOKUP(tblOrdenes[[#This Row],[centro_costo]],tblCECO[codigo],tblCECO[linea],"(sin catálogo)"))</f>
        <v/>
      </c>
      <c r="V583" s="3">
        <f>IF(tblOrdenes[[#This Row],[centro_costo]]="","",_xlfn.XLOOKUP(tblOrdenes[[#This Row],[centro_costo]],tblCECO[codigo],tblCECO[area],"(sin catálogo)"))</f>
        <v/>
      </c>
      <c r="W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3">
        <f>IF(tblOrdenes[[#This Row],[centro_costo]]="","",_xlfn.XLOOKUP(tblOrdenes[[#This Row],[centro_costo]],tblCECO[codigo],tblCECO[coordinador],"(sin catálogo)"))</f>
        <v/>
      </c>
      <c r="Y583" s="3">
        <f>IF(tblOrdenes[[#This Row],[puesto_trabajo]]="","",_xlfn.XLOOKUP(tblOrdenes[[#This Row],[puesto_trabajo]],tblPuestos[codigo],tblPuestos[especialidad],"(sin catálogo)"))</f>
        <v/>
      </c>
      <c r="Z583" s="3">
        <f>IF(tblOrdenes[[#This Row],[cod_actividad]]="","",_xlfn.XLOOKUP(tblOrdenes[[#This Row],[cod_actividad]],tblActividades[codigo],tblActividades[descripcion],"(sin catálogo)"))</f>
        <v/>
      </c>
      <c r="AA583" s="12">
        <f>IF(tblOrdenes[[#This Row],[fecha_inicio]]="","",TODAY()-tblOrdenes[[#This Row],[fecha_inicio]])</f>
        <v/>
      </c>
      <c r="AB5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3">
        <f>IF(tblOrdenes[[#This Row],[backlog_habiles]]="","",IF(tblOrdenes[[#This Row],[backlog_habiles]]&lt;0,"FUTURO",IF(tblOrdenes[[#This Row],[backlog_habiles]]&gt;p_dias_backlog_max,"BACKLOG","MES CORRIENTE")))</f>
        <v/>
      </c>
      <c r="AD583" s="3">
        <f>IF(tblOrdenes[[#This Row],[backlog_habiles]]="",FALSE,AND(tblOrdenes[[#This Row],[backlog_habiles]]&gt;p_dias_backlog_min,tblOrdenes[[#This Row],[backlog_habiles]]&lt;=p_dias_backlog_max))</f>
        <v/>
      </c>
      <c r="AE583" s="6" t="n"/>
      <c r="AF5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0">
        <f>IF(tblOrdenes[[#This Row],[orden]]="","",_xlfn.XLOOKUP(tblOrdenes[[#This Row],[id_operacion]],tblEjecucion[id_operacion],tblEjecucion[precio],0))</f>
        <v/>
      </c>
      <c r="AJ583" s="10">
        <f>IF(tblOrdenes[[#This Row],[orden]]="","",MAX(0,_xlfn.XLOOKUP(tblOrdenes[[#This Row],[id_operacion]],tblEjecucion[id_operacion],tblEjecucion[costo_plan_total],0)-tblOrdenes[[#This Row],[costo_servicio]]))</f>
        <v/>
      </c>
      <c r="AK583" s="10">
        <f>IF(tblOrdenes[[#This Row],[orden]]="","",tblOrdenes[[#This Row],[costo_servicio]]+tblOrdenes[[#This Row],[costo_materiales]])</f>
        <v/>
      </c>
      <c r="AL583" s="6" t="n"/>
      <c r="AM583" s="6" t="n"/>
      <c r="AN583" s="6" t="n"/>
      <c r="AO583" s="3">
        <f>IF(tblOrdenes[[#This Row],[link_checklist]]="","",HYPERLINK(p_ruta_base_checklists&amp;tblOrdenes[[#This Row],[link_checklist]],"abrir"))</f>
        <v/>
      </c>
      <c r="AP583" s="6" t="n"/>
      <c r="AQ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3">
        <f>IF(tblOrdenes[[#This Row],[tipo_ot]]="","",_xlfn.XLOOKUP(tblOrdenes[[#This Row],[tipo_ot]],tblTiposOT[codigo],tblTiposOT[clasificacion],"sin_clasificar"))</f>
        <v/>
      </c>
      <c r="U584" s="3">
        <f>IF(tblOrdenes[[#This Row],[centro_costo]]="","",_xlfn.XLOOKUP(tblOrdenes[[#This Row],[centro_costo]],tblCECO[codigo],tblCECO[linea],"(sin catálogo)"))</f>
        <v/>
      </c>
      <c r="V584" s="3">
        <f>IF(tblOrdenes[[#This Row],[centro_costo]]="","",_xlfn.XLOOKUP(tblOrdenes[[#This Row],[centro_costo]],tblCECO[codigo],tblCECO[area],"(sin catálogo)"))</f>
        <v/>
      </c>
      <c r="W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3">
        <f>IF(tblOrdenes[[#This Row],[centro_costo]]="","",_xlfn.XLOOKUP(tblOrdenes[[#This Row],[centro_costo]],tblCECO[codigo],tblCECO[coordinador],"(sin catálogo)"))</f>
        <v/>
      </c>
      <c r="Y584" s="3">
        <f>IF(tblOrdenes[[#This Row],[puesto_trabajo]]="","",_xlfn.XLOOKUP(tblOrdenes[[#This Row],[puesto_trabajo]],tblPuestos[codigo],tblPuestos[especialidad],"(sin catálogo)"))</f>
        <v/>
      </c>
      <c r="Z584" s="3">
        <f>IF(tblOrdenes[[#This Row],[cod_actividad]]="","",_xlfn.XLOOKUP(tblOrdenes[[#This Row],[cod_actividad]],tblActividades[codigo],tblActividades[descripcion],"(sin catálogo)"))</f>
        <v/>
      </c>
      <c r="AA584" s="12">
        <f>IF(tblOrdenes[[#This Row],[fecha_inicio]]="","",TODAY()-tblOrdenes[[#This Row],[fecha_inicio]])</f>
        <v/>
      </c>
      <c r="AB5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3">
        <f>IF(tblOrdenes[[#This Row],[backlog_habiles]]="","",IF(tblOrdenes[[#This Row],[backlog_habiles]]&lt;0,"FUTURO",IF(tblOrdenes[[#This Row],[backlog_habiles]]&gt;p_dias_backlog_max,"BACKLOG","MES CORRIENTE")))</f>
        <v/>
      </c>
      <c r="AD584" s="3">
        <f>IF(tblOrdenes[[#This Row],[backlog_habiles]]="",FALSE,AND(tblOrdenes[[#This Row],[backlog_habiles]]&gt;p_dias_backlog_min,tblOrdenes[[#This Row],[backlog_habiles]]&lt;=p_dias_backlog_max))</f>
        <v/>
      </c>
      <c r="AE584" s="6" t="n"/>
      <c r="AF5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0">
        <f>IF(tblOrdenes[[#This Row],[orden]]="","",_xlfn.XLOOKUP(tblOrdenes[[#This Row],[id_operacion]],tblEjecucion[id_operacion],tblEjecucion[precio],0))</f>
        <v/>
      </c>
      <c r="AJ584" s="10">
        <f>IF(tblOrdenes[[#This Row],[orden]]="","",MAX(0,_xlfn.XLOOKUP(tblOrdenes[[#This Row],[id_operacion]],tblEjecucion[id_operacion],tblEjecucion[costo_plan_total],0)-tblOrdenes[[#This Row],[costo_servicio]]))</f>
        <v/>
      </c>
      <c r="AK584" s="10">
        <f>IF(tblOrdenes[[#This Row],[orden]]="","",tblOrdenes[[#This Row],[costo_servicio]]+tblOrdenes[[#This Row],[costo_materiales]])</f>
        <v/>
      </c>
      <c r="AL584" s="6" t="n"/>
      <c r="AM584" s="6" t="n"/>
      <c r="AN584" s="6" t="n"/>
      <c r="AO584" s="3">
        <f>IF(tblOrdenes[[#This Row],[link_checklist]]="","",HYPERLINK(p_ruta_base_checklists&amp;tblOrdenes[[#This Row],[link_checklist]],"abrir"))</f>
        <v/>
      </c>
      <c r="AP584" s="6" t="n"/>
      <c r="AQ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3">
        <f>IF(tblOrdenes[[#This Row],[tipo_ot]]="","",_xlfn.XLOOKUP(tblOrdenes[[#This Row],[tipo_ot]],tblTiposOT[codigo],tblTiposOT[clasificacion],"sin_clasificar"))</f>
        <v/>
      </c>
      <c r="U585" s="3">
        <f>IF(tblOrdenes[[#This Row],[centro_costo]]="","",_xlfn.XLOOKUP(tblOrdenes[[#This Row],[centro_costo]],tblCECO[codigo],tblCECO[linea],"(sin catálogo)"))</f>
        <v/>
      </c>
      <c r="V585" s="3">
        <f>IF(tblOrdenes[[#This Row],[centro_costo]]="","",_xlfn.XLOOKUP(tblOrdenes[[#This Row],[centro_costo]],tblCECO[codigo],tblCECO[area],"(sin catálogo)"))</f>
        <v/>
      </c>
      <c r="W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3">
        <f>IF(tblOrdenes[[#This Row],[centro_costo]]="","",_xlfn.XLOOKUP(tblOrdenes[[#This Row],[centro_costo]],tblCECO[codigo],tblCECO[coordinador],"(sin catálogo)"))</f>
        <v/>
      </c>
      <c r="Y585" s="3">
        <f>IF(tblOrdenes[[#This Row],[puesto_trabajo]]="","",_xlfn.XLOOKUP(tblOrdenes[[#This Row],[puesto_trabajo]],tblPuestos[codigo],tblPuestos[especialidad],"(sin catálogo)"))</f>
        <v/>
      </c>
      <c r="Z585" s="3">
        <f>IF(tblOrdenes[[#This Row],[cod_actividad]]="","",_xlfn.XLOOKUP(tblOrdenes[[#This Row],[cod_actividad]],tblActividades[codigo],tblActividades[descripcion],"(sin catálogo)"))</f>
        <v/>
      </c>
      <c r="AA585" s="12">
        <f>IF(tblOrdenes[[#This Row],[fecha_inicio]]="","",TODAY()-tblOrdenes[[#This Row],[fecha_inicio]])</f>
        <v/>
      </c>
      <c r="AB5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3">
        <f>IF(tblOrdenes[[#This Row],[backlog_habiles]]="","",IF(tblOrdenes[[#This Row],[backlog_habiles]]&lt;0,"FUTURO",IF(tblOrdenes[[#This Row],[backlog_habiles]]&gt;p_dias_backlog_max,"BACKLOG","MES CORRIENTE")))</f>
        <v/>
      </c>
      <c r="AD585" s="3">
        <f>IF(tblOrdenes[[#This Row],[backlog_habiles]]="",FALSE,AND(tblOrdenes[[#This Row],[backlog_habiles]]&gt;p_dias_backlog_min,tblOrdenes[[#This Row],[backlog_habiles]]&lt;=p_dias_backlog_max))</f>
        <v/>
      </c>
      <c r="AE585" s="6" t="n"/>
      <c r="AF5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0">
        <f>IF(tblOrdenes[[#This Row],[orden]]="","",_xlfn.XLOOKUP(tblOrdenes[[#This Row],[id_operacion]],tblEjecucion[id_operacion],tblEjecucion[precio],0))</f>
        <v/>
      </c>
      <c r="AJ585" s="10">
        <f>IF(tblOrdenes[[#This Row],[orden]]="","",MAX(0,_xlfn.XLOOKUP(tblOrdenes[[#This Row],[id_operacion]],tblEjecucion[id_operacion],tblEjecucion[costo_plan_total],0)-tblOrdenes[[#This Row],[costo_servicio]]))</f>
        <v/>
      </c>
      <c r="AK585" s="10">
        <f>IF(tblOrdenes[[#This Row],[orden]]="","",tblOrdenes[[#This Row],[costo_servicio]]+tblOrdenes[[#This Row],[costo_materiales]])</f>
        <v/>
      </c>
      <c r="AL585" s="6" t="n"/>
      <c r="AM585" s="6" t="n"/>
      <c r="AN585" s="6" t="n"/>
      <c r="AO585" s="3">
        <f>IF(tblOrdenes[[#This Row],[link_checklist]]="","",HYPERLINK(p_ruta_base_checklists&amp;tblOrdenes[[#This Row],[link_checklist]],"abrir"))</f>
        <v/>
      </c>
      <c r="AP585" s="6" t="n"/>
      <c r="AQ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3">
        <f>IF(tblOrdenes[[#This Row],[tipo_ot]]="","",_xlfn.XLOOKUP(tblOrdenes[[#This Row],[tipo_ot]],tblTiposOT[codigo],tblTiposOT[clasificacion],"sin_clasificar"))</f>
        <v/>
      </c>
      <c r="U586" s="3">
        <f>IF(tblOrdenes[[#This Row],[centro_costo]]="","",_xlfn.XLOOKUP(tblOrdenes[[#This Row],[centro_costo]],tblCECO[codigo],tblCECO[linea],"(sin catálogo)"))</f>
        <v/>
      </c>
      <c r="V586" s="3">
        <f>IF(tblOrdenes[[#This Row],[centro_costo]]="","",_xlfn.XLOOKUP(tblOrdenes[[#This Row],[centro_costo]],tblCECO[codigo],tblCECO[area],"(sin catálogo)"))</f>
        <v/>
      </c>
      <c r="W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3">
        <f>IF(tblOrdenes[[#This Row],[centro_costo]]="","",_xlfn.XLOOKUP(tblOrdenes[[#This Row],[centro_costo]],tblCECO[codigo],tblCECO[coordinador],"(sin catálogo)"))</f>
        <v/>
      </c>
      <c r="Y586" s="3">
        <f>IF(tblOrdenes[[#This Row],[puesto_trabajo]]="","",_xlfn.XLOOKUP(tblOrdenes[[#This Row],[puesto_trabajo]],tblPuestos[codigo],tblPuestos[especialidad],"(sin catálogo)"))</f>
        <v/>
      </c>
      <c r="Z586" s="3">
        <f>IF(tblOrdenes[[#This Row],[cod_actividad]]="","",_xlfn.XLOOKUP(tblOrdenes[[#This Row],[cod_actividad]],tblActividades[codigo],tblActividades[descripcion],"(sin catálogo)"))</f>
        <v/>
      </c>
      <c r="AA586" s="12">
        <f>IF(tblOrdenes[[#This Row],[fecha_inicio]]="","",TODAY()-tblOrdenes[[#This Row],[fecha_inicio]])</f>
        <v/>
      </c>
      <c r="AB5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3">
        <f>IF(tblOrdenes[[#This Row],[backlog_habiles]]="","",IF(tblOrdenes[[#This Row],[backlog_habiles]]&lt;0,"FUTURO",IF(tblOrdenes[[#This Row],[backlog_habiles]]&gt;p_dias_backlog_max,"BACKLOG","MES CORRIENTE")))</f>
        <v/>
      </c>
      <c r="AD586" s="3">
        <f>IF(tblOrdenes[[#This Row],[backlog_habiles]]="",FALSE,AND(tblOrdenes[[#This Row],[backlog_habiles]]&gt;p_dias_backlog_min,tblOrdenes[[#This Row],[backlog_habiles]]&lt;=p_dias_backlog_max))</f>
        <v/>
      </c>
      <c r="AE586" s="6" t="n"/>
      <c r="AF5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0">
        <f>IF(tblOrdenes[[#This Row],[orden]]="","",_xlfn.XLOOKUP(tblOrdenes[[#This Row],[id_operacion]],tblEjecucion[id_operacion],tblEjecucion[precio],0))</f>
        <v/>
      </c>
      <c r="AJ586" s="10">
        <f>IF(tblOrdenes[[#This Row],[orden]]="","",MAX(0,_xlfn.XLOOKUP(tblOrdenes[[#This Row],[id_operacion]],tblEjecucion[id_operacion],tblEjecucion[costo_plan_total],0)-tblOrdenes[[#This Row],[costo_servicio]]))</f>
        <v/>
      </c>
      <c r="AK586" s="10">
        <f>IF(tblOrdenes[[#This Row],[orden]]="","",tblOrdenes[[#This Row],[costo_servicio]]+tblOrdenes[[#This Row],[costo_materiales]])</f>
        <v/>
      </c>
      <c r="AL586" s="6" t="n"/>
      <c r="AM586" s="6" t="n"/>
      <c r="AN586" s="6" t="n"/>
      <c r="AO586" s="3">
        <f>IF(tblOrdenes[[#This Row],[link_checklist]]="","",HYPERLINK(p_ruta_base_checklists&amp;tblOrdenes[[#This Row],[link_checklist]],"abrir"))</f>
        <v/>
      </c>
      <c r="AP586" s="6" t="n"/>
      <c r="AQ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3">
        <f>IF(tblOrdenes[[#This Row],[tipo_ot]]="","",_xlfn.XLOOKUP(tblOrdenes[[#This Row],[tipo_ot]],tblTiposOT[codigo],tblTiposOT[clasificacion],"sin_clasificar"))</f>
        <v/>
      </c>
      <c r="U587" s="3">
        <f>IF(tblOrdenes[[#This Row],[centro_costo]]="","",_xlfn.XLOOKUP(tblOrdenes[[#This Row],[centro_costo]],tblCECO[codigo],tblCECO[linea],"(sin catálogo)"))</f>
        <v/>
      </c>
      <c r="V587" s="3">
        <f>IF(tblOrdenes[[#This Row],[centro_costo]]="","",_xlfn.XLOOKUP(tblOrdenes[[#This Row],[centro_costo]],tblCECO[codigo],tblCECO[area],"(sin catálogo)"))</f>
        <v/>
      </c>
      <c r="W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3">
        <f>IF(tblOrdenes[[#This Row],[centro_costo]]="","",_xlfn.XLOOKUP(tblOrdenes[[#This Row],[centro_costo]],tblCECO[codigo],tblCECO[coordinador],"(sin catálogo)"))</f>
        <v/>
      </c>
      <c r="Y587" s="3">
        <f>IF(tblOrdenes[[#This Row],[puesto_trabajo]]="","",_xlfn.XLOOKUP(tblOrdenes[[#This Row],[puesto_trabajo]],tblPuestos[codigo],tblPuestos[especialidad],"(sin catálogo)"))</f>
        <v/>
      </c>
      <c r="Z587" s="3">
        <f>IF(tblOrdenes[[#This Row],[cod_actividad]]="","",_xlfn.XLOOKUP(tblOrdenes[[#This Row],[cod_actividad]],tblActividades[codigo],tblActividades[descripcion],"(sin catálogo)"))</f>
        <v/>
      </c>
      <c r="AA587" s="12">
        <f>IF(tblOrdenes[[#This Row],[fecha_inicio]]="","",TODAY()-tblOrdenes[[#This Row],[fecha_inicio]])</f>
        <v/>
      </c>
      <c r="AB5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3">
        <f>IF(tblOrdenes[[#This Row],[backlog_habiles]]="","",IF(tblOrdenes[[#This Row],[backlog_habiles]]&lt;0,"FUTURO",IF(tblOrdenes[[#This Row],[backlog_habiles]]&gt;p_dias_backlog_max,"BACKLOG","MES CORRIENTE")))</f>
        <v/>
      </c>
      <c r="AD587" s="3">
        <f>IF(tblOrdenes[[#This Row],[backlog_habiles]]="",FALSE,AND(tblOrdenes[[#This Row],[backlog_habiles]]&gt;p_dias_backlog_min,tblOrdenes[[#This Row],[backlog_habiles]]&lt;=p_dias_backlog_max))</f>
        <v/>
      </c>
      <c r="AE587" s="6" t="n"/>
      <c r="AF5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0">
        <f>IF(tblOrdenes[[#This Row],[orden]]="","",_xlfn.XLOOKUP(tblOrdenes[[#This Row],[id_operacion]],tblEjecucion[id_operacion],tblEjecucion[precio],0))</f>
        <v/>
      </c>
      <c r="AJ587" s="10">
        <f>IF(tblOrdenes[[#This Row],[orden]]="","",MAX(0,_xlfn.XLOOKUP(tblOrdenes[[#This Row],[id_operacion]],tblEjecucion[id_operacion],tblEjecucion[costo_plan_total],0)-tblOrdenes[[#This Row],[costo_servicio]]))</f>
        <v/>
      </c>
      <c r="AK587" s="10">
        <f>IF(tblOrdenes[[#This Row],[orden]]="","",tblOrdenes[[#This Row],[costo_servicio]]+tblOrdenes[[#This Row],[costo_materiales]])</f>
        <v/>
      </c>
      <c r="AL587" s="6" t="n"/>
      <c r="AM587" s="6" t="n"/>
      <c r="AN587" s="6" t="n"/>
      <c r="AO587" s="3">
        <f>IF(tblOrdenes[[#This Row],[link_checklist]]="","",HYPERLINK(p_ruta_base_checklists&amp;tblOrdenes[[#This Row],[link_checklist]],"abrir"))</f>
        <v/>
      </c>
      <c r="AP587" s="6" t="n"/>
      <c r="AQ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3">
        <f>IF(tblOrdenes[[#This Row],[tipo_ot]]="","",_xlfn.XLOOKUP(tblOrdenes[[#This Row],[tipo_ot]],tblTiposOT[codigo],tblTiposOT[clasificacion],"sin_clasificar"))</f>
        <v/>
      </c>
      <c r="U588" s="3">
        <f>IF(tblOrdenes[[#This Row],[centro_costo]]="","",_xlfn.XLOOKUP(tblOrdenes[[#This Row],[centro_costo]],tblCECO[codigo],tblCECO[linea],"(sin catálogo)"))</f>
        <v/>
      </c>
      <c r="V588" s="3">
        <f>IF(tblOrdenes[[#This Row],[centro_costo]]="","",_xlfn.XLOOKUP(tblOrdenes[[#This Row],[centro_costo]],tblCECO[codigo],tblCECO[area],"(sin catálogo)"))</f>
        <v/>
      </c>
      <c r="W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3">
        <f>IF(tblOrdenes[[#This Row],[centro_costo]]="","",_xlfn.XLOOKUP(tblOrdenes[[#This Row],[centro_costo]],tblCECO[codigo],tblCECO[coordinador],"(sin catálogo)"))</f>
        <v/>
      </c>
      <c r="Y588" s="3">
        <f>IF(tblOrdenes[[#This Row],[puesto_trabajo]]="","",_xlfn.XLOOKUP(tblOrdenes[[#This Row],[puesto_trabajo]],tblPuestos[codigo],tblPuestos[especialidad],"(sin catálogo)"))</f>
        <v/>
      </c>
      <c r="Z588" s="3">
        <f>IF(tblOrdenes[[#This Row],[cod_actividad]]="","",_xlfn.XLOOKUP(tblOrdenes[[#This Row],[cod_actividad]],tblActividades[codigo],tblActividades[descripcion],"(sin catálogo)"))</f>
        <v/>
      </c>
      <c r="AA588" s="12">
        <f>IF(tblOrdenes[[#This Row],[fecha_inicio]]="","",TODAY()-tblOrdenes[[#This Row],[fecha_inicio]])</f>
        <v/>
      </c>
      <c r="AB5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3">
        <f>IF(tblOrdenes[[#This Row],[backlog_habiles]]="","",IF(tblOrdenes[[#This Row],[backlog_habiles]]&lt;0,"FUTURO",IF(tblOrdenes[[#This Row],[backlog_habiles]]&gt;p_dias_backlog_max,"BACKLOG","MES CORRIENTE")))</f>
        <v/>
      </c>
      <c r="AD588" s="3">
        <f>IF(tblOrdenes[[#This Row],[backlog_habiles]]="",FALSE,AND(tblOrdenes[[#This Row],[backlog_habiles]]&gt;p_dias_backlog_min,tblOrdenes[[#This Row],[backlog_habiles]]&lt;=p_dias_backlog_max))</f>
        <v/>
      </c>
      <c r="AE588" s="6" t="n"/>
      <c r="AF5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0">
        <f>IF(tblOrdenes[[#This Row],[orden]]="","",_xlfn.XLOOKUP(tblOrdenes[[#This Row],[id_operacion]],tblEjecucion[id_operacion],tblEjecucion[precio],0))</f>
        <v/>
      </c>
      <c r="AJ588" s="10">
        <f>IF(tblOrdenes[[#This Row],[orden]]="","",MAX(0,_xlfn.XLOOKUP(tblOrdenes[[#This Row],[id_operacion]],tblEjecucion[id_operacion],tblEjecucion[costo_plan_total],0)-tblOrdenes[[#This Row],[costo_servicio]]))</f>
        <v/>
      </c>
      <c r="AK588" s="10">
        <f>IF(tblOrdenes[[#This Row],[orden]]="","",tblOrdenes[[#This Row],[costo_servicio]]+tblOrdenes[[#This Row],[costo_materiales]])</f>
        <v/>
      </c>
      <c r="AL588" s="6" t="n"/>
      <c r="AM588" s="6" t="n"/>
      <c r="AN588" s="6" t="n"/>
      <c r="AO588" s="3">
        <f>IF(tblOrdenes[[#This Row],[link_checklist]]="","",HYPERLINK(p_ruta_base_checklists&amp;tblOrdenes[[#This Row],[link_checklist]],"abrir"))</f>
        <v/>
      </c>
      <c r="AP588" s="6" t="n"/>
      <c r="AQ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3">
        <f>IF(tblOrdenes[[#This Row],[tipo_ot]]="","",_xlfn.XLOOKUP(tblOrdenes[[#This Row],[tipo_ot]],tblTiposOT[codigo],tblTiposOT[clasificacion],"sin_clasificar"))</f>
        <v/>
      </c>
      <c r="U589" s="3">
        <f>IF(tblOrdenes[[#This Row],[centro_costo]]="","",_xlfn.XLOOKUP(tblOrdenes[[#This Row],[centro_costo]],tblCECO[codigo],tblCECO[linea],"(sin catálogo)"))</f>
        <v/>
      </c>
      <c r="V589" s="3">
        <f>IF(tblOrdenes[[#This Row],[centro_costo]]="","",_xlfn.XLOOKUP(tblOrdenes[[#This Row],[centro_costo]],tblCECO[codigo],tblCECO[area],"(sin catálogo)"))</f>
        <v/>
      </c>
      <c r="W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3">
        <f>IF(tblOrdenes[[#This Row],[centro_costo]]="","",_xlfn.XLOOKUP(tblOrdenes[[#This Row],[centro_costo]],tblCECO[codigo],tblCECO[coordinador],"(sin catálogo)"))</f>
        <v/>
      </c>
      <c r="Y589" s="3">
        <f>IF(tblOrdenes[[#This Row],[puesto_trabajo]]="","",_xlfn.XLOOKUP(tblOrdenes[[#This Row],[puesto_trabajo]],tblPuestos[codigo],tblPuestos[especialidad],"(sin catálogo)"))</f>
        <v/>
      </c>
      <c r="Z589" s="3">
        <f>IF(tblOrdenes[[#This Row],[cod_actividad]]="","",_xlfn.XLOOKUP(tblOrdenes[[#This Row],[cod_actividad]],tblActividades[codigo],tblActividades[descripcion],"(sin catálogo)"))</f>
        <v/>
      </c>
      <c r="AA589" s="12">
        <f>IF(tblOrdenes[[#This Row],[fecha_inicio]]="","",TODAY()-tblOrdenes[[#This Row],[fecha_inicio]])</f>
        <v/>
      </c>
      <c r="AB5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3">
        <f>IF(tblOrdenes[[#This Row],[backlog_habiles]]="","",IF(tblOrdenes[[#This Row],[backlog_habiles]]&lt;0,"FUTURO",IF(tblOrdenes[[#This Row],[backlog_habiles]]&gt;p_dias_backlog_max,"BACKLOG","MES CORRIENTE")))</f>
        <v/>
      </c>
      <c r="AD589" s="3">
        <f>IF(tblOrdenes[[#This Row],[backlog_habiles]]="",FALSE,AND(tblOrdenes[[#This Row],[backlog_habiles]]&gt;p_dias_backlog_min,tblOrdenes[[#This Row],[backlog_habiles]]&lt;=p_dias_backlog_max))</f>
        <v/>
      </c>
      <c r="AE589" s="6" t="n"/>
      <c r="AF5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0">
        <f>IF(tblOrdenes[[#This Row],[orden]]="","",_xlfn.XLOOKUP(tblOrdenes[[#This Row],[id_operacion]],tblEjecucion[id_operacion],tblEjecucion[precio],0))</f>
        <v/>
      </c>
      <c r="AJ589" s="10">
        <f>IF(tblOrdenes[[#This Row],[orden]]="","",MAX(0,_xlfn.XLOOKUP(tblOrdenes[[#This Row],[id_operacion]],tblEjecucion[id_operacion],tblEjecucion[costo_plan_total],0)-tblOrdenes[[#This Row],[costo_servicio]]))</f>
        <v/>
      </c>
      <c r="AK589" s="10">
        <f>IF(tblOrdenes[[#This Row],[orden]]="","",tblOrdenes[[#This Row],[costo_servicio]]+tblOrdenes[[#This Row],[costo_materiales]])</f>
        <v/>
      </c>
      <c r="AL589" s="6" t="n"/>
      <c r="AM589" s="6" t="n"/>
      <c r="AN589" s="6" t="n"/>
      <c r="AO589" s="3">
        <f>IF(tblOrdenes[[#This Row],[link_checklist]]="","",HYPERLINK(p_ruta_base_checklists&amp;tblOrdenes[[#This Row],[link_checklist]],"abrir"))</f>
        <v/>
      </c>
      <c r="AP589" s="6" t="n"/>
      <c r="AQ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3">
        <f>IF(tblOrdenes[[#This Row],[tipo_ot]]="","",_xlfn.XLOOKUP(tblOrdenes[[#This Row],[tipo_ot]],tblTiposOT[codigo],tblTiposOT[clasificacion],"sin_clasificar"))</f>
        <v/>
      </c>
      <c r="U590" s="3">
        <f>IF(tblOrdenes[[#This Row],[centro_costo]]="","",_xlfn.XLOOKUP(tblOrdenes[[#This Row],[centro_costo]],tblCECO[codigo],tblCECO[linea],"(sin catálogo)"))</f>
        <v/>
      </c>
      <c r="V590" s="3">
        <f>IF(tblOrdenes[[#This Row],[centro_costo]]="","",_xlfn.XLOOKUP(tblOrdenes[[#This Row],[centro_costo]],tblCECO[codigo],tblCECO[area],"(sin catálogo)"))</f>
        <v/>
      </c>
      <c r="W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3">
        <f>IF(tblOrdenes[[#This Row],[centro_costo]]="","",_xlfn.XLOOKUP(tblOrdenes[[#This Row],[centro_costo]],tblCECO[codigo],tblCECO[coordinador],"(sin catálogo)"))</f>
        <v/>
      </c>
      <c r="Y590" s="3">
        <f>IF(tblOrdenes[[#This Row],[puesto_trabajo]]="","",_xlfn.XLOOKUP(tblOrdenes[[#This Row],[puesto_trabajo]],tblPuestos[codigo],tblPuestos[especialidad],"(sin catálogo)"))</f>
        <v/>
      </c>
      <c r="Z590" s="3">
        <f>IF(tblOrdenes[[#This Row],[cod_actividad]]="","",_xlfn.XLOOKUP(tblOrdenes[[#This Row],[cod_actividad]],tblActividades[codigo],tblActividades[descripcion],"(sin catálogo)"))</f>
        <v/>
      </c>
      <c r="AA590" s="12">
        <f>IF(tblOrdenes[[#This Row],[fecha_inicio]]="","",TODAY()-tblOrdenes[[#This Row],[fecha_inicio]])</f>
        <v/>
      </c>
      <c r="AB5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3">
        <f>IF(tblOrdenes[[#This Row],[backlog_habiles]]="","",IF(tblOrdenes[[#This Row],[backlog_habiles]]&lt;0,"FUTURO",IF(tblOrdenes[[#This Row],[backlog_habiles]]&gt;p_dias_backlog_max,"BACKLOG","MES CORRIENTE")))</f>
        <v/>
      </c>
      <c r="AD590" s="3">
        <f>IF(tblOrdenes[[#This Row],[backlog_habiles]]="",FALSE,AND(tblOrdenes[[#This Row],[backlog_habiles]]&gt;p_dias_backlog_min,tblOrdenes[[#This Row],[backlog_habiles]]&lt;=p_dias_backlog_max))</f>
        <v/>
      </c>
      <c r="AE590" s="6" t="n"/>
      <c r="AF5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0">
        <f>IF(tblOrdenes[[#This Row],[orden]]="","",_xlfn.XLOOKUP(tblOrdenes[[#This Row],[id_operacion]],tblEjecucion[id_operacion],tblEjecucion[precio],0))</f>
        <v/>
      </c>
      <c r="AJ590" s="10">
        <f>IF(tblOrdenes[[#This Row],[orden]]="","",MAX(0,_xlfn.XLOOKUP(tblOrdenes[[#This Row],[id_operacion]],tblEjecucion[id_operacion],tblEjecucion[costo_plan_total],0)-tblOrdenes[[#This Row],[costo_servicio]]))</f>
        <v/>
      </c>
      <c r="AK590" s="10">
        <f>IF(tblOrdenes[[#This Row],[orden]]="","",tblOrdenes[[#This Row],[costo_servicio]]+tblOrdenes[[#This Row],[costo_materiales]])</f>
        <v/>
      </c>
      <c r="AL590" s="6" t="n"/>
      <c r="AM590" s="6" t="n"/>
      <c r="AN590" s="6" t="n"/>
      <c r="AO590" s="3">
        <f>IF(tblOrdenes[[#This Row],[link_checklist]]="","",HYPERLINK(p_ruta_base_checklists&amp;tblOrdenes[[#This Row],[link_checklist]],"abrir"))</f>
        <v/>
      </c>
      <c r="AP590" s="6" t="n"/>
      <c r="AQ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3">
        <f>IF(tblOrdenes[[#This Row],[tipo_ot]]="","",_xlfn.XLOOKUP(tblOrdenes[[#This Row],[tipo_ot]],tblTiposOT[codigo],tblTiposOT[clasificacion],"sin_clasificar"))</f>
        <v/>
      </c>
      <c r="U591" s="3">
        <f>IF(tblOrdenes[[#This Row],[centro_costo]]="","",_xlfn.XLOOKUP(tblOrdenes[[#This Row],[centro_costo]],tblCECO[codigo],tblCECO[linea],"(sin catálogo)"))</f>
        <v/>
      </c>
      <c r="V591" s="3">
        <f>IF(tblOrdenes[[#This Row],[centro_costo]]="","",_xlfn.XLOOKUP(tblOrdenes[[#This Row],[centro_costo]],tblCECO[codigo],tblCECO[area],"(sin catálogo)"))</f>
        <v/>
      </c>
      <c r="W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3">
        <f>IF(tblOrdenes[[#This Row],[centro_costo]]="","",_xlfn.XLOOKUP(tblOrdenes[[#This Row],[centro_costo]],tblCECO[codigo],tblCECO[coordinador],"(sin catálogo)"))</f>
        <v/>
      </c>
      <c r="Y591" s="3">
        <f>IF(tblOrdenes[[#This Row],[puesto_trabajo]]="","",_xlfn.XLOOKUP(tblOrdenes[[#This Row],[puesto_trabajo]],tblPuestos[codigo],tblPuestos[especialidad],"(sin catálogo)"))</f>
        <v/>
      </c>
      <c r="Z591" s="3">
        <f>IF(tblOrdenes[[#This Row],[cod_actividad]]="","",_xlfn.XLOOKUP(tblOrdenes[[#This Row],[cod_actividad]],tblActividades[codigo],tblActividades[descripcion],"(sin catálogo)"))</f>
        <v/>
      </c>
      <c r="AA591" s="12">
        <f>IF(tblOrdenes[[#This Row],[fecha_inicio]]="","",TODAY()-tblOrdenes[[#This Row],[fecha_inicio]])</f>
        <v/>
      </c>
      <c r="AB5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3">
        <f>IF(tblOrdenes[[#This Row],[backlog_habiles]]="","",IF(tblOrdenes[[#This Row],[backlog_habiles]]&lt;0,"FUTURO",IF(tblOrdenes[[#This Row],[backlog_habiles]]&gt;p_dias_backlog_max,"BACKLOG","MES CORRIENTE")))</f>
        <v/>
      </c>
      <c r="AD591" s="3">
        <f>IF(tblOrdenes[[#This Row],[backlog_habiles]]="",FALSE,AND(tblOrdenes[[#This Row],[backlog_habiles]]&gt;p_dias_backlog_min,tblOrdenes[[#This Row],[backlog_habiles]]&lt;=p_dias_backlog_max))</f>
        <v/>
      </c>
      <c r="AE591" s="6" t="n"/>
      <c r="AF5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0">
        <f>IF(tblOrdenes[[#This Row],[orden]]="","",_xlfn.XLOOKUP(tblOrdenes[[#This Row],[id_operacion]],tblEjecucion[id_operacion],tblEjecucion[precio],0))</f>
        <v/>
      </c>
      <c r="AJ591" s="10">
        <f>IF(tblOrdenes[[#This Row],[orden]]="","",MAX(0,_xlfn.XLOOKUP(tblOrdenes[[#This Row],[id_operacion]],tblEjecucion[id_operacion],tblEjecucion[costo_plan_total],0)-tblOrdenes[[#This Row],[costo_servicio]]))</f>
        <v/>
      </c>
      <c r="AK591" s="10">
        <f>IF(tblOrdenes[[#This Row],[orden]]="","",tblOrdenes[[#This Row],[costo_servicio]]+tblOrdenes[[#This Row],[costo_materiales]])</f>
        <v/>
      </c>
      <c r="AL591" s="6" t="n"/>
      <c r="AM591" s="6" t="n"/>
      <c r="AN591" s="6" t="n"/>
      <c r="AO591" s="3">
        <f>IF(tblOrdenes[[#This Row],[link_checklist]]="","",HYPERLINK(p_ruta_base_checklists&amp;tblOrdenes[[#This Row],[link_checklist]],"abrir"))</f>
        <v/>
      </c>
      <c r="AP591" s="6" t="n"/>
      <c r="AQ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3">
        <f>IF(tblOrdenes[[#This Row],[tipo_ot]]="","",_xlfn.XLOOKUP(tblOrdenes[[#This Row],[tipo_ot]],tblTiposOT[codigo],tblTiposOT[clasificacion],"sin_clasificar"))</f>
        <v/>
      </c>
      <c r="U592" s="3">
        <f>IF(tblOrdenes[[#This Row],[centro_costo]]="","",_xlfn.XLOOKUP(tblOrdenes[[#This Row],[centro_costo]],tblCECO[codigo],tblCECO[linea],"(sin catálogo)"))</f>
        <v/>
      </c>
      <c r="V592" s="3">
        <f>IF(tblOrdenes[[#This Row],[centro_costo]]="","",_xlfn.XLOOKUP(tblOrdenes[[#This Row],[centro_costo]],tblCECO[codigo],tblCECO[area],"(sin catálogo)"))</f>
        <v/>
      </c>
      <c r="W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3">
        <f>IF(tblOrdenes[[#This Row],[centro_costo]]="","",_xlfn.XLOOKUP(tblOrdenes[[#This Row],[centro_costo]],tblCECO[codigo],tblCECO[coordinador],"(sin catálogo)"))</f>
        <v/>
      </c>
      <c r="Y592" s="3">
        <f>IF(tblOrdenes[[#This Row],[puesto_trabajo]]="","",_xlfn.XLOOKUP(tblOrdenes[[#This Row],[puesto_trabajo]],tblPuestos[codigo],tblPuestos[especialidad],"(sin catálogo)"))</f>
        <v/>
      </c>
      <c r="Z592" s="3">
        <f>IF(tblOrdenes[[#This Row],[cod_actividad]]="","",_xlfn.XLOOKUP(tblOrdenes[[#This Row],[cod_actividad]],tblActividades[codigo],tblActividades[descripcion],"(sin catálogo)"))</f>
        <v/>
      </c>
      <c r="AA592" s="12">
        <f>IF(tblOrdenes[[#This Row],[fecha_inicio]]="","",TODAY()-tblOrdenes[[#This Row],[fecha_inicio]])</f>
        <v/>
      </c>
      <c r="AB5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3">
        <f>IF(tblOrdenes[[#This Row],[backlog_habiles]]="","",IF(tblOrdenes[[#This Row],[backlog_habiles]]&lt;0,"FUTURO",IF(tblOrdenes[[#This Row],[backlog_habiles]]&gt;p_dias_backlog_max,"BACKLOG","MES CORRIENTE")))</f>
        <v/>
      </c>
      <c r="AD592" s="3">
        <f>IF(tblOrdenes[[#This Row],[backlog_habiles]]="",FALSE,AND(tblOrdenes[[#This Row],[backlog_habiles]]&gt;p_dias_backlog_min,tblOrdenes[[#This Row],[backlog_habiles]]&lt;=p_dias_backlog_max))</f>
        <v/>
      </c>
      <c r="AE592" s="6" t="n"/>
      <c r="AF5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0">
        <f>IF(tblOrdenes[[#This Row],[orden]]="","",_xlfn.XLOOKUP(tblOrdenes[[#This Row],[id_operacion]],tblEjecucion[id_operacion],tblEjecucion[precio],0))</f>
        <v/>
      </c>
      <c r="AJ592" s="10">
        <f>IF(tblOrdenes[[#This Row],[orden]]="","",MAX(0,_xlfn.XLOOKUP(tblOrdenes[[#This Row],[id_operacion]],tblEjecucion[id_operacion],tblEjecucion[costo_plan_total],0)-tblOrdenes[[#This Row],[costo_servicio]]))</f>
        <v/>
      </c>
      <c r="AK592" s="10">
        <f>IF(tblOrdenes[[#This Row],[orden]]="","",tblOrdenes[[#This Row],[costo_servicio]]+tblOrdenes[[#This Row],[costo_materiales]])</f>
        <v/>
      </c>
      <c r="AL592" s="6" t="n"/>
      <c r="AM592" s="6" t="n"/>
      <c r="AN592" s="6" t="n"/>
      <c r="AO592" s="3">
        <f>IF(tblOrdenes[[#This Row],[link_checklist]]="","",HYPERLINK(p_ruta_base_checklists&amp;tblOrdenes[[#This Row],[link_checklist]],"abrir"))</f>
        <v/>
      </c>
      <c r="AP592" s="6" t="n"/>
      <c r="AQ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3">
        <f>IF(tblOrdenes[[#This Row],[tipo_ot]]="","",_xlfn.XLOOKUP(tblOrdenes[[#This Row],[tipo_ot]],tblTiposOT[codigo],tblTiposOT[clasificacion],"sin_clasificar"))</f>
        <v/>
      </c>
      <c r="U593" s="3">
        <f>IF(tblOrdenes[[#This Row],[centro_costo]]="","",_xlfn.XLOOKUP(tblOrdenes[[#This Row],[centro_costo]],tblCECO[codigo],tblCECO[linea],"(sin catálogo)"))</f>
        <v/>
      </c>
      <c r="V593" s="3">
        <f>IF(tblOrdenes[[#This Row],[centro_costo]]="","",_xlfn.XLOOKUP(tblOrdenes[[#This Row],[centro_costo]],tblCECO[codigo],tblCECO[area],"(sin catálogo)"))</f>
        <v/>
      </c>
      <c r="W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3">
        <f>IF(tblOrdenes[[#This Row],[centro_costo]]="","",_xlfn.XLOOKUP(tblOrdenes[[#This Row],[centro_costo]],tblCECO[codigo],tblCECO[coordinador],"(sin catálogo)"))</f>
        <v/>
      </c>
      <c r="Y593" s="3">
        <f>IF(tblOrdenes[[#This Row],[puesto_trabajo]]="","",_xlfn.XLOOKUP(tblOrdenes[[#This Row],[puesto_trabajo]],tblPuestos[codigo],tblPuestos[especialidad],"(sin catálogo)"))</f>
        <v/>
      </c>
      <c r="Z593" s="3">
        <f>IF(tblOrdenes[[#This Row],[cod_actividad]]="","",_xlfn.XLOOKUP(tblOrdenes[[#This Row],[cod_actividad]],tblActividades[codigo],tblActividades[descripcion],"(sin catálogo)"))</f>
        <v/>
      </c>
      <c r="AA593" s="12">
        <f>IF(tblOrdenes[[#This Row],[fecha_inicio]]="","",TODAY()-tblOrdenes[[#This Row],[fecha_inicio]])</f>
        <v/>
      </c>
      <c r="AB5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3">
        <f>IF(tblOrdenes[[#This Row],[backlog_habiles]]="","",IF(tblOrdenes[[#This Row],[backlog_habiles]]&lt;0,"FUTURO",IF(tblOrdenes[[#This Row],[backlog_habiles]]&gt;p_dias_backlog_max,"BACKLOG","MES CORRIENTE")))</f>
        <v/>
      </c>
      <c r="AD593" s="3">
        <f>IF(tblOrdenes[[#This Row],[backlog_habiles]]="",FALSE,AND(tblOrdenes[[#This Row],[backlog_habiles]]&gt;p_dias_backlog_min,tblOrdenes[[#This Row],[backlog_habiles]]&lt;=p_dias_backlog_max))</f>
        <v/>
      </c>
      <c r="AE593" s="6" t="n"/>
      <c r="AF5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0">
        <f>IF(tblOrdenes[[#This Row],[orden]]="","",_xlfn.XLOOKUP(tblOrdenes[[#This Row],[id_operacion]],tblEjecucion[id_operacion],tblEjecucion[precio],0))</f>
        <v/>
      </c>
      <c r="AJ593" s="10">
        <f>IF(tblOrdenes[[#This Row],[orden]]="","",MAX(0,_xlfn.XLOOKUP(tblOrdenes[[#This Row],[id_operacion]],tblEjecucion[id_operacion],tblEjecucion[costo_plan_total],0)-tblOrdenes[[#This Row],[costo_servicio]]))</f>
        <v/>
      </c>
      <c r="AK593" s="10">
        <f>IF(tblOrdenes[[#This Row],[orden]]="","",tblOrdenes[[#This Row],[costo_servicio]]+tblOrdenes[[#This Row],[costo_materiales]])</f>
        <v/>
      </c>
      <c r="AL593" s="6" t="n"/>
      <c r="AM593" s="6" t="n"/>
      <c r="AN593" s="6" t="n"/>
      <c r="AO593" s="3">
        <f>IF(tblOrdenes[[#This Row],[link_checklist]]="","",HYPERLINK(p_ruta_base_checklists&amp;tblOrdenes[[#This Row],[link_checklist]],"abrir"))</f>
        <v/>
      </c>
      <c r="AP593" s="6" t="n"/>
      <c r="AQ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3">
        <f>IF(tblOrdenes[[#This Row],[tipo_ot]]="","",_xlfn.XLOOKUP(tblOrdenes[[#This Row],[tipo_ot]],tblTiposOT[codigo],tblTiposOT[clasificacion],"sin_clasificar"))</f>
        <v/>
      </c>
      <c r="U594" s="3">
        <f>IF(tblOrdenes[[#This Row],[centro_costo]]="","",_xlfn.XLOOKUP(tblOrdenes[[#This Row],[centro_costo]],tblCECO[codigo],tblCECO[linea],"(sin catálogo)"))</f>
        <v/>
      </c>
      <c r="V594" s="3">
        <f>IF(tblOrdenes[[#This Row],[centro_costo]]="","",_xlfn.XLOOKUP(tblOrdenes[[#This Row],[centro_costo]],tblCECO[codigo],tblCECO[area],"(sin catálogo)"))</f>
        <v/>
      </c>
      <c r="W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3">
        <f>IF(tblOrdenes[[#This Row],[centro_costo]]="","",_xlfn.XLOOKUP(tblOrdenes[[#This Row],[centro_costo]],tblCECO[codigo],tblCECO[coordinador],"(sin catálogo)"))</f>
        <v/>
      </c>
      <c r="Y594" s="3">
        <f>IF(tblOrdenes[[#This Row],[puesto_trabajo]]="","",_xlfn.XLOOKUP(tblOrdenes[[#This Row],[puesto_trabajo]],tblPuestos[codigo],tblPuestos[especialidad],"(sin catálogo)"))</f>
        <v/>
      </c>
      <c r="Z594" s="3">
        <f>IF(tblOrdenes[[#This Row],[cod_actividad]]="","",_xlfn.XLOOKUP(tblOrdenes[[#This Row],[cod_actividad]],tblActividades[codigo],tblActividades[descripcion],"(sin catálogo)"))</f>
        <v/>
      </c>
      <c r="AA594" s="12">
        <f>IF(tblOrdenes[[#This Row],[fecha_inicio]]="","",TODAY()-tblOrdenes[[#This Row],[fecha_inicio]])</f>
        <v/>
      </c>
      <c r="AB5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3">
        <f>IF(tblOrdenes[[#This Row],[backlog_habiles]]="","",IF(tblOrdenes[[#This Row],[backlog_habiles]]&lt;0,"FUTURO",IF(tblOrdenes[[#This Row],[backlog_habiles]]&gt;p_dias_backlog_max,"BACKLOG","MES CORRIENTE")))</f>
        <v/>
      </c>
      <c r="AD594" s="3">
        <f>IF(tblOrdenes[[#This Row],[backlog_habiles]]="",FALSE,AND(tblOrdenes[[#This Row],[backlog_habiles]]&gt;p_dias_backlog_min,tblOrdenes[[#This Row],[backlog_habiles]]&lt;=p_dias_backlog_max))</f>
        <v/>
      </c>
      <c r="AE594" s="6" t="n"/>
      <c r="AF5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0">
        <f>IF(tblOrdenes[[#This Row],[orden]]="","",_xlfn.XLOOKUP(tblOrdenes[[#This Row],[id_operacion]],tblEjecucion[id_operacion],tblEjecucion[precio],0))</f>
        <v/>
      </c>
      <c r="AJ594" s="10">
        <f>IF(tblOrdenes[[#This Row],[orden]]="","",MAX(0,_xlfn.XLOOKUP(tblOrdenes[[#This Row],[id_operacion]],tblEjecucion[id_operacion],tblEjecucion[costo_plan_total],0)-tblOrdenes[[#This Row],[costo_servicio]]))</f>
        <v/>
      </c>
      <c r="AK594" s="10">
        <f>IF(tblOrdenes[[#This Row],[orden]]="","",tblOrdenes[[#This Row],[costo_servicio]]+tblOrdenes[[#This Row],[costo_materiales]])</f>
        <v/>
      </c>
      <c r="AL594" s="6" t="n"/>
      <c r="AM594" s="6" t="n"/>
      <c r="AN594" s="6" t="n"/>
      <c r="AO594" s="3">
        <f>IF(tblOrdenes[[#This Row],[link_checklist]]="","",HYPERLINK(p_ruta_base_checklists&amp;tblOrdenes[[#This Row],[link_checklist]],"abrir"))</f>
        <v/>
      </c>
      <c r="AP594" s="6" t="n"/>
      <c r="AQ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3">
        <f>IF(tblOrdenes[[#This Row],[tipo_ot]]="","",_xlfn.XLOOKUP(tblOrdenes[[#This Row],[tipo_ot]],tblTiposOT[codigo],tblTiposOT[clasificacion],"sin_clasificar"))</f>
        <v/>
      </c>
      <c r="U595" s="3">
        <f>IF(tblOrdenes[[#This Row],[centro_costo]]="","",_xlfn.XLOOKUP(tblOrdenes[[#This Row],[centro_costo]],tblCECO[codigo],tblCECO[linea],"(sin catálogo)"))</f>
        <v/>
      </c>
      <c r="V595" s="3">
        <f>IF(tblOrdenes[[#This Row],[centro_costo]]="","",_xlfn.XLOOKUP(tblOrdenes[[#This Row],[centro_costo]],tblCECO[codigo],tblCECO[area],"(sin catálogo)"))</f>
        <v/>
      </c>
      <c r="W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3">
        <f>IF(tblOrdenes[[#This Row],[centro_costo]]="","",_xlfn.XLOOKUP(tblOrdenes[[#This Row],[centro_costo]],tblCECO[codigo],tblCECO[coordinador],"(sin catálogo)"))</f>
        <v/>
      </c>
      <c r="Y595" s="3">
        <f>IF(tblOrdenes[[#This Row],[puesto_trabajo]]="","",_xlfn.XLOOKUP(tblOrdenes[[#This Row],[puesto_trabajo]],tblPuestos[codigo],tblPuestos[especialidad],"(sin catálogo)"))</f>
        <v/>
      </c>
      <c r="Z595" s="3">
        <f>IF(tblOrdenes[[#This Row],[cod_actividad]]="","",_xlfn.XLOOKUP(tblOrdenes[[#This Row],[cod_actividad]],tblActividades[codigo],tblActividades[descripcion],"(sin catálogo)"))</f>
        <v/>
      </c>
      <c r="AA595" s="12">
        <f>IF(tblOrdenes[[#This Row],[fecha_inicio]]="","",TODAY()-tblOrdenes[[#This Row],[fecha_inicio]])</f>
        <v/>
      </c>
      <c r="AB5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3">
        <f>IF(tblOrdenes[[#This Row],[backlog_habiles]]="","",IF(tblOrdenes[[#This Row],[backlog_habiles]]&lt;0,"FUTURO",IF(tblOrdenes[[#This Row],[backlog_habiles]]&gt;p_dias_backlog_max,"BACKLOG","MES CORRIENTE")))</f>
        <v/>
      </c>
      <c r="AD595" s="3">
        <f>IF(tblOrdenes[[#This Row],[backlog_habiles]]="",FALSE,AND(tblOrdenes[[#This Row],[backlog_habiles]]&gt;p_dias_backlog_min,tblOrdenes[[#This Row],[backlog_habiles]]&lt;=p_dias_backlog_max))</f>
        <v/>
      </c>
      <c r="AE595" s="6" t="n"/>
      <c r="AF5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0">
        <f>IF(tblOrdenes[[#This Row],[orden]]="","",_xlfn.XLOOKUP(tblOrdenes[[#This Row],[id_operacion]],tblEjecucion[id_operacion],tblEjecucion[precio],0))</f>
        <v/>
      </c>
      <c r="AJ595" s="10">
        <f>IF(tblOrdenes[[#This Row],[orden]]="","",MAX(0,_xlfn.XLOOKUP(tblOrdenes[[#This Row],[id_operacion]],tblEjecucion[id_operacion],tblEjecucion[costo_plan_total],0)-tblOrdenes[[#This Row],[costo_servicio]]))</f>
        <v/>
      </c>
      <c r="AK595" s="10">
        <f>IF(tblOrdenes[[#This Row],[orden]]="","",tblOrdenes[[#This Row],[costo_servicio]]+tblOrdenes[[#This Row],[costo_materiales]])</f>
        <v/>
      </c>
      <c r="AL595" s="6" t="n"/>
      <c r="AM595" s="6" t="n"/>
      <c r="AN595" s="6" t="n"/>
      <c r="AO595" s="3">
        <f>IF(tblOrdenes[[#This Row],[link_checklist]]="","",HYPERLINK(p_ruta_base_checklists&amp;tblOrdenes[[#This Row],[link_checklist]],"abrir"))</f>
        <v/>
      </c>
      <c r="AP595" s="6" t="n"/>
      <c r="AQ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3">
        <f>IF(tblOrdenes[[#This Row],[tipo_ot]]="","",_xlfn.XLOOKUP(tblOrdenes[[#This Row],[tipo_ot]],tblTiposOT[codigo],tblTiposOT[clasificacion],"sin_clasificar"))</f>
        <v/>
      </c>
      <c r="U596" s="3">
        <f>IF(tblOrdenes[[#This Row],[centro_costo]]="","",_xlfn.XLOOKUP(tblOrdenes[[#This Row],[centro_costo]],tblCECO[codigo],tblCECO[linea],"(sin catálogo)"))</f>
        <v/>
      </c>
      <c r="V596" s="3">
        <f>IF(tblOrdenes[[#This Row],[centro_costo]]="","",_xlfn.XLOOKUP(tblOrdenes[[#This Row],[centro_costo]],tblCECO[codigo],tblCECO[area],"(sin catálogo)"))</f>
        <v/>
      </c>
      <c r="W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3">
        <f>IF(tblOrdenes[[#This Row],[centro_costo]]="","",_xlfn.XLOOKUP(tblOrdenes[[#This Row],[centro_costo]],tblCECO[codigo],tblCECO[coordinador],"(sin catálogo)"))</f>
        <v/>
      </c>
      <c r="Y596" s="3">
        <f>IF(tblOrdenes[[#This Row],[puesto_trabajo]]="","",_xlfn.XLOOKUP(tblOrdenes[[#This Row],[puesto_trabajo]],tblPuestos[codigo],tblPuestos[especialidad],"(sin catálogo)"))</f>
        <v/>
      </c>
      <c r="Z596" s="3">
        <f>IF(tblOrdenes[[#This Row],[cod_actividad]]="","",_xlfn.XLOOKUP(tblOrdenes[[#This Row],[cod_actividad]],tblActividades[codigo],tblActividades[descripcion],"(sin catálogo)"))</f>
        <v/>
      </c>
      <c r="AA596" s="12">
        <f>IF(tblOrdenes[[#This Row],[fecha_inicio]]="","",TODAY()-tblOrdenes[[#This Row],[fecha_inicio]])</f>
        <v/>
      </c>
      <c r="AB5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3">
        <f>IF(tblOrdenes[[#This Row],[backlog_habiles]]="","",IF(tblOrdenes[[#This Row],[backlog_habiles]]&lt;0,"FUTURO",IF(tblOrdenes[[#This Row],[backlog_habiles]]&gt;p_dias_backlog_max,"BACKLOG","MES CORRIENTE")))</f>
        <v/>
      </c>
      <c r="AD596" s="3">
        <f>IF(tblOrdenes[[#This Row],[backlog_habiles]]="",FALSE,AND(tblOrdenes[[#This Row],[backlog_habiles]]&gt;p_dias_backlog_min,tblOrdenes[[#This Row],[backlog_habiles]]&lt;=p_dias_backlog_max))</f>
        <v/>
      </c>
      <c r="AE596" s="6" t="n"/>
      <c r="AF5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0">
        <f>IF(tblOrdenes[[#This Row],[orden]]="","",_xlfn.XLOOKUP(tblOrdenes[[#This Row],[id_operacion]],tblEjecucion[id_operacion],tblEjecucion[precio],0))</f>
        <v/>
      </c>
      <c r="AJ596" s="10">
        <f>IF(tblOrdenes[[#This Row],[orden]]="","",MAX(0,_xlfn.XLOOKUP(tblOrdenes[[#This Row],[id_operacion]],tblEjecucion[id_operacion],tblEjecucion[costo_plan_total],0)-tblOrdenes[[#This Row],[costo_servicio]]))</f>
        <v/>
      </c>
      <c r="AK596" s="10">
        <f>IF(tblOrdenes[[#This Row],[orden]]="","",tblOrdenes[[#This Row],[costo_servicio]]+tblOrdenes[[#This Row],[costo_materiales]])</f>
        <v/>
      </c>
      <c r="AL596" s="6" t="n"/>
      <c r="AM596" s="6" t="n"/>
      <c r="AN596" s="6" t="n"/>
      <c r="AO596" s="3">
        <f>IF(tblOrdenes[[#This Row],[link_checklist]]="","",HYPERLINK(p_ruta_base_checklists&amp;tblOrdenes[[#This Row],[link_checklist]],"abrir"))</f>
        <v/>
      </c>
      <c r="AP596" s="6" t="n"/>
      <c r="AQ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3">
        <f>IF(tblOrdenes[[#This Row],[tipo_ot]]="","",_xlfn.XLOOKUP(tblOrdenes[[#This Row],[tipo_ot]],tblTiposOT[codigo],tblTiposOT[clasificacion],"sin_clasificar"))</f>
        <v/>
      </c>
      <c r="U597" s="3">
        <f>IF(tblOrdenes[[#This Row],[centro_costo]]="","",_xlfn.XLOOKUP(tblOrdenes[[#This Row],[centro_costo]],tblCECO[codigo],tblCECO[linea],"(sin catálogo)"))</f>
        <v/>
      </c>
      <c r="V597" s="3">
        <f>IF(tblOrdenes[[#This Row],[centro_costo]]="","",_xlfn.XLOOKUP(tblOrdenes[[#This Row],[centro_costo]],tblCECO[codigo],tblCECO[area],"(sin catálogo)"))</f>
        <v/>
      </c>
      <c r="W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3">
        <f>IF(tblOrdenes[[#This Row],[centro_costo]]="","",_xlfn.XLOOKUP(tblOrdenes[[#This Row],[centro_costo]],tblCECO[codigo],tblCECO[coordinador],"(sin catálogo)"))</f>
        <v/>
      </c>
      <c r="Y597" s="3">
        <f>IF(tblOrdenes[[#This Row],[puesto_trabajo]]="","",_xlfn.XLOOKUP(tblOrdenes[[#This Row],[puesto_trabajo]],tblPuestos[codigo],tblPuestos[especialidad],"(sin catálogo)"))</f>
        <v/>
      </c>
      <c r="Z597" s="3">
        <f>IF(tblOrdenes[[#This Row],[cod_actividad]]="","",_xlfn.XLOOKUP(tblOrdenes[[#This Row],[cod_actividad]],tblActividades[codigo],tblActividades[descripcion],"(sin catálogo)"))</f>
        <v/>
      </c>
      <c r="AA597" s="12">
        <f>IF(tblOrdenes[[#This Row],[fecha_inicio]]="","",TODAY()-tblOrdenes[[#This Row],[fecha_inicio]])</f>
        <v/>
      </c>
      <c r="AB5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3">
        <f>IF(tblOrdenes[[#This Row],[backlog_habiles]]="","",IF(tblOrdenes[[#This Row],[backlog_habiles]]&lt;0,"FUTURO",IF(tblOrdenes[[#This Row],[backlog_habiles]]&gt;p_dias_backlog_max,"BACKLOG","MES CORRIENTE")))</f>
        <v/>
      </c>
      <c r="AD597" s="3">
        <f>IF(tblOrdenes[[#This Row],[backlog_habiles]]="",FALSE,AND(tblOrdenes[[#This Row],[backlog_habiles]]&gt;p_dias_backlog_min,tblOrdenes[[#This Row],[backlog_habiles]]&lt;=p_dias_backlog_max))</f>
        <v/>
      </c>
      <c r="AE597" s="6" t="n"/>
      <c r="AF5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0">
        <f>IF(tblOrdenes[[#This Row],[orden]]="","",_xlfn.XLOOKUP(tblOrdenes[[#This Row],[id_operacion]],tblEjecucion[id_operacion],tblEjecucion[precio],0))</f>
        <v/>
      </c>
      <c r="AJ597" s="10">
        <f>IF(tblOrdenes[[#This Row],[orden]]="","",MAX(0,_xlfn.XLOOKUP(tblOrdenes[[#This Row],[id_operacion]],tblEjecucion[id_operacion],tblEjecucion[costo_plan_total],0)-tblOrdenes[[#This Row],[costo_servicio]]))</f>
        <v/>
      </c>
      <c r="AK597" s="10">
        <f>IF(tblOrdenes[[#This Row],[orden]]="","",tblOrdenes[[#This Row],[costo_servicio]]+tblOrdenes[[#This Row],[costo_materiales]])</f>
        <v/>
      </c>
      <c r="AL597" s="6" t="n"/>
      <c r="AM597" s="6" t="n"/>
      <c r="AN597" s="6" t="n"/>
      <c r="AO597" s="3">
        <f>IF(tblOrdenes[[#This Row],[link_checklist]]="","",HYPERLINK(p_ruta_base_checklists&amp;tblOrdenes[[#This Row],[link_checklist]],"abrir"))</f>
        <v/>
      </c>
      <c r="AP597" s="6" t="n"/>
      <c r="AQ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3">
        <f>IF(tblOrdenes[[#This Row],[tipo_ot]]="","",_xlfn.XLOOKUP(tblOrdenes[[#This Row],[tipo_ot]],tblTiposOT[codigo],tblTiposOT[clasificacion],"sin_clasificar"))</f>
        <v/>
      </c>
      <c r="U598" s="3">
        <f>IF(tblOrdenes[[#This Row],[centro_costo]]="","",_xlfn.XLOOKUP(tblOrdenes[[#This Row],[centro_costo]],tblCECO[codigo],tblCECO[linea],"(sin catálogo)"))</f>
        <v/>
      </c>
      <c r="V598" s="3">
        <f>IF(tblOrdenes[[#This Row],[centro_costo]]="","",_xlfn.XLOOKUP(tblOrdenes[[#This Row],[centro_costo]],tblCECO[codigo],tblCECO[area],"(sin catálogo)"))</f>
        <v/>
      </c>
      <c r="W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3">
        <f>IF(tblOrdenes[[#This Row],[centro_costo]]="","",_xlfn.XLOOKUP(tblOrdenes[[#This Row],[centro_costo]],tblCECO[codigo],tblCECO[coordinador],"(sin catálogo)"))</f>
        <v/>
      </c>
      <c r="Y598" s="3">
        <f>IF(tblOrdenes[[#This Row],[puesto_trabajo]]="","",_xlfn.XLOOKUP(tblOrdenes[[#This Row],[puesto_trabajo]],tblPuestos[codigo],tblPuestos[especialidad],"(sin catálogo)"))</f>
        <v/>
      </c>
      <c r="Z598" s="3">
        <f>IF(tblOrdenes[[#This Row],[cod_actividad]]="","",_xlfn.XLOOKUP(tblOrdenes[[#This Row],[cod_actividad]],tblActividades[codigo],tblActividades[descripcion],"(sin catálogo)"))</f>
        <v/>
      </c>
      <c r="AA598" s="12">
        <f>IF(tblOrdenes[[#This Row],[fecha_inicio]]="","",TODAY()-tblOrdenes[[#This Row],[fecha_inicio]])</f>
        <v/>
      </c>
      <c r="AB5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3">
        <f>IF(tblOrdenes[[#This Row],[backlog_habiles]]="","",IF(tblOrdenes[[#This Row],[backlog_habiles]]&lt;0,"FUTURO",IF(tblOrdenes[[#This Row],[backlog_habiles]]&gt;p_dias_backlog_max,"BACKLOG","MES CORRIENTE")))</f>
        <v/>
      </c>
      <c r="AD598" s="3">
        <f>IF(tblOrdenes[[#This Row],[backlog_habiles]]="",FALSE,AND(tblOrdenes[[#This Row],[backlog_habiles]]&gt;p_dias_backlog_min,tblOrdenes[[#This Row],[backlog_habiles]]&lt;=p_dias_backlog_max))</f>
        <v/>
      </c>
      <c r="AE598" s="6" t="n"/>
      <c r="AF5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0">
        <f>IF(tblOrdenes[[#This Row],[orden]]="","",_xlfn.XLOOKUP(tblOrdenes[[#This Row],[id_operacion]],tblEjecucion[id_operacion],tblEjecucion[precio],0))</f>
        <v/>
      </c>
      <c r="AJ598" s="10">
        <f>IF(tblOrdenes[[#This Row],[orden]]="","",MAX(0,_xlfn.XLOOKUP(tblOrdenes[[#This Row],[id_operacion]],tblEjecucion[id_operacion],tblEjecucion[costo_plan_total],0)-tblOrdenes[[#This Row],[costo_servicio]]))</f>
        <v/>
      </c>
      <c r="AK598" s="10">
        <f>IF(tblOrdenes[[#This Row],[orden]]="","",tblOrdenes[[#This Row],[costo_servicio]]+tblOrdenes[[#This Row],[costo_materiales]])</f>
        <v/>
      </c>
      <c r="AL598" s="6" t="n"/>
      <c r="AM598" s="6" t="n"/>
      <c r="AN598" s="6" t="n"/>
      <c r="AO598" s="3">
        <f>IF(tblOrdenes[[#This Row],[link_checklist]]="","",HYPERLINK(p_ruta_base_checklists&amp;tblOrdenes[[#This Row],[link_checklist]],"abrir"))</f>
        <v/>
      </c>
      <c r="AP598" s="6" t="n"/>
      <c r="AQ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3">
        <f>IF(tblOrdenes[[#This Row],[tipo_ot]]="","",_xlfn.XLOOKUP(tblOrdenes[[#This Row],[tipo_ot]],tblTiposOT[codigo],tblTiposOT[clasificacion],"sin_clasificar"))</f>
        <v/>
      </c>
      <c r="U599" s="3">
        <f>IF(tblOrdenes[[#This Row],[centro_costo]]="","",_xlfn.XLOOKUP(tblOrdenes[[#This Row],[centro_costo]],tblCECO[codigo],tblCECO[linea],"(sin catálogo)"))</f>
        <v/>
      </c>
      <c r="V599" s="3">
        <f>IF(tblOrdenes[[#This Row],[centro_costo]]="","",_xlfn.XLOOKUP(tblOrdenes[[#This Row],[centro_costo]],tblCECO[codigo],tblCECO[area],"(sin catálogo)"))</f>
        <v/>
      </c>
      <c r="W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3">
        <f>IF(tblOrdenes[[#This Row],[centro_costo]]="","",_xlfn.XLOOKUP(tblOrdenes[[#This Row],[centro_costo]],tblCECO[codigo],tblCECO[coordinador],"(sin catálogo)"))</f>
        <v/>
      </c>
      <c r="Y599" s="3">
        <f>IF(tblOrdenes[[#This Row],[puesto_trabajo]]="","",_xlfn.XLOOKUP(tblOrdenes[[#This Row],[puesto_trabajo]],tblPuestos[codigo],tblPuestos[especialidad],"(sin catálogo)"))</f>
        <v/>
      </c>
      <c r="Z599" s="3">
        <f>IF(tblOrdenes[[#This Row],[cod_actividad]]="","",_xlfn.XLOOKUP(tblOrdenes[[#This Row],[cod_actividad]],tblActividades[codigo],tblActividades[descripcion],"(sin catálogo)"))</f>
        <v/>
      </c>
      <c r="AA599" s="12">
        <f>IF(tblOrdenes[[#This Row],[fecha_inicio]]="","",TODAY()-tblOrdenes[[#This Row],[fecha_inicio]])</f>
        <v/>
      </c>
      <c r="AB5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3">
        <f>IF(tblOrdenes[[#This Row],[backlog_habiles]]="","",IF(tblOrdenes[[#This Row],[backlog_habiles]]&lt;0,"FUTURO",IF(tblOrdenes[[#This Row],[backlog_habiles]]&gt;p_dias_backlog_max,"BACKLOG","MES CORRIENTE")))</f>
        <v/>
      </c>
      <c r="AD599" s="3">
        <f>IF(tblOrdenes[[#This Row],[backlog_habiles]]="",FALSE,AND(tblOrdenes[[#This Row],[backlog_habiles]]&gt;p_dias_backlog_min,tblOrdenes[[#This Row],[backlog_habiles]]&lt;=p_dias_backlog_max))</f>
        <v/>
      </c>
      <c r="AE599" s="6" t="n"/>
      <c r="AF5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0">
        <f>IF(tblOrdenes[[#This Row],[orden]]="","",_xlfn.XLOOKUP(tblOrdenes[[#This Row],[id_operacion]],tblEjecucion[id_operacion],tblEjecucion[precio],0))</f>
        <v/>
      </c>
      <c r="AJ599" s="10">
        <f>IF(tblOrdenes[[#This Row],[orden]]="","",MAX(0,_xlfn.XLOOKUP(tblOrdenes[[#This Row],[id_operacion]],tblEjecucion[id_operacion],tblEjecucion[costo_plan_total],0)-tblOrdenes[[#This Row],[costo_servicio]]))</f>
        <v/>
      </c>
      <c r="AK599" s="10">
        <f>IF(tblOrdenes[[#This Row],[orden]]="","",tblOrdenes[[#This Row],[costo_servicio]]+tblOrdenes[[#This Row],[costo_materiales]])</f>
        <v/>
      </c>
      <c r="AL599" s="6" t="n"/>
      <c r="AM599" s="6" t="n"/>
      <c r="AN599" s="6" t="n"/>
      <c r="AO599" s="3">
        <f>IF(tblOrdenes[[#This Row],[link_checklist]]="","",HYPERLINK(p_ruta_base_checklists&amp;tblOrdenes[[#This Row],[link_checklist]],"abrir"))</f>
        <v/>
      </c>
      <c r="AP599" s="6" t="n"/>
      <c r="AQ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3">
        <f>IF(tblOrdenes[[#This Row],[tipo_ot]]="","",_xlfn.XLOOKUP(tblOrdenes[[#This Row],[tipo_ot]],tblTiposOT[codigo],tblTiposOT[clasificacion],"sin_clasificar"))</f>
        <v/>
      </c>
      <c r="U600" s="3">
        <f>IF(tblOrdenes[[#This Row],[centro_costo]]="","",_xlfn.XLOOKUP(tblOrdenes[[#This Row],[centro_costo]],tblCECO[codigo],tblCECO[linea],"(sin catálogo)"))</f>
        <v/>
      </c>
      <c r="V600" s="3">
        <f>IF(tblOrdenes[[#This Row],[centro_costo]]="","",_xlfn.XLOOKUP(tblOrdenes[[#This Row],[centro_costo]],tblCECO[codigo],tblCECO[area],"(sin catálogo)"))</f>
        <v/>
      </c>
      <c r="W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3">
        <f>IF(tblOrdenes[[#This Row],[centro_costo]]="","",_xlfn.XLOOKUP(tblOrdenes[[#This Row],[centro_costo]],tblCECO[codigo],tblCECO[coordinador],"(sin catálogo)"))</f>
        <v/>
      </c>
      <c r="Y600" s="3">
        <f>IF(tblOrdenes[[#This Row],[puesto_trabajo]]="","",_xlfn.XLOOKUP(tblOrdenes[[#This Row],[puesto_trabajo]],tblPuestos[codigo],tblPuestos[especialidad],"(sin catálogo)"))</f>
        <v/>
      </c>
      <c r="Z600" s="3">
        <f>IF(tblOrdenes[[#This Row],[cod_actividad]]="","",_xlfn.XLOOKUP(tblOrdenes[[#This Row],[cod_actividad]],tblActividades[codigo],tblActividades[descripcion],"(sin catálogo)"))</f>
        <v/>
      </c>
      <c r="AA600" s="12">
        <f>IF(tblOrdenes[[#This Row],[fecha_inicio]]="","",TODAY()-tblOrdenes[[#This Row],[fecha_inicio]])</f>
        <v/>
      </c>
      <c r="AB6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3">
        <f>IF(tblOrdenes[[#This Row],[backlog_habiles]]="","",IF(tblOrdenes[[#This Row],[backlog_habiles]]&lt;0,"FUTURO",IF(tblOrdenes[[#This Row],[backlog_habiles]]&gt;p_dias_backlog_max,"BACKLOG","MES CORRIENTE")))</f>
        <v/>
      </c>
      <c r="AD600" s="3">
        <f>IF(tblOrdenes[[#This Row],[backlog_habiles]]="",FALSE,AND(tblOrdenes[[#This Row],[backlog_habiles]]&gt;p_dias_backlog_min,tblOrdenes[[#This Row],[backlog_habiles]]&lt;=p_dias_backlog_max))</f>
        <v/>
      </c>
      <c r="AE600" s="6" t="n"/>
      <c r="AF6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0">
        <f>IF(tblOrdenes[[#This Row],[orden]]="","",_xlfn.XLOOKUP(tblOrdenes[[#This Row],[id_operacion]],tblEjecucion[id_operacion],tblEjecucion[precio],0))</f>
        <v/>
      </c>
      <c r="AJ600" s="10">
        <f>IF(tblOrdenes[[#This Row],[orden]]="","",MAX(0,_xlfn.XLOOKUP(tblOrdenes[[#This Row],[id_operacion]],tblEjecucion[id_operacion],tblEjecucion[costo_plan_total],0)-tblOrdenes[[#This Row],[costo_servicio]]))</f>
        <v/>
      </c>
      <c r="AK600" s="10">
        <f>IF(tblOrdenes[[#This Row],[orden]]="","",tblOrdenes[[#This Row],[costo_servicio]]+tblOrdenes[[#This Row],[costo_materiales]])</f>
        <v/>
      </c>
      <c r="AL600" s="6" t="n"/>
      <c r="AM600" s="6" t="n"/>
      <c r="AN600" s="6" t="n"/>
      <c r="AO600" s="3">
        <f>IF(tblOrdenes[[#This Row],[link_checklist]]="","",HYPERLINK(p_ruta_base_checklists&amp;tblOrdenes[[#This Row],[link_checklist]],"abrir"))</f>
        <v/>
      </c>
      <c r="AP600" s="6" t="n"/>
      <c r="AQ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3">
        <f>IF(tblOrdenes[[#This Row],[tipo_ot]]="","",_xlfn.XLOOKUP(tblOrdenes[[#This Row],[tipo_ot]],tblTiposOT[codigo],tblTiposOT[clasificacion],"sin_clasificar"))</f>
        <v/>
      </c>
      <c r="U601" s="3">
        <f>IF(tblOrdenes[[#This Row],[centro_costo]]="","",_xlfn.XLOOKUP(tblOrdenes[[#This Row],[centro_costo]],tblCECO[codigo],tblCECO[linea],"(sin catálogo)"))</f>
        <v/>
      </c>
      <c r="V601" s="3">
        <f>IF(tblOrdenes[[#This Row],[centro_costo]]="","",_xlfn.XLOOKUP(tblOrdenes[[#This Row],[centro_costo]],tblCECO[codigo],tblCECO[area],"(sin catálogo)"))</f>
        <v/>
      </c>
      <c r="W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3">
        <f>IF(tblOrdenes[[#This Row],[centro_costo]]="","",_xlfn.XLOOKUP(tblOrdenes[[#This Row],[centro_costo]],tblCECO[codigo],tblCECO[coordinador],"(sin catálogo)"))</f>
        <v/>
      </c>
      <c r="Y601" s="3">
        <f>IF(tblOrdenes[[#This Row],[puesto_trabajo]]="","",_xlfn.XLOOKUP(tblOrdenes[[#This Row],[puesto_trabajo]],tblPuestos[codigo],tblPuestos[especialidad],"(sin catálogo)"))</f>
        <v/>
      </c>
      <c r="Z601" s="3">
        <f>IF(tblOrdenes[[#This Row],[cod_actividad]]="","",_xlfn.XLOOKUP(tblOrdenes[[#This Row],[cod_actividad]],tblActividades[codigo],tblActividades[descripcion],"(sin catálogo)"))</f>
        <v/>
      </c>
      <c r="AA601" s="12">
        <f>IF(tblOrdenes[[#This Row],[fecha_inicio]]="","",TODAY()-tblOrdenes[[#This Row],[fecha_inicio]])</f>
        <v/>
      </c>
      <c r="AB6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3">
        <f>IF(tblOrdenes[[#This Row],[backlog_habiles]]="","",IF(tblOrdenes[[#This Row],[backlog_habiles]]&lt;0,"FUTURO",IF(tblOrdenes[[#This Row],[backlog_habiles]]&gt;p_dias_backlog_max,"BACKLOG","MES CORRIENTE")))</f>
        <v/>
      </c>
      <c r="AD601" s="3">
        <f>IF(tblOrdenes[[#This Row],[backlog_habiles]]="",FALSE,AND(tblOrdenes[[#This Row],[backlog_habiles]]&gt;p_dias_backlog_min,tblOrdenes[[#This Row],[backlog_habiles]]&lt;=p_dias_backlog_max))</f>
        <v/>
      </c>
      <c r="AE601" s="6" t="n"/>
      <c r="AF6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0">
        <f>IF(tblOrdenes[[#This Row],[orden]]="","",_xlfn.XLOOKUP(tblOrdenes[[#This Row],[id_operacion]],tblEjecucion[id_operacion],tblEjecucion[precio],0))</f>
        <v/>
      </c>
      <c r="AJ601" s="10">
        <f>IF(tblOrdenes[[#This Row],[orden]]="","",MAX(0,_xlfn.XLOOKUP(tblOrdenes[[#This Row],[id_operacion]],tblEjecucion[id_operacion],tblEjecucion[costo_plan_total],0)-tblOrdenes[[#This Row],[costo_servicio]]))</f>
        <v/>
      </c>
      <c r="AK601" s="10">
        <f>IF(tblOrdenes[[#This Row],[orden]]="","",tblOrdenes[[#This Row],[costo_servicio]]+tblOrdenes[[#This Row],[costo_materiales]])</f>
        <v/>
      </c>
      <c r="AL601" s="6" t="n"/>
      <c r="AM601" s="6" t="n"/>
      <c r="AN601" s="6" t="n"/>
      <c r="AO601" s="3">
        <f>IF(tblOrdenes[[#This Row],[link_checklist]]="","",HYPERLINK(p_ruta_base_checklists&amp;tblOrdenes[[#This Row],[link_checklist]],"abrir"))</f>
        <v/>
      </c>
      <c r="AP601" s="6" t="n"/>
      <c r="AQ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3">
        <f>IF(tblOrdenes[[#This Row],[tipo_ot]]="","",_xlfn.XLOOKUP(tblOrdenes[[#This Row],[tipo_ot]],tblTiposOT[codigo],tblTiposOT[clasificacion],"sin_clasificar"))</f>
        <v/>
      </c>
      <c r="U602" s="3">
        <f>IF(tblOrdenes[[#This Row],[centro_costo]]="","",_xlfn.XLOOKUP(tblOrdenes[[#This Row],[centro_costo]],tblCECO[codigo],tblCECO[linea],"(sin catálogo)"))</f>
        <v/>
      </c>
      <c r="V602" s="3">
        <f>IF(tblOrdenes[[#This Row],[centro_costo]]="","",_xlfn.XLOOKUP(tblOrdenes[[#This Row],[centro_costo]],tblCECO[codigo],tblCECO[area],"(sin catálogo)"))</f>
        <v/>
      </c>
      <c r="W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3">
        <f>IF(tblOrdenes[[#This Row],[centro_costo]]="","",_xlfn.XLOOKUP(tblOrdenes[[#This Row],[centro_costo]],tblCECO[codigo],tblCECO[coordinador],"(sin catálogo)"))</f>
        <v/>
      </c>
      <c r="Y602" s="3">
        <f>IF(tblOrdenes[[#This Row],[puesto_trabajo]]="","",_xlfn.XLOOKUP(tblOrdenes[[#This Row],[puesto_trabajo]],tblPuestos[codigo],tblPuestos[especialidad],"(sin catálogo)"))</f>
        <v/>
      </c>
      <c r="Z602" s="3">
        <f>IF(tblOrdenes[[#This Row],[cod_actividad]]="","",_xlfn.XLOOKUP(tblOrdenes[[#This Row],[cod_actividad]],tblActividades[codigo],tblActividades[descripcion],"(sin catálogo)"))</f>
        <v/>
      </c>
      <c r="AA602" s="12">
        <f>IF(tblOrdenes[[#This Row],[fecha_inicio]]="","",TODAY()-tblOrdenes[[#This Row],[fecha_inicio]])</f>
        <v/>
      </c>
      <c r="AB6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3">
        <f>IF(tblOrdenes[[#This Row],[backlog_habiles]]="","",IF(tblOrdenes[[#This Row],[backlog_habiles]]&lt;0,"FUTURO",IF(tblOrdenes[[#This Row],[backlog_habiles]]&gt;p_dias_backlog_max,"BACKLOG","MES CORRIENTE")))</f>
        <v/>
      </c>
      <c r="AD602" s="3">
        <f>IF(tblOrdenes[[#This Row],[backlog_habiles]]="",FALSE,AND(tblOrdenes[[#This Row],[backlog_habiles]]&gt;p_dias_backlog_min,tblOrdenes[[#This Row],[backlog_habiles]]&lt;=p_dias_backlog_max))</f>
        <v/>
      </c>
      <c r="AE602" s="6" t="n"/>
      <c r="AF6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0">
        <f>IF(tblOrdenes[[#This Row],[orden]]="","",_xlfn.XLOOKUP(tblOrdenes[[#This Row],[id_operacion]],tblEjecucion[id_operacion],tblEjecucion[precio],0))</f>
        <v/>
      </c>
      <c r="AJ602" s="10">
        <f>IF(tblOrdenes[[#This Row],[orden]]="","",MAX(0,_xlfn.XLOOKUP(tblOrdenes[[#This Row],[id_operacion]],tblEjecucion[id_operacion],tblEjecucion[costo_plan_total],0)-tblOrdenes[[#This Row],[costo_servicio]]))</f>
        <v/>
      </c>
      <c r="AK602" s="10">
        <f>IF(tblOrdenes[[#This Row],[orden]]="","",tblOrdenes[[#This Row],[costo_servicio]]+tblOrdenes[[#This Row],[costo_materiales]])</f>
        <v/>
      </c>
      <c r="AL602" s="6" t="n"/>
      <c r="AM602" s="6" t="n"/>
      <c r="AN602" s="6" t="n"/>
      <c r="AO602" s="3">
        <f>IF(tblOrdenes[[#This Row],[link_checklist]]="","",HYPERLINK(p_ruta_base_checklists&amp;tblOrdenes[[#This Row],[link_checklist]],"abrir"))</f>
        <v/>
      </c>
      <c r="AP602" s="6" t="n"/>
      <c r="AQ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3">
        <f>IF(tblOrdenes[[#This Row],[tipo_ot]]="","",_xlfn.XLOOKUP(tblOrdenes[[#This Row],[tipo_ot]],tblTiposOT[codigo],tblTiposOT[clasificacion],"sin_clasificar"))</f>
        <v/>
      </c>
      <c r="U603" s="3">
        <f>IF(tblOrdenes[[#This Row],[centro_costo]]="","",_xlfn.XLOOKUP(tblOrdenes[[#This Row],[centro_costo]],tblCECO[codigo],tblCECO[linea],"(sin catálogo)"))</f>
        <v/>
      </c>
      <c r="V603" s="3">
        <f>IF(tblOrdenes[[#This Row],[centro_costo]]="","",_xlfn.XLOOKUP(tblOrdenes[[#This Row],[centro_costo]],tblCECO[codigo],tblCECO[area],"(sin catálogo)"))</f>
        <v/>
      </c>
      <c r="W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3">
        <f>IF(tblOrdenes[[#This Row],[centro_costo]]="","",_xlfn.XLOOKUP(tblOrdenes[[#This Row],[centro_costo]],tblCECO[codigo],tblCECO[coordinador],"(sin catálogo)"))</f>
        <v/>
      </c>
      <c r="Y603" s="3">
        <f>IF(tblOrdenes[[#This Row],[puesto_trabajo]]="","",_xlfn.XLOOKUP(tblOrdenes[[#This Row],[puesto_trabajo]],tblPuestos[codigo],tblPuestos[especialidad],"(sin catálogo)"))</f>
        <v/>
      </c>
      <c r="Z603" s="3">
        <f>IF(tblOrdenes[[#This Row],[cod_actividad]]="","",_xlfn.XLOOKUP(tblOrdenes[[#This Row],[cod_actividad]],tblActividades[codigo],tblActividades[descripcion],"(sin catálogo)"))</f>
        <v/>
      </c>
      <c r="AA603" s="12">
        <f>IF(tblOrdenes[[#This Row],[fecha_inicio]]="","",TODAY()-tblOrdenes[[#This Row],[fecha_inicio]])</f>
        <v/>
      </c>
      <c r="AB6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3">
        <f>IF(tblOrdenes[[#This Row],[backlog_habiles]]="","",IF(tblOrdenes[[#This Row],[backlog_habiles]]&lt;0,"FUTURO",IF(tblOrdenes[[#This Row],[backlog_habiles]]&gt;p_dias_backlog_max,"BACKLOG","MES CORRIENTE")))</f>
        <v/>
      </c>
      <c r="AD603" s="3">
        <f>IF(tblOrdenes[[#This Row],[backlog_habiles]]="",FALSE,AND(tblOrdenes[[#This Row],[backlog_habiles]]&gt;p_dias_backlog_min,tblOrdenes[[#This Row],[backlog_habiles]]&lt;=p_dias_backlog_max))</f>
        <v/>
      </c>
      <c r="AE603" s="6" t="n"/>
      <c r="AF6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0">
        <f>IF(tblOrdenes[[#This Row],[orden]]="","",_xlfn.XLOOKUP(tblOrdenes[[#This Row],[id_operacion]],tblEjecucion[id_operacion],tblEjecucion[precio],0))</f>
        <v/>
      </c>
      <c r="AJ603" s="10">
        <f>IF(tblOrdenes[[#This Row],[orden]]="","",MAX(0,_xlfn.XLOOKUP(tblOrdenes[[#This Row],[id_operacion]],tblEjecucion[id_operacion],tblEjecucion[costo_plan_total],0)-tblOrdenes[[#This Row],[costo_servicio]]))</f>
        <v/>
      </c>
      <c r="AK603" s="10">
        <f>IF(tblOrdenes[[#This Row],[orden]]="","",tblOrdenes[[#This Row],[costo_servicio]]+tblOrdenes[[#This Row],[costo_materiales]])</f>
        <v/>
      </c>
      <c r="AL603" s="6" t="n"/>
      <c r="AM603" s="6" t="n"/>
      <c r="AN603" s="6" t="n"/>
      <c r="AO603" s="3">
        <f>IF(tblOrdenes[[#This Row],[link_checklist]]="","",HYPERLINK(p_ruta_base_checklists&amp;tblOrdenes[[#This Row],[link_checklist]],"abrir"))</f>
        <v/>
      </c>
      <c r="AP603" s="6" t="n"/>
      <c r="AQ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3">
        <f>IF(tblOrdenes[[#This Row],[tipo_ot]]="","",_xlfn.XLOOKUP(tblOrdenes[[#This Row],[tipo_ot]],tblTiposOT[codigo],tblTiposOT[clasificacion],"sin_clasificar"))</f>
        <v/>
      </c>
      <c r="U604" s="3">
        <f>IF(tblOrdenes[[#This Row],[centro_costo]]="","",_xlfn.XLOOKUP(tblOrdenes[[#This Row],[centro_costo]],tblCECO[codigo],tblCECO[linea],"(sin catálogo)"))</f>
        <v/>
      </c>
      <c r="V604" s="3">
        <f>IF(tblOrdenes[[#This Row],[centro_costo]]="","",_xlfn.XLOOKUP(tblOrdenes[[#This Row],[centro_costo]],tblCECO[codigo],tblCECO[area],"(sin catálogo)"))</f>
        <v/>
      </c>
      <c r="W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3">
        <f>IF(tblOrdenes[[#This Row],[centro_costo]]="","",_xlfn.XLOOKUP(tblOrdenes[[#This Row],[centro_costo]],tblCECO[codigo],tblCECO[coordinador],"(sin catálogo)"))</f>
        <v/>
      </c>
      <c r="Y604" s="3">
        <f>IF(tblOrdenes[[#This Row],[puesto_trabajo]]="","",_xlfn.XLOOKUP(tblOrdenes[[#This Row],[puesto_trabajo]],tblPuestos[codigo],tblPuestos[especialidad],"(sin catálogo)"))</f>
        <v/>
      </c>
      <c r="Z604" s="3">
        <f>IF(tblOrdenes[[#This Row],[cod_actividad]]="","",_xlfn.XLOOKUP(tblOrdenes[[#This Row],[cod_actividad]],tblActividades[codigo],tblActividades[descripcion],"(sin catálogo)"))</f>
        <v/>
      </c>
      <c r="AA604" s="12">
        <f>IF(tblOrdenes[[#This Row],[fecha_inicio]]="","",TODAY()-tblOrdenes[[#This Row],[fecha_inicio]])</f>
        <v/>
      </c>
      <c r="AB6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3">
        <f>IF(tblOrdenes[[#This Row],[backlog_habiles]]="","",IF(tblOrdenes[[#This Row],[backlog_habiles]]&lt;0,"FUTURO",IF(tblOrdenes[[#This Row],[backlog_habiles]]&gt;p_dias_backlog_max,"BACKLOG","MES CORRIENTE")))</f>
        <v/>
      </c>
      <c r="AD604" s="3">
        <f>IF(tblOrdenes[[#This Row],[backlog_habiles]]="",FALSE,AND(tblOrdenes[[#This Row],[backlog_habiles]]&gt;p_dias_backlog_min,tblOrdenes[[#This Row],[backlog_habiles]]&lt;=p_dias_backlog_max))</f>
        <v/>
      </c>
      <c r="AE604" s="6" t="n"/>
      <c r="AF6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0">
        <f>IF(tblOrdenes[[#This Row],[orden]]="","",_xlfn.XLOOKUP(tblOrdenes[[#This Row],[id_operacion]],tblEjecucion[id_operacion],tblEjecucion[precio],0))</f>
        <v/>
      </c>
      <c r="AJ604" s="10">
        <f>IF(tblOrdenes[[#This Row],[orden]]="","",MAX(0,_xlfn.XLOOKUP(tblOrdenes[[#This Row],[id_operacion]],tblEjecucion[id_operacion],tblEjecucion[costo_plan_total],0)-tblOrdenes[[#This Row],[costo_servicio]]))</f>
        <v/>
      </c>
      <c r="AK604" s="10">
        <f>IF(tblOrdenes[[#This Row],[orden]]="","",tblOrdenes[[#This Row],[costo_servicio]]+tblOrdenes[[#This Row],[costo_materiales]])</f>
        <v/>
      </c>
      <c r="AL604" s="6" t="n"/>
      <c r="AM604" s="6" t="n"/>
      <c r="AN604" s="6" t="n"/>
      <c r="AO604" s="3">
        <f>IF(tblOrdenes[[#This Row],[link_checklist]]="","",HYPERLINK(p_ruta_base_checklists&amp;tblOrdenes[[#This Row],[link_checklist]],"abrir"))</f>
        <v/>
      </c>
      <c r="AP604" s="6" t="n"/>
      <c r="AQ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3">
        <f>IF(tblOrdenes[[#This Row],[tipo_ot]]="","",_xlfn.XLOOKUP(tblOrdenes[[#This Row],[tipo_ot]],tblTiposOT[codigo],tblTiposOT[clasificacion],"sin_clasificar"))</f>
        <v/>
      </c>
      <c r="U605" s="3">
        <f>IF(tblOrdenes[[#This Row],[centro_costo]]="","",_xlfn.XLOOKUP(tblOrdenes[[#This Row],[centro_costo]],tblCECO[codigo],tblCECO[linea],"(sin catálogo)"))</f>
        <v/>
      </c>
      <c r="V605" s="3">
        <f>IF(tblOrdenes[[#This Row],[centro_costo]]="","",_xlfn.XLOOKUP(tblOrdenes[[#This Row],[centro_costo]],tblCECO[codigo],tblCECO[area],"(sin catálogo)"))</f>
        <v/>
      </c>
      <c r="W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3">
        <f>IF(tblOrdenes[[#This Row],[centro_costo]]="","",_xlfn.XLOOKUP(tblOrdenes[[#This Row],[centro_costo]],tblCECO[codigo],tblCECO[coordinador],"(sin catálogo)"))</f>
        <v/>
      </c>
      <c r="Y605" s="3">
        <f>IF(tblOrdenes[[#This Row],[puesto_trabajo]]="","",_xlfn.XLOOKUP(tblOrdenes[[#This Row],[puesto_trabajo]],tblPuestos[codigo],tblPuestos[especialidad],"(sin catálogo)"))</f>
        <v/>
      </c>
      <c r="Z605" s="3">
        <f>IF(tblOrdenes[[#This Row],[cod_actividad]]="","",_xlfn.XLOOKUP(tblOrdenes[[#This Row],[cod_actividad]],tblActividades[codigo],tblActividades[descripcion],"(sin catálogo)"))</f>
        <v/>
      </c>
      <c r="AA605" s="12">
        <f>IF(tblOrdenes[[#This Row],[fecha_inicio]]="","",TODAY()-tblOrdenes[[#This Row],[fecha_inicio]])</f>
        <v/>
      </c>
      <c r="AB6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3">
        <f>IF(tblOrdenes[[#This Row],[backlog_habiles]]="","",IF(tblOrdenes[[#This Row],[backlog_habiles]]&lt;0,"FUTURO",IF(tblOrdenes[[#This Row],[backlog_habiles]]&gt;p_dias_backlog_max,"BACKLOG","MES CORRIENTE")))</f>
        <v/>
      </c>
      <c r="AD605" s="3">
        <f>IF(tblOrdenes[[#This Row],[backlog_habiles]]="",FALSE,AND(tblOrdenes[[#This Row],[backlog_habiles]]&gt;p_dias_backlog_min,tblOrdenes[[#This Row],[backlog_habiles]]&lt;=p_dias_backlog_max))</f>
        <v/>
      </c>
      <c r="AE605" s="6" t="n"/>
      <c r="AF6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0">
        <f>IF(tblOrdenes[[#This Row],[orden]]="","",_xlfn.XLOOKUP(tblOrdenes[[#This Row],[id_operacion]],tblEjecucion[id_operacion],tblEjecucion[precio],0))</f>
        <v/>
      </c>
      <c r="AJ605" s="10">
        <f>IF(tblOrdenes[[#This Row],[orden]]="","",MAX(0,_xlfn.XLOOKUP(tblOrdenes[[#This Row],[id_operacion]],tblEjecucion[id_operacion],tblEjecucion[costo_plan_total],0)-tblOrdenes[[#This Row],[costo_servicio]]))</f>
        <v/>
      </c>
      <c r="AK605" s="10">
        <f>IF(tblOrdenes[[#This Row],[orden]]="","",tblOrdenes[[#This Row],[costo_servicio]]+tblOrdenes[[#This Row],[costo_materiales]])</f>
        <v/>
      </c>
      <c r="AL605" s="6" t="n"/>
      <c r="AM605" s="6" t="n"/>
      <c r="AN605" s="6" t="n"/>
      <c r="AO605" s="3">
        <f>IF(tblOrdenes[[#This Row],[link_checklist]]="","",HYPERLINK(p_ruta_base_checklists&amp;tblOrdenes[[#This Row],[link_checklist]],"abrir"))</f>
        <v/>
      </c>
      <c r="AP605" s="6" t="n"/>
      <c r="AQ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3">
        <f>IF(tblOrdenes[[#This Row],[tipo_ot]]="","",_xlfn.XLOOKUP(tblOrdenes[[#This Row],[tipo_ot]],tblTiposOT[codigo],tblTiposOT[clasificacion],"sin_clasificar"))</f>
        <v/>
      </c>
      <c r="U606" s="3">
        <f>IF(tblOrdenes[[#This Row],[centro_costo]]="","",_xlfn.XLOOKUP(tblOrdenes[[#This Row],[centro_costo]],tblCECO[codigo],tblCECO[linea],"(sin catálogo)"))</f>
        <v/>
      </c>
      <c r="V606" s="3">
        <f>IF(tblOrdenes[[#This Row],[centro_costo]]="","",_xlfn.XLOOKUP(tblOrdenes[[#This Row],[centro_costo]],tblCECO[codigo],tblCECO[area],"(sin catálogo)"))</f>
        <v/>
      </c>
      <c r="W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3">
        <f>IF(tblOrdenes[[#This Row],[centro_costo]]="","",_xlfn.XLOOKUP(tblOrdenes[[#This Row],[centro_costo]],tblCECO[codigo],tblCECO[coordinador],"(sin catálogo)"))</f>
        <v/>
      </c>
      <c r="Y606" s="3">
        <f>IF(tblOrdenes[[#This Row],[puesto_trabajo]]="","",_xlfn.XLOOKUP(tblOrdenes[[#This Row],[puesto_trabajo]],tblPuestos[codigo],tblPuestos[especialidad],"(sin catálogo)"))</f>
        <v/>
      </c>
      <c r="Z606" s="3">
        <f>IF(tblOrdenes[[#This Row],[cod_actividad]]="","",_xlfn.XLOOKUP(tblOrdenes[[#This Row],[cod_actividad]],tblActividades[codigo],tblActividades[descripcion],"(sin catálogo)"))</f>
        <v/>
      </c>
      <c r="AA606" s="12">
        <f>IF(tblOrdenes[[#This Row],[fecha_inicio]]="","",TODAY()-tblOrdenes[[#This Row],[fecha_inicio]])</f>
        <v/>
      </c>
      <c r="AB6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3">
        <f>IF(tblOrdenes[[#This Row],[backlog_habiles]]="","",IF(tblOrdenes[[#This Row],[backlog_habiles]]&lt;0,"FUTURO",IF(tblOrdenes[[#This Row],[backlog_habiles]]&gt;p_dias_backlog_max,"BACKLOG","MES CORRIENTE")))</f>
        <v/>
      </c>
      <c r="AD606" s="3">
        <f>IF(tblOrdenes[[#This Row],[backlog_habiles]]="",FALSE,AND(tblOrdenes[[#This Row],[backlog_habiles]]&gt;p_dias_backlog_min,tblOrdenes[[#This Row],[backlog_habiles]]&lt;=p_dias_backlog_max))</f>
        <v/>
      </c>
      <c r="AE606" s="6" t="n"/>
      <c r="AF6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0">
        <f>IF(tblOrdenes[[#This Row],[orden]]="","",_xlfn.XLOOKUP(tblOrdenes[[#This Row],[id_operacion]],tblEjecucion[id_operacion],tblEjecucion[precio],0))</f>
        <v/>
      </c>
      <c r="AJ606" s="10">
        <f>IF(tblOrdenes[[#This Row],[orden]]="","",MAX(0,_xlfn.XLOOKUP(tblOrdenes[[#This Row],[id_operacion]],tblEjecucion[id_operacion],tblEjecucion[costo_plan_total],0)-tblOrdenes[[#This Row],[costo_servicio]]))</f>
        <v/>
      </c>
      <c r="AK606" s="10">
        <f>IF(tblOrdenes[[#This Row],[orden]]="","",tblOrdenes[[#This Row],[costo_servicio]]+tblOrdenes[[#This Row],[costo_materiales]])</f>
        <v/>
      </c>
      <c r="AL606" s="6" t="n"/>
      <c r="AM606" s="6" t="n"/>
      <c r="AN606" s="6" t="n"/>
      <c r="AO606" s="3">
        <f>IF(tblOrdenes[[#This Row],[link_checklist]]="","",HYPERLINK(p_ruta_base_checklists&amp;tblOrdenes[[#This Row],[link_checklist]],"abrir"))</f>
        <v/>
      </c>
      <c r="AP606" s="6" t="n"/>
      <c r="AQ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3">
        <f>IF(tblOrdenes[[#This Row],[tipo_ot]]="","",_xlfn.XLOOKUP(tblOrdenes[[#This Row],[tipo_ot]],tblTiposOT[codigo],tblTiposOT[clasificacion],"sin_clasificar"))</f>
        <v/>
      </c>
      <c r="U607" s="3">
        <f>IF(tblOrdenes[[#This Row],[centro_costo]]="","",_xlfn.XLOOKUP(tblOrdenes[[#This Row],[centro_costo]],tblCECO[codigo],tblCECO[linea],"(sin catálogo)"))</f>
        <v/>
      </c>
      <c r="V607" s="3">
        <f>IF(tblOrdenes[[#This Row],[centro_costo]]="","",_xlfn.XLOOKUP(tblOrdenes[[#This Row],[centro_costo]],tblCECO[codigo],tblCECO[area],"(sin catálogo)"))</f>
        <v/>
      </c>
      <c r="W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3">
        <f>IF(tblOrdenes[[#This Row],[centro_costo]]="","",_xlfn.XLOOKUP(tblOrdenes[[#This Row],[centro_costo]],tblCECO[codigo],tblCECO[coordinador],"(sin catálogo)"))</f>
        <v/>
      </c>
      <c r="Y607" s="3">
        <f>IF(tblOrdenes[[#This Row],[puesto_trabajo]]="","",_xlfn.XLOOKUP(tblOrdenes[[#This Row],[puesto_trabajo]],tblPuestos[codigo],tblPuestos[especialidad],"(sin catálogo)"))</f>
        <v/>
      </c>
      <c r="Z607" s="3">
        <f>IF(tblOrdenes[[#This Row],[cod_actividad]]="","",_xlfn.XLOOKUP(tblOrdenes[[#This Row],[cod_actividad]],tblActividades[codigo],tblActividades[descripcion],"(sin catálogo)"))</f>
        <v/>
      </c>
      <c r="AA607" s="12">
        <f>IF(tblOrdenes[[#This Row],[fecha_inicio]]="","",TODAY()-tblOrdenes[[#This Row],[fecha_inicio]])</f>
        <v/>
      </c>
      <c r="AB6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3">
        <f>IF(tblOrdenes[[#This Row],[backlog_habiles]]="","",IF(tblOrdenes[[#This Row],[backlog_habiles]]&lt;0,"FUTURO",IF(tblOrdenes[[#This Row],[backlog_habiles]]&gt;p_dias_backlog_max,"BACKLOG","MES CORRIENTE")))</f>
        <v/>
      </c>
      <c r="AD607" s="3">
        <f>IF(tblOrdenes[[#This Row],[backlog_habiles]]="",FALSE,AND(tblOrdenes[[#This Row],[backlog_habiles]]&gt;p_dias_backlog_min,tblOrdenes[[#This Row],[backlog_habiles]]&lt;=p_dias_backlog_max))</f>
        <v/>
      </c>
      <c r="AE607" s="6" t="n"/>
      <c r="AF6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0">
        <f>IF(tblOrdenes[[#This Row],[orden]]="","",_xlfn.XLOOKUP(tblOrdenes[[#This Row],[id_operacion]],tblEjecucion[id_operacion],tblEjecucion[precio],0))</f>
        <v/>
      </c>
      <c r="AJ607" s="10">
        <f>IF(tblOrdenes[[#This Row],[orden]]="","",MAX(0,_xlfn.XLOOKUP(tblOrdenes[[#This Row],[id_operacion]],tblEjecucion[id_operacion],tblEjecucion[costo_plan_total],0)-tblOrdenes[[#This Row],[costo_servicio]]))</f>
        <v/>
      </c>
      <c r="AK607" s="10">
        <f>IF(tblOrdenes[[#This Row],[orden]]="","",tblOrdenes[[#This Row],[costo_servicio]]+tblOrdenes[[#This Row],[costo_materiales]])</f>
        <v/>
      </c>
      <c r="AL607" s="6" t="n"/>
      <c r="AM607" s="6" t="n"/>
      <c r="AN607" s="6" t="n"/>
      <c r="AO607" s="3">
        <f>IF(tblOrdenes[[#This Row],[link_checklist]]="","",HYPERLINK(p_ruta_base_checklists&amp;tblOrdenes[[#This Row],[link_checklist]],"abrir"))</f>
        <v/>
      </c>
      <c r="AP607" s="6" t="n"/>
      <c r="AQ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3">
        <f>IF(tblOrdenes[[#This Row],[tipo_ot]]="","",_xlfn.XLOOKUP(tblOrdenes[[#This Row],[tipo_ot]],tblTiposOT[codigo],tblTiposOT[clasificacion],"sin_clasificar"))</f>
        <v/>
      </c>
      <c r="U608" s="3">
        <f>IF(tblOrdenes[[#This Row],[centro_costo]]="","",_xlfn.XLOOKUP(tblOrdenes[[#This Row],[centro_costo]],tblCECO[codigo],tblCECO[linea],"(sin catálogo)"))</f>
        <v/>
      </c>
      <c r="V608" s="3">
        <f>IF(tblOrdenes[[#This Row],[centro_costo]]="","",_xlfn.XLOOKUP(tblOrdenes[[#This Row],[centro_costo]],tblCECO[codigo],tblCECO[area],"(sin catálogo)"))</f>
        <v/>
      </c>
      <c r="W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3">
        <f>IF(tblOrdenes[[#This Row],[centro_costo]]="","",_xlfn.XLOOKUP(tblOrdenes[[#This Row],[centro_costo]],tblCECO[codigo],tblCECO[coordinador],"(sin catálogo)"))</f>
        <v/>
      </c>
      <c r="Y608" s="3">
        <f>IF(tblOrdenes[[#This Row],[puesto_trabajo]]="","",_xlfn.XLOOKUP(tblOrdenes[[#This Row],[puesto_trabajo]],tblPuestos[codigo],tblPuestos[especialidad],"(sin catálogo)"))</f>
        <v/>
      </c>
      <c r="Z608" s="3">
        <f>IF(tblOrdenes[[#This Row],[cod_actividad]]="","",_xlfn.XLOOKUP(tblOrdenes[[#This Row],[cod_actividad]],tblActividades[codigo],tblActividades[descripcion],"(sin catálogo)"))</f>
        <v/>
      </c>
      <c r="AA608" s="12">
        <f>IF(tblOrdenes[[#This Row],[fecha_inicio]]="","",TODAY()-tblOrdenes[[#This Row],[fecha_inicio]])</f>
        <v/>
      </c>
      <c r="AB6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3">
        <f>IF(tblOrdenes[[#This Row],[backlog_habiles]]="","",IF(tblOrdenes[[#This Row],[backlog_habiles]]&lt;0,"FUTURO",IF(tblOrdenes[[#This Row],[backlog_habiles]]&gt;p_dias_backlog_max,"BACKLOG","MES CORRIENTE")))</f>
        <v/>
      </c>
      <c r="AD608" s="3">
        <f>IF(tblOrdenes[[#This Row],[backlog_habiles]]="",FALSE,AND(tblOrdenes[[#This Row],[backlog_habiles]]&gt;p_dias_backlog_min,tblOrdenes[[#This Row],[backlog_habiles]]&lt;=p_dias_backlog_max))</f>
        <v/>
      </c>
      <c r="AE608" s="6" t="n"/>
      <c r="AF6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0">
        <f>IF(tblOrdenes[[#This Row],[orden]]="","",_xlfn.XLOOKUP(tblOrdenes[[#This Row],[id_operacion]],tblEjecucion[id_operacion],tblEjecucion[precio],0))</f>
        <v/>
      </c>
      <c r="AJ608" s="10">
        <f>IF(tblOrdenes[[#This Row],[orden]]="","",MAX(0,_xlfn.XLOOKUP(tblOrdenes[[#This Row],[id_operacion]],tblEjecucion[id_operacion],tblEjecucion[costo_plan_total],0)-tblOrdenes[[#This Row],[costo_servicio]]))</f>
        <v/>
      </c>
      <c r="AK608" s="10">
        <f>IF(tblOrdenes[[#This Row],[orden]]="","",tblOrdenes[[#This Row],[costo_servicio]]+tblOrdenes[[#This Row],[costo_materiales]])</f>
        <v/>
      </c>
      <c r="AL608" s="6" t="n"/>
      <c r="AM608" s="6" t="n"/>
      <c r="AN608" s="6" t="n"/>
      <c r="AO608" s="3">
        <f>IF(tblOrdenes[[#This Row],[link_checklist]]="","",HYPERLINK(p_ruta_base_checklists&amp;tblOrdenes[[#This Row],[link_checklist]],"abrir"))</f>
        <v/>
      </c>
      <c r="AP608" s="6" t="n"/>
      <c r="AQ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3">
        <f>IF(tblOrdenes[[#This Row],[tipo_ot]]="","",_xlfn.XLOOKUP(tblOrdenes[[#This Row],[tipo_ot]],tblTiposOT[codigo],tblTiposOT[clasificacion],"sin_clasificar"))</f>
        <v/>
      </c>
      <c r="U609" s="3">
        <f>IF(tblOrdenes[[#This Row],[centro_costo]]="","",_xlfn.XLOOKUP(tblOrdenes[[#This Row],[centro_costo]],tblCECO[codigo],tblCECO[linea],"(sin catálogo)"))</f>
        <v/>
      </c>
      <c r="V609" s="3">
        <f>IF(tblOrdenes[[#This Row],[centro_costo]]="","",_xlfn.XLOOKUP(tblOrdenes[[#This Row],[centro_costo]],tblCECO[codigo],tblCECO[area],"(sin catálogo)"))</f>
        <v/>
      </c>
      <c r="W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3">
        <f>IF(tblOrdenes[[#This Row],[centro_costo]]="","",_xlfn.XLOOKUP(tblOrdenes[[#This Row],[centro_costo]],tblCECO[codigo],tblCECO[coordinador],"(sin catálogo)"))</f>
        <v/>
      </c>
      <c r="Y609" s="3">
        <f>IF(tblOrdenes[[#This Row],[puesto_trabajo]]="","",_xlfn.XLOOKUP(tblOrdenes[[#This Row],[puesto_trabajo]],tblPuestos[codigo],tblPuestos[especialidad],"(sin catálogo)"))</f>
        <v/>
      </c>
      <c r="Z609" s="3">
        <f>IF(tblOrdenes[[#This Row],[cod_actividad]]="","",_xlfn.XLOOKUP(tblOrdenes[[#This Row],[cod_actividad]],tblActividades[codigo],tblActividades[descripcion],"(sin catálogo)"))</f>
        <v/>
      </c>
      <c r="AA609" s="12">
        <f>IF(tblOrdenes[[#This Row],[fecha_inicio]]="","",TODAY()-tblOrdenes[[#This Row],[fecha_inicio]])</f>
        <v/>
      </c>
      <c r="AB6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3">
        <f>IF(tblOrdenes[[#This Row],[backlog_habiles]]="","",IF(tblOrdenes[[#This Row],[backlog_habiles]]&lt;0,"FUTURO",IF(tblOrdenes[[#This Row],[backlog_habiles]]&gt;p_dias_backlog_max,"BACKLOG","MES CORRIENTE")))</f>
        <v/>
      </c>
      <c r="AD609" s="3">
        <f>IF(tblOrdenes[[#This Row],[backlog_habiles]]="",FALSE,AND(tblOrdenes[[#This Row],[backlog_habiles]]&gt;p_dias_backlog_min,tblOrdenes[[#This Row],[backlog_habiles]]&lt;=p_dias_backlog_max))</f>
        <v/>
      </c>
      <c r="AE609" s="6" t="n"/>
      <c r="AF6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0">
        <f>IF(tblOrdenes[[#This Row],[orden]]="","",_xlfn.XLOOKUP(tblOrdenes[[#This Row],[id_operacion]],tblEjecucion[id_operacion],tblEjecucion[precio],0))</f>
        <v/>
      </c>
      <c r="AJ609" s="10">
        <f>IF(tblOrdenes[[#This Row],[orden]]="","",MAX(0,_xlfn.XLOOKUP(tblOrdenes[[#This Row],[id_operacion]],tblEjecucion[id_operacion],tblEjecucion[costo_plan_total],0)-tblOrdenes[[#This Row],[costo_servicio]]))</f>
        <v/>
      </c>
      <c r="AK609" s="10">
        <f>IF(tblOrdenes[[#This Row],[orden]]="","",tblOrdenes[[#This Row],[costo_servicio]]+tblOrdenes[[#This Row],[costo_materiales]])</f>
        <v/>
      </c>
      <c r="AL609" s="6" t="n"/>
      <c r="AM609" s="6" t="n"/>
      <c r="AN609" s="6" t="n"/>
      <c r="AO609" s="3">
        <f>IF(tblOrdenes[[#This Row],[link_checklist]]="","",HYPERLINK(p_ruta_base_checklists&amp;tblOrdenes[[#This Row],[link_checklist]],"abrir"))</f>
        <v/>
      </c>
      <c r="AP609" s="6" t="n"/>
      <c r="AQ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3">
        <f>IF(tblOrdenes[[#This Row],[tipo_ot]]="","",_xlfn.XLOOKUP(tblOrdenes[[#This Row],[tipo_ot]],tblTiposOT[codigo],tblTiposOT[clasificacion],"sin_clasificar"))</f>
        <v/>
      </c>
      <c r="U610" s="3">
        <f>IF(tblOrdenes[[#This Row],[centro_costo]]="","",_xlfn.XLOOKUP(tblOrdenes[[#This Row],[centro_costo]],tblCECO[codigo],tblCECO[linea],"(sin catálogo)"))</f>
        <v/>
      </c>
      <c r="V610" s="3">
        <f>IF(tblOrdenes[[#This Row],[centro_costo]]="","",_xlfn.XLOOKUP(tblOrdenes[[#This Row],[centro_costo]],tblCECO[codigo],tblCECO[area],"(sin catálogo)"))</f>
        <v/>
      </c>
      <c r="W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3">
        <f>IF(tblOrdenes[[#This Row],[centro_costo]]="","",_xlfn.XLOOKUP(tblOrdenes[[#This Row],[centro_costo]],tblCECO[codigo],tblCECO[coordinador],"(sin catálogo)"))</f>
        <v/>
      </c>
      <c r="Y610" s="3">
        <f>IF(tblOrdenes[[#This Row],[puesto_trabajo]]="","",_xlfn.XLOOKUP(tblOrdenes[[#This Row],[puesto_trabajo]],tblPuestos[codigo],tblPuestos[especialidad],"(sin catálogo)"))</f>
        <v/>
      </c>
      <c r="Z610" s="3">
        <f>IF(tblOrdenes[[#This Row],[cod_actividad]]="","",_xlfn.XLOOKUP(tblOrdenes[[#This Row],[cod_actividad]],tblActividades[codigo],tblActividades[descripcion],"(sin catálogo)"))</f>
        <v/>
      </c>
      <c r="AA610" s="12">
        <f>IF(tblOrdenes[[#This Row],[fecha_inicio]]="","",TODAY()-tblOrdenes[[#This Row],[fecha_inicio]])</f>
        <v/>
      </c>
      <c r="AB6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3">
        <f>IF(tblOrdenes[[#This Row],[backlog_habiles]]="","",IF(tblOrdenes[[#This Row],[backlog_habiles]]&lt;0,"FUTURO",IF(tblOrdenes[[#This Row],[backlog_habiles]]&gt;p_dias_backlog_max,"BACKLOG","MES CORRIENTE")))</f>
        <v/>
      </c>
      <c r="AD610" s="3">
        <f>IF(tblOrdenes[[#This Row],[backlog_habiles]]="",FALSE,AND(tblOrdenes[[#This Row],[backlog_habiles]]&gt;p_dias_backlog_min,tblOrdenes[[#This Row],[backlog_habiles]]&lt;=p_dias_backlog_max))</f>
        <v/>
      </c>
      <c r="AE610" s="6" t="n"/>
      <c r="AF6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0">
        <f>IF(tblOrdenes[[#This Row],[orden]]="","",_xlfn.XLOOKUP(tblOrdenes[[#This Row],[id_operacion]],tblEjecucion[id_operacion],tblEjecucion[precio],0))</f>
        <v/>
      </c>
      <c r="AJ610" s="10">
        <f>IF(tblOrdenes[[#This Row],[orden]]="","",MAX(0,_xlfn.XLOOKUP(tblOrdenes[[#This Row],[id_operacion]],tblEjecucion[id_operacion],tblEjecucion[costo_plan_total],0)-tblOrdenes[[#This Row],[costo_servicio]]))</f>
        <v/>
      </c>
      <c r="AK610" s="10">
        <f>IF(tblOrdenes[[#This Row],[orden]]="","",tblOrdenes[[#This Row],[costo_servicio]]+tblOrdenes[[#This Row],[costo_materiales]])</f>
        <v/>
      </c>
      <c r="AL610" s="6" t="n"/>
      <c r="AM610" s="6" t="n"/>
      <c r="AN610" s="6" t="n"/>
      <c r="AO610" s="3">
        <f>IF(tblOrdenes[[#This Row],[link_checklist]]="","",HYPERLINK(p_ruta_base_checklists&amp;tblOrdenes[[#This Row],[link_checklist]],"abrir"))</f>
        <v/>
      </c>
      <c r="AP610" s="6" t="n"/>
      <c r="AQ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3">
        <f>IF(tblOrdenes[[#This Row],[tipo_ot]]="","",_xlfn.XLOOKUP(tblOrdenes[[#This Row],[tipo_ot]],tblTiposOT[codigo],tblTiposOT[clasificacion],"sin_clasificar"))</f>
        <v/>
      </c>
      <c r="U611" s="3">
        <f>IF(tblOrdenes[[#This Row],[centro_costo]]="","",_xlfn.XLOOKUP(tblOrdenes[[#This Row],[centro_costo]],tblCECO[codigo],tblCECO[linea],"(sin catálogo)"))</f>
        <v/>
      </c>
      <c r="V611" s="3">
        <f>IF(tblOrdenes[[#This Row],[centro_costo]]="","",_xlfn.XLOOKUP(tblOrdenes[[#This Row],[centro_costo]],tblCECO[codigo],tblCECO[area],"(sin catálogo)"))</f>
        <v/>
      </c>
      <c r="W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3">
        <f>IF(tblOrdenes[[#This Row],[centro_costo]]="","",_xlfn.XLOOKUP(tblOrdenes[[#This Row],[centro_costo]],tblCECO[codigo],tblCECO[coordinador],"(sin catálogo)"))</f>
        <v/>
      </c>
      <c r="Y611" s="3">
        <f>IF(tblOrdenes[[#This Row],[puesto_trabajo]]="","",_xlfn.XLOOKUP(tblOrdenes[[#This Row],[puesto_trabajo]],tblPuestos[codigo],tblPuestos[especialidad],"(sin catálogo)"))</f>
        <v/>
      </c>
      <c r="Z611" s="3">
        <f>IF(tblOrdenes[[#This Row],[cod_actividad]]="","",_xlfn.XLOOKUP(tblOrdenes[[#This Row],[cod_actividad]],tblActividades[codigo],tblActividades[descripcion],"(sin catálogo)"))</f>
        <v/>
      </c>
      <c r="AA611" s="12">
        <f>IF(tblOrdenes[[#This Row],[fecha_inicio]]="","",TODAY()-tblOrdenes[[#This Row],[fecha_inicio]])</f>
        <v/>
      </c>
      <c r="AB6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3">
        <f>IF(tblOrdenes[[#This Row],[backlog_habiles]]="","",IF(tblOrdenes[[#This Row],[backlog_habiles]]&lt;0,"FUTURO",IF(tblOrdenes[[#This Row],[backlog_habiles]]&gt;p_dias_backlog_max,"BACKLOG","MES CORRIENTE")))</f>
        <v/>
      </c>
      <c r="AD611" s="3">
        <f>IF(tblOrdenes[[#This Row],[backlog_habiles]]="",FALSE,AND(tblOrdenes[[#This Row],[backlog_habiles]]&gt;p_dias_backlog_min,tblOrdenes[[#This Row],[backlog_habiles]]&lt;=p_dias_backlog_max))</f>
        <v/>
      </c>
      <c r="AE611" s="6" t="n"/>
      <c r="AF6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0">
        <f>IF(tblOrdenes[[#This Row],[orden]]="","",_xlfn.XLOOKUP(tblOrdenes[[#This Row],[id_operacion]],tblEjecucion[id_operacion],tblEjecucion[precio],0))</f>
        <v/>
      </c>
      <c r="AJ611" s="10">
        <f>IF(tblOrdenes[[#This Row],[orden]]="","",MAX(0,_xlfn.XLOOKUP(tblOrdenes[[#This Row],[id_operacion]],tblEjecucion[id_operacion],tblEjecucion[costo_plan_total],0)-tblOrdenes[[#This Row],[costo_servicio]]))</f>
        <v/>
      </c>
      <c r="AK611" s="10">
        <f>IF(tblOrdenes[[#This Row],[orden]]="","",tblOrdenes[[#This Row],[costo_servicio]]+tblOrdenes[[#This Row],[costo_materiales]])</f>
        <v/>
      </c>
      <c r="AL611" s="6" t="n"/>
      <c r="AM611" s="6" t="n"/>
      <c r="AN611" s="6" t="n"/>
      <c r="AO611" s="3">
        <f>IF(tblOrdenes[[#This Row],[link_checklist]]="","",HYPERLINK(p_ruta_base_checklists&amp;tblOrdenes[[#This Row],[link_checklist]],"abrir"))</f>
        <v/>
      </c>
      <c r="AP611" s="6" t="n"/>
      <c r="AQ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3">
        <f>IF(tblOrdenes[[#This Row],[tipo_ot]]="","",_xlfn.XLOOKUP(tblOrdenes[[#This Row],[tipo_ot]],tblTiposOT[codigo],tblTiposOT[clasificacion],"sin_clasificar"))</f>
        <v/>
      </c>
      <c r="U612" s="3">
        <f>IF(tblOrdenes[[#This Row],[centro_costo]]="","",_xlfn.XLOOKUP(tblOrdenes[[#This Row],[centro_costo]],tblCECO[codigo],tblCECO[linea],"(sin catálogo)"))</f>
        <v/>
      </c>
      <c r="V612" s="3">
        <f>IF(tblOrdenes[[#This Row],[centro_costo]]="","",_xlfn.XLOOKUP(tblOrdenes[[#This Row],[centro_costo]],tblCECO[codigo],tblCECO[area],"(sin catálogo)"))</f>
        <v/>
      </c>
      <c r="W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3">
        <f>IF(tblOrdenes[[#This Row],[centro_costo]]="","",_xlfn.XLOOKUP(tblOrdenes[[#This Row],[centro_costo]],tblCECO[codigo],tblCECO[coordinador],"(sin catálogo)"))</f>
        <v/>
      </c>
      <c r="Y612" s="3">
        <f>IF(tblOrdenes[[#This Row],[puesto_trabajo]]="","",_xlfn.XLOOKUP(tblOrdenes[[#This Row],[puesto_trabajo]],tblPuestos[codigo],tblPuestos[especialidad],"(sin catálogo)"))</f>
        <v/>
      </c>
      <c r="Z612" s="3">
        <f>IF(tblOrdenes[[#This Row],[cod_actividad]]="","",_xlfn.XLOOKUP(tblOrdenes[[#This Row],[cod_actividad]],tblActividades[codigo],tblActividades[descripcion],"(sin catálogo)"))</f>
        <v/>
      </c>
      <c r="AA612" s="12">
        <f>IF(tblOrdenes[[#This Row],[fecha_inicio]]="","",TODAY()-tblOrdenes[[#This Row],[fecha_inicio]])</f>
        <v/>
      </c>
      <c r="AB6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3">
        <f>IF(tblOrdenes[[#This Row],[backlog_habiles]]="","",IF(tblOrdenes[[#This Row],[backlog_habiles]]&lt;0,"FUTURO",IF(tblOrdenes[[#This Row],[backlog_habiles]]&gt;p_dias_backlog_max,"BACKLOG","MES CORRIENTE")))</f>
        <v/>
      </c>
      <c r="AD612" s="3">
        <f>IF(tblOrdenes[[#This Row],[backlog_habiles]]="",FALSE,AND(tblOrdenes[[#This Row],[backlog_habiles]]&gt;p_dias_backlog_min,tblOrdenes[[#This Row],[backlog_habiles]]&lt;=p_dias_backlog_max))</f>
        <v/>
      </c>
      <c r="AE612" s="6" t="n"/>
      <c r="AF6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0">
        <f>IF(tblOrdenes[[#This Row],[orden]]="","",_xlfn.XLOOKUP(tblOrdenes[[#This Row],[id_operacion]],tblEjecucion[id_operacion],tblEjecucion[precio],0))</f>
        <v/>
      </c>
      <c r="AJ612" s="10">
        <f>IF(tblOrdenes[[#This Row],[orden]]="","",MAX(0,_xlfn.XLOOKUP(tblOrdenes[[#This Row],[id_operacion]],tblEjecucion[id_operacion],tblEjecucion[costo_plan_total],0)-tblOrdenes[[#This Row],[costo_servicio]]))</f>
        <v/>
      </c>
      <c r="AK612" s="10">
        <f>IF(tblOrdenes[[#This Row],[orden]]="","",tblOrdenes[[#This Row],[costo_servicio]]+tblOrdenes[[#This Row],[costo_materiales]])</f>
        <v/>
      </c>
      <c r="AL612" s="6" t="n"/>
      <c r="AM612" s="6" t="n"/>
      <c r="AN612" s="6" t="n"/>
      <c r="AO612" s="3">
        <f>IF(tblOrdenes[[#This Row],[link_checklist]]="","",HYPERLINK(p_ruta_base_checklists&amp;tblOrdenes[[#This Row],[link_checklist]],"abrir"))</f>
        <v/>
      </c>
      <c r="AP612" s="6" t="n"/>
      <c r="AQ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3">
        <f>IF(tblOrdenes[[#This Row],[tipo_ot]]="","",_xlfn.XLOOKUP(tblOrdenes[[#This Row],[tipo_ot]],tblTiposOT[codigo],tblTiposOT[clasificacion],"sin_clasificar"))</f>
        <v/>
      </c>
      <c r="U613" s="3">
        <f>IF(tblOrdenes[[#This Row],[centro_costo]]="","",_xlfn.XLOOKUP(tblOrdenes[[#This Row],[centro_costo]],tblCECO[codigo],tblCECO[linea],"(sin catálogo)"))</f>
        <v/>
      </c>
      <c r="V613" s="3">
        <f>IF(tblOrdenes[[#This Row],[centro_costo]]="","",_xlfn.XLOOKUP(tblOrdenes[[#This Row],[centro_costo]],tblCECO[codigo],tblCECO[area],"(sin catálogo)"))</f>
        <v/>
      </c>
      <c r="W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3">
        <f>IF(tblOrdenes[[#This Row],[centro_costo]]="","",_xlfn.XLOOKUP(tblOrdenes[[#This Row],[centro_costo]],tblCECO[codigo],tblCECO[coordinador],"(sin catálogo)"))</f>
        <v/>
      </c>
      <c r="Y613" s="3">
        <f>IF(tblOrdenes[[#This Row],[puesto_trabajo]]="","",_xlfn.XLOOKUP(tblOrdenes[[#This Row],[puesto_trabajo]],tblPuestos[codigo],tblPuestos[especialidad],"(sin catálogo)"))</f>
        <v/>
      </c>
      <c r="Z613" s="3">
        <f>IF(tblOrdenes[[#This Row],[cod_actividad]]="","",_xlfn.XLOOKUP(tblOrdenes[[#This Row],[cod_actividad]],tblActividades[codigo],tblActividades[descripcion],"(sin catálogo)"))</f>
        <v/>
      </c>
      <c r="AA613" s="12">
        <f>IF(tblOrdenes[[#This Row],[fecha_inicio]]="","",TODAY()-tblOrdenes[[#This Row],[fecha_inicio]])</f>
        <v/>
      </c>
      <c r="AB6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3">
        <f>IF(tblOrdenes[[#This Row],[backlog_habiles]]="","",IF(tblOrdenes[[#This Row],[backlog_habiles]]&lt;0,"FUTURO",IF(tblOrdenes[[#This Row],[backlog_habiles]]&gt;p_dias_backlog_max,"BACKLOG","MES CORRIENTE")))</f>
        <v/>
      </c>
      <c r="AD613" s="3">
        <f>IF(tblOrdenes[[#This Row],[backlog_habiles]]="",FALSE,AND(tblOrdenes[[#This Row],[backlog_habiles]]&gt;p_dias_backlog_min,tblOrdenes[[#This Row],[backlog_habiles]]&lt;=p_dias_backlog_max))</f>
        <v/>
      </c>
      <c r="AE613" s="6" t="n"/>
      <c r="AF6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0">
        <f>IF(tblOrdenes[[#This Row],[orden]]="","",_xlfn.XLOOKUP(tblOrdenes[[#This Row],[id_operacion]],tblEjecucion[id_operacion],tblEjecucion[precio],0))</f>
        <v/>
      </c>
      <c r="AJ613" s="10">
        <f>IF(tblOrdenes[[#This Row],[orden]]="","",MAX(0,_xlfn.XLOOKUP(tblOrdenes[[#This Row],[id_operacion]],tblEjecucion[id_operacion],tblEjecucion[costo_plan_total],0)-tblOrdenes[[#This Row],[costo_servicio]]))</f>
        <v/>
      </c>
      <c r="AK613" s="10">
        <f>IF(tblOrdenes[[#This Row],[orden]]="","",tblOrdenes[[#This Row],[costo_servicio]]+tblOrdenes[[#This Row],[costo_materiales]])</f>
        <v/>
      </c>
      <c r="AL613" s="6" t="n"/>
      <c r="AM613" s="6" t="n"/>
      <c r="AN613" s="6" t="n"/>
      <c r="AO613" s="3">
        <f>IF(tblOrdenes[[#This Row],[link_checklist]]="","",HYPERLINK(p_ruta_base_checklists&amp;tblOrdenes[[#This Row],[link_checklist]],"abrir"))</f>
        <v/>
      </c>
      <c r="AP613" s="6" t="n"/>
      <c r="AQ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3">
        <f>IF(tblOrdenes[[#This Row],[tipo_ot]]="","",_xlfn.XLOOKUP(tblOrdenes[[#This Row],[tipo_ot]],tblTiposOT[codigo],tblTiposOT[clasificacion],"sin_clasificar"))</f>
        <v/>
      </c>
      <c r="U614" s="3">
        <f>IF(tblOrdenes[[#This Row],[centro_costo]]="","",_xlfn.XLOOKUP(tblOrdenes[[#This Row],[centro_costo]],tblCECO[codigo],tblCECO[linea],"(sin catálogo)"))</f>
        <v/>
      </c>
      <c r="V614" s="3">
        <f>IF(tblOrdenes[[#This Row],[centro_costo]]="","",_xlfn.XLOOKUP(tblOrdenes[[#This Row],[centro_costo]],tblCECO[codigo],tblCECO[area],"(sin catálogo)"))</f>
        <v/>
      </c>
      <c r="W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3">
        <f>IF(tblOrdenes[[#This Row],[centro_costo]]="","",_xlfn.XLOOKUP(tblOrdenes[[#This Row],[centro_costo]],tblCECO[codigo],tblCECO[coordinador],"(sin catálogo)"))</f>
        <v/>
      </c>
      <c r="Y614" s="3">
        <f>IF(tblOrdenes[[#This Row],[puesto_trabajo]]="","",_xlfn.XLOOKUP(tblOrdenes[[#This Row],[puesto_trabajo]],tblPuestos[codigo],tblPuestos[especialidad],"(sin catálogo)"))</f>
        <v/>
      </c>
      <c r="Z614" s="3">
        <f>IF(tblOrdenes[[#This Row],[cod_actividad]]="","",_xlfn.XLOOKUP(tblOrdenes[[#This Row],[cod_actividad]],tblActividades[codigo],tblActividades[descripcion],"(sin catálogo)"))</f>
        <v/>
      </c>
      <c r="AA614" s="12">
        <f>IF(tblOrdenes[[#This Row],[fecha_inicio]]="","",TODAY()-tblOrdenes[[#This Row],[fecha_inicio]])</f>
        <v/>
      </c>
      <c r="AB6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3">
        <f>IF(tblOrdenes[[#This Row],[backlog_habiles]]="","",IF(tblOrdenes[[#This Row],[backlog_habiles]]&lt;0,"FUTURO",IF(tblOrdenes[[#This Row],[backlog_habiles]]&gt;p_dias_backlog_max,"BACKLOG","MES CORRIENTE")))</f>
        <v/>
      </c>
      <c r="AD614" s="3">
        <f>IF(tblOrdenes[[#This Row],[backlog_habiles]]="",FALSE,AND(tblOrdenes[[#This Row],[backlog_habiles]]&gt;p_dias_backlog_min,tblOrdenes[[#This Row],[backlog_habiles]]&lt;=p_dias_backlog_max))</f>
        <v/>
      </c>
      <c r="AE614" s="6" t="n"/>
      <c r="AF6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0">
        <f>IF(tblOrdenes[[#This Row],[orden]]="","",_xlfn.XLOOKUP(tblOrdenes[[#This Row],[id_operacion]],tblEjecucion[id_operacion],tblEjecucion[precio],0))</f>
        <v/>
      </c>
      <c r="AJ614" s="10">
        <f>IF(tblOrdenes[[#This Row],[orden]]="","",MAX(0,_xlfn.XLOOKUP(tblOrdenes[[#This Row],[id_operacion]],tblEjecucion[id_operacion],tblEjecucion[costo_plan_total],0)-tblOrdenes[[#This Row],[costo_servicio]]))</f>
        <v/>
      </c>
      <c r="AK614" s="10">
        <f>IF(tblOrdenes[[#This Row],[orden]]="","",tblOrdenes[[#This Row],[costo_servicio]]+tblOrdenes[[#This Row],[costo_materiales]])</f>
        <v/>
      </c>
      <c r="AL614" s="6" t="n"/>
      <c r="AM614" s="6" t="n"/>
      <c r="AN614" s="6" t="n"/>
      <c r="AO614" s="3">
        <f>IF(tblOrdenes[[#This Row],[link_checklist]]="","",HYPERLINK(p_ruta_base_checklists&amp;tblOrdenes[[#This Row],[link_checklist]],"abrir"))</f>
        <v/>
      </c>
      <c r="AP614" s="6" t="n"/>
      <c r="AQ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3">
        <f>IF(tblOrdenes[[#This Row],[tipo_ot]]="","",_xlfn.XLOOKUP(tblOrdenes[[#This Row],[tipo_ot]],tblTiposOT[codigo],tblTiposOT[clasificacion],"sin_clasificar"))</f>
        <v/>
      </c>
      <c r="U615" s="3">
        <f>IF(tblOrdenes[[#This Row],[centro_costo]]="","",_xlfn.XLOOKUP(tblOrdenes[[#This Row],[centro_costo]],tblCECO[codigo],tblCECO[linea],"(sin catálogo)"))</f>
        <v/>
      </c>
      <c r="V615" s="3">
        <f>IF(tblOrdenes[[#This Row],[centro_costo]]="","",_xlfn.XLOOKUP(tblOrdenes[[#This Row],[centro_costo]],tblCECO[codigo],tblCECO[area],"(sin catálogo)"))</f>
        <v/>
      </c>
      <c r="W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3">
        <f>IF(tblOrdenes[[#This Row],[centro_costo]]="","",_xlfn.XLOOKUP(tblOrdenes[[#This Row],[centro_costo]],tblCECO[codigo],tblCECO[coordinador],"(sin catálogo)"))</f>
        <v/>
      </c>
      <c r="Y615" s="3">
        <f>IF(tblOrdenes[[#This Row],[puesto_trabajo]]="","",_xlfn.XLOOKUP(tblOrdenes[[#This Row],[puesto_trabajo]],tblPuestos[codigo],tblPuestos[especialidad],"(sin catálogo)"))</f>
        <v/>
      </c>
      <c r="Z615" s="3">
        <f>IF(tblOrdenes[[#This Row],[cod_actividad]]="","",_xlfn.XLOOKUP(tblOrdenes[[#This Row],[cod_actividad]],tblActividades[codigo],tblActividades[descripcion],"(sin catálogo)"))</f>
        <v/>
      </c>
      <c r="AA615" s="12">
        <f>IF(tblOrdenes[[#This Row],[fecha_inicio]]="","",TODAY()-tblOrdenes[[#This Row],[fecha_inicio]])</f>
        <v/>
      </c>
      <c r="AB6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3">
        <f>IF(tblOrdenes[[#This Row],[backlog_habiles]]="","",IF(tblOrdenes[[#This Row],[backlog_habiles]]&lt;0,"FUTURO",IF(tblOrdenes[[#This Row],[backlog_habiles]]&gt;p_dias_backlog_max,"BACKLOG","MES CORRIENTE")))</f>
        <v/>
      </c>
      <c r="AD615" s="3">
        <f>IF(tblOrdenes[[#This Row],[backlog_habiles]]="",FALSE,AND(tblOrdenes[[#This Row],[backlog_habiles]]&gt;p_dias_backlog_min,tblOrdenes[[#This Row],[backlog_habiles]]&lt;=p_dias_backlog_max))</f>
        <v/>
      </c>
      <c r="AE615" s="6" t="n"/>
      <c r="AF6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0">
        <f>IF(tblOrdenes[[#This Row],[orden]]="","",_xlfn.XLOOKUP(tblOrdenes[[#This Row],[id_operacion]],tblEjecucion[id_operacion],tblEjecucion[precio],0))</f>
        <v/>
      </c>
      <c r="AJ615" s="10">
        <f>IF(tblOrdenes[[#This Row],[orden]]="","",MAX(0,_xlfn.XLOOKUP(tblOrdenes[[#This Row],[id_operacion]],tblEjecucion[id_operacion],tblEjecucion[costo_plan_total],0)-tblOrdenes[[#This Row],[costo_servicio]]))</f>
        <v/>
      </c>
      <c r="AK615" s="10">
        <f>IF(tblOrdenes[[#This Row],[orden]]="","",tblOrdenes[[#This Row],[costo_servicio]]+tblOrdenes[[#This Row],[costo_materiales]])</f>
        <v/>
      </c>
      <c r="AL615" s="6" t="n"/>
      <c r="AM615" s="6" t="n"/>
      <c r="AN615" s="6" t="n"/>
      <c r="AO615" s="3">
        <f>IF(tblOrdenes[[#This Row],[link_checklist]]="","",HYPERLINK(p_ruta_base_checklists&amp;tblOrdenes[[#This Row],[link_checklist]],"abrir"))</f>
        <v/>
      </c>
      <c r="AP615" s="6" t="n"/>
      <c r="AQ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3">
        <f>IF(tblOrdenes[[#This Row],[tipo_ot]]="","",_xlfn.XLOOKUP(tblOrdenes[[#This Row],[tipo_ot]],tblTiposOT[codigo],tblTiposOT[clasificacion],"sin_clasificar"))</f>
        <v/>
      </c>
      <c r="U616" s="3">
        <f>IF(tblOrdenes[[#This Row],[centro_costo]]="","",_xlfn.XLOOKUP(tblOrdenes[[#This Row],[centro_costo]],tblCECO[codigo],tblCECO[linea],"(sin catálogo)"))</f>
        <v/>
      </c>
      <c r="V616" s="3">
        <f>IF(tblOrdenes[[#This Row],[centro_costo]]="","",_xlfn.XLOOKUP(tblOrdenes[[#This Row],[centro_costo]],tblCECO[codigo],tblCECO[area],"(sin catálogo)"))</f>
        <v/>
      </c>
      <c r="W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3">
        <f>IF(tblOrdenes[[#This Row],[centro_costo]]="","",_xlfn.XLOOKUP(tblOrdenes[[#This Row],[centro_costo]],tblCECO[codigo],tblCECO[coordinador],"(sin catálogo)"))</f>
        <v/>
      </c>
      <c r="Y616" s="3">
        <f>IF(tblOrdenes[[#This Row],[puesto_trabajo]]="","",_xlfn.XLOOKUP(tblOrdenes[[#This Row],[puesto_trabajo]],tblPuestos[codigo],tblPuestos[especialidad],"(sin catálogo)"))</f>
        <v/>
      </c>
      <c r="Z616" s="3">
        <f>IF(tblOrdenes[[#This Row],[cod_actividad]]="","",_xlfn.XLOOKUP(tblOrdenes[[#This Row],[cod_actividad]],tblActividades[codigo],tblActividades[descripcion],"(sin catálogo)"))</f>
        <v/>
      </c>
      <c r="AA616" s="12">
        <f>IF(tblOrdenes[[#This Row],[fecha_inicio]]="","",TODAY()-tblOrdenes[[#This Row],[fecha_inicio]])</f>
        <v/>
      </c>
      <c r="AB6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3">
        <f>IF(tblOrdenes[[#This Row],[backlog_habiles]]="","",IF(tblOrdenes[[#This Row],[backlog_habiles]]&lt;0,"FUTURO",IF(tblOrdenes[[#This Row],[backlog_habiles]]&gt;p_dias_backlog_max,"BACKLOG","MES CORRIENTE")))</f>
        <v/>
      </c>
      <c r="AD616" s="3">
        <f>IF(tblOrdenes[[#This Row],[backlog_habiles]]="",FALSE,AND(tblOrdenes[[#This Row],[backlog_habiles]]&gt;p_dias_backlog_min,tblOrdenes[[#This Row],[backlog_habiles]]&lt;=p_dias_backlog_max))</f>
        <v/>
      </c>
      <c r="AE616" s="6" t="n"/>
      <c r="AF6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0">
        <f>IF(tblOrdenes[[#This Row],[orden]]="","",_xlfn.XLOOKUP(tblOrdenes[[#This Row],[id_operacion]],tblEjecucion[id_operacion],tblEjecucion[precio],0))</f>
        <v/>
      </c>
      <c r="AJ616" s="10">
        <f>IF(tblOrdenes[[#This Row],[orden]]="","",MAX(0,_xlfn.XLOOKUP(tblOrdenes[[#This Row],[id_operacion]],tblEjecucion[id_operacion],tblEjecucion[costo_plan_total],0)-tblOrdenes[[#This Row],[costo_servicio]]))</f>
        <v/>
      </c>
      <c r="AK616" s="10">
        <f>IF(tblOrdenes[[#This Row],[orden]]="","",tblOrdenes[[#This Row],[costo_servicio]]+tblOrdenes[[#This Row],[costo_materiales]])</f>
        <v/>
      </c>
      <c r="AL616" s="6" t="n"/>
      <c r="AM616" s="6" t="n"/>
      <c r="AN616" s="6" t="n"/>
      <c r="AO616" s="3">
        <f>IF(tblOrdenes[[#This Row],[link_checklist]]="","",HYPERLINK(p_ruta_base_checklists&amp;tblOrdenes[[#This Row],[link_checklist]],"abrir"))</f>
        <v/>
      </c>
      <c r="AP616" s="6" t="n"/>
      <c r="AQ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3">
        <f>IF(tblOrdenes[[#This Row],[tipo_ot]]="","",_xlfn.XLOOKUP(tblOrdenes[[#This Row],[tipo_ot]],tblTiposOT[codigo],tblTiposOT[clasificacion],"sin_clasificar"))</f>
        <v/>
      </c>
      <c r="U617" s="3">
        <f>IF(tblOrdenes[[#This Row],[centro_costo]]="","",_xlfn.XLOOKUP(tblOrdenes[[#This Row],[centro_costo]],tblCECO[codigo],tblCECO[linea],"(sin catálogo)"))</f>
        <v/>
      </c>
      <c r="V617" s="3">
        <f>IF(tblOrdenes[[#This Row],[centro_costo]]="","",_xlfn.XLOOKUP(tblOrdenes[[#This Row],[centro_costo]],tblCECO[codigo],tblCECO[area],"(sin catálogo)"))</f>
        <v/>
      </c>
      <c r="W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3">
        <f>IF(tblOrdenes[[#This Row],[centro_costo]]="","",_xlfn.XLOOKUP(tblOrdenes[[#This Row],[centro_costo]],tblCECO[codigo],tblCECO[coordinador],"(sin catálogo)"))</f>
        <v/>
      </c>
      <c r="Y617" s="3">
        <f>IF(tblOrdenes[[#This Row],[puesto_trabajo]]="","",_xlfn.XLOOKUP(tblOrdenes[[#This Row],[puesto_trabajo]],tblPuestos[codigo],tblPuestos[especialidad],"(sin catálogo)"))</f>
        <v/>
      </c>
      <c r="Z617" s="3">
        <f>IF(tblOrdenes[[#This Row],[cod_actividad]]="","",_xlfn.XLOOKUP(tblOrdenes[[#This Row],[cod_actividad]],tblActividades[codigo],tblActividades[descripcion],"(sin catálogo)"))</f>
        <v/>
      </c>
      <c r="AA617" s="12">
        <f>IF(tblOrdenes[[#This Row],[fecha_inicio]]="","",TODAY()-tblOrdenes[[#This Row],[fecha_inicio]])</f>
        <v/>
      </c>
      <c r="AB6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3">
        <f>IF(tblOrdenes[[#This Row],[backlog_habiles]]="","",IF(tblOrdenes[[#This Row],[backlog_habiles]]&lt;0,"FUTURO",IF(tblOrdenes[[#This Row],[backlog_habiles]]&gt;p_dias_backlog_max,"BACKLOG","MES CORRIENTE")))</f>
        <v/>
      </c>
      <c r="AD617" s="3">
        <f>IF(tblOrdenes[[#This Row],[backlog_habiles]]="",FALSE,AND(tblOrdenes[[#This Row],[backlog_habiles]]&gt;p_dias_backlog_min,tblOrdenes[[#This Row],[backlog_habiles]]&lt;=p_dias_backlog_max))</f>
        <v/>
      </c>
      <c r="AE617" s="6" t="n"/>
      <c r="AF6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0">
        <f>IF(tblOrdenes[[#This Row],[orden]]="","",_xlfn.XLOOKUP(tblOrdenes[[#This Row],[id_operacion]],tblEjecucion[id_operacion],tblEjecucion[precio],0))</f>
        <v/>
      </c>
      <c r="AJ617" s="10">
        <f>IF(tblOrdenes[[#This Row],[orden]]="","",MAX(0,_xlfn.XLOOKUP(tblOrdenes[[#This Row],[id_operacion]],tblEjecucion[id_operacion],tblEjecucion[costo_plan_total],0)-tblOrdenes[[#This Row],[costo_servicio]]))</f>
        <v/>
      </c>
      <c r="AK617" s="10">
        <f>IF(tblOrdenes[[#This Row],[orden]]="","",tblOrdenes[[#This Row],[costo_servicio]]+tblOrdenes[[#This Row],[costo_materiales]])</f>
        <v/>
      </c>
      <c r="AL617" s="6" t="n"/>
      <c r="AM617" s="6" t="n"/>
      <c r="AN617" s="6" t="n"/>
      <c r="AO617" s="3">
        <f>IF(tblOrdenes[[#This Row],[link_checklist]]="","",HYPERLINK(p_ruta_base_checklists&amp;tblOrdenes[[#This Row],[link_checklist]],"abrir"))</f>
        <v/>
      </c>
      <c r="AP617" s="6" t="n"/>
      <c r="AQ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3">
        <f>IF(tblOrdenes[[#This Row],[tipo_ot]]="","",_xlfn.XLOOKUP(tblOrdenes[[#This Row],[tipo_ot]],tblTiposOT[codigo],tblTiposOT[clasificacion],"sin_clasificar"))</f>
        <v/>
      </c>
      <c r="U618" s="3">
        <f>IF(tblOrdenes[[#This Row],[centro_costo]]="","",_xlfn.XLOOKUP(tblOrdenes[[#This Row],[centro_costo]],tblCECO[codigo],tblCECO[linea],"(sin catálogo)"))</f>
        <v/>
      </c>
      <c r="V618" s="3">
        <f>IF(tblOrdenes[[#This Row],[centro_costo]]="","",_xlfn.XLOOKUP(tblOrdenes[[#This Row],[centro_costo]],tblCECO[codigo],tblCECO[area],"(sin catálogo)"))</f>
        <v/>
      </c>
      <c r="W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3">
        <f>IF(tblOrdenes[[#This Row],[centro_costo]]="","",_xlfn.XLOOKUP(tblOrdenes[[#This Row],[centro_costo]],tblCECO[codigo],tblCECO[coordinador],"(sin catálogo)"))</f>
        <v/>
      </c>
      <c r="Y618" s="3">
        <f>IF(tblOrdenes[[#This Row],[puesto_trabajo]]="","",_xlfn.XLOOKUP(tblOrdenes[[#This Row],[puesto_trabajo]],tblPuestos[codigo],tblPuestos[especialidad],"(sin catálogo)"))</f>
        <v/>
      </c>
      <c r="Z618" s="3">
        <f>IF(tblOrdenes[[#This Row],[cod_actividad]]="","",_xlfn.XLOOKUP(tblOrdenes[[#This Row],[cod_actividad]],tblActividades[codigo],tblActividades[descripcion],"(sin catálogo)"))</f>
        <v/>
      </c>
      <c r="AA618" s="12">
        <f>IF(tblOrdenes[[#This Row],[fecha_inicio]]="","",TODAY()-tblOrdenes[[#This Row],[fecha_inicio]])</f>
        <v/>
      </c>
      <c r="AB6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3">
        <f>IF(tblOrdenes[[#This Row],[backlog_habiles]]="","",IF(tblOrdenes[[#This Row],[backlog_habiles]]&lt;0,"FUTURO",IF(tblOrdenes[[#This Row],[backlog_habiles]]&gt;p_dias_backlog_max,"BACKLOG","MES CORRIENTE")))</f>
        <v/>
      </c>
      <c r="AD618" s="3">
        <f>IF(tblOrdenes[[#This Row],[backlog_habiles]]="",FALSE,AND(tblOrdenes[[#This Row],[backlog_habiles]]&gt;p_dias_backlog_min,tblOrdenes[[#This Row],[backlog_habiles]]&lt;=p_dias_backlog_max))</f>
        <v/>
      </c>
      <c r="AE618" s="6" t="n"/>
      <c r="AF6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0">
        <f>IF(tblOrdenes[[#This Row],[orden]]="","",_xlfn.XLOOKUP(tblOrdenes[[#This Row],[id_operacion]],tblEjecucion[id_operacion],tblEjecucion[precio],0))</f>
        <v/>
      </c>
      <c r="AJ618" s="10">
        <f>IF(tblOrdenes[[#This Row],[orden]]="","",MAX(0,_xlfn.XLOOKUP(tblOrdenes[[#This Row],[id_operacion]],tblEjecucion[id_operacion],tblEjecucion[costo_plan_total],0)-tblOrdenes[[#This Row],[costo_servicio]]))</f>
        <v/>
      </c>
      <c r="AK618" s="10">
        <f>IF(tblOrdenes[[#This Row],[orden]]="","",tblOrdenes[[#This Row],[costo_servicio]]+tblOrdenes[[#This Row],[costo_materiales]])</f>
        <v/>
      </c>
      <c r="AL618" s="6" t="n"/>
      <c r="AM618" s="6" t="n"/>
      <c r="AN618" s="6" t="n"/>
      <c r="AO618" s="3">
        <f>IF(tblOrdenes[[#This Row],[link_checklist]]="","",HYPERLINK(p_ruta_base_checklists&amp;tblOrdenes[[#This Row],[link_checklist]],"abrir"))</f>
        <v/>
      </c>
      <c r="AP618" s="6" t="n"/>
      <c r="AQ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3">
        <f>IF(tblOrdenes[[#This Row],[tipo_ot]]="","",_xlfn.XLOOKUP(tblOrdenes[[#This Row],[tipo_ot]],tblTiposOT[codigo],tblTiposOT[clasificacion],"sin_clasificar"))</f>
        <v/>
      </c>
      <c r="U619" s="3">
        <f>IF(tblOrdenes[[#This Row],[centro_costo]]="","",_xlfn.XLOOKUP(tblOrdenes[[#This Row],[centro_costo]],tblCECO[codigo],tblCECO[linea],"(sin catálogo)"))</f>
        <v/>
      </c>
      <c r="V619" s="3">
        <f>IF(tblOrdenes[[#This Row],[centro_costo]]="","",_xlfn.XLOOKUP(tblOrdenes[[#This Row],[centro_costo]],tblCECO[codigo],tblCECO[area],"(sin catálogo)"))</f>
        <v/>
      </c>
      <c r="W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3">
        <f>IF(tblOrdenes[[#This Row],[centro_costo]]="","",_xlfn.XLOOKUP(tblOrdenes[[#This Row],[centro_costo]],tblCECO[codigo],tblCECO[coordinador],"(sin catálogo)"))</f>
        <v/>
      </c>
      <c r="Y619" s="3">
        <f>IF(tblOrdenes[[#This Row],[puesto_trabajo]]="","",_xlfn.XLOOKUP(tblOrdenes[[#This Row],[puesto_trabajo]],tblPuestos[codigo],tblPuestos[especialidad],"(sin catálogo)"))</f>
        <v/>
      </c>
      <c r="Z619" s="3">
        <f>IF(tblOrdenes[[#This Row],[cod_actividad]]="","",_xlfn.XLOOKUP(tblOrdenes[[#This Row],[cod_actividad]],tblActividades[codigo],tblActividades[descripcion],"(sin catálogo)"))</f>
        <v/>
      </c>
      <c r="AA619" s="12">
        <f>IF(tblOrdenes[[#This Row],[fecha_inicio]]="","",TODAY()-tblOrdenes[[#This Row],[fecha_inicio]])</f>
        <v/>
      </c>
      <c r="AB6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3">
        <f>IF(tblOrdenes[[#This Row],[backlog_habiles]]="","",IF(tblOrdenes[[#This Row],[backlog_habiles]]&lt;0,"FUTURO",IF(tblOrdenes[[#This Row],[backlog_habiles]]&gt;p_dias_backlog_max,"BACKLOG","MES CORRIENTE")))</f>
        <v/>
      </c>
      <c r="AD619" s="3">
        <f>IF(tblOrdenes[[#This Row],[backlog_habiles]]="",FALSE,AND(tblOrdenes[[#This Row],[backlog_habiles]]&gt;p_dias_backlog_min,tblOrdenes[[#This Row],[backlog_habiles]]&lt;=p_dias_backlog_max))</f>
        <v/>
      </c>
      <c r="AE619" s="6" t="n"/>
      <c r="AF6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0">
        <f>IF(tblOrdenes[[#This Row],[orden]]="","",_xlfn.XLOOKUP(tblOrdenes[[#This Row],[id_operacion]],tblEjecucion[id_operacion],tblEjecucion[precio],0))</f>
        <v/>
      </c>
      <c r="AJ619" s="10">
        <f>IF(tblOrdenes[[#This Row],[orden]]="","",MAX(0,_xlfn.XLOOKUP(tblOrdenes[[#This Row],[id_operacion]],tblEjecucion[id_operacion],tblEjecucion[costo_plan_total],0)-tblOrdenes[[#This Row],[costo_servicio]]))</f>
        <v/>
      </c>
      <c r="AK619" s="10">
        <f>IF(tblOrdenes[[#This Row],[orden]]="","",tblOrdenes[[#This Row],[costo_servicio]]+tblOrdenes[[#This Row],[costo_materiales]])</f>
        <v/>
      </c>
      <c r="AL619" s="6" t="n"/>
      <c r="AM619" s="6" t="n"/>
      <c r="AN619" s="6" t="n"/>
      <c r="AO619" s="3">
        <f>IF(tblOrdenes[[#This Row],[link_checklist]]="","",HYPERLINK(p_ruta_base_checklists&amp;tblOrdenes[[#This Row],[link_checklist]],"abrir"))</f>
        <v/>
      </c>
      <c r="AP619" s="6" t="n"/>
      <c r="AQ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3">
        <f>IF(tblOrdenes[[#This Row],[tipo_ot]]="","",_xlfn.XLOOKUP(tblOrdenes[[#This Row],[tipo_ot]],tblTiposOT[codigo],tblTiposOT[clasificacion],"sin_clasificar"))</f>
        <v/>
      </c>
      <c r="U620" s="3">
        <f>IF(tblOrdenes[[#This Row],[centro_costo]]="","",_xlfn.XLOOKUP(tblOrdenes[[#This Row],[centro_costo]],tblCECO[codigo],tblCECO[linea],"(sin catálogo)"))</f>
        <v/>
      </c>
      <c r="V620" s="3">
        <f>IF(tblOrdenes[[#This Row],[centro_costo]]="","",_xlfn.XLOOKUP(tblOrdenes[[#This Row],[centro_costo]],tblCECO[codigo],tblCECO[area],"(sin catálogo)"))</f>
        <v/>
      </c>
      <c r="W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3">
        <f>IF(tblOrdenes[[#This Row],[centro_costo]]="","",_xlfn.XLOOKUP(tblOrdenes[[#This Row],[centro_costo]],tblCECO[codigo],tblCECO[coordinador],"(sin catálogo)"))</f>
        <v/>
      </c>
      <c r="Y620" s="3">
        <f>IF(tblOrdenes[[#This Row],[puesto_trabajo]]="","",_xlfn.XLOOKUP(tblOrdenes[[#This Row],[puesto_trabajo]],tblPuestos[codigo],tblPuestos[especialidad],"(sin catálogo)"))</f>
        <v/>
      </c>
      <c r="Z620" s="3">
        <f>IF(tblOrdenes[[#This Row],[cod_actividad]]="","",_xlfn.XLOOKUP(tblOrdenes[[#This Row],[cod_actividad]],tblActividades[codigo],tblActividades[descripcion],"(sin catálogo)"))</f>
        <v/>
      </c>
      <c r="AA620" s="12">
        <f>IF(tblOrdenes[[#This Row],[fecha_inicio]]="","",TODAY()-tblOrdenes[[#This Row],[fecha_inicio]])</f>
        <v/>
      </c>
      <c r="AB6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3">
        <f>IF(tblOrdenes[[#This Row],[backlog_habiles]]="","",IF(tblOrdenes[[#This Row],[backlog_habiles]]&lt;0,"FUTURO",IF(tblOrdenes[[#This Row],[backlog_habiles]]&gt;p_dias_backlog_max,"BACKLOG","MES CORRIENTE")))</f>
        <v/>
      </c>
      <c r="AD620" s="3">
        <f>IF(tblOrdenes[[#This Row],[backlog_habiles]]="",FALSE,AND(tblOrdenes[[#This Row],[backlog_habiles]]&gt;p_dias_backlog_min,tblOrdenes[[#This Row],[backlog_habiles]]&lt;=p_dias_backlog_max))</f>
        <v/>
      </c>
      <c r="AE620" s="6" t="n"/>
      <c r="AF6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0">
        <f>IF(tblOrdenes[[#This Row],[orden]]="","",_xlfn.XLOOKUP(tblOrdenes[[#This Row],[id_operacion]],tblEjecucion[id_operacion],tblEjecucion[precio],0))</f>
        <v/>
      </c>
      <c r="AJ620" s="10">
        <f>IF(tblOrdenes[[#This Row],[orden]]="","",MAX(0,_xlfn.XLOOKUP(tblOrdenes[[#This Row],[id_operacion]],tblEjecucion[id_operacion],tblEjecucion[costo_plan_total],0)-tblOrdenes[[#This Row],[costo_servicio]]))</f>
        <v/>
      </c>
      <c r="AK620" s="10">
        <f>IF(tblOrdenes[[#This Row],[orden]]="","",tblOrdenes[[#This Row],[costo_servicio]]+tblOrdenes[[#This Row],[costo_materiales]])</f>
        <v/>
      </c>
      <c r="AL620" s="6" t="n"/>
      <c r="AM620" s="6" t="n"/>
      <c r="AN620" s="6" t="n"/>
      <c r="AO620" s="3">
        <f>IF(tblOrdenes[[#This Row],[link_checklist]]="","",HYPERLINK(p_ruta_base_checklists&amp;tblOrdenes[[#This Row],[link_checklist]],"abrir"))</f>
        <v/>
      </c>
      <c r="AP620" s="6" t="n"/>
      <c r="AQ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3">
        <f>IF(tblOrdenes[[#This Row],[tipo_ot]]="","",_xlfn.XLOOKUP(tblOrdenes[[#This Row],[tipo_ot]],tblTiposOT[codigo],tblTiposOT[clasificacion],"sin_clasificar"))</f>
        <v/>
      </c>
      <c r="U621" s="3">
        <f>IF(tblOrdenes[[#This Row],[centro_costo]]="","",_xlfn.XLOOKUP(tblOrdenes[[#This Row],[centro_costo]],tblCECO[codigo],tblCECO[linea],"(sin catálogo)"))</f>
        <v/>
      </c>
      <c r="V621" s="3">
        <f>IF(tblOrdenes[[#This Row],[centro_costo]]="","",_xlfn.XLOOKUP(tblOrdenes[[#This Row],[centro_costo]],tblCECO[codigo],tblCECO[area],"(sin catálogo)"))</f>
        <v/>
      </c>
      <c r="W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3">
        <f>IF(tblOrdenes[[#This Row],[centro_costo]]="","",_xlfn.XLOOKUP(tblOrdenes[[#This Row],[centro_costo]],tblCECO[codigo],tblCECO[coordinador],"(sin catálogo)"))</f>
        <v/>
      </c>
      <c r="Y621" s="3">
        <f>IF(tblOrdenes[[#This Row],[puesto_trabajo]]="","",_xlfn.XLOOKUP(tblOrdenes[[#This Row],[puesto_trabajo]],tblPuestos[codigo],tblPuestos[especialidad],"(sin catálogo)"))</f>
        <v/>
      </c>
      <c r="Z621" s="3">
        <f>IF(tblOrdenes[[#This Row],[cod_actividad]]="","",_xlfn.XLOOKUP(tblOrdenes[[#This Row],[cod_actividad]],tblActividades[codigo],tblActividades[descripcion],"(sin catálogo)"))</f>
        <v/>
      </c>
      <c r="AA621" s="12">
        <f>IF(tblOrdenes[[#This Row],[fecha_inicio]]="","",TODAY()-tblOrdenes[[#This Row],[fecha_inicio]])</f>
        <v/>
      </c>
      <c r="AB6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3">
        <f>IF(tblOrdenes[[#This Row],[backlog_habiles]]="","",IF(tblOrdenes[[#This Row],[backlog_habiles]]&lt;0,"FUTURO",IF(tblOrdenes[[#This Row],[backlog_habiles]]&gt;p_dias_backlog_max,"BACKLOG","MES CORRIENTE")))</f>
        <v/>
      </c>
      <c r="AD621" s="3">
        <f>IF(tblOrdenes[[#This Row],[backlog_habiles]]="",FALSE,AND(tblOrdenes[[#This Row],[backlog_habiles]]&gt;p_dias_backlog_min,tblOrdenes[[#This Row],[backlog_habiles]]&lt;=p_dias_backlog_max))</f>
        <v/>
      </c>
      <c r="AE621" s="6" t="n"/>
      <c r="AF6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0">
        <f>IF(tblOrdenes[[#This Row],[orden]]="","",_xlfn.XLOOKUP(tblOrdenes[[#This Row],[id_operacion]],tblEjecucion[id_operacion],tblEjecucion[precio],0))</f>
        <v/>
      </c>
      <c r="AJ621" s="10">
        <f>IF(tblOrdenes[[#This Row],[orden]]="","",MAX(0,_xlfn.XLOOKUP(tblOrdenes[[#This Row],[id_operacion]],tblEjecucion[id_operacion],tblEjecucion[costo_plan_total],0)-tblOrdenes[[#This Row],[costo_servicio]]))</f>
        <v/>
      </c>
      <c r="AK621" s="10">
        <f>IF(tblOrdenes[[#This Row],[orden]]="","",tblOrdenes[[#This Row],[costo_servicio]]+tblOrdenes[[#This Row],[costo_materiales]])</f>
        <v/>
      </c>
      <c r="AL621" s="6" t="n"/>
      <c r="AM621" s="6" t="n"/>
      <c r="AN621" s="6" t="n"/>
      <c r="AO621" s="3">
        <f>IF(tblOrdenes[[#This Row],[link_checklist]]="","",HYPERLINK(p_ruta_base_checklists&amp;tblOrdenes[[#This Row],[link_checklist]],"abrir"))</f>
        <v/>
      </c>
      <c r="AP621" s="6" t="n"/>
      <c r="AQ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3">
        <f>IF(tblOrdenes[[#This Row],[tipo_ot]]="","",_xlfn.XLOOKUP(tblOrdenes[[#This Row],[tipo_ot]],tblTiposOT[codigo],tblTiposOT[clasificacion],"sin_clasificar"))</f>
        <v/>
      </c>
      <c r="U622" s="3">
        <f>IF(tblOrdenes[[#This Row],[centro_costo]]="","",_xlfn.XLOOKUP(tblOrdenes[[#This Row],[centro_costo]],tblCECO[codigo],tblCECO[linea],"(sin catálogo)"))</f>
        <v/>
      </c>
      <c r="V622" s="3">
        <f>IF(tblOrdenes[[#This Row],[centro_costo]]="","",_xlfn.XLOOKUP(tblOrdenes[[#This Row],[centro_costo]],tblCECO[codigo],tblCECO[area],"(sin catálogo)"))</f>
        <v/>
      </c>
      <c r="W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3">
        <f>IF(tblOrdenes[[#This Row],[centro_costo]]="","",_xlfn.XLOOKUP(tblOrdenes[[#This Row],[centro_costo]],tblCECO[codigo],tblCECO[coordinador],"(sin catálogo)"))</f>
        <v/>
      </c>
      <c r="Y622" s="3">
        <f>IF(tblOrdenes[[#This Row],[puesto_trabajo]]="","",_xlfn.XLOOKUP(tblOrdenes[[#This Row],[puesto_trabajo]],tblPuestos[codigo],tblPuestos[especialidad],"(sin catálogo)"))</f>
        <v/>
      </c>
      <c r="Z622" s="3">
        <f>IF(tblOrdenes[[#This Row],[cod_actividad]]="","",_xlfn.XLOOKUP(tblOrdenes[[#This Row],[cod_actividad]],tblActividades[codigo],tblActividades[descripcion],"(sin catálogo)"))</f>
        <v/>
      </c>
      <c r="AA622" s="12">
        <f>IF(tblOrdenes[[#This Row],[fecha_inicio]]="","",TODAY()-tblOrdenes[[#This Row],[fecha_inicio]])</f>
        <v/>
      </c>
      <c r="AB6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3">
        <f>IF(tblOrdenes[[#This Row],[backlog_habiles]]="","",IF(tblOrdenes[[#This Row],[backlog_habiles]]&lt;0,"FUTURO",IF(tblOrdenes[[#This Row],[backlog_habiles]]&gt;p_dias_backlog_max,"BACKLOG","MES CORRIENTE")))</f>
        <v/>
      </c>
      <c r="AD622" s="3">
        <f>IF(tblOrdenes[[#This Row],[backlog_habiles]]="",FALSE,AND(tblOrdenes[[#This Row],[backlog_habiles]]&gt;p_dias_backlog_min,tblOrdenes[[#This Row],[backlog_habiles]]&lt;=p_dias_backlog_max))</f>
        <v/>
      </c>
      <c r="AE622" s="6" t="n"/>
      <c r="AF6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0">
        <f>IF(tblOrdenes[[#This Row],[orden]]="","",_xlfn.XLOOKUP(tblOrdenes[[#This Row],[id_operacion]],tblEjecucion[id_operacion],tblEjecucion[precio],0))</f>
        <v/>
      </c>
      <c r="AJ622" s="10">
        <f>IF(tblOrdenes[[#This Row],[orden]]="","",MAX(0,_xlfn.XLOOKUP(tblOrdenes[[#This Row],[id_operacion]],tblEjecucion[id_operacion],tblEjecucion[costo_plan_total],0)-tblOrdenes[[#This Row],[costo_servicio]]))</f>
        <v/>
      </c>
      <c r="AK622" s="10">
        <f>IF(tblOrdenes[[#This Row],[orden]]="","",tblOrdenes[[#This Row],[costo_servicio]]+tblOrdenes[[#This Row],[costo_materiales]])</f>
        <v/>
      </c>
      <c r="AL622" s="6" t="n"/>
      <c r="AM622" s="6" t="n"/>
      <c r="AN622" s="6" t="n"/>
      <c r="AO622" s="3">
        <f>IF(tblOrdenes[[#This Row],[link_checklist]]="","",HYPERLINK(p_ruta_base_checklists&amp;tblOrdenes[[#This Row],[link_checklist]],"abrir"))</f>
        <v/>
      </c>
      <c r="AP622" s="6" t="n"/>
      <c r="AQ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3">
        <f>IF(tblOrdenes[[#This Row],[tipo_ot]]="","",_xlfn.XLOOKUP(tblOrdenes[[#This Row],[tipo_ot]],tblTiposOT[codigo],tblTiposOT[clasificacion],"sin_clasificar"))</f>
        <v/>
      </c>
      <c r="U623" s="3">
        <f>IF(tblOrdenes[[#This Row],[centro_costo]]="","",_xlfn.XLOOKUP(tblOrdenes[[#This Row],[centro_costo]],tblCECO[codigo],tblCECO[linea],"(sin catálogo)"))</f>
        <v/>
      </c>
      <c r="V623" s="3">
        <f>IF(tblOrdenes[[#This Row],[centro_costo]]="","",_xlfn.XLOOKUP(tblOrdenes[[#This Row],[centro_costo]],tblCECO[codigo],tblCECO[area],"(sin catálogo)"))</f>
        <v/>
      </c>
      <c r="W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3">
        <f>IF(tblOrdenes[[#This Row],[centro_costo]]="","",_xlfn.XLOOKUP(tblOrdenes[[#This Row],[centro_costo]],tblCECO[codigo],tblCECO[coordinador],"(sin catálogo)"))</f>
        <v/>
      </c>
      <c r="Y623" s="3">
        <f>IF(tblOrdenes[[#This Row],[puesto_trabajo]]="","",_xlfn.XLOOKUP(tblOrdenes[[#This Row],[puesto_trabajo]],tblPuestos[codigo],tblPuestos[especialidad],"(sin catálogo)"))</f>
        <v/>
      </c>
      <c r="Z623" s="3">
        <f>IF(tblOrdenes[[#This Row],[cod_actividad]]="","",_xlfn.XLOOKUP(tblOrdenes[[#This Row],[cod_actividad]],tblActividades[codigo],tblActividades[descripcion],"(sin catálogo)"))</f>
        <v/>
      </c>
      <c r="AA623" s="12">
        <f>IF(tblOrdenes[[#This Row],[fecha_inicio]]="","",TODAY()-tblOrdenes[[#This Row],[fecha_inicio]])</f>
        <v/>
      </c>
      <c r="AB6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3">
        <f>IF(tblOrdenes[[#This Row],[backlog_habiles]]="","",IF(tblOrdenes[[#This Row],[backlog_habiles]]&lt;0,"FUTURO",IF(tblOrdenes[[#This Row],[backlog_habiles]]&gt;p_dias_backlog_max,"BACKLOG","MES CORRIENTE")))</f>
        <v/>
      </c>
      <c r="AD623" s="3">
        <f>IF(tblOrdenes[[#This Row],[backlog_habiles]]="",FALSE,AND(tblOrdenes[[#This Row],[backlog_habiles]]&gt;p_dias_backlog_min,tblOrdenes[[#This Row],[backlog_habiles]]&lt;=p_dias_backlog_max))</f>
        <v/>
      </c>
      <c r="AE623" s="6" t="n"/>
      <c r="AF6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0">
        <f>IF(tblOrdenes[[#This Row],[orden]]="","",_xlfn.XLOOKUP(tblOrdenes[[#This Row],[id_operacion]],tblEjecucion[id_operacion],tblEjecucion[precio],0))</f>
        <v/>
      </c>
      <c r="AJ623" s="10">
        <f>IF(tblOrdenes[[#This Row],[orden]]="","",MAX(0,_xlfn.XLOOKUP(tblOrdenes[[#This Row],[id_operacion]],tblEjecucion[id_operacion],tblEjecucion[costo_plan_total],0)-tblOrdenes[[#This Row],[costo_servicio]]))</f>
        <v/>
      </c>
      <c r="AK623" s="10">
        <f>IF(tblOrdenes[[#This Row],[orden]]="","",tblOrdenes[[#This Row],[costo_servicio]]+tblOrdenes[[#This Row],[costo_materiales]])</f>
        <v/>
      </c>
      <c r="AL623" s="6" t="n"/>
      <c r="AM623" s="6" t="n"/>
      <c r="AN623" s="6" t="n"/>
      <c r="AO623" s="3">
        <f>IF(tblOrdenes[[#This Row],[link_checklist]]="","",HYPERLINK(p_ruta_base_checklists&amp;tblOrdenes[[#This Row],[link_checklist]],"abrir"))</f>
        <v/>
      </c>
      <c r="AP623" s="6" t="n"/>
      <c r="AQ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3">
        <f>IF(tblOrdenes[[#This Row],[tipo_ot]]="","",_xlfn.XLOOKUP(tblOrdenes[[#This Row],[tipo_ot]],tblTiposOT[codigo],tblTiposOT[clasificacion],"sin_clasificar"))</f>
        <v/>
      </c>
      <c r="U624" s="3">
        <f>IF(tblOrdenes[[#This Row],[centro_costo]]="","",_xlfn.XLOOKUP(tblOrdenes[[#This Row],[centro_costo]],tblCECO[codigo],tblCECO[linea],"(sin catálogo)"))</f>
        <v/>
      </c>
      <c r="V624" s="3">
        <f>IF(tblOrdenes[[#This Row],[centro_costo]]="","",_xlfn.XLOOKUP(tblOrdenes[[#This Row],[centro_costo]],tblCECO[codigo],tblCECO[area],"(sin catálogo)"))</f>
        <v/>
      </c>
      <c r="W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3">
        <f>IF(tblOrdenes[[#This Row],[centro_costo]]="","",_xlfn.XLOOKUP(tblOrdenes[[#This Row],[centro_costo]],tblCECO[codigo],tblCECO[coordinador],"(sin catálogo)"))</f>
        <v/>
      </c>
      <c r="Y624" s="3">
        <f>IF(tblOrdenes[[#This Row],[puesto_trabajo]]="","",_xlfn.XLOOKUP(tblOrdenes[[#This Row],[puesto_trabajo]],tblPuestos[codigo],tblPuestos[especialidad],"(sin catálogo)"))</f>
        <v/>
      </c>
      <c r="Z624" s="3">
        <f>IF(tblOrdenes[[#This Row],[cod_actividad]]="","",_xlfn.XLOOKUP(tblOrdenes[[#This Row],[cod_actividad]],tblActividades[codigo],tblActividades[descripcion],"(sin catálogo)"))</f>
        <v/>
      </c>
      <c r="AA624" s="12">
        <f>IF(tblOrdenes[[#This Row],[fecha_inicio]]="","",TODAY()-tblOrdenes[[#This Row],[fecha_inicio]])</f>
        <v/>
      </c>
      <c r="AB6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3">
        <f>IF(tblOrdenes[[#This Row],[backlog_habiles]]="","",IF(tblOrdenes[[#This Row],[backlog_habiles]]&lt;0,"FUTURO",IF(tblOrdenes[[#This Row],[backlog_habiles]]&gt;p_dias_backlog_max,"BACKLOG","MES CORRIENTE")))</f>
        <v/>
      </c>
      <c r="AD624" s="3">
        <f>IF(tblOrdenes[[#This Row],[backlog_habiles]]="",FALSE,AND(tblOrdenes[[#This Row],[backlog_habiles]]&gt;p_dias_backlog_min,tblOrdenes[[#This Row],[backlog_habiles]]&lt;=p_dias_backlog_max))</f>
        <v/>
      </c>
      <c r="AE624" s="6" t="n"/>
      <c r="AF6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0">
        <f>IF(tblOrdenes[[#This Row],[orden]]="","",_xlfn.XLOOKUP(tblOrdenes[[#This Row],[id_operacion]],tblEjecucion[id_operacion],tblEjecucion[precio],0))</f>
        <v/>
      </c>
      <c r="AJ624" s="10">
        <f>IF(tblOrdenes[[#This Row],[orden]]="","",MAX(0,_xlfn.XLOOKUP(tblOrdenes[[#This Row],[id_operacion]],tblEjecucion[id_operacion],tblEjecucion[costo_plan_total],0)-tblOrdenes[[#This Row],[costo_servicio]]))</f>
        <v/>
      </c>
      <c r="AK624" s="10">
        <f>IF(tblOrdenes[[#This Row],[orden]]="","",tblOrdenes[[#This Row],[costo_servicio]]+tblOrdenes[[#This Row],[costo_materiales]])</f>
        <v/>
      </c>
      <c r="AL624" s="6" t="n"/>
      <c r="AM624" s="6" t="n"/>
      <c r="AN624" s="6" t="n"/>
      <c r="AO624" s="3">
        <f>IF(tblOrdenes[[#This Row],[link_checklist]]="","",HYPERLINK(p_ruta_base_checklists&amp;tblOrdenes[[#This Row],[link_checklist]],"abrir"))</f>
        <v/>
      </c>
      <c r="AP624" s="6" t="n"/>
      <c r="AQ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3">
        <f>IF(tblOrdenes[[#This Row],[tipo_ot]]="","",_xlfn.XLOOKUP(tblOrdenes[[#This Row],[tipo_ot]],tblTiposOT[codigo],tblTiposOT[clasificacion],"sin_clasificar"))</f>
        <v/>
      </c>
      <c r="U625" s="3">
        <f>IF(tblOrdenes[[#This Row],[centro_costo]]="","",_xlfn.XLOOKUP(tblOrdenes[[#This Row],[centro_costo]],tblCECO[codigo],tblCECO[linea],"(sin catálogo)"))</f>
        <v/>
      </c>
      <c r="V625" s="3">
        <f>IF(tblOrdenes[[#This Row],[centro_costo]]="","",_xlfn.XLOOKUP(tblOrdenes[[#This Row],[centro_costo]],tblCECO[codigo],tblCECO[area],"(sin catálogo)"))</f>
        <v/>
      </c>
      <c r="W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3">
        <f>IF(tblOrdenes[[#This Row],[centro_costo]]="","",_xlfn.XLOOKUP(tblOrdenes[[#This Row],[centro_costo]],tblCECO[codigo],tblCECO[coordinador],"(sin catálogo)"))</f>
        <v/>
      </c>
      <c r="Y625" s="3">
        <f>IF(tblOrdenes[[#This Row],[puesto_trabajo]]="","",_xlfn.XLOOKUP(tblOrdenes[[#This Row],[puesto_trabajo]],tblPuestos[codigo],tblPuestos[especialidad],"(sin catálogo)"))</f>
        <v/>
      </c>
      <c r="Z625" s="3">
        <f>IF(tblOrdenes[[#This Row],[cod_actividad]]="","",_xlfn.XLOOKUP(tblOrdenes[[#This Row],[cod_actividad]],tblActividades[codigo],tblActividades[descripcion],"(sin catálogo)"))</f>
        <v/>
      </c>
      <c r="AA625" s="12">
        <f>IF(tblOrdenes[[#This Row],[fecha_inicio]]="","",TODAY()-tblOrdenes[[#This Row],[fecha_inicio]])</f>
        <v/>
      </c>
      <c r="AB6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3">
        <f>IF(tblOrdenes[[#This Row],[backlog_habiles]]="","",IF(tblOrdenes[[#This Row],[backlog_habiles]]&lt;0,"FUTURO",IF(tblOrdenes[[#This Row],[backlog_habiles]]&gt;p_dias_backlog_max,"BACKLOG","MES CORRIENTE")))</f>
        <v/>
      </c>
      <c r="AD625" s="3">
        <f>IF(tblOrdenes[[#This Row],[backlog_habiles]]="",FALSE,AND(tblOrdenes[[#This Row],[backlog_habiles]]&gt;p_dias_backlog_min,tblOrdenes[[#This Row],[backlog_habiles]]&lt;=p_dias_backlog_max))</f>
        <v/>
      </c>
      <c r="AE625" s="6" t="n"/>
      <c r="AF6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0">
        <f>IF(tblOrdenes[[#This Row],[orden]]="","",_xlfn.XLOOKUP(tblOrdenes[[#This Row],[id_operacion]],tblEjecucion[id_operacion],tblEjecucion[precio],0))</f>
        <v/>
      </c>
      <c r="AJ625" s="10">
        <f>IF(tblOrdenes[[#This Row],[orden]]="","",MAX(0,_xlfn.XLOOKUP(tblOrdenes[[#This Row],[id_operacion]],tblEjecucion[id_operacion],tblEjecucion[costo_plan_total],0)-tblOrdenes[[#This Row],[costo_servicio]]))</f>
        <v/>
      </c>
      <c r="AK625" s="10">
        <f>IF(tblOrdenes[[#This Row],[orden]]="","",tblOrdenes[[#This Row],[costo_servicio]]+tblOrdenes[[#This Row],[costo_materiales]])</f>
        <v/>
      </c>
      <c r="AL625" s="6" t="n"/>
      <c r="AM625" s="6" t="n"/>
      <c r="AN625" s="6" t="n"/>
      <c r="AO625" s="3">
        <f>IF(tblOrdenes[[#This Row],[link_checklist]]="","",HYPERLINK(p_ruta_base_checklists&amp;tblOrdenes[[#This Row],[link_checklist]],"abrir"))</f>
        <v/>
      </c>
      <c r="AP625" s="6" t="n"/>
      <c r="AQ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3">
        <f>IF(tblOrdenes[[#This Row],[tipo_ot]]="","",_xlfn.XLOOKUP(tblOrdenes[[#This Row],[tipo_ot]],tblTiposOT[codigo],tblTiposOT[clasificacion],"sin_clasificar"))</f>
        <v/>
      </c>
      <c r="U626" s="3">
        <f>IF(tblOrdenes[[#This Row],[centro_costo]]="","",_xlfn.XLOOKUP(tblOrdenes[[#This Row],[centro_costo]],tblCECO[codigo],tblCECO[linea],"(sin catálogo)"))</f>
        <v/>
      </c>
      <c r="V626" s="3">
        <f>IF(tblOrdenes[[#This Row],[centro_costo]]="","",_xlfn.XLOOKUP(tblOrdenes[[#This Row],[centro_costo]],tblCECO[codigo],tblCECO[area],"(sin catálogo)"))</f>
        <v/>
      </c>
      <c r="W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3">
        <f>IF(tblOrdenes[[#This Row],[centro_costo]]="","",_xlfn.XLOOKUP(tblOrdenes[[#This Row],[centro_costo]],tblCECO[codigo],tblCECO[coordinador],"(sin catálogo)"))</f>
        <v/>
      </c>
      <c r="Y626" s="3">
        <f>IF(tblOrdenes[[#This Row],[puesto_trabajo]]="","",_xlfn.XLOOKUP(tblOrdenes[[#This Row],[puesto_trabajo]],tblPuestos[codigo],tblPuestos[especialidad],"(sin catálogo)"))</f>
        <v/>
      </c>
      <c r="Z626" s="3">
        <f>IF(tblOrdenes[[#This Row],[cod_actividad]]="","",_xlfn.XLOOKUP(tblOrdenes[[#This Row],[cod_actividad]],tblActividades[codigo],tblActividades[descripcion],"(sin catálogo)"))</f>
        <v/>
      </c>
      <c r="AA626" s="12">
        <f>IF(tblOrdenes[[#This Row],[fecha_inicio]]="","",TODAY()-tblOrdenes[[#This Row],[fecha_inicio]])</f>
        <v/>
      </c>
      <c r="AB6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3">
        <f>IF(tblOrdenes[[#This Row],[backlog_habiles]]="","",IF(tblOrdenes[[#This Row],[backlog_habiles]]&lt;0,"FUTURO",IF(tblOrdenes[[#This Row],[backlog_habiles]]&gt;p_dias_backlog_max,"BACKLOG","MES CORRIENTE")))</f>
        <v/>
      </c>
      <c r="AD626" s="3">
        <f>IF(tblOrdenes[[#This Row],[backlog_habiles]]="",FALSE,AND(tblOrdenes[[#This Row],[backlog_habiles]]&gt;p_dias_backlog_min,tblOrdenes[[#This Row],[backlog_habiles]]&lt;=p_dias_backlog_max))</f>
        <v/>
      </c>
      <c r="AE626" s="6" t="n"/>
      <c r="AF6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0">
        <f>IF(tblOrdenes[[#This Row],[orden]]="","",_xlfn.XLOOKUP(tblOrdenes[[#This Row],[id_operacion]],tblEjecucion[id_operacion],tblEjecucion[precio],0))</f>
        <v/>
      </c>
      <c r="AJ626" s="10">
        <f>IF(tblOrdenes[[#This Row],[orden]]="","",MAX(0,_xlfn.XLOOKUP(tblOrdenes[[#This Row],[id_operacion]],tblEjecucion[id_operacion],tblEjecucion[costo_plan_total],0)-tblOrdenes[[#This Row],[costo_servicio]]))</f>
        <v/>
      </c>
      <c r="AK626" s="10">
        <f>IF(tblOrdenes[[#This Row],[orden]]="","",tblOrdenes[[#This Row],[costo_servicio]]+tblOrdenes[[#This Row],[costo_materiales]])</f>
        <v/>
      </c>
      <c r="AL626" s="6" t="n"/>
      <c r="AM626" s="6" t="n"/>
      <c r="AN626" s="6" t="n"/>
      <c r="AO626" s="3">
        <f>IF(tblOrdenes[[#This Row],[link_checklist]]="","",HYPERLINK(p_ruta_base_checklists&amp;tblOrdenes[[#This Row],[link_checklist]],"abrir"))</f>
        <v/>
      </c>
      <c r="AP626" s="6" t="n"/>
      <c r="AQ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3">
        <f>IF(tblOrdenes[[#This Row],[tipo_ot]]="","",_xlfn.XLOOKUP(tblOrdenes[[#This Row],[tipo_ot]],tblTiposOT[codigo],tblTiposOT[clasificacion],"sin_clasificar"))</f>
        <v/>
      </c>
      <c r="U627" s="3">
        <f>IF(tblOrdenes[[#This Row],[centro_costo]]="","",_xlfn.XLOOKUP(tblOrdenes[[#This Row],[centro_costo]],tblCECO[codigo],tblCECO[linea],"(sin catálogo)"))</f>
        <v/>
      </c>
      <c r="V627" s="3">
        <f>IF(tblOrdenes[[#This Row],[centro_costo]]="","",_xlfn.XLOOKUP(tblOrdenes[[#This Row],[centro_costo]],tblCECO[codigo],tblCECO[area],"(sin catálogo)"))</f>
        <v/>
      </c>
      <c r="W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3">
        <f>IF(tblOrdenes[[#This Row],[centro_costo]]="","",_xlfn.XLOOKUP(tblOrdenes[[#This Row],[centro_costo]],tblCECO[codigo],tblCECO[coordinador],"(sin catálogo)"))</f>
        <v/>
      </c>
      <c r="Y627" s="3">
        <f>IF(tblOrdenes[[#This Row],[puesto_trabajo]]="","",_xlfn.XLOOKUP(tblOrdenes[[#This Row],[puesto_trabajo]],tblPuestos[codigo],tblPuestos[especialidad],"(sin catálogo)"))</f>
        <v/>
      </c>
      <c r="Z627" s="3">
        <f>IF(tblOrdenes[[#This Row],[cod_actividad]]="","",_xlfn.XLOOKUP(tblOrdenes[[#This Row],[cod_actividad]],tblActividades[codigo],tblActividades[descripcion],"(sin catálogo)"))</f>
        <v/>
      </c>
      <c r="AA627" s="12">
        <f>IF(tblOrdenes[[#This Row],[fecha_inicio]]="","",TODAY()-tblOrdenes[[#This Row],[fecha_inicio]])</f>
        <v/>
      </c>
      <c r="AB6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3">
        <f>IF(tblOrdenes[[#This Row],[backlog_habiles]]="","",IF(tblOrdenes[[#This Row],[backlog_habiles]]&lt;0,"FUTURO",IF(tblOrdenes[[#This Row],[backlog_habiles]]&gt;p_dias_backlog_max,"BACKLOG","MES CORRIENTE")))</f>
        <v/>
      </c>
      <c r="AD627" s="3">
        <f>IF(tblOrdenes[[#This Row],[backlog_habiles]]="",FALSE,AND(tblOrdenes[[#This Row],[backlog_habiles]]&gt;p_dias_backlog_min,tblOrdenes[[#This Row],[backlog_habiles]]&lt;=p_dias_backlog_max))</f>
        <v/>
      </c>
      <c r="AE627" s="6" t="n"/>
      <c r="AF6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0">
        <f>IF(tblOrdenes[[#This Row],[orden]]="","",_xlfn.XLOOKUP(tblOrdenes[[#This Row],[id_operacion]],tblEjecucion[id_operacion],tblEjecucion[precio],0))</f>
        <v/>
      </c>
      <c r="AJ627" s="10">
        <f>IF(tblOrdenes[[#This Row],[orden]]="","",MAX(0,_xlfn.XLOOKUP(tblOrdenes[[#This Row],[id_operacion]],tblEjecucion[id_operacion],tblEjecucion[costo_plan_total],0)-tblOrdenes[[#This Row],[costo_servicio]]))</f>
        <v/>
      </c>
      <c r="AK627" s="10">
        <f>IF(tblOrdenes[[#This Row],[orden]]="","",tblOrdenes[[#This Row],[costo_servicio]]+tblOrdenes[[#This Row],[costo_materiales]])</f>
        <v/>
      </c>
      <c r="AL627" s="6" t="n"/>
      <c r="AM627" s="6" t="n"/>
      <c r="AN627" s="6" t="n"/>
      <c r="AO627" s="3">
        <f>IF(tblOrdenes[[#This Row],[link_checklist]]="","",HYPERLINK(p_ruta_base_checklists&amp;tblOrdenes[[#This Row],[link_checklist]],"abrir"))</f>
        <v/>
      </c>
      <c r="AP627" s="6" t="n"/>
      <c r="AQ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3">
        <f>IF(tblOrdenes[[#This Row],[tipo_ot]]="","",_xlfn.XLOOKUP(tblOrdenes[[#This Row],[tipo_ot]],tblTiposOT[codigo],tblTiposOT[clasificacion],"sin_clasificar"))</f>
        <v/>
      </c>
      <c r="U628" s="3">
        <f>IF(tblOrdenes[[#This Row],[centro_costo]]="","",_xlfn.XLOOKUP(tblOrdenes[[#This Row],[centro_costo]],tblCECO[codigo],tblCECO[linea],"(sin catálogo)"))</f>
        <v/>
      </c>
      <c r="V628" s="3">
        <f>IF(tblOrdenes[[#This Row],[centro_costo]]="","",_xlfn.XLOOKUP(tblOrdenes[[#This Row],[centro_costo]],tblCECO[codigo],tblCECO[area],"(sin catálogo)"))</f>
        <v/>
      </c>
      <c r="W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3">
        <f>IF(tblOrdenes[[#This Row],[centro_costo]]="","",_xlfn.XLOOKUP(tblOrdenes[[#This Row],[centro_costo]],tblCECO[codigo],tblCECO[coordinador],"(sin catálogo)"))</f>
        <v/>
      </c>
      <c r="Y628" s="3">
        <f>IF(tblOrdenes[[#This Row],[puesto_trabajo]]="","",_xlfn.XLOOKUP(tblOrdenes[[#This Row],[puesto_trabajo]],tblPuestos[codigo],tblPuestos[especialidad],"(sin catálogo)"))</f>
        <v/>
      </c>
      <c r="Z628" s="3">
        <f>IF(tblOrdenes[[#This Row],[cod_actividad]]="","",_xlfn.XLOOKUP(tblOrdenes[[#This Row],[cod_actividad]],tblActividades[codigo],tblActividades[descripcion],"(sin catálogo)"))</f>
        <v/>
      </c>
      <c r="AA628" s="12">
        <f>IF(tblOrdenes[[#This Row],[fecha_inicio]]="","",TODAY()-tblOrdenes[[#This Row],[fecha_inicio]])</f>
        <v/>
      </c>
      <c r="AB6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3">
        <f>IF(tblOrdenes[[#This Row],[backlog_habiles]]="","",IF(tblOrdenes[[#This Row],[backlog_habiles]]&lt;0,"FUTURO",IF(tblOrdenes[[#This Row],[backlog_habiles]]&gt;p_dias_backlog_max,"BACKLOG","MES CORRIENTE")))</f>
        <v/>
      </c>
      <c r="AD628" s="3">
        <f>IF(tblOrdenes[[#This Row],[backlog_habiles]]="",FALSE,AND(tblOrdenes[[#This Row],[backlog_habiles]]&gt;p_dias_backlog_min,tblOrdenes[[#This Row],[backlog_habiles]]&lt;=p_dias_backlog_max))</f>
        <v/>
      </c>
      <c r="AE628" s="6" t="n"/>
      <c r="AF6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0">
        <f>IF(tblOrdenes[[#This Row],[orden]]="","",_xlfn.XLOOKUP(tblOrdenes[[#This Row],[id_operacion]],tblEjecucion[id_operacion],tblEjecucion[precio],0))</f>
        <v/>
      </c>
      <c r="AJ628" s="10">
        <f>IF(tblOrdenes[[#This Row],[orden]]="","",MAX(0,_xlfn.XLOOKUP(tblOrdenes[[#This Row],[id_operacion]],tblEjecucion[id_operacion],tblEjecucion[costo_plan_total],0)-tblOrdenes[[#This Row],[costo_servicio]]))</f>
        <v/>
      </c>
      <c r="AK628" s="10">
        <f>IF(tblOrdenes[[#This Row],[orden]]="","",tblOrdenes[[#This Row],[costo_servicio]]+tblOrdenes[[#This Row],[costo_materiales]])</f>
        <v/>
      </c>
      <c r="AL628" s="6" t="n"/>
      <c r="AM628" s="6" t="n"/>
      <c r="AN628" s="6" t="n"/>
      <c r="AO628" s="3">
        <f>IF(tblOrdenes[[#This Row],[link_checklist]]="","",HYPERLINK(p_ruta_base_checklists&amp;tblOrdenes[[#This Row],[link_checklist]],"abrir"))</f>
        <v/>
      </c>
      <c r="AP628" s="6" t="n"/>
      <c r="AQ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3">
        <f>IF(tblOrdenes[[#This Row],[tipo_ot]]="","",_xlfn.XLOOKUP(tblOrdenes[[#This Row],[tipo_ot]],tblTiposOT[codigo],tblTiposOT[clasificacion],"sin_clasificar"))</f>
        <v/>
      </c>
      <c r="U629" s="3">
        <f>IF(tblOrdenes[[#This Row],[centro_costo]]="","",_xlfn.XLOOKUP(tblOrdenes[[#This Row],[centro_costo]],tblCECO[codigo],tblCECO[linea],"(sin catálogo)"))</f>
        <v/>
      </c>
      <c r="V629" s="3">
        <f>IF(tblOrdenes[[#This Row],[centro_costo]]="","",_xlfn.XLOOKUP(tblOrdenes[[#This Row],[centro_costo]],tblCECO[codigo],tblCECO[area],"(sin catálogo)"))</f>
        <v/>
      </c>
      <c r="W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3">
        <f>IF(tblOrdenes[[#This Row],[centro_costo]]="","",_xlfn.XLOOKUP(tblOrdenes[[#This Row],[centro_costo]],tblCECO[codigo],tblCECO[coordinador],"(sin catálogo)"))</f>
        <v/>
      </c>
      <c r="Y629" s="3">
        <f>IF(tblOrdenes[[#This Row],[puesto_trabajo]]="","",_xlfn.XLOOKUP(tblOrdenes[[#This Row],[puesto_trabajo]],tblPuestos[codigo],tblPuestos[especialidad],"(sin catálogo)"))</f>
        <v/>
      </c>
      <c r="Z629" s="3">
        <f>IF(tblOrdenes[[#This Row],[cod_actividad]]="","",_xlfn.XLOOKUP(tblOrdenes[[#This Row],[cod_actividad]],tblActividades[codigo],tblActividades[descripcion],"(sin catálogo)"))</f>
        <v/>
      </c>
      <c r="AA629" s="12">
        <f>IF(tblOrdenes[[#This Row],[fecha_inicio]]="","",TODAY()-tblOrdenes[[#This Row],[fecha_inicio]])</f>
        <v/>
      </c>
      <c r="AB6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3">
        <f>IF(tblOrdenes[[#This Row],[backlog_habiles]]="","",IF(tblOrdenes[[#This Row],[backlog_habiles]]&lt;0,"FUTURO",IF(tblOrdenes[[#This Row],[backlog_habiles]]&gt;p_dias_backlog_max,"BACKLOG","MES CORRIENTE")))</f>
        <v/>
      </c>
      <c r="AD629" s="3">
        <f>IF(tblOrdenes[[#This Row],[backlog_habiles]]="",FALSE,AND(tblOrdenes[[#This Row],[backlog_habiles]]&gt;p_dias_backlog_min,tblOrdenes[[#This Row],[backlog_habiles]]&lt;=p_dias_backlog_max))</f>
        <v/>
      </c>
      <c r="AE629" s="6" t="n"/>
      <c r="AF6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0">
        <f>IF(tblOrdenes[[#This Row],[orden]]="","",_xlfn.XLOOKUP(tblOrdenes[[#This Row],[id_operacion]],tblEjecucion[id_operacion],tblEjecucion[precio],0))</f>
        <v/>
      </c>
      <c r="AJ629" s="10">
        <f>IF(tblOrdenes[[#This Row],[orden]]="","",MAX(0,_xlfn.XLOOKUP(tblOrdenes[[#This Row],[id_operacion]],tblEjecucion[id_operacion],tblEjecucion[costo_plan_total],0)-tblOrdenes[[#This Row],[costo_servicio]]))</f>
        <v/>
      </c>
      <c r="AK629" s="10">
        <f>IF(tblOrdenes[[#This Row],[orden]]="","",tblOrdenes[[#This Row],[costo_servicio]]+tblOrdenes[[#This Row],[costo_materiales]])</f>
        <v/>
      </c>
      <c r="AL629" s="6" t="n"/>
      <c r="AM629" s="6" t="n"/>
      <c r="AN629" s="6" t="n"/>
      <c r="AO629" s="3">
        <f>IF(tblOrdenes[[#This Row],[link_checklist]]="","",HYPERLINK(p_ruta_base_checklists&amp;tblOrdenes[[#This Row],[link_checklist]],"abrir"))</f>
        <v/>
      </c>
      <c r="AP629" s="6" t="n"/>
      <c r="AQ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3">
        <f>IF(tblOrdenes[[#This Row],[tipo_ot]]="","",_xlfn.XLOOKUP(tblOrdenes[[#This Row],[tipo_ot]],tblTiposOT[codigo],tblTiposOT[clasificacion],"sin_clasificar"))</f>
        <v/>
      </c>
      <c r="U630" s="3">
        <f>IF(tblOrdenes[[#This Row],[centro_costo]]="","",_xlfn.XLOOKUP(tblOrdenes[[#This Row],[centro_costo]],tblCECO[codigo],tblCECO[linea],"(sin catálogo)"))</f>
        <v/>
      </c>
      <c r="V630" s="3">
        <f>IF(tblOrdenes[[#This Row],[centro_costo]]="","",_xlfn.XLOOKUP(tblOrdenes[[#This Row],[centro_costo]],tblCECO[codigo],tblCECO[area],"(sin catálogo)"))</f>
        <v/>
      </c>
      <c r="W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3">
        <f>IF(tblOrdenes[[#This Row],[centro_costo]]="","",_xlfn.XLOOKUP(tblOrdenes[[#This Row],[centro_costo]],tblCECO[codigo],tblCECO[coordinador],"(sin catálogo)"))</f>
        <v/>
      </c>
      <c r="Y630" s="3">
        <f>IF(tblOrdenes[[#This Row],[puesto_trabajo]]="","",_xlfn.XLOOKUP(tblOrdenes[[#This Row],[puesto_trabajo]],tblPuestos[codigo],tblPuestos[especialidad],"(sin catálogo)"))</f>
        <v/>
      </c>
      <c r="Z630" s="3">
        <f>IF(tblOrdenes[[#This Row],[cod_actividad]]="","",_xlfn.XLOOKUP(tblOrdenes[[#This Row],[cod_actividad]],tblActividades[codigo],tblActividades[descripcion],"(sin catálogo)"))</f>
        <v/>
      </c>
      <c r="AA630" s="12">
        <f>IF(tblOrdenes[[#This Row],[fecha_inicio]]="","",TODAY()-tblOrdenes[[#This Row],[fecha_inicio]])</f>
        <v/>
      </c>
      <c r="AB6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3">
        <f>IF(tblOrdenes[[#This Row],[backlog_habiles]]="","",IF(tblOrdenes[[#This Row],[backlog_habiles]]&lt;0,"FUTURO",IF(tblOrdenes[[#This Row],[backlog_habiles]]&gt;p_dias_backlog_max,"BACKLOG","MES CORRIENTE")))</f>
        <v/>
      </c>
      <c r="AD630" s="3">
        <f>IF(tblOrdenes[[#This Row],[backlog_habiles]]="",FALSE,AND(tblOrdenes[[#This Row],[backlog_habiles]]&gt;p_dias_backlog_min,tblOrdenes[[#This Row],[backlog_habiles]]&lt;=p_dias_backlog_max))</f>
        <v/>
      </c>
      <c r="AE630" s="6" t="n"/>
      <c r="AF6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0">
        <f>IF(tblOrdenes[[#This Row],[orden]]="","",_xlfn.XLOOKUP(tblOrdenes[[#This Row],[id_operacion]],tblEjecucion[id_operacion],tblEjecucion[precio],0))</f>
        <v/>
      </c>
      <c r="AJ630" s="10">
        <f>IF(tblOrdenes[[#This Row],[orden]]="","",MAX(0,_xlfn.XLOOKUP(tblOrdenes[[#This Row],[id_operacion]],tblEjecucion[id_operacion],tblEjecucion[costo_plan_total],0)-tblOrdenes[[#This Row],[costo_servicio]]))</f>
        <v/>
      </c>
      <c r="AK630" s="10">
        <f>IF(tblOrdenes[[#This Row],[orden]]="","",tblOrdenes[[#This Row],[costo_servicio]]+tblOrdenes[[#This Row],[costo_materiales]])</f>
        <v/>
      </c>
      <c r="AL630" s="6" t="n"/>
      <c r="AM630" s="6" t="n"/>
      <c r="AN630" s="6" t="n"/>
      <c r="AO630" s="3">
        <f>IF(tblOrdenes[[#This Row],[link_checklist]]="","",HYPERLINK(p_ruta_base_checklists&amp;tblOrdenes[[#This Row],[link_checklist]],"abrir"))</f>
        <v/>
      </c>
      <c r="AP630" s="6" t="n"/>
      <c r="AQ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3">
        <f>IF(tblOrdenes[[#This Row],[tipo_ot]]="","",_xlfn.XLOOKUP(tblOrdenes[[#This Row],[tipo_ot]],tblTiposOT[codigo],tblTiposOT[clasificacion],"sin_clasificar"))</f>
        <v/>
      </c>
      <c r="U631" s="3">
        <f>IF(tblOrdenes[[#This Row],[centro_costo]]="","",_xlfn.XLOOKUP(tblOrdenes[[#This Row],[centro_costo]],tblCECO[codigo],tblCECO[linea],"(sin catálogo)"))</f>
        <v/>
      </c>
      <c r="V631" s="3">
        <f>IF(tblOrdenes[[#This Row],[centro_costo]]="","",_xlfn.XLOOKUP(tblOrdenes[[#This Row],[centro_costo]],tblCECO[codigo],tblCECO[area],"(sin catálogo)"))</f>
        <v/>
      </c>
      <c r="W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3">
        <f>IF(tblOrdenes[[#This Row],[centro_costo]]="","",_xlfn.XLOOKUP(tblOrdenes[[#This Row],[centro_costo]],tblCECO[codigo],tblCECO[coordinador],"(sin catálogo)"))</f>
        <v/>
      </c>
      <c r="Y631" s="3">
        <f>IF(tblOrdenes[[#This Row],[puesto_trabajo]]="","",_xlfn.XLOOKUP(tblOrdenes[[#This Row],[puesto_trabajo]],tblPuestos[codigo],tblPuestos[especialidad],"(sin catálogo)"))</f>
        <v/>
      </c>
      <c r="Z631" s="3">
        <f>IF(tblOrdenes[[#This Row],[cod_actividad]]="","",_xlfn.XLOOKUP(tblOrdenes[[#This Row],[cod_actividad]],tblActividades[codigo],tblActividades[descripcion],"(sin catálogo)"))</f>
        <v/>
      </c>
      <c r="AA631" s="12">
        <f>IF(tblOrdenes[[#This Row],[fecha_inicio]]="","",TODAY()-tblOrdenes[[#This Row],[fecha_inicio]])</f>
        <v/>
      </c>
      <c r="AB6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3">
        <f>IF(tblOrdenes[[#This Row],[backlog_habiles]]="","",IF(tblOrdenes[[#This Row],[backlog_habiles]]&lt;0,"FUTURO",IF(tblOrdenes[[#This Row],[backlog_habiles]]&gt;p_dias_backlog_max,"BACKLOG","MES CORRIENTE")))</f>
        <v/>
      </c>
      <c r="AD631" s="3">
        <f>IF(tblOrdenes[[#This Row],[backlog_habiles]]="",FALSE,AND(tblOrdenes[[#This Row],[backlog_habiles]]&gt;p_dias_backlog_min,tblOrdenes[[#This Row],[backlog_habiles]]&lt;=p_dias_backlog_max))</f>
        <v/>
      </c>
      <c r="AE631" s="6" t="n"/>
      <c r="AF6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0">
        <f>IF(tblOrdenes[[#This Row],[orden]]="","",_xlfn.XLOOKUP(tblOrdenes[[#This Row],[id_operacion]],tblEjecucion[id_operacion],tblEjecucion[precio],0))</f>
        <v/>
      </c>
      <c r="AJ631" s="10">
        <f>IF(tblOrdenes[[#This Row],[orden]]="","",MAX(0,_xlfn.XLOOKUP(tblOrdenes[[#This Row],[id_operacion]],tblEjecucion[id_operacion],tblEjecucion[costo_plan_total],0)-tblOrdenes[[#This Row],[costo_servicio]]))</f>
        <v/>
      </c>
      <c r="AK631" s="10">
        <f>IF(tblOrdenes[[#This Row],[orden]]="","",tblOrdenes[[#This Row],[costo_servicio]]+tblOrdenes[[#This Row],[costo_materiales]])</f>
        <v/>
      </c>
      <c r="AL631" s="6" t="n"/>
      <c r="AM631" s="6" t="n"/>
      <c r="AN631" s="6" t="n"/>
      <c r="AO631" s="3">
        <f>IF(tblOrdenes[[#This Row],[link_checklist]]="","",HYPERLINK(p_ruta_base_checklists&amp;tblOrdenes[[#This Row],[link_checklist]],"abrir"))</f>
        <v/>
      </c>
      <c r="AP631" s="6" t="n"/>
      <c r="AQ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3">
        <f>IF(tblOrdenes[[#This Row],[tipo_ot]]="","",_xlfn.XLOOKUP(tblOrdenes[[#This Row],[tipo_ot]],tblTiposOT[codigo],tblTiposOT[clasificacion],"sin_clasificar"))</f>
        <v/>
      </c>
      <c r="U632" s="3">
        <f>IF(tblOrdenes[[#This Row],[centro_costo]]="","",_xlfn.XLOOKUP(tblOrdenes[[#This Row],[centro_costo]],tblCECO[codigo],tblCECO[linea],"(sin catálogo)"))</f>
        <v/>
      </c>
      <c r="V632" s="3">
        <f>IF(tblOrdenes[[#This Row],[centro_costo]]="","",_xlfn.XLOOKUP(tblOrdenes[[#This Row],[centro_costo]],tblCECO[codigo],tblCECO[area],"(sin catálogo)"))</f>
        <v/>
      </c>
      <c r="W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3">
        <f>IF(tblOrdenes[[#This Row],[centro_costo]]="","",_xlfn.XLOOKUP(tblOrdenes[[#This Row],[centro_costo]],tblCECO[codigo],tblCECO[coordinador],"(sin catálogo)"))</f>
        <v/>
      </c>
      <c r="Y632" s="3">
        <f>IF(tblOrdenes[[#This Row],[puesto_trabajo]]="","",_xlfn.XLOOKUP(tblOrdenes[[#This Row],[puesto_trabajo]],tblPuestos[codigo],tblPuestos[especialidad],"(sin catálogo)"))</f>
        <v/>
      </c>
      <c r="Z632" s="3">
        <f>IF(tblOrdenes[[#This Row],[cod_actividad]]="","",_xlfn.XLOOKUP(tblOrdenes[[#This Row],[cod_actividad]],tblActividades[codigo],tblActividades[descripcion],"(sin catálogo)"))</f>
        <v/>
      </c>
      <c r="AA632" s="12">
        <f>IF(tblOrdenes[[#This Row],[fecha_inicio]]="","",TODAY()-tblOrdenes[[#This Row],[fecha_inicio]])</f>
        <v/>
      </c>
      <c r="AB6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3">
        <f>IF(tblOrdenes[[#This Row],[backlog_habiles]]="","",IF(tblOrdenes[[#This Row],[backlog_habiles]]&lt;0,"FUTURO",IF(tblOrdenes[[#This Row],[backlog_habiles]]&gt;p_dias_backlog_max,"BACKLOG","MES CORRIENTE")))</f>
        <v/>
      </c>
      <c r="AD632" s="3">
        <f>IF(tblOrdenes[[#This Row],[backlog_habiles]]="",FALSE,AND(tblOrdenes[[#This Row],[backlog_habiles]]&gt;p_dias_backlog_min,tblOrdenes[[#This Row],[backlog_habiles]]&lt;=p_dias_backlog_max))</f>
        <v/>
      </c>
      <c r="AE632" s="6" t="n"/>
      <c r="AF6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0">
        <f>IF(tblOrdenes[[#This Row],[orden]]="","",_xlfn.XLOOKUP(tblOrdenes[[#This Row],[id_operacion]],tblEjecucion[id_operacion],tblEjecucion[precio],0))</f>
        <v/>
      </c>
      <c r="AJ632" s="10">
        <f>IF(tblOrdenes[[#This Row],[orden]]="","",MAX(0,_xlfn.XLOOKUP(tblOrdenes[[#This Row],[id_operacion]],tblEjecucion[id_operacion],tblEjecucion[costo_plan_total],0)-tblOrdenes[[#This Row],[costo_servicio]]))</f>
        <v/>
      </c>
      <c r="AK632" s="10">
        <f>IF(tblOrdenes[[#This Row],[orden]]="","",tblOrdenes[[#This Row],[costo_servicio]]+tblOrdenes[[#This Row],[costo_materiales]])</f>
        <v/>
      </c>
      <c r="AL632" s="6" t="n"/>
      <c r="AM632" s="6" t="n"/>
      <c r="AN632" s="6" t="n"/>
      <c r="AO632" s="3">
        <f>IF(tblOrdenes[[#This Row],[link_checklist]]="","",HYPERLINK(p_ruta_base_checklists&amp;tblOrdenes[[#This Row],[link_checklist]],"abrir"))</f>
        <v/>
      </c>
      <c r="AP632" s="6" t="n"/>
      <c r="AQ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3">
        <f>IF(tblOrdenes[[#This Row],[tipo_ot]]="","",_xlfn.XLOOKUP(tblOrdenes[[#This Row],[tipo_ot]],tblTiposOT[codigo],tblTiposOT[clasificacion],"sin_clasificar"))</f>
        <v/>
      </c>
      <c r="U633" s="3">
        <f>IF(tblOrdenes[[#This Row],[centro_costo]]="","",_xlfn.XLOOKUP(tblOrdenes[[#This Row],[centro_costo]],tblCECO[codigo],tblCECO[linea],"(sin catálogo)"))</f>
        <v/>
      </c>
      <c r="V633" s="3">
        <f>IF(tblOrdenes[[#This Row],[centro_costo]]="","",_xlfn.XLOOKUP(tblOrdenes[[#This Row],[centro_costo]],tblCECO[codigo],tblCECO[area],"(sin catálogo)"))</f>
        <v/>
      </c>
      <c r="W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3">
        <f>IF(tblOrdenes[[#This Row],[centro_costo]]="","",_xlfn.XLOOKUP(tblOrdenes[[#This Row],[centro_costo]],tblCECO[codigo],tblCECO[coordinador],"(sin catálogo)"))</f>
        <v/>
      </c>
      <c r="Y633" s="3">
        <f>IF(tblOrdenes[[#This Row],[puesto_trabajo]]="","",_xlfn.XLOOKUP(tblOrdenes[[#This Row],[puesto_trabajo]],tblPuestos[codigo],tblPuestos[especialidad],"(sin catálogo)"))</f>
        <v/>
      </c>
      <c r="Z633" s="3">
        <f>IF(tblOrdenes[[#This Row],[cod_actividad]]="","",_xlfn.XLOOKUP(tblOrdenes[[#This Row],[cod_actividad]],tblActividades[codigo],tblActividades[descripcion],"(sin catálogo)"))</f>
        <v/>
      </c>
      <c r="AA633" s="12">
        <f>IF(tblOrdenes[[#This Row],[fecha_inicio]]="","",TODAY()-tblOrdenes[[#This Row],[fecha_inicio]])</f>
        <v/>
      </c>
      <c r="AB6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3">
        <f>IF(tblOrdenes[[#This Row],[backlog_habiles]]="","",IF(tblOrdenes[[#This Row],[backlog_habiles]]&lt;0,"FUTURO",IF(tblOrdenes[[#This Row],[backlog_habiles]]&gt;p_dias_backlog_max,"BACKLOG","MES CORRIENTE")))</f>
        <v/>
      </c>
      <c r="AD633" s="3">
        <f>IF(tblOrdenes[[#This Row],[backlog_habiles]]="",FALSE,AND(tblOrdenes[[#This Row],[backlog_habiles]]&gt;p_dias_backlog_min,tblOrdenes[[#This Row],[backlog_habiles]]&lt;=p_dias_backlog_max))</f>
        <v/>
      </c>
      <c r="AE633" s="6" t="n"/>
      <c r="AF6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0">
        <f>IF(tblOrdenes[[#This Row],[orden]]="","",_xlfn.XLOOKUP(tblOrdenes[[#This Row],[id_operacion]],tblEjecucion[id_operacion],tblEjecucion[precio],0))</f>
        <v/>
      </c>
      <c r="AJ633" s="10">
        <f>IF(tblOrdenes[[#This Row],[orden]]="","",MAX(0,_xlfn.XLOOKUP(tblOrdenes[[#This Row],[id_operacion]],tblEjecucion[id_operacion],tblEjecucion[costo_plan_total],0)-tblOrdenes[[#This Row],[costo_servicio]]))</f>
        <v/>
      </c>
      <c r="AK633" s="10">
        <f>IF(tblOrdenes[[#This Row],[orden]]="","",tblOrdenes[[#This Row],[costo_servicio]]+tblOrdenes[[#This Row],[costo_materiales]])</f>
        <v/>
      </c>
      <c r="AL633" s="6" t="n"/>
      <c r="AM633" s="6" t="n"/>
      <c r="AN633" s="6" t="n"/>
      <c r="AO633" s="3">
        <f>IF(tblOrdenes[[#This Row],[link_checklist]]="","",HYPERLINK(p_ruta_base_checklists&amp;tblOrdenes[[#This Row],[link_checklist]],"abrir"))</f>
        <v/>
      </c>
      <c r="AP633" s="6" t="n"/>
      <c r="AQ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3">
        <f>IF(tblOrdenes[[#This Row],[tipo_ot]]="","",_xlfn.XLOOKUP(tblOrdenes[[#This Row],[tipo_ot]],tblTiposOT[codigo],tblTiposOT[clasificacion],"sin_clasificar"))</f>
        <v/>
      </c>
      <c r="U634" s="3">
        <f>IF(tblOrdenes[[#This Row],[centro_costo]]="","",_xlfn.XLOOKUP(tblOrdenes[[#This Row],[centro_costo]],tblCECO[codigo],tblCECO[linea],"(sin catálogo)"))</f>
        <v/>
      </c>
      <c r="V634" s="3">
        <f>IF(tblOrdenes[[#This Row],[centro_costo]]="","",_xlfn.XLOOKUP(tblOrdenes[[#This Row],[centro_costo]],tblCECO[codigo],tblCECO[area],"(sin catálogo)"))</f>
        <v/>
      </c>
      <c r="W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3">
        <f>IF(tblOrdenes[[#This Row],[centro_costo]]="","",_xlfn.XLOOKUP(tblOrdenes[[#This Row],[centro_costo]],tblCECO[codigo],tblCECO[coordinador],"(sin catálogo)"))</f>
        <v/>
      </c>
      <c r="Y634" s="3">
        <f>IF(tblOrdenes[[#This Row],[puesto_trabajo]]="","",_xlfn.XLOOKUP(tblOrdenes[[#This Row],[puesto_trabajo]],tblPuestos[codigo],tblPuestos[especialidad],"(sin catálogo)"))</f>
        <v/>
      </c>
      <c r="Z634" s="3">
        <f>IF(tblOrdenes[[#This Row],[cod_actividad]]="","",_xlfn.XLOOKUP(tblOrdenes[[#This Row],[cod_actividad]],tblActividades[codigo],tblActividades[descripcion],"(sin catálogo)"))</f>
        <v/>
      </c>
      <c r="AA634" s="12">
        <f>IF(tblOrdenes[[#This Row],[fecha_inicio]]="","",TODAY()-tblOrdenes[[#This Row],[fecha_inicio]])</f>
        <v/>
      </c>
      <c r="AB6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3">
        <f>IF(tblOrdenes[[#This Row],[backlog_habiles]]="","",IF(tblOrdenes[[#This Row],[backlog_habiles]]&lt;0,"FUTURO",IF(tblOrdenes[[#This Row],[backlog_habiles]]&gt;p_dias_backlog_max,"BACKLOG","MES CORRIENTE")))</f>
        <v/>
      </c>
      <c r="AD634" s="3">
        <f>IF(tblOrdenes[[#This Row],[backlog_habiles]]="",FALSE,AND(tblOrdenes[[#This Row],[backlog_habiles]]&gt;p_dias_backlog_min,tblOrdenes[[#This Row],[backlog_habiles]]&lt;=p_dias_backlog_max))</f>
        <v/>
      </c>
      <c r="AE634" s="6" t="n"/>
      <c r="AF6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0">
        <f>IF(tblOrdenes[[#This Row],[orden]]="","",_xlfn.XLOOKUP(tblOrdenes[[#This Row],[id_operacion]],tblEjecucion[id_operacion],tblEjecucion[precio],0))</f>
        <v/>
      </c>
      <c r="AJ634" s="10">
        <f>IF(tblOrdenes[[#This Row],[orden]]="","",MAX(0,_xlfn.XLOOKUP(tblOrdenes[[#This Row],[id_operacion]],tblEjecucion[id_operacion],tblEjecucion[costo_plan_total],0)-tblOrdenes[[#This Row],[costo_servicio]]))</f>
        <v/>
      </c>
      <c r="AK634" s="10">
        <f>IF(tblOrdenes[[#This Row],[orden]]="","",tblOrdenes[[#This Row],[costo_servicio]]+tblOrdenes[[#This Row],[costo_materiales]])</f>
        <v/>
      </c>
      <c r="AL634" s="6" t="n"/>
      <c r="AM634" s="6" t="n"/>
      <c r="AN634" s="6" t="n"/>
      <c r="AO634" s="3">
        <f>IF(tblOrdenes[[#This Row],[link_checklist]]="","",HYPERLINK(p_ruta_base_checklists&amp;tblOrdenes[[#This Row],[link_checklist]],"abrir"))</f>
        <v/>
      </c>
      <c r="AP634" s="6" t="n"/>
      <c r="AQ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3">
        <f>IF(tblOrdenes[[#This Row],[tipo_ot]]="","",_xlfn.XLOOKUP(tblOrdenes[[#This Row],[tipo_ot]],tblTiposOT[codigo],tblTiposOT[clasificacion],"sin_clasificar"))</f>
        <v/>
      </c>
      <c r="U635" s="3">
        <f>IF(tblOrdenes[[#This Row],[centro_costo]]="","",_xlfn.XLOOKUP(tblOrdenes[[#This Row],[centro_costo]],tblCECO[codigo],tblCECO[linea],"(sin catálogo)"))</f>
        <v/>
      </c>
      <c r="V635" s="3">
        <f>IF(tblOrdenes[[#This Row],[centro_costo]]="","",_xlfn.XLOOKUP(tblOrdenes[[#This Row],[centro_costo]],tblCECO[codigo],tblCECO[area],"(sin catálogo)"))</f>
        <v/>
      </c>
      <c r="W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3">
        <f>IF(tblOrdenes[[#This Row],[centro_costo]]="","",_xlfn.XLOOKUP(tblOrdenes[[#This Row],[centro_costo]],tblCECO[codigo],tblCECO[coordinador],"(sin catálogo)"))</f>
        <v/>
      </c>
      <c r="Y635" s="3">
        <f>IF(tblOrdenes[[#This Row],[puesto_trabajo]]="","",_xlfn.XLOOKUP(tblOrdenes[[#This Row],[puesto_trabajo]],tblPuestos[codigo],tblPuestos[especialidad],"(sin catálogo)"))</f>
        <v/>
      </c>
      <c r="Z635" s="3">
        <f>IF(tblOrdenes[[#This Row],[cod_actividad]]="","",_xlfn.XLOOKUP(tblOrdenes[[#This Row],[cod_actividad]],tblActividades[codigo],tblActividades[descripcion],"(sin catálogo)"))</f>
        <v/>
      </c>
      <c r="AA635" s="12">
        <f>IF(tblOrdenes[[#This Row],[fecha_inicio]]="","",TODAY()-tblOrdenes[[#This Row],[fecha_inicio]])</f>
        <v/>
      </c>
      <c r="AB6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3">
        <f>IF(tblOrdenes[[#This Row],[backlog_habiles]]="","",IF(tblOrdenes[[#This Row],[backlog_habiles]]&lt;0,"FUTURO",IF(tblOrdenes[[#This Row],[backlog_habiles]]&gt;p_dias_backlog_max,"BACKLOG","MES CORRIENTE")))</f>
        <v/>
      </c>
      <c r="AD635" s="3">
        <f>IF(tblOrdenes[[#This Row],[backlog_habiles]]="",FALSE,AND(tblOrdenes[[#This Row],[backlog_habiles]]&gt;p_dias_backlog_min,tblOrdenes[[#This Row],[backlog_habiles]]&lt;=p_dias_backlog_max))</f>
        <v/>
      </c>
      <c r="AE635" s="6" t="n"/>
      <c r="AF6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0">
        <f>IF(tblOrdenes[[#This Row],[orden]]="","",_xlfn.XLOOKUP(tblOrdenes[[#This Row],[id_operacion]],tblEjecucion[id_operacion],tblEjecucion[precio],0))</f>
        <v/>
      </c>
      <c r="AJ635" s="10">
        <f>IF(tblOrdenes[[#This Row],[orden]]="","",MAX(0,_xlfn.XLOOKUP(tblOrdenes[[#This Row],[id_operacion]],tblEjecucion[id_operacion],tblEjecucion[costo_plan_total],0)-tblOrdenes[[#This Row],[costo_servicio]]))</f>
        <v/>
      </c>
      <c r="AK635" s="10">
        <f>IF(tblOrdenes[[#This Row],[orden]]="","",tblOrdenes[[#This Row],[costo_servicio]]+tblOrdenes[[#This Row],[costo_materiales]])</f>
        <v/>
      </c>
      <c r="AL635" s="6" t="n"/>
      <c r="AM635" s="6" t="n"/>
      <c r="AN635" s="6" t="n"/>
      <c r="AO635" s="3">
        <f>IF(tblOrdenes[[#This Row],[link_checklist]]="","",HYPERLINK(p_ruta_base_checklists&amp;tblOrdenes[[#This Row],[link_checklist]],"abrir"))</f>
        <v/>
      </c>
      <c r="AP635" s="6" t="n"/>
      <c r="AQ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3">
        <f>IF(tblOrdenes[[#This Row],[tipo_ot]]="","",_xlfn.XLOOKUP(tblOrdenes[[#This Row],[tipo_ot]],tblTiposOT[codigo],tblTiposOT[clasificacion],"sin_clasificar"))</f>
        <v/>
      </c>
      <c r="U636" s="3">
        <f>IF(tblOrdenes[[#This Row],[centro_costo]]="","",_xlfn.XLOOKUP(tblOrdenes[[#This Row],[centro_costo]],tblCECO[codigo],tblCECO[linea],"(sin catálogo)"))</f>
        <v/>
      </c>
      <c r="V636" s="3">
        <f>IF(tblOrdenes[[#This Row],[centro_costo]]="","",_xlfn.XLOOKUP(tblOrdenes[[#This Row],[centro_costo]],tblCECO[codigo],tblCECO[area],"(sin catálogo)"))</f>
        <v/>
      </c>
      <c r="W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3">
        <f>IF(tblOrdenes[[#This Row],[centro_costo]]="","",_xlfn.XLOOKUP(tblOrdenes[[#This Row],[centro_costo]],tblCECO[codigo],tblCECO[coordinador],"(sin catálogo)"))</f>
        <v/>
      </c>
      <c r="Y636" s="3">
        <f>IF(tblOrdenes[[#This Row],[puesto_trabajo]]="","",_xlfn.XLOOKUP(tblOrdenes[[#This Row],[puesto_trabajo]],tblPuestos[codigo],tblPuestos[especialidad],"(sin catálogo)"))</f>
        <v/>
      </c>
      <c r="Z636" s="3">
        <f>IF(tblOrdenes[[#This Row],[cod_actividad]]="","",_xlfn.XLOOKUP(tblOrdenes[[#This Row],[cod_actividad]],tblActividades[codigo],tblActividades[descripcion],"(sin catálogo)"))</f>
        <v/>
      </c>
      <c r="AA636" s="12">
        <f>IF(tblOrdenes[[#This Row],[fecha_inicio]]="","",TODAY()-tblOrdenes[[#This Row],[fecha_inicio]])</f>
        <v/>
      </c>
      <c r="AB6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3">
        <f>IF(tblOrdenes[[#This Row],[backlog_habiles]]="","",IF(tblOrdenes[[#This Row],[backlog_habiles]]&lt;0,"FUTURO",IF(tblOrdenes[[#This Row],[backlog_habiles]]&gt;p_dias_backlog_max,"BACKLOG","MES CORRIENTE")))</f>
        <v/>
      </c>
      <c r="AD636" s="3">
        <f>IF(tblOrdenes[[#This Row],[backlog_habiles]]="",FALSE,AND(tblOrdenes[[#This Row],[backlog_habiles]]&gt;p_dias_backlog_min,tblOrdenes[[#This Row],[backlog_habiles]]&lt;=p_dias_backlog_max))</f>
        <v/>
      </c>
      <c r="AE636" s="6" t="n"/>
      <c r="AF6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0">
        <f>IF(tblOrdenes[[#This Row],[orden]]="","",_xlfn.XLOOKUP(tblOrdenes[[#This Row],[id_operacion]],tblEjecucion[id_operacion],tblEjecucion[precio],0))</f>
        <v/>
      </c>
      <c r="AJ636" s="10">
        <f>IF(tblOrdenes[[#This Row],[orden]]="","",MAX(0,_xlfn.XLOOKUP(tblOrdenes[[#This Row],[id_operacion]],tblEjecucion[id_operacion],tblEjecucion[costo_plan_total],0)-tblOrdenes[[#This Row],[costo_servicio]]))</f>
        <v/>
      </c>
      <c r="AK636" s="10">
        <f>IF(tblOrdenes[[#This Row],[orden]]="","",tblOrdenes[[#This Row],[costo_servicio]]+tblOrdenes[[#This Row],[costo_materiales]])</f>
        <v/>
      </c>
      <c r="AL636" s="6" t="n"/>
      <c r="AM636" s="6" t="n"/>
      <c r="AN636" s="6" t="n"/>
      <c r="AO636" s="3">
        <f>IF(tblOrdenes[[#This Row],[link_checklist]]="","",HYPERLINK(p_ruta_base_checklists&amp;tblOrdenes[[#This Row],[link_checklist]],"abrir"))</f>
        <v/>
      </c>
      <c r="AP636" s="6" t="n"/>
      <c r="AQ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3">
        <f>IF(tblOrdenes[[#This Row],[tipo_ot]]="","",_xlfn.XLOOKUP(tblOrdenes[[#This Row],[tipo_ot]],tblTiposOT[codigo],tblTiposOT[clasificacion],"sin_clasificar"))</f>
        <v/>
      </c>
      <c r="U637" s="3">
        <f>IF(tblOrdenes[[#This Row],[centro_costo]]="","",_xlfn.XLOOKUP(tblOrdenes[[#This Row],[centro_costo]],tblCECO[codigo],tblCECO[linea],"(sin catálogo)"))</f>
        <v/>
      </c>
      <c r="V637" s="3">
        <f>IF(tblOrdenes[[#This Row],[centro_costo]]="","",_xlfn.XLOOKUP(tblOrdenes[[#This Row],[centro_costo]],tblCECO[codigo],tblCECO[area],"(sin catálogo)"))</f>
        <v/>
      </c>
      <c r="W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3">
        <f>IF(tblOrdenes[[#This Row],[centro_costo]]="","",_xlfn.XLOOKUP(tblOrdenes[[#This Row],[centro_costo]],tblCECO[codigo],tblCECO[coordinador],"(sin catálogo)"))</f>
        <v/>
      </c>
      <c r="Y637" s="3">
        <f>IF(tblOrdenes[[#This Row],[puesto_trabajo]]="","",_xlfn.XLOOKUP(tblOrdenes[[#This Row],[puesto_trabajo]],tblPuestos[codigo],tblPuestos[especialidad],"(sin catálogo)"))</f>
        <v/>
      </c>
      <c r="Z637" s="3">
        <f>IF(tblOrdenes[[#This Row],[cod_actividad]]="","",_xlfn.XLOOKUP(tblOrdenes[[#This Row],[cod_actividad]],tblActividades[codigo],tblActividades[descripcion],"(sin catálogo)"))</f>
        <v/>
      </c>
      <c r="AA637" s="12">
        <f>IF(tblOrdenes[[#This Row],[fecha_inicio]]="","",TODAY()-tblOrdenes[[#This Row],[fecha_inicio]])</f>
        <v/>
      </c>
      <c r="AB6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3">
        <f>IF(tblOrdenes[[#This Row],[backlog_habiles]]="","",IF(tblOrdenes[[#This Row],[backlog_habiles]]&lt;0,"FUTURO",IF(tblOrdenes[[#This Row],[backlog_habiles]]&gt;p_dias_backlog_max,"BACKLOG","MES CORRIENTE")))</f>
        <v/>
      </c>
      <c r="AD637" s="3">
        <f>IF(tblOrdenes[[#This Row],[backlog_habiles]]="",FALSE,AND(tblOrdenes[[#This Row],[backlog_habiles]]&gt;p_dias_backlog_min,tblOrdenes[[#This Row],[backlog_habiles]]&lt;=p_dias_backlog_max))</f>
        <v/>
      </c>
      <c r="AE637" s="6" t="n"/>
      <c r="AF6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0">
        <f>IF(tblOrdenes[[#This Row],[orden]]="","",_xlfn.XLOOKUP(tblOrdenes[[#This Row],[id_operacion]],tblEjecucion[id_operacion],tblEjecucion[precio],0))</f>
        <v/>
      </c>
      <c r="AJ637" s="10">
        <f>IF(tblOrdenes[[#This Row],[orden]]="","",MAX(0,_xlfn.XLOOKUP(tblOrdenes[[#This Row],[id_operacion]],tblEjecucion[id_operacion],tblEjecucion[costo_plan_total],0)-tblOrdenes[[#This Row],[costo_servicio]]))</f>
        <v/>
      </c>
      <c r="AK637" s="10">
        <f>IF(tblOrdenes[[#This Row],[orden]]="","",tblOrdenes[[#This Row],[costo_servicio]]+tblOrdenes[[#This Row],[costo_materiales]])</f>
        <v/>
      </c>
      <c r="AL637" s="6" t="n"/>
      <c r="AM637" s="6" t="n"/>
      <c r="AN637" s="6" t="n"/>
      <c r="AO637" s="3">
        <f>IF(tblOrdenes[[#This Row],[link_checklist]]="","",HYPERLINK(p_ruta_base_checklists&amp;tblOrdenes[[#This Row],[link_checklist]],"abrir"))</f>
        <v/>
      </c>
      <c r="AP637" s="6" t="n"/>
      <c r="AQ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3">
        <f>IF(tblOrdenes[[#This Row],[tipo_ot]]="","",_xlfn.XLOOKUP(tblOrdenes[[#This Row],[tipo_ot]],tblTiposOT[codigo],tblTiposOT[clasificacion],"sin_clasificar"))</f>
        <v/>
      </c>
      <c r="U638" s="3">
        <f>IF(tblOrdenes[[#This Row],[centro_costo]]="","",_xlfn.XLOOKUP(tblOrdenes[[#This Row],[centro_costo]],tblCECO[codigo],tblCECO[linea],"(sin catálogo)"))</f>
        <v/>
      </c>
      <c r="V638" s="3">
        <f>IF(tblOrdenes[[#This Row],[centro_costo]]="","",_xlfn.XLOOKUP(tblOrdenes[[#This Row],[centro_costo]],tblCECO[codigo],tblCECO[area],"(sin catálogo)"))</f>
        <v/>
      </c>
      <c r="W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3">
        <f>IF(tblOrdenes[[#This Row],[centro_costo]]="","",_xlfn.XLOOKUP(tblOrdenes[[#This Row],[centro_costo]],tblCECO[codigo],tblCECO[coordinador],"(sin catálogo)"))</f>
        <v/>
      </c>
      <c r="Y638" s="3">
        <f>IF(tblOrdenes[[#This Row],[puesto_trabajo]]="","",_xlfn.XLOOKUP(tblOrdenes[[#This Row],[puesto_trabajo]],tblPuestos[codigo],tblPuestos[especialidad],"(sin catálogo)"))</f>
        <v/>
      </c>
      <c r="Z638" s="3">
        <f>IF(tblOrdenes[[#This Row],[cod_actividad]]="","",_xlfn.XLOOKUP(tblOrdenes[[#This Row],[cod_actividad]],tblActividades[codigo],tblActividades[descripcion],"(sin catálogo)"))</f>
        <v/>
      </c>
      <c r="AA638" s="12">
        <f>IF(tblOrdenes[[#This Row],[fecha_inicio]]="","",TODAY()-tblOrdenes[[#This Row],[fecha_inicio]])</f>
        <v/>
      </c>
      <c r="AB6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3">
        <f>IF(tblOrdenes[[#This Row],[backlog_habiles]]="","",IF(tblOrdenes[[#This Row],[backlog_habiles]]&lt;0,"FUTURO",IF(tblOrdenes[[#This Row],[backlog_habiles]]&gt;p_dias_backlog_max,"BACKLOG","MES CORRIENTE")))</f>
        <v/>
      </c>
      <c r="AD638" s="3">
        <f>IF(tblOrdenes[[#This Row],[backlog_habiles]]="",FALSE,AND(tblOrdenes[[#This Row],[backlog_habiles]]&gt;p_dias_backlog_min,tblOrdenes[[#This Row],[backlog_habiles]]&lt;=p_dias_backlog_max))</f>
        <v/>
      </c>
      <c r="AE638" s="6" t="n"/>
      <c r="AF6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0">
        <f>IF(tblOrdenes[[#This Row],[orden]]="","",_xlfn.XLOOKUP(tblOrdenes[[#This Row],[id_operacion]],tblEjecucion[id_operacion],tblEjecucion[precio],0))</f>
        <v/>
      </c>
      <c r="AJ638" s="10">
        <f>IF(tblOrdenes[[#This Row],[orden]]="","",MAX(0,_xlfn.XLOOKUP(tblOrdenes[[#This Row],[id_operacion]],tblEjecucion[id_operacion],tblEjecucion[costo_plan_total],0)-tblOrdenes[[#This Row],[costo_servicio]]))</f>
        <v/>
      </c>
      <c r="AK638" s="10">
        <f>IF(tblOrdenes[[#This Row],[orden]]="","",tblOrdenes[[#This Row],[costo_servicio]]+tblOrdenes[[#This Row],[costo_materiales]])</f>
        <v/>
      </c>
      <c r="AL638" s="6" t="n"/>
      <c r="AM638" s="6" t="n"/>
      <c r="AN638" s="6" t="n"/>
      <c r="AO638" s="3">
        <f>IF(tblOrdenes[[#This Row],[link_checklist]]="","",HYPERLINK(p_ruta_base_checklists&amp;tblOrdenes[[#This Row],[link_checklist]],"abrir"))</f>
        <v/>
      </c>
      <c r="AP638" s="6" t="n"/>
      <c r="AQ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3">
        <f>IF(tblOrdenes[[#This Row],[tipo_ot]]="","",_xlfn.XLOOKUP(tblOrdenes[[#This Row],[tipo_ot]],tblTiposOT[codigo],tblTiposOT[clasificacion],"sin_clasificar"))</f>
        <v/>
      </c>
      <c r="U639" s="3">
        <f>IF(tblOrdenes[[#This Row],[centro_costo]]="","",_xlfn.XLOOKUP(tblOrdenes[[#This Row],[centro_costo]],tblCECO[codigo],tblCECO[linea],"(sin catálogo)"))</f>
        <v/>
      </c>
      <c r="V639" s="3">
        <f>IF(tblOrdenes[[#This Row],[centro_costo]]="","",_xlfn.XLOOKUP(tblOrdenes[[#This Row],[centro_costo]],tblCECO[codigo],tblCECO[area],"(sin catálogo)"))</f>
        <v/>
      </c>
      <c r="W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3">
        <f>IF(tblOrdenes[[#This Row],[centro_costo]]="","",_xlfn.XLOOKUP(tblOrdenes[[#This Row],[centro_costo]],tblCECO[codigo],tblCECO[coordinador],"(sin catálogo)"))</f>
        <v/>
      </c>
      <c r="Y639" s="3">
        <f>IF(tblOrdenes[[#This Row],[puesto_trabajo]]="","",_xlfn.XLOOKUP(tblOrdenes[[#This Row],[puesto_trabajo]],tblPuestos[codigo],tblPuestos[especialidad],"(sin catálogo)"))</f>
        <v/>
      </c>
      <c r="Z639" s="3">
        <f>IF(tblOrdenes[[#This Row],[cod_actividad]]="","",_xlfn.XLOOKUP(tblOrdenes[[#This Row],[cod_actividad]],tblActividades[codigo],tblActividades[descripcion],"(sin catálogo)"))</f>
        <v/>
      </c>
      <c r="AA639" s="12">
        <f>IF(tblOrdenes[[#This Row],[fecha_inicio]]="","",TODAY()-tblOrdenes[[#This Row],[fecha_inicio]])</f>
        <v/>
      </c>
      <c r="AB6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3">
        <f>IF(tblOrdenes[[#This Row],[backlog_habiles]]="","",IF(tblOrdenes[[#This Row],[backlog_habiles]]&lt;0,"FUTURO",IF(tblOrdenes[[#This Row],[backlog_habiles]]&gt;p_dias_backlog_max,"BACKLOG","MES CORRIENTE")))</f>
        <v/>
      </c>
      <c r="AD639" s="3">
        <f>IF(tblOrdenes[[#This Row],[backlog_habiles]]="",FALSE,AND(tblOrdenes[[#This Row],[backlog_habiles]]&gt;p_dias_backlog_min,tblOrdenes[[#This Row],[backlog_habiles]]&lt;=p_dias_backlog_max))</f>
        <v/>
      </c>
      <c r="AE639" s="6" t="n"/>
      <c r="AF6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0">
        <f>IF(tblOrdenes[[#This Row],[orden]]="","",_xlfn.XLOOKUP(tblOrdenes[[#This Row],[id_operacion]],tblEjecucion[id_operacion],tblEjecucion[precio],0))</f>
        <v/>
      </c>
      <c r="AJ639" s="10">
        <f>IF(tblOrdenes[[#This Row],[orden]]="","",MAX(0,_xlfn.XLOOKUP(tblOrdenes[[#This Row],[id_operacion]],tblEjecucion[id_operacion],tblEjecucion[costo_plan_total],0)-tblOrdenes[[#This Row],[costo_servicio]]))</f>
        <v/>
      </c>
      <c r="AK639" s="10">
        <f>IF(tblOrdenes[[#This Row],[orden]]="","",tblOrdenes[[#This Row],[costo_servicio]]+tblOrdenes[[#This Row],[costo_materiales]])</f>
        <v/>
      </c>
      <c r="AL639" s="6" t="n"/>
      <c r="AM639" s="6" t="n"/>
      <c r="AN639" s="6" t="n"/>
      <c r="AO639" s="3">
        <f>IF(tblOrdenes[[#This Row],[link_checklist]]="","",HYPERLINK(p_ruta_base_checklists&amp;tblOrdenes[[#This Row],[link_checklist]],"abrir"))</f>
        <v/>
      </c>
      <c r="AP639" s="6" t="n"/>
      <c r="AQ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3">
        <f>IF(tblOrdenes[[#This Row],[tipo_ot]]="","",_xlfn.XLOOKUP(tblOrdenes[[#This Row],[tipo_ot]],tblTiposOT[codigo],tblTiposOT[clasificacion],"sin_clasificar"))</f>
        <v/>
      </c>
      <c r="U640" s="3">
        <f>IF(tblOrdenes[[#This Row],[centro_costo]]="","",_xlfn.XLOOKUP(tblOrdenes[[#This Row],[centro_costo]],tblCECO[codigo],tblCECO[linea],"(sin catálogo)"))</f>
        <v/>
      </c>
      <c r="V640" s="3">
        <f>IF(tblOrdenes[[#This Row],[centro_costo]]="","",_xlfn.XLOOKUP(tblOrdenes[[#This Row],[centro_costo]],tblCECO[codigo],tblCECO[area],"(sin catálogo)"))</f>
        <v/>
      </c>
      <c r="W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3">
        <f>IF(tblOrdenes[[#This Row],[centro_costo]]="","",_xlfn.XLOOKUP(tblOrdenes[[#This Row],[centro_costo]],tblCECO[codigo],tblCECO[coordinador],"(sin catálogo)"))</f>
        <v/>
      </c>
      <c r="Y640" s="3">
        <f>IF(tblOrdenes[[#This Row],[puesto_trabajo]]="","",_xlfn.XLOOKUP(tblOrdenes[[#This Row],[puesto_trabajo]],tblPuestos[codigo],tblPuestos[especialidad],"(sin catálogo)"))</f>
        <v/>
      </c>
      <c r="Z640" s="3">
        <f>IF(tblOrdenes[[#This Row],[cod_actividad]]="","",_xlfn.XLOOKUP(tblOrdenes[[#This Row],[cod_actividad]],tblActividades[codigo],tblActividades[descripcion],"(sin catálogo)"))</f>
        <v/>
      </c>
      <c r="AA640" s="12">
        <f>IF(tblOrdenes[[#This Row],[fecha_inicio]]="","",TODAY()-tblOrdenes[[#This Row],[fecha_inicio]])</f>
        <v/>
      </c>
      <c r="AB6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3">
        <f>IF(tblOrdenes[[#This Row],[backlog_habiles]]="","",IF(tblOrdenes[[#This Row],[backlog_habiles]]&lt;0,"FUTURO",IF(tblOrdenes[[#This Row],[backlog_habiles]]&gt;p_dias_backlog_max,"BACKLOG","MES CORRIENTE")))</f>
        <v/>
      </c>
      <c r="AD640" s="3">
        <f>IF(tblOrdenes[[#This Row],[backlog_habiles]]="",FALSE,AND(tblOrdenes[[#This Row],[backlog_habiles]]&gt;p_dias_backlog_min,tblOrdenes[[#This Row],[backlog_habiles]]&lt;=p_dias_backlog_max))</f>
        <v/>
      </c>
      <c r="AE640" s="6" t="n"/>
      <c r="AF6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0">
        <f>IF(tblOrdenes[[#This Row],[orden]]="","",_xlfn.XLOOKUP(tblOrdenes[[#This Row],[id_operacion]],tblEjecucion[id_operacion],tblEjecucion[precio],0))</f>
        <v/>
      </c>
      <c r="AJ640" s="10">
        <f>IF(tblOrdenes[[#This Row],[orden]]="","",MAX(0,_xlfn.XLOOKUP(tblOrdenes[[#This Row],[id_operacion]],tblEjecucion[id_operacion],tblEjecucion[costo_plan_total],0)-tblOrdenes[[#This Row],[costo_servicio]]))</f>
        <v/>
      </c>
      <c r="AK640" s="10">
        <f>IF(tblOrdenes[[#This Row],[orden]]="","",tblOrdenes[[#This Row],[costo_servicio]]+tblOrdenes[[#This Row],[costo_materiales]])</f>
        <v/>
      </c>
      <c r="AL640" s="6" t="n"/>
      <c r="AM640" s="6" t="n"/>
      <c r="AN640" s="6" t="n"/>
      <c r="AO640" s="3">
        <f>IF(tblOrdenes[[#This Row],[link_checklist]]="","",HYPERLINK(p_ruta_base_checklists&amp;tblOrdenes[[#This Row],[link_checklist]],"abrir"))</f>
        <v/>
      </c>
      <c r="AP640" s="6" t="n"/>
      <c r="AQ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3">
        <f>IF(tblOrdenes[[#This Row],[tipo_ot]]="","",_xlfn.XLOOKUP(tblOrdenes[[#This Row],[tipo_ot]],tblTiposOT[codigo],tblTiposOT[clasificacion],"sin_clasificar"))</f>
        <v/>
      </c>
      <c r="U641" s="3">
        <f>IF(tblOrdenes[[#This Row],[centro_costo]]="","",_xlfn.XLOOKUP(tblOrdenes[[#This Row],[centro_costo]],tblCECO[codigo],tblCECO[linea],"(sin catálogo)"))</f>
        <v/>
      </c>
      <c r="V641" s="3">
        <f>IF(tblOrdenes[[#This Row],[centro_costo]]="","",_xlfn.XLOOKUP(tblOrdenes[[#This Row],[centro_costo]],tblCECO[codigo],tblCECO[area],"(sin catálogo)"))</f>
        <v/>
      </c>
      <c r="W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3">
        <f>IF(tblOrdenes[[#This Row],[centro_costo]]="","",_xlfn.XLOOKUP(tblOrdenes[[#This Row],[centro_costo]],tblCECO[codigo],tblCECO[coordinador],"(sin catálogo)"))</f>
        <v/>
      </c>
      <c r="Y641" s="3">
        <f>IF(tblOrdenes[[#This Row],[puesto_trabajo]]="","",_xlfn.XLOOKUP(tblOrdenes[[#This Row],[puesto_trabajo]],tblPuestos[codigo],tblPuestos[especialidad],"(sin catálogo)"))</f>
        <v/>
      </c>
      <c r="Z641" s="3">
        <f>IF(tblOrdenes[[#This Row],[cod_actividad]]="","",_xlfn.XLOOKUP(tblOrdenes[[#This Row],[cod_actividad]],tblActividades[codigo],tblActividades[descripcion],"(sin catálogo)"))</f>
        <v/>
      </c>
      <c r="AA641" s="12">
        <f>IF(tblOrdenes[[#This Row],[fecha_inicio]]="","",TODAY()-tblOrdenes[[#This Row],[fecha_inicio]])</f>
        <v/>
      </c>
      <c r="AB6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3">
        <f>IF(tblOrdenes[[#This Row],[backlog_habiles]]="","",IF(tblOrdenes[[#This Row],[backlog_habiles]]&lt;0,"FUTURO",IF(tblOrdenes[[#This Row],[backlog_habiles]]&gt;p_dias_backlog_max,"BACKLOG","MES CORRIENTE")))</f>
        <v/>
      </c>
      <c r="AD641" s="3">
        <f>IF(tblOrdenes[[#This Row],[backlog_habiles]]="",FALSE,AND(tblOrdenes[[#This Row],[backlog_habiles]]&gt;p_dias_backlog_min,tblOrdenes[[#This Row],[backlog_habiles]]&lt;=p_dias_backlog_max))</f>
        <v/>
      </c>
      <c r="AE641" s="6" t="n"/>
      <c r="AF6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0">
        <f>IF(tblOrdenes[[#This Row],[orden]]="","",_xlfn.XLOOKUP(tblOrdenes[[#This Row],[id_operacion]],tblEjecucion[id_operacion],tblEjecucion[precio],0))</f>
        <v/>
      </c>
      <c r="AJ641" s="10">
        <f>IF(tblOrdenes[[#This Row],[orden]]="","",MAX(0,_xlfn.XLOOKUP(tblOrdenes[[#This Row],[id_operacion]],tblEjecucion[id_operacion],tblEjecucion[costo_plan_total],0)-tblOrdenes[[#This Row],[costo_servicio]]))</f>
        <v/>
      </c>
      <c r="AK641" s="10">
        <f>IF(tblOrdenes[[#This Row],[orden]]="","",tblOrdenes[[#This Row],[costo_servicio]]+tblOrdenes[[#This Row],[costo_materiales]])</f>
        <v/>
      </c>
      <c r="AL641" s="6" t="n"/>
      <c r="AM641" s="6" t="n"/>
      <c r="AN641" s="6" t="n"/>
      <c r="AO641" s="3">
        <f>IF(tblOrdenes[[#This Row],[link_checklist]]="","",HYPERLINK(p_ruta_base_checklists&amp;tblOrdenes[[#This Row],[link_checklist]],"abrir"))</f>
        <v/>
      </c>
      <c r="AP641" s="6" t="n"/>
      <c r="AQ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3">
        <f>IF(tblOrdenes[[#This Row],[tipo_ot]]="","",_xlfn.XLOOKUP(tblOrdenes[[#This Row],[tipo_ot]],tblTiposOT[codigo],tblTiposOT[clasificacion],"sin_clasificar"))</f>
        <v/>
      </c>
      <c r="U642" s="3">
        <f>IF(tblOrdenes[[#This Row],[centro_costo]]="","",_xlfn.XLOOKUP(tblOrdenes[[#This Row],[centro_costo]],tblCECO[codigo],tblCECO[linea],"(sin catálogo)"))</f>
        <v/>
      </c>
      <c r="V642" s="3">
        <f>IF(tblOrdenes[[#This Row],[centro_costo]]="","",_xlfn.XLOOKUP(tblOrdenes[[#This Row],[centro_costo]],tblCECO[codigo],tblCECO[area],"(sin catálogo)"))</f>
        <v/>
      </c>
      <c r="W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3">
        <f>IF(tblOrdenes[[#This Row],[centro_costo]]="","",_xlfn.XLOOKUP(tblOrdenes[[#This Row],[centro_costo]],tblCECO[codigo],tblCECO[coordinador],"(sin catálogo)"))</f>
        <v/>
      </c>
      <c r="Y642" s="3">
        <f>IF(tblOrdenes[[#This Row],[puesto_trabajo]]="","",_xlfn.XLOOKUP(tblOrdenes[[#This Row],[puesto_trabajo]],tblPuestos[codigo],tblPuestos[especialidad],"(sin catálogo)"))</f>
        <v/>
      </c>
      <c r="Z642" s="3">
        <f>IF(tblOrdenes[[#This Row],[cod_actividad]]="","",_xlfn.XLOOKUP(tblOrdenes[[#This Row],[cod_actividad]],tblActividades[codigo],tblActividades[descripcion],"(sin catálogo)"))</f>
        <v/>
      </c>
      <c r="AA642" s="12">
        <f>IF(tblOrdenes[[#This Row],[fecha_inicio]]="","",TODAY()-tblOrdenes[[#This Row],[fecha_inicio]])</f>
        <v/>
      </c>
      <c r="AB6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3">
        <f>IF(tblOrdenes[[#This Row],[backlog_habiles]]="","",IF(tblOrdenes[[#This Row],[backlog_habiles]]&lt;0,"FUTURO",IF(tblOrdenes[[#This Row],[backlog_habiles]]&gt;p_dias_backlog_max,"BACKLOG","MES CORRIENTE")))</f>
        <v/>
      </c>
      <c r="AD642" s="3">
        <f>IF(tblOrdenes[[#This Row],[backlog_habiles]]="",FALSE,AND(tblOrdenes[[#This Row],[backlog_habiles]]&gt;p_dias_backlog_min,tblOrdenes[[#This Row],[backlog_habiles]]&lt;=p_dias_backlog_max))</f>
        <v/>
      </c>
      <c r="AE642" s="6" t="n"/>
      <c r="AF6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0">
        <f>IF(tblOrdenes[[#This Row],[orden]]="","",_xlfn.XLOOKUP(tblOrdenes[[#This Row],[id_operacion]],tblEjecucion[id_operacion],tblEjecucion[precio],0))</f>
        <v/>
      </c>
      <c r="AJ642" s="10">
        <f>IF(tblOrdenes[[#This Row],[orden]]="","",MAX(0,_xlfn.XLOOKUP(tblOrdenes[[#This Row],[id_operacion]],tblEjecucion[id_operacion],tblEjecucion[costo_plan_total],0)-tblOrdenes[[#This Row],[costo_servicio]]))</f>
        <v/>
      </c>
      <c r="AK642" s="10">
        <f>IF(tblOrdenes[[#This Row],[orden]]="","",tblOrdenes[[#This Row],[costo_servicio]]+tblOrdenes[[#This Row],[costo_materiales]])</f>
        <v/>
      </c>
      <c r="AL642" s="6" t="n"/>
      <c r="AM642" s="6" t="n"/>
      <c r="AN642" s="6" t="n"/>
      <c r="AO642" s="3">
        <f>IF(tblOrdenes[[#This Row],[link_checklist]]="","",HYPERLINK(p_ruta_base_checklists&amp;tblOrdenes[[#This Row],[link_checklist]],"abrir"))</f>
        <v/>
      </c>
      <c r="AP642" s="6" t="n"/>
      <c r="AQ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3">
        <f>IF(tblOrdenes[[#This Row],[tipo_ot]]="","",_xlfn.XLOOKUP(tblOrdenes[[#This Row],[tipo_ot]],tblTiposOT[codigo],tblTiposOT[clasificacion],"sin_clasificar"))</f>
        <v/>
      </c>
      <c r="U643" s="3">
        <f>IF(tblOrdenes[[#This Row],[centro_costo]]="","",_xlfn.XLOOKUP(tblOrdenes[[#This Row],[centro_costo]],tblCECO[codigo],tblCECO[linea],"(sin catálogo)"))</f>
        <v/>
      </c>
      <c r="V643" s="3">
        <f>IF(tblOrdenes[[#This Row],[centro_costo]]="","",_xlfn.XLOOKUP(tblOrdenes[[#This Row],[centro_costo]],tblCECO[codigo],tblCECO[area],"(sin catálogo)"))</f>
        <v/>
      </c>
      <c r="W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3">
        <f>IF(tblOrdenes[[#This Row],[centro_costo]]="","",_xlfn.XLOOKUP(tblOrdenes[[#This Row],[centro_costo]],tblCECO[codigo],tblCECO[coordinador],"(sin catálogo)"))</f>
        <v/>
      </c>
      <c r="Y643" s="3">
        <f>IF(tblOrdenes[[#This Row],[puesto_trabajo]]="","",_xlfn.XLOOKUP(tblOrdenes[[#This Row],[puesto_trabajo]],tblPuestos[codigo],tblPuestos[especialidad],"(sin catálogo)"))</f>
        <v/>
      </c>
      <c r="Z643" s="3">
        <f>IF(tblOrdenes[[#This Row],[cod_actividad]]="","",_xlfn.XLOOKUP(tblOrdenes[[#This Row],[cod_actividad]],tblActividades[codigo],tblActividades[descripcion],"(sin catálogo)"))</f>
        <v/>
      </c>
      <c r="AA643" s="12">
        <f>IF(tblOrdenes[[#This Row],[fecha_inicio]]="","",TODAY()-tblOrdenes[[#This Row],[fecha_inicio]])</f>
        <v/>
      </c>
      <c r="AB6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3">
        <f>IF(tblOrdenes[[#This Row],[backlog_habiles]]="","",IF(tblOrdenes[[#This Row],[backlog_habiles]]&lt;0,"FUTURO",IF(tblOrdenes[[#This Row],[backlog_habiles]]&gt;p_dias_backlog_max,"BACKLOG","MES CORRIENTE")))</f>
        <v/>
      </c>
      <c r="AD643" s="3">
        <f>IF(tblOrdenes[[#This Row],[backlog_habiles]]="",FALSE,AND(tblOrdenes[[#This Row],[backlog_habiles]]&gt;p_dias_backlog_min,tblOrdenes[[#This Row],[backlog_habiles]]&lt;=p_dias_backlog_max))</f>
        <v/>
      </c>
      <c r="AE643" s="6" t="n"/>
      <c r="AF6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0">
        <f>IF(tblOrdenes[[#This Row],[orden]]="","",_xlfn.XLOOKUP(tblOrdenes[[#This Row],[id_operacion]],tblEjecucion[id_operacion],tblEjecucion[precio],0))</f>
        <v/>
      </c>
      <c r="AJ643" s="10">
        <f>IF(tblOrdenes[[#This Row],[orden]]="","",MAX(0,_xlfn.XLOOKUP(tblOrdenes[[#This Row],[id_operacion]],tblEjecucion[id_operacion],tblEjecucion[costo_plan_total],0)-tblOrdenes[[#This Row],[costo_servicio]]))</f>
        <v/>
      </c>
      <c r="AK643" s="10">
        <f>IF(tblOrdenes[[#This Row],[orden]]="","",tblOrdenes[[#This Row],[costo_servicio]]+tblOrdenes[[#This Row],[costo_materiales]])</f>
        <v/>
      </c>
      <c r="AL643" s="6" t="n"/>
      <c r="AM643" s="6" t="n"/>
      <c r="AN643" s="6" t="n"/>
      <c r="AO643" s="3">
        <f>IF(tblOrdenes[[#This Row],[link_checklist]]="","",HYPERLINK(p_ruta_base_checklists&amp;tblOrdenes[[#This Row],[link_checklist]],"abrir"))</f>
        <v/>
      </c>
      <c r="AP643" s="6" t="n"/>
      <c r="AQ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3">
        <f>IF(tblOrdenes[[#This Row],[tipo_ot]]="","",_xlfn.XLOOKUP(tblOrdenes[[#This Row],[tipo_ot]],tblTiposOT[codigo],tblTiposOT[clasificacion],"sin_clasificar"))</f>
        <v/>
      </c>
      <c r="U644" s="3">
        <f>IF(tblOrdenes[[#This Row],[centro_costo]]="","",_xlfn.XLOOKUP(tblOrdenes[[#This Row],[centro_costo]],tblCECO[codigo],tblCECO[linea],"(sin catálogo)"))</f>
        <v/>
      </c>
      <c r="V644" s="3">
        <f>IF(tblOrdenes[[#This Row],[centro_costo]]="","",_xlfn.XLOOKUP(tblOrdenes[[#This Row],[centro_costo]],tblCECO[codigo],tblCECO[area],"(sin catálogo)"))</f>
        <v/>
      </c>
      <c r="W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3">
        <f>IF(tblOrdenes[[#This Row],[centro_costo]]="","",_xlfn.XLOOKUP(tblOrdenes[[#This Row],[centro_costo]],tblCECO[codigo],tblCECO[coordinador],"(sin catálogo)"))</f>
        <v/>
      </c>
      <c r="Y644" s="3">
        <f>IF(tblOrdenes[[#This Row],[puesto_trabajo]]="","",_xlfn.XLOOKUP(tblOrdenes[[#This Row],[puesto_trabajo]],tblPuestos[codigo],tblPuestos[especialidad],"(sin catálogo)"))</f>
        <v/>
      </c>
      <c r="Z644" s="3">
        <f>IF(tblOrdenes[[#This Row],[cod_actividad]]="","",_xlfn.XLOOKUP(tblOrdenes[[#This Row],[cod_actividad]],tblActividades[codigo],tblActividades[descripcion],"(sin catálogo)"))</f>
        <v/>
      </c>
      <c r="AA644" s="12">
        <f>IF(tblOrdenes[[#This Row],[fecha_inicio]]="","",TODAY()-tblOrdenes[[#This Row],[fecha_inicio]])</f>
        <v/>
      </c>
      <c r="AB6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3">
        <f>IF(tblOrdenes[[#This Row],[backlog_habiles]]="","",IF(tblOrdenes[[#This Row],[backlog_habiles]]&lt;0,"FUTURO",IF(tblOrdenes[[#This Row],[backlog_habiles]]&gt;p_dias_backlog_max,"BACKLOG","MES CORRIENTE")))</f>
        <v/>
      </c>
      <c r="AD644" s="3">
        <f>IF(tblOrdenes[[#This Row],[backlog_habiles]]="",FALSE,AND(tblOrdenes[[#This Row],[backlog_habiles]]&gt;p_dias_backlog_min,tblOrdenes[[#This Row],[backlog_habiles]]&lt;=p_dias_backlog_max))</f>
        <v/>
      </c>
      <c r="AE644" s="6" t="n"/>
      <c r="AF6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0">
        <f>IF(tblOrdenes[[#This Row],[orden]]="","",_xlfn.XLOOKUP(tblOrdenes[[#This Row],[id_operacion]],tblEjecucion[id_operacion],tblEjecucion[precio],0))</f>
        <v/>
      </c>
      <c r="AJ644" s="10">
        <f>IF(tblOrdenes[[#This Row],[orden]]="","",MAX(0,_xlfn.XLOOKUP(tblOrdenes[[#This Row],[id_operacion]],tblEjecucion[id_operacion],tblEjecucion[costo_plan_total],0)-tblOrdenes[[#This Row],[costo_servicio]]))</f>
        <v/>
      </c>
      <c r="AK644" s="10">
        <f>IF(tblOrdenes[[#This Row],[orden]]="","",tblOrdenes[[#This Row],[costo_servicio]]+tblOrdenes[[#This Row],[costo_materiales]])</f>
        <v/>
      </c>
      <c r="AL644" s="6" t="n"/>
      <c r="AM644" s="6" t="n"/>
      <c r="AN644" s="6" t="n"/>
      <c r="AO644" s="3">
        <f>IF(tblOrdenes[[#This Row],[link_checklist]]="","",HYPERLINK(p_ruta_base_checklists&amp;tblOrdenes[[#This Row],[link_checklist]],"abrir"))</f>
        <v/>
      </c>
      <c r="AP644" s="6" t="n"/>
      <c r="AQ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3">
        <f>IF(tblOrdenes[[#This Row],[tipo_ot]]="","",_xlfn.XLOOKUP(tblOrdenes[[#This Row],[tipo_ot]],tblTiposOT[codigo],tblTiposOT[clasificacion],"sin_clasificar"))</f>
        <v/>
      </c>
      <c r="U645" s="3">
        <f>IF(tblOrdenes[[#This Row],[centro_costo]]="","",_xlfn.XLOOKUP(tblOrdenes[[#This Row],[centro_costo]],tblCECO[codigo],tblCECO[linea],"(sin catálogo)"))</f>
        <v/>
      </c>
      <c r="V645" s="3">
        <f>IF(tblOrdenes[[#This Row],[centro_costo]]="","",_xlfn.XLOOKUP(tblOrdenes[[#This Row],[centro_costo]],tblCECO[codigo],tblCECO[area],"(sin catálogo)"))</f>
        <v/>
      </c>
      <c r="W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3">
        <f>IF(tblOrdenes[[#This Row],[centro_costo]]="","",_xlfn.XLOOKUP(tblOrdenes[[#This Row],[centro_costo]],tblCECO[codigo],tblCECO[coordinador],"(sin catálogo)"))</f>
        <v/>
      </c>
      <c r="Y645" s="3">
        <f>IF(tblOrdenes[[#This Row],[puesto_trabajo]]="","",_xlfn.XLOOKUP(tblOrdenes[[#This Row],[puesto_trabajo]],tblPuestos[codigo],tblPuestos[especialidad],"(sin catálogo)"))</f>
        <v/>
      </c>
      <c r="Z645" s="3">
        <f>IF(tblOrdenes[[#This Row],[cod_actividad]]="","",_xlfn.XLOOKUP(tblOrdenes[[#This Row],[cod_actividad]],tblActividades[codigo],tblActividades[descripcion],"(sin catálogo)"))</f>
        <v/>
      </c>
      <c r="AA645" s="12">
        <f>IF(tblOrdenes[[#This Row],[fecha_inicio]]="","",TODAY()-tblOrdenes[[#This Row],[fecha_inicio]])</f>
        <v/>
      </c>
      <c r="AB6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3">
        <f>IF(tblOrdenes[[#This Row],[backlog_habiles]]="","",IF(tblOrdenes[[#This Row],[backlog_habiles]]&lt;0,"FUTURO",IF(tblOrdenes[[#This Row],[backlog_habiles]]&gt;p_dias_backlog_max,"BACKLOG","MES CORRIENTE")))</f>
        <v/>
      </c>
      <c r="AD645" s="3">
        <f>IF(tblOrdenes[[#This Row],[backlog_habiles]]="",FALSE,AND(tblOrdenes[[#This Row],[backlog_habiles]]&gt;p_dias_backlog_min,tblOrdenes[[#This Row],[backlog_habiles]]&lt;=p_dias_backlog_max))</f>
        <v/>
      </c>
      <c r="AE645" s="6" t="n"/>
      <c r="AF6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0">
        <f>IF(tblOrdenes[[#This Row],[orden]]="","",_xlfn.XLOOKUP(tblOrdenes[[#This Row],[id_operacion]],tblEjecucion[id_operacion],tblEjecucion[precio],0))</f>
        <v/>
      </c>
      <c r="AJ645" s="10">
        <f>IF(tblOrdenes[[#This Row],[orden]]="","",MAX(0,_xlfn.XLOOKUP(tblOrdenes[[#This Row],[id_operacion]],tblEjecucion[id_operacion],tblEjecucion[costo_plan_total],0)-tblOrdenes[[#This Row],[costo_servicio]]))</f>
        <v/>
      </c>
      <c r="AK645" s="10">
        <f>IF(tblOrdenes[[#This Row],[orden]]="","",tblOrdenes[[#This Row],[costo_servicio]]+tblOrdenes[[#This Row],[costo_materiales]])</f>
        <v/>
      </c>
      <c r="AL645" s="6" t="n"/>
      <c r="AM645" s="6" t="n"/>
      <c r="AN645" s="6" t="n"/>
      <c r="AO645" s="3">
        <f>IF(tblOrdenes[[#This Row],[link_checklist]]="","",HYPERLINK(p_ruta_base_checklists&amp;tblOrdenes[[#This Row],[link_checklist]],"abrir"))</f>
        <v/>
      </c>
      <c r="AP645" s="6" t="n"/>
      <c r="AQ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3">
        <f>IF(tblOrdenes[[#This Row],[tipo_ot]]="","",_xlfn.XLOOKUP(tblOrdenes[[#This Row],[tipo_ot]],tblTiposOT[codigo],tblTiposOT[clasificacion],"sin_clasificar"))</f>
        <v/>
      </c>
      <c r="U646" s="3">
        <f>IF(tblOrdenes[[#This Row],[centro_costo]]="","",_xlfn.XLOOKUP(tblOrdenes[[#This Row],[centro_costo]],tblCECO[codigo],tblCECO[linea],"(sin catálogo)"))</f>
        <v/>
      </c>
      <c r="V646" s="3">
        <f>IF(tblOrdenes[[#This Row],[centro_costo]]="","",_xlfn.XLOOKUP(tblOrdenes[[#This Row],[centro_costo]],tblCECO[codigo],tblCECO[area],"(sin catálogo)"))</f>
        <v/>
      </c>
      <c r="W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3">
        <f>IF(tblOrdenes[[#This Row],[centro_costo]]="","",_xlfn.XLOOKUP(tblOrdenes[[#This Row],[centro_costo]],tblCECO[codigo],tblCECO[coordinador],"(sin catálogo)"))</f>
        <v/>
      </c>
      <c r="Y646" s="3">
        <f>IF(tblOrdenes[[#This Row],[puesto_trabajo]]="","",_xlfn.XLOOKUP(tblOrdenes[[#This Row],[puesto_trabajo]],tblPuestos[codigo],tblPuestos[especialidad],"(sin catálogo)"))</f>
        <v/>
      </c>
      <c r="Z646" s="3">
        <f>IF(tblOrdenes[[#This Row],[cod_actividad]]="","",_xlfn.XLOOKUP(tblOrdenes[[#This Row],[cod_actividad]],tblActividades[codigo],tblActividades[descripcion],"(sin catálogo)"))</f>
        <v/>
      </c>
      <c r="AA646" s="12">
        <f>IF(tblOrdenes[[#This Row],[fecha_inicio]]="","",TODAY()-tblOrdenes[[#This Row],[fecha_inicio]])</f>
        <v/>
      </c>
      <c r="AB6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3">
        <f>IF(tblOrdenes[[#This Row],[backlog_habiles]]="","",IF(tblOrdenes[[#This Row],[backlog_habiles]]&lt;0,"FUTURO",IF(tblOrdenes[[#This Row],[backlog_habiles]]&gt;p_dias_backlog_max,"BACKLOG","MES CORRIENTE")))</f>
        <v/>
      </c>
      <c r="AD646" s="3">
        <f>IF(tblOrdenes[[#This Row],[backlog_habiles]]="",FALSE,AND(tblOrdenes[[#This Row],[backlog_habiles]]&gt;p_dias_backlog_min,tblOrdenes[[#This Row],[backlog_habiles]]&lt;=p_dias_backlog_max))</f>
        <v/>
      </c>
      <c r="AE646" s="6" t="n"/>
      <c r="AF6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0">
        <f>IF(tblOrdenes[[#This Row],[orden]]="","",_xlfn.XLOOKUP(tblOrdenes[[#This Row],[id_operacion]],tblEjecucion[id_operacion],tblEjecucion[precio],0))</f>
        <v/>
      </c>
      <c r="AJ646" s="10">
        <f>IF(tblOrdenes[[#This Row],[orden]]="","",MAX(0,_xlfn.XLOOKUP(tblOrdenes[[#This Row],[id_operacion]],tblEjecucion[id_operacion],tblEjecucion[costo_plan_total],0)-tblOrdenes[[#This Row],[costo_servicio]]))</f>
        <v/>
      </c>
      <c r="AK646" s="10">
        <f>IF(tblOrdenes[[#This Row],[orden]]="","",tblOrdenes[[#This Row],[costo_servicio]]+tblOrdenes[[#This Row],[costo_materiales]])</f>
        <v/>
      </c>
      <c r="AL646" s="6" t="n"/>
      <c r="AM646" s="6" t="n"/>
      <c r="AN646" s="6" t="n"/>
      <c r="AO646" s="3">
        <f>IF(tblOrdenes[[#This Row],[link_checklist]]="","",HYPERLINK(p_ruta_base_checklists&amp;tblOrdenes[[#This Row],[link_checklist]],"abrir"))</f>
        <v/>
      </c>
      <c r="AP646" s="6" t="n"/>
      <c r="AQ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3">
        <f>IF(tblOrdenes[[#This Row],[tipo_ot]]="","",_xlfn.XLOOKUP(tblOrdenes[[#This Row],[tipo_ot]],tblTiposOT[codigo],tblTiposOT[clasificacion],"sin_clasificar"))</f>
        <v/>
      </c>
      <c r="U647" s="3">
        <f>IF(tblOrdenes[[#This Row],[centro_costo]]="","",_xlfn.XLOOKUP(tblOrdenes[[#This Row],[centro_costo]],tblCECO[codigo],tblCECO[linea],"(sin catálogo)"))</f>
        <v/>
      </c>
      <c r="V647" s="3">
        <f>IF(tblOrdenes[[#This Row],[centro_costo]]="","",_xlfn.XLOOKUP(tblOrdenes[[#This Row],[centro_costo]],tblCECO[codigo],tblCECO[area],"(sin catálogo)"))</f>
        <v/>
      </c>
      <c r="W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3">
        <f>IF(tblOrdenes[[#This Row],[centro_costo]]="","",_xlfn.XLOOKUP(tblOrdenes[[#This Row],[centro_costo]],tblCECO[codigo],tblCECO[coordinador],"(sin catálogo)"))</f>
        <v/>
      </c>
      <c r="Y647" s="3">
        <f>IF(tblOrdenes[[#This Row],[puesto_trabajo]]="","",_xlfn.XLOOKUP(tblOrdenes[[#This Row],[puesto_trabajo]],tblPuestos[codigo],tblPuestos[especialidad],"(sin catálogo)"))</f>
        <v/>
      </c>
      <c r="Z647" s="3">
        <f>IF(tblOrdenes[[#This Row],[cod_actividad]]="","",_xlfn.XLOOKUP(tblOrdenes[[#This Row],[cod_actividad]],tblActividades[codigo],tblActividades[descripcion],"(sin catálogo)"))</f>
        <v/>
      </c>
      <c r="AA647" s="12">
        <f>IF(tblOrdenes[[#This Row],[fecha_inicio]]="","",TODAY()-tblOrdenes[[#This Row],[fecha_inicio]])</f>
        <v/>
      </c>
      <c r="AB6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3">
        <f>IF(tblOrdenes[[#This Row],[backlog_habiles]]="","",IF(tblOrdenes[[#This Row],[backlog_habiles]]&lt;0,"FUTURO",IF(tblOrdenes[[#This Row],[backlog_habiles]]&gt;p_dias_backlog_max,"BACKLOG","MES CORRIENTE")))</f>
        <v/>
      </c>
      <c r="AD647" s="3">
        <f>IF(tblOrdenes[[#This Row],[backlog_habiles]]="",FALSE,AND(tblOrdenes[[#This Row],[backlog_habiles]]&gt;p_dias_backlog_min,tblOrdenes[[#This Row],[backlog_habiles]]&lt;=p_dias_backlog_max))</f>
        <v/>
      </c>
      <c r="AE647" s="6" t="n"/>
      <c r="AF6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0">
        <f>IF(tblOrdenes[[#This Row],[orden]]="","",_xlfn.XLOOKUP(tblOrdenes[[#This Row],[id_operacion]],tblEjecucion[id_operacion],tblEjecucion[precio],0))</f>
        <v/>
      </c>
      <c r="AJ647" s="10">
        <f>IF(tblOrdenes[[#This Row],[orden]]="","",MAX(0,_xlfn.XLOOKUP(tblOrdenes[[#This Row],[id_operacion]],tblEjecucion[id_operacion],tblEjecucion[costo_plan_total],0)-tblOrdenes[[#This Row],[costo_servicio]]))</f>
        <v/>
      </c>
      <c r="AK647" s="10">
        <f>IF(tblOrdenes[[#This Row],[orden]]="","",tblOrdenes[[#This Row],[costo_servicio]]+tblOrdenes[[#This Row],[costo_materiales]])</f>
        <v/>
      </c>
      <c r="AL647" s="6" t="n"/>
      <c r="AM647" s="6" t="n"/>
      <c r="AN647" s="6" t="n"/>
      <c r="AO647" s="3">
        <f>IF(tblOrdenes[[#This Row],[link_checklist]]="","",HYPERLINK(p_ruta_base_checklists&amp;tblOrdenes[[#This Row],[link_checklist]],"abrir"))</f>
        <v/>
      </c>
      <c r="AP647" s="6" t="n"/>
      <c r="AQ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3">
        <f>IF(tblOrdenes[[#This Row],[tipo_ot]]="","",_xlfn.XLOOKUP(tblOrdenes[[#This Row],[tipo_ot]],tblTiposOT[codigo],tblTiposOT[clasificacion],"sin_clasificar"))</f>
        <v/>
      </c>
      <c r="U648" s="3">
        <f>IF(tblOrdenes[[#This Row],[centro_costo]]="","",_xlfn.XLOOKUP(tblOrdenes[[#This Row],[centro_costo]],tblCECO[codigo],tblCECO[linea],"(sin catálogo)"))</f>
        <v/>
      </c>
      <c r="V648" s="3">
        <f>IF(tblOrdenes[[#This Row],[centro_costo]]="","",_xlfn.XLOOKUP(tblOrdenes[[#This Row],[centro_costo]],tblCECO[codigo],tblCECO[area],"(sin catálogo)"))</f>
        <v/>
      </c>
      <c r="W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3">
        <f>IF(tblOrdenes[[#This Row],[centro_costo]]="","",_xlfn.XLOOKUP(tblOrdenes[[#This Row],[centro_costo]],tblCECO[codigo],tblCECO[coordinador],"(sin catálogo)"))</f>
        <v/>
      </c>
      <c r="Y648" s="3">
        <f>IF(tblOrdenes[[#This Row],[puesto_trabajo]]="","",_xlfn.XLOOKUP(tblOrdenes[[#This Row],[puesto_trabajo]],tblPuestos[codigo],tblPuestos[especialidad],"(sin catálogo)"))</f>
        <v/>
      </c>
      <c r="Z648" s="3">
        <f>IF(tblOrdenes[[#This Row],[cod_actividad]]="","",_xlfn.XLOOKUP(tblOrdenes[[#This Row],[cod_actividad]],tblActividades[codigo],tblActividades[descripcion],"(sin catálogo)"))</f>
        <v/>
      </c>
      <c r="AA648" s="12">
        <f>IF(tblOrdenes[[#This Row],[fecha_inicio]]="","",TODAY()-tblOrdenes[[#This Row],[fecha_inicio]])</f>
        <v/>
      </c>
      <c r="AB6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3">
        <f>IF(tblOrdenes[[#This Row],[backlog_habiles]]="","",IF(tblOrdenes[[#This Row],[backlog_habiles]]&lt;0,"FUTURO",IF(tblOrdenes[[#This Row],[backlog_habiles]]&gt;p_dias_backlog_max,"BACKLOG","MES CORRIENTE")))</f>
        <v/>
      </c>
      <c r="AD648" s="3">
        <f>IF(tblOrdenes[[#This Row],[backlog_habiles]]="",FALSE,AND(tblOrdenes[[#This Row],[backlog_habiles]]&gt;p_dias_backlog_min,tblOrdenes[[#This Row],[backlog_habiles]]&lt;=p_dias_backlog_max))</f>
        <v/>
      </c>
      <c r="AE648" s="6" t="n"/>
      <c r="AF6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0">
        <f>IF(tblOrdenes[[#This Row],[orden]]="","",_xlfn.XLOOKUP(tblOrdenes[[#This Row],[id_operacion]],tblEjecucion[id_operacion],tblEjecucion[precio],0))</f>
        <v/>
      </c>
      <c r="AJ648" s="10">
        <f>IF(tblOrdenes[[#This Row],[orden]]="","",MAX(0,_xlfn.XLOOKUP(tblOrdenes[[#This Row],[id_operacion]],tblEjecucion[id_operacion],tblEjecucion[costo_plan_total],0)-tblOrdenes[[#This Row],[costo_servicio]]))</f>
        <v/>
      </c>
      <c r="AK648" s="10">
        <f>IF(tblOrdenes[[#This Row],[orden]]="","",tblOrdenes[[#This Row],[costo_servicio]]+tblOrdenes[[#This Row],[costo_materiales]])</f>
        <v/>
      </c>
      <c r="AL648" s="6" t="n"/>
      <c r="AM648" s="6" t="n"/>
      <c r="AN648" s="6" t="n"/>
      <c r="AO648" s="3">
        <f>IF(tblOrdenes[[#This Row],[link_checklist]]="","",HYPERLINK(p_ruta_base_checklists&amp;tblOrdenes[[#This Row],[link_checklist]],"abrir"))</f>
        <v/>
      </c>
      <c r="AP648" s="6" t="n"/>
      <c r="AQ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3">
        <f>IF(tblOrdenes[[#This Row],[tipo_ot]]="","",_xlfn.XLOOKUP(tblOrdenes[[#This Row],[tipo_ot]],tblTiposOT[codigo],tblTiposOT[clasificacion],"sin_clasificar"))</f>
        <v/>
      </c>
      <c r="U649" s="3">
        <f>IF(tblOrdenes[[#This Row],[centro_costo]]="","",_xlfn.XLOOKUP(tblOrdenes[[#This Row],[centro_costo]],tblCECO[codigo],tblCECO[linea],"(sin catálogo)"))</f>
        <v/>
      </c>
      <c r="V649" s="3">
        <f>IF(tblOrdenes[[#This Row],[centro_costo]]="","",_xlfn.XLOOKUP(tblOrdenes[[#This Row],[centro_costo]],tblCECO[codigo],tblCECO[area],"(sin catálogo)"))</f>
        <v/>
      </c>
      <c r="W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3">
        <f>IF(tblOrdenes[[#This Row],[centro_costo]]="","",_xlfn.XLOOKUP(tblOrdenes[[#This Row],[centro_costo]],tblCECO[codigo],tblCECO[coordinador],"(sin catálogo)"))</f>
        <v/>
      </c>
      <c r="Y649" s="3">
        <f>IF(tblOrdenes[[#This Row],[puesto_trabajo]]="","",_xlfn.XLOOKUP(tblOrdenes[[#This Row],[puesto_trabajo]],tblPuestos[codigo],tblPuestos[especialidad],"(sin catálogo)"))</f>
        <v/>
      </c>
      <c r="Z649" s="3">
        <f>IF(tblOrdenes[[#This Row],[cod_actividad]]="","",_xlfn.XLOOKUP(tblOrdenes[[#This Row],[cod_actividad]],tblActividades[codigo],tblActividades[descripcion],"(sin catálogo)"))</f>
        <v/>
      </c>
      <c r="AA649" s="12">
        <f>IF(tblOrdenes[[#This Row],[fecha_inicio]]="","",TODAY()-tblOrdenes[[#This Row],[fecha_inicio]])</f>
        <v/>
      </c>
      <c r="AB6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3">
        <f>IF(tblOrdenes[[#This Row],[backlog_habiles]]="","",IF(tblOrdenes[[#This Row],[backlog_habiles]]&lt;0,"FUTURO",IF(tblOrdenes[[#This Row],[backlog_habiles]]&gt;p_dias_backlog_max,"BACKLOG","MES CORRIENTE")))</f>
        <v/>
      </c>
      <c r="AD649" s="3">
        <f>IF(tblOrdenes[[#This Row],[backlog_habiles]]="",FALSE,AND(tblOrdenes[[#This Row],[backlog_habiles]]&gt;p_dias_backlog_min,tblOrdenes[[#This Row],[backlog_habiles]]&lt;=p_dias_backlog_max))</f>
        <v/>
      </c>
      <c r="AE649" s="6" t="n"/>
      <c r="AF6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0">
        <f>IF(tblOrdenes[[#This Row],[orden]]="","",_xlfn.XLOOKUP(tblOrdenes[[#This Row],[id_operacion]],tblEjecucion[id_operacion],tblEjecucion[precio],0))</f>
        <v/>
      </c>
      <c r="AJ649" s="10">
        <f>IF(tblOrdenes[[#This Row],[orden]]="","",MAX(0,_xlfn.XLOOKUP(tblOrdenes[[#This Row],[id_operacion]],tblEjecucion[id_operacion],tblEjecucion[costo_plan_total],0)-tblOrdenes[[#This Row],[costo_servicio]]))</f>
        <v/>
      </c>
      <c r="AK649" s="10">
        <f>IF(tblOrdenes[[#This Row],[orden]]="","",tblOrdenes[[#This Row],[costo_servicio]]+tblOrdenes[[#This Row],[costo_materiales]])</f>
        <v/>
      </c>
      <c r="AL649" s="6" t="n"/>
      <c r="AM649" s="6" t="n"/>
      <c r="AN649" s="6" t="n"/>
      <c r="AO649" s="3">
        <f>IF(tblOrdenes[[#This Row],[link_checklist]]="","",HYPERLINK(p_ruta_base_checklists&amp;tblOrdenes[[#This Row],[link_checklist]],"abrir"))</f>
        <v/>
      </c>
      <c r="AP649" s="6" t="n"/>
      <c r="AQ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3">
        <f>IF(tblOrdenes[[#This Row],[tipo_ot]]="","",_xlfn.XLOOKUP(tblOrdenes[[#This Row],[tipo_ot]],tblTiposOT[codigo],tblTiposOT[clasificacion],"sin_clasificar"))</f>
        <v/>
      </c>
      <c r="U650" s="3">
        <f>IF(tblOrdenes[[#This Row],[centro_costo]]="","",_xlfn.XLOOKUP(tblOrdenes[[#This Row],[centro_costo]],tblCECO[codigo],tblCECO[linea],"(sin catálogo)"))</f>
        <v/>
      </c>
      <c r="V650" s="3">
        <f>IF(tblOrdenes[[#This Row],[centro_costo]]="","",_xlfn.XLOOKUP(tblOrdenes[[#This Row],[centro_costo]],tblCECO[codigo],tblCECO[area],"(sin catálogo)"))</f>
        <v/>
      </c>
      <c r="W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3">
        <f>IF(tblOrdenes[[#This Row],[centro_costo]]="","",_xlfn.XLOOKUP(tblOrdenes[[#This Row],[centro_costo]],tblCECO[codigo],tblCECO[coordinador],"(sin catálogo)"))</f>
        <v/>
      </c>
      <c r="Y650" s="3">
        <f>IF(tblOrdenes[[#This Row],[puesto_trabajo]]="","",_xlfn.XLOOKUP(tblOrdenes[[#This Row],[puesto_trabajo]],tblPuestos[codigo],tblPuestos[especialidad],"(sin catálogo)"))</f>
        <v/>
      </c>
      <c r="Z650" s="3">
        <f>IF(tblOrdenes[[#This Row],[cod_actividad]]="","",_xlfn.XLOOKUP(tblOrdenes[[#This Row],[cod_actividad]],tblActividades[codigo],tblActividades[descripcion],"(sin catálogo)"))</f>
        <v/>
      </c>
      <c r="AA650" s="12">
        <f>IF(tblOrdenes[[#This Row],[fecha_inicio]]="","",TODAY()-tblOrdenes[[#This Row],[fecha_inicio]])</f>
        <v/>
      </c>
      <c r="AB6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3">
        <f>IF(tblOrdenes[[#This Row],[backlog_habiles]]="","",IF(tblOrdenes[[#This Row],[backlog_habiles]]&lt;0,"FUTURO",IF(tblOrdenes[[#This Row],[backlog_habiles]]&gt;p_dias_backlog_max,"BACKLOG","MES CORRIENTE")))</f>
        <v/>
      </c>
      <c r="AD650" s="3">
        <f>IF(tblOrdenes[[#This Row],[backlog_habiles]]="",FALSE,AND(tblOrdenes[[#This Row],[backlog_habiles]]&gt;p_dias_backlog_min,tblOrdenes[[#This Row],[backlog_habiles]]&lt;=p_dias_backlog_max))</f>
        <v/>
      </c>
      <c r="AE650" s="6" t="n"/>
      <c r="AF6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0">
        <f>IF(tblOrdenes[[#This Row],[orden]]="","",_xlfn.XLOOKUP(tblOrdenes[[#This Row],[id_operacion]],tblEjecucion[id_operacion],tblEjecucion[precio],0))</f>
        <v/>
      </c>
      <c r="AJ650" s="10">
        <f>IF(tblOrdenes[[#This Row],[orden]]="","",MAX(0,_xlfn.XLOOKUP(tblOrdenes[[#This Row],[id_operacion]],tblEjecucion[id_operacion],tblEjecucion[costo_plan_total],0)-tblOrdenes[[#This Row],[costo_servicio]]))</f>
        <v/>
      </c>
      <c r="AK650" s="10">
        <f>IF(tblOrdenes[[#This Row],[orden]]="","",tblOrdenes[[#This Row],[costo_servicio]]+tblOrdenes[[#This Row],[costo_materiales]])</f>
        <v/>
      </c>
      <c r="AL650" s="6" t="n"/>
      <c r="AM650" s="6" t="n"/>
      <c r="AN650" s="6" t="n"/>
      <c r="AO650" s="3">
        <f>IF(tblOrdenes[[#This Row],[link_checklist]]="","",HYPERLINK(p_ruta_base_checklists&amp;tblOrdenes[[#This Row],[link_checklist]],"abrir"))</f>
        <v/>
      </c>
      <c r="AP650" s="6" t="n"/>
      <c r="AQ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3">
        <f>IF(tblOrdenes[[#This Row],[tipo_ot]]="","",_xlfn.XLOOKUP(tblOrdenes[[#This Row],[tipo_ot]],tblTiposOT[codigo],tblTiposOT[clasificacion],"sin_clasificar"))</f>
        <v/>
      </c>
      <c r="U651" s="3">
        <f>IF(tblOrdenes[[#This Row],[centro_costo]]="","",_xlfn.XLOOKUP(tblOrdenes[[#This Row],[centro_costo]],tblCECO[codigo],tblCECO[linea],"(sin catálogo)"))</f>
        <v/>
      </c>
      <c r="V651" s="3">
        <f>IF(tblOrdenes[[#This Row],[centro_costo]]="","",_xlfn.XLOOKUP(tblOrdenes[[#This Row],[centro_costo]],tblCECO[codigo],tblCECO[area],"(sin catálogo)"))</f>
        <v/>
      </c>
      <c r="W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3">
        <f>IF(tblOrdenes[[#This Row],[centro_costo]]="","",_xlfn.XLOOKUP(tblOrdenes[[#This Row],[centro_costo]],tblCECO[codigo],tblCECO[coordinador],"(sin catálogo)"))</f>
        <v/>
      </c>
      <c r="Y651" s="3">
        <f>IF(tblOrdenes[[#This Row],[puesto_trabajo]]="","",_xlfn.XLOOKUP(tblOrdenes[[#This Row],[puesto_trabajo]],tblPuestos[codigo],tblPuestos[especialidad],"(sin catálogo)"))</f>
        <v/>
      </c>
      <c r="Z651" s="3">
        <f>IF(tblOrdenes[[#This Row],[cod_actividad]]="","",_xlfn.XLOOKUP(tblOrdenes[[#This Row],[cod_actividad]],tblActividades[codigo],tblActividades[descripcion],"(sin catálogo)"))</f>
        <v/>
      </c>
      <c r="AA651" s="12">
        <f>IF(tblOrdenes[[#This Row],[fecha_inicio]]="","",TODAY()-tblOrdenes[[#This Row],[fecha_inicio]])</f>
        <v/>
      </c>
      <c r="AB6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3">
        <f>IF(tblOrdenes[[#This Row],[backlog_habiles]]="","",IF(tblOrdenes[[#This Row],[backlog_habiles]]&lt;0,"FUTURO",IF(tblOrdenes[[#This Row],[backlog_habiles]]&gt;p_dias_backlog_max,"BACKLOG","MES CORRIENTE")))</f>
        <v/>
      </c>
      <c r="AD651" s="3">
        <f>IF(tblOrdenes[[#This Row],[backlog_habiles]]="",FALSE,AND(tblOrdenes[[#This Row],[backlog_habiles]]&gt;p_dias_backlog_min,tblOrdenes[[#This Row],[backlog_habiles]]&lt;=p_dias_backlog_max))</f>
        <v/>
      </c>
      <c r="AE651" s="6" t="n"/>
      <c r="AF6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0">
        <f>IF(tblOrdenes[[#This Row],[orden]]="","",_xlfn.XLOOKUP(tblOrdenes[[#This Row],[id_operacion]],tblEjecucion[id_operacion],tblEjecucion[precio],0))</f>
        <v/>
      </c>
      <c r="AJ651" s="10">
        <f>IF(tblOrdenes[[#This Row],[orden]]="","",MAX(0,_xlfn.XLOOKUP(tblOrdenes[[#This Row],[id_operacion]],tblEjecucion[id_operacion],tblEjecucion[costo_plan_total],0)-tblOrdenes[[#This Row],[costo_servicio]]))</f>
        <v/>
      </c>
      <c r="AK651" s="10">
        <f>IF(tblOrdenes[[#This Row],[orden]]="","",tblOrdenes[[#This Row],[costo_servicio]]+tblOrdenes[[#This Row],[costo_materiales]])</f>
        <v/>
      </c>
      <c r="AL651" s="6" t="n"/>
      <c r="AM651" s="6" t="n"/>
      <c r="AN651" s="6" t="n"/>
      <c r="AO651" s="3">
        <f>IF(tblOrdenes[[#This Row],[link_checklist]]="","",HYPERLINK(p_ruta_base_checklists&amp;tblOrdenes[[#This Row],[link_checklist]],"abrir"))</f>
        <v/>
      </c>
      <c r="AP651" s="6" t="n"/>
      <c r="AQ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3">
        <f>IF(tblOrdenes[[#This Row],[tipo_ot]]="","",_xlfn.XLOOKUP(tblOrdenes[[#This Row],[tipo_ot]],tblTiposOT[codigo],tblTiposOT[clasificacion],"sin_clasificar"))</f>
        <v/>
      </c>
      <c r="U652" s="3">
        <f>IF(tblOrdenes[[#This Row],[centro_costo]]="","",_xlfn.XLOOKUP(tblOrdenes[[#This Row],[centro_costo]],tblCECO[codigo],tblCECO[linea],"(sin catálogo)"))</f>
        <v/>
      </c>
      <c r="V652" s="3">
        <f>IF(tblOrdenes[[#This Row],[centro_costo]]="","",_xlfn.XLOOKUP(tblOrdenes[[#This Row],[centro_costo]],tblCECO[codigo],tblCECO[area],"(sin catálogo)"))</f>
        <v/>
      </c>
      <c r="W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3">
        <f>IF(tblOrdenes[[#This Row],[centro_costo]]="","",_xlfn.XLOOKUP(tblOrdenes[[#This Row],[centro_costo]],tblCECO[codigo],tblCECO[coordinador],"(sin catálogo)"))</f>
        <v/>
      </c>
      <c r="Y652" s="3">
        <f>IF(tblOrdenes[[#This Row],[puesto_trabajo]]="","",_xlfn.XLOOKUP(tblOrdenes[[#This Row],[puesto_trabajo]],tblPuestos[codigo],tblPuestos[especialidad],"(sin catálogo)"))</f>
        <v/>
      </c>
      <c r="Z652" s="3">
        <f>IF(tblOrdenes[[#This Row],[cod_actividad]]="","",_xlfn.XLOOKUP(tblOrdenes[[#This Row],[cod_actividad]],tblActividades[codigo],tblActividades[descripcion],"(sin catálogo)"))</f>
        <v/>
      </c>
      <c r="AA652" s="12">
        <f>IF(tblOrdenes[[#This Row],[fecha_inicio]]="","",TODAY()-tblOrdenes[[#This Row],[fecha_inicio]])</f>
        <v/>
      </c>
      <c r="AB6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3">
        <f>IF(tblOrdenes[[#This Row],[backlog_habiles]]="","",IF(tblOrdenes[[#This Row],[backlog_habiles]]&lt;0,"FUTURO",IF(tblOrdenes[[#This Row],[backlog_habiles]]&gt;p_dias_backlog_max,"BACKLOG","MES CORRIENTE")))</f>
        <v/>
      </c>
      <c r="AD652" s="3">
        <f>IF(tblOrdenes[[#This Row],[backlog_habiles]]="",FALSE,AND(tblOrdenes[[#This Row],[backlog_habiles]]&gt;p_dias_backlog_min,tblOrdenes[[#This Row],[backlog_habiles]]&lt;=p_dias_backlog_max))</f>
        <v/>
      </c>
      <c r="AE652" s="6" t="n"/>
      <c r="AF6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0">
        <f>IF(tblOrdenes[[#This Row],[orden]]="","",_xlfn.XLOOKUP(tblOrdenes[[#This Row],[id_operacion]],tblEjecucion[id_operacion],tblEjecucion[precio],0))</f>
        <v/>
      </c>
      <c r="AJ652" s="10">
        <f>IF(tblOrdenes[[#This Row],[orden]]="","",MAX(0,_xlfn.XLOOKUP(tblOrdenes[[#This Row],[id_operacion]],tblEjecucion[id_operacion],tblEjecucion[costo_plan_total],0)-tblOrdenes[[#This Row],[costo_servicio]]))</f>
        <v/>
      </c>
      <c r="AK652" s="10">
        <f>IF(tblOrdenes[[#This Row],[orden]]="","",tblOrdenes[[#This Row],[costo_servicio]]+tblOrdenes[[#This Row],[costo_materiales]])</f>
        <v/>
      </c>
      <c r="AL652" s="6" t="n"/>
      <c r="AM652" s="6" t="n"/>
      <c r="AN652" s="6" t="n"/>
      <c r="AO652" s="3">
        <f>IF(tblOrdenes[[#This Row],[link_checklist]]="","",HYPERLINK(p_ruta_base_checklists&amp;tblOrdenes[[#This Row],[link_checklist]],"abrir"))</f>
        <v/>
      </c>
      <c r="AP652" s="6" t="n"/>
      <c r="AQ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3">
        <f>IF(tblOrdenes[[#This Row],[tipo_ot]]="","",_xlfn.XLOOKUP(tblOrdenes[[#This Row],[tipo_ot]],tblTiposOT[codigo],tblTiposOT[clasificacion],"sin_clasificar"))</f>
        <v/>
      </c>
      <c r="U653" s="3">
        <f>IF(tblOrdenes[[#This Row],[centro_costo]]="","",_xlfn.XLOOKUP(tblOrdenes[[#This Row],[centro_costo]],tblCECO[codigo],tblCECO[linea],"(sin catálogo)"))</f>
        <v/>
      </c>
      <c r="V653" s="3">
        <f>IF(tblOrdenes[[#This Row],[centro_costo]]="","",_xlfn.XLOOKUP(tblOrdenes[[#This Row],[centro_costo]],tblCECO[codigo],tblCECO[area],"(sin catálogo)"))</f>
        <v/>
      </c>
      <c r="W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3">
        <f>IF(tblOrdenes[[#This Row],[centro_costo]]="","",_xlfn.XLOOKUP(tblOrdenes[[#This Row],[centro_costo]],tblCECO[codigo],tblCECO[coordinador],"(sin catálogo)"))</f>
        <v/>
      </c>
      <c r="Y653" s="3">
        <f>IF(tblOrdenes[[#This Row],[puesto_trabajo]]="","",_xlfn.XLOOKUP(tblOrdenes[[#This Row],[puesto_trabajo]],tblPuestos[codigo],tblPuestos[especialidad],"(sin catálogo)"))</f>
        <v/>
      </c>
      <c r="Z653" s="3">
        <f>IF(tblOrdenes[[#This Row],[cod_actividad]]="","",_xlfn.XLOOKUP(tblOrdenes[[#This Row],[cod_actividad]],tblActividades[codigo],tblActividades[descripcion],"(sin catálogo)"))</f>
        <v/>
      </c>
      <c r="AA653" s="12">
        <f>IF(tblOrdenes[[#This Row],[fecha_inicio]]="","",TODAY()-tblOrdenes[[#This Row],[fecha_inicio]])</f>
        <v/>
      </c>
      <c r="AB6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3">
        <f>IF(tblOrdenes[[#This Row],[backlog_habiles]]="","",IF(tblOrdenes[[#This Row],[backlog_habiles]]&lt;0,"FUTURO",IF(tblOrdenes[[#This Row],[backlog_habiles]]&gt;p_dias_backlog_max,"BACKLOG","MES CORRIENTE")))</f>
        <v/>
      </c>
      <c r="AD653" s="3">
        <f>IF(tblOrdenes[[#This Row],[backlog_habiles]]="",FALSE,AND(tblOrdenes[[#This Row],[backlog_habiles]]&gt;p_dias_backlog_min,tblOrdenes[[#This Row],[backlog_habiles]]&lt;=p_dias_backlog_max))</f>
        <v/>
      </c>
      <c r="AE653" s="6" t="n"/>
      <c r="AF6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0">
        <f>IF(tblOrdenes[[#This Row],[orden]]="","",_xlfn.XLOOKUP(tblOrdenes[[#This Row],[id_operacion]],tblEjecucion[id_operacion],tblEjecucion[precio],0))</f>
        <v/>
      </c>
      <c r="AJ653" s="10">
        <f>IF(tblOrdenes[[#This Row],[orden]]="","",MAX(0,_xlfn.XLOOKUP(tblOrdenes[[#This Row],[id_operacion]],tblEjecucion[id_operacion],tblEjecucion[costo_plan_total],0)-tblOrdenes[[#This Row],[costo_servicio]]))</f>
        <v/>
      </c>
      <c r="AK653" s="10">
        <f>IF(tblOrdenes[[#This Row],[orden]]="","",tblOrdenes[[#This Row],[costo_servicio]]+tblOrdenes[[#This Row],[costo_materiales]])</f>
        <v/>
      </c>
      <c r="AL653" s="6" t="n"/>
      <c r="AM653" s="6" t="n"/>
      <c r="AN653" s="6" t="n"/>
      <c r="AO653" s="3">
        <f>IF(tblOrdenes[[#This Row],[link_checklist]]="","",HYPERLINK(p_ruta_base_checklists&amp;tblOrdenes[[#This Row],[link_checklist]],"abrir"))</f>
        <v/>
      </c>
      <c r="AP653" s="6" t="n"/>
      <c r="AQ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3">
        <f>IF(tblOrdenes[[#This Row],[tipo_ot]]="","",_xlfn.XLOOKUP(tblOrdenes[[#This Row],[tipo_ot]],tblTiposOT[codigo],tblTiposOT[clasificacion],"sin_clasificar"))</f>
        <v/>
      </c>
      <c r="U654" s="3">
        <f>IF(tblOrdenes[[#This Row],[centro_costo]]="","",_xlfn.XLOOKUP(tblOrdenes[[#This Row],[centro_costo]],tblCECO[codigo],tblCECO[linea],"(sin catálogo)"))</f>
        <v/>
      </c>
      <c r="V654" s="3">
        <f>IF(tblOrdenes[[#This Row],[centro_costo]]="","",_xlfn.XLOOKUP(tblOrdenes[[#This Row],[centro_costo]],tblCECO[codigo],tblCECO[area],"(sin catálogo)"))</f>
        <v/>
      </c>
      <c r="W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3">
        <f>IF(tblOrdenes[[#This Row],[centro_costo]]="","",_xlfn.XLOOKUP(tblOrdenes[[#This Row],[centro_costo]],tblCECO[codigo],tblCECO[coordinador],"(sin catálogo)"))</f>
        <v/>
      </c>
      <c r="Y654" s="3">
        <f>IF(tblOrdenes[[#This Row],[puesto_trabajo]]="","",_xlfn.XLOOKUP(tblOrdenes[[#This Row],[puesto_trabajo]],tblPuestos[codigo],tblPuestos[especialidad],"(sin catálogo)"))</f>
        <v/>
      </c>
      <c r="Z654" s="3">
        <f>IF(tblOrdenes[[#This Row],[cod_actividad]]="","",_xlfn.XLOOKUP(tblOrdenes[[#This Row],[cod_actividad]],tblActividades[codigo],tblActividades[descripcion],"(sin catálogo)"))</f>
        <v/>
      </c>
      <c r="AA654" s="12">
        <f>IF(tblOrdenes[[#This Row],[fecha_inicio]]="","",TODAY()-tblOrdenes[[#This Row],[fecha_inicio]])</f>
        <v/>
      </c>
      <c r="AB6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3">
        <f>IF(tblOrdenes[[#This Row],[backlog_habiles]]="","",IF(tblOrdenes[[#This Row],[backlog_habiles]]&lt;0,"FUTURO",IF(tblOrdenes[[#This Row],[backlog_habiles]]&gt;p_dias_backlog_max,"BACKLOG","MES CORRIENTE")))</f>
        <v/>
      </c>
      <c r="AD654" s="3">
        <f>IF(tblOrdenes[[#This Row],[backlog_habiles]]="",FALSE,AND(tblOrdenes[[#This Row],[backlog_habiles]]&gt;p_dias_backlog_min,tblOrdenes[[#This Row],[backlog_habiles]]&lt;=p_dias_backlog_max))</f>
        <v/>
      </c>
      <c r="AE654" s="6" t="n"/>
      <c r="AF6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0">
        <f>IF(tblOrdenes[[#This Row],[orden]]="","",_xlfn.XLOOKUP(tblOrdenes[[#This Row],[id_operacion]],tblEjecucion[id_operacion],tblEjecucion[precio],0))</f>
        <v/>
      </c>
      <c r="AJ654" s="10">
        <f>IF(tblOrdenes[[#This Row],[orden]]="","",MAX(0,_xlfn.XLOOKUP(tblOrdenes[[#This Row],[id_operacion]],tblEjecucion[id_operacion],tblEjecucion[costo_plan_total],0)-tblOrdenes[[#This Row],[costo_servicio]]))</f>
        <v/>
      </c>
      <c r="AK654" s="10">
        <f>IF(tblOrdenes[[#This Row],[orden]]="","",tblOrdenes[[#This Row],[costo_servicio]]+tblOrdenes[[#This Row],[costo_materiales]])</f>
        <v/>
      </c>
      <c r="AL654" s="6" t="n"/>
      <c r="AM654" s="6" t="n"/>
      <c r="AN654" s="6" t="n"/>
      <c r="AO654" s="3">
        <f>IF(tblOrdenes[[#This Row],[link_checklist]]="","",HYPERLINK(p_ruta_base_checklists&amp;tblOrdenes[[#This Row],[link_checklist]],"abrir"))</f>
        <v/>
      </c>
      <c r="AP654" s="6" t="n"/>
      <c r="AQ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3">
        <f>IF(tblOrdenes[[#This Row],[tipo_ot]]="","",_xlfn.XLOOKUP(tblOrdenes[[#This Row],[tipo_ot]],tblTiposOT[codigo],tblTiposOT[clasificacion],"sin_clasificar"))</f>
        <v/>
      </c>
      <c r="U655" s="3">
        <f>IF(tblOrdenes[[#This Row],[centro_costo]]="","",_xlfn.XLOOKUP(tblOrdenes[[#This Row],[centro_costo]],tblCECO[codigo],tblCECO[linea],"(sin catálogo)"))</f>
        <v/>
      </c>
      <c r="V655" s="3">
        <f>IF(tblOrdenes[[#This Row],[centro_costo]]="","",_xlfn.XLOOKUP(tblOrdenes[[#This Row],[centro_costo]],tblCECO[codigo],tblCECO[area],"(sin catálogo)"))</f>
        <v/>
      </c>
      <c r="W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3">
        <f>IF(tblOrdenes[[#This Row],[centro_costo]]="","",_xlfn.XLOOKUP(tblOrdenes[[#This Row],[centro_costo]],tblCECO[codigo],tblCECO[coordinador],"(sin catálogo)"))</f>
        <v/>
      </c>
      <c r="Y655" s="3">
        <f>IF(tblOrdenes[[#This Row],[puesto_trabajo]]="","",_xlfn.XLOOKUP(tblOrdenes[[#This Row],[puesto_trabajo]],tblPuestos[codigo],tblPuestos[especialidad],"(sin catálogo)"))</f>
        <v/>
      </c>
      <c r="Z655" s="3">
        <f>IF(tblOrdenes[[#This Row],[cod_actividad]]="","",_xlfn.XLOOKUP(tblOrdenes[[#This Row],[cod_actividad]],tblActividades[codigo],tblActividades[descripcion],"(sin catálogo)"))</f>
        <v/>
      </c>
      <c r="AA655" s="12">
        <f>IF(tblOrdenes[[#This Row],[fecha_inicio]]="","",TODAY()-tblOrdenes[[#This Row],[fecha_inicio]])</f>
        <v/>
      </c>
      <c r="AB6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3">
        <f>IF(tblOrdenes[[#This Row],[backlog_habiles]]="","",IF(tblOrdenes[[#This Row],[backlog_habiles]]&lt;0,"FUTURO",IF(tblOrdenes[[#This Row],[backlog_habiles]]&gt;p_dias_backlog_max,"BACKLOG","MES CORRIENTE")))</f>
        <v/>
      </c>
      <c r="AD655" s="3">
        <f>IF(tblOrdenes[[#This Row],[backlog_habiles]]="",FALSE,AND(tblOrdenes[[#This Row],[backlog_habiles]]&gt;p_dias_backlog_min,tblOrdenes[[#This Row],[backlog_habiles]]&lt;=p_dias_backlog_max))</f>
        <v/>
      </c>
      <c r="AE655" s="6" t="n"/>
      <c r="AF6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0">
        <f>IF(tblOrdenes[[#This Row],[orden]]="","",_xlfn.XLOOKUP(tblOrdenes[[#This Row],[id_operacion]],tblEjecucion[id_operacion],tblEjecucion[precio],0))</f>
        <v/>
      </c>
      <c r="AJ655" s="10">
        <f>IF(tblOrdenes[[#This Row],[orden]]="","",MAX(0,_xlfn.XLOOKUP(tblOrdenes[[#This Row],[id_operacion]],tblEjecucion[id_operacion],tblEjecucion[costo_plan_total],0)-tblOrdenes[[#This Row],[costo_servicio]]))</f>
        <v/>
      </c>
      <c r="AK655" s="10">
        <f>IF(tblOrdenes[[#This Row],[orden]]="","",tblOrdenes[[#This Row],[costo_servicio]]+tblOrdenes[[#This Row],[costo_materiales]])</f>
        <v/>
      </c>
      <c r="AL655" s="6" t="n"/>
      <c r="AM655" s="6" t="n"/>
      <c r="AN655" s="6" t="n"/>
      <c r="AO655" s="3">
        <f>IF(tblOrdenes[[#This Row],[link_checklist]]="","",HYPERLINK(p_ruta_base_checklists&amp;tblOrdenes[[#This Row],[link_checklist]],"abrir"))</f>
        <v/>
      </c>
      <c r="AP655" s="6" t="n"/>
      <c r="AQ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3">
        <f>IF(tblOrdenes[[#This Row],[tipo_ot]]="","",_xlfn.XLOOKUP(tblOrdenes[[#This Row],[tipo_ot]],tblTiposOT[codigo],tblTiposOT[clasificacion],"sin_clasificar"))</f>
        <v/>
      </c>
      <c r="U656" s="3">
        <f>IF(tblOrdenes[[#This Row],[centro_costo]]="","",_xlfn.XLOOKUP(tblOrdenes[[#This Row],[centro_costo]],tblCECO[codigo],tblCECO[linea],"(sin catálogo)"))</f>
        <v/>
      </c>
      <c r="V656" s="3">
        <f>IF(tblOrdenes[[#This Row],[centro_costo]]="","",_xlfn.XLOOKUP(tblOrdenes[[#This Row],[centro_costo]],tblCECO[codigo],tblCECO[area],"(sin catálogo)"))</f>
        <v/>
      </c>
      <c r="W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3">
        <f>IF(tblOrdenes[[#This Row],[centro_costo]]="","",_xlfn.XLOOKUP(tblOrdenes[[#This Row],[centro_costo]],tblCECO[codigo],tblCECO[coordinador],"(sin catálogo)"))</f>
        <v/>
      </c>
      <c r="Y656" s="3">
        <f>IF(tblOrdenes[[#This Row],[puesto_trabajo]]="","",_xlfn.XLOOKUP(tblOrdenes[[#This Row],[puesto_trabajo]],tblPuestos[codigo],tblPuestos[especialidad],"(sin catálogo)"))</f>
        <v/>
      </c>
      <c r="Z656" s="3">
        <f>IF(tblOrdenes[[#This Row],[cod_actividad]]="","",_xlfn.XLOOKUP(tblOrdenes[[#This Row],[cod_actividad]],tblActividades[codigo],tblActividades[descripcion],"(sin catálogo)"))</f>
        <v/>
      </c>
      <c r="AA656" s="12">
        <f>IF(tblOrdenes[[#This Row],[fecha_inicio]]="","",TODAY()-tblOrdenes[[#This Row],[fecha_inicio]])</f>
        <v/>
      </c>
      <c r="AB6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3">
        <f>IF(tblOrdenes[[#This Row],[backlog_habiles]]="","",IF(tblOrdenes[[#This Row],[backlog_habiles]]&lt;0,"FUTURO",IF(tblOrdenes[[#This Row],[backlog_habiles]]&gt;p_dias_backlog_max,"BACKLOG","MES CORRIENTE")))</f>
        <v/>
      </c>
      <c r="AD656" s="3">
        <f>IF(tblOrdenes[[#This Row],[backlog_habiles]]="",FALSE,AND(tblOrdenes[[#This Row],[backlog_habiles]]&gt;p_dias_backlog_min,tblOrdenes[[#This Row],[backlog_habiles]]&lt;=p_dias_backlog_max))</f>
        <v/>
      </c>
      <c r="AE656" s="6" t="n"/>
      <c r="AF6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0">
        <f>IF(tblOrdenes[[#This Row],[orden]]="","",_xlfn.XLOOKUP(tblOrdenes[[#This Row],[id_operacion]],tblEjecucion[id_operacion],tblEjecucion[precio],0))</f>
        <v/>
      </c>
      <c r="AJ656" s="10">
        <f>IF(tblOrdenes[[#This Row],[orden]]="","",MAX(0,_xlfn.XLOOKUP(tblOrdenes[[#This Row],[id_operacion]],tblEjecucion[id_operacion],tblEjecucion[costo_plan_total],0)-tblOrdenes[[#This Row],[costo_servicio]]))</f>
        <v/>
      </c>
      <c r="AK656" s="10">
        <f>IF(tblOrdenes[[#This Row],[orden]]="","",tblOrdenes[[#This Row],[costo_servicio]]+tblOrdenes[[#This Row],[costo_materiales]])</f>
        <v/>
      </c>
      <c r="AL656" s="6" t="n"/>
      <c r="AM656" s="6" t="n"/>
      <c r="AN656" s="6" t="n"/>
      <c r="AO656" s="3">
        <f>IF(tblOrdenes[[#This Row],[link_checklist]]="","",HYPERLINK(p_ruta_base_checklists&amp;tblOrdenes[[#This Row],[link_checklist]],"abrir"))</f>
        <v/>
      </c>
      <c r="AP656" s="6" t="n"/>
      <c r="AQ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3">
        <f>IF(tblOrdenes[[#This Row],[tipo_ot]]="","",_xlfn.XLOOKUP(tblOrdenes[[#This Row],[tipo_ot]],tblTiposOT[codigo],tblTiposOT[clasificacion],"sin_clasificar"))</f>
        <v/>
      </c>
      <c r="U657" s="3">
        <f>IF(tblOrdenes[[#This Row],[centro_costo]]="","",_xlfn.XLOOKUP(tblOrdenes[[#This Row],[centro_costo]],tblCECO[codigo],tblCECO[linea],"(sin catálogo)"))</f>
        <v/>
      </c>
      <c r="V657" s="3">
        <f>IF(tblOrdenes[[#This Row],[centro_costo]]="","",_xlfn.XLOOKUP(tblOrdenes[[#This Row],[centro_costo]],tblCECO[codigo],tblCECO[area],"(sin catálogo)"))</f>
        <v/>
      </c>
      <c r="W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3">
        <f>IF(tblOrdenes[[#This Row],[centro_costo]]="","",_xlfn.XLOOKUP(tblOrdenes[[#This Row],[centro_costo]],tblCECO[codigo],tblCECO[coordinador],"(sin catálogo)"))</f>
        <v/>
      </c>
      <c r="Y657" s="3">
        <f>IF(tblOrdenes[[#This Row],[puesto_trabajo]]="","",_xlfn.XLOOKUP(tblOrdenes[[#This Row],[puesto_trabajo]],tblPuestos[codigo],tblPuestos[especialidad],"(sin catálogo)"))</f>
        <v/>
      </c>
      <c r="Z657" s="3">
        <f>IF(tblOrdenes[[#This Row],[cod_actividad]]="","",_xlfn.XLOOKUP(tblOrdenes[[#This Row],[cod_actividad]],tblActividades[codigo],tblActividades[descripcion],"(sin catálogo)"))</f>
        <v/>
      </c>
      <c r="AA657" s="12">
        <f>IF(tblOrdenes[[#This Row],[fecha_inicio]]="","",TODAY()-tblOrdenes[[#This Row],[fecha_inicio]])</f>
        <v/>
      </c>
      <c r="AB6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3">
        <f>IF(tblOrdenes[[#This Row],[backlog_habiles]]="","",IF(tblOrdenes[[#This Row],[backlog_habiles]]&lt;0,"FUTURO",IF(tblOrdenes[[#This Row],[backlog_habiles]]&gt;p_dias_backlog_max,"BACKLOG","MES CORRIENTE")))</f>
        <v/>
      </c>
      <c r="AD657" s="3">
        <f>IF(tblOrdenes[[#This Row],[backlog_habiles]]="",FALSE,AND(tblOrdenes[[#This Row],[backlog_habiles]]&gt;p_dias_backlog_min,tblOrdenes[[#This Row],[backlog_habiles]]&lt;=p_dias_backlog_max))</f>
        <v/>
      </c>
      <c r="AE657" s="6" t="n"/>
      <c r="AF6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0">
        <f>IF(tblOrdenes[[#This Row],[orden]]="","",_xlfn.XLOOKUP(tblOrdenes[[#This Row],[id_operacion]],tblEjecucion[id_operacion],tblEjecucion[precio],0))</f>
        <v/>
      </c>
      <c r="AJ657" s="10">
        <f>IF(tblOrdenes[[#This Row],[orden]]="","",MAX(0,_xlfn.XLOOKUP(tblOrdenes[[#This Row],[id_operacion]],tblEjecucion[id_operacion],tblEjecucion[costo_plan_total],0)-tblOrdenes[[#This Row],[costo_servicio]]))</f>
        <v/>
      </c>
      <c r="AK657" s="10">
        <f>IF(tblOrdenes[[#This Row],[orden]]="","",tblOrdenes[[#This Row],[costo_servicio]]+tblOrdenes[[#This Row],[costo_materiales]])</f>
        <v/>
      </c>
      <c r="AL657" s="6" t="n"/>
      <c r="AM657" s="6" t="n"/>
      <c r="AN657" s="6" t="n"/>
      <c r="AO657" s="3">
        <f>IF(tblOrdenes[[#This Row],[link_checklist]]="","",HYPERLINK(p_ruta_base_checklists&amp;tblOrdenes[[#This Row],[link_checklist]],"abrir"))</f>
        <v/>
      </c>
      <c r="AP657" s="6" t="n"/>
      <c r="AQ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3">
        <f>IF(tblOrdenes[[#This Row],[tipo_ot]]="","",_xlfn.XLOOKUP(tblOrdenes[[#This Row],[tipo_ot]],tblTiposOT[codigo],tblTiposOT[clasificacion],"sin_clasificar"))</f>
        <v/>
      </c>
      <c r="U658" s="3">
        <f>IF(tblOrdenes[[#This Row],[centro_costo]]="","",_xlfn.XLOOKUP(tblOrdenes[[#This Row],[centro_costo]],tblCECO[codigo],tblCECO[linea],"(sin catálogo)"))</f>
        <v/>
      </c>
      <c r="V658" s="3">
        <f>IF(tblOrdenes[[#This Row],[centro_costo]]="","",_xlfn.XLOOKUP(tblOrdenes[[#This Row],[centro_costo]],tblCECO[codigo],tblCECO[area],"(sin catálogo)"))</f>
        <v/>
      </c>
      <c r="W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3">
        <f>IF(tblOrdenes[[#This Row],[centro_costo]]="","",_xlfn.XLOOKUP(tblOrdenes[[#This Row],[centro_costo]],tblCECO[codigo],tblCECO[coordinador],"(sin catálogo)"))</f>
        <v/>
      </c>
      <c r="Y658" s="3">
        <f>IF(tblOrdenes[[#This Row],[puesto_trabajo]]="","",_xlfn.XLOOKUP(tblOrdenes[[#This Row],[puesto_trabajo]],tblPuestos[codigo],tblPuestos[especialidad],"(sin catálogo)"))</f>
        <v/>
      </c>
      <c r="Z658" s="3">
        <f>IF(tblOrdenes[[#This Row],[cod_actividad]]="","",_xlfn.XLOOKUP(tblOrdenes[[#This Row],[cod_actividad]],tblActividades[codigo],tblActividades[descripcion],"(sin catálogo)"))</f>
        <v/>
      </c>
      <c r="AA658" s="12">
        <f>IF(tblOrdenes[[#This Row],[fecha_inicio]]="","",TODAY()-tblOrdenes[[#This Row],[fecha_inicio]])</f>
        <v/>
      </c>
      <c r="AB6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3">
        <f>IF(tblOrdenes[[#This Row],[backlog_habiles]]="","",IF(tblOrdenes[[#This Row],[backlog_habiles]]&lt;0,"FUTURO",IF(tblOrdenes[[#This Row],[backlog_habiles]]&gt;p_dias_backlog_max,"BACKLOG","MES CORRIENTE")))</f>
        <v/>
      </c>
      <c r="AD658" s="3">
        <f>IF(tblOrdenes[[#This Row],[backlog_habiles]]="",FALSE,AND(tblOrdenes[[#This Row],[backlog_habiles]]&gt;p_dias_backlog_min,tblOrdenes[[#This Row],[backlog_habiles]]&lt;=p_dias_backlog_max))</f>
        <v/>
      </c>
      <c r="AE658" s="6" t="n"/>
      <c r="AF6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0">
        <f>IF(tblOrdenes[[#This Row],[orden]]="","",_xlfn.XLOOKUP(tblOrdenes[[#This Row],[id_operacion]],tblEjecucion[id_operacion],tblEjecucion[precio],0))</f>
        <v/>
      </c>
      <c r="AJ658" s="10">
        <f>IF(tblOrdenes[[#This Row],[orden]]="","",MAX(0,_xlfn.XLOOKUP(tblOrdenes[[#This Row],[id_operacion]],tblEjecucion[id_operacion],tblEjecucion[costo_plan_total],0)-tblOrdenes[[#This Row],[costo_servicio]]))</f>
        <v/>
      </c>
      <c r="AK658" s="10">
        <f>IF(tblOrdenes[[#This Row],[orden]]="","",tblOrdenes[[#This Row],[costo_servicio]]+tblOrdenes[[#This Row],[costo_materiales]])</f>
        <v/>
      </c>
      <c r="AL658" s="6" t="n"/>
      <c r="AM658" s="6" t="n"/>
      <c r="AN658" s="6" t="n"/>
      <c r="AO658" s="3">
        <f>IF(tblOrdenes[[#This Row],[link_checklist]]="","",HYPERLINK(p_ruta_base_checklists&amp;tblOrdenes[[#This Row],[link_checklist]],"abrir"))</f>
        <v/>
      </c>
      <c r="AP658" s="6" t="n"/>
      <c r="AQ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3">
        <f>IF(tblOrdenes[[#This Row],[tipo_ot]]="","",_xlfn.XLOOKUP(tblOrdenes[[#This Row],[tipo_ot]],tblTiposOT[codigo],tblTiposOT[clasificacion],"sin_clasificar"))</f>
        <v/>
      </c>
      <c r="U659" s="3">
        <f>IF(tblOrdenes[[#This Row],[centro_costo]]="","",_xlfn.XLOOKUP(tblOrdenes[[#This Row],[centro_costo]],tblCECO[codigo],tblCECO[linea],"(sin catálogo)"))</f>
        <v/>
      </c>
      <c r="V659" s="3">
        <f>IF(tblOrdenes[[#This Row],[centro_costo]]="","",_xlfn.XLOOKUP(tblOrdenes[[#This Row],[centro_costo]],tblCECO[codigo],tblCECO[area],"(sin catálogo)"))</f>
        <v/>
      </c>
      <c r="W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3">
        <f>IF(tblOrdenes[[#This Row],[centro_costo]]="","",_xlfn.XLOOKUP(tblOrdenes[[#This Row],[centro_costo]],tblCECO[codigo],tblCECO[coordinador],"(sin catálogo)"))</f>
        <v/>
      </c>
      <c r="Y659" s="3">
        <f>IF(tblOrdenes[[#This Row],[puesto_trabajo]]="","",_xlfn.XLOOKUP(tblOrdenes[[#This Row],[puesto_trabajo]],tblPuestos[codigo],tblPuestos[especialidad],"(sin catálogo)"))</f>
        <v/>
      </c>
      <c r="Z659" s="3">
        <f>IF(tblOrdenes[[#This Row],[cod_actividad]]="","",_xlfn.XLOOKUP(tblOrdenes[[#This Row],[cod_actividad]],tblActividades[codigo],tblActividades[descripcion],"(sin catálogo)"))</f>
        <v/>
      </c>
      <c r="AA659" s="12">
        <f>IF(tblOrdenes[[#This Row],[fecha_inicio]]="","",TODAY()-tblOrdenes[[#This Row],[fecha_inicio]])</f>
        <v/>
      </c>
      <c r="AB6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3">
        <f>IF(tblOrdenes[[#This Row],[backlog_habiles]]="","",IF(tblOrdenes[[#This Row],[backlog_habiles]]&lt;0,"FUTURO",IF(tblOrdenes[[#This Row],[backlog_habiles]]&gt;p_dias_backlog_max,"BACKLOG","MES CORRIENTE")))</f>
        <v/>
      </c>
      <c r="AD659" s="3">
        <f>IF(tblOrdenes[[#This Row],[backlog_habiles]]="",FALSE,AND(tblOrdenes[[#This Row],[backlog_habiles]]&gt;p_dias_backlog_min,tblOrdenes[[#This Row],[backlog_habiles]]&lt;=p_dias_backlog_max))</f>
        <v/>
      </c>
      <c r="AE659" s="6" t="n"/>
      <c r="AF6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0">
        <f>IF(tblOrdenes[[#This Row],[orden]]="","",_xlfn.XLOOKUP(tblOrdenes[[#This Row],[id_operacion]],tblEjecucion[id_operacion],tblEjecucion[precio],0))</f>
        <v/>
      </c>
      <c r="AJ659" s="10">
        <f>IF(tblOrdenes[[#This Row],[orden]]="","",MAX(0,_xlfn.XLOOKUP(tblOrdenes[[#This Row],[id_operacion]],tblEjecucion[id_operacion],tblEjecucion[costo_plan_total],0)-tblOrdenes[[#This Row],[costo_servicio]]))</f>
        <v/>
      </c>
      <c r="AK659" s="10">
        <f>IF(tblOrdenes[[#This Row],[orden]]="","",tblOrdenes[[#This Row],[costo_servicio]]+tblOrdenes[[#This Row],[costo_materiales]])</f>
        <v/>
      </c>
      <c r="AL659" s="6" t="n"/>
      <c r="AM659" s="6" t="n"/>
      <c r="AN659" s="6" t="n"/>
      <c r="AO659" s="3">
        <f>IF(tblOrdenes[[#This Row],[link_checklist]]="","",HYPERLINK(p_ruta_base_checklists&amp;tblOrdenes[[#This Row],[link_checklist]],"abrir"))</f>
        <v/>
      </c>
      <c r="AP659" s="6" t="n"/>
      <c r="AQ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3">
        <f>IF(tblOrdenes[[#This Row],[tipo_ot]]="","",_xlfn.XLOOKUP(tblOrdenes[[#This Row],[tipo_ot]],tblTiposOT[codigo],tblTiposOT[clasificacion],"sin_clasificar"))</f>
        <v/>
      </c>
      <c r="U660" s="3">
        <f>IF(tblOrdenes[[#This Row],[centro_costo]]="","",_xlfn.XLOOKUP(tblOrdenes[[#This Row],[centro_costo]],tblCECO[codigo],tblCECO[linea],"(sin catálogo)"))</f>
        <v/>
      </c>
      <c r="V660" s="3">
        <f>IF(tblOrdenes[[#This Row],[centro_costo]]="","",_xlfn.XLOOKUP(tblOrdenes[[#This Row],[centro_costo]],tblCECO[codigo],tblCECO[area],"(sin catálogo)"))</f>
        <v/>
      </c>
      <c r="W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3">
        <f>IF(tblOrdenes[[#This Row],[centro_costo]]="","",_xlfn.XLOOKUP(tblOrdenes[[#This Row],[centro_costo]],tblCECO[codigo],tblCECO[coordinador],"(sin catálogo)"))</f>
        <v/>
      </c>
      <c r="Y660" s="3">
        <f>IF(tblOrdenes[[#This Row],[puesto_trabajo]]="","",_xlfn.XLOOKUP(tblOrdenes[[#This Row],[puesto_trabajo]],tblPuestos[codigo],tblPuestos[especialidad],"(sin catálogo)"))</f>
        <v/>
      </c>
      <c r="Z660" s="3">
        <f>IF(tblOrdenes[[#This Row],[cod_actividad]]="","",_xlfn.XLOOKUP(tblOrdenes[[#This Row],[cod_actividad]],tblActividades[codigo],tblActividades[descripcion],"(sin catálogo)"))</f>
        <v/>
      </c>
      <c r="AA660" s="12">
        <f>IF(tblOrdenes[[#This Row],[fecha_inicio]]="","",TODAY()-tblOrdenes[[#This Row],[fecha_inicio]])</f>
        <v/>
      </c>
      <c r="AB6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3">
        <f>IF(tblOrdenes[[#This Row],[backlog_habiles]]="","",IF(tblOrdenes[[#This Row],[backlog_habiles]]&lt;0,"FUTURO",IF(tblOrdenes[[#This Row],[backlog_habiles]]&gt;p_dias_backlog_max,"BACKLOG","MES CORRIENTE")))</f>
        <v/>
      </c>
      <c r="AD660" s="3">
        <f>IF(tblOrdenes[[#This Row],[backlog_habiles]]="",FALSE,AND(tblOrdenes[[#This Row],[backlog_habiles]]&gt;p_dias_backlog_min,tblOrdenes[[#This Row],[backlog_habiles]]&lt;=p_dias_backlog_max))</f>
        <v/>
      </c>
      <c r="AE660" s="6" t="n"/>
      <c r="AF6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0">
        <f>IF(tblOrdenes[[#This Row],[orden]]="","",_xlfn.XLOOKUP(tblOrdenes[[#This Row],[id_operacion]],tblEjecucion[id_operacion],tblEjecucion[precio],0))</f>
        <v/>
      </c>
      <c r="AJ660" s="10">
        <f>IF(tblOrdenes[[#This Row],[orden]]="","",MAX(0,_xlfn.XLOOKUP(tblOrdenes[[#This Row],[id_operacion]],tblEjecucion[id_operacion],tblEjecucion[costo_plan_total],0)-tblOrdenes[[#This Row],[costo_servicio]]))</f>
        <v/>
      </c>
      <c r="AK660" s="10">
        <f>IF(tblOrdenes[[#This Row],[orden]]="","",tblOrdenes[[#This Row],[costo_servicio]]+tblOrdenes[[#This Row],[costo_materiales]])</f>
        <v/>
      </c>
      <c r="AL660" s="6" t="n"/>
      <c r="AM660" s="6" t="n"/>
      <c r="AN660" s="6" t="n"/>
      <c r="AO660" s="3">
        <f>IF(tblOrdenes[[#This Row],[link_checklist]]="","",HYPERLINK(p_ruta_base_checklists&amp;tblOrdenes[[#This Row],[link_checklist]],"abrir"))</f>
        <v/>
      </c>
      <c r="AP660" s="6" t="n"/>
      <c r="AQ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3">
        <f>IF(tblOrdenes[[#This Row],[tipo_ot]]="","",_xlfn.XLOOKUP(tblOrdenes[[#This Row],[tipo_ot]],tblTiposOT[codigo],tblTiposOT[clasificacion],"sin_clasificar"))</f>
        <v/>
      </c>
      <c r="U661" s="3">
        <f>IF(tblOrdenes[[#This Row],[centro_costo]]="","",_xlfn.XLOOKUP(tblOrdenes[[#This Row],[centro_costo]],tblCECO[codigo],tblCECO[linea],"(sin catálogo)"))</f>
        <v/>
      </c>
      <c r="V661" s="3">
        <f>IF(tblOrdenes[[#This Row],[centro_costo]]="","",_xlfn.XLOOKUP(tblOrdenes[[#This Row],[centro_costo]],tblCECO[codigo],tblCECO[area],"(sin catálogo)"))</f>
        <v/>
      </c>
      <c r="W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3">
        <f>IF(tblOrdenes[[#This Row],[centro_costo]]="","",_xlfn.XLOOKUP(tblOrdenes[[#This Row],[centro_costo]],tblCECO[codigo],tblCECO[coordinador],"(sin catálogo)"))</f>
        <v/>
      </c>
      <c r="Y661" s="3">
        <f>IF(tblOrdenes[[#This Row],[puesto_trabajo]]="","",_xlfn.XLOOKUP(tblOrdenes[[#This Row],[puesto_trabajo]],tblPuestos[codigo],tblPuestos[especialidad],"(sin catálogo)"))</f>
        <v/>
      </c>
      <c r="Z661" s="3">
        <f>IF(tblOrdenes[[#This Row],[cod_actividad]]="","",_xlfn.XLOOKUP(tblOrdenes[[#This Row],[cod_actividad]],tblActividades[codigo],tblActividades[descripcion],"(sin catálogo)"))</f>
        <v/>
      </c>
      <c r="AA661" s="12">
        <f>IF(tblOrdenes[[#This Row],[fecha_inicio]]="","",TODAY()-tblOrdenes[[#This Row],[fecha_inicio]])</f>
        <v/>
      </c>
      <c r="AB6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3">
        <f>IF(tblOrdenes[[#This Row],[backlog_habiles]]="","",IF(tblOrdenes[[#This Row],[backlog_habiles]]&lt;0,"FUTURO",IF(tblOrdenes[[#This Row],[backlog_habiles]]&gt;p_dias_backlog_max,"BACKLOG","MES CORRIENTE")))</f>
        <v/>
      </c>
      <c r="AD661" s="3">
        <f>IF(tblOrdenes[[#This Row],[backlog_habiles]]="",FALSE,AND(tblOrdenes[[#This Row],[backlog_habiles]]&gt;p_dias_backlog_min,tblOrdenes[[#This Row],[backlog_habiles]]&lt;=p_dias_backlog_max))</f>
        <v/>
      </c>
      <c r="AE661" s="6" t="n"/>
      <c r="AF6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0">
        <f>IF(tblOrdenes[[#This Row],[orden]]="","",_xlfn.XLOOKUP(tblOrdenes[[#This Row],[id_operacion]],tblEjecucion[id_operacion],tblEjecucion[precio],0))</f>
        <v/>
      </c>
      <c r="AJ661" s="10">
        <f>IF(tblOrdenes[[#This Row],[orden]]="","",MAX(0,_xlfn.XLOOKUP(tblOrdenes[[#This Row],[id_operacion]],tblEjecucion[id_operacion],tblEjecucion[costo_plan_total],0)-tblOrdenes[[#This Row],[costo_servicio]]))</f>
        <v/>
      </c>
      <c r="AK661" s="10">
        <f>IF(tblOrdenes[[#This Row],[orden]]="","",tblOrdenes[[#This Row],[costo_servicio]]+tblOrdenes[[#This Row],[costo_materiales]])</f>
        <v/>
      </c>
      <c r="AL661" s="6" t="n"/>
      <c r="AM661" s="6" t="n"/>
      <c r="AN661" s="6" t="n"/>
      <c r="AO661" s="3">
        <f>IF(tblOrdenes[[#This Row],[link_checklist]]="","",HYPERLINK(p_ruta_base_checklists&amp;tblOrdenes[[#This Row],[link_checklist]],"abrir"))</f>
        <v/>
      </c>
      <c r="AP661" s="6" t="n"/>
      <c r="AQ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3">
        <f>IF(tblOrdenes[[#This Row],[tipo_ot]]="","",_xlfn.XLOOKUP(tblOrdenes[[#This Row],[tipo_ot]],tblTiposOT[codigo],tblTiposOT[clasificacion],"sin_clasificar"))</f>
        <v/>
      </c>
      <c r="U662" s="3">
        <f>IF(tblOrdenes[[#This Row],[centro_costo]]="","",_xlfn.XLOOKUP(tblOrdenes[[#This Row],[centro_costo]],tblCECO[codigo],tblCECO[linea],"(sin catálogo)"))</f>
        <v/>
      </c>
      <c r="V662" s="3">
        <f>IF(tblOrdenes[[#This Row],[centro_costo]]="","",_xlfn.XLOOKUP(tblOrdenes[[#This Row],[centro_costo]],tblCECO[codigo],tblCECO[area],"(sin catálogo)"))</f>
        <v/>
      </c>
      <c r="W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3">
        <f>IF(tblOrdenes[[#This Row],[centro_costo]]="","",_xlfn.XLOOKUP(tblOrdenes[[#This Row],[centro_costo]],tblCECO[codigo],tblCECO[coordinador],"(sin catálogo)"))</f>
        <v/>
      </c>
      <c r="Y662" s="3">
        <f>IF(tblOrdenes[[#This Row],[puesto_trabajo]]="","",_xlfn.XLOOKUP(tblOrdenes[[#This Row],[puesto_trabajo]],tblPuestos[codigo],tblPuestos[especialidad],"(sin catálogo)"))</f>
        <v/>
      </c>
      <c r="Z662" s="3">
        <f>IF(tblOrdenes[[#This Row],[cod_actividad]]="","",_xlfn.XLOOKUP(tblOrdenes[[#This Row],[cod_actividad]],tblActividades[codigo],tblActividades[descripcion],"(sin catálogo)"))</f>
        <v/>
      </c>
      <c r="AA662" s="12">
        <f>IF(tblOrdenes[[#This Row],[fecha_inicio]]="","",TODAY()-tblOrdenes[[#This Row],[fecha_inicio]])</f>
        <v/>
      </c>
      <c r="AB6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3">
        <f>IF(tblOrdenes[[#This Row],[backlog_habiles]]="","",IF(tblOrdenes[[#This Row],[backlog_habiles]]&lt;0,"FUTURO",IF(tblOrdenes[[#This Row],[backlog_habiles]]&gt;p_dias_backlog_max,"BACKLOG","MES CORRIENTE")))</f>
        <v/>
      </c>
      <c r="AD662" s="3">
        <f>IF(tblOrdenes[[#This Row],[backlog_habiles]]="",FALSE,AND(tblOrdenes[[#This Row],[backlog_habiles]]&gt;p_dias_backlog_min,tblOrdenes[[#This Row],[backlog_habiles]]&lt;=p_dias_backlog_max))</f>
        <v/>
      </c>
      <c r="AE662" s="6" t="n"/>
      <c r="AF6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0">
        <f>IF(tblOrdenes[[#This Row],[orden]]="","",_xlfn.XLOOKUP(tblOrdenes[[#This Row],[id_operacion]],tblEjecucion[id_operacion],tblEjecucion[precio],0))</f>
        <v/>
      </c>
      <c r="AJ662" s="10">
        <f>IF(tblOrdenes[[#This Row],[orden]]="","",MAX(0,_xlfn.XLOOKUP(tblOrdenes[[#This Row],[id_operacion]],tblEjecucion[id_operacion],tblEjecucion[costo_plan_total],0)-tblOrdenes[[#This Row],[costo_servicio]]))</f>
        <v/>
      </c>
      <c r="AK662" s="10">
        <f>IF(tblOrdenes[[#This Row],[orden]]="","",tblOrdenes[[#This Row],[costo_servicio]]+tblOrdenes[[#This Row],[costo_materiales]])</f>
        <v/>
      </c>
      <c r="AL662" s="6" t="n"/>
      <c r="AM662" s="6" t="n"/>
      <c r="AN662" s="6" t="n"/>
      <c r="AO662" s="3">
        <f>IF(tblOrdenes[[#This Row],[link_checklist]]="","",HYPERLINK(p_ruta_base_checklists&amp;tblOrdenes[[#This Row],[link_checklist]],"abrir"))</f>
        <v/>
      </c>
      <c r="AP662" s="6" t="n"/>
      <c r="AQ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3">
        <f>IF(tblOrdenes[[#This Row],[tipo_ot]]="","",_xlfn.XLOOKUP(tblOrdenes[[#This Row],[tipo_ot]],tblTiposOT[codigo],tblTiposOT[clasificacion],"sin_clasificar"))</f>
        <v/>
      </c>
      <c r="U663" s="3">
        <f>IF(tblOrdenes[[#This Row],[centro_costo]]="","",_xlfn.XLOOKUP(tblOrdenes[[#This Row],[centro_costo]],tblCECO[codigo],tblCECO[linea],"(sin catálogo)"))</f>
        <v/>
      </c>
      <c r="V663" s="3">
        <f>IF(tblOrdenes[[#This Row],[centro_costo]]="","",_xlfn.XLOOKUP(tblOrdenes[[#This Row],[centro_costo]],tblCECO[codigo],tblCECO[area],"(sin catálogo)"))</f>
        <v/>
      </c>
      <c r="W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3">
        <f>IF(tblOrdenes[[#This Row],[centro_costo]]="","",_xlfn.XLOOKUP(tblOrdenes[[#This Row],[centro_costo]],tblCECO[codigo],tblCECO[coordinador],"(sin catálogo)"))</f>
        <v/>
      </c>
      <c r="Y663" s="3">
        <f>IF(tblOrdenes[[#This Row],[puesto_trabajo]]="","",_xlfn.XLOOKUP(tblOrdenes[[#This Row],[puesto_trabajo]],tblPuestos[codigo],tblPuestos[especialidad],"(sin catálogo)"))</f>
        <v/>
      </c>
      <c r="Z663" s="3">
        <f>IF(tblOrdenes[[#This Row],[cod_actividad]]="","",_xlfn.XLOOKUP(tblOrdenes[[#This Row],[cod_actividad]],tblActividades[codigo],tblActividades[descripcion],"(sin catálogo)"))</f>
        <v/>
      </c>
      <c r="AA663" s="12">
        <f>IF(tblOrdenes[[#This Row],[fecha_inicio]]="","",TODAY()-tblOrdenes[[#This Row],[fecha_inicio]])</f>
        <v/>
      </c>
      <c r="AB6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3">
        <f>IF(tblOrdenes[[#This Row],[backlog_habiles]]="","",IF(tblOrdenes[[#This Row],[backlog_habiles]]&lt;0,"FUTURO",IF(tblOrdenes[[#This Row],[backlog_habiles]]&gt;p_dias_backlog_max,"BACKLOG","MES CORRIENTE")))</f>
        <v/>
      </c>
      <c r="AD663" s="3">
        <f>IF(tblOrdenes[[#This Row],[backlog_habiles]]="",FALSE,AND(tblOrdenes[[#This Row],[backlog_habiles]]&gt;p_dias_backlog_min,tblOrdenes[[#This Row],[backlog_habiles]]&lt;=p_dias_backlog_max))</f>
        <v/>
      </c>
      <c r="AE663" s="6" t="n"/>
      <c r="AF6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0">
        <f>IF(tblOrdenes[[#This Row],[orden]]="","",_xlfn.XLOOKUP(tblOrdenes[[#This Row],[id_operacion]],tblEjecucion[id_operacion],tblEjecucion[precio],0))</f>
        <v/>
      </c>
      <c r="AJ663" s="10">
        <f>IF(tblOrdenes[[#This Row],[orden]]="","",MAX(0,_xlfn.XLOOKUP(tblOrdenes[[#This Row],[id_operacion]],tblEjecucion[id_operacion],tblEjecucion[costo_plan_total],0)-tblOrdenes[[#This Row],[costo_servicio]]))</f>
        <v/>
      </c>
      <c r="AK663" s="10">
        <f>IF(tblOrdenes[[#This Row],[orden]]="","",tblOrdenes[[#This Row],[costo_servicio]]+tblOrdenes[[#This Row],[costo_materiales]])</f>
        <v/>
      </c>
      <c r="AL663" s="6" t="n"/>
      <c r="AM663" s="6" t="n"/>
      <c r="AN663" s="6" t="n"/>
      <c r="AO663" s="3">
        <f>IF(tblOrdenes[[#This Row],[link_checklist]]="","",HYPERLINK(p_ruta_base_checklists&amp;tblOrdenes[[#This Row],[link_checklist]],"abrir"))</f>
        <v/>
      </c>
      <c r="AP663" s="6" t="n"/>
      <c r="AQ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3">
        <f>IF(tblOrdenes[[#This Row],[tipo_ot]]="","",_xlfn.XLOOKUP(tblOrdenes[[#This Row],[tipo_ot]],tblTiposOT[codigo],tblTiposOT[clasificacion],"sin_clasificar"))</f>
        <v/>
      </c>
      <c r="U664" s="3">
        <f>IF(tblOrdenes[[#This Row],[centro_costo]]="","",_xlfn.XLOOKUP(tblOrdenes[[#This Row],[centro_costo]],tblCECO[codigo],tblCECO[linea],"(sin catálogo)"))</f>
        <v/>
      </c>
      <c r="V664" s="3">
        <f>IF(tblOrdenes[[#This Row],[centro_costo]]="","",_xlfn.XLOOKUP(tblOrdenes[[#This Row],[centro_costo]],tblCECO[codigo],tblCECO[area],"(sin catálogo)"))</f>
        <v/>
      </c>
      <c r="W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3">
        <f>IF(tblOrdenes[[#This Row],[centro_costo]]="","",_xlfn.XLOOKUP(tblOrdenes[[#This Row],[centro_costo]],tblCECO[codigo],tblCECO[coordinador],"(sin catálogo)"))</f>
        <v/>
      </c>
      <c r="Y664" s="3">
        <f>IF(tblOrdenes[[#This Row],[puesto_trabajo]]="","",_xlfn.XLOOKUP(tblOrdenes[[#This Row],[puesto_trabajo]],tblPuestos[codigo],tblPuestos[especialidad],"(sin catálogo)"))</f>
        <v/>
      </c>
      <c r="Z664" s="3">
        <f>IF(tblOrdenes[[#This Row],[cod_actividad]]="","",_xlfn.XLOOKUP(tblOrdenes[[#This Row],[cod_actividad]],tblActividades[codigo],tblActividades[descripcion],"(sin catálogo)"))</f>
        <v/>
      </c>
      <c r="AA664" s="12">
        <f>IF(tblOrdenes[[#This Row],[fecha_inicio]]="","",TODAY()-tblOrdenes[[#This Row],[fecha_inicio]])</f>
        <v/>
      </c>
      <c r="AB6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3">
        <f>IF(tblOrdenes[[#This Row],[backlog_habiles]]="","",IF(tblOrdenes[[#This Row],[backlog_habiles]]&lt;0,"FUTURO",IF(tblOrdenes[[#This Row],[backlog_habiles]]&gt;p_dias_backlog_max,"BACKLOG","MES CORRIENTE")))</f>
        <v/>
      </c>
      <c r="AD664" s="3">
        <f>IF(tblOrdenes[[#This Row],[backlog_habiles]]="",FALSE,AND(tblOrdenes[[#This Row],[backlog_habiles]]&gt;p_dias_backlog_min,tblOrdenes[[#This Row],[backlog_habiles]]&lt;=p_dias_backlog_max))</f>
        <v/>
      </c>
      <c r="AE664" s="6" t="n"/>
      <c r="AF6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0">
        <f>IF(tblOrdenes[[#This Row],[orden]]="","",_xlfn.XLOOKUP(tblOrdenes[[#This Row],[id_operacion]],tblEjecucion[id_operacion],tblEjecucion[precio],0))</f>
        <v/>
      </c>
      <c r="AJ664" s="10">
        <f>IF(tblOrdenes[[#This Row],[orden]]="","",MAX(0,_xlfn.XLOOKUP(tblOrdenes[[#This Row],[id_operacion]],tblEjecucion[id_operacion],tblEjecucion[costo_plan_total],0)-tblOrdenes[[#This Row],[costo_servicio]]))</f>
        <v/>
      </c>
      <c r="AK664" s="10">
        <f>IF(tblOrdenes[[#This Row],[orden]]="","",tblOrdenes[[#This Row],[costo_servicio]]+tblOrdenes[[#This Row],[costo_materiales]])</f>
        <v/>
      </c>
      <c r="AL664" s="6" t="n"/>
      <c r="AM664" s="6" t="n"/>
      <c r="AN664" s="6" t="n"/>
      <c r="AO664" s="3">
        <f>IF(tblOrdenes[[#This Row],[link_checklist]]="","",HYPERLINK(p_ruta_base_checklists&amp;tblOrdenes[[#This Row],[link_checklist]],"abrir"))</f>
        <v/>
      </c>
      <c r="AP664" s="6" t="n"/>
      <c r="AQ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3">
        <f>IF(tblOrdenes[[#This Row],[tipo_ot]]="","",_xlfn.XLOOKUP(tblOrdenes[[#This Row],[tipo_ot]],tblTiposOT[codigo],tblTiposOT[clasificacion],"sin_clasificar"))</f>
        <v/>
      </c>
      <c r="U665" s="3">
        <f>IF(tblOrdenes[[#This Row],[centro_costo]]="","",_xlfn.XLOOKUP(tblOrdenes[[#This Row],[centro_costo]],tblCECO[codigo],tblCECO[linea],"(sin catálogo)"))</f>
        <v/>
      </c>
      <c r="V665" s="3">
        <f>IF(tblOrdenes[[#This Row],[centro_costo]]="","",_xlfn.XLOOKUP(tblOrdenes[[#This Row],[centro_costo]],tblCECO[codigo],tblCECO[area],"(sin catálogo)"))</f>
        <v/>
      </c>
      <c r="W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3">
        <f>IF(tblOrdenes[[#This Row],[centro_costo]]="","",_xlfn.XLOOKUP(tblOrdenes[[#This Row],[centro_costo]],tblCECO[codigo],tblCECO[coordinador],"(sin catálogo)"))</f>
        <v/>
      </c>
      <c r="Y665" s="3">
        <f>IF(tblOrdenes[[#This Row],[puesto_trabajo]]="","",_xlfn.XLOOKUP(tblOrdenes[[#This Row],[puesto_trabajo]],tblPuestos[codigo],tblPuestos[especialidad],"(sin catálogo)"))</f>
        <v/>
      </c>
      <c r="Z665" s="3">
        <f>IF(tblOrdenes[[#This Row],[cod_actividad]]="","",_xlfn.XLOOKUP(tblOrdenes[[#This Row],[cod_actividad]],tblActividades[codigo],tblActividades[descripcion],"(sin catálogo)"))</f>
        <v/>
      </c>
      <c r="AA665" s="12">
        <f>IF(tblOrdenes[[#This Row],[fecha_inicio]]="","",TODAY()-tblOrdenes[[#This Row],[fecha_inicio]])</f>
        <v/>
      </c>
      <c r="AB6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3">
        <f>IF(tblOrdenes[[#This Row],[backlog_habiles]]="","",IF(tblOrdenes[[#This Row],[backlog_habiles]]&lt;0,"FUTURO",IF(tblOrdenes[[#This Row],[backlog_habiles]]&gt;p_dias_backlog_max,"BACKLOG","MES CORRIENTE")))</f>
        <v/>
      </c>
      <c r="AD665" s="3">
        <f>IF(tblOrdenes[[#This Row],[backlog_habiles]]="",FALSE,AND(tblOrdenes[[#This Row],[backlog_habiles]]&gt;p_dias_backlog_min,tblOrdenes[[#This Row],[backlog_habiles]]&lt;=p_dias_backlog_max))</f>
        <v/>
      </c>
      <c r="AE665" s="6" t="n"/>
      <c r="AF6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0">
        <f>IF(tblOrdenes[[#This Row],[orden]]="","",_xlfn.XLOOKUP(tblOrdenes[[#This Row],[id_operacion]],tblEjecucion[id_operacion],tblEjecucion[precio],0))</f>
        <v/>
      </c>
      <c r="AJ665" s="10">
        <f>IF(tblOrdenes[[#This Row],[orden]]="","",MAX(0,_xlfn.XLOOKUP(tblOrdenes[[#This Row],[id_operacion]],tblEjecucion[id_operacion],tblEjecucion[costo_plan_total],0)-tblOrdenes[[#This Row],[costo_servicio]]))</f>
        <v/>
      </c>
      <c r="AK665" s="10">
        <f>IF(tblOrdenes[[#This Row],[orden]]="","",tblOrdenes[[#This Row],[costo_servicio]]+tblOrdenes[[#This Row],[costo_materiales]])</f>
        <v/>
      </c>
      <c r="AL665" s="6" t="n"/>
      <c r="AM665" s="6" t="n"/>
      <c r="AN665" s="6" t="n"/>
      <c r="AO665" s="3">
        <f>IF(tblOrdenes[[#This Row],[link_checklist]]="","",HYPERLINK(p_ruta_base_checklists&amp;tblOrdenes[[#This Row],[link_checklist]],"abrir"))</f>
        <v/>
      </c>
      <c r="AP665" s="6" t="n"/>
      <c r="AQ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3">
        <f>IF(tblOrdenes[[#This Row],[tipo_ot]]="","",_xlfn.XLOOKUP(tblOrdenes[[#This Row],[tipo_ot]],tblTiposOT[codigo],tblTiposOT[clasificacion],"sin_clasificar"))</f>
        <v/>
      </c>
      <c r="U666" s="3">
        <f>IF(tblOrdenes[[#This Row],[centro_costo]]="","",_xlfn.XLOOKUP(tblOrdenes[[#This Row],[centro_costo]],tblCECO[codigo],tblCECO[linea],"(sin catálogo)"))</f>
        <v/>
      </c>
      <c r="V666" s="3">
        <f>IF(tblOrdenes[[#This Row],[centro_costo]]="","",_xlfn.XLOOKUP(tblOrdenes[[#This Row],[centro_costo]],tblCECO[codigo],tblCECO[area],"(sin catálogo)"))</f>
        <v/>
      </c>
      <c r="W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3">
        <f>IF(tblOrdenes[[#This Row],[centro_costo]]="","",_xlfn.XLOOKUP(tblOrdenes[[#This Row],[centro_costo]],tblCECO[codigo],tblCECO[coordinador],"(sin catálogo)"))</f>
        <v/>
      </c>
      <c r="Y666" s="3">
        <f>IF(tblOrdenes[[#This Row],[puesto_trabajo]]="","",_xlfn.XLOOKUP(tblOrdenes[[#This Row],[puesto_trabajo]],tblPuestos[codigo],tblPuestos[especialidad],"(sin catálogo)"))</f>
        <v/>
      </c>
      <c r="Z666" s="3">
        <f>IF(tblOrdenes[[#This Row],[cod_actividad]]="","",_xlfn.XLOOKUP(tblOrdenes[[#This Row],[cod_actividad]],tblActividades[codigo],tblActividades[descripcion],"(sin catálogo)"))</f>
        <v/>
      </c>
      <c r="AA666" s="12">
        <f>IF(tblOrdenes[[#This Row],[fecha_inicio]]="","",TODAY()-tblOrdenes[[#This Row],[fecha_inicio]])</f>
        <v/>
      </c>
      <c r="AB6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3">
        <f>IF(tblOrdenes[[#This Row],[backlog_habiles]]="","",IF(tblOrdenes[[#This Row],[backlog_habiles]]&lt;0,"FUTURO",IF(tblOrdenes[[#This Row],[backlog_habiles]]&gt;p_dias_backlog_max,"BACKLOG","MES CORRIENTE")))</f>
        <v/>
      </c>
      <c r="AD666" s="3">
        <f>IF(tblOrdenes[[#This Row],[backlog_habiles]]="",FALSE,AND(tblOrdenes[[#This Row],[backlog_habiles]]&gt;p_dias_backlog_min,tblOrdenes[[#This Row],[backlog_habiles]]&lt;=p_dias_backlog_max))</f>
        <v/>
      </c>
      <c r="AE666" s="6" t="n"/>
      <c r="AF6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0">
        <f>IF(tblOrdenes[[#This Row],[orden]]="","",_xlfn.XLOOKUP(tblOrdenes[[#This Row],[id_operacion]],tblEjecucion[id_operacion],tblEjecucion[precio],0))</f>
        <v/>
      </c>
      <c r="AJ666" s="10">
        <f>IF(tblOrdenes[[#This Row],[orden]]="","",MAX(0,_xlfn.XLOOKUP(tblOrdenes[[#This Row],[id_operacion]],tblEjecucion[id_operacion],tblEjecucion[costo_plan_total],0)-tblOrdenes[[#This Row],[costo_servicio]]))</f>
        <v/>
      </c>
      <c r="AK666" s="10">
        <f>IF(tblOrdenes[[#This Row],[orden]]="","",tblOrdenes[[#This Row],[costo_servicio]]+tblOrdenes[[#This Row],[costo_materiales]])</f>
        <v/>
      </c>
      <c r="AL666" s="6" t="n"/>
      <c r="AM666" s="6" t="n"/>
      <c r="AN666" s="6" t="n"/>
      <c r="AO666" s="3">
        <f>IF(tblOrdenes[[#This Row],[link_checklist]]="","",HYPERLINK(p_ruta_base_checklists&amp;tblOrdenes[[#This Row],[link_checklist]],"abrir"))</f>
        <v/>
      </c>
      <c r="AP666" s="6" t="n"/>
      <c r="AQ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3">
        <f>IF(tblOrdenes[[#This Row],[tipo_ot]]="","",_xlfn.XLOOKUP(tblOrdenes[[#This Row],[tipo_ot]],tblTiposOT[codigo],tblTiposOT[clasificacion],"sin_clasificar"))</f>
        <v/>
      </c>
      <c r="U667" s="3">
        <f>IF(tblOrdenes[[#This Row],[centro_costo]]="","",_xlfn.XLOOKUP(tblOrdenes[[#This Row],[centro_costo]],tblCECO[codigo],tblCECO[linea],"(sin catálogo)"))</f>
        <v/>
      </c>
      <c r="V667" s="3">
        <f>IF(tblOrdenes[[#This Row],[centro_costo]]="","",_xlfn.XLOOKUP(tblOrdenes[[#This Row],[centro_costo]],tblCECO[codigo],tblCECO[area],"(sin catálogo)"))</f>
        <v/>
      </c>
      <c r="W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3">
        <f>IF(tblOrdenes[[#This Row],[centro_costo]]="","",_xlfn.XLOOKUP(tblOrdenes[[#This Row],[centro_costo]],tblCECO[codigo],tblCECO[coordinador],"(sin catálogo)"))</f>
        <v/>
      </c>
      <c r="Y667" s="3">
        <f>IF(tblOrdenes[[#This Row],[puesto_trabajo]]="","",_xlfn.XLOOKUP(tblOrdenes[[#This Row],[puesto_trabajo]],tblPuestos[codigo],tblPuestos[especialidad],"(sin catálogo)"))</f>
        <v/>
      </c>
      <c r="Z667" s="3">
        <f>IF(tblOrdenes[[#This Row],[cod_actividad]]="","",_xlfn.XLOOKUP(tblOrdenes[[#This Row],[cod_actividad]],tblActividades[codigo],tblActividades[descripcion],"(sin catálogo)"))</f>
        <v/>
      </c>
      <c r="AA667" s="12">
        <f>IF(tblOrdenes[[#This Row],[fecha_inicio]]="","",TODAY()-tblOrdenes[[#This Row],[fecha_inicio]])</f>
        <v/>
      </c>
      <c r="AB6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3">
        <f>IF(tblOrdenes[[#This Row],[backlog_habiles]]="","",IF(tblOrdenes[[#This Row],[backlog_habiles]]&lt;0,"FUTURO",IF(tblOrdenes[[#This Row],[backlog_habiles]]&gt;p_dias_backlog_max,"BACKLOG","MES CORRIENTE")))</f>
        <v/>
      </c>
      <c r="AD667" s="3">
        <f>IF(tblOrdenes[[#This Row],[backlog_habiles]]="",FALSE,AND(tblOrdenes[[#This Row],[backlog_habiles]]&gt;p_dias_backlog_min,tblOrdenes[[#This Row],[backlog_habiles]]&lt;=p_dias_backlog_max))</f>
        <v/>
      </c>
      <c r="AE667" s="6" t="n"/>
      <c r="AF6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0">
        <f>IF(tblOrdenes[[#This Row],[orden]]="","",_xlfn.XLOOKUP(tblOrdenes[[#This Row],[id_operacion]],tblEjecucion[id_operacion],tblEjecucion[precio],0))</f>
        <v/>
      </c>
      <c r="AJ667" s="10">
        <f>IF(tblOrdenes[[#This Row],[orden]]="","",MAX(0,_xlfn.XLOOKUP(tblOrdenes[[#This Row],[id_operacion]],tblEjecucion[id_operacion],tblEjecucion[costo_plan_total],0)-tblOrdenes[[#This Row],[costo_servicio]]))</f>
        <v/>
      </c>
      <c r="AK667" s="10">
        <f>IF(tblOrdenes[[#This Row],[orden]]="","",tblOrdenes[[#This Row],[costo_servicio]]+tblOrdenes[[#This Row],[costo_materiales]])</f>
        <v/>
      </c>
      <c r="AL667" s="6" t="n"/>
      <c r="AM667" s="6" t="n"/>
      <c r="AN667" s="6" t="n"/>
      <c r="AO667" s="3">
        <f>IF(tblOrdenes[[#This Row],[link_checklist]]="","",HYPERLINK(p_ruta_base_checklists&amp;tblOrdenes[[#This Row],[link_checklist]],"abrir"))</f>
        <v/>
      </c>
      <c r="AP667" s="6" t="n"/>
      <c r="AQ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3">
        <f>IF(tblOrdenes[[#This Row],[tipo_ot]]="","",_xlfn.XLOOKUP(tblOrdenes[[#This Row],[tipo_ot]],tblTiposOT[codigo],tblTiposOT[clasificacion],"sin_clasificar"))</f>
        <v/>
      </c>
      <c r="U668" s="3">
        <f>IF(tblOrdenes[[#This Row],[centro_costo]]="","",_xlfn.XLOOKUP(tblOrdenes[[#This Row],[centro_costo]],tblCECO[codigo],tblCECO[linea],"(sin catálogo)"))</f>
        <v/>
      </c>
      <c r="V668" s="3">
        <f>IF(tblOrdenes[[#This Row],[centro_costo]]="","",_xlfn.XLOOKUP(tblOrdenes[[#This Row],[centro_costo]],tblCECO[codigo],tblCECO[area],"(sin catálogo)"))</f>
        <v/>
      </c>
      <c r="W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3">
        <f>IF(tblOrdenes[[#This Row],[centro_costo]]="","",_xlfn.XLOOKUP(tblOrdenes[[#This Row],[centro_costo]],tblCECO[codigo],tblCECO[coordinador],"(sin catálogo)"))</f>
        <v/>
      </c>
      <c r="Y668" s="3">
        <f>IF(tblOrdenes[[#This Row],[puesto_trabajo]]="","",_xlfn.XLOOKUP(tblOrdenes[[#This Row],[puesto_trabajo]],tblPuestos[codigo],tblPuestos[especialidad],"(sin catálogo)"))</f>
        <v/>
      </c>
      <c r="Z668" s="3">
        <f>IF(tblOrdenes[[#This Row],[cod_actividad]]="","",_xlfn.XLOOKUP(tblOrdenes[[#This Row],[cod_actividad]],tblActividades[codigo],tblActividades[descripcion],"(sin catálogo)"))</f>
        <v/>
      </c>
      <c r="AA668" s="12">
        <f>IF(tblOrdenes[[#This Row],[fecha_inicio]]="","",TODAY()-tblOrdenes[[#This Row],[fecha_inicio]])</f>
        <v/>
      </c>
      <c r="AB6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3">
        <f>IF(tblOrdenes[[#This Row],[backlog_habiles]]="","",IF(tblOrdenes[[#This Row],[backlog_habiles]]&lt;0,"FUTURO",IF(tblOrdenes[[#This Row],[backlog_habiles]]&gt;p_dias_backlog_max,"BACKLOG","MES CORRIENTE")))</f>
        <v/>
      </c>
      <c r="AD668" s="3">
        <f>IF(tblOrdenes[[#This Row],[backlog_habiles]]="",FALSE,AND(tblOrdenes[[#This Row],[backlog_habiles]]&gt;p_dias_backlog_min,tblOrdenes[[#This Row],[backlog_habiles]]&lt;=p_dias_backlog_max))</f>
        <v/>
      </c>
      <c r="AE668" s="6" t="n"/>
      <c r="AF6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0">
        <f>IF(tblOrdenes[[#This Row],[orden]]="","",_xlfn.XLOOKUP(tblOrdenes[[#This Row],[id_operacion]],tblEjecucion[id_operacion],tblEjecucion[precio],0))</f>
        <v/>
      </c>
      <c r="AJ668" s="10">
        <f>IF(tblOrdenes[[#This Row],[orden]]="","",MAX(0,_xlfn.XLOOKUP(tblOrdenes[[#This Row],[id_operacion]],tblEjecucion[id_operacion],tblEjecucion[costo_plan_total],0)-tblOrdenes[[#This Row],[costo_servicio]]))</f>
        <v/>
      </c>
      <c r="AK668" s="10">
        <f>IF(tblOrdenes[[#This Row],[orden]]="","",tblOrdenes[[#This Row],[costo_servicio]]+tblOrdenes[[#This Row],[costo_materiales]])</f>
        <v/>
      </c>
      <c r="AL668" s="6" t="n"/>
      <c r="AM668" s="6" t="n"/>
      <c r="AN668" s="6" t="n"/>
      <c r="AO668" s="3">
        <f>IF(tblOrdenes[[#This Row],[link_checklist]]="","",HYPERLINK(p_ruta_base_checklists&amp;tblOrdenes[[#This Row],[link_checklist]],"abrir"))</f>
        <v/>
      </c>
      <c r="AP668" s="6" t="n"/>
      <c r="AQ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3">
        <f>IF(tblOrdenes[[#This Row],[tipo_ot]]="","",_xlfn.XLOOKUP(tblOrdenes[[#This Row],[tipo_ot]],tblTiposOT[codigo],tblTiposOT[clasificacion],"sin_clasificar"))</f>
        <v/>
      </c>
      <c r="U669" s="3">
        <f>IF(tblOrdenes[[#This Row],[centro_costo]]="","",_xlfn.XLOOKUP(tblOrdenes[[#This Row],[centro_costo]],tblCECO[codigo],tblCECO[linea],"(sin catálogo)"))</f>
        <v/>
      </c>
      <c r="V669" s="3">
        <f>IF(tblOrdenes[[#This Row],[centro_costo]]="","",_xlfn.XLOOKUP(tblOrdenes[[#This Row],[centro_costo]],tblCECO[codigo],tblCECO[area],"(sin catálogo)"))</f>
        <v/>
      </c>
      <c r="W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3">
        <f>IF(tblOrdenes[[#This Row],[centro_costo]]="","",_xlfn.XLOOKUP(tblOrdenes[[#This Row],[centro_costo]],tblCECO[codigo],tblCECO[coordinador],"(sin catálogo)"))</f>
        <v/>
      </c>
      <c r="Y669" s="3">
        <f>IF(tblOrdenes[[#This Row],[puesto_trabajo]]="","",_xlfn.XLOOKUP(tblOrdenes[[#This Row],[puesto_trabajo]],tblPuestos[codigo],tblPuestos[especialidad],"(sin catálogo)"))</f>
        <v/>
      </c>
      <c r="Z669" s="3">
        <f>IF(tblOrdenes[[#This Row],[cod_actividad]]="","",_xlfn.XLOOKUP(tblOrdenes[[#This Row],[cod_actividad]],tblActividades[codigo],tblActividades[descripcion],"(sin catálogo)"))</f>
        <v/>
      </c>
      <c r="AA669" s="12">
        <f>IF(tblOrdenes[[#This Row],[fecha_inicio]]="","",TODAY()-tblOrdenes[[#This Row],[fecha_inicio]])</f>
        <v/>
      </c>
      <c r="AB6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3">
        <f>IF(tblOrdenes[[#This Row],[backlog_habiles]]="","",IF(tblOrdenes[[#This Row],[backlog_habiles]]&lt;0,"FUTURO",IF(tblOrdenes[[#This Row],[backlog_habiles]]&gt;p_dias_backlog_max,"BACKLOG","MES CORRIENTE")))</f>
        <v/>
      </c>
      <c r="AD669" s="3">
        <f>IF(tblOrdenes[[#This Row],[backlog_habiles]]="",FALSE,AND(tblOrdenes[[#This Row],[backlog_habiles]]&gt;p_dias_backlog_min,tblOrdenes[[#This Row],[backlog_habiles]]&lt;=p_dias_backlog_max))</f>
        <v/>
      </c>
      <c r="AE669" s="6" t="n"/>
      <c r="AF6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0">
        <f>IF(tblOrdenes[[#This Row],[orden]]="","",_xlfn.XLOOKUP(tblOrdenes[[#This Row],[id_operacion]],tblEjecucion[id_operacion],tblEjecucion[precio],0))</f>
        <v/>
      </c>
      <c r="AJ669" s="10">
        <f>IF(tblOrdenes[[#This Row],[orden]]="","",MAX(0,_xlfn.XLOOKUP(tblOrdenes[[#This Row],[id_operacion]],tblEjecucion[id_operacion],tblEjecucion[costo_plan_total],0)-tblOrdenes[[#This Row],[costo_servicio]]))</f>
        <v/>
      </c>
      <c r="AK669" s="10">
        <f>IF(tblOrdenes[[#This Row],[orden]]="","",tblOrdenes[[#This Row],[costo_servicio]]+tblOrdenes[[#This Row],[costo_materiales]])</f>
        <v/>
      </c>
      <c r="AL669" s="6" t="n"/>
      <c r="AM669" s="6" t="n"/>
      <c r="AN669" s="6" t="n"/>
      <c r="AO669" s="3">
        <f>IF(tblOrdenes[[#This Row],[link_checklist]]="","",HYPERLINK(p_ruta_base_checklists&amp;tblOrdenes[[#This Row],[link_checklist]],"abrir"))</f>
        <v/>
      </c>
      <c r="AP669" s="6" t="n"/>
      <c r="AQ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3">
        <f>IF(tblOrdenes[[#This Row],[tipo_ot]]="","",_xlfn.XLOOKUP(tblOrdenes[[#This Row],[tipo_ot]],tblTiposOT[codigo],tblTiposOT[clasificacion],"sin_clasificar"))</f>
        <v/>
      </c>
      <c r="U670" s="3">
        <f>IF(tblOrdenes[[#This Row],[centro_costo]]="","",_xlfn.XLOOKUP(tblOrdenes[[#This Row],[centro_costo]],tblCECO[codigo],tblCECO[linea],"(sin catálogo)"))</f>
        <v/>
      </c>
      <c r="V670" s="3">
        <f>IF(tblOrdenes[[#This Row],[centro_costo]]="","",_xlfn.XLOOKUP(tblOrdenes[[#This Row],[centro_costo]],tblCECO[codigo],tblCECO[area],"(sin catálogo)"))</f>
        <v/>
      </c>
      <c r="W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3">
        <f>IF(tblOrdenes[[#This Row],[centro_costo]]="","",_xlfn.XLOOKUP(tblOrdenes[[#This Row],[centro_costo]],tblCECO[codigo],tblCECO[coordinador],"(sin catálogo)"))</f>
        <v/>
      </c>
      <c r="Y670" s="3">
        <f>IF(tblOrdenes[[#This Row],[puesto_trabajo]]="","",_xlfn.XLOOKUP(tblOrdenes[[#This Row],[puesto_trabajo]],tblPuestos[codigo],tblPuestos[especialidad],"(sin catálogo)"))</f>
        <v/>
      </c>
      <c r="Z670" s="3">
        <f>IF(tblOrdenes[[#This Row],[cod_actividad]]="","",_xlfn.XLOOKUP(tblOrdenes[[#This Row],[cod_actividad]],tblActividades[codigo],tblActividades[descripcion],"(sin catálogo)"))</f>
        <v/>
      </c>
      <c r="AA670" s="12">
        <f>IF(tblOrdenes[[#This Row],[fecha_inicio]]="","",TODAY()-tblOrdenes[[#This Row],[fecha_inicio]])</f>
        <v/>
      </c>
      <c r="AB6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3">
        <f>IF(tblOrdenes[[#This Row],[backlog_habiles]]="","",IF(tblOrdenes[[#This Row],[backlog_habiles]]&lt;0,"FUTURO",IF(tblOrdenes[[#This Row],[backlog_habiles]]&gt;p_dias_backlog_max,"BACKLOG","MES CORRIENTE")))</f>
        <v/>
      </c>
      <c r="AD670" s="3">
        <f>IF(tblOrdenes[[#This Row],[backlog_habiles]]="",FALSE,AND(tblOrdenes[[#This Row],[backlog_habiles]]&gt;p_dias_backlog_min,tblOrdenes[[#This Row],[backlog_habiles]]&lt;=p_dias_backlog_max))</f>
        <v/>
      </c>
      <c r="AE670" s="6" t="n"/>
      <c r="AF6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0">
        <f>IF(tblOrdenes[[#This Row],[orden]]="","",_xlfn.XLOOKUP(tblOrdenes[[#This Row],[id_operacion]],tblEjecucion[id_operacion],tblEjecucion[precio],0))</f>
        <v/>
      </c>
      <c r="AJ670" s="10">
        <f>IF(tblOrdenes[[#This Row],[orden]]="","",MAX(0,_xlfn.XLOOKUP(tblOrdenes[[#This Row],[id_operacion]],tblEjecucion[id_operacion],tblEjecucion[costo_plan_total],0)-tblOrdenes[[#This Row],[costo_servicio]]))</f>
        <v/>
      </c>
      <c r="AK670" s="10">
        <f>IF(tblOrdenes[[#This Row],[orden]]="","",tblOrdenes[[#This Row],[costo_servicio]]+tblOrdenes[[#This Row],[costo_materiales]])</f>
        <v/>
      </c>
      <c r="AL670" s="6" t="n"/>
      <c r="AM670" s="6" t="n"/>
      <c r="AN670" s="6" t="n"/>
      <c r="AO670" s="3">
        <f>IF(tblOrdenes[[#This Row],[link_checklist]]="","",HYPERLINK(p_ruta_base_checklists&amp;tblOrdenes[[#This Row],[link_checklist]],"abrir"))</f>
        <v/>
      </c>
      <c r="AP670" s="6" t="n"/>
      <c r="AQ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3">
        <f>IF(tblOrdenes[[#This Row],[tipo_ot]]="","",_xlfn.XLOOKUP(tblOrdenes[[#This Row],[tipo_ot]],tblTiposOT[codigo],tblTiposOT[clasificacion],"sin_clasificar"))</f>
        <v/>
      </c>
      <c r="U671" s="3">
        <f>IF(tblOrdenes[[#This Row],[centro_costo]]="","",_xlfn.XLOOKUP(tblOrdenes[[#This Row],[centro_costo]],tblCECO[codigo],tblCECO[linea],"(sin catálogo)"))</f>
        <v/>
      </c>
      <c r="V671" s="3">
        <f>IF(tblOrdenes[[#This Row],[centro_costo]]="","",_xlfn.XLOOKUP(tblOrdenes[[#This Row],[centro_costo]],tblCECO[codigo],tblCECO[area],"(sin catálogo)"))</f>
        <v/>
      </c>
      <c r="W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3">
        <f>IF(tblOrdenes[[#This Row],[centro_costo]]="","",_xlfn.XLOOKUP(tblOrdenes[[#This Row],[centro_costo]],tblCECO[codigo],tblCECO[coordinador],"(sin catálogo)"))</f>
        <v/>
      </c>
      <c r="Y671" s="3">
        <f>IF(tblOrdenes[[#This Row],[puesto_trabajo]]="","",_xlfn.XLOOKUP(tblOrdenes[[#This Row],[puesto_trabajo]],tblPuestos[codigo],tblPuestos[especialidad],"(sin catálogo)"))</f>
        <v/>
      </c>
      <c r="Z671" s="3">
        <f>IF(tblOrdenes[[#This Row],[cod_actividad]]="","",_xlfn.XLOOKUP(tblOrdenes[[#This Row],[cod_actividad]],tblActividades[codigo],tblActividades[descripcion],"(sin catálogo)"))</f>
        <v/>
      </c>
      <c r="AA671" s="12">
        <f>IF(tblOrdenes[[#This Row],[fecha_inicio]]="","",TODAY()-tblOrdenes[[#This Row],[fecha_inicio]])</f>
        <v/>
      </c>
      <c r="AB6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3">
        <f>IF(tblOrdenes[[#This Row],[backlog_habiles]]="","",IF(tblOrdenes[[#This Row],[backlog_habiles]]&lt;0,"FUTURO",IF(tblOrdenes[[#This Row],[backlog_habiles]]&gt;p_dias_backlog_max,"BACKLOG","MES CORRIENTE")))</f>
        <v/>
      </c>
      <c r="AD671" s="3">
        <f>IF(tblOrdenes[[#This Row],[backlog_habiles]]="",FALSE,AND(tblOrdenes[[#This Row],[backlog_habiles]]&gt;p_dias_backlog_min,tblOrdenes[[#This Row],[backlog_habiles]]&lt;=p_dias_backlog_max))</f>
        <v/>
      </c>
      <c r="AE671" s="6" t="n"/>
      <c r="AF6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0">
        <f>IF(tblOrdenes[[#This Row],[orden]]="","",_xlfn.XLOOKUP(tblOrdenes[[#This Row],[id_operacion]],tblEjecucion[id_operacion],tblEjecucion[precio],0))</f>
        <v/>
      </c>
      <c r="AJ671" s="10">
        <f>IF(tblOrdenes[[#This Row],[orden]]="","",MAX(0,_xlfn.XLOOKUP(tblOrdenes[[#This Row],[id_operacion]],tblEjecucion[id_operacion],tblEjecucion[costo_plan_total],0)-tblOrdenes[[#This Row],[costo_servicio]]))</f>
        <v/>
      </c>
      <c r="AK671" s="10">
        <f>IF(tblOrdenes[[#This Row],[orden]]="","",tblOrdenes[[#This Row],[costo_servicio]]+tblOrdenes[[#This Row],[costo_materiales]])</f>
        <v/>
      </c>
      <c r="AL671" s="6" t="n"/>
      <c r="AM671" s="6" t="n"/>
      <c r="AN671" s="6" t="n"/>
      <c r="AO671" s="3">
        <f>IF(tblOrdenes[[#This Row],[link_checklist]]="","",HYPERLINK(p_ruta_base_checklists&amp;tblOrdenes[[#This Row],[link_checklist]],"abrir"))</f>
        <v/>
      </c>
      <c r="AP671" s="6" t="n"/>
      <c r="AQ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3">
        <f>IF(tblOrdenes[[#This Row],[tipo_ot]]="","",_xlfn.XLOOKUP(tblOrdenes[[#This Row],[tipo_ot]],tblTiposOT[codigo],tblTiposOT[clasificacion],"sin_clasificar"))</f>
        <v/>
      </c>
      <c r="U672" s="3">
        <f>IF(tblOrdenes[[#This Row],[centro_costo]]="","",_xlfn.XLOOKUP(tblOrdenes[[#This Row],[centro_costo]],tblCECO[codigo],tblCECO[linea],"(sin catálogo)"))</f>
        <v/>
      </c>
      <c r="V672" s="3">
        <f>IF(tblOrdenes[[#This Row],[centro_costo]]="","",_xlfn.XLOOKUP(tblOrdenes[[#This Row],[centro_costo]],tblCECO[codigo],tblCECO[area],"(sin catálogo)"))</f>
        <v/>
      </c>
      <c r="W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3">
        <f>IF(tblOrdenes[[#This Row],[centro_costo]]="","",_xlfn.XLOOKUP(tblOrdenes[[#This Row],[centro_costo]],tblCECO[codigo],tblCECO[coordinador],"(sin catálogo)"))</f>
        <v/>
      </c>
      <c r="Y672" s="3">
        <f>IF(tblOrdenes[[#This Row],[puesto_trabajo]]="","",_xlfn.XLOOKUP(tblOrdenes[[#This Row],[puesto_trabajo]],tblPuestos[codigo],tblPuestos[especialidad],"(sin catálogo)"))</f>
        <v/>
      </c>
      <c r="Z672" s="3">
        <f>IF(tblOrdenes[[#This Row],[cod_actividad]]="","",_xlfn.XLOOKUP(tblOrdenes[[#This Row],[cod_actividad]],tblActividades[codigo],tblActividades[descripcion],"(sin catálogo)"))</f>
        <v/>
      </c>
      <c r="AA672" s="12">
        <f>IF(tblOrdenes[[#This Row],[fecha_inicio]]="","",TODAY()-tblOrdenes[[#This Row],[fecha_inicio]])</f>
        <v/>
      </c>
      <c r="AB6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3">
        <f>IF(tblOrdenes[[#This Row],[backlog_habiles]]="","",IF(tblOrdenes[[#This Row],[backlog_habiles]]&lt;0,"FUTURO",IF(tblOrdenes[[#This Row],[backlog_habiles]]&gt;p_dias_backlog_max,"BACKLOG","MES CORRIENTE")))</f>
        <v/>
      </c>
      <c r="AD672" s="3">
        <f>IF(tblOrdenes[[#This Row],[backlog_habiles]]="",FALSE,AND(tblOrdenes[[#This Row],[backlog_habiles]]&gt;p_dias_backlog_min,tblOrdenes[[#This Row],[backlog_habiles]]&lt;=p_dias_backlog_max))</f>
        <v/>
      </c>
      <c r="AE672" s="6" t="n"/>
      <c r="AF6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0">
        <f>IF(tblOrdenes[[#This Row],[orden]]="","",_xlfn.XLOOKUP(tblOrdenes[[#This Row],[id_operacion]],tblEjecucion[id_operacion],tblEjecucion[precio],0))</f>
        <v/>
      </c>
      <c r="AJ672" s="10">
        <f>IF(tblOrdenes[[#This Row],[orden]]="","",MAX(0,_xlfn.XLOOKUP(tblOrdenes[[#This Row],[id_operacion]],tblEjecucion[id_operacion],tblEjecucion[costo_plan_total],0)-tblOrdenes[[#This Row],[costo_servicio]]))</f>
        <v/>
      </c>
      <c r="AK672" s="10">
        <f>IF(tblOrdenes[[#This Row],[orden]]="","",tblOrdenes[[#This Row],[costo_servicio]]+tblOrdenes[[#This Row],[costo_materiales]])</f>
        <v/>
      </c>
      <c r="AL672" s="6" t="n"/>
      <c r="AM672" s="6" t="n"/>
      <c r="AN672" s="6" t="n"/>
      <c r="AO672" s="3">
        <f>IF(tblOrdenes[[#This Row],[link_checklist]]="","",HYPERLINK(p_ruta_base_checklists&amp;tblOrdenes[[#This Row],[link_checklist]],"abrir"))</f>
        <v/>
      </c>
      <c r="AP672" s="6" t="n"/>
      <c r="AQ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3">
        <f>IF(tblOrdenes[[#This Row],[tipo_ot]]="","",_xlfn.XLOOKUP(tblOrdenes[[#This Row],[tipo_ot]],tblTiposOT[codigo],tblTiposOT[clasificacion],"sin_clasificar"))</f>
        <v/>
      </c>
      <c r="U673" s="3">
        <f>IF(tblOrdenes[[#This Row],[centro_costo]]="","",_xlfn.XLOOKUP(tblOrdenes[[#This Row],[centro_costo]],tblCECO[codigo],tblCECO[linea],"(sin catálogo)"))</f>
        <v/>
      </c>
      <c r="V673" s="3">
        <f>IF(tblOrdenes[[#This Row],[centro_costo]]="","",_xlfn.XLOOKUP(tblOrdenes[[#This Row],[centro_costo]],tblCECO[codigo],tblCECO[area],"(sin catálogo)"))</f>
        <v/>
      </c>
      <c r="W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3">
        <f>IF(tblOrdenes[[#This Row],[centro_costo]]="","",_xlfn.XLOOKUP(tblOrdenes[[#This Row],[centro_costo]],tblCECO[codigo],tblCECO[coordinador],"(sin catálogo)"))</f>
        <v/>
      </c>
      <c r="Y673" s="3">
        <f>IF(tblOrdenes[[#This Row],[puesto_trabajo]]="","",_xlfn.XLOOKUP(tblOrdenes[[#This Row],[puesto_trabajo]],tblPuestos[codigo],tblPuestos[especialidad],"(sin catálogo)"))</f>
        <v/>
      </c>
      <c r="Z673" s="3">
        <f>IF(tblOrdenes[[#This Row],[cod_actividad]]="","",_xlfn.XLOOKUP(tblOrdenes[[#This Row],[cod_actividad]],tblActividades[codigo],tblActividades[descripcion],"(sin catálogo)"))</f>
        <v/>
      </c>
      <c r="AA673" s="12">
        <f>IF(tblOrdenes[[#This Row],[fecha_inicio]]="","",TODAY()-tblOrdenes[[#This Row],[fecha_inicio]])</f>
        <v/>
      </c>
      <c r="AB6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3">
        <f>IF(tblOrdenes[[#This Row],[backlog_habiles]]="","",IF(tblOrdenes[[#This Row],[backlog_habiles]]&lt;0,"FUTURO",IF(tblOrdenes[[#This Row],[backlog_habiles]]&gt;p_dias_backlog_max,"BACKLOG","MES CORRIENTE")))</f>
        <v/>
      </c>
      <c r="AD673" s="3">
        <f>IF(tblOrdenes[[#This Row],[backlog_habiles]]="",FALSE,AND(tblOrdenes[[#This Row],[backlog_habiles]]&gt;p_dias_backlog_min,tblOrdenes[[#This Row],[backlog_habiles]]&lt;=p_dias_backlog_max))</f>
        <v/>
      </c>
      <c r="AE673" s="6" t="n"/>
      <c r="AF6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0">
        <f>IF(tblOrdenes[[#This Row],[orden]]="","",_xlfn.XLOOKUP(tblOrdenes[[#This Row],[id_operacion]],tblEjecucion[id_operacion],tblEjecucion[precio],0))</f>
        <v/>
      </c>
      <c r="AJ673" s="10">
        <f>IF(tblOrdenes[[#This Row],[orden]]="","",MAX(0,_xlfn.XLOOKUP(tblOrdenes[[#This Row],[id_operacion]],tblEjecucion[id_operacion],tblEjecucion[costo_plan_total],0)-tblOrdenes[[#This Row],[costo_servicio]]))</f>
        <v/>
      </c>
      <c r="AK673" s="10">
        <f>IF(tblOrdenes[[#This Row],[orden]]="","",tblOrdenes[[#This Row],[costo_servicio]]+tblOrdenes[[#This Row],[costo_materiales]])</f>
        <v/>
      </c>
      <c r="AL673" s="6" t="n"/>
      <c r="AM673" s="6" t="n"/>
      <c r="AN673" s="6" t="n"/>
      <c r="AO673" s="3">
        <f>IF(tblOrdenes[[#This Row],[link_checklist]]="","",HYPERLINK(p_ruta_base_checklists&amp;tblOrdenes[[#This Row],[link_checklist]],"abrir"))</f>
        <v/>
      </c>
      <c r="AP673" s="6" t="n"/>
      <c r="AQ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3">
        <f>IF(tblOrdenes[[#This Row],[tipo_ot]]="","",_xlfn.XLOOKUP(tblOrdenes[[#This Row],[tipo_ot]],tblTiposOT[codigo],tblTiposOT[clasificacion],"sin_clasificar"))</f>
        <v/>
      </c>
      <c r="U674" s="3">
        <f>IF(tblOrdenes[[#This Row],[centro_costo]]="","",_xlfn.XLOOKUP(tblOrdenes[[#This Row],[centro_costo]],tblCECO[codigo],tblCECO[linea],"(sin catálogo)"))</f>
        <v/>
      </c>
      <c r="V674" s="3">
        <f>IF(tblOrdenes[[#This Row],[centro_costo]]="","",_xlfn.XLOOKUP(tblOrdenes[[#This Row],[centro_costo]],tblCECO[codigo],tblCECO[area],"(sin catálogo)"))</f>
        <v/>
      </c>
      <c r="W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3">
        <f>IF(tblOrdenes[[#This Row],[centro_costo]]="","",_xlfn.XLOOKUP(tblOrdenes[[#This Row],[centro_costo]],tblCECO[codigo],tblCECO[coordinador],"(sin catálogo)"))</f>
        <v/>
      </c>
      <c r="Y674" s="3">
        <f>IF(tblOrdenes[[#This Row],[puesto_trabajo]]="","",_xlfn.XLOOKUP(tblOrdenes[[#This Row],[puesto_trabajo]],tblPuestos[codigo],tblPuestos[especialidad],"(sin catálogo)"))</f>
        <v/>
      </c>
      <c r="Z674" s="3">
        <f>IF(tblOrdenes[[#This Row],[cod_actividad]]="","",_xlfn.XLOOKUP(tblOrdenes[[#This Row],[cod_actividad]],tblActividades[codigo],tblActividades[descripcion],"(sin catálogo)"))</f>
        <v/>
      </c>
      <c r="AA674" s="12">
        <f>IF(tblOrdenes[[#This Row],[fecha_inicio]]="","",TODAY()-tblOrdenes[[#This Row],[fecha_inicio]])</f>
        <v/>
      </c>
      <c r="AB6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3">
        <f>IF(tblOrdenes[[#This Row],[backlog_habiles]]="","",IF(tblOrdenes[[#This Row],[backlog_habiles]]&lt;0,"FUTURO",IF(tblOrdenes[[#This Row],[backlog_habiles]]&gt;p_dias_backlog_max,"BACKLOG","MES CORRIENTE")))</f>
        <v/>
      </c>
      <c r="AD674" s="3">
        <f>IF(tblOrdenes[[#This Row],[backlog_habiles]]="",FALSE,AND(tblOrdenes[[#This Row],[backlog_habiles]]&gt;p_dias_backlog_min,tblOrdenes[[#This Row],[backlog_habiles]]&lt;=p_dias_backlog_max))</f>
        <v/>
      </c>
      <c r="AE674" s="6" t="n"/>
      <c r="AF6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0">
        <f>IF(tblOrdenes[[#This Row],[orden]]="","",_xlfn.XLOOKUP(tblOrdenes[[#This Row],[id_operacion]],tblEjecucion[id_operacion],tblEjecucion[precio],0))</f>
        <v/>
      </c>
      <c r="AJ674" s="10">
        <f>IF(tblOrdenes[[#This Row],[orden]]="","",MAX(0,_xlfn.XLOOKUP(tblOrdenes[[#This Row],[id_operacion]],tblEjecucion[id_operacion],tblEjecucion[costo_plan_total],0)-tblOrdenes[[#This Row],[costo_servicio]]))</f>
        <v/>
      </c>
      <c r="AK674" s="10">
        <f>IF(tblOrdenes[[#This Row],[orden]]="","",tblOrdenes[[#This Row],[costo_servicio]]+tblOrdenes[[#This Row],[costo_materiales]])</f>
        <v/>
      </c>
      <c r="AL674" s="6" t="n"/>
      <c r="AM674" s="6" t="n"/>
      <c r="AN674" s="6" t="n"/>
      <c r="AO674" s="3">
        <f>IF(tblOrdenes[[#This Row],[link_checklist]]="","",HYPERLINK(p_ruta_base_checklists&amp;tblOrdenes[[#This Row],[link_checklist]],"abrir"))</f>
        <v/>
      </c>
      <c r="AP674" s="6" t="n"/>
      <c r="AQ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3">
        <f>IF(tblOrdenes[[#This Row],[tipo_ot]]="","",_xlfn.XLOOKUP(tblOrdenes[[#This Row],[tipo_ot]],tblTiposOT[codigo],tblTiposOT[clasificacion],"sin_clasificar"))</f>
        <v/>
      </c>
      <c r="U675" s="3">
        <f>IF(tblOrdenes[[#This Row],[centro_costo]]="","",_xlfn.XLOOKUP(tblOrdenes[[#This Row],[centro_costo]],tblCECO[codigo],tblCECO[linea],"(sin catálogo)"))</f>
        <v/>
      </c>
      <c r="V675" s="3">
        <f>IF(tblOrdenes[[#This Row],[centro_costo]]="","",_xlfn.XLOOKUP(tblOrdenes[[#This Row],[centro_costo]],tblCECO[codigo],tblCECO[area],"(sin catálogo)"))</f>
        <v/>
      </c>
      <c r="W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3">
        <f>IF(tblOrdenes[[#This Row],[centro_costo]]="","",_xlfn.XLOOKUP(tblOrdenes[[#This Row],[centro_costo]],tblCECO[codigo],tblCECO[coordinador],"(sin catálogo)"))</f>
        <v/>
      </c>
      <c r="Y675" s="3">
        <f>IF(tblOrdenes[[#This Row],[puesto_trabajo]]="","",_xlfn.XLOOKUP(tblOrdenes[[#This Row],[puesto_trabajo]],tblPuestos[codigo],tblPuestos[especialidad],"(sin catálogo)"))</f>
        <v/>
      </c>
      <c r="Z675" s="3">
        <f>IF(tblOrdenes[[#This Row],[cod_actividad]]="","",_xlfn.XLOOKUP(tblOrdenes[[#This Row],[cod_actividad]],tblActividades[codigo],tblActividades[descripcion],"(sin catálogo)"))</f>
        <v/>
      </c>
      <c r="AA675" s="12">
        <f>IF(tblOrdenes[[#This Row],[fecha_inicio]]="","",TODAY()-tblOrdenes[[#This Row],[fecha_inicio]])</f>
        <v/>
      </c>
      <c r="AB6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3">
        <f>IF(tblOrdenes[[#This Row],[backlog_habiles]]="","",IF(tblOrdenes[[#This Row],[backlog_habiles]]&lt;0,"FUTURO",IF(tblOrdenes[[#This Row],[backlog_habiles]]&gt;p_dias_backlog_max,"BACKLOG","MES CORRIENTE")))</f>
        <v/>
      </c>
      <c r="AD675" s="3">
        <f>IF(tblOrdenes[[#This Row],[backlog_habiles]]="",FALSE,AND(tblOrdenes[[#This Row],[backlog_habiles]]&gt;p_dias_backlog_min,tblOrdenes[[#This Row],[backlog_habiles]]&lt;=p_dias_backlog_max))</f>
        <v/>
      </c>
      <c r="AE675" s="6" t="n"/>
      <c r="AF6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0">
        <f>IF(tblOrdenes[[#This Row],[orden]]="","",_xlfn.XLOOKUP(tblOrdenes[[#This Row],[id_operacion]],tblEjecucion[id_operacion],tblEjecucion[precio],0))</f>
        <v/>
      </c>
      <c r="AJ675" s="10">
        <f>IF(tblOrdenes[[#This Row],[orden]]="","",MAX(0,_xlfn.XLOOKUP(tblOrdenes[[#This Row],[id_operacion]],tblEjecucion[id_operacion],tblEjecucion[costo_plan_total],0)-tblOrdenes[[#This Row],[costo_servicio]]))</f>
        <v/>
      </c>
      <c r="AK675" s="10">
        <f>IF(tblOrdenes[[#This Row],[orden]]="","",tblOrdenes[[#This Row],[costo_servicio]]+tblOrdenes[[#This Row],[costo_materiales]])</f>
        <v/>
      </c>
      <c r="AL675" s="6" t="n"/>
      <c r="AM675" s="6" t="n"/>
      <c r="AN675" s="6" t="n"/>
      <c r="AO675" s="3">
        <f>IF(tblOrdenes[[#This Row],[link_checklist]]="","",HYPERLINK(p_ruta_base_checklists&amp;tblOrdenes[[#This Row],[link_checklist]],"abrir"))</f>
        <v/>
      </c>
      <c r="AP675" s="6" t="n"/>
      <c r="AQ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3">
        <f>IF(tblOrdenes[[#This Row],[tipo_ot]]="","",_xlfn.XLOOKUP(tblOrdenes[[#This Row],[tipo_ot]],tblTiposOT[codigo],tblTiposOT[clasificacion],"sin_clasificar"))</f>
        <v/>
      </c>
      <c r="U676" s="3">
        <f>IF(tblOrdenes[[#This Row],[centro_costo]]="","",_xlfn.XLOOKUP(tblOrdenes[[#This Row],[centro_costo]],tblCECO[codigo],tblCECO[linea],"(sin catálogo)"))</f>
        <v/>
      </c>
      <c r="V676" s="3">
        <f>IF(tblOrdenes[[#This Row],[centro_costo]]="","",_xlfn.XLOOKUP(tblOrdenes[[#This Row],[centro_costo]],tblCECO[codigo],tblCECO[area],"(sin catálogo)"))</f>
        <v/>
      </c>
      <c r="W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3">
        <f>IF(tblOrdenes[[#This Row],[centro_costo]]="","",_xlfn.XLOOKUP(tblOrdenes[[#This Row],[centro_costo]],tblCECO[codigo],tblCECO[coordinador],"(sin catálogo)"))</f>
        <v/>
      </c>
      <c r="Y676" s="3">
        <f>IF(tblOrdenes[[#This Row],[puesto_trabajo]]="","",_xlfn.XLOOKUP(tblOrdenes[[#This Row],[puesto_trabajo]],tblPuestos[codigo],tblPuestos[especialidad],"(sin catálogo)"))</f>
        <v/>
      </c>
      <c r="Z676" s="3">
        <f>IF(tblOrdenes[[#This Row],[cod_actividad]]="","",_xlfn.XLOOKUP(tblOrdenes[[#This Row],[cod_actividad]],tblActividades[codigo],tblActividades[descripcion],"(sin catálogo)"))</f>
        <v/>
      </c>
      <c r="AA676" s="12">
        <f>IF(tblOrdenes[[#This Row],[fecha_inicio]]="","",TODAY()-tblOrdenes[[#This Row],[fecha_inicio]])</f>
        <v/>
      </c>
      <c r="AB6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3">
        <f>IF(tblOrdenes[[#This Row],[backlog_habiles]]="","",IF(tblOrdenes[[#This Row],[backlog_habiles]]&lt;0,"FUTURO",IF(tblOrdenes[[#This Row],[backlog_habiles]]&gt;p_dias_backlog_max,"BACKLOG","MES CORRIENTE")))</f>
        <v/>
      </c>
      <c r="AD676" s="3">
        <f>IF(tblOrdenes[[#This Row],[backlog_habiles]]="",FALSE,AND(tblOrdenes[[#This Row],[backlog_habiles]]&gt;p_dias_backlog_min,tblOrdenes[[#This Row],[backlog_habiles]]&lt;=p_dias_backlog_max))</f>
        <v/>
      </c>
      <c r="AE676" s="6" t="n"/>
      <c r="AF6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0">
        <f>IF(tblOrdenes[[#This Row],[orden]]="","",_xlfn.XLOOKUP(tblOrdenes[[#This Row],[id_operacion]],tblEjecucion[id_operacion],tblEjecucion[precio],0))</f>
        <v/>
      </c>
      <c r="AJ676" s="10">
        <f>IF(tblOrdenes[[#This Row],[orden]]="","",MAX(0,_xlfn.XLOOKUP(tblOrdenes[[#This Row],[id_operacion]],tblEjecucion[id_operacion],tblEjecucion[costo_plan_total],0)-tblOrdenes[[#This Row],[costo_servicio]]))</f>
        <v/>
      </c>
      <c r="AK676" s="10">
        <f>IF(tblOrdenes[[#This Row],[orden]]="","",tblOrdenes[[#This Row],[costo_servicio]]+tblOrdenes[[#This Row],[costo_materiales]])</f>
        <v/>
      </c>
      <c r="AL676" s="6" t="n"/>
      <c r="AM676" s="6" t="n"/>
      <c r="AN676" s="6" t="n"/>
      <c r="AO676" s="3">
        <f>IF(tblOrdenes[[#This Row],[link_checklist]]="","",HYPERLINK(p_ruta_base_checklists&amp;tblOrdenes[[#This Row],[link_checklist]],"abrir"))</f>
        <v/>
      </c>
      <c r="AP676" s="6" t="n"/>
      <c r="AQ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3">
        <f>IF(tblOrdenes[[#This Row],[tipo_ot]]="","",_xlfn.XLOOKUP(tblOrdenes[[#This Row],[tipo_ot]],tblTiposOT[codigo],tblTiposOT[clasificacion],"sin_clasificar"))</f>
        <v/>
      </c>
      <c r="U677" s="3">
        <f>IF(tblOrdenes[[#This Row],[centro_costo]]="","",_xlfn.XLOOKUP(tblOrdenes[[#This Row],[centro_costo]],tblCECO[codigo],tblCECO[linea],"(sin catálogo)"))</f>
        <v/>
      </c>
      <c r="V677" s="3">
        <f>IF(tblOrdenes[[#This Row],[centro_costo]]="","",_xlfn.XLOOKUP(tblOrdenes[[#This Row],[centro_costo]],tblCECO[codigo],tblCECO[area],"(sin catálogo)"))</f>
        <v/>
      </c>
      <c r="W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3">
        <f>IF(tblOrdenes[[#This Row],[centro_costo]]="","",_xlfn.XLOOKUP(tblOrdenes[[#This Row],[centro_costo]],tblCECO[codigo],tblCECO[coordinador],"(sin catálogo)"))</f>
        <v/>
      </c>
      <c r="Y677" s="3">
        <f>IF(tblOrdenes[[#This Row],[puesto_trabajo]]="","",_xlfn.XLOOKUP(tblOrdenes[[#This Row],[puesto_trabajo]],tblPuestos[codigo],tblPuestos[especialidad],"(sin catálogo)"))</f>
        <v/>
      </c>
      <c r="Z677" s="3">
        <f>IF(tblOrdenes[[#This Row],[cod_actividad]]="","",_xlfn.XLOOKUP(tblOrdenes[[#This Row],[cod_actividad]],tblActividades[codigo],tblActividades[descripcion],"(sin catálogo)"))</f>
        <v/>
      </c>
      <c r="AA677" s="12">
        <f>IF(tblOrdenes[[#This Row],[fecha_inicio]]="","",TODAY()-tblOrdenes[[#This Row],[fecha_inicio]])</f>
        <v/>
      </c>
      <c r="AB6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3">
        <f>IF(tblOrdenes[[#This Row],[backlog_habiles]]="","",IF(tblOrdenes[[#This Row],[backlog_habiles]]&lt;0,"FUTURO",IF(tblOrdenes[[#This Row],[backlog_habiles]]&gt;p_dias_backlog_max,"BACKLOG","MES CORRIENTE")))</f>
        <v/>
      </c>
      <c r="AD677" s="3">
        <f>IF(tblOrdenes[[#This Row],[backlog_habiles]]="",FALSE,AND(tblOrdenes[[#This Row],[backlog_habiles]]&gt;p_dias_backlog_min,tblOrdenes[[#This Row],[backlog_habiles]]&lt;=p_dias_backlog_max))</f>
        <v/>
      </c>
      <c r="AE677" s="6" t="n"/>
      <c r="AF6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0">
        <f>IF(tblOrdenes[[#This Row],[orden]]="","",_xlfn.XLOOKUP(tblOrdenes[[#This Row],[id_operacion]],tblEjecucion[id_operacion],tblEjecucion[precio],0))</f>
        <v/>
      </c>
      <c r="AJ677" s="10">
        <f>IF(tblOrdenes[[#This Row],[orden]]="","",MAX(0,_xlfn.XLOOKUP(tblOrdenes[[#This Row],[id_operacion]],tblEjecucion[id_operacion],tblEjecucion[costo_plan_total],0)-tblOrdenes[[#This Row],[costo_servicio]]))</f>
        <v/>
      </c>
      <c r="AK677" s="10">
        <f>IF(tblOrdenes[[#This Row],[orden]]="","",tblOrdenes[[#This Row],[costo_servicio]]+tblOrdenes[[#This Row],[costo_materiales]])</f>
        <v/>
      </c>
      <c r="AL677" s="6" t="n"/>
      <c r="AM677" s="6" t="n"/>
      <c r="AN677" s="6" t="n"/>
      <c r="AO677" s="3">
        <f>IF(tblOrdenes[[#This Row],[link_checklist]]="","",HYPERLINK(p_ruta_base_checklists&amp;tblOrdenes[[#This Row],[link_checklist]],"abrir"))</f>
        <v/>
      </c>
      <c r="AP677" s="6" t="n"/>
      <c r="AQ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3">
        <f>IF(tblOrdenes[[#This Row],[tipo_ot]]="","",_xlfn.XLOOKUP(tblOrdenes[[#This Row],[tipo_ot]],tblTiposOT[codigo],tblTiposOT[clasificacion],"sin_clasificar"))</f>
        <v/>
      </c>
      <c r="U678" s="3">
        <f>IF(tblOrdenes[[#This Row],[centro_costo]]="","",_xlfn.XLOOKUP(tblOrdenes[[#This Row],[centro_costo]],tblCECO[codigo],tblCECO[linea],"(sin catálogo)"))</f>
        <v/>
      </c>
      <c r="V678" s="3">
        <f>IF(tblOrdenes[[#This Row],[centro_costo]]="","",_xlfn.XLOOKUP(tblOrdenes[[#This Row],[centro_costo]],tblCECO[codigo],tblCECO[area],"(sin catálogo)"))</f>
        <v/>
      </c>
      <c r="W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3">
        <f>IF(tblOrdenes[[#This Row],[centro_costo]]="","",_xlfn.XLOOKUP(tblOrdenes[[#This Row],[centro_costo]],tblCECO[codigo],tblCECO[coordinador],"(sin catálogo)"))</f>
        <v/>
      </c>
      <c r="Y678" s="3">
        <f>IF(tblOrdenes[[#This Row],[puesto_trabajo]]="","",_xlfn.XLOOKUP(tblOrdenes[[#This Row],[puesto_trabajo]],tblPuestos[codigo],tblPuestos[especialidad],"(sin catálogo)"))</f>
        <v/>
      </c>
      <c r="Z678" s="3">
        <f>IF(tblOrdenes[[#This Row],[cod_actividad]]="","",_xlfn.XLOOKUP(tblOrdenes[[#This Row],[cod_actividad]],tblActividades[codigo],tblActividades[descripcion],"(sin catálogo)"))</f>
        <v/>
      </c>
      <c r="AA678" s="12">
        <f>IF(tblOrdenes[[#This Row],[fecha_inicio]]="","",TODAY()-tblOrdenes[[#This Row],[fecha_inicio]])</f>
        <v/>
      </c>
      <c r="AB6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3">
        <f>IF(tblOrdenes[[#This Row],[backlog_habiles]]="","",IF(tblOrdenes[[#This Row],[backlog_habiles]]&lt;0,"FUTURO",IF(tblOrdenes[[#This Row],[backlog_habiles]]&gt;p_dias_backlog_max,"BACKLOG","MES CORRIENTE")))</f>
        <v/>
      </c>
      <c r="AD678" s="3">
        <f>IF(tblOrdenes[[#This Row],[backlog_habiles]]="",FALSE,AND(tblOrdenes[[#This Row],[backlog_habiles]]&gt;p_dias_backlog_min,tblOrdenes[[#This Row],[backlog_habiles]]&lt;=p_dias_backlog_max))</f>
        <v/>
      </c>
      <c r="AE678" s="6" t="n"/>
      <c r="AF6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0">
        <f>IF(tblOrdenes[[#This Row],[orden]]="","",_xlfn.XLOOKUP(tblOrdenes[[#This Row],[id_operacion]],tblEjecucion[id_operacion],tblEjecucion[precio],0))</f>
        <v/>
      </c>
      <c r="AJ678" s="10">
        <f>IF(tblOrdenes[[#This Row],[orden]]="","",MAX(0,_xlfn.XLOOKUP(tblOrdenes[[#This Row],[id_operacion]],tblEjecucion[id_operacion],tblEjecucion[costo_plan_total],0)-tblOrdenes[[#This Row],[costo_servicio]]))</f>
        <v/>
      </c>
      <c r="AK678" s="10">
        <f>IF(tblOrdenes[[#This Row],[orden]]="","",tblOrdenes[[#This Row],[costo_servicio]]+tblOrdenes[[#This Row],[costo_materiales]])</f>
        <v/>
      </c>
      <c r="AL678" s="6" t="n"/>
      <c r="AM678" s="6" t="n"/>
      <c r="AN678" s="6" t="n"/>
      <c r="AO678" s="3">
        <f>IF(tblOrdenes[[#This Row],[link_checklist]]="","",HYPERLINK(p_ruta_base_checklists&amp;tblOrdenes[[#This Row],[link_checklist]],"abrir"))</f>
        <v/>
      </c>
      <c r="AP678" s="6" t="n"/>
      <c r="AQ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3">
        <f>IF(tblOrdenes[[#This Row],[tipo_ot]]="","",_xlfn.XLOOKUP(tblOrdenes[[#This Row],[tipo_ot]],tblTiposOT[codigo],tblTiposOT[clasificacion],"sin_clasificar"))</f>
        <v/>
      </c>
      <c r="U679" s="3">
        <f>IF(tblOrdenes[[#This Row],[centro_costo]]="","",_xlfn.XLOOKUP(tblOrdenes[[#This Row],[centro_costo]],tblCECO[codigo],tblCECO[linea],"(sin catálogo)"))</f>
        <v/>
      </c>
      <c r="V679" s="3">
        <f>IF(tblOrdenes[[#This Row],[centro_costo]]="","",_xlfn.XLOOKUP(tblOrdenes[[#This Row],[centro_costo]],tblCECO[codigo],tblCECO[area],"(sin catálogo)"))</f>
        <v/>
      </c>
      <c r="W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3">
        <f>IF(tblOrdenes[[#This Row],[centro_costo]]="","",_xlfn.XLOOKUP(tblOrdenes[[#This Row],[centro_costo]],tblCECO[codigo],tblCECO[coordinador],"(sin catálogo)"))</f>
        <v/>
      </c>
      <c r="Y679" s="3">
        <f>IF(tblOrdenes[[#This Row],[puesto_trabajo]]="","",_xlfn.XLOOKUP(tblOrdenes[[#This Row],[puesto_trabajo]],tblPuestos[codigo],tblPuestos[especialidad],"(sin catálogo)"))</f>
        <v/>
      </c>
      <c r="Z679" s="3">
        <f>IF(tblOrdenes[[#This Row],[cod_actividad]]="","",_xlfn.XLOOKUP(tblOrdenes[[#This Row],[cod_actividad]],tblActividades[codigo],tblActividades[descripcion],"(sin catálogo)"))</f>
        <v/>
      </c>
      <c r="AA679" s="12">
        <f>IF(tblOrdenes[[#This Row],[fecha_inicio]]="","",TODAY()-tblOrdenes[[#This Row],[fecha_inicio]])</f>
        <v/>
      </c>
      <c r="AB6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3">
        <f>IF(tblOrdenes[[#This Row],[backlog_habiles]]="","",IF(tblOrdenes[[#This Row],[backlog_habiles]]&lt;0,"FUTURO",IF(tblOrdenes[[#This Row],[backlog_habiles]]&gt;p_dias_backlog_max,"BACKLOG","MES CORRIENTE")))</f>
        <v/>
      </c>
      <c r="AD679" s="3">
        <f>IF(tblOrdenes[[#This Row],[backlog_habiles]]="",FALSE,AND(tblOrdenes[[#This Row],[backlog_habiles]]&gt;p_dias_backlog_min,tblOrdenes[[#This Row],[backlog_habiles]]&lt;=p_dias_backlog_max))</f>
        <v/>
      </c>
      <c r="AE679" s="6" t="n"/>
      <c r="AF6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0">
        <f>IF(tblOrdenes[[#This Row],[orden]]="","",_xlfn.XLOOKUP(tblOrdenes[[#This Row],[id_operacion]],tblEjecucion[id_operacion],tblEjecucion[precio],0))</f>
        <v/>
      </c>
      <c r="AJ679" s="10">
        <f>IF(tblOrdenes[[#This Row],[orden]]="","",MAX(0,_xlfn.XLOOKUP(tblOrdenes[[#This Row],[id_operacion]],tblEjecucion[id_operacion],tblEjecucion[costo_plan_total],0)-tblOrdenes[[#This Row],[costo_servicio]]))</f>
        <v/>
      </c>
      <c r="AK679" s="10">
        <f>IF(tblOrdenes[[#This Row],[orden]]="","",tblOrdenes[[#This Row],[costo_servicio]]+tblOrdenes[[#This Row],[costo_materiales]])</f>
        <v/>
      </c>
      <c r="AL679" s="6" t="n"/>
      <c r="AM679" s="6" t="n"/>
      <c r="AN679" s="6" t="n"/>
      <c r="AO679" s="3">
        <f>IF(tblOrdenes[[#This Row],[link_checklist]]="","",HYPERLINK(p_ruta_base_checklists&amp;tblOrdenes[[#This Row],[link_checklist]],"abrir"))</f>
        <v/>
      </c>
      <c r="AP679" s="6" t="n"/>
      <c r="AQ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3">
        <f>IF(tblOrdenes[[#This Row],[tipo_ot]]="","",_xlfn.XLOOKUP(tblOrdenes[[#This Row],[tipo_ot]],tblTiposOT[codigo],tblTiposOT[clasificacion],"sin_clasificar"))</f>
        <v/>
      </c>
      <c r="U680" s="3">
        <f>IF(tblOrdenes[[#This Row],[centro_costo]]="","",_xlfn.XLOOKUP(tblOrdenes[[#This Row],[centro_costo]],tblCECO[codigo],tblCECO[linea],"(sin catálogo)"))</f>
        <v/>
      </c>
      <c r="V680" s="3">
        <f>IF(tblOrdenes[[#This Row],[centro_costo]]="","",_xlfn.XLOOKUP(tblOrdenes[[#This Row],[centro_costo]],tblCECO[codigo],tblCECO[area],"(sin catálogo)"))</f>
        <v/>
      </c>
      <c r="W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3">
        <f>IF(tblOrdenes[[#This Row],[centro_costo]]="","",_xlfn.XLOOKUP(tblOrdenes[[#This Row],[centro_costo]],tblCECO[codigo],tblCECO[coordinador],"(sin catálogo)"))</f>
        <v/>
      </c>
      <c r="Y680" s="3">
        <f>IF(tblOrdenes[[#This Row],[puesto_trabajo]]="","",_xlfn.XLOOKUP(tblOrdenes[[#This Row],[puesto_trabajo]],tblPuestos[codigo],tblPuestos[especialidad],"(sin catálogo)"))</f>
        <v/>
      </c>
      <c r="Z680" s="3">
        <f>IF(tblOrdenes[[#This Row],[cod_actividad]]="","",_xlfn.XLOOKUP(tblOrdenes[[#This Row],[cod_actividad]],tblActividades[codigo],tblActividades[descripcion],"(sin catálogo)"))</f>
        <v/>
      </c>
      <c r="AA680" s="12">
        <f>IF(tblOrdenes[[#This Row],[fecha_inicio]]="","",TODAY()-tblOrdenes[[#This Row],[fecha_inicio]])</f>
        <v/>
      </c>
      <c r="AB6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3">
        <f>IF(tblOrdenes[[#This Row],[backlog_habiles]]="","",IF(tblOrdenes[[#This Row],[backlog_habiles]]&lt;0,"FUTURO",IF(tblOrdenes[[#This Row],[backlog_habiles]]&gt;p_dias_backlog_max,"BACKLOG","MES CORRIENTE")))</f>
        <v/>
      </c>
      <c r="AD680" s="3">
        <f>IF(tblOrdenes[[#This Row],[backlog_habiles]]="",FALSE,AND(tblOrdenes[[#This Row],[backlog_habiles]]&gt;p_dias_backlog_min,tblOrdenes[[#This Row],[backlog_habiles]]&lt;=p_dias_backlog_max))</f>
        <v/>
      </c>
      <c r="AE680" s="6" t="n"/>
      <c r="AF6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0">
        <f>IF(tblOrdenes[[#This Row],[orden]]="","",_xlfn.XLOOKUP(tblOrdenes[[#This Row],[id_operacion]],tblEjecucion[id_operacion],tblEjecucion[precio],0))</f>
        <v/>
      </c>
      <c r="AJ680" s="10">
        <f>IF(tblOrdenes[[#This Row],[orden]]="","",MAX(0,_xlfn.XLOOKUP(tblOrdenes[[#This Row],[id_operacion]],tblEjecucion[id_operacion],tblEjecucion[costo_plan_total],0)-tblOrdenes[[#This Row],[costo_servicio]]))</f>
        <v/>
      </c>
      <c r="AK680" s="10">
        <f>IF(tblOrdenes[[#This Row],[orden]]="","",tblOrdenes[[#This Row],[costo_servicio]]+tblOrdenes[[#This Row],[costo_materiales]])</f>
        <v/>
      </c>
      <c r="AL680" s="6" t="n"/>
      <c r="AM680" s="6" t="n"/>
      <c r="AN680" s="6" t="n"/>
      <c r="AO680" s="3">
        <f>IF(tblOrdenes[[#This Row],[link_checklist]]="","",HYPERLINK(p_ruta_base_checklists&amp;tblOrdenes[[#This Row],[link_checklist]],"abrir"))</f>
        <v/>
      </c>
      <c r="AP680" s="6" t="n"/>
      <c r="AQ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3">
        <f>IF(tblOrdenes[[#This Row],[tipo_ot]]="","",_xlfn.XLOOKUP(tblOrdenes[[#This Row],[tipo_ot]],tblTiposOT[codigo],tblTiposOT[clasificacion],"sin_clasificar"))</f>
        <v/>
      </c>
      <c r="U681" s="3">
        <f>IF(tblOrdenes[[#This Row],[centro_costo]]="","",_xlfn.XLOOKUP(tblOrdenes[[#This Row],[centro_costo]],tblCECO[codigo],tblCECO[linea],"(sin catálogo)"))</f>
        <v/>
      </c>
      <c r="V681" s="3">
        <f>IF(tblOrdenes[[#This Row],[centro_costo]]="","",_xlfn.XLOOKUP(tblOrdenes[[#This Row],[centro_costo]],tblCECO[codigo],tblCECO[area],"(sin catálogo)"))</f>
        <v/>
      </c>
      <c r="W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3">
        <f>IF(tblOrdenes[[#This Row],[centro_costo]]="","",_xlfn.XLOOKUP(tblOrdenes[[#This Row],[centro_costo]],tblCECO[codigo],tblCECO[coordinador],"(sin catálogo)"))</f>
        <v/>
      </c>
      <c r="Y681" s="3">
        <f>IF(tblOrdenes[[#This Row],[puesto_trabajo]]="","",_xlfn.XLOOKUP(tblOrdenes[[#This Row],[puesto_trabajo]],tblPuestos[codigo],tblPuestos[especialidad],"(sin catálogo)"))</f>
        <v/>
      </c>
      <c r="Z681" s="3">
        <f>IF(tblOrdenes[[#This Row],[cod_actividad]]="","",_xlfn.XLOOKUP(tblOrdenes[[#This Row],[cod_actividad]],tblActividades[codigo],tblActividades[descripcion],"(sin catálogo)"))</f>
        <v/>
      </c>
      <c r="AA681" s="12">
        <f>IF(tblOrdenes[[#This Row],[fecha_inicio]]="","",TODAY()-tblOrdenes[[#This Row],[fecha_inicio]])</f>
        <v/>
      </c>
      <c r="AB6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3">
        <f>IF(tblOrdenes[[#This Row],[backlog_habiles]]="","",IF(tblOrdenes[[#This Row],[backlog_habiles]]&lt;0,"FUTURO",IF(tblOrdenes[[#This Row],[backlog_habiles]]&gt;p_dias_backlog_max,"BACKLOG","MES CORRIENTE")))</f>
        <v/>
      </c>
      <c r="AD681" s="3">
        <f>IF(tblOrdenes[[#This Row],[backlog_habiles]]="",FALSE,AND(tblOrdenes[[#This Row],[backlog_habiles]]&gt;p_dias_backlog_min,tblOrdenes[[#This Row],[backlog_habiles]]&lt;=p_dias_backlog_max))</f>
        <v/>
      </c>
      <c r="AE681" s="6" t="n"/>
      <c r="AF6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0">
        <f>IF(tblOrdenes[[#This Row],[orden]]="","",_xlfn.XLOOKUP(tblOrdenes[[#This Row],[id_operacion]],tblEjecucion[id_operacion],tblEjecucion[precio],0))</f>
        <v/>
      </c>
      <c r="AJ681" s="10">
        <f>IF(tblOrdenes[[#This Row],[orden]]="","",MAX(0,_xlfn.XLOOKUP(tblOrdenes[[#This Row],[id_operacion]],tblEjecucion[id_operacion],tblEjecucion[costo_plan_total],0)-tblOrdenes[[#This Row],[costo_servicio]]))</f>
        <v/>
      </c>
      <c r="AK681" s="10">
        <f>IF(tblOrdenes[[#This Row],[orden]]="","",tblOrdenes[[#This Row],[costo_servicio]]+tblOrdenes[[#This Row],[costo_materiales]])</f>
        <v/>
      </c>
      <c r="AL681" s="6" t="n"/>
      <c r="AM681" s="6" t="n"/>
      <c r="AN681" s="6" t="n"/>
      <c r="AO681" s="3">
        <f>IF(tblOrdenes[[#This Row],[link_checklist]]="","",HYPERLINK(p_ruta_base_checklists&amp;tblOrdenes[[#This Row],[link_checklist]],"abrir"))</f>
        <v/>
      </c>
      <c r="AP681" s="6" t="n"/>
      <c r="AQ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3">
        <f>IF(tblOrdenes[[#This Row],[tipo_ot]]="","",_xlfn.XLOOKUP(tblOrdenes[[#This Row],[tipo_ot]],tblTiposOT[codigo],tblTiposOT[clasificacion],"sin_clasificar"))</f>
        <v/>
      </c>
      <c r="U682" s="3">
        <f>IF(tblOrdenes[[#This Row],[centro_costo]]="","",_xlfn.XLOOKUP(tblOrdenes[[#This Row],[centro_costo]],tblCECO[codigo],tblCECO[linea],"(sin catálogo)"))</f>
        <v/>
      </c>
      <c r="V682" s="3">
        <f>IF(tblOrdenes[[#This Row],[centro_costo]]="","",_xlfn.XLOOKUP(tblOrdenes[[#This Row],[centro_costo]],tblCECO[codigo],tblCECO[area],"(sin catálogo)"))</f>
        <v/>
      </c>
      <c r="W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3">
        <f>IF(tblOrdenes[[#This Row],[centro_costo]]="","",_xlfn.XLOOKUP(tblOrdenes[[#This Row],[centro_costo]],tblCECO[codigo],tblCECO[coordinador],"(sin catálogo)"))</f>
        <v/>
      </c>
      <c r="Y682" s="3">
        <f>IF(tblOrdenes[[#This Row],[puesto_trabajo]]="","",_xlfn.XLOOKUP(tblOrdenes[[#This Row],[puesto_trabajo]],tblPuestos[codigo],tblPuestos[especialidad],"(sin catálogo)"))</f>
        <v/>
      </c>
      <c r="Z682" s="3">
        <f>IF(tblOrdenes[[#This Row],[cod_actividad]]="","",_xlfn.XLOOKUP(tblOrdenes[[#This Row],[cod_actividad]],tblActividades[codigo],tblActividades[descripcion],"(sin catálogo)"))</f>
        <v/>
      </c>
      <c r="AA682" s="12">
        <f>IF(tblOrdenes[[#This Row],[fecha_inicio]]="","",TODAY()-tblOrdenes[[#This Row],[fecha_inicio]])</f>
        <v/>
      </c>
      <c r="AB6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3">
        <f>IF(tblOrdenes[[#This Row],[backlog_habiles]]="","",IF(tblOrdenes[[#This Row],[backlog_habiles]]&lt;0,"FUTURO",IF(tblOrdenes[[#This Row],[backlog_habiles]]&gt;p_dias_backlog_max,"BACKLOG","MES CORRIENTE")))</f>
        <v/>
      </c>
      <c r="AD682" s="3">
        <f>IF(tblOrdenes[[#This Row],[backlog_habiles]]="",FALSE,AND(tblOrdenes[[#This Row],[backlog_habiles]]&gt;p_dias_backlog_min,tblOrdenes[[#This Row],[backlog_habiles]]&lt;=p_dias_backlog_max))</f>
        <v/>
      </c>
      <c r="AE682" s="6" t="n"/>
      <c r="AF6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0">
        <f>IF(tblOrdenes[[#This Row],[orden]]="","",_xlfn.XLOOKUP(tblOrdenes[[#This Row],[id_operacion]],tblEjecucion[id_operacion],tblEjecucion[precio],0))</f>
        <v/>
      </c>
      <c r="AJ682" s="10">
        <f>IF(tblOrdenes[[#This Row],[orden]]="","",MAX(0,_xlfn.XLOOKUP(tblOrdenes[[#This Row],[id_operacion]],tblEjecucion[id_operacion],tblEjecucion[costo_plan_total],0)-tblOrdenes[[#This Row],[costo_servicio]]))</f>
        <v/>
      </c>
      <c r="AK682" s="10">
        <f>IF(tblOrdenes[[#This Row],[orden]]="","",tblOrdenes[[#This Row],[costo_servicio]]+tblOrdenes[[#This Row],[costo_materiales]])</f>
        <v/>
      </c>
      <c r="AL682" s="6" t="n"/>
      <c r="AM682" s="6" t="n"/>
      <c r="AN682" s="6" t="n"/>
      <c r="AO682" s="3">
        <f>IF(tblOrdenes[[#This Row],[link_checklist]]="","",HYPERLINK(p_ruta_base_checklists&amp;tblOrdenes[[#This Row],[link_checklist]],"abrir"))</f>
        <v/>
      </c>
      <c r="AP682" s="6" t="n"/>
      <c r="AQ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3">
        <f>IF(tblOrdenes[[#This Row],[tipo_ot]]="","",_xlfn.XLOOKUP(tblOrdenes[[#This Row],[tipo_ot]],tblTiposOT[codigo],tblTiposOT[clasificacion],"sin_clasificar"))</f>
        <v/>
      </c>
      <c r="U683" s="3">
        <f>IF(tblOrdenes[[#This Row],[centro_costo]]="","",_xlfn.XLOOKUP(tblOrdenes[[#This Row],[centro_costo]],tblCECO[codigo],tblCECO[linea],"(sin catálogo)"))</f>
        <v/>
      </c>
      <c r="V683" s="3">
        <f>IF(tblOrdenes[[#This Row],[centro_costo]]="","",_xlfn.XLOOKUP(tblOrdenes[[#This Row],[centro_costo]],tblCECO[codigo],tblCECO[area],"(sin catálogo)"))</f>
        <v/>
      </c>
      <c r="W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3">
        <f>IF(tblOrdenes[[#This Row],[centro_costo]]="","",_xlfn.XLOOKUP(tblOrdenes[[#This Row],[centro_costo]],tblCECO[codigo],tblCECO[coordinador],"(sin catálogo)"))</f>
        <v/>
      </c>
      <c r="Y683" s="3">
        <f>IF(tblOrdenes[[#This Row],[puesto_trabajo]]="","",_xlfn.XLOOKUP(tblOrdenes[[#This Row],[puesto_trabajo]],tblPuestos[codigo],tblPuestos[especialidad],"(sin catálogo)"))</f>
        <v/>
      </c>
      <c r="Z683" s="3">
        <f>IF(tblOrdenes[[#This Row],[cod_actividad]]="","",_xlfn.XLOOKUP(tblOrdenes[[#This Row],[cod_actividad]],tblActividades[codigo],tblActividades[descripcion],"(sin catálogo)"))</f>
        <v/>
      </c>
      <c r="AA683" s="12">
        <f>IF(tblOrdenes[[#This Row],[fecha_inicio]]="","",TODAY()-tblOrdenes[[#This Row],[fecha_inicio]])</f>
        <v/>
      </c>
      <c r="AB6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3">
        <f>IF(tblOrdenes[[#This Row],[backlog_habiles]]="","",IF(tblOrdenes[[#This Row],[backlog_habiles]]&lt;0,"FUTURO",IF(tblOrdenes[[#This Row],[backlog_habiles]]&gt;p_dias_backlog_max,"BACKLOG","MES CORRIENTE")))</f>
        <v/>
      </c>
      <c r="AD683" s="3">
        <f>IF(tblOrdenes[[#This Row],[backlog_habiles]]="",FALSE,AND(tblOrdenes[[#This Row],[backlog_habiles]]&gt;p_dias_backlog_min,tblOrdenes[[#This Row],[backlog_habiles]]&lt;=p_dias_backlog_max))</f>
        <v/>
      </c>
      <c r="AE683" s="6" t="n"/>
      <c r="AF6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0">
        <f>IF(tblOrdenes[[#This Row],[orden]]="","",_xlfn.XLOOKUP(tblOrdenes[[#This Row],[id_operacion]],tblEjecucion[id_operacion],tblEjecucion[precio],0))</f>
        <v/>
      </c>
      <c r="AJ683" s="10">
        <f>IF(tblOrdenes[[#This Row],[orden]]="","",MAX(0,_xlfn.XLOOKUP(tblOrdenes[[#This Row],[id_operacion]],tblEjecucion[id_operacion],tblEjecucion[costo_plan_total],0)-tblOrdenes[[#This Row],[costo_servicio]]))</f>
        <v/>
      </c>
      <c r="AK683" s="10">
        <f>IF(tblOrdenes[[#This Row],[orden]]="","",tblOrdenes[[#This Row],[costo_servicio]]+tblOrdenes[[#This Row],[costo_materiales]])</f>
        <v/>
      </c>
      <c r="AL683" s="6" t="n"/>
      <c r="AM683" s="6" t="n"/>
      <c r="AN683" s="6" t="n"/>
      <c r="AO683" s="3">
        <f>IF(tblOrdenes[[#This Row],[link_checklist]]="","",HYPERLINK(p_ruta_base_checklists&amp;tblOrdenes[[#This Row],[link_checklist]],"abrir"))</f>
        <v/>
      </c>
      <c r="AP683" s="6" t="n"/>
      <c r="AQ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3">
        <f>IF(tblOrdenes[[#This Row],[tipo_ot]]="","",_xlfn.XLOOKUP(tblOrdenes[[#This Row],[tipo_ot]],tblTiposOT[codigo],tblTiposOT[clasificacion],"sin_clasificar"))</f>
        <v/>
      </c>
      <c r="U684" s="3">
        <f>IF(tblOrdenes[[#This Row],[centro_costo]]="","",_xlfn.XLOOKUP(tblOrdenes[[#This Row],[centro_costo]],tblCECO[codigo],tblCECO[linea],"(sin catálogo)"))</f>
        <v/>
      </c>
      <c r="V684" s="3">
        <f>IF(tblOrdenes[[#This Row],[centro_costo]]="","",_xlfn.XLOOKUP(tblOrdenes[[#This Row],[centro_costo]],tblCECO[codigo],tblCECO[area],"(sin catálogo)"))</f>
        <v/>
      </c>
      <c r="W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3">
        <f>IF(tblOrdenes[[#This Row],[centro_costo]]="","",_xlfn.XLOOKUP(tblOrdenes[[#This Row],[centro_costo]],tblCECO[codigo],tblCECO[coordinador],"(sin catálogo)"))</f>
        <v/>
      </c>
      <c r="Y684" s="3">
        <f>IF(tblOrdenes[[#This Row],[puesto_trabajo]]="","",_xlfn.XLOOKUP(tblOrdenes[[#This Row],[puesto_trabajo]],tblPuestos[codigo],tblPuestos[especialidad],"(sin catálogo)"))</f>
        <v/>
      </c>
      <c r="Z684" s="3">
        <f>IF(tblOrdenes[[#This Row],[cod_actividad]]="","",_xlfn.XLOOKUP(tblOrdenes[[#This Row],[cod_actividad]],tblActividades[codigo],tblActividades[descripcion],"(sin catálogo)"))</f>
        <v/>
      </c>
      <c r="AA684" s="12">
        <f>IF(tblOrdenes[[#This Row],[fecha_inicio]]="","",TODAY()-tblOrdenes[[#This Row],[fecha_inicio]])</f>
        <v/>
      </c>
      <c r="AB6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3">
        <f>IF(tblOrdenes[[#This Row],[backlog_habiles]]="","",IF(tblOrdenes[[#This Row],[backlog_habiles]]&lt;0,"FUTURO",IF(tblOrdenes[[#This Row],[backlog_habiles]]&gt;p_dias_backlog_max,"BACKLOG","MES CORRIENTE")))</f>
        <v/>
      </c>
      <c r="AD684" s="3">
        <f>IF(tblOrdenes[[#This Row],[backlog_habiles]]="",FALSE,AND(tblOrdenes[[#This Row],[backlog_habiles]]&gt;p_dias_backlog_min,tblOrdenes[[#This Row],[backlog_habiles]]&lt;=p_dias_backlog_max))</f>
        <v/>
      </c>
      <c r="AE684" s="6" t="n"/>
      <c r="AF6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0">
        <f>IF(tblOrdenes[[#This Row],[orden]]="","",_xlfn.XLOOKUP(tblOrdenes[[#This Row],[id_operacion]],tblEjecucion[id_operacion],tblEjecucion[precio],0))</f>
        <v/>
      </c>
      <c r="AJ684" s="10">
        <f>IF(tblOrdenes[[#This Row],[orden]]="","",MAX(0,_xlfn.XLOOKUP(tblOrdenes[[#This Row],[id_operacion]],tblEjecucion[id_operacion],tblEjecucion[costo_plan_total],0)-tblOrdenes[[#This Row],[costo_servicio]]))</f>
        <v/>
      </c>
      <c r="AK684" s="10">
        <f>IF(tblOrdenes[[#This Row],[orden]]="","",tblOrdenes[[#This Row],[costo_servicio]]+tblOrdenes[[#This Row],[costo_materiales]])</f>
        <v/>
      </c>
      <c r="AL684" s="6" t="n"/>
      <c r="AM684" s="6" t="n"/>
      <c r="AN684" s="6" t="n"/>
      <c r="AO684" s="3">
        <f>IF(tblOrdenes[[#This Row],[link_checklist]]="","",HYPERLINK(p_ruta_base_checklists&amp;tblOrdenes[[#This Row],[link_checklist]],"abrir"))</f>
        <v/>
      </c>
      <c r="AP684" s="6" t="n"/>
      <c r="AQ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3">
        <f>IF(tblOrdenes[[#This Row],[tipo_ot]]="","",_xlfn.XLOOKUP(tblOrdenes[[#This Row],[tipo_ot]],tblTiposOT[codigo],tblTiposOT[clasificacion],"sin_clasificar"))</f>
        <v/>
      </c>
      <c r="U685" s="3">
        <f>IF(tblOrdenes[[#This Row],[centro_costo]]="","",_xlfn.XLOOKUP(tblOrdenes[[#This Row],[centro_costo]],tblCECO[codigo],tblCECO[linea],"(sin catálogo)"))</f>
        <v/>
      </c>
      <c r="V685" s="3">
        <f>IF(tblOrdenes[[#This Row],[centro_costo]]="","",_xlfn.XLOOKUP(tblOrdenes[[#This Row],[centro_costo]],tblCECO[codigo],tblCECO[area],"(sin catálogo)"))</f>
        <v/>
      </c>
      <c r="W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3">
        <f>IF(tblOrdenes[[#This Row],[centro_costo]]="","",_xlfn.XLOOKUP(tblOrdenes[[#This Row],[centro_costo]],tblCECO[codigo],tblCECO[coordinador],"(sin catálogo)"))</f>
        <v/>
      </c>
      <c r="Y685" s="3">
        <f>IF(tblOrdenes[[#This Row],[puesto_trabajo]]="","",_xlfn.XLOOKUP(tblOrdenes[[#This Row],[puesto_trabajo]],tblPuestos[codigo],tblPuestos[especialidad],"(sin catálogo)"))</f>
        <v/>
      </c>
      <c r="Z685" s="3">
        <f>IF(tblOrdenes[[#This Row],[cod_actividad]]="","",_xlfn.XLOOKUP(tblOrdenes[[#This Row],[cod_actividad]],tblActividades[codigo],tblActividades[descripcion],"(sin catálogo)"))</f>
        <v/>
      </c>
      <c r="AA685" s="12">
        <f>IF(tblOrdenes[[#This Row],[fecha_inicio]]="","",TODAY()-tblOrdenes[[#This Row],[fecha_inicio]])</f>
        <v/>
      </c>
      <c r="AB6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3">
        <f>IF(tblOrdenes[[#This Row],[backlog_habiles]]="","",IF(tblOrdenes[[#This Row],[backlog_habiles]]&lt;0,"FUTURO",IF(tblOrdenes[[#This Row],[backlog_habiles]]&gt;p_dias_backlog_max,"BACKLOG","MES CORRIENTE")))</f>
        <v/>
      </c>
      <c r="AD685" s="3">
        <f>IF(tblOrdenes[[#This Row],[backlog_habiles]]="",FALSE,AND(tblOrdenes[[#This Row],[backlog_habiles]]&gt;p_dias_backlog_min,tblOrdenes[[#This Row],[backlog_habiles]]&lt;=p_dias_backlog_max))</f>
        <v/>
      </c>
      <c r="AE685" s="6" t="n"/>
      <c r="AF6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0">
        <f>IF(tblOrdenes[[#This Row],[orden]]="","",_xlfn.XLOOKUP(tblOrdenes[[#This Row],[id_operacion]],tblEjecucion[id_operacion],tblEjecucion[precio],0))</f>
        <v/>
      </c>
      <c r="AJ685" s="10">
        <f>IF(tblOrdenes[[#This Row],[orden]]="","",MAX(0,_xlfn.XLOOKUP(tblOrdenes[[#This Row],[id_operacion]],tblEjecucion[id_operacion],tblEjecucion[costo_plan_total],0)-tblOrdenes[[#This Row],[costo_servicio]]))</f>
        <v/>
      </c>
      <c r="AK685" s="10">
        <f>IF(tblOrdenes[[#This Row],[orden]]="","",tblOrdenes[[#This Row],[costo_servicio]]+tblOrdenes[[#This Row],[costo_materiales]])</f>
        <v/>
      </c>
      <c r="AL685" s="6" t="n"/>
      <c r="AM685" s="6" t="n"/>
      <c r="AN685" s="6" t="n"/>
      <c r="AO685" s="3">
        <f>IF(tblOrdenes[[#This Row],[link_checklist]]="","",HYPERLINK(p_ruta_base_checklists&amp;tblOrdenes[[#This Row],[link_checklist]],"abrir"))</f>
        <v/>
      </c>
      <c r="AP685" s="6" t="n"/>
      <c r="AQ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3">
        <f>IF(tblOrdenes[[#This Row],[tipo_ot]]="","",_xlfn.XLOOKUP(tblOrdenes[[#This Row],[tipo_ot]],tblTiposOT[codigo],tblTiposOT[clasificacion],"sin_clasificar"))</f>
        <v/>
      </c>
      <c r="U686" s="3">
        <f>IF(tblOrdenes[[#This Row],[centro_costo]]="","",_xlfn.XLOOKUP(tblOrdenes[[#This Row],[centro_costo]],tblCECO[codigo],tblCECO[linea],"(sin catálogo)"))</f>
        <v/>
      </c>
      <c r="V686" s="3">
        <f>IF(tblOrdenes[[#This Row],[centro_costo]]="","",_xlfn.XLOOKUP(tblOrdenes[[#This Row],[centro_costo]],tblCECO[codigo],tblCECO[area],"(sin catálogo)"))</f>
        <v/>
      </c>
      <c r="W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3">
        <f>IF(tblOrdenes[[#This Row],[centro_costo]]="","",_xlfn.XLOOKUP(tblOrdenes[[#This Row],[centro_costo]],tblCECO[codigo],tblCECO[coordinador],"(sin catálogo)"))</f>
        <v/>
      </c>
      <c r="Y686" s="3">
        <f>IF(tblOrdenes[[#This Row],[puesto_trabajo]]="","",_xlfn.XLOOKUP(tblOrdenes[[#This Row],[puesto_trabajo]],tblPuestos[codigo],tblPuestos[especialidad],"(sin catálogo)"))</f>
        <v/>
      </c>
      <c r="Z686" s="3">
        <f>IF(tblOrdenes[[#This Row],[cod_actividad]]="","",_xlfn.XLOOKUP(tblOrdenes[[#This Row],[cod_actividad]],tblActividades[codigo],tblActividades[descripcion],"(sin catálogo)"))</f>
        <v/>
      </c>
      <c r="AA686" s="12">
        <f>IF(tblOrdenes[[#This Row],[fecha_inicio]]="","",TODAY()-tblOrdenes[[#This Row],[fecha_inicio]])</f>
        <v/>
      </c>
      <c r="AB6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3">
        <f>IF(tblOrdenes[[#This Row],[backlog_habiles]]="","",IF(tblOrdenes[[#This Row],[backlog_habiles]]&lt;0,"FUTURO",IF(tblOrdenes[[#This Row],[backlog_habiles]]&gt;p_dias_backlog_max,"BACKLOG","MES CORRIENTE")))</f>
        <v/>
      </c>
      <c r="AD686" s="3">
        <f>IF(tblOrdenes[[#This Row],[backlog_habiles]]="",FALSE,AND(tblOrdenes[[#This Row],[backlog_habiles]]&gt;p_dias_backlog_min,tblOrdenes[[#This Row],[backlog_habiles]]&lt;=p_dias_backlog_max))</f>
        <v/>
      </c>
      <c r="AE686" s="6" t="n"/>
      <c r="AF6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0">
        <f>IF(tblOrdenes[[#This Row],[orden]]="","",_xlfn.XLOOKUP(tblOrdenes[[#This Row],[id_operacion]],tblEjecucion[id_operacion],tblEjecucion[precio],0))</f>
        <v/>
      </c>
      <c r="AJ686" s="10">
        <f>IF(tblOrdenes[[#This Row],[orden]]="","",MAX(0,_xlfn.XLOOKUP(tblOrdenes[[#This Row],[id_operacion]],tblEjecucion[id_operacion],tblEjecucion[costo_plan_total],0)-tblOrdenes[[#This Row],[costo_servicio]]))</f>
        <v/>
      </c>
      <c r="AK686" s="10">
        <f>IF(tblOrdenes[[#This Row],[orden]]="","",tblOrdenes[[#This Row],[costo_servicio]]+tblOrdenes[[#This Row],[costo_materiales]])</f>
        <v/>
      </c>
      <c r="AL686" s="6" t="n"/>
      <c r="AM686" s="6" t="n"/>
      <c r="AN686" s="6" t="n"/>
      <c r="AO686" s="3">
        <f>IF(tblOrdenes[[#This Row],[link_checklist]]="","",HYPERLINK(p_ruta_base_checklists&amp;tblOrdenes[[#This Row],[link_checklist]],"abrir"))</f>
        <v/>
      </c>
      <c r="AP686" s="6" t="n"/>
      <c r="AQ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3">
        <f>IF(tblOrdenes[[#This Row],[tipo_ot]]="","",_xlfn.XLOOKUP(tblOrdenes[[#This Row],[tipo_ot]],tblTiposOT[codigo],tblTiposOT[clasificacion],"sin_clasificar"))</f>
        <v/>
      </c>
      <c r="U687" s="3">
        <f>IF(tblOrdenes[[#This Row],[centro_costo]]="","",_xlfn.XLOOKUP(tblOrdenes[[#This Row],[centro_costo]],tblCECO[codigo],tblCECO[linea],"(sin catálogo)"))</f>
        <v/>
      </c>
      <c r="V687" s="3">
        <f>IF(tblOrdenes[[#This Row],[centro_costo]]="","",_xlfn.XLOOKUP(tblOrdenes[[#This Row],[centro_costo]],tblCECO[codigo],tblCECO[area],"(sin catálogo)"))</f>
        <v/>
      </c>
      <c r="W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3">
        <f>IF(tblOrdenes[[#This Row],[centro_costo]]="","",_xlfn.XLOOKUP(tblOrdenes[[#This Row],[centro_costo]],tblCECO[codigo],tblCECO[coordinador],"(sin catálogo)"))</f>
        <v/>
      </c>
      <c r="Y687" s="3">
        <f>IF(tblOrdenes[[#This Row],[puesto_trabajo]]="","",_xlfn.XLOOKUP(tblOrdenes[[#This Row],[puesto_trabajo]],tblPuestos[codigo],tblPuestos[especialidad],"(sin catálogo)"))</f>
        <v/>
      </c>
      <c r="Z687" s="3">
        <f>IF(tblOrdenes[[#This Row],[cod_actividad]]="","",_xlfn.XLOOKUP(tblOrdenes[[#This Row],[cod_actividad]],tblActividades[codigo],tblActividades[descripcion],"(sin catálogo)"))</f>
        <v/>
      </c>
      <c r="AA687" s="12">
        <f>IF(tblOrdenes[[#This Row],[fecha_inicio]]="","",TODAY()-tblOrdenes[[#This Row],[fecha_inicio]])</f>
        <v/>
      </c>
      <c r="AB6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3">
        <f>IF(tblOrdenes[[#This Row],[backlog_habiles]]="","",IF(tblOrdenes[[#This Row],[backlog_habiles]]&lt;0,"FUTURO",IF(tblOrdenes[[#This Row],[backlog_habiles]]&gt;p_dias_backlog_max,"BACKLOG","MES CORRIENTE")))</f>
        <v/>
      </c>
      <c r="AD687" s="3">
        <f>IF(tblOrdenes[[#This Row],[backlog_habiles]]="",FALSE,AND(tblOrdenes[[#This Row],[backlog_habiles]]&gt;p_dias_backlog_min,tblOrdenes[[#This Row],[backlog_habiles]]&lt;=p_dias_backlog_max))</f>
        <v/>
      </c>
      <c r="AE687" s="6" t="n"/>
      <c r="AF6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0">
        <f>IF(tblOrdenes[[#This Row],[orden]]="","",_xlfn.XLOOKUP(tblOrdenes[[#This Row],[id_operacion]],tblEjecucion[id_operacion],tblEjecucion[precio],0))</f>
        <v/>
      </c>
      <c r="AJ687" s="10">
        <f>IF(tblOrdenes[[#This Row],[orden]]="","",MAX(0,_xlfn.XLOOKUP(tblOrdenes[[#This Row],[id_operacion]],tblEjecucion[id_operacion],tblEjecucion[costo_plan_total],0)-tblOrdenes[[#This Row],[costo_servicio]]))</f>
        <v/>
      </c>
      <c r="AK687" s="10">
        <f>IF(tblOrdenes[[#This Row],[orden]]="","",tblOrdenes[[#This Row],[costo_servicio]]+tblOrdenes[[#This Row],[costo_materiales]])</f>
        <v/>
      </c>
      <c r="AL687" s="6" t="n"/>
      <c r="AM687" s="6" t="n"/>
      <c r="AN687" s="6" t="n"/>
      <c r="AO687" s="3">
        <f>IF(tblOrdenes[[#This Row],[link_checklist]]="","",HYPERLINK(p_ruta_base_checklists&amp;tblOrdenes[[#This Row],[link_checklist]],"abrir"))</f>
        <v/>
      </c>
      <c r="AP687" s="6" t="n"/>
      <c r="AQ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3">
        <f>IF(tblOrdenes[[#This Row],[tipo_ot]]="","",_xlfn.XLOOKUP(tblOrdenes[[#This Row],[tipo_ot]],tblTiposOT[codigo],tblTiposOT[clasificacion],"sin_clasificar"))</f>
        <v/>
      </c>
      <c r="U688" s="3">
        <f>IF(tblOrdenes[[#This Row],[centro_costo]]="","",_xlfn.XLOOKUP(tblOrdenes[[#This Row],[centro_costo]],tblCECO[codigo],tblCECO[linea],"(sin catálogo)"))</f>
        <v/>
      </c>
      <c r="V688" s="3">
        <f>IF(tblOrdenes[[#This Row],[centro_costo]]="","",_xlfn.XLOOKUP(tblOrdenes[[#This Row],[centro_costo]],tblCECO[codigo],tblCECO[area],"(sin catálogo)"))</f>
        <v/>
      </c>
      <c r="W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3">
        <f>IF(tblOrdenes[[#This Row],[centro_costo]]="","",_xlfn.XLOOKUP(tblOrdenes[[#This Row],[centro_costo]],tblCECO[codigo],tblCECO[coordinador],"(sin catálogo)"))</f>
        <v/>
      </c>
      <c r="Y688" s="3">
        <f>IF(tblOrdenes[[#This Row],[puesto_trabajo]]="","",_xlfn.XLOOKUP(tblOrdenes[[#This Row],[puesto_trabajo]],tblPuestos[codigo],tblPuestos[especialidad],"(sin catálogo)"))</f>
        <v/>
      </c>
      <c r="Z688" s="3">
        <f>IF(tblOrdenes[[#This Row],[cod_actividad]]="","",_xlfn.XLOOKUP(tblOrdenes[[#This Row],[cod_actividad]],tblActividades[codigo],tblActividades[descripcion],"(sin catálogo)"))</f>
        <v/>
      </c>
      <c r="AA688" s="12">
        <f>IF(tblOrdenes[[#This Row],[fecha_inicio]]="","",TODAY()-tblOrdenes[[#This Row],[fecha_inicio]])</f>
        <v/>
      </c>
      <c r="AB6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3">
        <f>IF(tblOrdenes[[#This Row],[backlog_habiles]]="","",IF(tblOrdenes[[#This Row],[backlog_habiles]]&lt;0,"FUTURO",IF(tblOrdenes[[#This Row],[backlog_habiles]]&gt;p_dias_backlog_max,"BACKLOG","MES CORRIENTE")))</f>
        <v/>
      </c>
      <c r="AD688" s="3">
        <f>IF(tblOrdenes[[#This Row],[backlog_habiles]]="",FALSE,AND(tblOrdenes[[#This Row],[backlog_habiles]]&gt;p_dias_backlog_min,tblOrdenes[[#This Row],[backlog_habiles]]&lt;=p_dias_backlog_max))</f>
        <v/>
      </c>
      <c r="AE688" s="6" t="n"/>
      <c r="AF6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0">
        <f>IF(tblOrdenes[[#This Row],[orden]]="","",_xlfn.XLOOKUP(tblOrdenes[[#This Row],[id_operacion]],tblEjecucion[id_operacion],tblEjecucion[precio],0))</f>
        <v/>
      </c>
      <c r="AJ688" s="10">
        <f>IF(tblOrdenes[[#This Row],[orden]]="","",MAX(0,_xlfn.XLOOKUP(tblOrdenes[[#This Row],[id_operacion]],tblEjecucion[id_operacion],tblEjecucion[costo_plan_total],0)-tblOrdenes[[#This Row],[costo_servicio]]))</f>
        <v/>
      </c>
      <c r="AK688" s="10">
        <f>IF(tblOrdenes[[#This Row],[orden]]="","",tblOrdenes[[#This Row],[costo_servicio]]+tblOrdenes[[#This Row],[costo_materiales]])</f>
        <v/>
      </c>
      <c r="AL688" s="6" t="n"/>
      <c r="AM688" s="6" t="n"/>
      <c r="AN688" s="6" t="n"/>
      <c r="AO688" s="3">
        <f>IF(tblOrdenes[[#This Row],[link_checklist]]="","",HYPERLINK(p_ruta_base_checklists&amp;tblOrdenes[[#This Row],[link_checklist]],"abrir"))</f>
        <v/>
      </c>
      <c r="AP688" s="6" t="n"/>
      <c r="AQ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3">
        <f>IF(tblOrdenes[[#This Row],[tipo_ot]]="","",_xlfn.XLOOKUP(tblOrdenes[[#This Row],[tipo_ot]],tblTiposOT[codigo],tblTiposOT[clasificacion],"sin_clasificar"))</f>
        <v/>
      </c>
      <c r="U689" s="3">
        <f>IF(tblOrdenes[[#This Row],[centro_costo]]="","",_xlfn.XLOOKUP(tblOrdenes[[#This Row],[centro_costo]],tblCECO[codigo],tblCECO[linea],"(sin catálogo)"))</f>
        <v/>
      </c>
      <c r="V689" s="3">
        <f>IF(tblOrdenes[[#This Row],[centro_costo]]="","",_xlfn.XLOOKUP(tblOrdenes[[#This Row],[centro_costo]],tblCECO[codigo],tblCECO[area],"(sin catálogo)"))</f>
        <v/>
      </c>
      <c r="W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3">
        <f>IF(tblOrdenes[[#This Row],[centro_costo]]="","",_xlfn.XLOOKUP(tblOrdenes[[#This Row],[centro_costo]],tblCECO[codigo],tblCECO[coordinador],"(sin catálogo)"))</f>
        <v/>
      </c>
      <c r="Y689" s="3">
        <f>IF(tblOrdenes[[#This Row],[puesto_trabajo]]="","",_xlfn.XLOOKUP(tblOrdenes[[#This Row],[puesto_trabajo]],tblPuestos[codigo],tblPuestos[especialidad],"(sin catálogo)"))</f>
        <v/>
      </c>
      <c r="Z689" s="3">
        <f>IF(tblOrdenes[[#This Row],[cod_actividad]]="","",_xlfn.XLOOKUP(tblOrdenes[[#This Row],[cod_actividad]],tblActividades[codigo],tblActividades[descripcion],"(sin catálogo)"))</f>
        <v/>
      </c>
      <c r="AA689" s="12">
        <f>IF(tblOrdenes[[#This Row],[fecha_inicio]]="","",TODAY()-tblOrdenes[[#This Row],[fecha_inicio]])</f>
        <v/>
      </c>
      <c r="AB6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3">
        <f>IF(tblOrdenes[[#This Row],[backlog_habiles]]="","",IF(tblOrdenes[[#This Row],[backlog_habiles]]&lt;0,"FUTURO",IF(tblOrdenes[[#This Row],[backlog_habiles]]&gt;p_dias_backlog_max,"BACKLOG","MES CORRIENTE")))</f>
        <v/>
      </c>
      <c r="AD689" s="3">
        <f>IF(tblOrdenes[[#This Row],[backlog_habiles]]="",FALSE,AND(tblOrdenes[[#This Row],[backlog_habiles]]&gt;p_dias_backlog_min,tblOrdenes[[#This Row],[backlog_habiles]]&lt;=p_dias_backlog_max))</f>
        <v/>
      </c>
      <c r="AE689" s="6" t="n"/>
      <c r="AF6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0">
        <f>IF(tblOrdenes[[#This Row],[orden]]="","",_xlfn.XLOOKUP(tblOrdenes[[#This Row],[id_operacion]],tblEjecucion[id_operacion],tblEjecucion[precio],0))</f>
        <v/>
      </c>
      <c r="AJ689" s="10">
        <f>IF(tblOrdenes[[#This Row],[orden]]="","",MAX(0,_xlfn.XLOOKUP(tblOrdenes[[#This Row],[id_operacion]],tblEjecucion[id_operacion],tblEjecucion[costo_plan_total],0)-tblOrdenes[[#This Row],[costo_servicio]]))</f>
        <v/>
      </c>
      <c r="AK689" s="10">
        <f>IF(tblOrdenes[[#This Row],[orden]]="","",tblOrdenes[[#This Row],[costo_servicio]]+tblOrdenes[[#This Row],[costo_materiales]])</f>
        <v/>
      </c>
      <c r="AL689" s="6" t="n"/>
      <c r="AM689" s="6" t="n"/>
      <c r="AN689" s="6" t="n"/>
      <c r="AO689" s="3">
        <f>IF(tblOrdenes[[#This Row],[link_checklist]]="","",HYPERLINK(p_ruta_base_checklists&amp;tblOrdenes[[#This Row],[link_checklist]],"abrir"))</f>
        <v/>
      </c>
      <c r="AP689" s="6" t="n"/>
      <c r="AQ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3">
        <f>IF(tblOrdenes[[#This Row],[tipo_ot]]="","",_xlfn.XLOOKUP(tblOrdenes[[#This Row],[tipo_ot]],tblTiposOT[codigo],tblTiposOT[clasificacion],"sin_clasificar"))</f>
        <v/>
      </c>
      <c r="U690" s="3">
        <f>IF(tblOrdenes[[#This Row],[centro_costo]]="","",_xlfn.XLOOKUP(tblOrdenes[[#This Row],[centro_costo]],tblCECO[codigo],tblCECO[linea],"(sin catálogo)"))</f>
        <v/>
      </c>
      <c r="V690" s="3">
        <f>IF(tblOrdenes[[#This Row],[centro_costo]]="","",_xlfn.XLOOKUP(tblOrdenes[[#This Row],[centro_costo]],tblCECO[codigo],tblCECO[area],"(sin catálogo)"))</f>
        <v/>
      </c>
      <c r="W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3">
        <f>IF(tblOrdenes[[#This Row],[centro_costo]]="","",_xlfn.XLOOKUP(tblOrdenes[[#This Row],[centro_costo]],tblCECO[codigo],tblCECO[coordinador],"(sin catálogo)"))</f>
        <v/>
      </c>
      <c r="Y690" s="3">
        <f>IF(tblOrdenes[[#This Row],[puesto_trabajo]]="","",_xlfn.XLOOKUP(tblOrdenes[[#This Row],[puesto_trabajo]],tblPuestos[codigo],tblPuestos[especialidad],"(sin catálogo)"))</f>
        <v/>
      </c>
      <c r="Z690" s="3">
        <f>IF(tblOrdenes[[#This Row],[cod_actividad]]="","",_xlfn.XLOOKUP(tblOrdenes[[#This Row],[cod_actividad]],tblActividades[codigo],tblActividades[descripcion],"(sin catálogo)"))</f>
        <v/>
      </c>
      <c r="AA690" s="12">
        <f>IF(tblOrdenes[[#This Row],[fecha_inicio]]="","",TODAY()-tblOrdenes[[#This Row],[fecha_inicio]])</f>
        <v/>
      </c>
      <c r="AB6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3">
        <f>IF(tblOrdenes[[#This Row],[backlog_habiles]]="","",IF(tblOrdenes[[#This Row],[backlog_habiles]]&lt;0,"FUTURO",IF(tblOrdenes[[#This Row],[backlog_habiles]]&gt;p_dias_backlog_max,"BACKLOG","MES CORRIENTE")))</f>
        <v/>
      </c>
      <c r="AD690" s="3">
        <f>IF(tblOrdenes[[#This Row],[backlog_habiles]]="",FALSE,AND(tblOrdenes[[#This Row],[backlog_habiles]]&gt;p_dias_backlog_min,tblOrdenes[[#This Row],[backlog_habiles]]&lt;=p_dias_backlog_max))</f>
        <v/>
      </c>
      <c r="AE690" s="6" t="n"/>
      <c r="AF6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0">
        <f>IF(tblOrdenes[[#This Row],[orden]]="","",_xlfn.XLOOKUP(tblOrdenes[[#This Row],[id_operacion]],tblEjecucion[id_operacion],tblEjecucion[precio],0))</f>
        <v/>
      </c>
      <c r="AJ690" s="10">
        <f>IF(tblOrdenes[[#This Row],[orden]]="","",MAX(0,_xlfn.XLOOKUP(tblOrdenes[[#This Row],[id_operacion]],tblEjecucion[id_operacion],tblEjecucion[costo_plan_total],0)-tblOrdenes[[#This Row],[costo_servicio]]))</f>
        <v/>
      </c>
      <c r="AK690" s="10">
        <f>IF(tblOrdenes[[#This Row],[orden]]="","",tblOrdenes[[#This Row],[costo_servicio]]+tblOrdenes[[#This Row],[costo_materiales]])</f>
        <v/>
      </c>
      <c r="AL690" s="6" t="n"/>
      <c r="AM690" s="6" t="n"/>
      <c r="AN690" s="6" t="n"/>
      <c r="AO690" s="3">
        <f>IF(tblOrdenes[[#This Row],[link_checklist]]="","",HYPERLINK(p_ruta_base_checklists&amp;tblOrdenes[[#This Row],[link_checklist]],"abrir"))</f>
        <v/>
      </c>
      <c r="AP690" s="6" t="n"/>
      <c r="AQ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3">
        <f>IF(tblOrdenes[[#This Row],[tipo_ot]]="","",_xlfn.XLOOKUP(tblOrdenes[[#This Row],[tipo_ot]],tblTiposOT[codigo],tblTiposOT[clasificacion],"sin_clasificar"))</f>
        <v/>
      </c>
      <c r="U691" s="3">
        <f>IF(tblOrdenes[[#This Row],[centro_costo]]="","",_xlfn.XLOOKUP(tblOrdenes[[#This Row],[centro_costo]],tblCECO[codigo],tblCECO[linea],"(sin catálogo)"))</f>
        <v/>
      </c>
      <c r="V691" s="3">
        <f>IF(tblOrdenes[[#This Row],[centro_costo]]="","",_xlfn.XLOOKUP(tblOrdenes[[#This Row],[centro_costo]],tblCECO[codigo],tblCECO[area],"(sin catálogo)"))</f>
        <v/>
      </c>
      <c r="W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3">
        <f>IF(tblOrdenes[[#This Row],[centro_costo]]="","",_xlfn.XLOOKUP(tblOrdenes[[#This Row],[centro_costo]],tblCECO[codigo],tblCECO[coordinador],"(sin catálogo)"))</f>
        <v/>
      </c>
      <c r="Y691" s="3">
        <f>IF(tblOrdenes[[#This Row],[puesto_trabajo]]="","",_xlfn.XLOOKUP(tblOrdenes[[#This Row],[puesto_trabajo]],tblPuestos[codigo],tblPuestos[especialidad],"(sin catálogo)"))</f>
        <v/>
      </c>
      <c r="Z691" s="3">
        <f>IF(tblOrdenes[[#This Row],[cod_actividad]]="","",_xlfn.XLOOKUP(tblOrdenes[[#This Row],[cod_actividad]],tblActividades[codigo],tblActividades[descripcion],"(sin catálogo)"))</f>
        <v/>
      </c>
      <c r="AA691" s="12">
        <f>IF(tblOrdenes[[#This Row],[fecha_inicio]]="","",TODAY()-tblOrdenes[[#This Row],[fecha_inicio]])</f>
        <v/>
      </c>
      <c r="AB6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3">
        <f>IF(tblOrdenes[[#This Row],[backlog_habiles]]="","",IF(tblOrdenes[[#This Row],[backlog_habiles]]&lt;0,"FUTURO",IF(tblOrdenes[[#This Row],[backlog_habiles]]&gt;p_dias_backlog_max,"BACKLOG","MES CORRIENTE")))</f>
        <v/>
      </c>
      <c r="AD691" s="3">
        <f>IF(tblOrdenes[[#This Row],[backlog_habiles]]="",FALSE,AND(tblOrdenes[[#This Row],[backlog_habiles]]&gt;p_dias_backlog_min,tblOrdenes[[#This Row],[backlog_habiles]]&lt;=p_dias_backlog_max))</f>
        <v/>
      </c>
      <c r="AE691" s="6" t="n"/>
      <c r="AF6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0">
        <f>IF(tblOrdenes[[#This Row],[orden]]="","",_xlfn.XLOOKUP(tblOrdenes[[#This Row],[id_operacion]],tblEjecucion[id_operacion],tblEjecucion[precio],0))</f>
        <v/>
      </c>
      <c r="AJ691" s="10">
        <f>IF(tblOrdenes[[#This Row],[orden]]="","",MAX(0,_xlfn.XLOOKUP(tblOrdenes[[#This Row],[id_operacion]],tblEjecucion[id_operacion],tblEjecucion[costo_plan_total],0)-tblOrdenes[[#This Row],[costo_servicio]]))</f>
        <v/>
      </c>
      <c r="AK691" s="10">
        <f>IF(tblOrdenes[[#This Row],[orden]]="","",tblOrdenes[[#This Row],[costo_servicio]]+tblOrdenes[[#This Row],[costo_materiales]])</f>
        <v/>
      </c>
      <c r="AL691" s="6" t="n"/>
      <c r="AM691" s="6" t="n"/>
      <c r="AN691" s="6" t="n"/>
      <c r="AO691" s="3">
        <f>IF(tblOrdenes[[#This Row],[link_checklist]]="","",HYPERLINK(p_ruta_base_checklists&amp;tblOrdenes[[#This Row],[link_checklist]],"abrir"))</f>
        <v/>
      </c>
      <c r="AP691" s="6" t="n"/>
      <c r="AQ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3">
        <f>IF(tblOrdenes[[#This Row],[tipo_ot]]="","",_xlfn.XLOOKUP(tblOrdenes[[#This Row],[tipo_ot]],tblTiposOT[codigo],tblTiposOT[clasificacion],"sin_clasificar"))</f>
        <v/>
      </c>
      <c r="U692" s="3">
        <f>IF(tblOrdenes[[#This Row],[centro_costo]]="","",_xlfn.XLOOKUP(tblOrdenes[[#This Row],[centro_costo]],tblCECO[codigo],tblCECO[linea],"(sin catálogo)"))</f>
        <v/>
      </c>
      <c r="V692" s="3">
        <f>IF(tblOrdenes[[#This Row],[centro_costo]]="","",_xlfn.XLOOKUP(tblOrdenes[[#This Row],[centro_costo]],tblCECO[codigo],tblCECO[area],"(sin catálogo)"))</f>
        <v/>
      </c>
      <c r="W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3">
        <f>IF(tblOrdenes[[#This Row],[centro_costo]]="","",_xlfn.XLOOKUP(tblOrdenes[[#This Row],[centro_costo]],tblCECO[codigo],tblCECO[coordinador],"(sin catálogo)"))</f>
        <v/>
      </c>
      <c r="Y692" s="3">
        <f>IF(tblOrdenes[[#This Row],[puesto_trabajo]]="","",_xlfn.XLOOKUP(tblOrdenes[[#This Row],[puesto_trabajo]],tblPuestos[codigo],tblPuestos[especialidad],"(sin catálogo)"))</f>
        <v/>
      </c>
      <c r="Z692" s="3">
        <f>IF(tblOrdenes[[#This Row],[cod_actividad]]="","",_xlfn.XLOOKUP(tblOrdenes[[#This Row],[cod_actividad]],tblActividades[codigo],tblActividades[descripcion],"(sin catálogo)"))</f>
        <v/>
      </c>
      <c r="AA692" s="12">
        <f>IF(tblOrdenes[[#This Row],[fecha_inicio]]="","",TODAY()-tblOrdenes[[#This Row],[fecha_inicio]])</f>
        <v/>
      </c>
      <c r="AB6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3">
        <f>IF(tblOrdenes[[#This Row],[backlog_habiles]]="","",IF(tblOrdenes[[#This Row],[backlog_habiles]]&lt;0,"FUTURO",IF(tblOrdenes[[#This Row],[backlog_habiles]]&gt;p_dias_backlog_max,"BACKLOG","MES CORRIENTE")))</f>
        <v/>
      </c>
      <c r="AD692" s="3">
        <f>IF(tblOrdenes[[#This Row],[backlog_habiles]]="",FALSE,AND(tblOrdenes[[#This Row],[backlog_habiles]]&gt;p_dias_backlog_min,tblOrdenes[[#This Row],[backlog_habiles]]&lt;=p_dias_backlog_max))</f>
        <v/>
      </c>
      <c r="AE692" s="6" t="n"/>
      <c r="AF6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0">
        <f>IF(tblOrdenes[[#This Row],[orden]]="","",_xlfn.XLOOKUP(tblOrdenes[[#This Row],[id_operacion]],tblEjecucion[id_operacion],tblEjecucion[precio],0))</f>
        <v/>
      </c>
      <c r="AJ692" s="10">
        <f>IF(tblOrdenes[[#This Row],[orden]]="","",MAX(0,_xlfn.XLOOKUP(tblOrdenes[[#This Row],[id_operacion]],tblEjecucion[id_operacion],tblEjecucion[costo_plan_total],0)-tblOrdenes[[#This Row],[costo_servicio]]))</f>
        <v/>
      </c>
      <c r="AK692" s="10">
        <f>IF(tblOrdenes[[#This Row],[orden]]="","",tblOrdenes[[#This Row],[costo_servicio]]+tblOrdenes[[#This Row],[costo_materiales]])</f>
        <v/>
      </c>
      <c r="AL692" s="6" t="n"/>
      <c r="AM692" s="6" t="n"/>
      <c r="AN692" s="6" t="n"/>
      <c r="AO692" s="3">
        <f>IF(tblOrdenes[[#This Row],[link_checklist]]="","",HYPERLINK(p_ruta_base_checklists&amp;tblOrdenes[[#This Row],[link_checklist]],"abrir"))</f>
        <v/>
      </c>
      <c r="AP692" s="6" t="n"/>
      <c r="AQ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3">
        <f>IF(tblOrdenes[[#This Row],[tipo_ot]]="","",_xlfn.XLOOKUP(tblOrdenes[[#This Row],[tipo_ot]],tblTiposOT[codigo],tblTiposOT[clasificacion],"sin_clasificar"))</f>
        <v/>
      </c>
      <c r="U693" s="3">
        <f>IF(tblOrdenes[[#This Row],[centro_costo]]="","",_xlfn.XLOOKUP(tblOrdenes[[#This Row],[centro_costo]],tblCECO[codigo],tblCECO[linea],"(sin catálogo)"))</f>
        <v/>
      </c>
      <c r="V693" s="3">
        <f>IF(tblOrdenes[[#This Row],[centro_costo]]="","",_xlfn.XLOOKUP(tblOrdenes[[#This Row],[centro_costo]],tblCECO[codigo],tblCECO[area],"(sin catálogo)"))</f>
        <v/>
      </c>
      <c r="W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3">
        <f>IF(tblOrdenes[[#This Row],[centro_costo]]="","",_xlfn.XLOOKUP(tblOrdenes[[#This Row],[centro_costo]],tblCECO[codigo],tblCECO[coordinador],"(sin catálogo)"))</f>
        <v/>
      </c>
      <c r="Y693" s="3">
        <f>IF(tblOrdenes[[#This Row],[puesto_trabajo]]="","",_xlfn.XLOOKUP(tblOrdenes[[#This Row],[puesto_trabajo]],tblPuestos[codigo],tblPuestos[especialidad],"(sin catálogo)"))</f>
        <v/>
      </c>
      <c r="Z693" s="3">
        <f>IF(tblOrdenes[[#This Row],[cod_actividad]]="","",_xlfn.XLOOKUP(tblOrdenes[[#This Row],[cod_actividad]],tblActividades[codigo],tblActividades[descripcion],"(sin catálogo)"))</f>
        <v/>
      </c>
      <c r="AA693" s="12">
        <f>IF(tblOrdenes[[#This Row],[fecha_inicio]]="","",TODAY()-tblOrdenes[[#This Row],[fecha_inicio]])</f>
        <v/>
      </c>
      <c r="AB6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3">
        <f>IF(tblOrdenes[[#This Row],[backlog_habiles]]="","",IF(tblOrdenes[[#This Row],[backlog_habiles]]&lt;0,"FUTURO",IF(tblOrdenes[[#This Row],[backlog_habiles]]&gt;p_dias_backlog_max,"BACKLOG","MES CORRIENTE")))</f>
        <v/>
      </c>
      <c r="AD693" s="3">
        <f>IF(tblOrdenes[[#This Row],[backlog_habiles]]="",FALSE,AND(tblOrdenes[[#This Row],[backlog_habiles]]&gt;p_dias_backlog_min,tblOrdenes[[#This Row],[backlog_habiles]]&lt;=p_dias_backlog_max))</f>
        <v/>
      </c>
      <c r="AE693" s="6" t="n"/>
      <c r="AF6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0">
        <f>IF(tblOrdenes[[#This Row],[orden]]="","",_xlfn.XLOOKUP(tblOrdenes[[#This Row],[id_operacion]],tblEjecucion[id_operacion],tblEjecucion[precio],0))</f>
        <v/>
      </c>
      <c r="AJ693" s="10">
        <f>IF(tblOrdenes[[#This Row],[orden]]="","",MAX(0,_xlfn.XLOOKUP(tblOrdenes[[#This Row],[id_operacion]],tblEjecucion[id_operacion],tblEjecucion[costo_plan_total],0)-tblOrdenes[[#This Row],[costo_servicio]]))</f>
        <v/>
      </c>
      <c r="AK693" s="10">
        <f>IF(tblOrdenes[[#This Row],[orden]]="","",tblOrdenes[[#This Row],[costo_servicio]]+tblOrdenes[[#This Row],[costo_materiales]])</f>
        <v/>
      </c>
      <c r="AL693" s="6" t="n"/>
      <c r="AM693" s="6" t="n"/>
      <c r="AN693" s="6" t="n"/>
      <c r="AO693" s="3">
        <f>IF(tblOrdenes[[#This Row],[link_checklist]]="","",HYPERLINK(p_ruta_base_checklists&amp;tblOrdenes[[#This Row],[link_checklist]],"abrir"))</f>
        <v/>
      </c>
      <c r="AP693" s="6" t="n"/>
      <c r="AQ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3">
        <f>IF(tblOrdenes[[#This Row],[tipo_ot]]="","",_xlfn.XLOOKUP(tblOrdenes[[#This Row],[tipo_ot]],tblTiposOT[codigo],tblTiposOT[clasificacion],"sin_clasificar"))</f>
        <v/>
      </c>
      <c r="U694" s="3">
        <f>IF(tblOrdenes[[#This Row],[centro_costo]]="","",_xlfn.XLOOKUP(tblOrdenes[[#This Row],[centro_costo]],tblCECO[codigo],tblCECO[linea],"(sin catálogo)"))</f>
        <v/>
      </c>
      <c r="V694" s="3">
        <f>IF(tblOrdenes[[#This Row],[centro_costo]]="","",_xlfn.XLOOKUP(tblOrdenes[[#This Row],[centro_costo]],tblCECO[codigo],tblCECO[area],"(sin catálogo)"))</f>
        <v/>
      </c>
      <c r="W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3">
        <f>IF(tblOrdenes[[#This Row],[centro_costo]]="","",_xlfn.XLOOKUP(tblOrdenes[[#This Row],[centro_costo]],tblCECO[codigo],tblCECO[coordinador],"(sin catálogo)"))</f>
        <v/>
      </c>
      <c r="Y694" s="3">
        <f>IF(tblOrdenes[[#This Row],[puesto_trabajo]]="","",_xlfn.XLOOKUP(tblOrdenes[[#This Row],[puesto_trabajo]],tblPuestos[codigo],tblPuestos[especialidad],"(sin catálogo)"))</f>
        <v/>
      </c>
      <c r="Z694" s="3">
        <f>IF(tblOrdenes[[#This Row],[cod_actividad]]="","",_xlfn.XLOOKUP(tblOrdenes[[#This Row],[cod_actividad]],tblActividades[codigo],tblActividades[descripcion],"(sin catálogo)"))</f>
        <v/>
      </c>
      <c r="AA694" s="12">
        <f>IF(tblOrdenes[[#This Row],[fecha_inicio]]="","",TODAY()-tblOrdenes[[#This Row],[fecha_inicio]])</f>
        <v/>
      </c>
      <c r="AB6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3">
        <f>IF(tblOrdenes[[#This Row],[backlog_habiles]]="","",IF(tblOrdenes[[#This Row],[backlog_habiles]]&lt;0,"FUTURO",IF(tblOrdenes[[#This Row],[backlog_habiles]]&gt;p_dias_backlog_max,"BACKLOG","MES CORRIENTE")))</f>
        <v/>
      </c>
      <c r="AD694" s="3">
        <f>IF(tblOrdenes[[#This Row],[backlog_habiles]]="",FALSE,AND(tblOrdenes[[#This Row],[backlog_habiles]]&gt;p_dias_backlog_min,tblOrdenes[[#This Row],[backlog_habiles]]&lt;=p_dias_backlog_max))</f>
        <v/>
      </c>
      <c r="AE694" s="6" t="n"/>
      <c r="AF6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0">
        <f>IF(tblOrdenes[[#This Row],[orden]]="","",_xlfn.XLOOKUP(tblOrdenes[[#This Row],[id_operacion]],tblEjecucion[id_operacion],tblEjecucion[precio],0))</f>
        <v/>
      </c>
      <c r="AJ694" s="10">
        <f>IF(tblOrdenes[[#This Row],[orden]]="","",MAX(0,_xlfn.XLOOKUP(tblOrdenes[[#This Row],[id_operacion]],tblEjecucion[id_operacion],tblEjecucion[costo_plan_total],0)-tblOrdenes[[#This Row],[costo_servicio]]))</f>
        <v/>
      </c>
      <c r="AK694" s="10">
        <f>IF(tblOrdenes[[#This Row],[orden]]="","",tblOrdenes[[#This Row],[costo_servicio]]+tblOrdenes[[#This Row],[costo_materiales]])</f>
        <v/>
      </c>
      <c r="AL694" s="6" t="n"/>
      <c r="AM694" s="6" t="n"/>
      <c r="AN694" s="6" t="n"/>
      <c r="AO694" s="3">
        <f>IF(tblOrdenes[[#This Row],[link_checklist]]="","",HYPERLINK(p_ruta_base_checklists&amp;tblOrdenes[[#This Row],[link_checklist]],"abrir"))</f>
        <v/>
      </c>
      <c r="AP694" s="6" t="n"/>
      <c r="AQ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3">
        <f>IF(tblOrdenes[[#This Row],[tipo_ot]]="","",_xlfn.XLOOKUP(tblOrdenes[[#This Row],[tipo_ot]],tblTiposOT[codigo],tblTiposOT[clasificacion],"sin_clasificar"))</f>
        <v/>
      </c>
      <c r="U695" s="3">
        <f>IF(tblOrdenes[[#This Row],[centro_costo]]="","",_xlfn.XLOOKUP(tblOrdenes[[#This Row],[centro_costo]],tblCECO[codigo],tblCECO[linea],"(sin catálogo)"))</f>
        <v/>
      </c>
      <c r="V695" s="3">
        <f>IF(tblOrdenes[[#This Row],[centro_costo]]="","",_xlfn.XLOOKUP(tblOrdenes[[#This Row],[centro_costo]],tblCECO[codigo],tblCECO[area],"(sin catálogo)"))</f>
        <v/>
      </c>
      <c r="W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3">
        <f>IF(tblOrdenes[[#This Row],[centro_costo]]="","",_xlfn.XLOOKUP(tblOrdenes[[#This Row],[centro_costo]],tblCECO[codigo],tblCECO[coordinador],"(sin catálogo)"))</f>
        <v/>
      </c>
      <c r="Y695" s="3">
        <f>IF(tblOrdenes[[#This Row],[puesto_trabajo]]="","",_xlfn.XLOOKUP(tblOrdenes[[#This Row],[puesto_trabajo]],tblPuestos[codigo],tblPuestos[especialidad],"(sin catálogo)"))</f>
        <v/>
      </c>
      <c r="Z695" s="3">
        <f>IF(tblOrdenes[[#This Row],[cod_actividad]]="","",_xlfn.XLOOKUP(tblOrdenes[[#This Row],[cod_actividad]],tblActividades[codigo],tblActividades[descripcion],"(sin catálogo)"))</f>
        <v/>
      </c>
      <c r="AA695" s="12">
        <f>IF(tblOrdenes[[#This Row],[fecha_inicio]]="","",TODAY()-tblOrdenes[[#This Row],[fecha_inicio]])</f>
        <v/>
      </c>
      <c r="AB6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3">
        <f>IF(tblOrdenes[[#This Row],[backlog_habiles]]="","",IF(tblOrdenes[[#This Row],[backlog_habiles]]&lt;0,"FUTURO",IF(tblOrdenes[[#This Row],[backlog_habiles]]&gt;p_dias_backlog_max,"BACKLOG","MES CORRIENTE")))</f>
        <v/>
      </c>
      <c r="AD695" s="3">
        <f>IF(tblOrdenes[[#This Row],[backlog_habiles]]="",FALSE,AND(tblOrdenes[[#This Row],[backlog_habiles]]&gt;p_dias_backlog_min,tblOrdenes[[#This Row],[backlog_habiles]]&lt;=p_dias_backlog_max))</f>
        <v/>
      </c>
      <c r="AE695" s="6" t="n"/>
      <c r="AF6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0">
        <f>IF(tblOrdenes[[#This Row],[orden]]="","",_xlfn.XLOOKUP(tblOrdenes[[#This Row],[id_operacion]],tblEjecucion[id_operacion],tblEjecucion[precio],0))</f>
        <v/>
      </c>
      <c r="AJ695" s="10">
        <f>IF(tblOrdenes[[#This Row],[orden]]="","",MAX(0,_xlfn.XLOOKUP(tblOrdenes[[#This Row],[id_operacion]],tblEjecucion[id_operacion],tblEjecucion[costo_plan_total],0)-tblOrdenes[[#This Row],[costo_servicio]]))</f>
        <v/>
      </c>
      <c r="AK695" s="10">
        <f>IF(tblOrdenes[[#This Row],[orden]]="","",tblOrdenes[[#This Row],[costo_servicio]]+tblOrdenes[[#This Row],[costo_materiales]])</f>
        <v/>
      </c>
      <c r="AL695" s="6" t="n"/>
      <c r="AM695" s="6" t="n"/>
      <c r="AN695" s="6" t="n"/>
      <c r="AO695" s="3">
        <f>IF(tblOrdenes[[#This Row],[link_checklist]]="","",HYPERLINK(p_ruta_base_checklists&amp;tblOrdenes[[#This Row],[link_checklist]],"abrir"))</f>
        <v/>
      </c>
      <c r="AP695" s="6" t="n"/>
      <c r="AQ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3">
        <f>IF(tblOrdenes[[#This Row],[tipo_ot]]="","",_xlfn.XLOOKUP(tblOrdenes[[#This Row],[tipo_ot]],tblTiposOT[codigo],tblTiposOT[clasificacion],"sin_clasificar"))</f>
        <v/>
      </c>
      <c r="U696" s="3">
        <f>IF(tblOrdenes[[#This Row],[centro_costo]]="","",_xlfn.XLOOKUP(tblOrdenes[[#This Row],[centro_costo]],tblCECO[codigo],tblCECO[linea],"(sin catálogo)"))</f>
        <v/>
      </c>
      <c r="V696" s="3">
        <f>IF(tblOrdenes[[#This Row],[centro_costo]]="","",_xlfn.XLOOKUP(tblOrdenes[[#This Row],[centro_costo]],tblCECO[codigo],tblCECO[area],"(sin catálogo)"))</f>
        <v/>
      </c>
      <c r="W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3">
        <f>IF(tblOrdenes[[#This Row],[centro_costo]]="","",_xlfn.XLOOKUP(tblOrdenes[[#This Row],[centro_costo]],tblCECO[codigo],tblCECO[coordinador],"(sin catálogo)"))</f>
        <v/>
      </c>
      <c r="Y696" s="3">
        <f>IF(tblOrdenes[[#This Row],[puesto_trabajo]]="","",_xlfn.XLOOKUP(tblOrdenes[[#This Row],[puesto_trabajo]],tblPuestos[codigo],tblPuestos[especialidad],"(sin catálogo)"))</f>
        <v/>
      </c>
      <c r="Z696" s="3">
        <f>IF(tblOrdenes[[#This Row],[cod_actividad]]="","",_xlfn.XLOOKUP(tblOrdenes[[#This Row],[cod_actividad]],tblActividades[codigo],tblActividades[descripcion],"(sin catálogo)"))</f>
        <v/>
      </c>
      <c r="AA696" s="12">
        <f>IF(tblOrdenes[[#This Row],[fecha_inicio]]="","",TODAY()-tblOrdenes[[#This Row],[fecha_inicio]])</f>
        <v/>
      </c>
      <c r="AB6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3">
        <f>IF(tblOrdenes[[#This Row],[backlog_habiles]]="","",IF(tblOrdenes[[#This Row],[backlog_habiles]]&lt;0,"FUTURO",IF(tblOrdenes[[#This Row],[backlog_habiles]]&gt;p_dias_backlog_max,"BACKLOG","MES CORRIENTE")))</f>
        <v/>
      </c>
      <c r="AD696" s="3">
        <f>IF(tblOrdenes[[#This Row],[backlog_habiles]]="",FALSE,AND(tblOrdenes[[#This Row],[backlog_habiles]]&gt;p_dias_backlog_min,tblOrdenes[[#This Row],[backlog_habiles]]&lt;=p_dias_backlog_max))</f>
        <v/>
      </c>
      <c r="AE696" s="6" t="n"/>
      <c r="AF6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0">
        <f>IF(tblOrdenes[[#This Row],[orden]]="","",_xlfn.XLOOKUP(tblOrdenes[[#This Row],[id_operacion]],tblEjecucion[id_operacion],tblEjecucion[precio],0))</f>
        <v/>
      </c>
      <c r="AJ696" s="10">
        <f>IF(tblOrdenes[[#This Row],[orden]]="","",MAX(0,_xlfn.XLOOKUP(tblOrdenes[[#This Row],[id_operacion]],tblEjecucion[id_operacion],tblEjecucion[costo_plan_total],0)-tblOrdenes[[#This Row],[costo_servicio]]))</f>
        <v/>
      </c>
      <c r="AK696" s="10">
        <f>IF(tblOrdenes[[#This Row],[orden]]="","",tblOrdenes[[#This Row],[costo_servicio]]+tblOrdenes[[#This Row],[costo_materiales]])</f>
        <v/>
      </c>
      <c r="AL696" s="6" t="n"/>
      <c r="AM696" s="6" t="n"/>
      <c r="AN696" s="6" t="n"/>
      <c r="AO696" s="3">
        <f>IF(tblOrdenes[[#This Row],[link_checklist]]="","",HYPERLINK(p_ruta_base_checklists&amp;tblOrdenes[[#This Row],[link_checklist]],"abrir"))</f>
        <v/>
      </c>
      <c r="AP696" s="6" t="n"/>
      <c r="AQ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3">
        <f>IF(tblOrdenes[[#This Row],[tipo_ot]]="","",_xlfn.XLOOKUP(tblOrdenes[[#This Row],[tipo_ot]],tblTiposOT[codigo],tblTiposOT[clasificacion],"sin_clasificar"))</f>
        <v/>
      </c>
      <c r="U697" s="3">
        <f>IF(tblOrdenes[[#This Row],[centro_costo]]="","",_xlfn.XLOOKUP(tblOrdenes[[#This Row],[centro_costo]],tblCECO[codigo],tblCECO[linea],"(sin catálogo)"))</f>
        <v/>
      </c>
      <c r="V697" s="3">
        <f>IF(tblOrdenes[[#This Row],[centro_costo]]="","",_xlfn.XLOOKUP(tblOrdenes[[#This Row],[centro_costo]],tblCECO[codigo],tblCECO[area],"(sin catálogo)"))</f>
        <v/>
      </c>
      <c r="W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3">
        <f>IF(tblOrdenes[[#This Row],[centro_costo]]="","",_xlfn.XLOOKUP(tblOrdenes[[#This Row],[centro_costo]],tblCECO[codigo],tblCECO[coordinador],"(sin catálogo)"))</f>
        <v/>
      </c>
      <c r="Y697" s="3">
        <f>IF(tblOrdenes[[#This Row],[puesto_trabajo]]="","",_xlfn.XLOOKUP(tblOrdenes[[#This Row],[puesto_trabajo]],tblPuestos[codigo],tblPuestos[especialidad],"(sin catálogo)"))</f>
        <v/>
      </c>
      <c r="Z697" s="3">
        <f>IF(tblOrdenes[[#This Row],[cod_actividad]]="","",_xlfn.XLOOKUP(tblOrdenes[[#This Row],[cod_actividad]],tblActividades[codigo],tblActividades[descripcion],"(sin catálogo)"))</f>
        <v/>
      </c>
      <c r="AA697" s="12">
        <f>IF(tblOrdenes[[#This Row],[fecha_inicio]]="","",TODAY()-tblOrdenes[[#This Row],[fecha_inicio]])</f>
        <v/>
      </c>
      <c r="AB6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3">
        <f>IF(tblOrdenes[[#This Row],[backlog_habiles]]="","",IF(tblOrdenes[[#This Row],[backlog_habiles]]&lt;0,"FUTURO",IF(tblOrdenes[[#This Row],[backlog_habiles]]&gt;p_dias_backlog_max,"BACKLOG","MES CORRIENTE")))</f>
        <v/>
      </c>
      <c r="AD697" s="3">
        <f>IF(tblOrdenes[[#This Row],[backlog_habiles]]="",FALSE,AND(tblOrdenes[[#This Row],[backlog_habiles]]&gt;p_dias_backlog_min,tblOrdenes[[#This Row],[backlog_habiles]]&lt;=p_dias_backlog_max))</f>
        <v/>
      </c>
      <c r="AE697" s="6" t="n"/>
      <c r="AF6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0">
        <f>IF(tblOrdenes[[#This Row],[orden]]="","",_xlfn.XLOOKUP(tblOrdenes[[#This Row],[id_operacion]],tblEjecucion[id_operacion],tblEjecucion[precio],0))</f>
        <v/>
      </c>
      <c r="AJ697" s="10">
        <f>IF(tblOrdenes[[#This Row],[orden]]="","",MAX(0,_xlfn.XLOOKUP(tblOrdenes[[#This Row],[id_operacion]],tblEjecucion[id_operacion],tblEjecucion[costo_plan_total],0)-tblOrdenes[[#This Row],[costo_servicio]]))</f>
        <v/>
      </c>
      <c r="AK697" s="10">
        <f>IF(tblOrdenes[[#This Row],[orden]]="","",tblOrdenes[[#This Row],[costo_servicio]]+tblOrdenes[[#This Row],[costo_materiales]])</f>
        <v/>
      </c>
      <c r="AL697" s="6" t="n"/>
      <c r="AM697" s="6" t="n"/>
      <c r="AN697" s="6" t="n"/>
      <c r="AO697" s="3">
        <f>IF(tblOrdenes[[#This Row],[link_checklist]]="","",HYPERLINK(p_ruta_base_checklists&amp;tblOrdenes[[#This Row],[link_checklist]],"abrir"))</f>
        <v/>
      </c>
      <c r="AP697" s="6" t="n"/>
      <c r="AQ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3">
        <f>IF(tblOrdenes[[#This Row],[tipo_ot]]="","",_xlfn.XLOOKUP(tblOrdenes[[#This Row],[tipo_ot]],tblTiposOT[codigo],tblTiposOT[clasificacion],"sin_clasificar"))</f>
        <v/>
      </c>
      <c r="U698" s="3">
        <f>IF(tblOrdenes[[#This Row],[centro_costo]]="","",_xlfn.XLOOKUP(tblOrdenes[[#This Row],[centro_costo]],tblCECO[codigo],tblCECO[linea],"(sin catálogo)"))</f>
        <v/>
      </c>
      <c r="V698" s="3">
        <f>IF(tblOrdenes[[#This Row],[centro_costo]]="","",_xlfn.XLOOKUP(tblOrdenes[[#This Row],[centro_costo]],tblCECO[codigo],tblCECO[area],"(sin catálogo)"))</f>
        <v/>
      </c>
      <c r="W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3">
        <f>IF(tblOrdenes[[#This Row],[centro_costo]]="","",_xlfn.XLOOKUP(tblOrdenes[[#This Row],[centro_costo]],tblCECO[codigo],tblCECO[coordinador],"(sin catálogo)"))</f>
        <v/>
      </c>
      <c r="Y698" s="3">
        <f>IF(tblOrdenes[[#This Row],[puesto_trabajo]]="","",_xlfn.XLOOKUP(tblOrdenes[[#This Row],[puesto_trabajo]],tblPuestos[codigo],tblPuestos[especialidad],"(sin catálogo)"))</f>
        <v/>
      </c>
      <c r="Z698" s="3">
        <f>IF(tblOrdenes[[#This Row],[cod_actividad]]="","",_xlfn.XLOOKUP(tblOrdenes[[#This Row],[cod_actividad]],tblActividades[codigo],tblActividades[descripcion],"(sin catálogo)"))</f>
        <v/>
      </c>
      <c r="AA698" s="12">
        <f>IF(tblOrdenes[[#This Row],[fecha_inicio]]="","",TODAY()-tblOrdenes[[#This Row],[fecha_inicio]])</f>
        <v/>
      </c>
      <c r="AB6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3">
        <f>IF(tblOrdenes[[#This Row],[backlog_habiles]]="","",IF(tblOrdenes[[#This Row],[backlog_habiles]]&lt;0,"FUTURO",IF(tblOrdenes[[#This Row],[backlog_habiles]]&gt;p_dias_backlog_max,"BACKLOG","MES CORRIENTE")))</f>
        <v/>
      </c>
      <c r="AD698" s="3">
        <f>IF(tblOrdenes[[#This Row],[backlog_habiles]]="",FALSE,AND(tblOrdenes[[#This Row],[backlog_habiles]]&gt;p_dias_backlog_min,tblOrdenes[[#This Row],[backlog_habiles]]&lt;=p_dias_backlog_max))</f>
        <v/>
      </c>
      <c r="AE698" s="6" t="n"/>
      <c r="AF6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0">
        <f>IF(tblOrdenes[[#This Row],[orden]]="","",_xlfn.XLOOKUP(tblOrdenes[[#This Row],[id_operacion]],tblEjecucion[id_operacion],tblEjecucion[precio],0))</f>
        <v/>
      </c>
      <c r="AJ698" s="10">
        <f>IF(tblOrdenes[[#This Row],[orden]]="","",MAX(0,_xlfn.XLOOKUP(tblOrdenes[[#This Row],[id_operacion]],tblEjecucion[id_operacion],tblEjecucion[costo_plan_total],0)-tblOrdenes[[#This Row],[costo_servicio]]))</f>
        <v/>
      </c>
      <c r="AK698" s="10">
        <f>IF(tblOrdenes[[#This Row],[orden]]="","",tblOrdenes[[#This Row],[costo_servicio]]+tblOrdenes[[#This Row],[costo_materiales]])</f>
        <v/>
      </c>
      <c r="AL698" s="6" t="n"/>
      <c r="AM698" s="6" t="n"/>
      <c r="AN698" s="6" t="n"/>
      <c r="AO698" s="3">
        <f>IF(tblOrdenes[[#This Row],[link_checklist]]="","",HYPERLINK(p_ruta_base_checklists&amp;tblOrdenes[[#This Row],[link_checklist]],"abrir"))</f>
        <v/>
      </c>
      <c r="AP698" s="6" t="n"/>
      <c r="AQ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3">
        <f>IF(tblOrdenes[[#This Row],[tipo_ot]]="","",_xlfn.XLOOKUP(tblOrdenes[[#This Row],[tipo_ot]],tblTiposOT[codigo],tblTiposOT[clasificacion],"sin_clasificar"))</f>
        <v/>
      </c>
      <c r="U699" s="3">
        <f>IF(tblOrdenes[[#This Row],[centro_costo]]="","",_xlfn.XLOOKUP(tblOrdenes[[#This Row],[centro_costo]],tblCECO[codigo],tblCECO[linea],"(sin catálogo)"))</f>
        <v/>
      </c>
      <c r="V699" s="3">
        <f>IF(tblOrdenes[[#This Row],[centro_costo]]="","",_xlfn.XLOOKUP(tblOrdenes[[#This Row],[centro_costo]],tblCECO[codigo],tblCECO[area],"(sin catálogo)"))</f>
        <v/>
      </c>
      <c r="W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3">
        <f>IF(tblOrdenes[[#This Row],[centro_costo]]="","",_xlfn.XLOOKUP(tblOrdenes[[#This Row],[centro_costo]],tblCECO[codigo],tblCECO[coordinador],"(sin catálogo)"))</f>
        <v/>
      </c>
      <c r="Y699" s="3">
        <f>IF(tblOrdenes[[#This Row],[puesto_trabajo]]="","",_xlfn.XLOOKUP(tblOrdenes[[#This Row],[puesto_trabajo]],tblPuestos[codigo],tblPuestos[especialidad],"(sin catálogo)"))</f>
        <v/>
      </c>
      <c r="Z699" s="3">
        <f>IF(tblOrdenes[[#This Row],[cod_actividad]]="","",_xlfn.XLOOKUP(tblOrdenes[[#This Row],[cod_actividad]],tblActividades[codigo],tblActividades[descripcion],"(sin catálogo)"))</f>
        <v/>
      </c>
      <c r="AA699" s="12">
        <f>IF(tblOrdenes[[#This Row],[fecha_inicio]]="","",TODAY()-tblOrdenes[[#This Row],[fecha_inicio]])</f>
        <v/>
      </c>
      <c r="AB6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3">
        <f>IF(tblOrdenes[[#This Row],[backlog_habiles]]="","",IF(tblOrdenes[[#This Row],[backlog_habiles]]&lt;0,"FUTURO",IF(tblOrdenes[[#This Row],[backlog_habiles]]&gt;p_dias_backlog_max,"BACKLOG","MES CORRIENTE")))</f>
        <v/>
      </c>
      <c r="AD699" s="3">
        <f>IF(tblOrdenes[[#This Row],[backlog_habiles]]="",FALSE,AND(tblOrdenes[[#This Row],[backlog_habiles]]&gt;p_dias_backlog_min,tblOrdenes[[#This Row],[backlog_habiles]]&lt;=p_dias_backlog_max))</f>
        <v/>
      </c>
      <c r="AE699" s="6" t="n"/>
      <c r="AF6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0">
        <f>IF(tblOrdenes[[#This Row],[orden]]="","",_xlfn.XLOOKUP(tblOrdenes[[#This Row],[id_operacion]],tblEjecucion[id_operacion],tblEjecucion[precio],0))</f>
        <v/>
      </c>
      <c r="AJ699" s="10">
        <f>IF(tblOrdenes[[#This Row],[orden]]="","",MAX(0,_xlfn.XLOOKUP(tblOrdenes[[#This Row],[id_operacion]],tblEjecucion[id_operacion],tblEjecucion[costo_plan_total],0)-tblOrdenes[[#This Row],[costo_servicio]]))</f>
        <v/>
      </c>
      <c r="AK699" s="10">
        <f>IF(tblOrdenes[[#This Row],[orden]]="","",tblOrdenes[[#This Row],[costo_servicio]]+tblOrdenes[[#This Row],[costo_materiales]])</f>
        <v/>
      </c>
      <c r="AL699" s="6" t="n"/>
      <c r="AM699" s="6" t="n"/>
      <c r="AN699" s="6" t="n"/>
      <c r="AO699" s="3">
        <f>IF(tblOrdenes[[#This Row],[link_checklist]]="","",HYPERLINK(p_ruta_base_checklists&amp;tblOrdenes[[#This Row],[link_checklist]],"abrir"))</f>
        <v/>
      </c>
      <c r="AP699" s="6" t="n"/>
      <c r="AQ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3">
        <f>IF(tblOrdenes[[#This Row],[tipo_ot]]="","",_xlfn.XLOOKUP(tblOrdenes[[#This Row],[tipo_ot]],tblTiposOT[codigo],tblTiposOT[clasificacion],"sin_clasificar"))</f>
        <v/>
      </c>
      <c r="U700" s="3">
        <f>IF(tblOrdenes[[#This Row],[centro_costo]]="","",_xlfn.XLOOKUP(tblOrdenes[[#This Row],[centro_costo]],tblCECO[codigo],tblCECO[linea],"(sin catálogo)"))</f>
        <v/>
      </c>
      <c r="V700" s="3">
        <f>IF(tblOrdenes[[#This Row],[centro_costo]]="","",_xlfn.XLOOKUP(tblOrdenes[[#This Row],[centro_costo]],tblCECO[codigo],tblCECO[area],"(sin catálogo)"))</f>
        <v/>
      </c>
      <c r="W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3">
        <f>IF(tblOrdenes[[#This Row],[centro_costo]]="","",_xlfn.XLOOKUP(tblOrdenes[[#This Row],[centro_costo]],tblCECO[codigo],tblCECO[coordinador],"(sin catálogo)"))</f>
        <v/>
      </c>
      <c r="Y700" s="3">
        <f>IF(tblOrdenes[[#This Row],[puesto_trabajo]]="","",_xlfn.XLOOKUP(tblOrdenes[[#This Row],[puesto_trabajo]],tblPuestos[codigo],tblPuestos[especialidad],"(sin catálogo)"))</f>
        <v/>
      </c>
      <c r="Z700" s="3">
        <f>IF(tblOrdenes[[#This Row],[cod_actividad]]="","",_xlfn.XLOOKUP(tblOrdenes[[#This Row],[cod_actividad]],tblActividades[codigo],tblActividades[descripcion],"(sin catálogo)"))</f>
        <v/>
      </c>
      <c r="AA700" s="12">
        <f>IF(tblOrdenes[[#This Row],[fecha_inicio]]="","",TODAY()-tblOrdenes[[#This Row],[fecha_inicio]])</f>
        <v/>
      </c>
      <c r="AB7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3">
        <f>IF(tblOrdenes[[#This Row],[backlog_habiles]]="","",IF(tblOrdenes[[#This Row],[backlog_habiles]]&lt;0,"FUTURO",IF(tblOrdenes[[#This Row],[backlog_habiles]]&gt;p_dias_backlog_max,"BACKLOG","MES CORRIENTE")))</f>
        <v/>
      </c>
      <c r="AD700" s="3">
        <f>IF(tblOrdenes[[#This Row],[backlog_habiles]]="",FALSE,AND(tblOrdenes[[#This Row],[backlog_habiles]]&gt;p_dias_backlog_min,tblOrdenes[[#This Row],[backlog_habiles]]&lt;=p_dias_backlog_max))</f>
        <v/>
      </c>
      <c r="AE700" s="6" t="n"/>
      <c r="AF7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0">
        <f>IF(tblOrdenes[[#This Row],[orden]]="","",_xlfn.XLOOKUP(tblOrdenes[[#This Row],[id_operacion]],tblEjecucion[id_operacion],tblEjecucion[precio],0))</f>
        <v/>
      </c>
      <c r="AJ700" s="10">
        <f>IF(tblOrdenes[[#This Row],[orden]]="","",MAX(0,_xlfn.XLOOKUP(tblOrdenes[[#This Row],[id_operacion]],tblEjecucion[id_operacion],tblEjecucion[costo_plan_total],0)-tblOrdenes[[#This Row],[costo_servicio]]))</f>
        <v/>
      </c>
      <c r="AK700" s="10">
        <f>IF(tblOrdenes[[#This Row],[orden]]="","",tblOrdenes[[#This Row],[costo_servicio]]+tblOrdenes[[#This Row],[costo_materiales]])</f>
        <v/>
      </c>
      <c r="AL700" s="6" t="n"/>
      <c r="AM700" s="6" t="n"/>
      <c r="AN700" s="6" t="n"/>
      <c r="AO700" s="3">
        <f>IF(tblOrdenes[[#This Row],[link_checklist]]="","",HYPERLINK(p_ruta_base_checklists&amp;tblOrdenes[[#This Row],[link_checklist]],"abrir"))</f>
        <v/>
      </c>
      <c r="AP700" s="6" t="n"/>
      <c r="AQ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3">
        <f>IF(tblOrdenes[[#This Row],[tipo_ot]]="","",_xlfn.XLOOKUP(tblOrdenes[[#This Row],[tipo_ot]],tblTiposOT[codigo],tblTiposOT[clasificacion],"sin_clasificar"))</f>
        <v/>
      </c>
      <c r="U701" s="3">
        <f>IF(tblOrdenes[[#This Row],[centro_costo]]="","",_xlfn.XLOOKUP(tblOrdenes[[#This Row],[centro_costo]],tblCECO[codigo],tblCECO[linea],"(sin catálogo)"))</f>
        <v/>
      </c>
      <c r="V701" s="3">
        <f>IF(tblOrdenes[[#This Row],[centro_costo]]="","",_xlfn.XLOOKUP(tblOrdenes[[#This Row],[centro_costo]],tblCECO[codigo],tblCECO[area],"(sin catálogo)"))</f>
        <v/>
      </c>
      <c r="W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3">
        <f>IF(tblOrdenes[[#This Row],[centro_costo]]="","",_xlfn.XLOOKUP(tblOrdenes[[#This Row],[centro_costo]],tblCECO[codigo],tblCECO[coordinador],"(sin catálogo)"))</f>
        <v/>
      </c>
      <c r="Y701" s="3">
        <f>IF(tblOrdenes[[#This Row],[puesto_trabajo]]="","",_xlfn.XLOOKUP(tblOrdenes[[#This Row],[puesto_trabajo]],tblPuestos[codigo],tblPuestos[especialidad],"(sin catálogo)"))</f>
        <v/>
      </c>
      <c r="Z701" s="3">
        <f>IF(tblOrdenes[[#This Row],[cod_actividad]]="","",_xlfn.XLOOKUP(tblOrdenes[[#This Row],[cod_actividad]],tblActividades[codigo],tblActividades[descripcion],"(sin catálogo)"))</f>
        <v/>
      </c>
      <c r="AA701" s="12">
        <f>IF(tblOrdenes[[#This Row],[fecha_inicio]]="","",TODAY()-tblOrdenes[[#This Row],[fecha_inicio]])</f>
        <v/>
      </c>
      <c r="AB7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3">
        <f>IF(tblOrdenes[[#This Row],[backlog_habiles]]="","",IF(tblOrdenes[[#This Row],[backlog_habiles]]&lt;0,"FUTURO",IF(tblOrdenes[[#This Row],[backlog_habiles]]&gt;p_dias_backlog_max,"BACKLOG","MES CORRIENTE")))</f>
        <v/>
      </c>
      <c r="AD701" s="3">
        <f>IF(tblOrdenes[[#This Row],[backlog_habiles]]="",FALSE,AND(tblOrdenes[[#This Row],[backlog_habiles]]&gt;p_dias_backlog_min,tblOrdenes[[#This Row],[backlog_habiles]]&lt;=p_dias_backlog_max))</f>
        <v/>
      </c>
      <c r="AE701" s="6" t="n"/>
      <c r="AF7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0">
        <f>IF(tblOrdenes[[#This Row],[orden]]="","",_xlfn.XLOOKUP(tblOrdenes[[#This Row],[id_operacion]],tblEjecucion[id_operacion],tblEjecucion[precio],0))</f>
        <v/>
      </c>
      <c r="AJ701" s="10">
        <f>IF(tblOrdenes[[#This Row],[orden]]="","",MAX(0,_xlfn.XLOOKUP(tblOrdenes[[#This Row],[id_operacion]],tblEjecucion[id_operacion],tblEjecucion[costo_plan_total],0)-tblOrdenes[[#This Row],[costo_servicio]]))</f>
        <v/>
      </c>
      <c r="AK701" s="10">
        <f>IF(tblOrdenes[[#This Row],[orden]]="","",tblOrdenes[[#This Row],[costo_servicio]]+tblOrdenes[[#This Row],[costo_materiales]])</f>
        <v/>
      </c>
      <c r="AL701" s="6" t="n"/>
      <c r="AM701" s="6" t="n"/>
      <c r="AN701" s="6" t="n"/>
      <c r="AO701" s="3">
        <f>IF(tblOrdenes[[#This Row],[link_checklist]]="","",HYPERLINK(p_ruta_base_checklists&amp;tblOrdenes[[#This Row],[link_checklist]],"abrir"))</f>
        <v/>
      </c>
      <c r="AP701" s="6" t="n"/>
      <c r="AQ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3">
        <f>IF(tblOrdenes[[#This Row],[tipo_ot]]="","",_xlfn.XLOOKUP(tblOrdenes[[#This Row],[tipo_ot]],tblTiposOT[codigo],tblTiposOT[clasificacion],"sin_clasificar"))</f>
        <v/>
      </c>
      <c r="U702" s="3">
        <f>IF(tblOrdenes[[#This Row],[centro_costo]]="","",_xlfn.XLOOKUP(tblOrdenes[[#This Row],[centro_costo]],tblCECO[codigo],tblCECO[linea],"(sin catálogo)"))</f>
        <v/>
      </c>
      <c r="V702" s="3">
        <f>IF(tblOrdenes[[#This Row],[centro_costo]]="","",_xlfn.XLOOKUP(tblOrdenes[[#This Row],[centro_costo]],tblCECO[codigo],tblCECO[area],"(sin catálogo)"))</f>
        <v/>
      </c>
      <c r="W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3">
        <f>IF(tblOrdenes[[#This Row],[centro_costo]]="","",_xlfn.XLOOKUP(tblOrdenes[[#This Row],[centro_costo]],tblCECO[codigo],tblCECO[coordinador],"(sin catálogo)"))</f>
        <v/>
      </c>
      <c r="Y702" s="3">
        <f>IF(tblOrdenes[[#This Row],[puesto_trabajo]]="","",_xlfn.XLOOKUP(tblOrdenes[[#This Row],[puesto_trabajo]],tblPuestos[codigo],tblPuestos[especialidad],"(sin catálogo)"))</f>
        <v/>
      </c>
      <c r="Z702" s="3">
        <f>IF(tblOrdenes[[#This Row],[cod_actividad]]="","",_xlfn.XLOOKUP(tblOrdenes[[#This Row],[cod_actividad]],tblActividades[codigo],tblActividades[descripcion],"(sin catálogo)"))</f>
        <v/>
      </c>
      <c r="AA702" s="12">
        <f>IF(tblOrdenes[[#This Row],[fecha_inicio]]="","",TODAY()-tblOrdenes[[#This Row],[fecha_inicio]])</f>
        <v/>
      </c>
      <c r="AB7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3">
        <f>IF(tblOrdenes[[#This Row],[backlog_habiles]]="","",IF(tblOrdenes[[#This Row],[backlog_habiles]]&lt;0,"FUTURO",IF(tblOrdenes[[#This Row],[backlog_habiles]]&gt;p_dias_backlog_max,"BACKLOG","MES CORRIENTE")))</f>
        <v/>
      </c>
      <c r="AD702" s="3">
        <f>IF(tblOrdenes[[#This Row],[backlog_habiles]]="",FALSE,AND(tblOrdenes[[#This Row],[backlog_habiles]]&gt;p_dias_backlog_min,tblOrdenes[[#This Row],[backlog_habiles]]&lt;=p_dias_backlog_max))</f>
        <v/>
      </c>
      <c r="AE702" s="6" t="n"/>
      <c r="AF7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0">
        <f>IF(tblOrdenes[[#This Row],[orden]]="","",_xlfn.XLOOKUP(tblOrdenes[[#This Row],[id_operacion]],tblEjecucion[id_operacion],tblEjecucion[precio],0))</f>
        <v/>
      </c>
      <c r="AJ702" s="10">
        <f>IF(tblOrdenes[[#This Row],[orden]]="","",MAX(0,_xlfn.XLOOKUP(tblOrdenes[[#This Row],[id_operacion]],tblEjecucion[id_operacion],tblEjecucion[costo_plan_total],0)-tblOrdenes[[#This Row],[costo_servicio]]))</f>
        <v/>
      </c>
      <c r="AK702" s="10">
        <f>IF(tblOrdenes[[#This Row],[orden]]="","",tblOrdenes[[#This Row],[costo_servicio]]+tblOrdenes[[#This Row],[costo_materiales]])</f>
        <v/>
      </c>
      <c r="AL702" s="6" t="n"/>
      <c r="AM702" s="6" t="n"/>
      <c r="AN702" s="6" t="n"/>
      <c r="AO702" s="3">
        <f>IF(tblOrdenes[[#This Row],[link_checklist]]="","",HYPERLINK(p_ruta_base_checklists&amp;tblOrdenes[[#This Row],[link_checklist]],"abrir"))</f>
        <v/>
      </c>
      <c r="AP702" s="6" t="n"/>
      <c r="AQ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3">
        <f>IF(tblOrdenes[[#This Row],[tipo_ot]]="","",_xlfn.XLOOKUP(tblOrdenes[[#This Row],[tipo_ot]],tblTiposOT[codigo],tblTiposOT[clasificacion],"sin_clasificar"))</f>
        <v/>
      </c>
      <c r="U703" s="3">
        <f>IF(tblOrdenes[[#This Row],[centro_costo]]="","",_xlfn.XLOOKUP(tblOrdenes[[#This Row],[centro_costo]],tblCECO[codigo],tblCECO[linea],"(sin catálogo)"))</f>
        <v/>
      </c>
      <c r="V703" s="3">
        <f>IF(tblOrdenes[[#This Row],[centro_costo]]="","",_xlfn.XLOOKUP(tblOrdenes[[#This Row],[centro_costo]],tblCECO[codigo],tblCECO[area],"(sin catálogo)"))</f>
        <v/>
      </c>
      <c r="W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3">
        <f>IF(tblOrdenes[[#This Row],[centro_costo]]="","",_xlfn.XLOOKUP(tblOrdenes[[#This Row],[centro_costo]],tblCECO[codigo],tblCECO[coordinador],"(sin catálogo)"))</f>
        <v/>
      </c>
      <c r="Y703" s="3">
        <f>IF(tblOrdenes[[#This Row],[puesto_trabajo]]="","",_xlfn.XLOOKUP(tblOrdenes[[#This Row],[puesto_trabajo]],tblPuestos[codigo],tblPuestos[especialidad],"(sin catálogo)"))</f>
        <v/>
      </c>
      <c r="Z703" s="3">
        <f>IF(tblOrdenes[[#This Row],[cod_actividad]]="","",_xlfn.XLOOKUP(tblOrdenes[[#This Row],[cod_actividad]],tblActividades[codigo],tblActividades[descripcion],"(sin catálogo)"))</f>
        <v/>
      </c>
      <c r="AA703" s="12">
        <f>IF(tblOrdenes[[#This Row],[fecha_inicio]]="","",TODAY()-tblOrdenes[[#This Row],[fecha_inicio]])</f>
        <v/>
      </c>
      <c r="AB7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3">
        <f>IF(tblOrdenes[[#This Row],[backlog_habiles]]="","",IF(tblOrdenes[[#This Row],[backlog_habiles]]&lt;0,"FUTURO",IF(tblOrdenes[[#This Row],[backlog_habiles]]&gt;p_dias_backlog_max,"BACKLOG","MES CORRIENTE")))</f>
        <v/>
      </c>
      <c r="AD703" s="3">
        <f>IF(tblOrdenes[[#This Row],[backlog_habiles]]="",FALSE,AND(tblOrdenes[[#This Row],[backlog_habiles]]&gt;p_dias_backlog_min,tblOrdenes[[#This Row],[backlog_habiles]]&lt;=p_dias_backlog_max))</f>
        <v/>
      </c>
      <c r="AE703" s="6" t="n"/>
      <c r="AF7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0">
        <f>IF(tblOrdenes[[#This Row],[orden]]="","",_xlfn.XLOOKUP(tblOrdenes[[#This Row],[id_operacion]],tblEjecucion[id_operacion],tblEjecucion[precio],0))</f>
        <v/>
      </c>
      <c r="AJ703" s="10">
        <f>IF(tblOrdenes[[#This Row],[orden]]="","",MAX(0,_xlfn.XLOOKUP(tblOrdenes[[#This Row],[id_operacion]],tblEjecucion[id_operacion],tblEjecucion[costo_plan_total],0)-tblOrdenes[[#This Row],[costo_servicio]]))</f>
        <v/>
      </c>
      <c r="AK703" s="10">
        <f>IF(tblOrdenes[[#This Row],[orden]]="","",tblOrdenes[[#This Row],[costo_servicio]]+tblOrdenes[[#This Row],[costo_materiales]])</f>
        <v/>
      </c>
      <c r="AL703" s="6" t="n"/>
      <c r="AM703" s="6" t="n"/>
      <c r="AN703" s="6" t="n"/>
      <c r="AO703" s="3">
        <f>IF(tblOrdenes[[#This Row],[link_checklist]]="","",HYPERLINK(p_ruta_base_checklists&amp;tblOrdenes[[#This Row],[link_checklist]],"abrir"))</f>
        <v/>
      </c>
      <c r="AP703" s="6" t="n"/>
      <c r="AQ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3">
        <f>IF(tblOrdenes[[#This Row],[tipo_ot]]="","",_xlfn.XLOOKUP(tblOrdenes[[#This Row],[tipo_ot]],tblTiposOT[codigo],tblTiposOT[clasificacion],"sin_clasificar"))</f>
        <v/>
      </c>
      <c r="U704" s="3">
        <f>IF(tblOrdenes[[#This Row],[centro_costo]]="","",_xlfn.XLOOKUP(tblOrdenes[[#This Row],[centro_costo]],tblCECO[codigo],tblCECO[linea],"(sin catálogo)"))</f>
        <v/>
      </c>
      <c r="V704" s="3">
        <f>IF(tblOrdenes[[#This Row],[centro_costo]]="","",_xlfn.XLOOKUP(tblOrdenes[[#This Row],[centro_costo]],tblCECO[codigo],tblCECO[area],"(sin catálogo)"))</f>
        <v/>
      </c>
      <c r="W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3">
        <f>IF(tblOrdenes[[#This Row],[centro_costo]]="","",_xlfn.XLOOKUP(tblOrdenes[[#This Row],[centro_costo]],tblCECO[codigo],tblCECO[coordinador],"(sin catálogo)"))</f>
        <v/>
      </c>
      <c r="Y704" s="3">
        <f>IF(tblOrdenes[[#This Row],[puesto_trabajo]]="","",_xlfn.XLOOKUP(tblOrdenes[[#This Row],[puesto_trabajo]],tblPuestos[codigo],tblPuestos[especialidad],"(sin catálogo)"))</f>
        <v/>
      </c>
      <c r="Z704" s="3">
        <f>IF(tblOrdenes[[#This Row],[cod_actividad]]="","",_xlfn.XLOOKUP(tblOrdenes[[#This Row],[cod_actividad]],tblActividades[codigo],tblActividades[descripcion],"(sin catálogo)"))</f>
        <v/>
      </c>
      <c r="AA704" s="12">
        <f>IF(tblOrdenes[[#This Row],[fecha_inicio]]="","",TODAY()-tblOrdenes[[#This Row],[fecha_inicio]])</f>
        <v/>
      </c>
      <c r="AB7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3">
        <f>IF(tblOrdenes[[#This Row],[backlog_habiles]]="","",IF(tblOrdenes[[#This Row],[backlog_habiles]]&lt;0,"FUTURO",IF(tblOrdenes[[#This Row],[backlog_habiles]]&gt;p_dias_backlog_max,"BACKLOG","MES CORRIENTE")))</f>
        <v/>
      </c>
      <c r="AD704" s="3">
        <f>IF(tblOrdenes[[#This Row],[backlog_habiles]]="",FALSE,AND(tblOrdenes[[#This Row],[backlog_habiles]]&gt;p_dias_backlog_min,tblOrdenes[[#This Row],[backlog_habiles]]&lt;=p_dias_backlog_max))</f>
        <v/>
      </c>
      <c r="AE704" s="6" t="n"/>
      <c r="AF7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0">
        <f>IF(tblOrdenes[[#This Row],[orden]]="","",_xlfn.XLOOKUP(tblOrdenes[[#This Row],[id_operacion]],tblEjecucion[id_operacion],tblEjecucion[precio],0))</f>
        <v/>
      </c>
      <c r="AJ704" s="10">
        <f>IF(tblOrdenes[[#This Row],[orden]]="","",MAX(0,_xlfn.XLOOKUP(tblOrdenes[[#This Row],[id_operacion]],tblEjecucion[id_operacion],tblEjecucion[costo_plan_total],0)-tblOrdenes[[#This Row],[costo_servicio]]))</f>
        <v/>
      </c>
      <c r="AK704" s="10">
        <f>IF(tblOrdenes[[#This Row],[orden]]="","",tblOrdenes[[#This Row],[costo_servicio]]+tblOrdenes[[#This Row],[costo_materiales]])</f>
        <v/>
      </c>
      <c r="AL704" s="6" t="n"/>
      <c r="AM704" s="6" t="n"/>
      <c r="AN704" s="6" t="n"/>
      <c r="AO704" s="3">
        <f>IF(tblOrdenes[[#This Row],[link_checklist]]="","",HYPERLINK(p_ruta_base_checklists&amp;tblOrdenes[[#This Row],[link_checklist]],"abrir"))</f>
        <v/>
      </c>
      <c r="AP704" s="6" t="n"/>
      <c r="AQ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3">
        <f>IF(tblOrdenes[[#This Row],[tipo_ot]]="","",_xlfn.XLOOKUP(tblOrdenes[[#This Row],[tipo_ot]],tblTiposOT[codigo],tblTiposOT[clasificacion],"sin_clasificar"))</f>
        <v/>
      </c>
      <c r="U705" s="3">
        <f>IF(tblOrdenes[[#This Row],[centro_costo]]="","",_xlfn.XLOOKUP(tblOrdenes[[#This Row],[centro_costo]],tblCECO[codigo],tblCECO[linea],"(sin catálogo)"))</f>
        <v/>
      </c>
      <c r="V705" s="3">
        <f>IF(tblOrdenes[[#This Row],[centro_costo]]="","",_xlfn.XLOOKUP(tblOrdenes[[#This Row],[centro_costo]],tblCECO[codigo],tblCECO[area],"(sin catálogo)"))</f>
        <v/>
      </c>
      <c r="W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3">
        <f>IF(tblOrdenes[[#This Row],[centro_costo]]="","",_xlfn.XLOOKUP(tblOrdenes[[#This Row],[centro_costo]],tblCECO[codigo],tblCECO[coordinador],"(sin catálogo)"))</f>
        <v/>
      </c>
      <c r="Y705" s="3">
        <f>IF(tblOrdenes[[#This Row],[puesto_trabajo]]="","",_xlfn.XLOOKUP(tblOrdenes[[#This Row],[puesto_trabajo]],tblPuestos[codigo],tblPuestos[especialidad],"(sin catálogo)"))</f>
        <v/>
      </c>
      <c r="Z705" s="3">
        <f>IF(tblOrdenes[[#This Row],[cod_actividad]]="","",_xlfn.XLOOKUP(tblOrdenes[[#This Row],[cod_actividad]],tblActividades[codigo],tblActividades[descripcion],"(sin catálogo)"))</f>
        <v/>
      </c>
      <c r="AA705" s="12">
        <f>IF(tblOrdenes[[#This Row],[fecha_inicio]]="","",TODAY()-tblOrdenes[[#This Row],[fecha_inicio]])</f>
        <v/>
      </c>
      <c r="AB7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3">
        <f>IF(tblOrdenes[[#This Row],[backlog_habiles]]="","",IF(tblOrdenes[[#This Row],[backlog_habiles]]&lt;0,"FUTURO",IF(tblOrdenes[[#This Row],[backlog_habiles]]&gt;p_dias_backlog_max,"BACKLOG","MES CORRIENTE")))</f>
        <v/>
      </c>
      <c r="AD705" s="3">
        <f>IF(tblOrdenes[[#This Row],[backlog_habiles]]="",FALSE,AND(tblOrdenes[[#This Row],[backlog_habiles]]&gt;p_dias_backlog_min,tblOrdenes[[#This Row],[backlog_habiles]]&lt;=p_dias_backlog_max))</f>
        <v/>
      </c>
      <c r="AE705" s="6" t="n"/>
      <c r="AF7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0">
        <f>IF(tblOrdenes[[#This Row],[orden]]="","",_xlfn.XLOOKUP(tblOrdenes[[#This Row],[id_operacion]],tblEjecucion[id_operacion],tblEjecucion[precio],0))</f>
        <v/>
      </c>
      <c r="AJ705" s="10">
        <f>IF(tblOrdenes[[#This Row],[orden]]="","",MAX(0,_xlfn.XLOOKUP(tblOrdenes[[#This Row],[id_operacion]],tblEjecucion[id_operacion],tblEjecucion[costo_plan_total],0)-tblOrdenes[[#This Row],[costo_servicio]]))</f>
        <v/>
      </c>
      <c r="AK705" s="10">
        <f>IF(tblOrdenes[[#This Row],[orden]]="","",tblOrdenes[[#This Row],[costo_servicio]]+tblOrdenes[[#This Row],[costo_materiales]])</f>
        <v/>
      </c>
      <c r="AL705" s="6" t="n"/>
      <c r="AM705" s="6" t="n"/>
      <c r="AN705" s="6" t="n"/>
      <c r="AO705" s="3">
        <f>IF(tblOrdenes[[#This Row],[link_checklist]]="","",HYPERLINK(p_ruta_base_checklists&amp;tblOrdenes[[#This Row],[link_checklist]],"abrir"))</f>
        <v/>
      </c>
      <c r="AP705" s="6" t="n"/>
      <c r="AQ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3">
        <f>IF(tblOrdenes[[#This Row],[tipo_ot]]="","",_xlfn.XLOOKUP(tblOrdenes[[#This Row],[tipo_ot]],tblTiposOT[codigo],tblTiposOT[clasificacion],"sin_clasificar"))</f>
        <v/>
      </c>
      <c r="U706" s="3">
        <f>IF(tblOrdenes[[#This Row],[centro_costo]]="","",_xlfn.XLOOKUP(tblOrdenes[[#This Row],[centro_costo]],tblCECO[codigo],tblCECO[linea],"(sin catálogo)"))</f>
        <v/>
      </c>
      <c r="V706" s="3">
        <f>IF(tblOrdenes[[#This Row],[centro_costo]]="","",_xlfn.XLOOKUP(tblOrdenes[[#This Row],[centro_costo]],tblCECO[codigo],tblCECO[area],"(sin catálogo)"))</f>
        <v/>
      </c>
      <c r="W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3">
        <f>IF(tblOrdenes[[#This Row],[centro_costo]]="","",_xlfn.XLOOKUP(tblOrdenes[[#This Row],[centro_costo]],tblCECO[codigo],tblCECO[coordinador],"(sin catálogo)"))</f>
        <v/>
      </c>
      <c r="Y706" s="3">
        <f>IF(tblOrdenes[[#This Row],[puesto_trabajo]]="","",_xlfn.XLOOKUP(tblOrdenes[[#This Row],[puesto_trabajo]],tblPuestos[codigo],tblPuestos[especialidad],"(sin catálogo)"))</f>
        <v/>
      </c>
      <c r="Z706" s="3">
        <f>IF(tblOrdenes[[#This Row],[cod_actividad]]="","",_xlfn.XLOOKUP(tblOrdenes[[#This Row],[cod_actividad]],tblActividades[codigo],tblActividades[descripcion],"(sin catálogo)"))</f>
        <v/>
      </c>
      <c r="AA706" s="12">
        <f>IF(tblOrdenes[[#This Row],[fecha_inicio]]="","",TODAY()-tblOrdenes[[#This Row],[fecha_inicio]])</f>
        <v/>
      </c>
      <c r="AB7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3">
        <f>IF(tblOrdenes[[#This Row],[backlog_habiles]]="","",IF(tblOrdenes[[#This Row],[backlog_habiles]]&lt;0,"FUTURO",IF(tblOrdenes[[#This Row],[backlog_habiles]]&gt;p_dias_backlog_max,"BACKLOG","MES CORRIENTE")))</f>
        <v/>
      </c>
      <c r="AD706" s="3">
        <f>IF(tblOrdenes[[#This Row],[backlog_habiles]]="",FALSE,AND(tblOrdenes[[#This Row],[backlog_habiles]]&gt;p_dias_backlog_min,tblOrdenes[[#This Row],[backlog_habiles]]&lt;=p_dias_backlog_max))</f>
        <v/>
      </c>
      <c r="AE706" s="6" t="n"/>
      <c r="AF7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0">
        <f>IF(tblOrdenes[[#This Row],[orden]]="","",_xlfn.XLOOKUP(tblOrdenes[[#This Row],[id_operacion]],tblEjecucion[id_operacion],tblEjecucion[precio],0))</f>
        <v/>
      </c>
      <c r="AJ706" s="10">
        <f>IF(tblOrdenes[[#This Row],[orden]]="","",MAX(0,_xlfn.XLOOKUP(tblOrdenes[[#This Row],[id_operacion]],tblEjecucion[id_operacion],tblEjecucion[costo_plan_total],0)-tblOrdenes[[#This Row],[costo_servicio]]))</f>
        <v/>
      </c>
      <c r="AK706" s="10">
        <f>IF(tblOrdenes[[#This Row],[orden]]="","",tblOrdenes[[#This Row],[costo_servicio]]+tblOrdenes[[#This Row],[costo_materiales]])</f>
        <v/>
      </c>
      <c r="AL706" s="6" t="n"/>
      <c r="AM706" s="6" t="n"/>
      <c r="AN706" s="6" t="n"/>
      <c r="AO706" s="3">
        <f>IF(tblOrdenes[[#This Row],[link_checklist]]="","",HYPERLINK(p_ruta_base_checklists&amp;tblOrdenes[[#This Row],[link_checklist]],"abrir"))</f>
        <v/>
      </c>
      <c r="AP706" s="6" t="n"/>
      <c r="AQ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3">
        <f>IF(tblOrdenes[[#This Row],[tipo_ot]]="","",_xlfn.XLOOKUP(tblOrdenes[[#This Row],[tipo_ot]],tblTiposOT[codigo],tblTiposOT[clasificacion],"sin_clasificar"))</f>
        <v/>
      </c>
      <c r="U707" s="3">
        <f>IF(tblOrdenes[[#This Row],[centro_costo]]="","",_xlfn.XLOOKUP(tblOrdenes[[#This Row],[centro_costo]],tblCECO[codigo],tblCECO[linea],"(sin catálogo)"))</f>
        <v/>
      </c>
      <c r="V707" s="3">
        <f>IF(tblOrdenes[[#This Row],[centro_costo]]="","",_xlfn.XLOOKUP(tblOrdenes[[#This Row],[centro_costo]],tblCECO[codigo],tblCECO[area],"(sin catálogo)"))</f>
        <v/>
      </c>
      <c r="W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3">
        <f>IF(tblOrdenes[[#This Row],[centro_costo]]="","",_xlfn.XLOOKUP(tblOrdenes[[#This Row],[centro_costo]],tblCECO[codigo],tblCECO[coordinador],"(sin catálogo)"))</f>
        <v/>
      </c>
      <c r="Y707" s="3">
        <f>IF(tblOrdenes[[#This Row],[puesto_trabajo]]="","",_xlfn.XLOOKUP(tblOrdenes[[#This Row],[puesto_trabajo]],tblPuestos[codigo],tblPuestos[especialidad],"(sin catálogo)"))</f>
        <v/>
      </c>
      <c r="Z707" s="3">
        <f>IF(tblOrdenes[[#This Row],[cod_actividad]]="","",_xlfn.XLOOKUP(tblOrdenes[[#This Row],[cod_actividad]],tblActividades[codigo],tblActividades[descripcion],"(sin catálogo)"))</f>
        <v/>
      </c>
      <c r="AA707" s="12">
        <f>IF(tblOrdenes[[#This Row],[fecha_inicio]]="","",TODAY()-tblOrdenes[[#This Row],[fecha_inicio]])</f>
        <v/>
      </c>
      <c r="AB7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3">
        <f>IF(tblOrdenes[[#This Row],[backlog_habiles]]="","",IF(tblOrdenes[[#This Row],[backlog_habiles]]&lt;0,"FUTURO",IF(tblOrdenes[[#This Row],[backlog_habiles]]&gt;p_dias_backlog_max,"BACKLOG","MES CORRIENTE")))</f>
        <v/>
      </c>
      <c r="AD707" s="3">
        <f>IF(tblOrdenes[[#This Row],[backlog_habiles]]="",FALSE,AND(tblOrdenes[[#This Row],[backlog_habiles]]&gt;p_dias_backlog_min,tblOrdenes[[#This Row],[backlog_habiles]]&lt;=p_dias_backlog_max))</f>
        <v/>
      </c>
      <c r="AE707" s="6" t="n"/>
      <c r="AF7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0">
        <f>IF(tblOrdenes[[#This Row],[orden]]="","",_xlfn.XLOOKUP(tblOrdenes[[#This Row],[id_operacion]],tblEjecucion[id_operacion],tblEjecucion[precio],0))</f>
        <v/>
      </c>
      <c r="AJ707" s="10">
        <f>IF(tblOrdenes[[#This Row],[orden]]="","",MAX(0,_xlfn.XLOOKUP(tblOrdenes[[#This Row],[id_operacion]],tblEjecucion[id_operacion],tblEjecucion[costo_plan_total],0)-tblOrdenes[[#This Row],[costo_servicio]]))</f>
        <v/>
      </c>
      <c r="AK707" s="10">
        <f>IF(tblOrdenes[[#This Row],[orden]]="","",tblOrdenes[[#This Row],[costo_servicio]]+tblOrdenes[[#This Row],[costo_materiales]])</f>
        <v/>
      </c>
      <c r="AL707" s="6" t="n"/>
      <c r="AM707" s="6" t="n"/>
      <c r="AN707" s="6" t="n"/>
      <c r="AO707" s="3">
        <f>IF(tblOrdenes[[#This Row],[link_checklist]]="","",HYPERLINK(p_ruta_base_checklists&amp;tblOrdenes[[#This Row],[link_checklist]],"abrir"))</f>
        <v/>
      </c>
      <c r="AP707" s="6" t="n"/>
      <c r="AQ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3">
        <f>IF(tblOrdenes[[#This Row],[tipo_ot]]="","",_xlfn.XLOOKUP(tblOrdenes[[#This Row],[tipo_ot]],tblTiposOT[codigo],tblTiposOT[clasificacion],"sin_clasificar"))</f>
        <v/>
      </c>
      <c r="U708" s="3">
        <f>IF(tblOrdenes[[#This Row],[centro_costo]]="","",_xlfn.XLOOKUP(tblOrdenes[[#This Row],[centro_costo]],tblCECO[codigo],tblCECO[linea],"(sin catálogo)"))</f>
        <v/>
      </c>
      <c r="V708" s="3">
        <f>IF(tblOrdenes[[#This Row],[centro_costo]]="","",_xlfn.XLOOKUP(tblOrdenes[[#This Row],[centro_costo]],tblCECO[codigo],tblCECO[area],"(sin catálogo)"))</f>
        <v/>
      </c>
      <c r="W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3">
        <f>IF(tblOrdenes[[#This Row],[centro_costo]]="","",_xlfn.XLOOKUP(tblOrdenes[[#This Row],[centro_costo]],tblCECO[codigo],tblCECO[coordinador],"(sin catálogo)"))</f>
        <v/>
      </c>
      <c r="Y708" s="3">
        <f>IF(tblOrdenes[[#This Row],[puesto_trabajo]]="","",_xlfn.XLOOKUP(tblOrdenes[[#This Row],[puesto_trabajo]],tblPuestos[codigo],tblPuestos[especialidad],"(sin catálogo)"))</f>
        <v/>
      </c>
      <c r="Z708" s="3">
        <f>IF(tblOrdenes[[#This Row],[cod_actividad]]="","",_xlfn.XLOOKUP(tblOrdenes[[#This Row],[cod_actividad]],tblActividades[codigo],tblActividades[descripcion],"(sin catálogo)"))</f>
        <v/>
      </c>
      <c r="AA708" s="12">
        <f>IF(tblOrdenes[[#This Row],[fecha_inicio]]="","",TODAY()-tblOrdenes[[#This Row],[fecha_inicio]])</f>
        <v/>
      </c>
      <c r="AB7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3">
        <f>IF(tblOrdenes[[#This Row],[backlog_habiles]]="","",IF(tblOrdenes[[#This Row],[backlog_habiles]]&lt;0,"FUTURO",IF(tblOrdenes[[#This Row],[backlog_habiles]]&gt;p_dias_backlog_max,"BACKLOG","MES CORRIENTE")))</f>
        <v/>
      </c>
      <c r="AD708" s="3">
        <f>IF(tblOrdenes[[#This Row],[backlog_habiles]]="",FALSE,AND(tblOrdenes[[#This Row],[backlog_habiles]]&gt;p_dias_backlog_min,tblOrdenes[[#This Row],[backlog_habiles]]&lt;=p_dias_backlog_max))</f>
        <v/>
      </c>
      <c r="AE708" s="6" t="n"/>
      <c r="AF7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0">
        <f>IF(tblOrdenes[[#This Row],[orden]]="","",_xlfn.XLOOKUP(tblOrdenes[[#This Row],[id_operacion]],tblEjecucion[id_operacion],tblEjecucion[precio],0))</f>
        <v/>
      </c>
      <c r="AJ708" s="10">
        <f>IF(tblOrdenes[[#This Row],[orden]]="","",MAX(0,_xlfn.XLOOKUP(tblOrdenes[[#This Row],[id_operacion]],tblEjecucion[id_operacion],tblEjecucion[costo_plan_total],0)-tblOrdenes[[#This Row],[costo_servicio]]))</f>
        <v/>
      </c>
      <c r="AK708" s="10">
        <f>IF(tblOrdenes[[#This Row],[orden]]="","",tblOrdenes[[#This Row],[costo_servicio]]+tblOrdenes[[#This Row],[costo_materiales]])</f>
        <v/>
      </c>
      <c r="AL708" s="6" t="n"/>
      <c r="AM708" s="6" t="n"/>
      <c r="AN708" s="6" t="n"/>
      <c r="AO708" s="3">
        <f>IF(tblOrdenes[[#This Row],[link_checklist]]="","",HYPERLINK(p_ruta_base_checklists&amp;tblOrdenes[[#This Row],[link_checklist]],"abrir"))</f>
        <v/>
      </c>
      <c r="AP708" s="6" t="n"/>
      <c r="AQ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3">
        <f>IF(tblOrdenes[[#This Row],[tipo_ot]]="","",_xlfn.XLOOKUP(tblOrdenes[[#This Row],[tipo_ot]],tblTiposOT[codigo],tblTiposOT[clasificacion],"sin_clasificar"))</f>
        <v/>
      </c>
      <c r="U709" s="3">
        <f>IF(tblOrdenes[[#This Row],[centro_costo]]="","",_xlfn.XLOOKUP(tblOrdenes[[#This Row],[centro_costo]],tblCECO[codigo],tblCECO[linea],"(sin catálogo)"))</f>
        <v/>
      </c>
      <c r="V709" s="3">
        <f>IF(tblOrdenes[[#This Row],[centro_costo]]="","",_xlfn.XLOOKUP(tblOrdenes[[#This Row],[centro_costo]],tblCECO[codigo],tblCECO[area],"(sin catálogo)"))</f>
        <v/>
      </c>
      <c r="W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3">
        <f>IF(tblOrdenes[[#This Row],[centro_costo]]="","",_xlfn.XLOOKUP(tblOrdenes[[#This Row],[centro_costo]],tblCECO[codigo],tblCECO[coordinador],"(sin catálogo)"))</f>
        <v/>
      </c>
      <c r="Y709" s="3">
        <f>IF(tblOrdenes[[#This Row],[puesto_trabajo]]="","",_xlfn.XLOOKUP(tblOrdenes[[#This Row],[puesto_trabajo]],tblPuestos[codigo],tblPuestos[especialidad],"(sin catálogo)"))</f>
        <v/>
      </c>
      <c r="Z709" s="3">
        <f>IF(tblOrdenes[[#This Row],[cod_actividad]]="","",_xlfn.XLOOKUP(tblOrdenes[[#This Row],[cod_actividad]],tblActividades[codigo],tblActividades[descripcion],"(sin catálogo)"))</f>
        <v/>
      </c>
      <c r="AA709" s="12">
        <f>IF(tblOrdenes[[#This Row],[fecha_inicio]]="","",TODAY()-tblOrdenes[[#This Row],[fecha_inicio]])</f>
        <v/>
      </c>
      <c r="AB7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3">
        <f>IF(tblOrdenes[[#This Row],[backlog_habiles]]="","",IF(tblOrdenes[[#This Row],[backlog_habiles]]&lt;0,"FUTURO",IF(tblOrdenes[[#This Row],[backlog_habiles]]&gt;p_dias_backlog_max,"BACKLOG","MES CORRIENTE")))</f>
        <v/>
      </c>
      <c r="AD709" s="3">
        <f>IF(tblOrdenes[[#This Row],[backlog_habiles]]="",FALSE,AND(tblOrdenes[[#This Row],[backlog_habiles]]&gt;p_dias_backlog_min,tblOrdenes[[#This Row],[backlog_habiles]]&lt;=p_dias_backlog_max))</f>
        <v/>
      </c>
      <c r="AE709" s="6" t="n"/>
      <c r="AF7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0">
        <f>IF(tblOrdenes[[#This Row],[orden]]="","",_xlfn.XLOOKUP(tblOrdenes[[#This Row],[id_operacion]],tblEjecucion[id_operacion],tblEjecucion[precio],0))</f>
        <v/>
      </c>
      <c r="AJ709" s="10">
        <f>IF(tblOrdenes[[#This Row],[orden]]="","",MAX(0,_xlfn.XLOOKUP(tblOrdenes[[#This Row],[id_operacion]],tblEjecucion[id_operacion],tblEjecucion[costo_plan_total],0)-tblOrdenes[[#This Row],[costo_servicio]]))</f>
        <v/>
      </c>
      <c r="AK709" s="10">
        <f>IF(tblOrdenes[[#This Row],[orden]]="","",tblOrdenes[[#This Row],[costo_servicio]]+tblOrdenes[[#This Row],[costo_materiales]])</f>
        <v/>
      </c>
      <c r="AL709" s="6" t="n"/>
      <c r="AM709" s="6" t="n"/>
      <c r="AN709" s="6" t="n"/>
      <c r="AO709" s="3">
        <f>IF(tblOrdenes[[#This Row],[link_checklist]]="","",HYPERLINK(p_ruta_base_checklists&amp;tblOrdenes[[#This Row],[link_checklist]],"abrir"))</f>
        <v/>
      </c>
      <c r="AP709" s="6" t="n"/>
      <c r="AQ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3">
        <f>IF(tblOrdenes[[#This Row],[tipo_ot]]="","",_xlfn.XLOOKUP(tblOrdenes[[#This Row],[tipo_ot]],tblTiposOT[codigo],tblTiposOT[clasificacion],"sin_clasificar"))</f>
        <v/>
      </c>
      <c r="U710" s="3">
        <f>IF(tblOrdenes[[#This Row],[centro_costo]]="","",_xlfn.XLOOKUP(tblOrdenes[[#This Row],[centro_costo]],tblCECO[codigo],tblCECO[linea],"(sin catálogo)"))</f>
        <v/>
      </c>
      <c r="V710" s="3">
        <f>IF(tblOrdenes[[#This Row],[centro_costo]]="","",_xlfn.XLOOKUP(tblOrdenes[[#This Row],[centro_costo]],tblCECO[codigo],tblCECO[area],"(sin catálogo)"))</f>
        <v/>
      </c>
      <c r="W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3">
        <f>IF(tblOrdenes[[#This Row],[centro_costo]]="","",_xlfn.XLOOKUP(tblOrdenes[[#This Row],[centro_costo]],tblCECO[codigo],tblCECO[coordinador],"(sin catálogo)"))</f>
        <v/>
      </c>
      <c r="Y710" s="3">
        <f>IF(tblOrdenes[[#This Row],[puesto_trabajo]]="","",_xlfn.XLOOKUP(tblOrdenes[[#This Row],[puesto_trabajo]],tblPuestos[codigo],tblPuestos[especialidad],"(sin catálogo)"))</f>
        <v/>
      </c>
      <c r="Z710" s="3">
        <f>IF(tblOrdenes[[#This Row],[cod_actividad]]="","",_xlfn.XLOOKUP(tblOrdenes[[#This Row],[cod_actividad]],tblActividades[codigo],tblActividades[descripcion],"(sin catálogo)"))</f>
        <v/>
      </c>
      <c r="AA710" s="12">
        <f>IF(tblOrdenes[[#This Row],[fecha_inicio]]="","",TODAY()-tblOrdenes[[#This Row],[fecha_inicio]])</f>
        <v/>
      </c>
      <c r="AB7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3">
        <f>IF(tblOrdenes[[#This Row],[backlog_habiles]]="","",IF(tblOrdenes[[#This Row],[backlog_habiles]]&lt;0,"FUTURO",IF(tblOrdenes[[#This Row],[backlog_habiles]]&gt;p_dias_backlog_max,"BACKLOG","MES CORRIENTE")))</f>
        <v/>
      </c>
      <c r="AD710" s="3">
        <f>IF(tblOrdenes[[#This Row],[backlog_habiles]]="",FALSE,AND(tblOrdenes[[#This Row],[backlog_habiles]]&gt;p_dias_backlog_min,tblOrdenes[[#This Row],[backlog_habiles]]&lt;=p_dias_backlog_max))</f>
        <v/>
      </c>
      <c r="AE710" s="6" t="n"/>
      <c r="AF7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0">
        <f>IF(tblOrdenes[[#This Row],[orden]]="","",_xlfn.XLOOKUP(tblOrdenes[[#This Row],[id_operacion]],tblEjecucion[id_operacion],tblEjecucion[precio],0))</f>
        <v/>
      </c>
      <c r="AJ710" s="10">
        <f>IF(tblOrdenes[[#This Row],[orden]]="","",MAX(0,_xlfn.XLOOKUP(tblOrdenes[[#This Row],[id_operacion]],tblEjecucion[id_operacion],tblEjecucion[costo_plan_total],0)-tblOrdenes[[#This Row],[costo_servicio]]))</f>
        <v/>
      </c>
      <c r="AK710" s="10">
        <f>IF(tblOrdenes[[#This Row],[orden]]="","",tblOrdenes[[#This Row],[costo_servicio]]+tblOrdenes[[#This Row],[costo_materiales]])</f>
        <v/>
      </c>
      <c r="AL710" s="6" t="n"/>
      <c r="AM710" s="6" t="n"/>
      <c r="AN710" s="6" t="n"/>
      <c r="AO710" s="3">
        <f>IF(tblOrdenes[[#This Row],[link_checklist]]="","",HYPERLINK(p_ruta_base_checklists&amp;tblOrdenes[[#This Row],[link_checklist]],"abrir"))</f>
        <v/>
      </c>
      <c r="AP710" s="6" t="n"/>
      <c r="AQ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3">
        <f>IF(tblOrdenes[[#This Row],[tipo_ot]]="","",_xlfn.XLOOKUP(tblOrdenes[[#This Row],[tipo_ot]],tblTiposOT[codigo],tblTiposOT[clasificacion],"sin_clasificar"))</f>
        <v/>
      </c>
      <c r="U711" s="3">
        <f>IF(tblOrdenes[[#This Row],[centro_costo]]="","",_xlfn.XLOOKUP(tblOrdenes[[#This Row],[centro_costo]],tblCECO[codigo],tblCECO[linea],"(sin catálogo)"))</f>
        <v/>
      </c>
      <c r="V711" s="3">
        <f>IF(tblOrdenes[[#This Row],[centro_costo]]="","",_xlfn.XLOOKUP(tblOrdenes[[#This Row],[centro_costo]],tblCECO[codigo],tblCECO[area],"(sin catálogo)"))</f>
        <v/>
      </c>
      <c r="W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3">
        <f>IF(tblOrdenes[[#This Row],[centro_costo]]="","",_xlfn.XLOOKUP(tblOrdenes[[#This Row],[centro_costo]],tblCECO[codigo],tblCECO[coordinador],"(sin catálogo)"))</f>
        <v/>
      </c>
      <c r="Y711" s="3">
        <f>IF(tblOrdenes[[#This Row],[puesto_trabajo]]="","",_xlfn.XLOOKUP(tblOrdenes[[#This Row],[puesto_trabajo]],tblPuestos[codigo],tblPuestos[especialidad],"(sin catálogo)"))</f>
        <v/>
      </c>
      <c r="Z711" s="3">
        <f>IF(tblOrdenes[[#This Row],[cod_actividad]]="","",_xlfn.XLOOKUP(tblOrdenes[[#This Row],[cod_actividad]],tblActividades[codigo],tblActividades[descripcion],"(sin catálogo)"))</f>
        <v/>
      </c>
      <c r="AA711" s="12">
        <f>IF(tblOrdenes[[#This Row],[fecha_inicio]]="","",TODAY()-tblOrdenes[[#This Row],[fecha_inicio]])</f>
        <v/>
      </c>
      <c r="AB7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3">
        <f>IF(tblOrdenes[[#This Row],[backlog_habiles]]="","",IF(tblOrdenes[[#This Row],[backlog_habiles]]&lt;0,"FUTURO",IF(tblOrdenes[[#This Row],[backlog_habiles]]&gt;p_dias_backlog_max,"BACKLOG","MES CORRIENTE")))</f>
        <v/>
      </c>
      <c r="AD711" s="3">
        <f>IF(tblOrdenes[[#This Row],[backlog_habiles]]="",FALSE,AND(tblOrdenes[[#This Row],[backlog_habiles]]&gt;p_dias_backlog_min,tblOrdenes[[#This Row],[backlog_habiles]]&lt;=p_dias_backlog_max))</f>
        <v/>
      </c>
      <c r="AE711" s="6" t="n"/>
      <c r="AF7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0">
        <f>IF(tblOrdenes[[#This Row],[orden]]="","",_xlfn.XLOOKUP(tblOrdenes[[#This Row],[id_operacion]],tblEjecucion[id_operacion],tblEjecucion[precio],0))</f>
        <v/>
      </c>
      <c r="AJ711" s="10">
        <f>IF(tblOrdenes[[#This Row],[orden]]="","",MAX(0,_xlfn.XLOOKUP(tblOrdenes[[#This Row],[id_operacion]],tblEjecucion[id_operacion],tblEjecucion[costo_plan_total],0)-tblOrdenes[[#This Row],[costo_servicio]]))</f>
        <v/>
      </c>
      <c r="AK711" s="10">
        <f>IF(tblOrdenes[[#This Row],[orden]]="","",tblOrdenes[[#This Row],[costo_servicio]]+tblOrdenes[[#This Row],[costo_materiales]])</f>
        <v/>
      </c>
      <c r="AL711" s="6" t="n"/>
      <c r="AM711" s="6" t="n"/>
      <c r="AN711" s="6" t="n"/>
      <c r="AO711" s="3">
        <f>IF(tblOrdenes[[#This Row],[link_checklist]]="","",HYPERLINK(p_ruta_base_checklists&amp;tblOrdenes[[#This Row],[link_checklist]],"abrir"))</f>
        <v/>
      </c>
      <c r="AP711" s="6" t="n"/>
      <c r="AQ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3">
        <f>IF(tblOrdenes[[#This Row],[tipo_ot]]="","",_xlfn.XLOOKUP(tblOrdenes[[#This Row],[tipo_ot]],tblTiposOT[codigo],tblTiposOT[clasificacion],"sin_clasificar"))</f>
        <v/>
      </c>
      <c r="U712" s="3">
        <f>IF(tblOrdenes[[#This Row],[centro_costo]]="","",_xlfn.XLOOKUP(tblOrdenes[[#This Row],[centro_costo]],tblCECO[codigo],tblCECO[linea],"(sin catálogo)"))</f>
        <v/>
      </c>
      <c r="V712" s="3">
        <f>IF(tblOrdenes[[#This Row],[centro_costo]]="","",_xlfn.XLOOKUP(tblOrdenes[[#This Row],[centro_costo]],tblCECO[codigo],tblCECO[area],"(sin catálogo)"))</f>
        <v/>
      </c>
      <c r="W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3">
        <f>IF(tblOrdenes[[#This Row],[centro_costo]]="","",_xlfn.XLOOKUP(tblOrdenes[[#This Row],[centro_costo]],tblCECO[codigo],tblCECO[coordinador],"(sin catálogo)"))</f>
        <v/>
      </c>
      <c r="Y712" s="3">
        <f>IF(tblOrdenes[[#This Row],[puesto_trabajo]]="","",_xlfn.XLOOKUP(tblOrdenes[[#This Row],[puesto_trabajo]],tblPuestos[codigo],tblPuestos[especialidad],"(sin catálogo)"))</f>
        <v/>
      </c>
      <c r="Z712" s="3">
        <f>IF(tblOrdenes[[#This Row],[cod_actividad]]="","",_xlfn.XLOOKUP(tblOrdenes[[#This Row],[cod_actividad]],tblActividades[codigo],tblActividades[descripcion],"(sin catálogo)"))</f>
        <v/>
      </c>
      <c r="AA712" s="12">
        <f>IF(tblOrdenes[[#This Row],[fecha_inicio]]="","",TODAY()-tblOrdenes[[#This Row],[fecha_inicio]])</f>
        <v/>
      </c>
      <c r="AB7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3">
        <f>IF(tblOrdenes[[#This Row],[backlog_habiles]]="","",IF(tblOrdenes[[#This Row],[backlog_habiles]]&lt;0,"FUTURO",IF(tblOrdenes[[#This Row],[backlog_habiles]]&gt;p_dias_backlog_max,"BACKLOG","MES CORRIENTE")))</f>
        <v/>
      </c>
      <c r="AD712" s="3">
        <f>IF(tblOrdenes[[#This Row],[backlog_habiles]]="",FALSE,AND(tblOrdenes[[#This Row],[backlog_habiles]]&gt;p_dias_backlog_min,tblOrdenes[[#This Row],[backlog_habiles]]&lt;=p_dias_backlog_max))</f>
        <v/>
      </c>
      <c r="AE712" s="6" t="n"/>
      <c r="AF7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0">
        <f>IF(tblOrdenes[[#This Row],[orden]]="","",_xlfn.XLOOKUP(tblOrdenes[[#This Row],[id_operacion]],tblEjecucion[id_operacion],tblEjecucion[precio],0))</f>
        <v/>
      </c>
      <c r="AJ712" s="10">
        <f>IF(tblOrdenes[[#This Row],[orden]]="","",MAX(0,_xlfn.XLOOKUP(tblOrdenes[[#This Row],[id_operacion]],tblEjecucion[id_operacion],tblEjecucion[costo_plan_total],0)-tblOrdenes[[#This Row],[costo_servicio]]))</f>
        <v/>
      </c>
      <c r="AK712" s="10">
        <f>IF(tblOrdenes[[#This Row],[orden]]="","",tblOrdenes[[#This Row],[costo_servicio]]+tblOrdenes[[#This Row],[costo_materiales]])</f>
        <v/>
      </c>
      <c r="AL712" s="6" t="n"/>
      <c r="AM712" s="6" t="n"/>
      <c r="AN712" s="6" t="n"/>
      <c r="AO712" s="3">
        <f>IF(tblOrdenes[[#This Row],[link_checklist]]="","",HYPERLINK(p_ruta_base_checklists&amp;tblOrdenes[[#This Row],[link_checklist]],"abrir"))</f>
        <v/>
      </c>
      <c r="AP712" s="6" t="n"/>
      <c r="AQ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3">
        <f>IF(tblOrdenes[[#This Row],[tipo_ot]]="","",_xlfn.XLOOKUP(tblOrdenes[[#This Row],[tipo_ot]],tblTiposOT[codigo],tblTiposOT[clasificacion],"sin_clasificar"))</f>
        <v/>
      </c>
      <c r="U713" s="3">
        <f>IF(tblOrdenes[[#This Row],[centro_costo]]="","",_xlfn.XLOOKUP(tblOrdenes[[#This Row],[centro_costo]],tblCECO[codigo],tblCECO[linea],"(sin catálogo)"))</f>
        <v/>
      </c>
      <c r="V713" s="3">
        <f>IF(tblOrdenes[[#This Row],[centro_costo]]="","",_xlfn.XLOOKUP(tblOrdenes[[#This Row],[centro_costo]],tblCECO[codigo],tblCECO[area],"(sin catálogo)"))</f>
        <v/>
      </c>
      <c r="W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3">
        <f>IF(tblOrdenes[[#This Row],[centro_costo]]="","",_xlfn.XLOOKUP(tblOrdenes[[#This Row],[centro_costo]],tblCECO[codigo],tblCECO[coordinador],"(sin catálogo)"))</f>
        <v/>
      </c>
      <c r="Y713" s="3">
        <f>IF(tblOrdenes[[#This Row],[puesto_trabajo]]="","",_xlfn.XLOOKUP(tblOrdenes[[#This Row],[puesto_trabajo]],tblPuestos[codigo],tblPuestos[especialidad],"(sin catálogo)"))</f>
        <v/>
      </c>
      <c r="Z713" s="3">
        <f>IF(tblOrdenes[[#This Row],[cod_actividad]]="","",_xlfn.XLOOKUP(tblOrdenes[[#This Row],[cod_actividad]],tblActividades[codigo],tblActividades[descripcion],"(sin catálogo)"))</f>
        <v/>
      </c>
      <c r="AA713" s="12">
        <f>IF(tblOrdenes[[#This Row],[fecha_inicio]]="","",TODAY()-tblOrdenes[[#This Row],[fecha_inicio]])</f>
        <v/>
      </c>
      <c r="AB7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3">
        <f>IF(tblOrdenes[[#This Row],[backlog_habiles]]="","",IF(tblOrdenes[[#This Row],[backlog_habiles]]&lt;0,"FUTURO",IF(tblOrdenes[[#This Row],[backlog_habiles]]&gt;p_dias_backlog_max,"BACKLOG","MES CORRIENTE")))</f>
        <v/>
      </c>
      <c r="AD713" s="3">
        <f>IF(tblOrdenes[[#This Row],[backlog_habiles]]="",FALSE,AND(tblOrdenes[[#This Row],[backlog_habiles]]&gt;p_dias_backlog_min,tblOrdenes[[#This Row],[backlog_habiles]]&lt;=p_dias_backlog_max))</f>
        <v/>
      </c>
      <c r="AE713" s="6" t="n"/>
      <c r="AF7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0">
        <f>IF(tblOrdenes[[#This Row],[orden]]="","",_xlfn.XLOOKUP(tblOrdenes[[#This Row],[id_operacion]],tblEjecucion[id_operacion],tblEjecucion[precio],0))</f>
        <v/>
      </c>
      <c r="AJ713" s="10">
        <f>IF(tblOrdenes[[#This Row],[orden]]="","",MAX(0,_xlfn.XLOOKUP(tblOrdenes[[#This Row],[id_operacion]],tblEjecucion[id_operacion],tblEjecucion[costo_plan_total],0)-tblOrdenes[[#This Row],[costo_servicio]]))</f>
        <v/>
      </c>
      <c r="AK713" s="10">
        <f>IF(tblOrdenes[[#This Row],[orden]]="","",tblOrdenes[[#This Row],[costo_servicio]]+tblOrdenes[[#This Row],[costo_materiales]])</f>
        <v/>
      </c>
      <c r="AL713" s="6" t="n"/>
      <c r="AM713" s="6" t="n"/>
      <c r="AN713" s="6" t="n"/>
      <c r="AO713" s="3">
        <f>IF(tblOrdenes[[#This Row],[link_checklist]]="","",HYPERLINK(p_ruta_base_checklists&amp;tblOrdenes[[#This Row],[link_checklist]],"abrir"))</f>
        <v/>
      </c>
      <c r="AP713" s="6" t="n"/>
      <c r="AQ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3">
        <f>IF(tblOrdenes[[#This Row],[tipo_ot]]="","",_xlfn.XLOOKUP(tblOrdenes[[#This Row],[tipo_ot]],tblTiposOT[codigo],tblTiposOT[clasificacion],"sin_clasificar"))</f>
        <v/>
      </c>
      <c r="U714" s="3">
        <f>IF(tblOrdenes[[#This Row],[centro_costo]]="","",_xlfn.XLOOKUP(tblOrdenes[[#This Row],[centro_costo]],tblCECO[codigo],tblCECO[linea],"(sin catálogo)"))</f>
        <v/>
      </c>
      <c r="V714" s="3">
        <f>IF(tblOrdenes[[#This Row],[centro_costo]]="","",_xlfn.XLOOKUP(tblOrdenes[[#This Row],[centro_costo]],tblCECO[codigo],tblCECO[area],"(sin catálogo)"))</f>
        <v/>
      </c>
      <c r="W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3">
        <f>IF(tblOrdenes[[#This Row],[centro_costo]]="","",_xlfn.XLOOKUP(tblOrdenes[[#This Row],[centro_costo]],tblCECO[codigo],tblCECO[coordinador],"(sin catálogo)"))</f>
        <v/>
      </c>
      <c r="Y714" s="3">
        <f>IF(tblOrdenes[[#This Row],[puesto_trabajo]]="","",_xlfn.XLOOKUP(tblOrdenes[[#This Row],[puesto_trabajo]],tblPuestos[codigo],tblPuestos[especialidad],"(sin catálogo)"))</f>
        <v/>
      </c>
      <c r="Z714" s="3">
        <f>IF(tblOrdenes[[#This Row],[cod_actividad]]="","",_xlfn.XLOOKUP(tblOrdenes[[#This Row],[cod_actividad]],tblActividades[codigo],tblActividades[descripcion],"(sin catálogo)"))</f>
        <v/>
      </c>
      <c r="AA714" s="12">
        <f>IF(tblOrdenes[[#This Row],[fecha_inicio]]="","",TODAY()-tblOrdenes[[#This Row],[fecha_inicio]])</f>
        <v/>
      </c>
      <c r="AB7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3">
        <f>IF(tblOrdenes[[#This Row],[backlog_habiles]]="","",IF(tblOrdenes[[#This Row],[backlog_habiles]]&lt;0,"FUTURO",IF(tblOrdenes[[#This Row],[backlog_habiles]]&gt;p_dias_backlog_max,"BACKLOG","MES CORRIENTE")))</f>
        <v/>
      </c>
      <c r="AD714" s="3">
        <f>IF(tblOrdenes[[#This Row],[backlog_habiles]]="",FALSE,AND(tblOrdenes[[#This Row],[backlog_habiles]]&gt;p_dias_backlog_min,tblOrdenes[[#This Row],[backlog_habiles]]&lt;=p_dias_backlog_max))</f>
        <v/>
      </c>
      <c r="AE714" s="6" t="n"/>
      <c r="AF7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0">
        <f>IF(tblOrdenes[[#This Row],[orden]]="","",_xlfn.XLOOKUP(tblOrdenes[[#This Row],[id_operacion]],tblEjecucion[id_operacion],tblEjecucion[precio],0))</f>
        <v/>
      </c>
      <c r="AJ714" s="10">
        <f>IF(tblOrdenes[[#This Row],[orden]]="","",MAX(0,_xlfn.XLOOKUP(tblOrdenes[[#This Row],[id_operacion]],tblEjecucion[id_operacion],tblEjecucion[costo_plan_total],0)-tblOrdenes[[#This Row],[costo_servicio]]))</f>
        <v/>
      </c>
      <c r="AK714" s="10">
        <f>IF(tblOrdenes[[#This Row],[orden]]="","",tblOrdenes[[#This Row],[costo_servicio]]+tblOrdenes[[#This Row],[costo_materiales]])</f>
        <v/>
      </c>
      <c r="AL714" s="6" t="n"/>
      <c r="AM714" s="6" t="n"/>
      <c r="AN714" s="6" t="n"/>
      <c r="AO714" s="3">
        <f>IF(tblOrdenes[[#This Row],[link_checklist]]="","",HYPERLINK(p_ruta_base_checklists&amp;tblOrdenes[[#This Row],[link_checklist]],"abrir"))</f>
        <v/>
      </c>
      <c r="AP714" s="6" t="n"/>
      <c r="AQ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3">
        <f>IF(tblOrdenes[[#This Row],[tipo_ot]]="","",_xlfn.XLOOKUP(tblOrdenes[[#This Row],[tipo_ot]],tblTiposOT[codigo],tblTiposOT[clasificacion],"sin_clasificar"))</f>
        <v/>
      </c>
      <c r="U715" s="3">
        <f>IF(tblOrdenes[[#This Row],[centro_costo]]="","",_xlfn.XLOOKUP(tblOrdenes[[#This Row],[centro_costo]],tblCECO[codigo],tblCECO[linea],"(sin catálogo)"))</f>
        <v/>
      </c>
      <c r="V715" s="3">
        <f>IF(tblOrdenes[[#This Row],[centro_costo]]="","",_xlfn.XLOOKUP(tblOrdenes[[#This Row],[centro_costo]],tblCECO[codigo],tblCECO[area],"(sin catálogo)"))</f>
        <v/>
      </c>
      <c r="W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3">
        <f>IF(tblOrdenes[[#This Row],[centro_costo]]="","",_xlfn.XLOOKUP(tblOrdenes[[#This Row],[centro_costo]],tblCECO[codigo],tblCECO[coordinador],"(sin catálogo)"))</f>
        <v/>
      </c>
      <c r="Y715" s="3">
        <f>IF(tblOrdenes[[#This Row],[puesto_trabajo]]="","",_xlfn.XLOOKUP(tblOrdenes[[#This Row],[puesto_trabajo]],tblPuestos[codigo],tblPuestos[especialidad],"(sin catálogo)"))</f>
        <v/>
      </c>
      <c r="Z715" s="3">
        <f>IF(tblOrdenes[[#This Row],[cod_actividad]]="","",_xlfn.XLOOKUP(tblOrdenes[[#This Row],[cod_actividad]],tblActividades[codigo],tblActividades[descripcion],"(sin catálogo)"))</f>
        <v/>
      </c>
      <c r="AA715" s="12">
        <f>IF(tblOrdenes[[#This Row],[fecha_inicio]]="","",TODAY()-tblOrdenes[[#This Row],[fecha_inicio]])</f>
        <v/>
      </c>
      <c r="AB7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3">
        <f>IF(tblOrdenes[[#This Row],[backlog_habiles]]="","",IF(tblOrdenes[[#This Row],[backlog_habiles]]&lt;0,"FUTURO",IF(tblOrdenes[[#This Row],[backlog_habiles]]&gt;p_dias_backlog_max,"BACKLOG","MES CORRIENTE")))</f>
        <v/>
      </c>
      <c r="AD715" s="3">
        <f>IF(tblOrdenes[[#This Row],[backlog_habiles]]="",FALSE,AND(tblOrdenes[[#This Row],[backlog_habiles]]&gt;p_dias_backlog_min,tblOrdenes[[#This Row],[backlog_habiles]]&lt;=p_dias_backlog_max))</f>
        <v/>
      </c>
      <c r="AE715" s="6" t="n"/>
      <c r="AF7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0">
        <f>IF(tblOrdenes[[#This Row],[orden]]="","",_xlfn.XLOOKUP(tblOrdenes[[#This Row],[id_operacion]],tblEjecucion[id_operacion],tblEjecucion[precio],0))</f>
        <v/>
      </c>
      <c r="AJ715" s="10">
        <f>IF(tblOrdenes[[#This Row],[orden]]="","",MAX(0,_xlfn.XLOOKUP(tblOrdenes[[#This Row],[id_operacion]],tblEjecucion[id_operacion],tblEjecucion[costo_plan_total],0)-tblOrdenes[[#This Row],[costo_servicio]]))</f>
        <v/>
      </c>
      <c r="AK715" s="10">
        <f>IF(tblOrdenes[[#This Row],[orden]]="","",tblOrdenes[[#This Row],[costo_servicio]]+tblOrdenes[[#This Row],[costo_materiales]])</f>
        <v/>
      </c>
      <c r="AL715" s="6" t="n"/>
      <c r="AM715" s="6" t="n"/>
      <c r="AN715" s="6" t="n"/>
      <c r="AO715" s="3">
        <f>IF(tblOrdenes[[#This Row],[link_checklist]]="","",HYPERLINK(p_ruta_base_checklists&amp;tblOrdenes[[#This Row],[link_checklist]],"abrir"))</f>
        <v/>
      </c>
      <c r="AP715" s="6" t="n"/>
      <c r="AQ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3">
        <f>IF(tblOrdenes[[#This Row],[tipo_ot]]="","",_xlfn.XLOOKUP(tblOrdenes[[#This Row],[tipo_ot]],tblTiposOT[codigo],tblTiposOT[clasificacion],"sin_clasificar"))</f>
        <v/>
      </c>
      <c r="U716" s="3">
        <f>IF(tblOrdenes[[#This Row],[centro_costo]]="","",_xlfn.XLOOKUP(tblOrdenes[[#This Row],[centro_costo]],tblCECO[codigo],tblCECO[linea],"(sin catálogo)"))</f>
        <v/>
      </c>
      <c r="V716" s="3">
        <f>IF(tblOrdenes[[#This Row],[centro_costo]]="","",_xlfn.XLOOKUP(tblOrdenes[[#This Row],[centro_costo]],tblCECO[codigo],tblCECO[area],"(sin catálogo)"))</f>
        <v/>
      </c>
      <c r="W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3">
        <f>IF(tblOrdenes[[#This Row],[centro_costo]]="","",_xlfn.XLOOKUP(tblOrdenes[[#This Row],[centro_costo]],tblCECO[codigo],tblCECO[coordinador],"(sin catálogo)"))</f>
        <v/>
      </c>
      <c r="Y716" s="3">
        <f>IF(tblOrdenes[[#This Row],[puesto_trabajo]]="","",_xlfn.XLOOKUP(tblOrdenes[[#This Row],[puesto_trabajo]],tblPuestos[codigo],tblPuestos[especialidad],"(sin catálogo)"))</f>
        <v/>
      </c>
      <c r="Z716" s="3">
        <f>IF(tblOrdenes[[#This Row],[cod_actividad]]="","",_xlfn.XLOOKUP(tblOrdenes[[#This Row],[cod_actividad]],tblActividades[codigo],tblActividades[descripcion],"(sin catálogo)"))</f>
        <v/>
      </c>
      <c r="AA716" s="12">
        <f>IF(tblOrdenes[[#This Row],[fecha_inicio]]="","",TODAY()-tblOrdenes[[#This Row],[fecha_inicio]])</f>
        <v/>
      </c>
      <c r="AB7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3">
        <f>IF(tblOrdenes[[#This Row],[backlog_habiles]]="","",IF(tblOrdenes[[#This Row],[backlog_habiles]]&lt;0,"FUTURO",IF(tblOrdenes[[#This Row],[backlog_habiles]]&gt;p_dias_backlog_max,"BACKLOG","MES CORRIENTE")))</f>
        <v/>
      </c>
      <c r="AD716" s="3">
        <f>IF(tblOrdenes[[#This Row],[backlog_habiles]]="",FALSE,AND(tblOrdenes[[#This Row],[backlog_habiles]]&gt;p_dias_backlog_min,tblOrdenes[[#This Row],[backlog_habiles]]&lt;=p_dias_backlog_max))</f>
        <v/>
      </c>
      <c r="AE716" s="6" t="n"/>
      <c r="AF7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0">
        <f>IF(tblOrdenes[[#This Row],[orden]]="","",_xlfn.XLOOKUP(tblOrdenes[[#This Row],[id_operacion]],tblEjecucion[id_operacion],tblEjecucion[precio],0))</f>
        <v/>
      </c>
      <c r="AJ716" s="10">
        <f>IF(tblOrdenes[[#This Row],[orden]]="","",MAX(0,_xlfn.XLOOKUP(tblOrdenes[[#This Row],[id_operacion]],tblEjecucion[id_operacion],tblEjecucion[costo_plan_total],0)-tblOrdenes[[#This Row],[costo_servicio]]))</f>
        <v/>
      </c>
      <c r="AK716" s="10">
        <f>IF(tblOrdenes[[#This Row],[orden]]="","",tblOrdenes[[#This Row],[costo_servicio]]+tblOrdenes[[#This Row],[costo_materiales]])</f>
        <v/>
      </c>
      <c r="AL716" s="6" t="n"/>
      <c r="AM716" s="6" t="n"/>
      <c r="AN716" s="6" t="n"/>
      <c r="AO716" s="3">
        <f>IF(tblOrdenes[[#This Row],[link_checklist]]="","",HYPERLINK(p_ruta_base_checklists&amp;tblOrdenes[[#This Row],[link_checklist]],"abrir"))</f>
        <v/>
      </c>
      <c r="AP716" s="6" t="n"/>
      <c r="AQ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3">
        <f>IF(tblOrdenes[[#This Row],[tipo_ot]]="","",_xlfn.XLOOKUP(tblOrdenes[[#This Row],[tipo_ot]],tblTiposOT[codigo],tblTiposOT[clasificacion],"sin_clasificar"))</f>
        <v/>
      </c>
      <c r="U717" s="3">
        <f>IF(tblOrdenes[[#This Row],[centro_costo]]="","",_xlfn.XLOOKUP(tblOrdenes[[#This Row],[centro_costo]],tblCECO[codigo],tblCECO[linea],"(sin catálogo)"))</f>
        <v/>
      </c>
      <c r="V717" s="3">
        <f>IF(tblOrdenes[[#This Row],[centro_costo]]="","",_xlfn.XLOOKUP(tblOrdenes[[#This Row],[centro_costo]],tblCECO[codigo],tblCECO[area],"(sin catálogo)"))</f>
        <v/>
      </c>
      <c r="W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3">
        <f>IF(tblOrdenes[[#This Row],[centro_costo]]="","",_xlfn.XLOOKUP(tblOrdenes[[#This Row],[centro_costo]],tblCECO[codigo],tblCECO[coordinador],"(sin catálogo)"))</f>
        <v/>
      </c>
      <c r="Y717" s="3">
        <f>IF(tblOrdenes[[#This Row],[puesto_trabajo]]="","",_xlfn.XLOOKUP(tblOrdenes[[#This Row],[puesto_trabajo]],tblPuestos[codigo],tblPuestos[especialidad],"(sin catálogo)"))</f>
        <v/>
      </c>
      <c r="Z717" s="3">
        <f>IF(tblOrdenes[[#This Row],[cod_actividad]]="","",_xlfn.XLOOKUP(tblOrdenes[[#This Row],[cod_actividad]],tblActividades[codigo],tblActividades[descripcion],"(sin catálogo)"))</f>
        <v/>
      </c>
      <c r="AA717" s="12">
        <f>IF(tblOrdenes[[#This Row],[fecha_inicio]]="","",TODAY()-tblOrdenes[[#This Row],[fecha_inicio]])</f>
        <v/>
      </c>
      <c r="AB7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3">
        <f>IF(tblOrdenes[[#This Row],[backlog_habiles]]="","",IF(tblOrdenes[[#This Row],[backlog_habiles]]&lt;0,"FUTURO",IF(tblOrdenes[[#This Row],[backlog_habiles]]&gt;p_dias_backlog_max,"BACKLOG","MES CORRIENTE")))</f>
        <v/>
      </c>
      <c r="AD717" s="3">
        <f>IF(tblOrdenes[[#This Row],[backlog_habiles]]="",FALSE,AND(tblOrdenes[[#This Row],[backlog_habiles]]&gt;p_dias_backlog_min,tblOrdenes[[#This Row],[backlog_habiles]]&lt;=p_dias_backlog_max))</f>
        <v/>
      </c>
      <c r="AE717" s="6" t="n"/>
      <c r="AF7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0">
        <f>IF(tblOrdenes[[#This Row],[orden]]="","",_xlfn.XLOOKUP(tblOrdenes[[#This Row],[id_operacion]],tblEjecucion[id_operacion],tblEjecucion[precio],0))</f>
        <v/>
      </c>
      <c r="AJ717" s="10">
        <f>IF(tblOrdenes[[#This Row],[orden]]="","",MAX(0,_xlfn.XLOOKUP(tblOrdenes[[#This Row],[id_operacion]],tblEjecucion[id_operacion],tblEjecucion[costo_plan_total],0)-tblOrdenes[[#This Row],[costo_servicio]]))</f>
        <v/>
      </c>
      <c r="AK717" s="10">
        <f>IF(tblOrdenes[[#This Row],[orden]]="","",tblOrdenes[[#This Row],[costo_servicio]]+tblOrdenes[[#This Row],[costo_materiales]])</f>
        <v/>
      </c>
      <c r="AL717" s="6" t="n"/>
      <c r="AM717" s="6" t="n"/>
      <c r="AN717" s="6" t="n"/>
      <c r="AO717" s="3">
        <f>IF(tblOrdenes[[#This Row],[link_checklist]]="","",HYPERLINK(p_ruta_base_checklists&amp;tblOrdenes[[#This Row],[link_checklist]],"abrir"))</f>
        <v/>
      </c>
      <c r="AP717" s="6" t="n"/>
      <c r="AQ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3">
        <f>IF(tblOrdenes[[#This Row],[tipo_ot]]="","",_xlfn.XLOOKUP(tblOrdenes[[#This Row],[tipo_ot]],tblTiposOT[codigo],tblTiposOT[clasificacion],"sin_clasificar"))</f>
        <v/>
      </c>
      <c r="U718" s="3">
        <f>IF(tblOrdenes[[#This Row],[centro_costo]]="","",_xlfn.XLOOKUP(tblOrdenes[[#This Row],[centro_costo]],tblCECO[codigo],tblCECO[linea],"(sin catálogo)"))</f>
        <v/>
      </c>
      <c r="V718" s="3">
        <f>IF(tblOrdenes[[#This Row],[centro_costo]]="","",_xlfn.XLOOKUP(tblOrdenes[[#This Row],[centro_costo]],tblCECO[codigo],tblCECO[area],"(sin catálogo)"))</f>
        <v/>
      </c>
      <c r="W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3">
        <f>IF(tblOrdenes[[#This Row],[centro_costo]]="","",_xlfn.XLOOKUP(tblOrdenes[[#This Row],[centro_costo]],tblCECO[codigo],tblCECO[coordinador],"(sin catálogo)"))</f>
        <v/>
      </c>
      <c r="Y718" s="3">
        <f>IF(tblOrdenes[[#This Row],[puesto_trabajo]]="","",_xlfn.XLOOKUP(tblOrdenes[[#This Row],[puesto_trabajo]],tblPuestos[codigo],tblPuestos[especialidad],"(sin catálogo)"))</f>
        <v/>
      </c>
      <c r="Z718" s="3">
        <f>IF(tblOrdenes[[#This Row],[cod_actividad]]="","",_xlfn.XLOOKUP(tblOrdenes[[#This Row],[cod_actividad]],tblActividades[codigo],tblActividades[descripcion],"(sin catálogo)"))</f>
        <v/>
      </c>
      <c r="AA718" s="12">
        <f>IF(tblOrdenes[[#This Row],[fecha_inicio]]="","",TODAY()-tblOrdenes[[#This Row],[fecha_inicio]])</f>
        <v/>
      </c>
      <c r="AB7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3">
        <f>IF(tblOrdenes[[#This Row],[backlog_habiles]]="","",IF(tblOrdenes[[#This Row],[backlog_habiles]]&lt;0,"FUTURO",IF(tblOrdenes[[#This Row],[backlog_habiles]]&gt;p_dias_backlog_max,"BACKLOG","MES CORRIENTE")))</f>
        <v/>
      </c>
      <c r="AD718" s="3">
        <f>IF(tblOrdenes[[#This Row],[backlog_habiles]]="",FALSE,AND(tblOrdenes[[#This Row],[backlog_habiles]]&gt;p_dias_backlog_min,tblOrdenes[[#This Row],[backlog_habiles]]&lt;=p_dias_backlog_max))</f>
        <v/>
      </c>
      <c r="AE718" s="6" t="n"/>
      <c r="AF7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0">
        <f>IF(tblOrdenes[[#This Row],[orden]]="","",_xlfn.XLOOKUP(tblOrdenes[[#This Row],[id_operacion]],tblEjecucion[id_operacion],tblEjecucion[precio],0))</f>
        <v/>
      </c>
      <c r="AJ718" s="10">
        <f>IF(tblOrdenes[[#This Row],[orden]]="","",MAX(0,_xlfn.XLOOKUP(tblOrdenes[[#This Row],[id_operacion]],tblEjecucion[id_operacion],tblEjecucion[costo_plan_total],0)-tblOrdenes[[#This Row],[costo_servicio]]))</f>
        <v/>
      </c>
      <c r="AK718" s="10">
        <f>IF(tblOrdenes[[#This Row],[orden]]="","",tblOrdenes[[#This Row],[costo_servicio]]+tblOrdenes[[#This Row],[costo_materiales]])</f>
        <v/>
      </c>
      <c r="AL718" s="6" t="n"/>
      <c r="AM718" s="6" t="n"/>
      <c r="AN718" s="6" t="n"/>
      <c r="AO718" s="3">
        <f>IF(tblOrdenes[[#This Row],[link_checklist]]="","",HYPERLINK(p_ruta_base_checklists&amp;tblOrdenes[[#This Row],[link_checklist]],"abrir"))</f>
        <v/>
      </c>
      <c r="AP718" s="6" t="n"/>
      <c r="AQ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3">
        <f>IF(tblOrdenes[[#This Row],[tipo_ot]]="","",_xlfn.XLOOKUP(tblOrdenes[[#This Row],[tipo_ot]],tblTiposOT[codigo],tblTiposOT[clasificacion],"sin_clasificar"))</f>
        <v/>
      </c>
      <c r="U719" s="3">
        <f>IF(tblOrdenes[[#This Row],[centro_costo]]="","",_xlfn.XLOOKUP(tblOrdenes[[#This Row],[centro_costo]],tblCECO[codigo],tblCECO[linea],"(sin catálogo)"))</f>
        <v/>
      </c>
      <c r="V719" s="3">
        <f>IF(tblOrdenes[[#This Row],[centro_costo]]="","",_xlfn.XLOOKUP(tblOrdenes[[#This Row],[centro_costo]],tblCECO[codigo],tblCECO[area],"(sin catálogo)"))</f>
        <v/>
      </c>
      <c r="W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3">
        <f>IF(tblOrdenes[[#This Row],[centro_costo]]="","",_xlfn.XLOOKUP(tblOrdenes[[#This Row],[centro_costo]],tblCECO[codigo],tblCECO[coordinador],"(sin catálogo)"))</f>
        <v/>
      </c>
      <c r="Y719" s="3">
        <f>IF(tblOrdenes[[#This Row],[puesto_trabajo]]="","",_xlfn.XLOOKUP(tblOrdenes[[#This Row],[puesto_trabajo]],tblPuestos[codigo],tblPuestos[especialidad],"(sin catálogo)"))</f>
        <v/>
      </c>
      <c r="Z719" s="3">
        <f>IF(tblOrdenes[[#This Row],[cod_actividad]]="","",_xlfn.XLOOKUP(tblOrdenes[[#This Row],[cod_actividad]],tblActividades[codigo],tblActividades[descripcion],"(sin catálogo)"))</f>
        <v/>
      </c>
      <c r="AA719" s="12">
        <f>IF(tblOrdenes[[#This Row],[fecha_inicio]]="","",TODAY()-tblOrdenes[[#This Row],[fecha_inicio]])</f>
        <v/>
      </c>
      <c r="AB7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3">
        <f>IF(tblOrdenes[[#This Row],[backlog_habiles]]="","",IF(tblOrdenes[[#This Row],[backlog_habiles]]&lt;0,"FUTURO",IF(tblOrdenes[[#This Row],[backlog_habiles]]&gt;p_dias_backlog_max,"BACKLOG","MES CORRIENTE")))</f>
        <v/>
      </c>
      <c r="AD719" s="3">
        <f>IF(tblOrdenes[[#This Row],[backlog_habiles]]="",FALSE,AND(tblOrdenes[[#This Row],[backlog_habiles]]&gt;p_dias_backlog_min,tblOrdenes[[#This Row],[backlog_habiles]]&lt;=p_dias_backlog_max))</f>
        <v/>
      </c>
      <c r="AE719" s="6" t="n"/>
      <c r="AF7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0">
        <f>IF(tblOrdenes[[#This Row],[orden]]="","",_xlfn.XLOOKUP(tblOrdenes[[#This Row],[id_operacion]],tblEjecucion[id_operacion],tblEjecucion[precio],0))</f>
        <v/>
      </c>
      <c r="AJ719" s="10">
        <f>IF(tblOrdenes[[#This Row],[orden]]="","",MAX(0,_xlfn.XLOOKUP(tblOrdenes[[#This Row],[id_operacion]],tblEjecucion[id_operacion],tblEjecucion[costo_plan_total],0)-tblOrdenes[[#This Row],[costo_servicio]]))</f>
        <v/>
      </c>
      <c r="AK719" s="10">
        <f>IF(tblOrdenes[[#This Row],[orden]]="","",tblOrdenes[[#This Row],[costo_servicio]]+tblOrdenes[[#This Row],[costo_materiales]])</f>
        <v/>
      </c>
      <c r="AL719" s="6" t="n"/>
      <c r="AM719" s="6" t="n"/>
      <c r="AN719" s="6" t="n"/>
      <c r="AO719" s="3">
        <f>IF(tblOrdenes[[#This Row],[link_checklist]]="","",HYPERLINK(p_ruta_base_checklists&amp;tblOrdenes[[#This Row],[link_checklist]],"abrir"))</f>
        <v/>
      </c>
      <c r="AP719" s="6" t="n"/>
      <c r="AQ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3">
        <f>IF(tblOrdenes[[#This Row],[tipo_ot]]="","",_xlfn.XLOOKUP(tblOrdenes[[#This Row],[tipo_ot]],tblTiposOT[codigo],tblTiposOT[clasificacion],"sin_clasificar"))</f>
        <v/>
      </c>
      <c r="U720" s="3">
        <f>IF(tblOrdenes[[#This Row],[centro_costo]]="","",_xlfn.XLOOKUP(tblOrdenes[[#This Row],[centro_costo]],tblCECO[codigo],tblCECO[linea],"(sin catálogo)"))</f>
        <v/>
      </c>
      <c r="V720" s="3">
        <f>IF(tblOrdenes[[#This Row],[centro_costo]]="","",_xlfn.XLOOKUP(tblOrdenes[[#This Row],[centro_costo]],tblCECO[codigo],tblCECO[area],"(sin catálogo)"))</f>
        <v/>
      </c>
      <c r="W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3">
        <f>IF(tblOrdenes[[#This Row],[centro_costo]]="","",_xlfn.XLOOKUP(tblOrdenes[[#This Row],[centro_costo]],tblCECO[codigo],tblCECO[coordinador],"(sin catálogo)"))</f>
        <v/>
      </c>
      <c r="Y720" s="3">
        <f>IF(tblOrdenes[[#This Row],[puesto_trabajo]]="","",_xlfn.XLOOKUP(tblOrdenes[[#This Row],[puesto_trabajo]],tblPuestos[codigo],tblPuestos[especialidad],"(sin catálogo)"))</f>
        <v/>
      </c>
      <c r="Z720" s="3">
        <f>IF(tblOrdenes[[#This Row],[cod_actividad]]="","",_xlfn.XLOOKUP(tblOrdenes[[#This Row],[cod_actividad]],tblActividades[codigo],tblActividades[descripcion],"(sin catálogo)"))</f>
        <v/>
      </c>
      <c r="AA720" s="12">
        <f>IF(tblOrdenes[[#This Row],[fecha_inicio]]="","",TODAY()-tblOrdenes[[#This Row],[fecha_inicio]])</f>
        <v/>
      </c>
      <c r="AB7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3">
        <f>IF(tblOrdenes[[#This Row],[backlog_habiles]]="","",IF(tblOrdenes[[#This Row],[backlog_habiles]]&lt;0,"FUTURO",IF(tblOrdenes[[#This Row],[backlog_habiles]]&gt;p_dias_backlog_max,"BACKLOG","MES CORRIENTE")))</f>
        <v/>
      </c>
      <c r="AD720" s="3">
        <f>IF(tblOrdenes[[#This Row],[backlog_habiles]]="",FALSE,AND(tblOrdenes[[#This Row],[backlog_habiles]]&gt;p_dias_backlog_min,tblOrdenes[[#This Row],[backlog_habiles]]&lt;=p_dias_backlog_max))</f>
        <v/>
      </c>
      <c r="AE720" s="6" t="n"/>
      <c r="AF7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0">
        <f>IF(tblOrdenes[[#This Row],[orden]]="","",_xlfn.XLOOKUP(tblOrdenes[[#This Row],[id_operacion]],tblEjecucion[id_operacion],tblEjecucion[precio],0))</f>
        <v/>
      </c>
      <c r="AJ720" s="10">
        <f>IF(tblOrdenes[[#This Row],[orden]]="","",MAX(0,_xlfn.XLOOKUP(tblOrdenes[[#This Row],[id_operacion]],tblEjecucion[id_operacion],tblEjecucion[costo_plan_total],0)-tblOrdenes[[#This Row],[costo_servicio]]))</f>
        <v/>
      </c>
      <c r="AK720" s="10">
        <f>IF(tblOrdenes[[#This Row],[orden]]="","",tblOrdenes[[#This Row],[costo_servicio]]+tblOrdenes[[#This Row],[costo_materiales]])</f>
        <v/>
      </c>
      <c r="AL720" s="6" t="n"/>
      <c r="AM720" s="6" t="n"/>
      <c r="AN720" s="6" t="n"/>
      <c r="AO720" s="3">
        <f>IF(tblOrdenes[[#This Row],[link_checklist]]="","",HYPERLINK(p_ruta_base_checklists&amp;tblOrdenes[[#This Row],[link_checklist]],"abrir"))</f>
        <v/>
      </c>
      <c r="AP720" s="6" t="n"/>
      <c r="AQ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3">
        <f>IF(tblOrdenes[[#This Row],[tipo_ot]]="","",_xlfn.XLOOKUP(tblOrdenes[[#This Row],[tipo_ot]],tblTiposOT[codigo],tblTiposOT[clasificacion],"sin_clasificar"))</f>
        <v/>
      </c>
      <c r="U721" s="3">
        <f>IF(tblOrdenes[[#This Row],[centro_costo]]="","",_xlfn.XLOOKUP(tblOrdenes[[#This Row],[centro_costo]],tblCECO[codigo],tblCECO[linea],"(sin catálogo)"))</f>
        <v/>
      </c>
      <c r="V721" s="3">
        <f>IF(tblOrdenes[[#This Row],[centro_costo]]="","",_xlfn.XLOOKUP(tblOrdenes[[#This Row],[centro_costo]],tblCECO[codigo],tblCECO[area],"(sin catálogo)"))</f>
        <v/>
      </c>
      <c r="W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3">
        <f>IF(tblOrdenes[[#This Row],[centro_costo]]="","",_xlfn.XLOOKUP(tblOrdenes[[#This Row],[centro_costo]],tblCECO[codigo],tblCECO[coordinador],"(sin catálogo)"))</f>
        <v/>
      </c>
      <c r="Y721" s="3">
        <f>IF(tblOrdenes[[#This Row],[puesto_trabajo]]="","",_xlfn.XLOOKUP(tblOrdenes[[#This Row],[puesto_trabajo]],tblPuestos[codigo],tblPuestos[especialidad],"(sin catálogo)"))</f>
        <v/>
      </c>
      <c r="Z721" s="3">
        <f>IF(tblOrdenes[[#This Row],[cod_actividad]]="","",_xlfn.XLOOKUP(tblOrdenes[[#This Row],[cod_actividad]],tblActividades[codigo],tblActividades[descripcion],"(sin catálogo)"))</f>
        <v/>
      </c>
      <c r="AA721" s="12">
        <f>IF(tblOrdenes[[#This Row],[fecha_inicio]]="","",TODAY()-tblOrdenes[[#This Row],[fecha_inicio]])</f>
        <v/>
      </c>
      <c r="AB7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3">
        <f>IF(tblOrdenes[[#This Row],[backlog_habiles]]="","",IF(tblOrdenes[[#This Row],[backlog_habiles]]&lt;0,"FUTURO",IF(tblOrdenes[[#This Row],[backlog_habiles]]&gt;p_dias_backlog_max,"BACKLOG","MES CORRIENTE")))</f>
        <v/>
      </c>
      <c r="AD721" s="3">
        <f>IF(tblOrdenes[[#This Row],[backlog_habiles]]="",FALSE,AND(tblOrdenes[[#This Row],[backlog_habiles]]&gt;p_dias_backlog_min,tblOrdenes[[#This Row],[backlog_habiles]]&lt;=p_dias_backlog_max))</f>
        <v/>
      </c>
      <c r="AE721" s="6" t="n"/>
      <c r="AF7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0">
        <f>IF(tblOrdenes[[#This Row],[orden]]="","",_xlfn.XLOOKUP(tblOrdenes[[#This Row],[id_operacion]],tblEjecucion[id_operacion],tblEjecucion[precio],0))</f>
        <v/>
      </c>
      <c r="AJ721" s="10">
        <f>IF(tblOrdenes[[#This Row],[orden]]="","",MAX(0,_xlfn.XLOOKUP(tblOrdenes[[#This Row],[id_operacion]],tblEjecucion[id_operacion],tblEjecucion[costo_plan_total],0)-tblOrdenes[[#This Row],[costo_servicio]]))</f>
        <v/>
      </c>
      <c r="AK721" s="10">
        <f>IF(tblOrdenes[[#This Row],[orden]]="","",tblOrdenes[[#This Row],[costo_servicio]]+tblOrdenes[[#This Row],[costo_materiales]])</f>
        <v/>
      </c>
      <c r="AL721" s="6" t="n"/>
      <c r="AM721" s="6" t="n"/>
      <c r="AN721" s="6" t="n"/>
      <c r="AO721" s="3">
        <f>IF(tblOrdenes[[#This Row],[link_checklist]]="","",HYPERLINK(p_ruta_base_checklists&amp;tblOrdenes[[#This Row],[link_checklist]],"abrir"))</f>
        <v/>
      </c>
      <c r="AP721" s="6" t="n"/>
      <c r="AQ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3">
        <f>IF(tblOrdenes[[#This Row],[tipo_ot]]="","",_xlfn.XLOOKUP(tblOrdenes[[#This Row],[tipo_ot]],tblTiposOT[codigo],tblTiposOT[clasificacion],"sin_clasificar"))</f>
        <v/>
      </c>
      <c r="U722" s="3">
        <f>IF(tblOrdenes[[#This Row],[centro_costo]]="","",_xlfn.XLOOKUP(tblOrdenes[[#This Row],[centro_costo]],tblCECO[codigo],tblCECO[linea],"(sin catálogo)"))</f>
        <v/>
      </c>
      <c r="V722" s="3">
        <f>IF(tblOrdenes[[#This Row],[centro_costo]]="","",_xlfn.XLOOKUP(tblOrdenes[[#This Row],[centro_costo]],tblCECO[codigo],tblCECO[area],"(sin catálogo)"))</f>
        <v/>
      </c>
      <c r="W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3">
        <f>IF(tblOrdenes[[#This Row],[centro_costo]]="","",_xlfn.XLOOKUP(tblOrdenes[[#This Row],[centro_costo]],tblCECO[codigo],tblCECO[coordinador],"(sin catálogo)"))</f>
        <v/>
      </c>
      <c r="Y722" s="3">
        <f>IF(tblOrdenes[[#This Row],[puesto_trabajo]]="","",_xlfn.XLOOKUP(tblOrdenes[[#This Row],[puesto_trabajo]],tblPuestos[codigo],tblPuestos[especialidad],"(sin catálogo)"))</f>
        <v/>
      </c>
      <c r="Z722" s="3">
        <f>IF(tblOrdenes[[#This Row],[cod_actividad]]="","",_xlfn.XLOOKUP(tblOrdenes[[#This Row],[cod_actividad]],tblActividades[codigo],tblActividades[descripcion],"(sin catálogo)"))</f>
        <v/>
      </c>
      <c r="AA722" s="12">
        <f>IF(tblOrdenes[[#This Row],[fecha_inicio]]="","",TODAY()-tblOrdenes[[#This Row],[fecha_inicio]])</f>
        <v/>
      </c>
      <c r="AB7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3">
        <f>IF(tblOrdenes[[#This Row],[backlog_habiles]]="","",IF(tblOrdenes[[#This Row],[backlog_habiles]]&lt;0,"FUTURO",IF(tblOrdenes[[#This Row],[backlog_habiles]]&gt;p_dias_backlog_max,"BACKLOG","MES CORRIENTE")))</f>
        <v/>
      </c>
      <c r="AD722" s="3">
        <f>IF(tblOrdenes[[#This Row],[backlog_habiles]]="",FALSE,AND(tblOrdenes[[#This Row],[backlog_habiles]]&gt;p_dias_backlog_min,tblOrdenes[[#This Row],[backlog_habiles]]&lt;=p_dias_backlog_max))</f>
        <v/>
      </c>
      <c r="AE722" s="6" t="n"/>
      <c r="AF7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0">
        <f>IF(tblOrdenes[[#This Row],[orden]]="","",_xlfn.XLOOKUP(tblOrdenes[[#This Row],[id_operacion]],tblEjecucion[id_operacion],tblEjecucion[precio],0))</f>
        <v/>
      </c>
      <c r="AJ722" s="10">
        <f>IF(tblOrdenes[[#This Row],[orden]]="","",MAX(0,_xlfn.XLOOKUP(tblOrdenes[[#This Row],[id_operacion]],tblEjecucion[id_operacion],tblEjecucion[costo_plan_total],0)-tblOrdenes[[#This Row],[costo_servicio]]))</f>
        <v/>
      </c>
      <c r="AK722" s="10">
        <f>IF(tblOrdenes[[#This Row],[orden]]="","",tblOrdenes[[#This Row],[costo_servicio]]+tblOrdenes[[#This Row],[costo_materiales]])</f>
        <v/>
      </c>
      <c r="AL722" s="6" t="n"/>
      <c r="AM722" s="6" t="n"/>
      <c r="AN722" s="6" t="n"/>
      <c r="AO722" s="3">
        <f>IF(tblOrdenes[[#This Row],[link_checklist]]="","",HYPERLINK(p_ruta_base_checklists&amp;tblOrdenes[[#This Row],[link_checklist]],"abrir"))</f>
        <v/>
      </c>
      <c r="AP722" s="6" t="n"/>
      <c r="AQ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3">
        <f>IF(tblOrdenes[[#This Row],[tipo_ot]]="","",_xlfn.XLOOKUP(tblOrdenes[[#This Row],[tipo_ot]],tblTiposOT[codigo],tblTiposOT[clasificacion],"sin_clasificar"))</f>
        <v/>
      </c>
      <c r="U723" s="3">
        <f>IF(tblOrdenes[[#This Row],[centro_costo]]="","",_xlfn.XLOOKUP(tblOrdenes[[#This Row],[centro_costo]],tblCECO[codigo],tblCECO[linea],"(sin catálogo)"))</f>
        <v/>
      </c>
      <c r="V723" s="3">
        <f>IF(tblOrdenes[[#This Row],[centro_costo]]="","",_xlfn.XLOOKUP(tblOrdenes[[#This Row],[centro_costo]],tblCECO[codigo],tblCECO[area],"(sin catálogo)"))</f>
        <v/>
      </c>
      <c r="W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3">
        <f>IF(tblOrdenes[[#This Row],[centro_costo]]="","",_xlfn.XLOOKUP(tblOrdenes[[#This Row],[centro_costo]],tblCECO[codigo],tblCECO[coordinador],"(sin catálogo)"))</f>
        <v/>
      </c>
      <c r="Y723" s="3">
        <f>IF(tblOrdenes[[#This Row],[puesto_trabajo]]="","",_xlfn.XLOOKUP(tblOrdenes[[#This Row],[puesto_trabajo]],tblPuestos[codigo],tblPuestos[especialidad],"(sin catálogo)"))</f>
        <v/>
      </c>
      <c r="Z723" s="3">
        <f>IF(tblOrdenes[[#This Row],[cod_actividad]]="","",_xlfn.XLOOKUP(tblOrdenes[[#This Row],[cod_actividad]],tblActividades[codigo],tblActividades[descripcion],"(sin catálogo)"))</f>
        <v/>
      </c>
      <c r="AA723" s="12">
        <f>IF(tblOrdenes[[#This Row],[fecha_inicio]]="","",TODAY()-tblOrdenes[[#This Row],[fecha_inicio]])</f>
        <v/>
      </c>
      <c r="AB7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3">
        <f>IF(tblOrdenes[[#This Row],[backlog_habiles]]="","",IF(tblOrdenes[[#This Row],[backlog_habiles]]&lt;0,"FUTURO",IF(tblOrdenes[[#This Row],[backlog_habiles]]&gt;p_dias_backlog_max,"BACKLOG","MES CORRIENTE")))</f>
        <v/>
      </c>
      <c r="AD723" s="3">
        <f>IF(tblOrdenes[[#This Row],[backlog_habiles]]="",FALSE,AND(tblOrdenes[[#This Row],[backlog_habiles]]&gt;p_dias_backlog_min,tblOrdenes[[#This Row],[backlog_habiles]]&lt;=p_dias_backlog_max))</f>
        <v/>
      </c>
      <c r="AE723" s="6" t="n"/>
      <c r="AF7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0">
        <f>IF(tblOrdenes[[#This Row],[orden]]="","",_xlfn.XLOOKUP(tblOrdenes[[#This Row],[id_operacion]],tblEjecucion[id_operacion],tblEjecucion[precio],0))</f>
        <v/>
      </c>
      <c r="AJ723" s="10">
        <f>IF(tblOrdenes[[#This Row],[orden]]="","",MAX(0,_xlfn.XLOOKUP(tblOrdenes[[#This Row],[id_operacion]],tblEjecucion[id_operacion],tblEjecucion[costo_plan_total],0)-tblOrdenes[[#This Row],[costo_servicio]]))</f>
        <v/>
      </c>
      <c r="AK723" s="10">
        <f>IF(tblOrdenes[[#This Row],[orden]]="","",tblOrdenes[[#This Row],[costo_servicio]]+tblOrdenes[[#This Row],[costo_materiales]])</f>
        <v/>
      </c>
      <c r="AL723" s="6" t="n"/>
      <c r="AM723" s="6" t="n"/>
      <c r="AN723" s="6" t="n"/>
      <c r="AO723" s="3">
        <f>IF(tblOrdenes[[#This Row],[link_checklist]]="","",HYPERLINK(p_ruta_base_checklists&amp;tblOrdenes[[#This Row],[link_checklist]],"abrir"))</f>
        <v/>
      </c>
      <c r="AP723" s="6" t="n"/>
      <c r="AQ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3">
        <f>IF(tblOrdenes[[#This Row],[tipo_ot]]="","",_xlfn.XLOOKUP(tblOrdenes[[#This Row],[tipo_ot]],tblTiposOT[codigo],tblTiposOT[clasificacion],"sin_clasificar"))</f>
        <v/>
      </c>
      <c r="U724" s="3">
        <f>IF(tblOrdenes[[#This Row],[centro_costo]]="","",_xlfn.XLOOKUP(tblOrdenes[[#This Row],[centro_costo]],tblCECO[codigo],tblCECO[linea],"(sin catálogo)"))</f>
        <v/>
      </c>
      <c r="V724" s="3">
        <f>IF(tblOrdenes[[#This Row],[centro_costo]]="","",_xlfn.XLOOKUP(tblOrdenes[[#This Row],[centro_costo]],tblCECO[codigo],tblCECO[area],"(sin catálogo)"))</f>
        <v/>
      </c>
      <c r="W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3">
        <f>IF(tblOrdenes[[#This Row],[centro_costo]]="","",_xlfn.XLOOKUP(tblOrdenes[[#This Row],[centro_costo]],tblCECO[codigo],tblCECO[coordinador],"(sin catálogo)"))</f>
        <v/>
      </c>
      <c r="Y724" s="3">
        <f>IF(tblOrdenes[[#This Row],[puesto_trabajo]]="","",_xlfn.XLOOKUP(tblOrdenes[[#This Row],[puesto_trabajo]],tblPuestos[codigo],tblPuestos[especialidad],"(sin catálogo)"))</f>
        <v/>
      </c>
      <c r="Z724" s="3">
        <f>IF(tblOrdenes[[#This Row],[cod_actividad]]="","",_xlfn.XLOOKUP(tblOrdenes[[#This Row],[cod_actividad]],tblActividades[codigo],tblActividades[descripcion],"(sin catálogo)"))</f>
        <v/>
      </c>
      <c r="AA724" s="12">
        <f>IF(tblOrdenes[[#This Row],[fecha_inicio]]="","",TODAY()-tblOrdenes[[#This Row],[fecha_inicio]])</f>
        <v/>
      </c>
      <c r="AB7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3">
        <f>IF(tblOrdenes[[#This Row],[backlog_habiles]]="","",IF(tblOrdenes[[#This Row],[backlog_habiles]]&lt;0,"FUTURO",IF(tblOrdenes[[#This Row],[backlog_habiles]]&gt;p_dias_backlog_max,"BACKLOG","MES CORRIENTE")))</f>
        <v/>
      </c>
      <c r="AD724" s="3">
        <f>IF(tblOrdenes[[#This Row],[backlog_habiles]]="",FALSE,AND(tblOrdenes[[#This Row],[backlog_habiles]]&gt;p_dias_backlog_min,tblOrdenes[[#This Row],[backlog_habiles]]&lt;=p_dias_backlog_max))</f>
        <v/>
      </c>
      <c r="AE724" s="6" t="n"/>
      <c r="AF7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0">
        <f>IF(tblOrdenes[[#This Row],[orden]]="","",_xlfn.XLOOKUP(tblOrdenes[[#This Row],[id_operacion]],tblEjecucion[id_operacion],tblEjecucion[precio],0))</f>
        <v/>
      </c>
      <c r="AJ724" s="10">
        <f>IF(tblOrdenes[[#This Row],[orden]]="","",MAX(0,_xlfn.XLOOKUP(tblOrdenes[[#This Row],[id_operacion]],tblEjecucion[id_operacion],tblEjecucion[costo_plan_total],0)-tblOrdenes[[#This Row],[costo_servicio]]))</f>
        <v/>
      </c>
      <c r="AK724" s="10">
        <f>IF(tblOrdenes[[#This Row],[orden]]="","",tblOrdenes[[#This Row],[costo_servicio]]+tblOrdenes[[#This Row],[costo_materiales]])</f>
        <v/>
      </c>
      <c r="AL724" s="6" t="n"/>
      <c r="AM724" s="6" t="n"/>
      <c r="AN724" s="6" t="n"/>
      <c r="AO724" s="3">
        <f>IF(tblOrdenes[[#This Row],[link_checklist]]="","",HYPERLINK(p_ruta_base_checklists&amp;tblOrdenes[[#This Row],[link_checklist]],"abrir"))</f>
        <v/>
      </c>
      <c r="AP724" s="6" t="n"/>
      <c r="AQ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3">
        <f>IF(tblOrdenes[[#This Row],[tipo_ot]]="","",_xlfn.XLOOKUP(tblOrdenes[[#This Row],[tipo_ot]],tblTiposOT[codigo],tblTiposOT[clasificacion],"sin_clasificar"))</f>
        <v/>
      </c>
      <c r="U725" s="3">
        <f>IF(tblOrdenes[[#This Row],[centro_costo]]="","",_xlfn.XLOOKUP(tblOrdenes[[#This Row],[centro_costo]],tblCECO[codigo],tblCECO[linea],"(sin catálogo)"))</f>
        <v/>
      </c>
      <c r="V725" s="3">
        <f>IF(tblOrdenes[[#This Row],[centro_costo]]="","",_xlfn.XLOOKUP(tblOrdenes[[#This Row],[centro_costo]],tblCECO[codigo],tblCECO[area],"(sin catálogo)"))</f>
        <v/>
      </c>
      <c r="W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3">
        <f>IF(tblOrdenes[[#This Row],[centro_costo]]="","",_xlfn.XLOOKUP(tblOrdenes[[#This Row],[centro_costo]],tblCECO[codigo],tblCECO[coordinador],"(sin catálogo)"))</f>
        <v/>
      </c>
      <c r="Y725" s="3">
        <f>IF(tblOrdenes[[#This Row],[puesto_trabajo]]="","",_xlfn.XLOOKUP(tblOrdenes[[#This Row],[puesto_trabajo]],tblPuestos[codigo],tblPuestos[especialidad],"(sin catálogo)"))</f>
        <v/>
      </c>
      <c r="Z725" s="3">
        <f>IF(tblOrdenes[[#This Row],[cod_actividad]]="","",_xlfn.XLOOKUP(tblOrdenes[[#This Row],[cod_actividad]],tblActividades[codigo],tblActividades[descripcion],"(sin catálogo)"))</f>
        <v/>
      </c>
      <c r="AA725" s="12">
        <f>IF(tblOrdenes[[#This Row],[fecha_inicio]]="","",TODAY()-tblOrdenes[[#This Row],[fecha_inicio]])</f>
        <v/>
      </c>
      <c r="AB7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3">
        <f>IF(tblOrdenes[[#This Row],[backlog_habiles]]="","",IF(tblOrdenes[[#This Row],[backlog_habiles]]&lt;0,"FUTURO",IF(tblOrdenes[[#This Row],[backlog_habiles]]&gt;p_dias_backlog_max,"BACKLOG","MES CORRIENTE")))</f>
        <v/>
      </c>
      <c r="AD725" s="3">
        <f>IF(tblOrdenes[[#This Row],[backlog_habiles]]="",FALSE,AND(tblOrdenes[[#This Row],[backlog_habiles]]&gt;p_dias_backlog_min,tblOrdenes[[#This Row],[backlog_habiles]]&lt;=p_dias_backlog_max))</f>
        <v/>
      </c>
      <c r="AE725" s="6" t="n"/>
      <c r="AF7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0">
        <f>IF(tblOrdenes[[#This Row],[orden]]="","",_xlfn.XLOOKUP(tblOrdenes[[#This Row],[id_operacion]],tblEjecucion[id_operacion],tblEjecucion[precio],0))</f>
        <v/>
      </c>
      <c r="AJ725" s="10">
        <f>IF(tblOrdenes[[#This Row],[orden]]="","",MAX(0,_xlfn.XLOOKUP(tblOrdenes[[#This Row],[id_operacion]],tblEjecucion[id_operacion],tblEjecucion[costo_plan_total],0)-tblOrdenes[[#This Row],[costo_servicio]]))</f>
        <v/>
      </c>
      <c r="AK725" s="10">
        <f>IF(tblOrdenes[[#This Row],[orden]]="","",tblOrdenes[[#This Row],[costo_servicio]]+tblOrdenes[[#This Row],[costo_materiales]])</f>
        <v/>
      </c>
      <c r="AL725" s="6" t="n"/>
      <c r="AM725" s="6" t="n"/>
      <c r="AN725" s="6" t="n"/>
      <c r="AO725" s="3">
        <f>IF(tblOrdenes[[#This Row],[link_checklist]]="","",HYPERLINK(p_ruta_base_checklists&amp;tblOrdenes[[#This Row],[link_checklist]],"abrir"))</f>
        <v/>
      </c>
      <c r="AP725" s="6" t="n"/>
      <c r="AQ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3">
        <f>IF(tblOrdenes[[#This Row],[tipo_ot]]="","",_xlfn.XLOOKUP(tblOrdenes[[#This Row],[tipo_ot]],tblTiposOT[codigo],tblTiposOT[clasificacion],"sin_clasificar"))</f>
        <v/>
      </c>
      <c r="U726" s="3">
        <f>IF(tblOrdenes[[#This Row],[centro_costo]]="","",_xlfn.XLOOKUP(tblOrdenes[[#This Row],[centro_costo]],tblCECO[codigo],tblCECO[linea],"(sin catálogo)"))</f>
        <v/>
      </c>
      <c r="V726" s="3">
        <f>IF(tblOrdenes[[#This Row],[centro_costo]]="","",_xlfn.XLOOKUP(tblOrdenes[[#This Row],[centro_costo]],tblCECO[codigo],tblCECO[area],"(sin catálogo)"))</f>
        <v/>
      </c>
      <c r="W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3">
        <f>IF(tblOrdenes[[#This Row],[centro_costo]]="","",_xlfn.XLOOKUP(tblOrdenes[[#This Row],[centro_costo]],tblCECO[codigo],tblCECO[coordinador],"(sin catálogo)"))</f>
        <v/>
      </c>
      <c r="Y726" s="3">
        <f>IF(tblOrdenes[[#This Row],[puesto_trabajo]]="","",_xlfn.XLOOKUP(tblOrdenes[[#This Row],[puesto_trabajo]],tblPuestos[codigo],tblPuestos[especialidad],"(sin catálogo)"))</f>
        <v/>
      </c>
      <c r="Z726" s="3">
        <f>IF(tblOrdenes[[#This Row],[cod_actividad]]="","",_xlfn.XLOOKUP(tblOrdenes[[#This Row],[cod_actividad]],tblActividades[codigo],tblActividades[descripcion],"(sin catálogo)"))</f>
        <v/>
      </c>
      <c r="AA726" s="12">
        <f>IF(tblOrdenes[[#This Row],[fecha_inicio]]="","",TODAY()-tblOrdenes[[#This Row],[fecha_inicio]])</f>
        <v/>
      </c>
      <c r="AB7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3">
        <f>IF(tblOrdenes[[#This Row],[backlog_habiles]]="","",IF(tblOrdenes[[#This Row],[backlog_habiles]]&lt;0,"FUTURO",IF(tblOrdenes[[#This Row],[backlog_habiles]]&gt;p_dias_backlog_max,"BACKLOG","MES CORRIENTE")))</f>
        <v/>
      </c>
      <c r="AD726" s="3">
        <f>IF(tblOrdenes[[#This Row],[backlog_habiles]]="",FALSE,AND(tblOrdenes[[#This Row],[backlog_habiles]]&gt;p_dias_backlog_min,tblOrdenes[[#This Row],[backlog_habiles]]&lt;=p_dias_backlog_max))</f>
        <v/>
      </c>
      <c r="AE726" s="6" t="n"/>
      <c r="AF7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0">
        <f>IF(tblOrdenes[[#This Row],[orden]]="","",_xlfn.XLOOKUP(tblOrdenes[[#This Row],[id_operacion]],tblEjecucion[id_operacion],tblEjecucion[precio],0))</f>
        <v/>
      </c>
      <c r="AJ726" s="10">
        <f>IF(tblOrdenes[[#This Row],[orden]]="","",MAX(0,_xlfn.XLOOKUP(tblOrdenes[[#This Row],[id_operacion]],tblEjecucion[id_operacion],tblEjecucion[costo_plan_total],0)-tblOrdenes[[#This Row],[costo_servicio]]))</f>
        <v/>
      </c>
      <c r="AK726" s="10">
        <f>IF(tblOrdenes[[#This Row],[orden]]="","",tblOrdenes[[#This Row],[costo_servicio]]+tblOrdenes[[#This Row],[costo_materiales]])</f>
        <v/>
      </c>
      <c r="AL726" s="6" t="n"/>
      <c r="AM726" s="6" t="n"/>
      <c r="AN726" s="6" t="n"/>
      <c r="AO726" s="3">
        <f>IF(tblOrdenes[[#This Row],[link_checklist]]="","",HYPERLINK(p_ruta_base_checklists&amp;tblOrdenes[[#This Row],[link_checklist]],"abrir"))</f>
        <v/>
      </c>
      <c r="AP726" s="6" t="n"/>
      <c r="AQ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3">
        <f>IF(tblOrdenes[[#This Row],[tipo_ot]]="","",_xlfn.XLOOKUP(tblOrdenes[[#This Row],[tipo_ot]],tblTiposOT[codigo],tblTiposOT[clasificacion],"sin_clasificar"))</f>
        <v/>
      </c>
      <c r="U727" s="3">
        <f>IF(tblOrdenes[[#This Row],[centro_costo]]="","",_xlfn.XLOOKUP(tblOrdenes[[#This Row],[centro_costo]],tblCECO[codigo],tblCECO[linea],"(sin catálogo)"))</f>
        <v/>
      </c>
      <c r="V727" s="3">
        <f>IF(tblOrdenes[[#This Row],[centro_costo]]="","",_xlfn.XLOOKUP(tblOrdenes[[#This Row],[centro_costo]],tblCECO[codigo],tblCECO[area],"(sin catálogo)"))</f>
        <v/>
      </c>
      <c r="W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3">
        <f>IF(tblOrdenes[[#This Row],[centro_costo]]="","",_xlfn.XLOOKUP(tblOrdenes[[#This Row],[centro_costo]],tblCECO[codigo],tblCECO[coordinador],"(sin catálogo)"))</f>
        <v/>
      </c>
      <c r="Y727" s="3">
        <f>IF(tblOrdenes[[#This Row],[puesto_trabajo]]="","",_xlfn.XLOOKUP(tblOrdenes[[#This Row],[puesto_trabajo]],tblPuestos[codigo],tblPuestos[especialidad],"(sin catálogo)"))</f>
        <v/>
      </c>
      <c r="Z727" s="3">
        <f>IF(tblOrdenes[[#This Row],[cod_actividad]]="","",_xlfn.XLOOKUP(tblOrdenes[[#This Row],[cod_actividad]],tblActividades[codigo],tblActividades[descripcion],"(sin catálogo)"))</f>
        <v/>
      </c>
      <c r="AA727" s="12">
        <f>IF(tblOrdenes[[#This Row],[fecha_inicio]]="","",TODAY()-tblOrdenes[[#This Row],[fecha_inicio]])</f>
        <v/>
      </c>
      <c r="AB7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3">
        <f>IF(tblOrdenes[[#This Row],[backlog_habiles]]="","",IF(tblOrdenes[[#This Row],[backlog_habiles]]&lt;0,"FUTURO",IF(tblOrdenes[[#This Row],[backlog_habiles]]&gt;p_dias_backlog_max,"BACKLOG","MES CORRIENTE")))</f>
        <v/>
      </c>
      <c r="AD727" s="3">
        <f>IF(tblOrdenes[[#This Row],[backlog_habiles]]="",FALSE,AND(tblOrdenes[[#This Row],[backlog_habiles]]&gt;p_dias_backlog_min,tblOrdenes[[#This Row],[backlog_habiles]]&lt;=p_dias_backlog_max))</f>
        <v/>
      </c>
      <c r="AE727" s="6" t="n"/>
      <c r="AF7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0">
        <f>IF(tblOrdenes[[#This Row],[orden]]="","",_xlfn.XLOOKUP(tblOrdenes[[#This Row],[id_operacion]],tblEjecucion[id_operacion],tblEjecucion[precio],0))</f>
        <v/>
      </c>
      <c r="AJ727" s="10">
        <f>IF(tblOrdenes[[#This Row],[orden]]="","",MAX(0,_xlfn.XLOOKUP(tblOrdenes[[#This Row],[id_operacion]],tblEjecucion[id_operacion],tblEjecucion[costo_plan_total],0)-tblOrdenes[[#This Row],[costo_servicio]]))</f>
        <v/>
      </c>
      <c r="AK727" s="10">
        <f>IF(tblOrdenes[[#This Row],[orden]]="","",tblOrdenes[[#This Row],[costo_servicio]]+tblOrdenes[[#This Row],[costo_materiales]])</f>
        <v/>
      </c>
      <c r="AL727" s="6" t="n"/>
      <c r="AM727" s="6" t="n"/>
      <c r="AN727" s="6" t="n"/>
      <c r="AO727" s="3">
        <f>IF(tblOrdenes[[#This Row],[link_checklist]]="","",HYPERLINK(p_ruta_base_checklists&amp;tblOrdenes[[#This Row],[link_checklist]],"abrir"))</f>
        <v/>
      </c>
      <c r="AP727" s="6" t="n"/>
      <c r="AQ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3">
        <f>IF(tblOrdenes[[#This Row],[tipo_ot]]="","",_xlfn.XLOOKUP(tblOrdenes[[#This Row],[tipo_ot]],tblTiposOT[codigo],tblTiposOT[clasificacion],"sin_clasificar"))</f>
        <v/>
      </c>
      <c r="U728" s="3">
        <f>IF(tblOrdenes[[#This Row],[centro_costo]]="","",_xlfn.XLOOKUP(tblOrdenes[[#This Row],[centro_costo]],tblCECO[codigo],tblCECO[linea],"(sin catálogo)"))</f>
        <v/>
      </c>
      <c r="V728" s="3">
        <f>IF(tblOrdenes[[#This Row],[centro_costo]]="","",_xlfn.XLOOKUP(tblOrdenes[[#This Row],[centro_costo]],tblCECO[codigo],tblCECO[area],"(sin catálogo)"))</f>
        <v/>
      </c>
      <c r="W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3">
        <f>IF(tblOrdenes[[#This Row],[centro_costo]]="","",_xlfn.XLOOKUP(tblOrdenes[[#This Row],[centro_costo]],tblCECO[codigo],tblCECO[coordinador],"(sin catálogo)"))</f>
        <v/>
      </c>
      <c r="Y728" s="3">
        <f>IF(tblOrdenes[[#This Row],[puesto_trabajo]]="","",_xlfn.XLOOKUP(tblOrdenes[[#This Row],[puesto_trabajo]],tblPuestos[codigo],tblPuestos[especialidad],"(sin catálogo)"))</f>
        <v/>
      </c>
      <c r="Z728" s="3">
        <f>IF(tblOrdenes[[#This Row],[cod_actividad]]="","",_xlfn.XLOOKUP(tblOrdenes[[#This Row],[cod_actividad]],tblActividades[codigo],tblActividades[descripcion],"(sin catálogo)"))</f>
        <v/>
      </c>
      <c r="AA728" s="12">
        <f>IF(tblOrdenes[[#This Row],[fecha_inicio]]="","",TODAY()-tblOrdenes[[#This Row],[fecha_inicio]])</f>
        <v/>
      </c>
      <c r="AB7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3">
        <f>IF(tblOrdenes[[#This Row],[backlog_habiles]]="","",IF(tblOrdenes[[#This Row],[backlog_habiles]]&lt;0,"FUTURO",IF(tblOrdenes[[#This Row],[backlog_habiles]]&gt;p_dias_backlog_max,"BACKLOG","MES CORRIENTE")))</f>
        <v/>
      </c>
      <c r="AD728" s="3">
        <f>IF(tblOrdenes[[#This Row],[backlog_habiles]]="",FALSE,AND(tblOrdenes[[#This Row],[backlog_habiles]]&gt;p_dias_backlog_min,tblOrdenes[[#This Row],[backlog_habiles]]&lt;=p_dias_backlog_max))</f>
        <v/>
      </c>
      <c r="AE728" s="6" t="n"/>
      <c r="AF7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0">
        <f>IF(tblOrdenes[[#This Row],[orden]]="","",_xlfn.XLOOKUP(tblOrdenes[[#This Row],[id_operacion]],tblEjecucion[id_operacion],tblEjecucion[precio],0))</f>
        <v/>
      </c>
      <c r="AJ728" s="10">
        <f>IF(tblOrdenes[[#This Row],[orden]]="","",MAX(0,_xlfn.XLOOKUP(tblOrdenes[[#This Row],[id_operacion]],tblEjecucion[id_operacion],tblEjecucion[costo_plan_total],0)-tblOrdenes[[#This Row],[costo_servicio]]))</f>
        <v/>
      </c>
      <c r="AK728" s="10">
        <f>IF(tblOrdenes[[#This Row],[orden]]="","",tblOrdenes[[#This Row],[costo_servicio]]+tblOrdenes[[#This Row],[costo_materiales]])</f>
        <v/>
      </c>
      <c r="AL728" s="6" t="n"/>
      <c r="AM728" s="6" t="n"/>
      <c r="AN728" s="6" t="n"/>
      <c r="AO728" s="3">
        <f>IF(tblOrdenes[[#This Row],[link_checklist]]="","",HYPERLINK(p_ruta_base_checklists&amp;tblOrdenes[[#This Row],[link_checklist]],"abrir"))</f>
        <v/>
      </c>
      <c r="AP728" s="6" t="n"/>
      <c r="AQ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3">
        <f>IF(tblOrdenes[[#This Row],[tipo_ot]]="","",_xlfn.XLOOKUP(tblOrdenes[[#This Row],[tipo_ot]],tblTiposOT[codigo],tblTiposOT[clasificacion],"sin_clasificar"))</f>
        <v/>
      </c>
      <c r="U729" s="3">
        <f>IF(tblOrdenes[[#This Row],[centro_costo]]="","",_xlfn.XLOOKUP(tblOrdenes[[#This Row],[centro_costo]],tblCECO[codigo],tblCECO[linea],"(sin catálogo)"))</f>
        <v/>
      </c>
      <c r="V729" s="3">
        <f>IF(tblOrdenes[[#This Row],[centro_costo]]="","",_xlfn.XLOOKUP(tblOrdenes[[#This Row],[centro_costo]],tblCECO[codigo],tblCECO[area],"(sin catálogo)"))</f>
        <v/>
      </c>
      <c r="W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3">
        <f>IF(tblOrdenes[[#This Row],[centro_costo]]="","",_xlfn.XLOOKUP(tblOrdenes[[#This Row],[centro_costo]],tblCECO[codigo],tblCECO[coordinador],"(sin catálogo)"))</f>
        <v/>
      </c>
      <c r="Y729" s="3">
        <f>IF(tblOrdenes[[#This Row],[puesto_trabajo]]="","",_xlfn.XLOOKUP(tblOrdenes[[#This Row],[puesto_trabajo]],tblPuestos[codigo],tblPuestos[especialidad],"(sin catálogo)"))</f>
        <v/>
      </c>
      <c r="Z729" s="3">
        <f>IF(tblOrdenes[[#This Row],[cod_actividad]]="","",_xlfn.XLOOKUP(tblOrdenes[[#This Row],[cod_actividad]],tblActividades[codigo],tblActividades[descripcion],"(sin catálogo)"))</f>
        <v/>
      </c>
      <c r="AA729" s="12">
        <f>IF(tblOrdenes[[#This Row],[fecha_inicio]]="","",TODAY()-tblOrdenes[[#This Row],[fecha_inicio]])</f>
        <v/>
      </c>
      <c r="AB7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3">
        <f>IF(tblOrdenes[[#This Row],[backlog_habiles]]="","",IF(tblOrdenes[[#This Row],[backlog_habiles]]&lt;0,"FUTURO",IF(tblOrdenes[[#This Row],[backlog_habiles]]&gt;p_dias_backlog_max,"BACKLOG","MES CORRIENTE")))</f>
        <v/>
      </c>
      <c r="AD729" s="3">
        <f>IF(tblOrdenes[[#This Row],[backlog_habiles]]="",FALSE,AND(tblOrdenes[[#This Row],[backlog_habiles]]&gt;p_dias_backlog_min,tblOrdenes[[#This Row],[backlog_habiles]]&lt;=p_dias_backlog_max))</f>
        <v/>
      </c>
      <c r="AE729" s="6" t="n"/>
      <c r="AF7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0">
        <f>IF(tblOrdenes[[#This Row],[orden]]="","",_xlfn.XLOOKUP(tblOrdenes[[#This Row],[id_operacion]],tblEjecucion[id_operacion],tblEjecucion[precio],0))</f>
        <v/>
      </c>
      <c r="AJ729" s="10">
        <f>IF(tblOrdenes[[#This Row],[orden]]="","",MAX(0,_xlfn.XLOOKUP(tblOrdenes[[#This Row],[id_operacion]],tblEjecucion[id_operacion],tblEjecucion[costo_plan_total],0)-tblOrdenes[[#This Row],[costo_servicio]]))</f>
        <v/>
      </c>
      <c r="AK729" s="10">
        <f>IF(tblOrdenes[[#This Row],[orden]]="","",tblOrdenes[[#This Row],[costo_servicio]]+tblOrdenes[[#This Row],[costo_materiales]])</f>
        <v/>
      </c>
      <c r="AL729" s="6" t="n"/>
      <c r="AM729" s="6" t="n"/>
      <c r="AN729" s="6" t="n"/>
      <c r="AO729" s="3">
        <f>IF(tblOrdenes[[#This Row],[link_checklist]]="","",HYPERLINK(p_ruta_base_checklists&amp;tblOrdenes[[#This Row],[link_checklist]],"abrir"))</f>
        <v/>
      </c>
      <c r="AP729" s="6" t="n"/>
      <c r="AQ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3">
        <f>IF(tblOrdenes[[#This Row],[tipo_ot]]="","",_xlfn.XLOOKUP(tblOrdenes[[#This Row],[tipo_ot]],tblTiposOT[codigo],tblTiposOT[clasificacion],"sin_clasificar"))</f>
        <v/>
      </c>
      <c r="U730" s="3">
        <f>IF(tblOrdenes[[#This Row],[centro_costo]]="","",_xlfn.XLOOKUP(tblOrdenes[[#This Row],[centro_costo]],tblCECO[codigo],tblCECO[linea],"(sin catálogo)"))</f>
        <v/>
      </c>
      <c r="V730" s="3">
        <f>IF(tblOrdenes[[#This Row],[centro_costo]]="","",_xlfn.XLOOKUP(tblOrdenes[[#This Row],[centro_costo]],tblCECO[codigo],tblCECO[area],"(sin catálogo)"))</f>
        <v/>
      </c>
      <c r="W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3">
        <f>IF(tblOrdenes[[#This Row],[centro_costo]]="","",_xlfn.XLOOKUP(tblOrdenes[[#This Row],[centro_costo]],tblCECO[codigo],tblCECO[coordinador],"(sin catálogo)"))</f>
        <v/>
      </c>
      <c r="Y730" s="3">
        <f>IF(tblOrdenes[[#This Row],[puesto_trabajo]]="","",_xlfn.XLOOKUP(tblOrdenes[[#This Row],[puesto_trabajo]],tblPuestos[codigo],tblPuestos[especialidad],"(sin catálogo)"))</f>
        <v/>
      </c>
      <c r="Z730" s="3">
        <f>IF(tblOrdenes[[#This Row],[cod_actividad]]="","",_xlfn.XLOOKUP(tblOrdenes[[#This Row],[cod_actividad]],tblActividades[codigo],tblActividades[descripcion],"(sin catálogo)"))</f>
        <v/>
      </c>
      <c r="AA730" s="12">
        <f>IF(tblOrdenes[[#This Row],[fecha_inicio]]="","",TODAY()-tblOrdenes[[#This Row],[fecha_inicio]])</f>
        <v/>
      </c>
      <c r="AB7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3">
        <f>IF(tblOrdenes[[#This Row],[backlog_habiles]]="","",IF(tblOrdenes[[#This Row],[backlog_habiles]]&lt;0,"FUTURO",IF(tblOrdenes[[#This Row],[backlog_habiles]]&gt;p_dias_backlog_max,"BACKLOG","MES CORRIENTE")))</f>
        <v/>
      </c>
      <c r="AD730" s="3">
        <f>IF(tblOrdenes[[#This Row],[backlog_habiles]]="",FALSE,AND(tblOrdenes[[#This Row],[backlog_habiles]]&gt;p_dias_backlog_min,tblOrdenes[[#This Row],[backlog_habiles]]&lt;=p_dias_backlog_max))</f>
        <v/>
      </c>
      <c r="AE730" s="6" t="n"/>
      <c r="AF7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0">
        <f>IF(tblOrdenes[[#This Row],[orden]]="","",_xlfn.XLOOKUP(tblOrdenes[[#This Row],[id_operacion]],tblEjecucion[id_operacion],tblEjecucion[precio],0))</f>
        <v/>
      </c>
      <c r="AJ730" s="10">
        <f>IF(tblOrdenes[[#This Row],[orden]]="","",MAX(0,_xlfn.XLOOKUP(tblOrdenes[[#This Row],[id_operacion]],tblEjecucion[id_operacion],tblEjecucion[costo_plan_total],0)-tblOrdenes[[#This Row],[costo_servicio]]))</f>
        <v/>
      </c>
      <c r="AK730" s="10">
        <f>IF(tblOrdenes[[#This Row],[orden]]="","",tblOrdenes[[#This Row],[costo_servicio]]+tblOrdenes[[#This Row],[costo_materiales]])</f>
        <v/>
      </c>
      <c r="AL730" s="6" t="n"/>
      <c r="AM730" s="6" t="n"/>
      <c r="AN730" s="6" t="n"/>
      <c r="AO730" s="3">
        <f>IF(tblOrdenes[[#This Row],[link_checklist]]="","",HYPERLINK(p_ruta_base_checklists&amp;tblOrdenes[[#This Row],[link_checklist]],"abrir"))</f>
        <v/>
      </c>
      <c r="AP730" s="6" t="n"/>
      <c r="AQ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3">
        <f>IF(tblOrdenes[[#This Row],[tipo_ot]]="","",_xlfn.XLOOKUP(tblOrdenes[[#This Row],[tipo_ot]],tblTiposOT[codigo],tblTiposOT[clasificacion],"sin_clasificar"))</f>
        <v/>
      </c>
      <c r="U731" s="3">
        <f>IF(tblOrdenes[[#This Row],[centro_costo]]="","",_xlfn.XLOOKUP(tblOrdenes[[#This Row],[centro_costo]],tblCECO[codigo],tblCECO[linea],"(sin catálogo)"))</f>
        <v/>
      </c>
      <c r="V731" s="3">
        <f>IF(tblOrdenes[[#This Row],[centro_costo]]="","",_xlfn.XLOOKUP(tblOrdenes[[#This Row],[centro_costo]],tblCECO[codigo],tblCECO[area],"(sin catálogo)"))</f>
        <v/>
      </c>
      <c r="W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3">
        <f>IF(tblOrdenes[[#This Row],[centro_costo]]="","",_xlfn.XLOOKUP(tblOrdenes[[#This Row],[centro_costo]],tblCECO[codigo],tblCECO[coordinador],"(sin catálogo)"))</f>
        <v/>
      </c>
      <c r="Y731" s="3">
        <f>IF(tblOrdenes[[#This Row],[puesto_trabajo]]="","",_xlfn.XLOOKUP(tblOrdenes[[#This Row],[puesto_trabajo]],tblPuestos[codigo],tblPuestos[especialidad],"(sin catálogo)"))</f>
        <v/>
      </c>
      <c r="Z731" s="3">
        <f>IF(tblOrdenes[[#This Row],[cod_actividad]]="","",_xlfn.XLOOKUP(tblOrdenes[[#This Row],[cod_actividad]],tblActividades[codigo],tblActividades[descripcion],"(sin catálogo)"))</f>
        <v/>
      </c>
      <c r="AA731" s="12">
        <f>IF(tblOrdenes[[#This Row],[fecha_inicio]]="","",TODAY()-tblOrdenes[[#This Row],[fecha_inicio]])</f>
        <v/>
      </c>
      <c r="AB7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3">
        <f>IF(tblOrdenes[[#This Row],[backlog_habiles]]="","",IF(tblOrdenes[[#This Row],[backlog_habiles]]&lt;0,"FUTURO",IF(tblOrdenes[[#This Row],[backlog_habiles]]&gt;p_dias_backlog_max,"BACKLOG","MES CORRIENTE")))</f>
        <v/>
      </c>
      <c r="AD731" s="3">
        <f>IF(tblOrdenes[[#This Row],[backlog_habiles]]="",FALSE,AND(tblOrdenes[[#This Row],[backlog_habiles]]&gt;p_dias_backlog_min,tblOrdenes[[#This Row],[backlog_habiles]]&lt;=p_dias_backlog_max))</f>
        <v/>
      </c>
      <c r="AE731" s="6" t="n"/>
      <c r="AF7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0">
        <f>IF(tblOrdenes[[#This Row],[orden]]="","",_xlfn.XLOOKUP(tblOrdenes[[#This Row],[id_operacion]],tblEjecucion[id_operacion],tblEjecucion[precio],0))</f>
        <v/>
      </c>
      <c r="AJ731" s="10">
        <f>IF(tblOrdenes[[#This Row],[orden]]="","",MAX(0,_xlfn.XLOOKUP(tblOrdenes[[#This Row],[id_operacion]],tblEjecucion[id_operacion],tblEjecucion[costo_plan_total],0)-tblOrdenes[[#This Row],[costo_servicio]]))</f>
        <v/>
      </c>
      <c r="AK731" s="10">
        <f>IF(tblOrdenes[[#This Row],[orden]]="","",tblOrdenes[[#This Row],[costo_servicio]]+tblOrdenes[[#This Row],[costo_materiales]])</f>
        <v/>
      </c>
      <c r="AL731" s="6" t="n"/>
      <c r="AM731" s="6" t="n"/>
      <c r="AN731" s="6" t="n"/>
      <c r="AO731" s="3">
        <f>IF(tblOrdenes[[#This Row],[link_checklist]]="","",HYPERLINK(p_ruta_base_checklists&amp;tblOrdenes[[#This Row],[link_checklist]],"abrir"))</f>
        <v/>
      </c>
      <c r="AP731" s="6" t="n"/>
      <c r="AQ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3">
        <f>IF(tblOrdenes[[#This Row],[tipo_ot]]="","",_xlfn.XLOOKUP(tblOrdenes[[#This Row],[tipo_ot]],tblTiposOT[codigo],tblTiposOT[clasificacion],"sin_clasificar"))</f>
        <v/>
      </c>
      <c r="U732" s="3">
        <f>IF(tblOrdenes[[#This Row],[centro_costo]]="","",_xlfn.XLOOKUP(tblOrdenes[[#This Row],[centro_costo]],tblCECO[codigo],tblCECO[linea],"(sin catálogo)"))</f>
        <v/>
      </c>
      <c r="V732" s="3">
        <f>IF(tblOrdenes[[#This Row],[centro_costo]]="","",_xlfn.XLOOKUP(tblOrdenes[[#This Row],[centro_costo]],tblCECO[codigo],tblCECO[area],"(sin catálogo)"))</f>
        <v/>
      </c>
      <c r="W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3">
        <f>IF(tblOrdenes[[#This Row],[centro_costo]]="","",_xlfn.XLOOKUP(tblOrdenes[[#This Row],[centro_costo]],tblCECO[codigo],tblCECO[coordinador],"(sin catálogo)"))</f>
        <v/>
      </c>
      <c r="Y732" s="3">
        <f>IF(tblOrdenes[[#This Row],[puesto_trabajo]]="","",_xlfn.XLOOKUP(tblOrdenes[[#This Row],[puesto_trabajo]],tblPuestos[codigo],tblPuestos[especialidad],"(sin catálogo)"))</f>
        <v/>
      </c>
      <c r="Z732" s="3">
        <f>IF(tblOrdenes[[#This Row],[cod_actividad]]="","",_xlfn.XLOOKUP(tblOrdenes[[#This Row],[cod_actividad]],tblActividades[codigo],tblActividades[descripcion],"(sin catálogo)"))</f>
        <v/>
      </c>
      <c r="AA732" s="12">
        <f>IF(tblOrdenes[[#This Row],[fecha_inicio]]="","",TODAY()-tblOrdenes[[#This Row],[fecha_inicio]])</f>
        <v/>
      </c>
      <c r="AB7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3">
        <f>IF(tblOrdenes[[#This Row],[backlog_habiles]]="","",IF(tblOrdenes[[#This Row],[backlog_habiles]]&lt;0,"FUTURO",IF(tblOrdenes[[#This Row],[backlog_habiles]]&gt;p_dias_backlog_max,"BACKLOG","MES CORRIENTE")))</f>
        <v/>
      </c>
      <c r="AD732" s="3">
        <f>IF(tblOrdenes[[#This Row],[backlog_habiles]]="",FALSE,AND(tblOrdenes[[#This Row],[backlog_habiles]]&gt;p_dias_backlog_min,tblOrdenes[[#This Row],[backlog_habiles]]&lt;=p_dias_backlog_max))</f>
        <v/>
      </c>
      <c r="AE732" s="6" t="n"/>
      <c r="AF7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0">
        <f>IF(tblOrdenes[[#This Row],[orden]]="","",_xlfn.XLOOKUP(tblOrdenes[[#This Row],[id_operacion]],tblEjecucion[id_operacion],tblEjecucion[precio],0))</f>
        <v/>
      </c>
      <c r="AJ732" s="10">
        <f>IF(tblOrdenes[[#This Row],[orden]]="","",MAX(0,_xlfn.XLOOKUP(tblOrdenes[[#This Row],[id_operacion]],tblEjecucion[id_operacion],tblEjecucion[costo_plan_total],0)-tblOrdenes[[#This Row],[costo_servicio]]))</f>
        <v/>
      </c>
      <c r="AK732" s="10">
        <f>IF(tblOrdenes[[#This Row],[orden]]="","",tblOrdenes[[#This Row],[costo_servicio]]+tblOrdenes[[#This Row],[costo_materiales]])</f>
        <v/>
      </c>
      <c r="AL732" s="6" t="n"/>
      <c r="AM732" s="6" t="n"/>
      <c r="AN732" s="6" t="n"/>
      <c r="AO732" s="3">
        <f>IF(tblOrdenes[[#This Row],[link_checklist]]="","",HYPERLINK(p_ruta_base_checklists&amp;tblOrdenes[[#This Row],[link_checklist]],"abrir"))</f>
        <v/>
      </c>
      <c r="AP732" s="6" t="n"/>
      <c r="AQ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3">
        <f>IF(tblOrdenes[[#This Row],[tipo_ot]]="","",_xlfn.XLOOKUP(tblOrdenes[[#This Row],[tipo_ot]],tblTiposOT[codigo],tblTiposOT[clasificacion],"sin_clasificar"))</f>
        <v/>
      </c>
      <c r="U733" s="3">
        <f>IF(tblOrdenes[[#This Row],[centro_costo]]="","",_xlfn.XLOOKUP(tblOrdenes[[#This Row],[centro_costo]],tblCECO[codigo],tblCECO[linea],"(sin catálogo)"))</f>
        <v/>
      </c>
      <c r="V733" s="3">
        <f>IF(tblOrdenes[[#This Row],[centro_costo]]="","",_xlfn.XLOOKUP(tblOrdenes[[#This Row],[centro_costo]],tblCECO[codigo],tblCECO[area],"(sin catálogo)"))</f>
        <v/>
      </c>
      <c r="W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3">
        <f>IF(tblOrdenes[[#This Row],[centro_costo]]="","",_xlfn.XLOOKUP(tblOrdenes[[#This Row],[centro_costo]],tblCECO[codigo],tblCECO[coordinador],"(sin catálogo)"))</f>
        <v/>
      </c>
      <c r="Y733" s="3">
        <f>IF(tblOrdenes[[#This Row],[puesto_trabajo]]="","",_xlfn.XLOOKUP(tblOrdenes[[#This Row],[puesto_trabajo]],tblPuestos[codigo],tblPuestos[especialidad],"(sin catálogo)"))</f>
        <v/>
      </c>
      <c r="Z733" s="3">
        <f>IF(tblOrdenes[[#This Row],[cod_actividad]]="","",_xlfn.XLOOKUP(tblOrdenes[[#This Row],[cod_actividad]],tblActividades[codigo],tblActividades[descripcion],"(sin catálogo)"))</f>
        <v/>
      </c>
      <c r="AA733" s="12">
        <f>IF(tblOrdenes[[#This Row],[fecha_inicio]]="","",TODAY()-tblOrdenes[[#This Row],[fecha_inicio]])</f>
        <v/>
      </c>
      <c r="AB7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3">
        <f>IF(tblOrdenes[[#This Row],[backlog_habiles]]="","",IF(tblOrdenes[[#This Row],[backlog_habiles]]&lt;0,"FUTURO",IF(tblOrdenes[[#This Row],[backlog_habiles]]&gt;p_dias_backlog_max,"BACKLOG","MES CORRIENTE")))</f>
        <v/>
      </c>
      <c r="AD733" s="3">
        <f>IF(tblOrdenes[[#This Row],[backlog_habiles]]="",FALSE,AND(tblOrdenes[[#This Row],[backlog_habiles]]&gt;p_dias_backlog_min,tblOrdenes[[#This Row],[backlog_habiles]]&lt;=p_dias_backlog_max))</f>
        <v/>
      </c>
      <c r="AE733" s="6" t="n"/>
      <c r="AF7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0">
        <f>IF(tblOrdenes[[#This Row],[orden]]="","",_xlfn.XLOOKUP(tblOrdenes[[#This Row],[id_operacion]],tblEjecucion[id_operacion],tblEjecucion[precio],0))</f>
        <v/>
      </c>
      <c r="AJ733" s="10">
        <f>IF(tblOrdenes[[#This Row],[orden]]="","",MAX(0,_xlfn.XLOOKUP(tblOrdenes[[#This Row],[id_operacion]],tblEjecucion[id_operacion],tblEjecucion[costo_plan_total],0)-tblOrdenes[[#This Row],[costo_servicio]]))</f>
        <v/>
      </c>
      <c r="AK733" s="10">
        <f>IF(tblOrdenes[[#This Row],[orden]]="","",tblOrdenes[[#This Row],[costo_servicio]]+tblOrdenes[[#This Row],[costo_materiales]])</f>
        <v/>
      </c>
      <c r="AL733" s="6" t="n"/>
      <c r="AM733" s="6" t="n"/>
      <c r="AN733" s="6" t="n"/>
      <c r="AO733" s="3">
        <f>IF(tblOrdenes[[#This Row],[link_checklist]]="","",HYPERLINK(p_ruta_base_checklists&amp;tblOrdenes[[#This Row],[link_checklist]],"abrir"))</f>
        <v/>
      </c>
      <c r="AP733" s="6" t="n"/>
      <c r="AQ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3">
        <f>IF(tblOrdenes[[#This Row],[tipo_ot]]="","",_xlfn.XLOOKUP(tblOrdenes[[#This Row],[tipo_ot]],tblTiposOT[codigo],tblTiposOT[clasificacion],"sin_clasificar"))</f>
        <v/>
      </c>
      <c r="U734" s="3">
        <f>IF(tblOrdenes[[#This Row],[centro_costo]]="","",_xlfn.XLOOKUP(tblOrdenes[[#This Row],[centro_costo]],tblCECO[codigo],tblCECO[linea],"(sin catálogo)"))</f>
        <v/>
      </c>
      <c r="V734" s="3">
        <f>IF(tblOrdenes[[#This Row],[centro_costo]]="","",_xlfn.XLOOKUP(tblOrdenes[[#This Row],[centro_costo]],tblCECO[codigo],tblCECO[area],"(sin catálogo)"))</f>
        <v/>
      </c>
      <c r="W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3">
        <f>IF(tblOrdenes[[#This Row],[centro_costo]]="","",_xlfn.XLOOKUP(tblOrdenes[[#This Row],[centro_costo]],tblCECO[codigo],tblCECO[coordinador],"(sin catálogo)"))</f>
        <v/>
      </c>
      <c r="Y734" s="3">
        <f>IF(tblOrdenes[[#This Row],[puesto_trabajo]]="","",_xlfn.XLOOKUP(tblOrdenes[[#This Row],[puesto_trabajo]],tblPuestos[codigo],tblPuestos[especialidad],"(sin catálogo)"))</f>
        <v/>
      </c>
      <c r="Z734" s="3">
        <f>IF(tblOrdenes[[#This Row],[cod_actividad]]="","",_xlfn.XLOOKUP(tblOrdenes[[#This Row],[cod_actividad]],tblActividades[codigo],tblActividades[descripcion],"(sin catálogo)"))</f>
        <v/>
      </c>
      <c r="AA734" s="12">
        <f>IF(tblOrdenes[[#This Row],[fecha_inicio]]="","",TODAY()-tblOrdenes[[#This Row],[fecha_inicio]])</f>
        <v/>
      </c>
      <c r="AB7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3">
        <f>IF(tblOrdenes[[#This Row],[backlog_habiles]]="","",IF(tblOrdenes[[#This Row],[backlog_habiles]]&lt;0,"FUTURO",IF(tblOrdenes[[#This Row],[backlog_habiles]]&gt;p_dias_backlog_max,"BACKLOG","MES CORRIENTE")))</f>
        <v/>
      </c>
      <c r="AD734" s="3">
        <f>IF(tblOrdenes[[#This Row],[backlog_habiles]]="",FALSE,AND(tblOrdenes[[#This Row],[backlog_habiles]]&gt;p_dias_backlog_min,tblOrdenes[[#This Row],[backlog_habiles]]&lt;=p_dias_backlog_max))</f>
        <v/>
      </c>
      <c r="AE734" s="6" t="n"/>
      <c r="AF7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0">
        <f>IF(tblOrdenes[[#This Row],[orden]]="","",_xlfn.XLOOKUP(tblOrdenes[[#This Row],[id_operacion]],tblEjecucion[id_operacion],tblEjecucion[precio],0))</f>
        <v/>
      </c>
      <c r="AJ734" s="10">
        <f>IF(tblOrdenes[[#This Row],[orden]]="","",MAX(0,_xlfn.XLOOKUP(tblOrdenes[[#This Row],[id_operacion]],tblEjecucion[id_operacion],tblEjecucion[costo_plan_total],0)-tblOrdenes[[#This Row],[costo_servicio]]))</f>
        <v/>
      </c>
      <c r="AK734" s="10">
        <f>IF(tblOrdenes[[#This Row],[orden]]="","",tblOrdenes[[#This Row],[costo_servicio]]+tblOrdenes[[#This Row],[costo_materiales]])</f>
        <v/>
      </c>
      <c r="AL734" s="6" t="n"/>
      <c r="AM734" s="6" t="n"/>
      <c r="AN734" s="6" t="n"/>
      <c r="AO734" s="3">
        <f>IF(tblOrdenes[[#This Row],[link_checklist]]="","",HYPERLINK(p_ruta_base_checklists&amp;tblOrdenes[[#This Row],[link_checklist]],"abrir"))</f>
        <v/>
      </c>
      <c r="AP734" s="6" t="n"/>
      <c r="AQ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3">
        <f>IF(tblOrdenes[[#This Row],[tipo_ot]]="","",_xlfn.XLOOKUP(tblOrdenes[[#This Row],[tipo_ot]],tblTiposOT[codigo],tblTiposOT[clasificacion],"sin_clasificar"))</f>
        <v/>
      </c>
      <c r="U735" s="3">
        <f>IF(tblOrdenes[[#This Row],[centro_costo]]="","",_xlfn.XLOOKUP(tblOrdenes[[#This Row],[centro_costo]],tblCECO[codigo],tblCECO[linea],"(sin catálogo)"))</f>
        <v/>
      </c>
      <c r="V735" s="3">
        <f>IF(tblOrdenes[[#This Row],[centro_costo]]="","",_xlfn.XLOOKUP(tblOrdenes[[#This Row],[centro_costo]],tblCECO[codigo],tblCECO[area],"(sin catálogo)"))</f>
        <v/>
      </c>
      <c r="W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3">
        <f>IF(tblOrdenes[[#This Row],[centro_costo]]="","",_xlfn.XLOOKUP(tblOrdenes[[#This Row],[centro_costo]],tblCECO[codigo],tblCECO[coordinador],"(sin catálogo)"))</f>
        <v/>
      </c>
      <c r="Y735" s="3">
        <f>IF(tblOrdenes[[#This Row],[puesto_trabajo]]="","",_xlfn.XLOOKUP(tblOrdenes[[#This Row],[puesto_trabajo]],tblPuestos[codigo],tblPuestos[especialidad],"(sin catálogo)"))</f>
        <v/>
      </c>
      <c r="Z735" s="3">
        <f>IF(tblOrdenes[[#This Row],[cod_actividad]]="","",_xlfn.XLOOKUP(tblOrdenes[[#This Row],[cod_actividad]],tblActividades[codigo],tblActividades[descripcion],"(sin catálogo)"))</f>
        <v/>
      </c>
      <c r="AA735" s="12">
        <f>IF(tblOrdenes[[#This Row],[fecha_inicio]]="","",TODAY()-tblOrdenes[[#This Row],[fecha_inicio]])</f>
        <v/>
      </c>
      <c r="AB7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3">
        <f>IF(tblOrdenes[[#This Row],[backlog_habiles]]="","",IF(tblOrdenes[[#This Row],[backlog_habiles]]&lt;0,"FUTURO",IF(tblOrdenes[[#This Row],[backlog_habiles]]&gt;p_dias_backlog_max,"BACKLOG","MES CORRIENTE")))</f>
        <v/>
      </c>
      <c r="AD735" s="3">
        <f>IF(tblOrdenes[[#This Row],[backlog_habiles]]="",FALSE,AND(tblOrdenes[[#This Row],[backlog_habiles]]&gt;p_dias_backlog_min,tblOrdenes[[#This Row],[backlog_habiles]]&lt;=p_dias_backlog_max))</f>
        <v/>
      </c>
      <c r="AE735" s="6" t="n"/>
      <c r="AF7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0">
        <f>IF(tblOrdenes[[#This Row],[orden]]="","",_xlfn.XLOOKUP(tblOrdenes[[#This Row],[id_operacion]],tblEjecucion[id_operacion],tblEjecucion[precio],0))</f>
        <v/>
      </c>
      <c r="AJ735" s="10">
        <f>IF(tblOrdenes[[#This Row],[orden]]="","",MAX(0,_xlfn.XLOOKUP(tblOrdenes[[#This Row],[id_operacion]],tblEjecucion[id_operacion],tblEjecucion[costo_plan_total],0)-tblOrdenes[[#This Row],[costo_servicio]]))</f>
        <v/>
      </c>
      <c r="AK735" s="10">
        <f>IF(tblOrdenes[[#This Row],[orden]]="","",tblOrdenes[[#This Row],[costo_servicio]]+tblOrdenes[[#This Row],[costo_materiales]])</f>
        <v/>
      </c>
      <c r="AL735" s="6" t="n"/>
      <c r="AM735" s="6" t="n"/>
      <c r="AN735" s="6" t="n"/>
      <c r="AO735" s="3">
        <f>IF(tblOrdenes[[#This Row],[link_checklist]]="","",HYPERLINK(p_ruta_base_checklists&amp;tblOrdenes[[#This Row],[link_checklist]],"abrir"))</f>
        <v/>
      </c>
      <c r="AP735" s="6" t="n"/>
      <c r="AQ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3">
        <f>IF(tblOrdenes[[#This Row],[tipo_ot]]="","",_xlfn.XLOOKUP(tblOrdenes[[#This Row],[tipo_ot]],tblTiposOT[codigo],tblTiposOT[clasificacion],"sin_clasificar"))</f>
        <v/>
      </c>
      <c r="U736" s="3">
        <f>IF(tblOrdenes[[#This Row],[centro_costo]]="","",_xlfn.XLOOKUP(tblOrdenes[[#This Row],[centro_costo]],tblCECO[codigo],tblCECO[linea],"(sin catálogo)"))</f>
        <v/>
      </c>
      <c r="V736" s="3">
        <f>IF(tblOrdenes[[#This Row],[centro_costo]]="","",_xlfn.XLOOKUP(tblOrdenes[[#This Row],[centro_costo]],tblCECO[codigo],tblCECO[area],"(sin catálogo)"))</f>
        <v/>
      </c>
      <c r="W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3">
        <f>IF(tblOrdenes[[#This Row],[centro_costo]]="","",_xlfn.XLOOKUP(tblOrdenes[[#This Row],[centro_costo]],tblCECO[codigo],tblCECO[coordinador],"(sin catálogo)"))</f>
        <v/>
      </c>
      <c r="Y736" s="3">
        <f>IF(tblOrdenes[[#This Row],[puesto_trabajo]]="","",_xlfn.XLOOKUP(tblOrdenes[[#This Row],[puesto_trabajo]],tblPuestos[codigo],tblPuestos[especialidad],"(sin catálogo)"))</f>
        <v/>
      </c>
      <c r="Z736" s="3">
        <f>IF(tblOrdenes[[#This Row],[cod_actividad]]="","",_xlfn.XLOOKUP(tblOrdenes[[#This Row],[cod_actividad]],tblActividades[codigo],tblActividades[descripcion],"(sin catálogo)"))</f>
        <v/>
      </c>
      <c r="AA736" s="12">
        <f>IF(tblOrdenes[[#This Row],[fecha_inicio]]="","",TODAY()-tblOrdenes[[#This Row],[fecha_inicio]])</f>
        <v/>
      </c>
      <c r="AB7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3">
        <f>IF(tblOrdenes[[#This Row],[backlog_habiles]]="","",IF(tblOrdenes[[#This Row],[backlog_habiles]]&lt;0,"FUTURO",IF(tblOrdenes[[#This Row],[backlog_habiles]]&gt;p_dias_backlog_max,"BACKLOG","MES CORRIENTE")))</f>
        <v/>
      </c>
      <c r="AD736" s="3">
        <f>IF(tblOrdenes[[#This Row],[backlog_habiles]]="",FALSE,AND(tblOrdenes[[#This Row],[backlog_habiles]]&gt;p_dias_backlog_min,tblOrdenes[[#This Row],[backlog_habiles]]&lt;=p_dias_backlog_max))</f>
        <v/>
      </c>
      <c r="AE736" s="6" t="n"/>
      <c r="AF7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0">
        <f>IF(tblOrdenes[[#This Row],[orden]]="","",_xlfn.XLOOKUP(tblOrdenes[[#This Row],[id_operacion]],tblEjecucion[id_operacion],tblEjecucion[precio],0))</f>
        <v/>
      </c>
      <c r="AJ736" s="10">
        <f>IF(tblOrdenes[[#This Row],[orden]]="","",MAX(0,_xlfn.XLOOKUP(tblOrdenes[[#This Row],[id_operacion]],tblEjecucion[id_operacion],tblEjecucion[costo_plan_total],0)-tblOrdenes[[#This Row],[costo_servicio]]))</f>
        <v/>
      </c>
      <c r="AK736" s="10">
        <f>IF(tblOrdenes[[#This Row],[orden]]="","",tblOrdenes[[#This Row],[costo_servicio]]+tblOrdenes[[#This Row],[costo_materiales]])</f>
        <v/>
      </c>
      <c r="AL736" s="6" t="n"/>
      <c r="AM736" s="6" t="n"/>
      <c r="AN736" s="6" t="n"/>
      <c r="AO736" s="3">
        <f>IF(tblOrdenes[[#This Row],[link_checklist]]="","",HYPERLINK(p_ruta_base_checklists&amp;tblOrdenes[[#This Row],[link_checklist]],"abrir"))</f>
        <v/>
      </c>
      <c r="AP736" s="6" t="n"/>
      <c r="AQ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3">
        <f>IF(tblOrdenes[[#This Row],[tipo_ot]]="","",_xlfn.XLOOKUP(tblOrdenes[[#This Row],[tipo_ot]],tblTiposOT[codigo],tblTiposOT[clasificacion],"sin_clasificar"))</f>
        <v/>
      </c>
      <c r="U737" s="3">
        <f>IF(tblOrdenes[[#This Row],[centro_costo]]="","",_xlfn.XLOOKUP(tblOrdenes[[#This Row],[centro_costo]],tblCECO[codigo],tblCECO[linea],"(sin catálogo)"))</f>
        <v/>
      </c>
      <c r="V737" s="3">
        <f>IF(tblOrdenes[[#This Row],[centro_costo]]="","",_xlfn.XLOOKUP(tblOrdenes[[#This Row],[centro_costo]],tblCECO[codigo],tblCECO[area],"(sin catálogo)"))</f>
        <v/>
      </c>
      <c r="W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3">
        <f>IF(tblOrdenes[[#This Row],[centro_costo]]="","",_xlfn.XLOOKUP(tblOrdenes[[#This Row],[centro_costo]],tblCECO[codigo],tblCECO[coordinador],"(sin catálogo)"))</f>
        <v/>
      </c>
      <c r="Y737" s="3">
        <f>IF(tblOrdenes[[#This Row],[puesto_trabajo]]="","",_xlfn.XLOOKUP(tblOrdenes[[#This Row],[puesto_trabajo]],tblPuestos[codigo],tblPuestos[especialidad],"(sin catálogo)"))</f>
        <v/>
      </c>
      <c r="Z737" s="3">
        <f>IF(tblOrdenes[[#This Row],[cod_actividad]]="","",_xlfn.XLOOKUP(tblOrdenes[[#This Row],[cod_actividad]],tblActividades[codigo],tblActividades[descripcion],"(sin catálogo)"))</f>
        <v/>
      </c>
      <c r="AA737" s="12">
        <f>IF(tblOrdenes[[#This Row],[fecha_inicio]]="","",TODAY()-tblOrdenes[[#This Row],[fecha_inicio]])</f>
        <v/>
      </c>
      <c r="AB7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3">
        <f>IF(tblOrdenes[[#This Row],[backlog_habiles]]="","",IF(tblOrdenes[[#This Row],[backlog_habiles]]&lt;0,"FUTURO",IF(tblOrdenes[[#This Row],[backlog_habiles]]&gt;p_dias_backlog_max,"BACKLOG","MES CORRIENTE")))</f>
        <v/>
      </c>
      <c r="AD737" s="3">
        <f>IF(tblOrdenes[[#This Row],[backlog_habiles]]="",FALSE,AND(tblOrdenes[[#This Row],[backlog_habiles]]&gt;p_dias_backlog_min,tblOrdenes[[#This Row],[backlog_habiles]]&lt;=p_dias_backlog_max))</f>
        <v/>
      </c>
      <c r="AE737" s="6" t="n"/>
      <c r="AF7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0">
        <f>IF(tblOrdenes[[#This Row],[orden]]="","",_xlfn.XLOOKUP(tblOrdenes[[#This Row],[id_operacion]],tblEjecucion[id_operacion],tblEjecucion[precio],0))</f>
        <v/>
      </c>
      <c r="AJ737" s="10">
        <f>IF(tblOrdenes[[#This Row],[orden]]="","",MAX(0,_xlfn.XLOOKUP(tblOrdenes[[#This Row],[id_operacion]],tblEjecucion[id_operacion],tblEjecucion[costo_plan_total],0)-tblOrdenes[[#This Row],[costo_servicio]]))</f>
        <v/>
      </c>
      <c r="AK737" s="10">
        <f>IF(tblOrdenes[[#This Row],[orden]]="","",tblOrdenes[[#This Row],[costo_servicio]]+tblOrdenes[[#This Row],[costo_materiales]])</f>
        <v/>
      </c>
      <c r="AL737" s="6" t="n"/>
      <c r="AM737" s="6" t="n"/>
      <c r="AN737" s="6" t="n"/>
      <c r="AO737" s="3">
        <f>IF(tblOrdenes[[#This Row],[link_checklist]]="","",HYPERLINK(p_ruta_base_checklists&amp;tblOrdenes[[#This Row],[link_checklist]],"abrir"))</f>
        <v/>
      </c>
      <c r="AP737" s="6" t="n"/>
      <c r="AQ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3">
        <f>IF(tblOrdenes[[#This Row],[tipo_ot]]="","",_xlfn.XLOOKUP(tblOrdenes[[#This Row],[tipo_ot]],tblTiposOT[codigo],tblTiposOT[clasificacion],"sin_clasificar"))</f>
        <v/>
      </c>
      <c r="U738" s="3">
        <f>IF(tblOrdenes[[#This Row],[centro_costo]]="","",_xlfn.XLOOKUP(tblOrdenes[[#This Row],[centro_costo]],tblCECO[codigo],tblCECO[linea],"(sin catálogo)"))</f>
        <v/>
      </c>
      <c r="V738" s="3">
        <f>IF(tblOrdenes[[#This Row],[centro_costo]]="","",_xlfn.XLOOKUP(tblOrdenes[[#This Row],[centro_costo]],tblCECO[codigo],tblCECO[area],"(sin catálogo)"))</f>
        <v/>
      </c>
      <c r="W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3">
        <f>IF(tblOrdenes[[#This Row],[centro_costo]]="","",_xlfn.XLOOKUP(tblOrdenes[[#This Row],[centro_costo]],tblCECO[codigo],tblCECO[coordinador],"(sin catálogo)"))</f>
        <v/>
      </c>
      <c r="Y738" s="3">
        <f>IF(tblOrdenes[[#This Row],[puesto_trabajo]]="","",_xlfn.XLOOKUP(tblOrdenes[[#This Row],[puesto_trabajo]],tblPuestos[codigo],tblPuestos[especialidad],"(sin catálogo)"))</f>
        <v/>
      </c>
      <c r="Z738" s="3">
        <f>IF(tblOrdenes[[#This Row],[cod_actividad]]="","",_xlfn.XLOOKUP(tblOrdenes[[#This Row],[cod_actividad]],tblActividades[codigo],tblActividades[descripcion],"(sin catálogo)"))</f>
        <v/>
      </c>
      <c r="AA738" s="12">
        <f>IF(tblOrdenes[[#This Row],[fecha_inicio]]="","",TODAY()-tblOrdenes[[#This Row],[fecha_inicio]])</f>
        <v/>
      </c>
      <c r="AB7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3">
        <f>IF(tblOrdenes[[#This Row],[backlog_habiles]]="","",IF(tblOrdenes[[#This Row],[backlog_habiles]]&lt;0,"FUTURO",IF(tblOrdenes[[#This Row],[backlog_habiles]]&gt;p_dias_backlog_max,"BACKLOG","MES CORRIENTE")))</f>
        <v/>
      </c>
      <c r="AD738" s="3">
        <f>IF(tblOrdenes[[#This Row],[backlog_habiles]]="",FALSE,AND(tblOrdenes[[#This Row],[backlog_habiles]]&gt;p_dias_backlog_min,tblOrdenes[[#This Row],[backlog_habiles]]&lt;=p_dias_backlog_max))</f>
        <v/>
      </c>
      <c r="AE738" s="6" t="n"/>
      <c r="AF7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0">
        <f>IF(tblOrdenes[[#This Row],[orden]]="","",_xlfn.XLOOKUP(tblOrdenes[[#This Row],[id_operacion]],tblEjecucion[id_operacion],tblEjecucion[precio],0))</f>
        <v/>
      </c>
      <c r="AJ738" s="10">
        <f>IF(tblOrdenes[[#This Row],[orden]]="","",MAX(0,_xlfn.XLOOKUP(tblOrdenes[[#This Row],[id_operacion]],tblEjecucion[id_operacion],tblEjecucion[costo_plan_total],0)-tblOrdenes[[#This Row],[costo_servicio]]))</f>
        <v/>
      </c>
      <c r="AK738" s="10">
        <f>IF(tblOrdenes[[#This Row],[orden]]="","",tblOrdenes[[#This Row],[costo_servicio]]+tblOrdenes[[#This Row],[costo_materiales]])</f>
        <v/>
      </c>
      <c r="AL738" s="6" t="n"/>
      <c r="AM738" s="6" t="n"/>
      <c r="AN738" s="6" t="n"/>
      <c r="AO738" s="3">
        <f>IF(tblOrdenes[[#This Row],[link_checklist]]="","",HYPERLINK(p_ruta_base_checklists&amp;tblOrdenes[[#This Row],[link_checklist]],"abrir"))</f>
        <v/>
      </c>
      <c r="AP738" s="6" t="n"/>
      <c r="AQ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3">
        <f>IF(tblOrdenes[[#This Row],[tipo_ot]]="","",_xlfn.XLOOKUP(tblOrdenes[[#This Row],[tipo_ot]],tblTiposOT[codigo],tblTiposOT[clasificacion],"sin_clasificar"))</f>
        <v/>
      </c>
      <c r="U739" s="3">
        <f>IF(tblOrdenes[[#This Row],[centro_costo]]="","",_xlfn.XLOOKUP(tblOrdenes[[#This Row],[centro_costo]],tblCECO[codigo],tblCECO[linea],"(sin catálogo)"))</f>
        <v/>
      </c>
      <c r="V739" s="3">
        <f>IF(tblOrdenes[[#This Row],[centro_costo]]="","",_xlfn.XLOOKUP(tblOrdenes[[#This Row],[centro_costo]],tblCECO[codigo],tblCECO[area],"(sin catálogo)"))</f>
        <v/>
      </c>
      <c r="W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3">
        <f>IF(tblOrdenes[[#This Row],[centro_costo]]="","",_xlfn.XLOOKUP(tblOrdenes[[#This Row],[centro_costo]],tblCECO[codigo],tblCECO[coordinador],"(sin catálogo)"))</f>
        <v/>
      </c>
      <c r="Y739" s="3">
        <f>IF(tblOrdenes[[#This Row],[puesto_trabajo]]="","",_xlfn.XLOOKUP(tblOrdenes[[#This Row],[puesto_trabajo]],tblPuestos[codigo],tblPuestos[especialidad],"(sin catálogo)"))</f>
        <v/>
      </c>
      <c r="Z739" s="3">
        <f>IF(tblOrdenes[[#This Row],[cod_actividad]]="","",_xlfn.XLOOKUP(tblOrdenes[[#This Row],[cod_actividad]],tblActividades[codigo],tblActividades[descripcion],"(sin catálogo)"))</f>
        <v/>
      </c>
      <c r="AA739" s="12">
        <f>IF(tblOrdenes[[#This Row],[fecha_inicio]]="","",TODAY()-tblOrdenes[[#This Row],[fecha_inicio]])</f>
        <v/>
      </c>
      <c r="AB7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3">
        <f>IF(tblOrdenes[[#This Row],[backlog_habiles]]="","",IF(tblOrdenes[[#This Row],[backlog_habiles]]&lt;0,"FUTURO",IF(tblOrdenes[[#This Row],[backlog_habiles]]&gt;p_dias_backlog_max,"BACKLOG","MES CORRIENTE")))</f>
        <v/>
      </c>
      <c r="AD739" s="3">
        <f>IF(tblOrdenes[[#This Row],[backlog_habiles]]="",FALSE,AND(tblOrdenes[[#This Row],[backlog_habiles]]&gt;p_dias_backlog_min,tblOrdenes[[#This Row],[backlog_habiles]]&lt;=p_dias_backlog_max))</f>
        <v/>
      </c>
      <c r="AE739" s="6" t="n"/>
      <c r="AF7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0">
        <f>IF(tblOrdenes[[#This Row],[orden]]="","",_xlfn.XLOOKUP(tblOrdenes[[#This Row],[id_operacion]],tblEjecucion[id_operacion],tblEjecucion[precio],0))</f>
        <v/>
      </c>
      <c r="AJ739" s="10">
        <f>IF(tblOrdenes[[#This Row],[orden]]="","",MAX(0,_xlfn.XLOOKUP(tblOrdenes[[#This Row],[id_operacion]],tblEjecucion[id_operacion],tblEjecucion[costo_plan_total],0)-tblOrdenes[[#This Row],[costo_servicio]]))</f>
        <v/>
      </c>
      <c r="AK739" s="10">
        <f>IF(tblOrdenes[[#This Row],[orden]]="","",tblOrdenes[[#This Row],[costo_servicio]]+tblOrdenes[[#This Row],[costo_materiales]])</f>
        <v/>
      </c>
      <c r="AL739" s="6" t="n"/>
      <c r="AM739" s="6" t="n"/>
      <c r="AN739" s="6" t="n"/>
      <c r="AO739" s="3">
        <f>IF(tblOrdenes[[#This Row],[link_checklist]]="","",HYPERLINK(p_ruta_base_checklists&amp;tblOrdenes[[#This Row],[link_checklist]],"abrir"))</f>
        <v/>
      </c>
      <c r="AP739" s="6" t="n"/>
      <c r="AQ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3">
        <f>IF(tblOrdenes[[#This Row],[tipo_ot]]="","",_xlfn.XLOOKUP(tblOrdenes[[#This Row],[tipo_ot]],tblTiposOT[codigo],tblTiposOT[clasificacion],"sin_clasificar"))</f>
        <v/>
      </c>
      <c r="U740" s="3">
        <f>IF(tblOrdenes[[#This Row],[centro_costo]]="","",_xlfn.XLOOKUP(tblOrdenes[[#This Row],[centro_costo]],tblCECO[codigo],tblCECO[linea],"(sin catálogo)"))</f>
        <v/>
      </c>
      <c r="V740" s="3">
        <f>IF(tblOrdenes[[#This Row],[centro_costo]]="","",_xlfn.XLOOKUP(tblOrdenes[[#This Row],[centro_costo]],tblCECO[codigo],tblCECO[area],"(sin catálogo)"))</f>
        <v/>
      </c>
      <c r="W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3">
        <f>IF(tblOrdenes[[#This Row],[centro_costo]]="","",_xlfn.XLOOKUP(tblOrdenes[[#This Row],[centro_costo]],tblCECO[codigo],tblCECO[coordinador],"(sin catálogo)"))</f>
        <v/>
      </c>
      <c r="Y740" s="3">
        <f>IF(tblOrdenes[[#This Row],[puesto_trabajo]]="","",_xlfn.XLOOKUP(tblOrdenes[[#This Row],[puesto_trabajo]],tblPuestos[codigo],tblPuestos[especialidad],"(sin catálogo)"))</f>
        <v/>
      </c>
      <c r="Z740" s="3">
        <f>IF(tblOrdenes[[#This Row],[cod_actividad]]="","",_xlfn.XLOOKUP(tblOrdenes[[#This Row],[cod_actividad]],tblActividades[codigo],tblActividades[descripcion],"(sin catálogo)"))</f>
        <v/>
      </c>
      <c r="AA740" s="12">
        <f>IF(tblOrdenes[[#This Row],[fecha_inicio]]="","",TODAY()-tblOrdenes[[#This Row],[fecha_inicio]])</f>
        <v/>
      </c>
      <c r="AB7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3">
        <f>IF(tblOrdenes[[#This Row],[backlog_habiles]]="","",IF(tblOrdenes[[#This Row],[backlog_habiles]]&lt;0,"FUTURO",IF(tblOrdenes[[#This Row],[backlog_habiles]]&gt;p_dias_backlog_max,"BACKLOG","MES CORRIENTE")))</f>
        <v/>
      </c>
      <c r="AD740" s="3">
        <f>IF(tblOrdenes[[#This Row],[backlog_habiles]]="",FALSE,AND(tblOrdenes[[#This Row],[backlog_habiles]]&gt;p_dias_backlog_min,tblOrdenes[[#This Row],[backlog_habiles]]&lt;=p_dias_backlog_max))</f>
        <v/>
      </c>
      <c r="AE740" s="6" t="n"/>
      <c r="AF7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0">
        <f>IF(tblOrdenes[[#This Row],[orden]]="","",_xlfn.XLOOKUP(tblOrdenes[[#This Row],[id_operacion]],tblEjecucion[id_operacion],tblEjecucion[precio],0))</f>
        <v/>
      </c>
      <c r="AJ740" s="10">
        <f>IF(tblOrdenes[[#This Row],[orden]]="","",MAX(0,_xlfn.XLOOKUP(tblOrdenes[[#This Row],[id_operacion]],tblEjecucion[id_operacion],tblEjecucion[costo_plan_total],0)-tblOrdenes[[#This Row],[costo_servicio]]))</f>
        <v/>
      </c>
      <c r="AK740" s="10">
        <f>IF(tblOrdenes[[#This Row],[orden]]="","",tblOrdenes[[#This Row],[costo_servicio]]+tblOrdenes[[#This Row],[costo_materiales]])</f>
        <v/>
      </c>
      <c r="AL740" s="6" t="n"/>
      <c r="AM740" s="6" t="n"/>
      <c r="AN740" s="6" t="n"/>
      <c r="AO740" s="3">
        <f>IF(tblOrdenes[[#This Row],[link_checklist]]="","",HYPERLINK(p_ruta_base_checklists&amp;tblOrdenes[[#This Row],[link_checklist]],"abrir"))</f>
        <v/>
      </c>
      <c r="AP740" s="6" t="n"/>
      <c r="AQ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3">
        <f>IF(tblOrdenes[[#This Row],[tipo_ot]]="","",_xlfn.XLOOKUP(tblOrdenes[[#This Row],[tipo_ot]],tblTiposOT[codigo],tblTiposOT[clasificacion],"sin_clasificar"))</f>
        <v/>
      </c>
      <c r="U741" s="3">
        <f>IF(tblOrdenes[[#This Row],[centro_costo]]="","",_xlfn.XLOOKUP(tblOrdenes[[#This Row],[centro_costo]],tblCECO[codigo],tblCECO[linea],"(sin catálogo)"))</f>
        <v/>
      </c>
      <c r="V741" s="3">
        <f>IF(tblOrdenes[[#This Row],[centro_costo]]="","",_xlfn.XLOOKUP(tblOrdenes[[#This Row],[centro_costo]],tblCECO[codigo],tblCECO[area],"(sin catálogo)"))</f>
        <v/>
      </c>
      <c r="W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3">
        <f>IF(tblOrdenes[[#This Row],[centro_costo]]="","",_xlfn.XLOOKUP(tblOrdenes[[#This Row],[centro_costo]],tblCECO[codigo],tblCECO[coordinador],"(sin catálogo)"))</f>
        <v/>
      </c>
      <c r="Y741" s="3">
        <f>IF(tblOrdenes[[#This Row],[puesto_trabajo]]="","",_xlfn.XLOOKUP(tblOrdenes[[#This Row],[puesto_trabajo]],tblPuestos[codigo],tblPuestos[especialidad],"(sin catálogo)"))</f>
        <v/>
      </c>
      <c r="Z741" s="3">
        <f>IF(tblOrdenes[[#This Row],[cod_actividad]]="","",_xlfn.XLOOKUP(tblOrdenes[[#This Row],[cod_actividad]],tblActividades[codigo],tblActividades[descripcion],"(sin catálogo)"))</f>
        <v/>
      </c>
      <c r="AA741" s="12">
        <f>IF(tblOrdenes[[#This Row],[fecha_inicio]]="","",TODAY()-tblOrdenes[[#This Row],[fecha_inicio]])</f>
        <v/>
      </c>
      <c r="AB7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3">
        <f>IF(tblOrdenes[[#This Row],[backlog_habiles]]="","",IF(tblOrdenes[[#This Row],[backlog_habiles]]&lt;0,"FUTURO",IF(tblOrdenes[[#This Row],[backlog_habiles]]&gt;p_dias_backlog_max,"BACKLOG","MES CORRIENTE")))</f>
        <v/>
      </c>
      <c r="AD741" s="3">
        <f>IF(tblOrdenes[[#This Row],[backlog_habiles]]="",FALSE,AND(tblOrdenes[[#This Row],[backlog_habiles]]&gt;p_dias_backlog_min,tblOrdenes[[#This Row],[backlog_habiles]]&lt;=p_dias_backlog_max))</f>
        <v/>
      </c>
      <c r="AE741" s="6" t="n"/>
      <c r="AF7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0">
        <f>IF(tblOrdenes[[#This Row],[orden]]="","",_xlfn.XLOOKUP(tblOrdenes[[#This Row],[id_operacion]],tblEjecucion[id_operacion],tblEjecucion[precio],0))</f>
        <v/>
      </c>
      <c r="AJ741" s="10">
        <f>IF(tblOrdenes[[#This Row],[orden]]="","",MAX(0,_xlfn.XLOOKUP(tblOrdenes[[#This Row],[id_operacion]],tblEjecucion[id_operacion],tblEjecucion[costo_plan_total],0)-tblOrdenes[[#This Row],[costo_servicio]]))</f>
        <v/>
      </c>
      <c r="AK741" s="10">
        <f>IF(tblOrdenes[[#This Row],[orden]]="","",tblOrdenes[[#This Row],[costo_servicio]]+tblOrdenes[[#This Row],[costo_materiales]])</f>
        <v/>
      </c>
      <c r="AL741" s="6" t="n"/>
      <c r="AM741" s="6" t="n"/>
      <c r="AN741" s="6" t="n"/>
      <c r="AO741" s="3">
        <f>IF(tblOrdenes[[#This Row],[link_checklist]]="","",HYPERLINK(p_ruta_base_checklists&amp;tblOrdenes[[#This Row],[link_checklist]],"abrir"))</f>
        <v/>
      </c>
      <c r="AP741" s="6" t="n"/>
      <c r="AQ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3">
        <f>IF(tblOrdenes[[#This Row],[tipo_ot]]="","",_xlfn.XLOOKUP(tblOrdenes[[#This Row],[tipo_ot]],tblTiposOT[codigo],tblTiposOT[clasificacion],"sin_clasificar"))</f>
        <v/>
      </c>
      <c r="U742" s="3">
        <f>IF(tblOrdenes[[#This Row],[centro_costo]]="","",_xlfn.XLOOKUP(tblOrdenes[[#This Row],[centro_costo]],tblCECO[codigo],tblCECO[linea],"(sin catálogo)"))</f>
        <v/>
      </c>
      <c r="V742" s="3">
        <f>IF(tblOrdenes[[#This Row],[centro_costo]]="","",_xlfn.XLOOKUP(tblOrdenes[[#This Row],[centro_costo]],tblCECO[codigo],tblCECO[area],"(sin catálogo)"))</f>
        <v/>
      </c>
      <c r="W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3">
        <f>IF(tblOrdenes[[#This Row],[centro_costo]]="","",_xlfn.XLOOKUP(tblOrdenes[[#This Row],[centro_costo]],tblCECO[codigo],tblCECO[coordinador],"(sin catálogo)"))</f>
        <v/>
      </c>
      <c r="Y742" s="3">
        <f>IF(tblOrdenes[[#This Row],[puesto_trabajo]]="","",_xlfn.XLOOKUP(tblOrdenes[[#This Row],[puesto_trabajo]],tblPuestos[codigo],tblPuestos[especialidad],"(sin catálogo)"))</f>
        <v/>
      </c>
      <c r="Z742" s="3">
        <f>IF(tblOrdenes[[#This Row],[cod_actividad]]="","",_xlfn.XLOOKUP(tblOrdenes[[#This Row],[cod_actividad]],tblActividades[codigo],tblActividades[descripcion],"(sin catálogo)"))</f>
        <v/>
      </c>
      <c r="AA742" s="12">
        <f>IF(tblOrdenes[[#This Row],[fecha_inicio]]="","",TODAY()-tblOrdenes[[#This Row],[fecha_inicio]])</f>
        <v/>
      </c>
      <c r="AB7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3">
        <f>IF(tblOrdenes[[#This Row],[backlog_habiles]]="","",IF(tblOrdenes[[#This Row],[backlog_habiles]]&lt;0,"FUTURO",IF(tblOrdenes[[#This Row],[backlog_habiles]]&gt;p_dias_backlog_max,"BACKLOG","MES CORRIENTE")))</f>
        <v/>
      </c>
      <c r="AD742" s="3">
        <f>IF(tblOrdenes[[#This Row],[backlog_habiles]]="",FALSE,AND(tblOrdenes[[#This Row],[backlog_habiles]]&gt;p_dias_backlog_min,tblOrdenes[[#This Row],[backlog_habiles]]&lt;=p_dias_backlog_max))</f>
        <v/>
      </c>
      <c r="AE742" s="6" t="n"/>
      <c r="AF7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0">
        <f>IF(tblOrdenes[[#This Row],[orden]]="","",_xlfn.XLOOKUP(tblOrdenes[[#This Row],[id_operacion]],tblEjecucion[id_operacion],tblEjecucion[precio],0))</f>
        <v/>
      </c>
      <c r="AJ742" s="10">
        <f>IF(tblOrdenes[[#This Row],[orden]]="","",MAX(0,_xlfn.XLOOKUP(tblOrdenes[[#This Row],[id_operacion]],tblEjecucion[id_operacion],tblEjecucion[costo_plan_total],0)-tblOrdenes[[#This Row],[costo_servicio]]))</f>
        <v/>
      </c>
      <c r="AK742" s="10">
        <f>IF(tblOrdenes[[#This Row],[orden]]="","",tblOrdenes[[#This Row],[costo_servicio]]+tblOrdenes[[#This Row],[costo_materiales]])</f>
        <v/>
      </c>
      <c r="AL742" s="6" t="n"/>
      <c r="AM742" s="6" t="n"/>
      <c r="AN742" s="6" t="n"/>
      <c r="AO742" s="3">
        <f>IF(tblOrdenes[[#This Row],[link_checklist]]="","",HYPERLINK(p_ruta_base_checklists&amp;tblOrdenes[[#This Row],[link_checklist]],"abrir"))</f>
        <v/>
      </c>
      <c r="AP742" s="6" t="n"/>
      <c r="AQ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3">
        <f>IF(tblOrdenes[[#This Row],[tipo_ot]]="","",_xlfn.XLOOKUP(tblOrdenes[[#This Row],[tipo_ot]],tblTiposOT[codigo],tblTiposOT[clasificacion],"sin_clasificar"))</f>
        <v/>
      </c>
      <c r="U743" s="3">
        <f>IF(tblOrdenes[[#This Row],[centro_costo]]="","",_xlfn.XLOOKUP(tblOrdenes[[#This Row],[centro_costo]],tblCECO[codigo],tblCECO[linea],"(sin catálogo)"))</f>
        <v/>
      </c>
      <c r="V743" s="3">
        <f>IF(tblOrdenes[[#This Row],[centro_costo]]="","",_xlfn.XLOOKUP(tblOrdenes[[#This Row],[centro_costo]],tblCECO[codigo],tblCECO[area],"(sin catálogo)"))</f>
        <v/>
      </c>
      <c r="W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3">
        <f>IF(tblOrdenes[[#This Row],[centro_costo]]="","",_xlfn.XLOOKUP(tblOrdenes[[#This Row],[centro_costo]],tblCECO[codigo],tblCECO[coordinador],"(sin catálogo)"))</f>
        <v/>
      </c>
      <c r="Y743" s="3">
        <f>IF(tblOrdenes[[#This Row],[puesto_trabajo]]="","",_xlfn.XLOOKUP(tblOrdenes[[#This Row],[puesto_trabajo]],tblPuestos[codigo],tblPuestos[especialidad],"(sin catálogo)"))</f>
        <v/>
      </c>
      <c r="Z743" s="3">
        <f>IF(tblOrdenes[[#This Row],[cod_actividad]]="","",_xlfn.XLOOKUP(tblOrdenes[[#This Row],[cod_actividad]],tblActividades[codigo],tblActividades[descripcion],"(sin catálogo)"))</f>
        <v/>
      </c>
      <c r="AA743" s="12">
        <f>IF(tblOrdenes[[#This Row],[fecha_inicio]]="","",TODAY()-tblOrdenes[[#This Row],[fecha_inicio]])</f>
        <v/>
      </c>
      <c r="AB7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3">
        <f>IF(tblOrdenes[[#This Row],[backlog_habiles]]="","",IF(tblOrdenes[[#This Row],[backlog_habiles]]&lt;0,"FUTURO",IF(tblOrdenes[[#This Row],[backlog_habiles]]&gt;p_dias_backlog_max,"BACKLOG","MES CORRIENTE")))</f>
        <v/>
      </c>
      <c r="AD743" s="3">
        <f>IF(tblOrdenes[[#This Row],[backlog_habiles]]="",FALSE,AND(tblOrdenes[[#This Row],[backlog_habiles]]&gt;p_dias_backlog_min,tblOrdenes[[#This Row],[backlog_habiles]]&lt;=p_dias_backlog_max))</f>
        <v/>
      </c>
      <c r="AE743" s="6" t="n"/>
      <c r="AF7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0">
        <f>IF(tblOrdenes[[#This Row],[orden]]="","",_xlfn.XLOOKUP(tblOrdenes[[#This Row],[id_operacion]],tblEjecucion[id_operacion],tblEjecucion[precio],0))</f>
        <v/>
      </c>
      <c r="AJ743" s="10">
        <f>IF(tblOrdenes[[#This Row],[orden]]="","",MAX(0,_xlfn.XLOOKUP(tblOrdenes[[#This Row],[id_operacion]],tblEjecucion[id_operacion],tblEjecucion[costo_plan_total],0)-tblOrdenes[[#This Row],[costo_servicio]]))</f>
        <v/>
      </c>
      <c r="AK743" s="10">
        <f>IF(tblOrdenes[[#This Row],[orden]]="","",tblOrdenes[[#This Row],[costo_servicio]]+tblOrdenes[[#This Row],[costo_materiales]])</f>
        <v/>
      </c>
      <c r="AL743" s="6" t="n"/>
      <c r="AM743" s="6" t="n"/>
      <c r="AN743" s="6" t="n"/>
      <c r="AO743" s="3">
        <f>IF(tblOrdenes[[#This Row],[link_checklist]]="","",HYPERLINK(p_ruta_base_checklists&amp;tblOrdenes[[#This Row],[link_checklist]],"abrir"))</f>
        <v/>
      </c>
      <c r="AP743" s="6" t="n"/>
      <c r="AQ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3">
        <f>IF(tblOrdenes[[#This Row],[tipo_ot]]="","",_xlfn.XLOOKUP(tblOrdenes[[#This Row],[tipo_ot]],tblTiposOT[codigo],tblTiposOT[clasificacion],"sin_clasificar"))</f>
        <v/>
      </c>
      <c r="U744" s="3">
        <f>IF(tblOrdenes[[#This Row],[centro_costo]]="","",_xlfn.XLOOKUP(tblOrdenes[[#This Row],[centro_costo]],tblCECO[codigo],tblCECO[linea],"(sin catálogo)"))</f>
        <v/>
      </c>
      <c r="V744" s="3">
        <f>IF(tblOrdenes[[#This Row],[centro_costo]]="","",_xlfn.XLOOKUP(tblOrdenes[[#This Row],[centro_costo]],tblCECO[codigo],tblCECO[area],"(sin catálogo)"))</f>
        <v/>
      </c>
      <c r="W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3">
        <f>IF(tblOrdenes[[#This Row],[centro_costo]]="","",_xlfn.XLOOKUP(tblOrdenes[[#This Row],[centro_costo]],tblCECO[codigo],tblCECO[coordinador],"(sin catálogo)"))</f>
        <v/>
      </c>
      <c r="Y744" s="3">
        <f>IF(tblOrdenes[[#This Row],[puesto_trabajo]]="","",_xlfn.XLOOKUP(tblOrdenes[[#This Row],[puesto_trabajo]],tblPuestos[codigo],tblPuestos[especialidad],"(sin catálogo)"))</f>
        <v/>
      </c>
      <c r="Z744" s="3">
        <f>IF(tblOrdenes[[#This Row],[cod_actividad]]="","",_xlfn.XLOOKUP(tblOrdenes[[#This Row],[cod_actividad]],tblActividades[codigo],tblActividades[descripcion],"(sin catálogo)"))</f>
        <v/>
      </c>
      <c r="AA744" s="12">
        <f>IF(tblOrdenes[[#This Row],[fecha_inicio]]="","",TODAY()-tblOrdenes[[#This Row],[fecha_inicio]])</f>
        <v/>
      </c>
      <c r="AB7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3">
        <f>IF(tblOrdenes[[#This Row],[backlog_habiles]]="","",IF(tblOrdenes[[#This Row],[backlog_habiles]]&lt;0,"FUTURO",IF(tblOrdenes[[#This Row],[backlog_habiles]]&gt;p_dias_backlog_max,"BACKLOG","MES CORRIENTE")))</f>
        <v/>
      </c>
      <c r="AD744" s="3">
        <f>IF(tblOrdenes[[#This Row],[backlog_habiles]]="",FALSE,AND(tblOrdenes[[#This Row],[backlog_habiles]]&gt;p_dias_backlog_min,tblOrdenes[[#This Row],[backlog_habiles]]&lt;=p_dias_backlog_max))</f>
        <v/>
      </c>
      <c r="AE744" s="6" t="n"/>
      <c r="AF7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0">
        <f>IF(tblOrdenes[[#This Row],[orden]]="","",_xlfn.XLOOKUP(tblOrdenes[[#This Row],[id_operacion]],tblEjecucion[id_operacion],tblEjecucion[precio],0))</f>
        <v/>
      </c>
      <c r="AJ744" s="10">
        <f>IF(tblOrdenes[[#This Row],[orden]]="","",MAX(0,_xlfn.XLOOKUP(tblOrdenes[[#This Row],[id_operacion]],tblEjecucion[id_operacion],tblEjecucion[costo_plan_total],0)-tblOrdenes[[#This Row],[costo_servicio]]))</f>
        <v/>
      </c>
      <c r="AK744" s="10">
        <f>IF(tblOrdenes[[#This Row],[orden]]="","",tblOrdenes[[#This Row],[costo_servicio]]+tblOrdenes[[#This Row],[costo_materiales]])</f>
        <v/>
      </c>
      <c r="AL744" s="6" t="n"/>
      <c r="AM744" s="6" t="n"/>
      <c r="AN744" s="6" t="n"/>
      <c r="AO744" s="3">
        <f>IF(tblOrdenes[[#This Row],[link_checklist]]="","",HYPERLINK(p_ruta_base_checklists&amp;tblOrdenes[[#This Row],[link_checklist]],"abrir"))</f>
        <v/>
      </c>
      <c r="AP744" s="6" t="n"/>
      <c r="AQ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3">
        <f>IF(tblOrdenes[[#This Row],[tipo_ot]]="","",_xlfn.XLOOKUP(tblOrdenes[[#This Row],[tipo_ot]],tblTiposOT[codigo],tblTiposOT[clasificacion],"sin_clasificar"))</f>
        <v/>
      </c>
      <c r="U745" s="3">
        <f>IF(tblOrdenes[[#This Row],[centro_costo]]="","",_xlfn.XLOOKUP(tblOrdenes[[#This Row],[centro_costo]],tblCECO[codigo],tblCECO[linea],"(sin catálogo)"))</f>
        <v/>
      </c>
      <c r="V745" s="3">
        <f>IF(tblOrdenes[[#This Row],[centro_costo]]="","",_xlfn.XLOOKUP(tblOrdenes[[#This Row],[centro_costo]],tblCECO[codigo],tblCECO[area],"(sin catálogo)"))</f>
        <v/>
      </c>
      <c r="W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3">
        <f>IF(tblOrdenes[[#This Row],[centro_costo]]="","",_xlfn.XLOOKUP(tblOrdenes[[#This Row],[centro_costo]],tblCECO[codigo],tblCECO[coordinador],"(sin catálogo)"))</f>
        <v/>
      </c>
      <c r="Y745" s="3">
        <f>IF(tblOrdenes[[#This Row],[puesto_trabajo]]="","",_xlfn.XLOOKUP(tblOrdenes[[#This Row],[puesto_trabajo]],tblPuestos[codigo],tblPuestos[especialidad],"(sin catálogo)"))</f>
        <v/>
      </c>
      <c r="Z745" s="3">
        <f>IF(tblOrdenes[[#This Row],[cod_actividad]]="","",_xlfn.XLOOKUP(tblOrdenes[[#This Row],[cod_actividad]],tblActividades[codigo],tblActividades[descripcion],"(sin catálogo)"))</f>
        <v/>
      </c>
      <c r="AA745" s="12">
        <f>IF(tblOrdenes[[#This Row],[fecha_inicio]]="","",TODAY()-tblOrdenes[[#This Row],[fecha_inicio]])</f>
        <v/>
      </c>
      <c r="AB7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3">
        <f>IF(tblOrdenes[[#This Row],[backlog_habiles]]="","",IF(tblOrdenes[[#This Row],[backlog_habiles]]&lt;0,"FUTURO",IF(tblOrdenes[[#This Row],[backlog_habiles]]&gt;p_dias_backlog_max,"BACKLOG","MES CORRIENTE")))</f>
        <v/>
      </c>
      <c r="AD745" s="3">
        <f>IF(tblOrdenes[[#This Row],[backlog_habiles]]="",FALSE,AND(tblOrdenes[[#This Row],[backlog_habiles]]&gt;p_dias_backlog_min,tblOrdenes[[#This Row],[backlog_habiles]]&lt;=p_dias_backlog_max))</f>
        <v/>
      </c>
      <c r="AE745" s="6" t="n"/>
      <c r="AF7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0">
        <f>IF(tblOrdenes[[#This Row],[orden]]="","",_xlfn.XLOOKUP(tblOrdenes[[#This Row],[id_operacion]],tblEjecucion[id_operacion],tblEjecucion[precio],0))</f>
        <v/>
      </c>
      <c r="AJ745" s="10">
        <f>IF(tblOrdenes[[#This Row],[orden]]="","",MAX(0,_xlfn.XLOOKUP(tblOrdenes[[#This Row],[id_operacion]],tblEjecucion[id_operacion],tblEjecucion[costo_plan_total],0)-tblOrdenes[[#This Row],[costo_servicio]]))</f>
        <v/>
      </c>
      <c r="AK745" s="10">
        <f>IF(tblOrdenes[[#This Row],[orden]]="","",tblOrdenes[[#This Row],[costo_servicio]]+tblOrdenes[[#This Row],[costo_materiales]])</f>
        <v/>
      </c>
      <c r="AL745" s="6" t="n"/>
      <c r="AM745" s="6" t="n"/>
      <c r="AN745" s="6" t="n"/>
      <c r="AO745" s="3">
        <f>IF(tblOrdenes[[#This Row],[link_checklist]]="","",HYPERLINK(p_ruta_base_checklists&amp;tblOrdenes[[#This Row],[link_checklist]],"abrir"))</f>
        <v/>
      </c>
      <c r="AP745" s="6" t="n"/>
      <c r="AQ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3">
        <f>IF(tblOrdenes[[#This Row],[tipo_ot]]="","",_xlfn.XLOOKUP(tblOrdenes[[#This Row],[tipo_ot]],tblTiposOT[codigo],tblTiposOT[clasificacion],"sin_clasificar"))</f>
        <v/>
      </c>
      <c r="U746" s="3">
        <f>IF(tblOrdenes[[#This Row],[centro_costo]]="","",_xlfn.XLOOKUP(tblOrdenes[[#This Row],[centro_costo]],tblCECO[codigo],tblCECO[linea],"(sin catálogo)"))</f>
        <v/>
      </c>
      <c r="V746" s="3">
        <f>IF(tblOrdenes[[#This Row],[centro_costo]]="","",_xlfn.XLOOKUP(tblOrdenes[[#This Row],[centro_costo]],tblCECO[codigo],tblCECO[area],"(sin catálogo)"))</f>
        <v/>
      </c>
      <c r="W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3">
        <f>IF(tblOrdenes[[#This Row],[centro_costo]]="","",_xlfn.XLOOKUP(tblOrdenes[[#This Row],[centro_costo]],tblCECO[codigo],tblCECO[coordinador],"(sin catálogo)"))</f>
        <v/>
      </c>
      <c r="Y746" s="3">
        <f>IF(tblOrdenes[[#This Row],[puesto_trabajo]]="","",_xlfn.XLOOKUP(tblOrdenes[[#This Row],[puesto_trabajo]],tblPuestos[codigo],tblPuestos[especialidad],"(sin catálogo)"))</f>
        <v/>
      </c>
      <c r="Z746" s="3">
        <f>IF(tblOrdenes[[#This Row],[cod_actividad]]="","",_xlfn.XLOOKUP(tblOrdenes[[#This Row],[cod_actividad]],tblActividades[codigo],tblActividades[descripcion],"(sin catálogo)"))</f>
        <v/>
      </c>
      <c r="AA746" s="12">
        <f>IF(tblOrdenes[[#This Row],[fecha_inicio]]="","",TODAY()-tblOrdenes[[#This Row],[fecha_inicio]])</f>
        <v/>
      </c>
      <c r="AB7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3">
        <f>IF(tblOrdenes[[#This Row],[backlog_habiles]]="","",IF(tblOrdenes[[#This Row],[backlog_habiles]]&lt;0,"FUTURO",IF(tblOrdenes[[#This Row],[backlog_habiles]]&gt;p_dias_backlog_max,"BACKLOG","MES CORRIENTE")))</f>
        <v/>
      </c>
      <c r="AD746" s="3">
        <f>IF(tblOrdenes[[#This Row],[backlog_habiles]]="",FALSE,AND(tblOrdenes[[#This Row],[backlog_habiles]]&gt;p_dias_backlog_min,tblOrdenes[[#This Row],[backlog_habiles]]&lt;=p_dias_backlog_max))</f>
        <v/>
      </c>
      <c r="AE746" s="6" t="n"/>
      <c r="AF7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0">
        <f>IF(tblOrdenes[[#This Row],[orden]]="","",_xlfn.XLOOKUP(tblOrdenes[[#This Row],[id_operacion]],tblEjecucion[id_operacion],tblEjecucion[precio],0))</f>
        <v/>
      </c>
      <c r="AJ746" s="10">
        <f>IF(tblOrdenes[[#This Row],[orden]]="","",MAX(0,_xlfn.XLOOKUP(tblOrdenes[[#This Row],[id_operacion]],tblEjecucion[id_operacion],tblEjecucion[costo_plan_total],0)-tblOrdenes[[#This Row],[costo_servicio]]))</f>
        <v/>
      </c>
      <c r="AK746" s="10">
        <f>IF(tblOrdenes[[#This Row],[orden]]="","",tblOrdenes[[#This Row],[costo_servicio]]+tblOrdenes[[#This Row],[costo_materiales]])</f>
        <v/>
      </c>
      <c r="AL746" s="6" t="n"/>
      <c r="AM746" s="6" t="n"/>
      <c r="AN746" s="6" t="n"/>
      <c r="AO746" s="3">
        <f>IF(tblOrdenes[[#This Row],[link_checklist]]="","",HYPERLINK(p_ruta_base_checklists&amp;tblOrdenes[[#This Row],[link_checklist]],"abrir"))</f>
        <v/>
      </c>
      <c r="AP746" s="6" t="n"/>
      <c r="AQ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3">
        <f>IF(tblOrdenes[[#This Row],[tipo_ot]]="","",_xlfn.XLOOKUP(tblOrdenes[[#This Row],[tipo_ot]],tblTiposOT[codigo],tblTiposOT[clasificacion],"sin_clasificar"))</f>
        <v/>
      </c>
      <c r="U747" s="3">
        <f>IF(tblOrdenes[[#This Row],[centro_costo]]="","",_xlfn.XLOOKUP(tblOrdenes[[#This Row],[centro_costo]],tblCECO[codigo],tblCECO[linea],"(sin catálogo)"))</f>
        <v/>
      </c>
      <c r="V747" s="3">
        <f>IF(tblOrdenes[[#This Row],[centro_costo]]="","",_xlfn.XLOOKUP(tblOrdenes[[#This Row],[centro_costo]],tblCECO[codigo],tblCECO[area],"(sin catálogo)"))</f>
        <v/>
      </c>
      <c r="W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3">
        <f>IF(tblOrdenes[[#This Row],[centro_costo]]="","",_xlfn.XLOOKUP(tblOrdenes[[#This Row],[centro_costo]],tblCECO[codigo],tblCECO[coordinador],"(sin catálogo)"))</f>
        <v/>
      </c>
      <c r="Y747" s="3">
        <f>IF(tblOrdenes[[#This Row],[puesto_trabajo]]="","",_xlfn.XLOOKUP(tblOrdenes[[#This Row],[puesto_trabajo]],tblPuestos[codigo],tblPuestos[especialidad],"(sin catálogo)"))</f>
        <v/>
      </c>
      <c r="Z747" s="3">
        <f>IF(tblOrdenes[[#This Row],[cod_actividad]]="","",_xlfn.XLOOKUP(tblOrdenes[[#This Row],[cod_actividad]],tblActividades[codigo],tblActividades[descripcion],"(sin catálogo)"))</f>
        <v/>
      </c>
      <c r="AA747" s="12">
        <f>IF(tblOrdenes[[#This Row],[fecha_inicio]]="","",TODAY()-tblOrdenes[[#This Row],[fecha_inicio]])</f>
        <v/>
      </c>
      <c r="AB7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3">
        <f>IF(tblOrdenes[[#This Row],[backlog_habiles]]="","",IF(tblOrdenes[[#This Row],[backlog_habiles]]&lt;0,"FUTURO",IF(tblOrdenes[[#This Row],[backlog_habiles]]&gt;p_dias_backlog_max,"BACKLOG","MES CORRIENTE")))</f>
        <v/>
      </c>
      <c r="AD747" s="3">
        <f>IF(tblOrdenes[[#This Row],[backlog_habiles]]="",FALSE,AND(tblOrdenes[[#This Row],[backlog_habiles]]&gt;p_dias_backlog_min,tblOrdenes[[#This Row],[backlog_habiles]]&lt;=p_dias_backlog_max))</f>
        <v/>
      </c>
      <c r="AE747" s="6" t="n"/>
      <c r="AF7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0">
        <f>IF(tblOrdenes[[#This Row],[orden]]="","",_xlfn.XLOOKUP(tblOrdenes[[#This Row],[id_operacion]],tblEjecucion[id_operacion],tblEjecucion[precio],0))</f>
        <v/>
      </c>
      <c r="AJ747" s="10">
        <f>IF(tblOrdenes[[#This Row],[orden]]="","",MAX(0,_xlfn.XLOOKUP(tblOrdenes[[#This Row],[id_operacion]],tblEjecucion[id_operacion],tblEjecucion[costo_plan_total],0)-tblOrdenes[[#This Row],[costo_servicio]]))</f>
        <v/>
      </c>
      <c r="AK747" s="10">
        <f>IF(tblOrdenes[[#This Row],[orden]]="","",tblOrdenes[[#This Row],[costo_servicio]]+tblOrdenes[[#This Row],[costo_materiales]])</f>
        <v/>
      </c>
      <c r="AL747" s="6" t="n"/>
      <c r="AM747" s="6" t="n"/>
      <c r="AN747" s="6" t="n"/>
      <c r="AO747" s="3">
        <f>IF(tblOrdenes[[#This Row],[link_checklist]]="","",HYPERLINK(p_ruta_base_checklists&amp;tblOrdenes[[#This Row],[link_checklist]],"abrir"))</f>
        <v/>
      </c>
      <c r="AP747" s="6" t="n"/>
      <c r="AQ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3">
        <f>IF(tblOrdenes[[#This Row],[tipo_ot]]="","",_xlfn.XLOOKUP(tblOrdenes[[#This Row],[tipo_ot]],tblTiposOT[codigo],tblTiposOT[clasificacion],"sin_clasificar"))</f>
        <v/>
      </c>
      <c r="U748" s="3">
        <f>IF(tblOrdenes[[#This Row],[centro_costo]]="","",_xlfn.XLOOKUP(tblOrdenes[[#This Row],[centro_costo]],tblCECO[codigo],tblCECO[linea],"(sin catálogo)"))</f>
        <v/>
      </c>
      <c r="V748" s="3">
        <f>IF(tblOrdenes[[#This Row],[centro_costo]]="","",_xlfn.XLOOKUP(tblOrdenes[[#This Row],[centro_costo]],tblCECO[codigo],tblCECO[area],"(sin catálogo)"))</f>
        <v/>
      </c>
      <c r="W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3">
        <f>IF(tblOrdenes[[#This Row],[centro_costo]]="","",_xlfn.XLOOKUP(tblOrdenes[[#This Row],[centro_costo]],tblCECO[codigo],tblCECO[coordinador],"(sin catálogo)"))</f>
        <v/>
      </c>
      <c r="Y748" s="3">
        <f>IF(tblOrdenes[[#This Row],[puesto_trabajo]]="","",_xlfn.XLOOKUP(tblOrdenes[[#This Row],[puesto_trabajo]],tblPuestos[codigo],tblPuestos[especialidad],"(sin catálogo)"))</f>
        <v/>
      </c>
      <c r="Z748" s="3">
        <f>IF(tblOrdenes[[#This Row],[cod_actividad]]="","",_xlfn.XLOOKUP(tblOrdenes[[#This Row],[cod_actividad]],tblActividades[codigo],tblActividades[descripcion],"(sin catálogo)"))</f>
        <v/>
      </c>
      <c r="AA748" s="12">
        <f>IF(tblOrdenes[[#This Row],[fecha_inicio]]="","",TODAY()-tblOrdenes[[#This Row],[fecha_inicio]])</f>
        <v/>
      </c>
      <c r="AB7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3">
        <f>IF(tblOrdenes[[#This Row],[backlog_habiles]]="","",IF(tblOrdenes[[#This Row],[backlog_habiles]]&lt;0,"FUTURO",IF(tblOrdenes[[#This Row],[backlog_habiles]]&gt;p_dias_backlog_max,"BACKLOG","MES CORRIENTE")))</f>
        <v/>
      </c>
      <c r="AD748" s="3">
        <f>IF(tblOrdenes[[#This Row],[backlog_habiles]]="",FALSE,AND(tblOrdenes[[#This Row],[backlog_habiles]]&gt;p_dias_backlog_min,tblOrdenes[[#This Row],[backlog_habiles]]&lt;=p_dias_backlog_max))</f>
        <v/>
      </c>
      <c r="AE748" s="6" t="n"/>
      <c r="AF7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0">
        <f>IF(tblOrdenes[[#This Row],[orden]]="","",_xlfn.XLOOKUP(tblOrdenes[[#This Row],[id_operacion]],tblEjecucion[id_operacion],tblEjecucion[precio],0))</f>
        <v/>
      </c>
      <c r="AJ748" s="10">
        <f>IF(tblOrdenes[[#This Row],[orden]]="","",MAX(0,_xlfn.XLOOKUP(tblOrdenes[[#This Row],[id_operacion]],tblEjecucion[id_operacion],tblEjecucion[costo_plan_total],0)-tblOrdenes[[#This Row],[costo_servicio]]))</f>
        <v/>
      </c>
      <c r="AK748" s="10">
        <f>IF(tblOrdenes[[#This Row],[orden]]="","",tblOrdenes[[#This Row],[costo_servicio]]+tblOrdenes[[#This Row],[costo_materiales]])</f>
        <v/>
      </c>
      <c r="AL748" s="6" t="n"/>
      <c r="AM748" s="6" t="n"/>
      <c r="AN748" s="6" t="n"/>
      <c r="AO748" s="3">
        <f>IF(tblOrdenes[[#This Row],[link_checklist]]="","",HYPERLINK(p_ruta_base_checklists&amp;tblOrdenes[[#This Row],[link_checklist]],"abrir"))</f>
        <v/>
      </c>
      <c r="AP748" s="6" t="n"/>
      <c r="AQ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3">
        <f>IF(tblOrdenes[[#This Row],[tipo_ot]]="","",_xlfn.XLOOKUP(tblOrdenes[[#This Row],[tipo_ot]],tblTiposOT[codigo],tblTiposOT[clasificacion],"sin_clasificar"))</f>
        <v/>
      </c>
      <c r="U749" s="3">
        <f>IF(tblOrdenes[[#This Row],[centro_costo]]="","",_xlfn.XLOOKUP(tblOrdenes[[#This Row],[centro_costo]],tblCECO[codigo],tblCECO[linea],"(sin catálogo)"))</f>
        <v/>
      </c>
      <c r="V749" s="3">
        <f>IF(tblOrdenes[[#This Row],[centro_costo]]="","",_xlfn.XLOOKUP(tblOrdenes[[#This Row],[centro_costo]],tblCECO[codigo],tblCECO[area],"(sin catálogo)"))</f>
        <v/>
      </c>
      <c r="W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3">
        <f>IF(tblOrdenes[[#This Row],[centro_costo]]="","",_xlfn.XLOOKUP(tblOrdenes[[#This Row],[centro_costo]],tblCECO[codigo],tblCECO[coordinador],"(sin catálogo)"))</f>
        <v/>
      </c>
      <c r="Y749" s="3">
        <f>IF(tblOrdenes[[#This Row],[puesto_trabajo]]="","",_xlfn.XLOOKUP(tblOrdenes[[#This Row],[puesto_trabajo]],tblPuestos[codigo],tblPuestos[especialidad],"(sin catálogo)"))</f>
        <v/>
      </c>
      <c r="Z749" s="3">
        <f>IF(tblOrdenes[[#This Row],[cod_actividad]]="","",_xlfn.XLOOKUP(tblOrdenes[[#This Row],[cod_actividad]],tblActividades[codigo],tblActividades[descripcion],"(sin catálogo)"))</f>
        <v/>
      </c>
      <c r="AA749" s="12">
        <f>IF(tblOrdenes[[#This Row],[fecha_inicio]]="","",TODAY()-tblOrdenes[[#This Row],[fecha_inicio]])</f>
        <v/>
      </c>
      <c r="AB7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3">
        <f>IF(tblOrdenes[[#This Row],[backlog_habiles]]="","",IF(tblOrdenes[[#This Row],[backlog_habiles]]&lt;0,"FUTURO",IF(tblOrdenes[[#This Row],[backlog_habiles]]&gt;p_dias_backlog_max,"BACKLOG","MES CORRIENTE")))</f>
        <v/>
      </c>
      <c r="AD749" s="3">
        <f>IF(tblOrdenes[[#This Row],[backlog_habiles]]="",FALSE,AND(tblOrdenes[[#This Row],[backlog_habiles]]&gt;p_dias_backlog_min,tblOrdenes[[#This Row],[backlog_habiles]]&lt;=p_dias_backlog_max))</f>
        <v/>
      </c>
      <c r="AE749" s="6" t="n"/>
      <c r="AF7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0">
        <f>IF(tblOrdenes[[#This Row],[orden]]="","",_xlfn.XLOOKUP(tblOrdenes[[#This Row],[id_operacion]],tblEjecucion[id_operacion],tblEjecucion[precio],0))</f>
        <v/>
      </c>
      <c r="AJ749" s="10">
        <f>IF(tblOrdenes[[#This Row],[orden]]="","",MAX(0,_xlfn.XLOOKUP(tblOrdenes[[#This Row],[id_operacion]],tblEjecucion[id_operacion],tblEjecucion[costo_plan_total],0)-tblOrdenes[[#This Row],[costo_servicio]]))</f>
        <v/>
      </c>
      <c r="AK749" s="10">
        <f>IF(tblOrdenes[[#This Row],[orden]]="","",tblOrdenes[[#This Row],[costo_servicio]]+tblOrdenes[[#This Row],[costo_materiales]])</f>
        <v/>
      </c>
      <c r="AL749" s="6" t="n"/>
      <c r="AM749" s="6" t="n"/>
      <c r="AN749" s="6" t="n"/>
      <c r="AO749" s="3">
        <f>IF(tblOrdenes[[#This Row],[link_checklist]]="","",HYPERLINK(p_ruta_base_checklists&amp;tblOrdenes[[#This Row],[link_checklist]],"abrir"))</f>
        <v/>
      </c>
      <c r="AP749" s="6" t="n"/>
      <c r="AQ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3">
        <f>IF(tblOrdenes[[#This Row],[tipo_ot]]="","",_xlfn.XLOOKUP(tblOrdenes[[#This Row],[tipo_ot]],tblTiposOT[codigo],tblTiposOT[clasificacion],"sin_clasificar"))</f>
        <v/>
      </c>
      <c r="U750" s="3">
        <f>IF(tblOrdenes[[#This Row],[centro_costo]]="","",_xlfn.XLOOKUP(tblOrdenes[[#This Row],[centro_costo]],tblCECO[codigo],tblCECO[linea],"(sin catálogo)"))</f>
        <v/>
      </c>
      <c r="V750" s="3">
        <f>IF(tblOrdenes[[#This Row],[centro_costo]]="","",_xlfn.XLOOKUP(tblOrdenes[[#This Row],[centro_costo]],tblCECO[codigo],tblCECO[area],"(sin catálogo)"))</f>
        <v/>
      </c>
      <c r="W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3">
        <f>IF(tblOrdenes[[#This Row],[centro_costo]]="","",_xlfn.XLOOKUP(tblOrdenes[[#This Row],[centro_costo]],tblCECO[codigo],tblCECO[coordinador],"(sin catálogo)"))</f>
        <v/>
      </c>
      <c r="Y750" s="3">
        <f>IF(tblOrdenes[[#This Row],[puesto_trabajo]]="","",_xlfn.XLOOKUP(tblOrdenes[[#This Row],[puesto_trabajo]],tblPuestos[codigo],tblPuestos[especialidad],"(sin catálogo)"))</f>
        <v/>
      </c>
      <c r="Z750" s="3">
        <f>IF(tblOrdenes[[#This Row],[cod_actividad]]="","",_xlfn.XLOOKUP(tblOrdenes[[#This Row],[cod_actividad]],tblActividades[codigo],tblActividades[descripcion],"(sin catálogo)"))</f>
        <v/>
      </c>
      <c r="AA750" s="12">
        <f>IF(tblOrdenes[[#This Row],[fecha_inicio]]="","",TODAY()-tblOrdenes[[#This Row],[fecha_inicio]])</f>
        <v/>
      </c>
      <c r="AB7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3">
        <f>IF(tblOrdenes[[#This Row],[backlog_habiles]]="","",IF(tblOrdenes[[#This Row],[backlog_habiles]]&lt;0,"FUTURO",IF(tblOrdenes[[#This Row],[backlog_habiles]]&gt;p_dias_backlog_max,"BACKLOG","MES CORRIENTE")))</f>
        <v/>
      </c>
      <c r="AD750" s="3">
        <f>IF(tblOrdenes[[#This Row],[backlog_habiles]]="",FALSE,AND(tblOrdenes[[#This Row],[backlog_habiles]]&gt;p_dias_backlog_min,tblOrdenes[[#This Row],[backlog_habiles]]&lt;=p_dias_backlog_max))</f>
        <v/>
      </c>
      <c r="AE750" s="6" t="n"/>
      <c r="AF7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0">
        <f>IF(tblOrdenes[[#This Row],[orden]]="","",_xlfn.XLOOKUP(tblOrdenes[[#This Row],[id_operacion]],tblEjecucion[id_operacion],tblEjecucion[precio],0))</f>
        <v/>
      </c>
      <c r="AJ750" s="10">
        <f>IF(tblOrdenes[[#This Row],[orden]]="","",MAX(0,_xlfn.XLOOKUP(tblOrdenes[[#This Row],[id_operacion]],tblEjecucion[id_operacion],tblEjecucion[costo_plan_total],0)-tblOrdenes[[#This Row],[costo_servicio]]))</f>
        <v/>
      </c>
      <c r="AK750" s="10">
        <f>IF(tblOrdenes[[#This Row],[orden]]="","",tblOrdenes[[#This Row],[costo_servicio]]+tblOrdenes[[#This Row],[costo_materiales]])</f>
        <v/>
      </c>
      <c r="AL750" s="6" t="n"/>
      <c r="AM750" s="6" t="n"/>
      <c r="AN750" s="6" t="n"/>
      <c r="AO750" s="3">
        <f>IF(tblOrdenes[[#This Row],[link_checklist]]="","",HYPERLINK(p_ruta_base_checklists&amp;tblOrdenes[[#This Row],[link_checklist]],"abrir"))</f>
        <v/>
      </c>
      <c r="AP750" s="6" t="n"/>
      <c r="AQ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3">
        <f>IF(tblOrdenes[[#This Row],[tipo_ot]]="","",_xlfn.XLOOKUP(tblOrdenes[[#This Row],[tipo_ot]],tblTiposOT[codigo],tblTiposOT[clasificacion],"sin_clasificar"))</f>
        <v/>
      </c>
      <c r="U751" s="3">
        <f>IF(tblOrdenes[[#This Row],[centro_costo]]="","",_xlfn.XLOOKUP(tblOrdenes[[#This Row],[centro_costo]],tblCECO[codigo],tblCECO[linea],"(sin catálogo)"))</f>
        <v/>
      </c>
      <c r="V751" s="3">
        <f>IF(tblOrdenes[[#This Row],[centro_costo]]="","",_xlfn.XLOOKUP(tblOrdenes[[#This Row],[centro_costo]],tblCECO[codigo],tblCECO[area],"(sin catálogo)"))</f>
        <v/>
      </c>
      <c r="W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3">
        <f>IF(tblOrdenes[[#This Row],[centro_costo]]="","",_xlfn.XLOOKUP(tblOrdenes[[#This Row],[centro_costo]],tblCECO[codigo],tblCECO[coordinador],"(sin catálogo)"))</f>
        <v/>
      </c>
      <c r="Y751" s="3">
        <f>IF(tblOrdenes[[#This Row],[puesto_trabajo]]="","",_xlfn.XLOOKUP(tblOrdenes[[#This Row],[puesto_trabajo]],tblPuestos[codigo],tblPuestos[especialidad],"(sin catálogo)"))</f>
        <v/>
      </c>
      <c r="Z751" s="3">
        <f>IF(tblOrdenes[[#This Row],[cod_actividad]]="","",_xlfn.XLOOKUP(tblOrdenes[[#This Row],[cod_actividad]],tblActividades[codigo],tblActividades[descripcion],"(sin catálogo)"))</f>
        <v/>
      </c>
      <c r="AA751" s="12">
        <f>IF(tblOrdenes[[#This Row],[fecha_inicio]]="","",TODAY()-tblOrdenes[[#This Row],[fecha_inicio]])</f>
        <v/>
      </c>
      <c r="AB7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3">
        <f>IF(tblOrdenes[[#This Row],[backlog_habiles]]="","",IF(tblOrdenes[[#This Row],[backlog_habiles]]&lt;0,"FUTURO",IF(tblOrdenes[[#This Row],[backlog_habiles]]&gt;p_dias_backlog_max,"BACKLOG","MES CORRIENTE")))</f>
        <v/>
      </c>
      <c r="AD751" s="3">
        <f>IF(tblOrdenes[[#This Row],[backlog_habiles]]="",FALSE,AND(tblOrdenes[[#This Row],[backlog_habiles]]&gt;p_dias_backlog_min,tblOrdenes[[#This Row],[backlog_habiles]]&lt;=p_dias_backlog_max))</f>
        <v/>
      </c>
      <c r="AE751" s="6" t="n"/>
      <c r="AF7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0">
        <f>IF(tblOrdenes[[#This Row],[orden]]="","",_xlfn.XLOOKUP(tblOrdenes[[#This Row],[id_operacion]],tblEjecucion[id_operacion],tblEjecucion[precio],0))</f>
        <v/>
      </c>
      <c r="AJ751" s="10">
        <f>IF(tblOrdenes[[#This Row],[orden]]="","",MAX(0,_xlfn.XLOOKUP(tblOrdenes[[#This Row],[id_operacion]],tblEjecucion[id_operacion],tblEjecucion[costo_plan_total],0)-tblOrdenes[[#This Row],[costo_servicio]]))</f>
        <v/>
      </c>
      <c r="AK751" s="10">
        <f>IF(tblOrdenes[[#This Row],[orden]]="","",tblOrdenes[[#This Row],[costo_servicio]]+tblOrdenes[[#This Row],[costo_materiales]])</f>
        <v/>
      </c>
      <c r="AL751" s="6" t="n"/>
      <c r="AM751" s="6" t="n"/>
      <c r="AN751" s="6" t="n"/>
      <c r="AO751" s="3">
        <f>IF(tblOrdenes[[#This Row],[link_checklist]]="","",HYPERLINK(p_ruta_base_checklists&amp;tblOrdenes[[#This Row],[link_checklist]],"abrir"))</f>
        <v/>
      </c>
      <c r="AP751" s="6" t="n"/>
      <c r="AQ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3">
        <f>IF(tblOrdenes[[#This Row],[tipo_ot]]="","",_xlfn.XLOOKUP(tblOrdenes[[#This Row],[tipo_ot]],tblTiposOT[codigo],tblTiposOT[clasificacion],"sin_clasificar"))</f>
        <v/>
      </c>
      <c r="U752" s="3">
        <f>IF(tblOrdenes[[#This Row],[centro_costo]]="","",_xlfn.XLOOKUP(tblOrdenes[[#This Row],[centro_costo]],tblCECO[codigo],tblCECO[linea],"(sin catálogo)"))</f>
        <v/>
      </c>
      <c r="V752" s="3">
        <f>IF(tblOrdenes[[#This Row],[centro_costo]]="","",_xlfn.XLOOKUP(tblOrdenes[[#This Row],[centro_costo]],tblCECO[codigo],tblCECO[area],"(sin catálogo)"))</f>
        <v/>
      </c>
      <c r="W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3">
        <f>IF(tblOrdenes[[#This Row],[centro_costo]]="","",_xlfn.XLOOKUP(tblOrdenes[[#This Row],[centro_costo]],tblCECO[codigo],tblCECO[coordinador],"(sin catálogo)"))</f>
        <v/>
      </c>
      <c r="Y752" s="3">
        <f>IF(tblOrdenes[[#This Row],[puesto_trabajo]]="","",_xlfn.XLOOKUP(tblOrdenes[[#This Row],[puesto_trabajo]],tblPuestos[codigo],tblPuestos[especialidad],"(sin catálogo)"))</f>
        <v/>
      </c>
      <c r="Z752" s="3">
        <f>IF(tblOrdenes[[#This Row],[cod_actividad]]="","",_xlfn.XLOOKUP(tblOrdenes[[#This Row],[cod_actividad]],tblActividades[codigo],tblActividades[descripcion],"(sin catálogo)"))</f>
        <v/>
      </c>
      <c r="AA752" s="12">
        <f>IF(tblOrdenes[[#This Row],[fecha_inicio]]="","",TODAY()-tblOrdenes[[#This Row],[fecha_inicio]])</f>
        <v/>
      </c>
      <c r="AB7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3">
        <f>IF(tblOrdenes[[#This Row],[backlog_habiles]]="","",IF(tblOrdenes[[#This Row],[backlog_habiles]]&lt;0,"FUTURO",IF(tblOrdenes[[#This Row],[backlog_habiles]]&gt;p_dias_backlog_max,"BACKLOG","MES CORRIENTE")))</f>
        <v/>
      </c>
      <c r="AD752" s="3">
        <f>IF(tblOrdenes[[#This Row],[backlog_habiles]]="",FALSE,AND(tblOrdenes[[#This Row],[backlog_habiles]]&gt;p_dias_backlog_min,tblOrdenes[[#This Row],[backlog_habiles]]&lt;=p_dias_backlog_max))</f>
        <v/>
      </c>
      <c r="AE752" s="6" t="n"/>
      <c r="AF7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0">
        <f>IF(tblOrdenes[[#This Row],[orden]]="","",_xlfn.XLOOKUP(tblOrdenes[[#This Row],[id_operacion]],tblEjecucion[id_operacion],tblEjecucion[precio],0))</f>
        <v/>
      </c>
      <c r="AJ752" s="10">
        <f>IF(tblOrdenes[[#This Row],[orden]]="","",MAX(0,_xlfn.XLOOKUP(tblOrdenes[[#This Row],[id_operacion]],tblEjecucion[id_operacion],tblEjecucion[costo_plan_total],0)-tblOrdenes[[#This Row],[costo_servicio]]))</f>
        <v/>
      </c>
      <c r="AK752" s="10">
        <f>IF(tblOrdenes[[#This Row],[orden]]="","",tblOrdenes[[#This Row],[costo_servicio]]+tblOrdenes[[#This Row],[costo_materiales]])</f>
        <v/>
      </c>
      <c r="AL752" s="6" t="n"/>
      <c r="AM752" s="6" t="n"/>
      <c r="AN752" s="6" t="n"/>
      <c r="AO752" s="3">
        <f>IF(tblOrdenes[[#This Row],[link_checklist]]="","",HYPERLINK(p_ruta_base_checklists&amp;tblOrdenes[[#This Row],[link_checklist]],"abrir"))</f>
        <v/>
      </c>
      <c r="AP752" s="6" t="n"/>
      <c r="AQ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3">
        <f>IF(tblOrdenes[[#This Row],[tipo_ot]]="","",_xlfn.XLOOKUP(tblOrdenes[[#This Row],[tipo_ot]],tblTiposOT[codigo],tblTiposOT[clasificacion],"sin_clasificar"))</f>
        <v/>
      </c>
      <c r="U753" s="3">
        <f>IF(tblOrdenes[[#This Row],[centro_costo]]="","",_xlfn.XLOOKUP(tblOrdenes[[#This Row],[centro_costo]],tblCECO[codigo],tblCECO[linea],"(sin catálogo)"))</f>
        <v/>
      </c>
      <c r="V753" s="3">
        <f>IF(tblOrdenes[[#This Row],[centro_costo]]="","",_xlfn.XLOOKUP(tblOrdenes[[#This Row],[centro_costo]],tblCECO[codigo],tblCECO[area],"(sin catálogo)"))</f>
        <v/>
      </c>
      <c r="W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3">
        <f>IF(tblOrdenes[[#This Row],[centro_costo]]="","",_xlfn.XLOOKUP(tblOrdenes[[#This Row],[centro_costo]],tblCECO[codigo],tblCECO[coordinador],"(sin catálogo)"))</f>
        <v/>
      </c>
      <c r="Y753" s="3">
        <f>IF(tblOrdenes[[#This Row],[puesto_trabajo]]="","",_xlfn.XLOOKUP(tblOrdenes[[#This Row],[puesto_trabajo]],tblPuestos[codigo],tblPuestos[especialidad],"(sin catálogo)"))</f>
        <v/>
      </c>
      <c r="Z753" s="3">
        <f>IF(tblOrdenes[[#This Row],[cod_actividad]]="","",_xlfn.XLOOKUP(tblOrdenes[[#This Row],[cod_actividad]],tblActividades[codigo],tblActividades[descripcion],"(sin catálogo)"))</f>
        <v/>
      </c>
      <c r="AA753" s="12">
        <f>IF(tblOrdenes[[#This Row],[fecha_inicio]]="","",TODAY()-tblOrdenes[[#This Row],[fecha_inicio]])</f>
        <v/>
      </c>
      <c r="AB7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3">
        <f>IF(tblOrdenes[[#This Row],[backlog_habiles]]="","",IF(tblOrdenes[[#This Row],[backlog_habiles]]&lt;0,"FUTURO",IF(tblOrdenes[[#This Row],[backlog_habiles]]&gt;p_dias_backlog_max,"BACKLOG","MES CORRIENTE")))</f>
        <v/>
      </c>
      <c r="AD753" s="3">
        <f>IF(tblOrdenes[[#This Row],[backlog_habiles]]="",FALSE,AND(tblOrdenes[[#This Row],[backlog_habiles]]&gt;p_dias_backlog_min,tblOrdenes[[#This Row],[backlog_habiles]]&lt;=p_dias_backlog_max))</f>
        <v/>
      </c>
      <c r="AE753" s="6" t="n"/>
      <c r="AF7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0">
        <f>IF(tblOrdenes[[#This Row],[orden]]="","",_xlfn.XLOOKUP(tblOrdenes[[#This Row],[id_operacion]],tblEjecucion[id_operacion],tblEjecucion[precio],0))</f>
        <v/>
      </c>
      <c r="AJ753" s="10">
        <f>IF(tblOrdenes[[#This Row],[orden]]="","",MAX(0,_xlfn.XLOOKUP(tblOrdenes[[#This Row],[id_operacion]],tblEjecucion[id_operacion],tblEjecucion[costo_plan_total],0)-tblOrdenes[[#This Row],[costo_servicio]]))</f>
        <v/>
      </c>
      <c r="AK753" s="10">
        <f>IF(tblOrdenes[[#This Row],[orden]]="","",tblOrdenes[[#This Row],[costo_servicio]]+tblOrdenes[[#This Row],[costo_materiales]])</f>
        <v/>
      </c>
      <c r="AL753" s="6" t="n"/>
      <c r="AM753" s="6" t="n"/>
      <c r="AN753" s="6" t="n"/>
      <c r="AO753" s="3">
        <f>IF(tblOrdenes[[#This Row],[link_checklist]]="","",HYPERLINK(p_ruta_base_checklists&amp;tblOrdenes[[#This Row],[link_checklist]],"abrir"))</f>
        <v/>
      </c>
      <c r="AP753" s="6" t="n"/>
      <c r="AQ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3">
        <f>IF(tblOrdenes[[#This Row],[tipo_ot]]="","",_xlfn.XLOOKUP(tblOrdenes[[#This Row],[tipo_ot]],tblTiposOT[codigo],tblTiposOT[clasificacion],"sin_clasificar"))</f>
        <v/>
      </c>
      <c r="U754" s="3">
        <f>IF(tblOrdenes[[#This Row],[centro_costo]]="","",_xlfn.XLOOKUP(tblOrdenes[[#This Row],[centro_costo]],tblCECO[codigo],tblCECO[linea],"(sin catálogo)"))</f>
        <v/>
      </c>
      <c r="V754" s="3">
        <f>IF(tblOrdenes[[#This Row],[centro_costo]]="","",_xlfn.XLOOKUP(tblOrdenes[[#This Row],[centro_costo]],tblCECO[codigo],tblCECO[area],"(sin catálogo)"))</f>
        <v/>
      </c>
      <c r="W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3">
        <f>IF(tblOrdenes[[#This Row],[centro_costo]]="","",_xlfn.XLOOKUP(tblOrdenes[[#This Row],[centro_costo]],tblCECO[codigo],tblCECO[coordinador],"(sin catálogo)"))</f>
        <v/>
      </c>
      <c r="Y754" s="3">
        <f>IF(tblOrdenes[[#This Row],[puesto_trabajo]]="","",_xlfn.XLOOKUP(tblOrdenes[[#This Row],[puesto_trabajo]],tblPuestos[codigo],tblPuestos[especialidad],"(sin catálogo)"))</f>
        <v/>
      </c>
      <c r="Z754" s="3">
        <f>IF(tblOrdenes[[#This Row],[cod_actividad]]="","",_xlfn.XLOOKUP(tblOrdenes[[#This Row],[cod_actividad]],tblActividades[codigo],tblActividades[descripcion],"(sin catálogo)"))</f>
        <v/>
      </c>
      <c r="AA754" s="12">
        <f>IF(tblOrdenes[[#This Row],[fecha_inicio]]="","",TODAY()-tblOrdenes[[#This Row],[fecha_inicio]])</f>
        <v/>
      </c>
      <c r="AB7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3">
        <f>IF(tblOrdenes[[#This Row],[backlog_habiles]]="","",IF(tblOrdenes[[#This Row],[backlog_habiles]]&lt;0,"FUTURO",IF(tblOrdenes[[#This Row],[backlog_habiles]]&gt;p_dias_backlog_max,"BACKLOG","MES CORRIENTE")))</f>
        <v/>
      </c>
      <c r="AD754" s="3">
        <f>IF(tblOrdenes[[#This Row],[backlog_habiles]]="",FALSE,AND(tblOrdenes[[#This Row],[backlog_habiles]]&gt;p_dias_backlog_min,tblOrdenes[[#This Row],[backlog_habiles]]&lt;=p_dias_backlog_max))</f>
        <v/>
      </c>
      <c r="AE754" s="6" t="n"/>
      <c r="AF7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0">
        <f>IF(tblOrdenes[[#This Row],[orden]]="","",_xlfn.XLOOKUP(tblOrdenes[[#This Row],[id_operacion]],tblEjecucion[id_operacion],tblEjecucion[precio],0))</f>
        <v/>
      </c>
      <c r="AJ754" s="10">
        <f>IF(tblOrdenes[[#This Row],[orden]]="","",MAX(0,_xlfn.XLOOKUP(tblOrdenes[[#This Row],[id_operacion]],tblEjecucion[id_operacion],tblEjecucion[costo_plan_total],0)-tblOrdenes[[#This Row],[costo_servicio]]))</f>
        <v/>
      </c>
      <c r="AK754" s="10">
        <f>IF(tblOrdenes[[#This Row],[orden]]="","",tblOrdenes[[#This Row],[costo_servicio]]+tblOrdenes[[#This Row],[costo_materiales]])</f>
        <v/>
      </c>
      <c r="AL754" s="6" t="n"/>
      <c r="AM754" s="6" t="n"/>
      <c r="AN754" s="6" t="n"/>
      <c r="AO754" s="3">
        <f>IF(tblOrdenes[[#This Row],[link_checklist]]="","",HYPERLINK(p_ruta_base_checklists&amp;tblOrdenes[[#This Row],[link_checklist]],"abrir"))</f>
        <v/>
      </c>
      <c r="AP754" s="6" t="n"/>
      <c r="AQ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3">
        <f>IF(tblOrdenes[[#This Row],[tipo_ot]]="","",_xlfn.XLOOKUP(tblOrdenes[[#This Row],[tipo_ot]],tblTiposOT[codigo],tblTiposOT[clasificacion],"sin_clasificar"))</f>
        <v/>
      </c>
      <c r="U755" s="3">
        <f>IF(tblOrdenes[[#This Row],[centro_costo]]="","",_xlfn.XLOOKUP(tblOrdenes[[#This Row],[centro_costo]],tblCECO[codigo],tblCECO[linea],"(sin catálogo)"))</f>
        <v/>
      </c>
      <c r="V755" s="3">
        <f>IF(tblOrdenes[[#This Row],[centro_costo]]="","",_xlfn.XLOOKUP(tblOrdenes[[#This Row],[centro_costo]],tblCECO[codigo],tblCECO[area],"(sin catálogo)"))</f>
        <v/>
      </c>
      <c r="W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3">
        <f>IF(tblOrdenes[[#This Row],[centro_costo]]="","",_xlfn.XLOOKUP(tblOrdenes[[#This Row],[centro_costo]],tblCECO[codigo],tblCECO[coordinador],"(sin catálogo)"))</f>
        <v/>
      </c>
      <c r="Y755" s="3">
        <f>IF(tblOrdenes[[#This Row],[puesto_trabajo]]="","",_xlfn.XLOOKUP(tblOrdenes[[#This Row],[puesto_trabajo]],tblPuestos[codigo],tblPuestos[especialidad],"(sin catálogo)"))</f>
        <v/>
      </c>
      <c r="Z755" s="3">
        <f>IF(tblOrdenes[[#This Row],[cod_actividad]]="","",_xlfn.XLOOKUP(tblOrdenes[[#This Row],[cod_actividad]],tblActividades[codigo],tblActividades[descripcion],"(sin catálogo)"))</f>
        <v/>
      </c>
      <c r="AA755" s="12">
        <f>IF(tblOrdenes[[#This Row],[fecha_inicio]]="","",TODAY()-tblOrdenes[[#This Row],[fecha_inicio]])</f>
        <v/>
      </c>
      <c r="AB7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3">
        <f>IF(tblOrdenes[[#This Row],[backlog_habiles]]="","",IF(tblOrdenes[[#This Row],[backlog_habiles]]&lt;0,"FUTURO",IF(tblOrdenes[[#This Row],[backlog_habiles]]&gt;p_dias_backlog_max,"BACKLOG","MES CORRIENTE")))</f>
        <v/>
      </c>
      <c r="AD755" s="3">
        <f>IF(tblOrdenes[[#This Row],[backlog_habiles]]="",FALSE,AND(tblOrdenes[[#This Row],[backlog_habiles]]&gt;p_dias_backlog_min,tblOrdenes[[#This Row],[backlog_habiles]]&lt;=p_dias_backlog_max))</f>
        <v/>
      </c>
      <c r="AE755" s="6" t="n"/>
      <c r="AF7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0">
        <f>IF(tblOrdenes[[#This Row],[orden]]="","",_xlfn.XLOOKUP(tblOrdenes[[#This Row],[id_operacion]],tblEjecucion[id_operacion],tblEjecucion[precio],0))</f>
        <v/>
      </c>
      <c r="AJ755" s="10">
        <f>IF(tblOrdenes[[#This Row],[orden]]="","",MAX(0,_xlfn.XLOOKUP(tblOrdenes[[#This Row],[id_operacion]],tblEjecucion[id_operacion],tblEjecucion[costo_plan_total],0)-tblOrdenes[[#This Row],[costo_servicio]]))</f>
        <v/>
      </c>
      <c r="AK755" s="10">
        <f>IF(tblOrdenes[[#This Row],[orden]]="","",tblOrdenes[[#This Row],[costo_servicio]]+tblOrdenes[[#This Row],[costo_materiales]])</f>
        <v/>
      </c>
      <c r="AL755" s="6" t="n"/>
      <c r="AM755" s="6" t="n"/>
      <c r="AN755" s="6" t="n"/>
      <c r="AO755" s="3">
        <f>IF(tblOrdenes[[#This Row],[link_checklist]]="","",HYPERLINK(p_ruta_base_checklists&amp;tblOrdenes[[#This Row],[link_checklist]],"abrir"))</f>
        <v/>
      </c>
      <c r="AP755" s="6" t="n"/>
      <c r="AQ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3">
        <f>IF(tblOrdenes[[#This Row],[tipo_ot]]="","",_xlfn.XLOOKUP(tblOrdenes[[#This Row],[tipo_ot]],tblTiposOT[codigo],tblTiposOT[clasificacion],"sin_clasificar"))</f>
        <v/>
      </c>
      <c r="U756" s="3">
        <f>IF(tblOrdenes[[#This Row],[centro_costo]]="","",_xlfn.XLOOKUP(tblOrdenes[[#This Row],[centro_costo]],tblCECO[codigo],tblCECO[linea],"(sin catálogo)"))</f>
        <v/>
      </c>
      <c r="V756" s="3">
        <f>IF(tblOrdenes[[#This Row],[centro_costo]]="","",_xlfn.XLOOKUP(tblOrdenes[[#This Row],[centro_costo]],tblCECO[codigo],tblCECO[area],"(sin catálogo)"))</f>
        <v/>
      </c>
      <c r="W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3">
        <f>IF(tblOrdenes[[#This Row],[centro_costo]]="","",_xlfn.XLOOKUP(tblOrdenes[[#This Row],[centro_costo]],tblCECO[codigo],tblCECO[coordinador],"(sin catálogo)"))</f>
        <v/>
      </c>
      <c r="Y756" s="3">
        <f>IF(tblOrdenes[[#This Row],[puesto_trabajo]]="","",_xlfn.XLOOKUP(tblOrdenes[[#This Row],[puesto_trabajo]],tblPuestos[codigo],tblPuestos[especialidad],"(sin catálogo)"))</f>
        <v/>
      </c>
      <c r="Z756" s="3">
        <f>IF(tblOrdenes[[#This Row],[cod_actividad]]="","",_xlfn.XLOOKUP(tblOrdenes[[#This Row],[cod_actividad]],tblActividades[codigo],tblActividades[descripcion],"(sin catálogo)"))</f>
        <v/>
      </c>
      <c r="AA756" s="12">
        <f>IF(tblOrdenes[[#This Row],[fecha_inicio]]="","",TODAY()-tblOrdenes[[#This Row],[fecha_inicio]])</f>
        <v/>
      </c>
      <c r="AB7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3">
        <f>IF(tblOrdenes[[#This Row],[backlog_habiles]]="","",IF(tblOrdenes[[#This Row],[backlog_habiles]]&lt;0,"FUTURO",IF(tblOrdenes[[#This Row],[backlog_habiles]]&gt;p_dias_backlog_max,"BACKLOG","MES CORRIENTE")))</f>
        <v/>
      </c>
      <c r="AD756" s="3">
        <f>IF(tblOrdenes[[#This Row],[backlog_habiles]]="",FALSE,AND(tblOrdenes[[#This Row],[backlog_habiles]]&gt;p_dias_backlog_min,tblOrdenes[[#This Row],[backlog_habiles]]&lt;=p_dias_backlog_max))</f>
        <v/>
      </c>
      <c r="AE756" s="6" t="n"/>
      <c r="AF7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0">
        <f>IF(tblOrdenes[[#This Row],[orden]]="","",_xlfn.XLOOKUP(tblOrdenes[[#This Row],[id_operacion]],tblEjecucion[id_operacion],tblEjecucion[precio],0))</f>
        <v/>
      </c>
      <c r="AJ756" s="10">
        <f>IF(tblOrdenes[[#This Row],[orden]]="","",MAX(0,_xlfn.XLOOKUP(tblOrdenes[[#This Row],[id_operacion]],tblEjecucion[id_operacion],tblEjecucion[costo_plan_total],0)-tblOrdenes[[#This Row],[costo_servicio]]))</f>
        <v/>
      </c>
      <c r="AK756" s="10">
        <f>IF(tblOrdenes[[#This Row],[orden]]="","",tblOrdenes[[#This Row],[costo_servicio]]+tblOrdenes[[#This Row],[costo_materiales]])</f>
        <v/>
      </c>
      <c r="AL756" s="6" t="n"/>
      <c r="AM756" s="6" t="n"/>
      <c r="AN756" s="6" t="n"/>
      <c r="AO756" s="3">
        <f>IF(tblOrdenes[[#This Row],[link_checklist]]="","",HYPERLINK(p_ruta_base_checklists&amp;tblOrdenes[[#This Row],[link_checklist]],"abrir"))</f>
        <v/>
      </c>
      <c r="AP756" s="6" t="n"/>
      <c r="AQ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3">
        <f>IF(tblOrdenes[[#This Row],[tipo_ot]]="","",_xlfn.XLOOKUP(tblOrdenes[[#This Row],[tipo_ot]],tblTiposOT[codigo],tblTiposOT[clasificacion],"sin_clasificar"))</f>
        <v/>
      </c>
      <c r="U757" s="3">
        <f>IF(tblOrdenes[[#This Row],[centro_costo]]="","",_xlfn.XLOOKUP(tblOrdenes[[#This Row],[centro_costo]],tblCECO[codigo],tblCECO[linea],"(sin catálogo)"))</f>
        <v/>
      </c>
      <c r="V757" s="3">
        <f>IF(tblOrdenes[[#This Row],[centro_costo]]="","",_xlfn.XLOOKUP(tblOrdenes[[#This Row],[centro_costo]],tblCECO[codigo],tblCECO[area],"(sin catálogo)"))</f>
        <v/>
      </c>
      <c r="W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3">
        <f>IF(tblOrdenes[[#This Row],[centro_costo]]="","",_xlfn.XLOOKUP(tblOrdenes[[#This Row],[centro_costo]],tblCECO[codigo],tblCECO[coordinador],"(sin catálogo)"))</f>
        <v/>
      </c>
      <c r="Y757" s="3">
        <f>IF(tblOrdenes[[#This Row],[puesto_trabajo]]="","",_xlfn.XLOOKUP(tblOrdenes[[#This Row],[puesto_trabajo]],tblPuestos[codigo],tblPuestos[especialidad],"(sin catálogo)"))</f>
        <v/>
      </c>
      <c r="Z757" s="3">
        <f>IF(tblOrdenes[[#This Row],[cod_actividad]]="","",_xlfn.XLOOKUP(tblOrdenes[[#This Row],[cod_actividad]],tblActividades[codigo],tblActividades[descripcion],"(sin catálogo)"))</f>
        <v/>
      </c>
      <c r="AA757" s="12">
        <f>IF(tblOrdenes[[#This Row],[fecha_inicio]]="","",TODAY()-tblOrdenes[[#This Row],[fecha_inicio]])</f>
        <v/>
      </c>
      <c r="AB7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3">
        <f>IF(tblOrdenes[[#This Row],[backlog_habiles]]="","",IF(tblOrdenes[[#This Row],[backlog_habiles]]&lt;0,"FUTURO",IF(tblOrdenes[[#This Row],[backlog_habiles]]&gt;p_dias_backlog_max,"BACKLOG","MES CORRIENTE")))</f>
        <v/>
      </c>
      <c r="AD757" s="3">
        <f>IF(tblOrdenes[[#This Row],[backlog_habiles]]="",FALSE,AND(tblOrdenes[[#This Row],[backlog_habiles]]&gt;p_dias_backlog_min,tblOrdenes[[#This Row],[backlog_habiles]]&lt;=p_dias_backlog_max))</f>
        <v/>
      </c>
      <c r="AE757" s="6" t="n"/>
      <c r="AF7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0">
        <f>IF(tblOrdenes[[#This Row],[orden]]="","",_xlfn.XLOOKUP(tblOrdenes[[#This Row],[id_operacion]],tblEjecucion[id_operacion],tblEjecucion[precio],0))</f>
        <v/>
      </c>
      <c r="AJ757" s="10">
        <f>IF(tblOrdenes[[#This Row],[orden]]="","",MAX(0,_xlfn.XLOOKUP(tblOrdenes[[#This Row],[id_operacion]],tblEjecucion[id_operacion],tblEjecucion[costo_plan_total],0)-tblOrdenes[[#This Row],[costo_servicio]]))</f>
        <v/>
      </c>
      <c r="AK757" s="10">
        <f>IF(tblOrdenes[[#This Row],[orden]]="","",tblOrdenes[[#This Row],[costo_servicio]]+tblOrdenes[[#This Row],[costo_materiales]])</f>
        <v/>
      </c>
      <c r="AL757" s="6" t="n"/>
      <c r="AM757" s="6" t="n"/>
      <c r="AN757" s="6" t="n"/>
      <c r="AO757" s="3">
        <f>IF(tblOrdenes[[#This Row],[link_checklist]]="","",HYPERLINK(p_ruta_base_checklists&amp;tblOrdenes[[#This Row],[link_checklist]],"abrir"))</f>
        <v/>
      </c>
      <c r="AP757" s="6" t="n"/>
      <c r="AQ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3">
        <f>IF(tblOrdenes[[#This Row],[tipo_ot]]="","",_xlfn.XLOOKUP(tblOrdenes[[#This Row],[tipo_ot]],tblTiposOT[codigo],tblTiposOT[clasificacion],"sin_clasificar"))</f>
        <v/>
      </c>
      <c r="U758" s="3">
        <f>IF(tblOrdenes[[#This Row],[centro_costo]]="","",_xlfn.XLOOKUP(tblOrdenes[[#This Row],[centro_costo]],tblCECO[codigo],tblCECO[linea],"(sin catálogo)"))</f>
        <v/>
      </c>
      <c r="V758" s="3">
        <f>IF(tblOrdenes[[#This Row],[centro_costo]]="","",_xlfn.XLOOKUP(tblOrdenes[[#This Row],[centro_costo]],tblCECO[codigo],tblCECO[area],"(sin catálogo)"))</f>
        <v/>
      </c>
      <c r="W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3">
        <f>IF(tblOrdenes[[#This Row],[centro_costo]]="","",_xlfn.XLOOKUP(tblOrdenes[[#This Row],[centro_costo]],tblCECO[codigo],tblCECO[coordinador],"(sin catálogo)"))</f>
        <v/>
      </c>
      <c r="Y758" s="3">
        <f>IF(tblOrdenes[[#This Row],[puesto_trabajo]]="","",_xlfn.XLOOKUP(tblOrdenes[[#This Row],[puesto_trabajo]],tblPuestos[codigo],tblPuestos[especialidad],"(sin catálogo)"))</f>
        <v/>
      </c>
      <c r="Z758" s="3">
        <f>IF(tblOrdenes[[#This Row],[cod_actividad]]="","",_xlfn.XLOOKUP(tblOrdenes[[#This Row],[cod_actividad]],tblActividades[codigo],tblActividades[descripcion],"(sin catálogo)"))</f>
        <v/>
      </c>
      <c r="AA758" s="12">
        <f>IF(tblOrdenes[[#This Row],[fecha_inicio]]="","",TODAY()-tblOrdenes[[#This Row],[fecha_inicio]])</f>
        <v/>
      </c>
      <c r="AB7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3">
        <f>IF(tblOrdenes[[#This Row],[backlog_habiles]]="","",IF(tblOrdenes[[#This Row],[backlog_habiles]]&lt;0,"FUTURO",IF(tblOrdenes[[#This Row],[backlog_habiles]]&gt;p_dias_backlog_max,"BACKLOG","MES CORRIENTE")))</f>
        <v/>
      </c>
      <c r="AD758" s="3">
        <f>IF(tblOrdenes[[#This Row],[backlog_habiles]]="",FALSE,AND(tblOrdenes[[#This Row],[backlog_habiles]]&gt;p_dias_backlog_min,tblOrdenes[[#This Row],[backlog_habiles]]&lt;=p_dias_backlog_max))</f>
        <v/>
      </c>
      <c r="AE758" s="6" t="n"/>
      <c r="AF7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0">
        <f>IF(tblOrdenes[[#This Row],[orden]]="","",_xlfn.XLOOKUP(tblOrdenes[[#This Row],[id_operacion]],tblEjecucion[id_operacion],tblEjecucion[precio],0))</f>
        <v/>
      </c>
      <c r="AJ758" s="10">
        <f>IF(tblOrdenes[[#This Row],[orden]]="","",MAX(0,_xlfn.XLOOKUP(tblOrdenes[[#This Row],[id_operacion]],tblEjecucion[id_operacion],tblEjecucion[costo_plan_total],0)-tblOrdenes[[#This Row],[costo_servicio]]))</f>
        <v/>
      </c>
      <c r="AK758" s="10">
        <f>IF(tblOrdenes[[#This Row],[orden]]="","",tblOrdenes[[#This Row],[costo_servicio]]+tblOrdenes[[#This Row],[costo_materiales]])</f>
        <v/>
      </c>
      <c r="AL758" s="6" t="n"/>
      <c r="AM758" s="6" t="n"/>
      <c r="AN758" s="6" t="n"/>
      <c r="AO758" s="3">
        <f>IF(tblOrdenes[[#This Row],[link_checklist]]="","",HYPERLINK(p_ruta_base_checklists&amp;tblOrdenes[[#This Row],[link_checklist]],"abrir"))</f>
        <v/>
      </c>
      <c r="AP758" s="6" t="n"/>
      <c r="AQ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3">
        <f>IF(tblOrdenes[[#This Row],[tipo_ot]]="","",_xlfn.XLOOKUP(tblOrdenes[[#This Row],[tipo_ot]],tblTiposOT[codigo],tblTiposOT[clasificacion],"sin_clasificar"))</f>
        <v/>
      </c>
      <c r="U759" s="3">
        <f>IF(tblOrdenes[[#This Row],[centro_costo]]="","",_xlfn.XLOOKUP(tblOrdenes[[#This Row],[centro_costo]],tblCECO[codigo],tblCECO[linea],"(sin catálogo)"))</f>
        <v/>
      </c>
      <c r="V759" s="3">
        <f>IF(tblOrdenes[[#This Row],[centro_costo]]="","",_xlfn.XLOOKUP(tblOrdenes[[#This Row],[centro_costo]],tblCECO[codigo],tblCECO[area],"(sin catálogo)"))</f>
        <v/>
      </c>
      <c r="W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3">
        <f>IF(tblOrdenes[[#This Row],[centro_costo]]="","",_xlfn.XLOOKUP(tblOrdenes[[#This Row],[centro_costo]],tblCECO[codigo],tblCECO[coordinador],"(sin catálogo)"))</f>
        <v/>
      </c>
      <c r="Y759" s="3">
        <f>IF(tblOrdenes[[#This Row],[puesto_trabajo]]="","",_xlfn.XLOOKUP(tblOrdenes[[#This Row],[puesto_trabajo]],tblPuestos[codigo],tblPuestos[especialidad],"(sin catálogo)"))</f>
        <v/>
      </c>
      <c r="Z759" s="3">
        <f>IF(tblOrdenes[[#This Row],[cod_actividad]]="","",_xlfn.XLOOKUP(tblOrdenes[[#This Row],[cod_actividad]],tblActividades[codigo],tblActividades[descripcion],"(sin catálogo)"))</f>
        <v/>
      </c>
      <c r="AA759" s="12">
        <f>IF(tblOrdenes[[#This Row],[fecha_inicio]]="","",TODAY()-tblOrdenes[[#This Row],[fecha_inicio]])</f>
        <v/>
      </c>
      <c r="AB7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3">
        <f>IF(tblOrdenes[[#This Row],[backlog_habiles]]="","",IF(tblOrdenes[[#This Row],[backlog_habiles]]&lt;0,"FUTURO",IF(tblOrdenes[[#This Row],[backlog_habiles]]&gt;p_dias_backlog_max,"BACKLOG","MES CORRIENTE")))</f>
        <v/>
      </c>
      <c r="AD759" s="3">
        <f>IF(tblOrdenes[[#This Row],[backlog_habiles]]="",FALSE,AND(tblOrdenes[[#This Row],[backlog_habiles]]&gt;p_dias_backlog_min,tblOrdenes[[#This Row],[backlog_habiles]]&lt;=p_dias_backlog_max))</f>
        <v/>
      </c>
      <c r="AE759" s="6" t="n"/>
      <c r="AF7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0">
        <f>IF(tblOrdenes[[#This Row],[orden]]="","",_xlfn.XLOOKUP(tblOrdenes[[#This Row],[id_operacion]],tblEjecucion[id_operacion],tblEjecucion[precio],0))</f>
        <v/>
      </c>
      <c r="AJ759" s="10">
        <f>IF(tblOrdenes[[#This Row],[orden]]="","",MAX(0,_xlfn.XLOOKUP(tblOrdenes[[#This Row],[id_operacion]],tblEjecucion[id_operacion],tblEjecucion[costo_plan_total],0)-tblOrdenes[[#This Row],[costo_servicio]]))</f>
        <v/>
      </c>
      <c r="AK759" s="10">
        <f>IF(tblOrdenes[[#This Row],[orden]]="","",tblOrdenes[[#This Row],[costo_servicio]]+tblOrdenes[[#This Row],[costo_materiales]])</f>
        <v/>
      </c>
      <c r="AL759" s="6" t="n"/>
      <c r="AM759" s="6" t="n"/>
      <c r="AN759" s="6" t="n"/>
      <c r="AO759" s="3">
        <f>IF(tblOrdenes[[#This Row],[link_checklist]]="","",HYPERLINK(p_ruta_base_checklists&amp;tblOrdenes[[#This Row],[link_checklist]],"abrir"))</f>
        <v/>
      </c>
      <c r="AP759" s="6" t="n"/>
      <c r="AQ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3">
        <f>IF(tblOrdenes[[#This Row],[tipo_ot]]="","",_xlfn.XLOOKUP(tblOrdenes[[#This Row],[tipo_ot]],tblTiposOT[codigo],tblTiposOT[clasificacion],"sin_clasificar"))</f>
        <v/>
      </c>
      <c r="U760" s="3">
        <f>IF(tblOrdenes[[#This Row],[centro_costo]]="","",_xlfn.XLOOKUP(tblOrdenes[[#This Row],[centro_costo]],tblCECO[codigo],tblCECO[linea],"(sin catálogo)"))</f>
        <v/>
      </c>
      <c r="V760" s="3">
        <f>IF(tblOrdenes[[#This Row],[centro_costo]]="","",_xlfn.XLOOKUP(tblOrdenes[[#This Row],[centro_costo]],tblCECO[codigo],tblCECO[area],"(sin catálogo)"))</f>
        <v/>
      </c>
      <c r="W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3">
        <f>IF(tblOrdenes[[#This Row],[centro_costo]]="","",_xlfn.XLOOKUP(tblOrdenes[[#This Row],[centro_costo]],tblCECO[codigo],tblCECO[coordinador],"(sin catálogo)"))</f>
        <v/>
      </c>
      <c r="Y760" s="3">
        <f>IF(tblOrdenes[[#This Row],[puesto_trabajo]]="","",_xlfn.XLOOKUP(tblOrdenes[[#This Row],[puesto_trabajo]],tblPuestos[codigo],tblPuestos[especialidad],"(sin catálogo)"))</f>
        <v/>
      </c>
      <c r="Z760" s="3">
        <f>IF(tblOrdenes[[#This Row],[cod_actividad]]="","",_xlfn.XLOOKUP(tblOrdenes[[#This Row],[cod_actividad]],tblActividades[codigo],tblActividades[descripcion],"(sin catálogo)"))</f>
        <v/>
      </c>
      <c r="AA760" s="12">
        <f>IF(tblOrdenes[[#This Row],[fecha_inicio]]="","",TODAY()-tblOrdenes[[#This Row],[fecha_inicio]])</f>
        <v/>
      </c>
      <c r="AB7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3">
        <f>IF(tblOrdenes[[#This Row],[backlog_habiles]]="","",IF(tblOrdenes[[#This Row],[backlog_habiles]]&lt;0,"FUTURO",IF(tblOrdenes[[#This Row],[backlog_habiles]]&gt;p_dias_backlog_max,"BACKLOG","MES CORRIENTE")))</f>
        <v/>
      </c>
      <c r="AD760" s="3">
        <f>IF(tblOrdenes[[#This Row],[backlog_habiles]]="",FALSE,AND(tblOrdenes[[#This Row],[backlog_habiles]]&gt;p_dias_backlog_min,tblOrdenes[[#This Row],[backlog_habiles]]&lt;=p_dias_backlog_max))</f>
        <v/>
      </c>
      <c r="AE760" s="6" t="n"/>
      <c r="AF7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0">
        <f>IF(tblOrdenes[[#This Row],[orden]]="","",_xlfn.XLOOKUP(tblOrdenes[[#This Row],[id_operacion]],tblEjecucion[id_operacion],tblEjecucion[precio],0))</f>
        <v/>
      </c>
      <c r="AJ760" s="10">
        <f>IF(tblOrdenes[[#This Row],[orden]]="","",MAX(0,_xlfn.XLOOKUP(tblOrdenes[[#This Row],[id_operacion]],tblEjecucion[id_operacion],tblEjecucion[costo_plan_total],0)-tblOrdenes[[#This Row],[costo_servicio]]))</f>
        <v/>
      </c>
      <c r="AK760" s="10">
        <f>IF(tblOrdenes[[#This Row],[orden]]="","",tblOrdenes[[#This Row],[costo_servicio]]+tblOrdenes[[#This Row],[costo_materiales]])</f>
        <v/>
      </c>
      <c r="AL760" s="6" t="n"/>
      <c r="AM760" s="6" t="n"/>
      <c r="AN760" s="6" t="n"/>
      <c r="AO760" s="3">
        <f>IF(tblOrdenes[[#This Row],[link_checklist]]="","",HYPERLINK(p_ruta_base_checklists&amp;tblOrdenes[[#This Row],[link_checklist]],"abrir"))</f>
        <v/>
      </c>
      <c r="AP760" s="6" t="n"/>
      <c r="AQ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3">
        <f>IF(tblOrdenes[[#This Row],[tipo_ot]]="","",_xlfn.XLOOKUP(tblOrdenes[[#This Row],[tipo_ot]],tblTiposOT[codigo],tblTiposOT[clasificacion],"sin_clasificar"))</f>
        <v/>
      </c>
      <c r="U761" s="3">
        <f>IF(tblOrdenes[[#This Row],[centro_costo]]="","",_xlfn.XLOOKUP(tblOrdenes[[#This Row],[centro_costo]],tblCECO[codigo],tblCECO[linea],"(sin catálogo)"))</f>
        <v/>
      </c>
      <c r="V761" s="3">
        <f>IF(tblOrdenes[[#This Row],[centro_costo]]="","",_xlfn.XLOOKUP(tblOrdenes[[#This Row],[centro_costo]],tblCECO[codigo],tblCECO[area],"(sin catálogo)"))</f>
        <v/>
      </c>
      <c r="W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3">
        <f>IF(tblOrdenes[[#This Row],[centro_costo]]="","",_xlfn.XLOOKUP(tblOrdenes[[#This Row],[centro_costo]],tblCECO[codigo],tblCECO[coordinador],"(sin catálogo)"))</f>
        <v/>
      </c>
      <c r="Y761" s="3">
        <f>IF(tblOrdenes[[#This Row],[puesto_trabajo]]="","",_xlfn.XLOOKUP(tblOrdenes[[#This Row],[puesto_trabajo]],tblPuestos[codigo],tblPuestos[especialidad],"(sin catálogo)"))</f>
        <v/>
      </c>
      <c r="Z761" s="3">
        <f>IF(tblOrdenes[[#This Row],[cod_actividad]]="","",_xlfn.XLOOKUP(tblOrdenes[[#This Row],[cod_actividad]],tblActividades[codigo],tblActividades[descripcion],"(sin catálogo)"))</f>
        <v/>
      </c>
      <c r="AA761" s="12">
        <f>IF(tblOrdenes[[#This Row],[fecha_inicio]]="","",TODAY()-tblOrdenes[[#This Row],[fecha_inicio]])</f>
        <v/>
      </c>
      <c r="AB7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3">
        <f>IF(tblOrdenes[[#This Row],[backlog_habiles]]="","",IF(tblOrdenes[[#This Row],[backlog_habiles]]&lt;0,"FUTURO",IF(tblOrdenes[[#This Row],[backlog_habiles]]&gt;p_dias_backlog_max,"BACKLOG","MES CORRIENTE")))</f>
        <v/>
      </c>
      <c r="AD761" s="3">
        <f>IF(tblOrdenes[[#This Row],[backlog_habiles]]="",FALSE,AND(tblOrdenes[[#This Row],[backlog_habiles]]&gt;p_dias_backlog_min,tblOrdenes[[#This Row],[backlog_habiles]]&lt;=p_dias_backlog_max))</f>
        <v/>
      </c>
      <c r="AE761" s="6" t="n"/>
      <c r="AF7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0">
        <f>IF(tblOrdenes[[#This Row],[orden]]="","",_xlfn.XLOOKUP(tblOrdenes[[#This Row],[id_operacion]],tblEjecucion[id_operacion],tblEjecucion[precio],0))</f>
        <v/>
      </c>
      <c r="AJ761" s="10">
        <f>IF(tblOrdenes[[#This Row],[orden]]="","",MAX(0,_xlfn.XLOOKUP(tblOrdenes[[#This Row],[id_operacion]],tblEjecucion[id_operacion],tblEjecucion[costo_plan_total],0)-tblOrdenes[[#This Row],[costo_servicio]]))</f>
        <v/>
      </c>
      <c r="AK761" s="10">
        <f>IF(tblOrdenes[[#This Row],[orden]]="","",tblOrdenes[[#This Row],[costo_servicio]]+tblOrdenes[[#This Row],[costo_materiales]])</f>
        <v/>
      </c>
      <c r="AL761" s="6" t="n"/>
      <c r="AM761" s="6" t="n"/>
      <c r="AN761" s="6" t="n"/>
      <c r="AO761" s="3">
        <f>IF(tblOrdenes[[#This Row],[link_checklist]]="","",HYPERLINK(p_ruta_base_checklists&amp;tblOrdenes[[#This Row],[link_checklist]],"abrir"))</f>
        <v/>
      </c>
      <c r="AP761" s="6" t="n"/>
      <c r="AQ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3">
        <f>IF(tblOrdenes[[#This Row],[tipo_ot]]="","",_xlfn.XLOOKUP(tblOrdenes[[#This Row],[tipo_ot]],tblTiposOT[codigo],tblTiposOT[clasificacion],"sin_clasificar"))</f>
        <v/>
      </c>
      <c r="U762" s="3">
        <f>IF(tblOrdenes[[#This Row],[centro_costo]]="","",_xlfn.XLOOKUP(tblOrdenes[[#This Row],[centro_costo]],tblCECO[codigo],tblCECO[linea],"(sin catálogo)"))</f>
        <v/>
      </c>
      <c r="V762" s="3">
        <f>IF(tblOrdenes[[#This Row],[centro_costo]]="","",_xlfn.XLOOKUP(tblOrdenes[[#This Row],[centro_costo]],tblCECO[codigo],tblCECO[area],"(sin catálogo)"))</f>
        <v/>
      </c>
      <c r="W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3">
        <f>IF(tblOrdenes[[#This Row],[centro_costo]]="","",_xlfn.XLOOKUP(tblOrdenes[[#This Row],[centro_costo]],tblCECO[codigo],tblCECO[coordinador],"(sin catálogo)"))</f>
        <v/>
      </c>
      <c r="Y762" s="3">
        <f>IF(tblOrdenes[[#This Row],[puesto_trabajo]]="","",_xlfn.XLOOKUP(tblOrdenes[[#This Row],[puesto_trabajo]],tblPuestos[codigo],tblPuestos[especialidad],"(sin catálogo)"))</f>
        <v/>
      </c>
      <c r="Z762" s="3">
        <f>IF(tblOrdenes[[#This Row],[cod_actividad]]="","",_xlfn.XLOOKUP(tblOrdenes[[#This Row],[cod_actividad]],tblActividades[codigo],tblActividades[descripcion],"(sin catálogo)"))</f>
        <v/>
      </c>
      <c r="AA762" s="12">
        <f>IF(tblOrdenes[[#This Row],[fecha_inicio]]="","",TODAY()-tblOrdenes[[#This Row],[fecha_inicio]])</f>
        <v/>
      </c>
      <c r="AB7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3">
        <f>IF(tblOrdenes[[#This Row],[backlog_habiles]]="","",IF(tblOrdenes[[#This Row],[backlog_habiles]]&lt;0,"FUTURO",IF(tblOrdenes[[#This Row],[backlog_habiles]]&gt;p_dias_backlog_max,"BACKLOG","MES CORRIENTE")))</f>
        <v/>
      </c>
      <c r="AD762" s="3">
        <f>IF(tblOrdenes[[#This Row],[backlog_habiles]]="",FALSE,AND(tblOrdenes[[#This Row],[backlog_habiles]]&gt;p_dias_backlog_min,tblOrdenes[[#This Row],[backlog_habiles]]&lt;=p_dias_backlog_max))</f>
        <v/>
      </c>
      <c r="AE762" s="6" t="n"/>
      <c r="AF7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0">
        <f>IF(tblOrdenes[[#This Row],[orden]]="","",_xlfn.XLOOKUP(tblOrdenes[[#This Row],[id_operacion]],tblEjecucion[id_operacion],tblEjecucion[precio],0))</f>
        <v/>
      </c>
      <c r="AJ762" s="10">
        <f>IF(tblOrdenes[[#This Row],[orden]]="","",MAX(0,_xlfn.XLOOKUP(tblOrdenes[[#This Row],[id_operacion]],tblEjecucion[id_operacion],tblEjecucion[costo_plan_total],0)-tblOrdenes[[#This Row],[costo_servicio]]))</f>
        <v/>
      </c>
      <c r="AK762" s="10">
        <f>IF(tblOrdenes[[#This Row],[orden]]="","",tblOrdenes[[#This Row],[costo_servicio]]+tblOrdenes[[#This Row],[costo_materiales]])</f>
        <v/>
      </c>
      <c r="AL762" s="6" t="n"/>
      <c r="AM762" s="6" t="n"/>
      <c r="AN762" s="6" t="n"/>
      <c r="AO762" s="3">
        <f>IF(tblOrdenes[[#This Row],[link_checklist]]="","",HYPERLINK(p_ruta_base_checklists&amp;tblOrdenes[[#This Row],[link_checklist]],"abrir"))</f>
        <v/>
      </c>
      <c r="AP762" s="6" t="n"/>
      <c r="AQ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3">
        <f>IF(tblOrdenes[[#This Row],[tipo_ot]]="","",_xlfn.XLOOKUP(tblOrdenes[[#This Row],[tipo_ot]],tblTiposOT[codigo],tblTiposOT[clasificacion],"sin_clasificar"))</f>
        <v/>
      </c>
      <c r="U763" s="3">
        <f>IF(tblOrdenes[[#This Row],[centro_costo]]="","",_xlfn.XLOOKUP(tblOrdenes[[#This Row],[centro_costo]],tblCECO[codigo],tblCECO[linea],"(sin catálogo)"))</f>
        <v/>
      </c>
      <c r="V763" s="3">
        <f>IF(tblOrdenes[[#This Row],[centro_costo]]="","",_xlfn.XLOOKUP(tblOrdenes[[#This Row],[centro_costo]],tblCECO[codigo],tblCECO[area],"(sin catálogo)"))</f>
        <v/>
      </c>
      <c r="W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3">
        <f>IF(tblOrdenes[[#This Row],[centro_costo]]="","",_xlfn.XLOOKUP(tblOrdenes[[#This Row],[centro_costo]],tblCECO[codigo],tblCECO[coordinador],"(sin catálogo)"))</f>
        <v/>
      </c>
      <c r="Y763" s="3">
        <f>IF(tblOrdenes[[#This Row],[puesto_trabajo]]="","",_xlfn.XLOOKUP(tblOrdenes[[#This Row],[puesto_trabajo]],tblPuestos[codigo],tblPuestos[especialidad],"(sin catálogo)"))</f>
        <v/>
      </c>
      <c r="Z763" s="3">
        <f>IF(tblOrdenes[[#This Row],[cod_actividad]]="","",_xlfn.XLOOKUP(tblOrdenes[[#This Row],[cod_actividad]],tblActividades[codigo],tblActividades[descripcion],"(sin catálogo)"))</f>
        <v/>
      </c>
      <c r="AA763" s="12">
        <f>IF(tblOrdenes[[#This Row],[fecha_inicio]]="","",TODAY()-tblOrdenes[[#This Row],[fecha_inicio]])</f>
        <v/>
      </c>
      <c r="AB7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3">
        <f>IF(tblOrdenes[[#This Row],[backlog_habiles]]="","",IF(tblOrdenes[[#This Row],[backlog_habiles]]&lt;0,"FUTURO",IF(tblOrdenes[[#This Row],[backlog_habiles]]&gt;p_dias_backlog_max,"BACKLOG","MES CORRIENTE")))</f>
        <v/>
      </c>
      <c r="AD763" s="3">
        <f>IF(tblOrdenes[[#This Row],[backlog_habiles]]="",FALSE,AND(tblOrdenes[[#This Row],[backlog_habiles]]&gt;p_dias_backlog_min,tblOrdenes[[#This Row],[backlog_habiles]]&lt;=p_dias_backlog_max))</f>
        <v/>
      </c>
      <c r="AE763" s="6" t="n"/>
      <c r="AF7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0">
        <f>IF(tblOrdenes[[#This Row],[orden]]="","",_xlfn.XLOOKUP(tblOrdenes[[#This Row],[id_operacion]],tblEjecucion[id_operacion],tblEjecucion[precio],0))</f>
        <v/>
      </c>
      <c r="AJ763" s="10">
        <f>IF(tblOrdenes[[#This Row],[orden]]="","",MAX(0,_xlfn.XLOOKUP(tblOrdenes[[#This Row],[id_operacion]],tblEjecucion[id_operacion],tblEjecucion[costo_plan_total],0)-tblOrdenes[[#This Row],[costo_servicio]]))</f>
        <v/>
      </c>
      <c r="AK763" s="10">
        <f>IF(tblOrdenes[[#This Row],[orden]]="","",tblOrdenes[[#This Row],[costo_servicio]]+tblOrdenes[[#This Row],[costo_materiales]])</f>
        <v/>
      </c>
      <c r="AL763" s="6" t="n"/>
      <c r="AM763" s="6" t="n"/>
      <c r="AN763" s="6" t="n"/>
      <c r="AO763" s="3">
        <f>IF(tblOrdenes[[#This Row],[link_checklist]]="","",HYPERLINK(p_ruta_base_checklists&amp;tblOrdenes[[#This Row],[link_checklist]],"abrir"))</f>
        <v/>
      </c>
      <c r="AP763" s="6" t="n"/>
      <c r="AQ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3">
        <f>IF(tblOrdenes[[#This Row],[tipo_ot]]="","",_xlfn.XLOOKUP(tblOrdenes[[#This Row],[tipo_ot]],tblTiposOT[codigo],tblTiposOT[clasificacion],"sin_clasificar"))</f>
        <v/>
      </c>
      <c r="U764" s="3">
        <f>IF(tblOrdenes[[#This Row],[centro_costo]]="","",_xlfn.XLOOKUP(tblOrdenes[[#This Row],[centro_costo]],tblCECO[codigo],tblCECO[linea],"(sin catálogo)"))</f>
        <v/>
      </c>
      <c r="V764" s="3">
        <f>IF(tblOrdenes[[#This Row],[centro_costo]]="","",_xlfn.XLOOKUP(tblOrdenes[[#This Row],[centro_costo]],tblCECO[codigo],tblCECO[area],"(sin catálogo)"))</f>
        <v/>
      </c>
      <c r="W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3">
        <f>IF(tblOrdenes[[#This Row],[centro_costo]]="","",_xlfn.XLOOKUP(tblOrdenes[[#This Row],[centro_costo]],tblCECO[codigo],tblCECO[coordinador],"(sin catálogo)"))</f>
        <v/>
      </c>
      <c r="Y764" s="3">
        <f>IF(tblOrdenes[[#This Row],[puesto_trabajo]]="","",_xlfn.XLOOKUP(tblOrdenes[[#This Row],[puesto_trabajo]],tblPuestos[codigo],tblPuestos[especialidad],"(sin catálogo)"))</f>
        <v/>
      </c>
      <c r="Z764" s="3">
        <f>IF(tblOrdenes[[#This Row],[cod_actividad]]="","",_xlfn.XLOOKUP(tblOrdenes[[#This Row],[cod_actividad]],tblActividades[codigo],tblActividades[descripcion],"(sin catálogo)"))</f>
        <v/>
      </c>
      <c r="AA764" s="12">
        <f>IF(tblOrdenes[[#This Row],[fecha_inicio]]="","",TODAY()-tblOrdenes[[#This Row],[fecha_inicio]])</f>
        <v/>
      </c>
      <c r="AB7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3">
        <f>IF(tblOrdenes[[#This Row],[backlog_habiles]]="","",IF(tblOrdenes[[#This Row],[backlog_habiles]]&lt;0,"FUTURO",IF(tblOrdenes[[#This Row],[backlog_habiles]]&gt;p_dias_backlog_max,"BACKLOG","MES CORRIENTE")))</f>
        <v/>
      </c>
      <c r="AD764" s="3">
        <f>IF(tblOrdenes[[#This Row],[backlog_habiles]]="",FALSE,AND(tblOrdenes[[#This Row],[backlog_habiles]]&gt;p_dias_backlog_min,tblOrdenes[[#This Row],[backlog_habiles]]&lt;=p_dias_backlog_max))</f>
        <v/>
      </c>
      <c r="AE764" s="6" t="n"/>
      <c r="AF7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0">
        <f>IF(tblOrdenes[[#This Row],[orden]]="","",_xlfn.XLOOKUP(tblOrdenes[[#This Row],[id_operacion]],tblEjecucion[id_operacion],tblEjecucion[precio],0))</f>
        <v/>
      </c>
      <c r="AJ764" s="10">
        <f>IF(tblOrdenes[[#This Row],[orden]]="","",MAX(0,_xlfn.XLOOKUP(tblOrdenes[[#This Row],[id_operacion]],tblEjecucion[id_operacion],tblEjecucion[costo_plan_total],0)-tblOrdenes[[#This Row],[costo_servicio]]))</f>
        <v/>
      </c>
      <c r="AK764" s="10">
        <f>IF(tblOrdenes[[#This Row],[orden]]="","",tblOrdenes[[#This Row],[costo_servicio]]+tblOrdenes[[#This Row],[costo_materiales]])</f>
        <v/>
      </c>
      <c r="AL764" s="6" t="n"/>
      <c r="AM764" s="6" t="n"/>
      <c r="AN764" s="6" t="n"/>
      <c r="AO764" s="3">
        <f>IF(tblOrdenes[[#This Row],[link_checklist]]="","",HYPERLINK(p_ruta_base_checklists&amp;tblOrdenes[[#This Row],[link_checklist]],"abrir"))</f>
        <v/>
      </c>
      <c r="AP764" s="6" t="n"/>
      <c r="AQ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3">
        <f>IF(tblOrdenes[[#This Row],[tipo_ot]]="","",_xlfn.XLOOKUP(tblOrdenes[[#This Row],[tipo_ot]],tblTiposOT[codigo],tblTiposOT[clasificacion],"sin_clasificar"))</f>
        <v/>
      </c>
      <c r="U765" s="3">
        <f>IF(tblOrdenes[[#This Row],[centro_costo]]="","",_xlfn.XLOOKUP(tblOrdenes[[#This Row],[centro_costo]],tblCECO[codigo],tblCECO[linea],"(sin catálogo)"))</f>
        <v/>
      </c>
      <c r="V765" s="3">
        <f>IF(tblOrdenes[[#This Row],[centro_costo]]="","",_xlfn.XLOOKUP(tblOrdenes[[#This Row],[centro_costo]],tblCECO[codigo],tblCECO[area],"(sin catálogo)"))</f>
        <v/>
      </c>
      <c r="W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3">
        <f>IF(tblOrdenes[[#This Row],[centro_costo]]="","",_xlfn.XLOOKUP(tblOrdenes[[#This Row],[centro_costo]],tblCECO[codigo],tblCECO[coordinador],"(sin catálogo)"))</f>
        <v/>
      </c>
      <c r="Y765" s="3">
        <f>IF(tblOrdenes[[#This Row],[puesto_trabajo]]="","",_xlfn.XLOOKUP(tblOrdenes[[#This Row],[puesto_trabajo]],tblPuestos[codigo],tblPuestos[especialidad],"(sin catálogo)"))</f>
        <v/>
      </c>
      <c r="Z765" s="3">
        <f>IF(tblOrdenes[[#This Row],[cod_actividad]]="","",_xlfn.XLOOKUP(tblOrdenes[[#This Row],[cod_actividad]],tblActividades[codigo],tblActividades[descripcion],"(sin catálogo)"))</f>
        <v/>
      </c>
      <c r="AA765" s="12">
        <f>IF(tblOrdenes[[#This Row],[fecha_inicio]]="","",TODAY()-tblOrdenes[[#This Row],[fecha_inicio]])</f>
        <v/>
      </c>
      <c r="AB7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3">
        <f>IF(tblOrdenes[[#This Row],[backlog_habiles]]="","",IF(tblOrdenes[[#This Row],[backlog_habiles]]&lt;0,"FUTURO",IF(tblOrdenes[[#This Row],[backlog_habiles]]&gt;p_dias_backlog_max,"BACKLOG","MES CORRIENTE")))</f>
        <v/>
      </c>
      <c r="AD765" s="3">
        <f>IF(tblOrdenes[[#This Row],[backlog_habiles]]="",FALSE,AND(tblOrdenes[[#This Row],[backlog_habiles]]&gt;p_dias_backlog_min,tblOrdenes[[#This Row],[backlog_habiles]]&lt;=p_dias_backlog_max))</f>
        <v/>
      </c>
      <c r="AE765" s="6" t="n"/>
      <c r="AF7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0">
        <f>IF(tblOrdenes[[#This Row],[orden]]="","",_xlfn.XLOOKUP(tblOrdenes[[#This Row],[id_operacion]],tblEjecucion[id_operacion],tblEjecucion[precio],0))</f>
        <v/>
      </c>
      <c r="AJ765" s="10">
        <f>IF(tblOrdenes[[#This Row],[orden]]="","",MAX(0,_xlfn.XLOOKUP(tblOrdenes[[#This Row],[id_operacion]],tblEjecucion[id_operacion],tblEjecucion[costo_plan_total],0)-tblOrdenes[[#This Row],[costo_servicio]]))</f>
        <v/>
      </c>
      <c r="AK765" s="10">
        <f>IF(tblOrdenes[[#This Row],[orden]]="","",tblOrdenes[[#This Row],[costo_servicio]]+tblOrdenes[[#This Row],[costo_materiales]])</f>
        <v/>
      </c>
      <c r="AL765" s="6" t="n"/>
      <c r="AM765" s="6" t="n"/>
      <c r="AN765" s="6" t="n"/>
      <c r="AO765" s="3">
        <f>IF(tblOrdenes[[#This Row],[link_checklist]]="","",HYPERLINK(p_ruta_base_checklists&amp;tblOrdenes[[#This Row],[link_checklist]],"abrir"))</f>
        <v/>
      </c>
      <c r="AP765" s="6" t="n"/>
      <c r="AQ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3">
        <f>IF(tblOrdenes[[#This Row],[tipo_ot]]="","",_xlfn.XLOOKUP(tblOrdenes[[#This Row],[tipo_ot]],tblTiposOT[codigo],tblTiposOT[clasificacion],"sin_clasificar"))</f>
        <v/>
      </c>
      <c r="U766" s="3">
        <f>IF(tblOrdenes[[#This Row],[centro_costo]]="","",_xlfn.XLOOKUP(tblOrdenes[[#This Row],[centro_costo]],tblCECO[codigo],tblCECO[linea],"(sin catálogo)"))</f>
        <v/>
      </c>
      <c r="V766" s="3">
        <f>IF(tblOrdenes[[#This Row],[centro_costo]]="","",_xlfn.XLOOKUP(tblOrdenes[[#This Row],[centro_costo]],tblCECO[codigo],tblCECO[area],"(sin catálogo)"))</f>
        <v/>
      </c>
      <c r="W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3">
        <f>IF(tblOrdenes[[#This Row],[centro_costo]]="","",_xlfn.XLOOKUP(tblOrdenes[[#This Row],[centro_costo]],tblCECO[codigo],tblCECO[coordinador],"(sin catálogo)"))</f>
        <v/>
      </c>
      <c r="Y766" s="3">
        <f>IF(tblOrdenes[[#This Row],[puesto_trabajo]]="","",_xlfn.XLOOKUP(tblOrdenes[[#This Row],[puesto_trabajo]],tblPuestos[codigo],tblPuestos[especialidad],"(sin catálogo)"))</f>
        <v/>
      </c>
      <c r="Z766" s="3">
        <f>IF(tblOrdenes[[#This Row],[cod_actividad]]="","",_xlfn.XLOOKUP(tblOrdenes[[#This Row],[cod_actividad]],tblActividades[codigo],tblActividades[descripcion],"(sin catálogo)"))</f>
        <v/>
      </c>
      <c r="AA766" s="12">
        <f>IF(tblOrdenes[[#This Row],[fecha_inicio]]="","",TODAY()-tblOrdenes[[#This Row],[fecha_inicio]])</f>
        <v/>
      </c>
      <c r="AB7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3">
        <f>IF(tblOrdenes[[#This Row],[backlog_habiles]]="","",IF(tblOrdenes[[#This Row],[backlog_habiles]]&lt;0,"FUTURO",IF(tblOrdenes[[#This Row],[backlog_habiles]]&gt;p_dias_backlog_max,"BACKLOG","MES CORRIENTE")))</f>
        <v/>
      </c>
      <c r="AD766" s="3">
        <f>IF(tblOrdenes[[#This Row],[backlog_habiles]]="",FALSE,AND(tblOrdenes[[#This Row],[backlog_habiles]]&gt;p_dias_backlog_min,tblOrdenes[[#This Row],[backlog_habiles]]&lt;=p_dias_backlog_max))</f>
        <v/>
      </c>
      <c r="AE766" s="6" t="n"/>
      <c r="AF7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0">
        <f>IF(tblOrdenes[[#This Row],[orden]]="","",_xlfn.XLOOKUP(tblOrdenes[[#This Row],[id_operacion]],tblEjecucion[id_operacion],tblEjecucion[precio],0))</f>
        <v/>
      </c>
      <c r="AJ766" s="10">
        <f>IF(tblOrdenes[[#This Row],[orden]]="","",MAX(0,_xlfn.XLOOKUP(tblOrdenes[[#This Row],[id_operacion]],tblEjecucion[id_operacion],tblEjecucion[costo_plan_total],0)-tblOrdenes[[#This Row],[costo_servicio]]))</f>
        <v/>
      </c>
      <c r="AK766" s="10">
        <f>IF(tblOrdenes[[#This Row],[orden]]="","",tblOrdenes[[#This Row],[costo_servicio]]+tblOrdenes[[#This Row],[costo_materiales]])</f>
        <v/>
      </c>
      <c r="AL766" s="6" t="n"/>
      <c r="AM766" s="6" t="n"/>
      <c r="AN766" s="6" t="n"/>
      <c r="AO766" s="3">
        <f>IF(tblOrdenes[[#This Row],[link_checklist]]="","",HYPERLINK(p_ruta_base_checklists&amp;tblOrdenes[[#This Row],[link_checklist]],"abrir"))</f>
        <v/>
      </c>
      <c r="AP766" s="6" t="n"/>
      <c r="AQ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3">
        <f>IF(tblOrdenes[[#This Row],[tipo_ot]]="","",_xlfn.XLOOKUP(tblOrdenes[[#This Row],[tipo_ot]],tblTiposOT[codigo],tblTiposOT[clasificacion],"sin_clasificar"))</f>
        <v/>
      </c>
      <c r="U767" s="3">
        <f>IF(tblOrdenes[[#This Row],[centro_costo]]="","",_xlfn.XLOOKUP(tblOrdenes[[#This Row],[centro_costo]],tblCECO[codigo],tblCECO[linea],"(sin catálogo)"))</f>
        <v/>
      </c>
      <c r="V767" s="3">
        <f>IF(tblOrdenes[[#This Row],[centro_costo]]="","",_xlfn.XLOOKUP(tblOrdenes[[#This Row],[centro_costo]],tblCECO[codigo],tblCECO[area],"(sin catálogo)"))</f>
        <v/>
      </c>
      <c r="W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3">
        <f>IF(tblOrdenes[[#This Row],[centro_costo]]="","",_xlfn.XLOOKUP(tblOrdenes[[#This Row],[centro_costo]],tblCECO[codigo],tblCECO[coordinador],"(sin catálogo)"))</f>
        <v/>
      </c>
      <c r="Y767" s="3">
        <f>IF(tblOrdenes[[#This Row],[puesto_trabajo]]="","",_xlfn.XLOOKUP(tblOrdenes[[#This Row],[puesto_trabajo]],tblPuestos[codigo],tblPuestos[especialidad],"(sin catálogo)"))</f>
        <v/>
      </c>
      <c r="Z767" s="3">
        <f>IF(tblOrdenes[[#This Row],[cod_actividad]]="","",_xlfn.XLOOKUP(tblOrdenes[[#This Row],[cod_actividad]],tblActividades[codigo],tblActividades[descripcion],"(sin catálogo)"))</f>
        <v/>
      </c>
      <c r="AA767" s="12">
        <f>IF(tblOrdenes[[#This Row],[fecha_inicio]]="","",TODAY()-tblOrdenes[[#This Row],[fecha_inicio]])</f>
        <v/>
      </c>
      <c r="AB7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3">
        <f>IF(tblOrdenes[[#This Row],[backlog_habiles]]="","",IF(tblOrdenes[[#This Row],[backlog_habiles]]&lt;0,"FUTURO",IF(tblOrdenes[[#This Row],[backlog_habiles]]&gt;p_dias_backlog_max,"BACKLOG","MES CORRIENTE")))</f>
        <v/>
      </c>
      <c r="AD767" s="3">
        <f>IF(tblOrdenes[[#This Row],[backlog_habiles]]="",FALSE,AND(tblOrdenes[[#This Row],[backlog_habiles]]&gt;p_dias_backlog_min,tblOrdenes[[#This Row],[backlog_habiles]]&lt;=p_dias_backlog_max))</f>
        <v/>
      </c>
      <c r="AE767" s="6" t="n"/>
      <c r="AF7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0">
        <f>IF(tblOrdenes[[#This Row],[orden]]="","",_xlfn.XLOOKUP(tblOrdenes[[#This Row],[id_operacion]],tblEjecucion[id_operacion],tblEjecucion[precio],0))</f>
        <v/>
      </c>
      <c r="AJ767" s="10">
        <f>IF(tblOrdenes[[#This Row],[orden]]="","",MAX(0,_xlfn.XLOOKUP(tblOrdenes[[#This Row],[id_operacion]],tblEjecucion[id_operacion],tblEjecucion[costo_plan_total],0)-tblOrdenes[[#This Row],[costo_servicio]]))</f>
        <v/>
      </c>
      <c r="AK767" s="10">
        <f>IF(tblOrdenes[[#This Row],[orden]]="","",tblOrdenes[[#This Row],[costo_servicio]]+tblOrdenes[[#This Row],[costo_materiales]])</f>
        <v/>
      </c>
      <c r="AL767" s="6" t="n"/>
      <c r="AM767" s="6" t="n"/>
      <c r="AN767" s="6" t="n"/>
      <c r="AO767" s="3">
        <f>IF(tblOrdenes[[#This Row],[link_checklist]]="","",HYPERLINK(p_ruta_base_checklists&amp;tblOrdenes[[#This Row],[link_checklist]],"abrir"))</f>
        <v/>
      </c>
      <c r="AP767" s="6" t="n"/>
      <c r="AQ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3">
        <f>IF(tblOrdenes[[#This Row],[tipo_ot]]="","",_xlfn.XLOOKUP(tblOrdenes[[#This Row],[tipo_ot]],tblTiposOT[codigo],tblTiposOT[clasificacion],"sin_clasificar"))</f>
        <v/>
      </c>
      <c r="U768" s="3">
        <f>IF(tblOrdenes[[#This Row],[centro_costo]]="","",_xlfn.XLOOKUP(tblOrdenes[[#This Row],[centro_costo]],tblCECO[codigo],tblCECO[linea],"(sin catálogo)"))</f>
        <v/>
      </c>
      <c r="V768" s="3">
        <f>IF(tblOrdenes[[#This Row],[centro_costo]]="","",_xlfn.XLOOKUP(tblOrdenes[[#This Row],[centro_costo]],tblCECO[codigo],tblCECO[area],"(sin catálogo)"))</f>
        <v/>
      </c>
      <c r="W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3">
        <f>IF(tblOrdenes[[#This Row],[centro_costo]]="","",_xlfn.XLOOKUP(tblOrdenes[[#This Row],[centro_costo]],tblCECO[codigo],tblCECO[coordinador],"(sin catálogo)"))</f>
        <v/>
      </c>
      <c r="Y768" s="3">
        <f>IF(tblOrdenes[[#This Row],[puesto_trabajo]]="","",_xlfn.XLOOKUP(tblOrdenes[[#This Row],[puesto_trabajo]],tblPuestos[codigo],tblPuestos[especialidad],"(sin catálogo)"))</f>
        <v/>
      </c>
      <c r="Z768" s="3">
        <f>IF(tblOrdenes[[#This Row],[cod_actividad]]="","",_xlfn.XLOOKUP(tblOrdenes[[#This Row],[cod_actividad]],tblActividades[codigo],tblActividades[descripcion],"(sin catálogo)"))</f>
        <v/>
      </c>
      <c r="AA768" s="12">
        <f>IF(tblOrdenes[[#This Row],[fecha_inicio]]="","",TODAY()-tblOrdenes[[#This Row],[fecha_inicio]])</f>
        <v/>
      </c>
      <c r="AB7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3">
        <f>IF(tblOrdenes[[#This Row],[backlog_habiles]]="","",IF(tblOrdenes[[#This Row],[backlog_habiles]]&lt;0,"FUTURO",IF(tblOrdenes[[#This Row],[backlog_habiles]]&gt;p_dias_backlog_max,"BACKLOG","MES CORRIENTE")))</f>
        <v/>
      </c>
      <c r="AD768" s="3">
        <f>IF(tblOrdenes[[#This Row],[backlog_habiles]]="",FALSE,AND(tblOrdenes[[#This Row],[backlog_habiles]]&gt;p_dias_backlog_min,tblOrdenes[[#This Row],[backlog_habiles]]&lt;=p_dias_backlog_max))</f>
        <v/>
      </c>
      <c r="AE768" s="6" t="n"/>
      <c r="AF7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0">
        <f>IF(tblOrdenes[[#This Row],[orden]]="","",_xlfn.XLOOKUP(tblOrdenes[[#This Row],[id_operacion]],tblEjecucion[id_operacion],tblEjecucion[precio],0))</f>
        <v/>
      </c>
      <c r="AJ768" s="10">
        <f>IF(tblOrdenes[[#This Row],[orden]]="","",MAX(0,_xlfn.XLOOKUP(tblOrdenes[[#This Row],[id_operacion]],tblEjecucion[id_operacion],tblEjecucion[costo_plan_total],0)-tblOrdenes[[#This Row],[costo_servicio]]))</f>
        <v/>
      </c>
      <c r="AK768" s="10">
        <f>IF(tblOrdenes[[#This Row],[orden]]="","",tblOrdenes[[#This Row],[costo_servicio]]+tblOrdenes[[#This Row],[costo_materiales]])</f>
        <v/>
      </c>
      <c r="AL768" s="6" t="n"/>
      <c r="AM768" s="6" t="n"/>
      <c r="AN768" s="6" t="n"/>
      <c r="AO768" s="3">
        <f>IF(tblOrdenes[[#This Row],[link_checklist]]="","",HYPERLINK(p_ruta_base_checklists&amp;tblOrdenes[[#This Row],[link_checklist]],"abrir"))</f>
        <v/>
      </c>
      <c r="AP768" s="6" t="n"/>
      <c r="AQ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3">
        <f>IF(tblOrdenes[[#This Row],[tipo_ot]]="","",_xlfn.XLOOKUP(tblOrdenes[[#This Row],[tipo_ot]],tblTiposOT[codigo],tblTiposOT[clasificacion],"sin_clasificar"))</f>
        <v/>
      </c>
      <c r="U769" s="3">
        <f>IF(tblOrdenes[[#This Row],[centro_costo]]="","",_xlfn.XLOOKUP(tblOrdenes[[#This Row],[centro_costo]],tblCECO[codigo],tblCECO[linea],"(sin catálogo)"))</f>
        <v/>
      </c>
      <c r="V769" s="3">
        <f>IF(tblOrdenes[[#This Row],[centro_costo]]="","",_xlfn.XLOOKUP(tblOrdenes[[#This Row],[centro_costo]],tblCECO[codigo],tblCECO[area],"(sin catálogo)"))</f>
        <v/>
      </c>
      <c r="W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3">
        <f>IF(tblOrdenes[[#This Row],[centro_costo]]="","",_xlfn.XLOOKUP(tblOrdenes[[#This Row],[centro_costo]],tblCECO[codigo],tblCECO[coordinador],"(sin catálogo)"))</f>
        <v/>
      </c>
      <c r="Y769" s="3">
        <f>IF(tblOrdenes[[#This Row],[puesto_trabajo]]="","",_xlfn.XLOOKUP(tblOrdenes[[#This Row],[puesto_trabajo]],tblPuestos[codigo],tblPuestos[especialidad],"(sin catálogo)"))</f>
        <v/>
      </c>
      <c r="Z769" s="3">
        <f>IF(tblOrdenes[[#This Row],[cod_actividad]]="","",_xlfn.XLOOKUP(tblOrdenes[[#This Row],[cod_actividad]],tblActividades[codigo],tblActividades[descripcion],"(sin catálogo)"))</f>
        <v/>
      </c>
      <c r="AA769" s="12">
        <f>IF(tblOrdenes[[#This Row],[fecha_inicio]]="","",TODAY()-tblOrdenes[[#This Row],[fecha_inicio]])</f>
        <v/>
      </c>
      <c r="AB7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3">
        <f>IF(tblOrdenes[[#This Row],[backlog_habiles]]="","",IF(tblOrdenes[[#This Row],[backlog_habiles]]&lt;0,"FUTURO",IF(tblOrdenes[[#This Row],[backlog_habiles]]&gt;p_dias_backlog_max,"BACKLOG","MES CORRIENTE")))</f>
        <v/>
      </c>
      <c r="AD769" s="3">
        <f>IF(tblOrdenes[[#This Row],[backlog_habiles]]="",FALSE,AND(tblOrdenes[[#This Row],[backlog_habiles]]&gt;p_dias_backlog_min,tblOrdenes[[#This Row],[backlog_habiles]]&lt;=p_dias_backlog_max))</f>
        <v/>
      </c>
      <c r="AE769" s="6" t="n"/>
      <c r="AF7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0">
        <f>IF(tblOrdenes[[#This Row],[orden]]="","",_xlfn.XLOOKUP(tblOrdenes[[#This Row],[id_operacion]],tblEjecucion[id_operacion],tblEjecucion[precio],0))</f>
        <v/>
      </c>
      <c r="AJ769" s="10">
        <f>IF(tblOrdenes[[#This Row],[orden]]="","",MAX(0,_xlfn.XLOOKUP(tblOrdenes[[#This Row],[id_operacion]],tblEjecucion[id_operacion],tblEjecucion[costo_plan_total],0)-tblOrdenes[[#This Row],[costo_servicio]]))</f>
        <v/>
      </c>
      <c r="AK769" s="10">
        <f>IF(tblOrdenes[[#This Row],[orden]]="","",tblOrdenes[[#This Row],[costo_servicio]]+tblOrdenes[[#This Row],[costo_materiales]])</f>
        <v/>
      </c>
      <c r="AL769" s="6" t="n"/>
      <c r="AM769" s="6" t="n"/>
      <c r="AN769" s="6" t="n"/>
      <c r="AO769" s="3">
        <f>IF(tblOrdenes[[#This Row],[link_checklist]]="","",HYPERLINK(p_ruta_base_checklists&amp;tblOrdenes[[#This Row],[link_checklist]],"abrir"))</f>
        <v/>
      </c>
      <c r="AP769" s="6" t="n"/>
      <c r="AQ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3">
        <f>IF(tblOrdenes[[#This Row],[tipo_ot]]="","",_xlfn.XLOOKUP(tblOrdenes[[#This Row],[tipo_ot]],tblTiposOT[codigo],tblTiposOT[clasificacion],"sin_clasificar"))</f>
        <v/>
      </c>
      <c r="U770" s="3">
        <f>IF(tblOrdenes[[#This Row],[centro_costo]]="","",_xlfn.XLOOKUP(tblOrdenes[[#This Row],[centro_costo]],tblCECO[codigo],tblCECO[linea],"(sin catálogo)"))</f>
        <v/>
      </c>
      <c r="V770" s="3">
        <f>IF(tblOrdenes[[#This Row],[centro_costo]]="","",_xlfn.XLOOKUP(tblOrdenes[[#This Row],[centro_costo]],tblCECO[codigo],tblCECO[area],"(sin catálogo)"))</f>
        <v/>
      </c>
      <c r="W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3">
        <f>IF(tblOrdenes[[#This Row],[centro_costo]]="","",_xlfn.XLOOKUP(tblOrdenes[[#This Row],[centro_costo]],tblCECO[codigo],tblCECO[coordinador],"(sin catálogo)"))</f>
        <v/>
      </c>
      <c r="Y770" s="3">
        <f>IF(tblOrdenes[[#This Row],[puesto_trabajo]]="","",_xlfn.XLOOKUP(tblOrdenes[[#This Row],[puesto_trabajo]],tblPuestos[codigo],tblPuestos[especialidad],"(sin catálogo)"))</f>
        <v/>
      </c>
      <c r="Z770" s="3">
        <f>IF(tblOrdenes[[#This Row],[cod_actividad]]="","",_xlfn.XLOOKUP(tblOrdenes[[#This Row],[cod_actividad]],tblActividades[codigo],tblActividades[descripcion],"(sin catálogo)"))</f>
        <v/>
      </c>
      <c r="AA770" s="12">
        <f>IF(tblOrdenes[[#This Row],[fecha_inicio]]="","",TODAY()-tblOrdenes[[#This Row],[fecha_inicio]])</f>
        <v/>
      </c>
      <c r="AB7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3">
        <f>IF(tblOrdenes[[#This Row],[backlog_habiles]]="","",IF(tblOrdenes[[#This Row],[backlog_habiles]]&lt;0,"FUTURO",IF(tblOrdenes[[#This Row],[backlog_habiles]]&gt;p_dias_backlog_max,"BACKLOG","MES CORRIENTE")))</f>
        <v/>
      </c>
      <c r="AD770" s="3">
        <f>IF(tblOrdenes[[#This Row],[backlog_habiles]]="",FALSE,AND(tblOrdenes[[#This Row],[backlog_habiles]]&gt;p_dias_backlog_min,tblOrdenes[[#This Row],[backlog_habiles]]&lt;=p_dias_backlog_max))</f>
        <v/>
      </c>
      <c r="AE770" s="6" t="n"/>
      <c r="AF7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0">
        <f>IF(tblOrdenes[[#This Row],[orden]]="","",_xlfn.XLOOKUP(tblOrdenes[[#This Row],[id_operacion]],tblEjecucion[id_operacion],tblEjecucion[precio],0))</f>
        <v/>
      </c>
      <c r="AJ770" s="10">
        <f>IF(tblOrdenes[[#This Row],[orden]]="","",MAX(0,_xlfn.XLOOKUP(tblOrdenes[[#This Row],[id_operacion]],tblEjecucion[id_operacion],tblEjecucion[costo_plan_total],0)-tblOrdenes[[#This Row],[costo_servicio]]))</f>
        <v/>
      </c>
      <c r="AK770" s="10">
        <f>IF(tblOrdenes[[#This Row],[orden]]="","",tblOrdenes[[#This Row],[costo_servicio]]+tblOrdenes[[#This Row],[costo_materiales]])</f>
        <v/>
      </c>
      <c r="AL770" s="6" t="n"/>
      <c r="AM770" s="6" t="n"/>
      <c r="AN770" s="6" t="n"/>
      <c r="AO770" s="3">
        <f>IF(tblOrdenes[[#This Row],[link_checklist]]="","",HYPERLINK(p_ruta_base_checklists&amp;tblOrdenes[[#This Row],[link_checklist]],"abrir"))</f>
        <v/>
      </c>
      <c r="AP770" s="6" t="n"/>
      <c r="AQ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3">
        <f>IF(tblOrdenes[[#This Row],[tipo_ot]]="","",_xlfn.XLOOKUP(tblOrdenes[[#This Row],[tipo_ot]],tblTiposOT[codigo],tblTiposOT[clasificacion],"sin_clasificar"))</f>
        <v/>
      </c>
      <c r="U771" s="3">
        <f>IF(tblOrdenes[[#This Row],[centro_costo]]="","",_xlfn.XLOOKUP(tblOrdenes[[#This Row],[centro_costo]],tblCECO[codigo],tblCECO[linea],"(sin catálogo)"))</f>
        <v/>
      </c>
      <c r="V771" s="3">
        <f>IF(tblOrdenes[[#This Row],[centro_costo]]="","",_xlfn.XLOOKUP(tblOrdenes[[#This Row],[centro_costo]],tblCECO[codigo],tblCECO[area],"(sin catálogo)"))</f>
        <v/>
      </c>
      <c r="W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3">
        <f>IF(tblOrdenes[[#This Row],[centro_costo]]="","",_xlfn.XLOOKUP(tblOrdenes[[#This Row],[centro_costo]],tblCECO[codigo],tblCECO[coordinador],"(sin catálogo)"))</f>
        <v/>
      </c>
      <c r="Y771" s="3">
        <f>IF(tblOrdenes[[#This Row],[puesto_trabajo]]="","",_xlfn.XLOOKUP(tblOrdenes[[#This Row],[puesto_trabajo]],tblPuestos[codigo],tblPuestos[especialidad],"(sin catálogo)"))</f>
        <v/>
      </c>
      <c r="Z771" s="3">
        <f>IF(tblOrdenes[[#This Row],[cod_actividad]]="","",_xlfn.XLOOKUP(tblOrdenes[[#This Row],[cod_actividad]],tblActividades[codigo],tblActividades[descripcion],"(sin catálogo)"))</f>
        <v/>
      </c>
      <c r="AA771" s="12">
        <f>IF(tblOrdenes[[#This Row],[fecha_inicio]]="","",TODAY()-tblOrdenes[[#This Row],[fecha_inicio]])</f>
        <v/>
      </c>
      <c r="AB7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3">
        <f>IF(tblOrdenes[[#This Row],[backlog_habiles]]="","",IF(tblOrdenes[[#This Row],[backlog_habiles]]&lt;0,"FUTURO",IF(tblOrdenes[[#This Row],[backlog_habiles]]&gt;p_dias_backlog_max,"BACKLOG","MES CORRIENTE")))</f>
        <v/>
      </c>
      <c r="AD771" s="3">
        <f>IF(tblOrdenes[[#This Row],[backlog_habiles]]="",FALSE,AND(tblOrdenes[[#This Row],[backlog_habiles]]&gt;p_dias_backlog_min,tblOrdenes[[#This Row],[backlog_habiles]]&lt;=p_dias_backlog_max))</f>
        <v/>
      </c>
      <c r="AE771" s="6" t="n"/>
      <c r="AF7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0">
        <f>IF(tblOrdenes[[#This Row],[orden]]="","",_xlfn.XLOOKUP(tblOrdenes[[#This Row],[id_operacion]],tblEjecucion[id_operacion],tblEjecucion[precio],0))</f>
        <v/>
      </c>
      <c r="AJ771" s="10">
        <f>IF(tblOrdenes[[#This Row],[orden]]="","",MAX(0,_xlfn.XLOOKUP(tblOrdenes[[#This Row],[id_operacion]],tblEjecucion[id_operacion],tblEjecucion[costo_plan_total],0)-tblOrdenes[[#This Row],[costo_servicio]]))</f>
        <v/>
      </c>
      <c r="AK771" s="10">
        <f>IF(tblOrdenes[[#This Row],[orden]]="","",tblOrdenes[[#This Row],[costo_servicio]]+tblOrdenes[[#This Row],[costo_materiales]])</f>
        <v/>
      </c>
      <c r="AL771" s="6" t="n"/>
      <c r="AM771" s="6" t="n"/>
      <c r="AN771" s="6" t="n"/>
      <c r="AO771" s="3">
        <f>IF(tblOrdenes[[#This Row],[link_checklist]]="","",HYPERLINK(p_ruta_base_checklists&amp;tblOrdenes[[#This Row],[link_checklist]],"abrir"))</f>
        <v/>
      </c>
      <c r="AP771" s="6" t="n"/>
      <c r="AQ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3">
        <f>IF(tblOrdenes[[#This Row],[tipo_ot]]="","",_xlfn.XLOOKUP(tblOrdenes[[#This Row],[tipo_ot]],tblTiposOT[codigo],tblTiposOT[clasificacion],"sin_clasificar"))</f>
        <v/>
      </c>
      <c r="U772" s="3">
        <f>IF(tblOrdenes[[#This Row],[centro_costo]]="","",_xlfn.XLOOKUP(tblOrdenes[[#This Row],[centro_costo]],tblCECO[codigo],tblCECO[linea],"(sin catálogo)"))</f>
        <v/>
      </c>
      <c r="V772" s="3">
        <f>IF(tblOrdenes[[#This Row],[centro_costo]]="","",_xlfn.XLOOKUP(tblOrdenes[[#This Row],[centro_costo]],tblCECO[codigo],tblCECO[area],"(sin catálogo)"))</f>
        <v/>
      </c>
      <c r="W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3">
        <f>IF(tblOrdenes[[#This Row],[centro_costo]]="","",_xlfn.XLOOKUP(tblOrdenes[[#This Row],[centro_costo]],tblCECO[codigo],tblCECO[coordinador],"(sin catálogo)"))</f>
        <v/>
      </c>
      <c r="Y772" s="3">
        <f>IF(tblOrdenes[[#This Row],[puesto_trabajo]]="","",_xlfn.XLOOKUP(tblOrdenes[[#This Row],[puesto_trabajo]],tblPuestos[codigo],tblPuestos[especialidad],"(sin catálogo)"))</f>
        <v/>
      </c>
      <c r="Z772" s="3">
        <f>IF(tblOrdenes[[#This Row],[cod_actividad]]="","",_xlfn.XLOOKUP(tblOrdenes[[#This Row],[cod_actividad]],tblActividades[codigo],tblActividades[descripcion],"(sin catálogo)"))</f>
        <v/>
      </c>
      <c r="AA772" s="12">
        <f>IF(tblOrdenes[[#This Row],[fecha_inicio]]="","",TODAY()-tblOrdenes[[#This Row],[fecha_inicio]])</f>
        <v/>
      </c>
      <c r="AB7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3">
        <f>IF(tblOrdenes[[#This Row],[backlog_habiles]]="","",IF(tblOrdenes[[#This Row],[backlog_habiles]]&lt;0,"FUTURO",IF(tblOrdenes[[#This Row],[backlog_habiles]]&gt;p_dias_backlog_max,"BACKLOG","MES CORRIENTE")))</f>
        <v/>
      </c>
      <c r="AD772" s="3">
        <f>IF(tblOrdenes[[#This Row],[backlog_habiles]]="",FALSE,AND(tblOrdenes[[#This Row],[backlog_habiles]]&gt;p_dias_backlog_min,tblOrdenes[[#This Row],[backlog_habiles]]&lt;=p_dias_backlog_max))</f>
        <v/>
      </c>
      <c r="AE772" s="6" t="n"/>
      <c r="AF7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0">
        <f>IF(tblOrdenes[[#This Row],[orden]]="","",_xlfn.XLOOKUP(tblOrdenes[[#This Row],[id_operacion]],tblEjecucion[id_operacion],tblEjecucion[precio],0))</f>
        <v/>
      </c>
      <c r="AJ772" s="10">
        <f>IF(tblOrdenes[[#This Row],[orden]]="","",MAX(0,_xlfn.XLOOKUP(tblOrdenes[[#This Row],[id_operacion]],tblEjecucion[id_operacion],tblEjecucion[costo_plan_total],0)-tblOrdenes[[#This Row],[costo_servicio]]))</f>
        <v/>
      </c>
      <c r="AK772" s="10">
        <f>IF(tblOrdenes[[#This Row],[orden]]="","",tblOrdenes[[#This Row],[costo_servicio]]+tblOrdenes[[#This Row],[costo_materiales]])</f>
        <v/>
      </c>
      <c r="AL772" s="6" t="n"/>
      <c r="AM772" s="6" t="n"/>
      <c r="AN772" s="6" t="n"/>
      <c r="AO772" s="3">
        <f>IF(tblOrdenes[[#This Row],[link_checklist]]="","",HYPERLINK(p_ruta_base_checklists&amp;tblOrdenes[[#This Row],[link_checklist]],"abrir"))</f>
        <v/>
      </c>
      <c r="AP772" s="6" t="n"/>
      <c r="AQ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3">
        <f>IF(tblOrdenes[[#This Row],[tipo_ot]]="","",_xlfn.XLOOKUP(tblOrdenes[[#This Row],[tipo_ot]],tblTiposOT[codigo],tblTiposOT[clasificacion],"sin_clasificar"))</f>
        <v/>
      </c>
      <c r="U773" s="3">
        <f>IF(tblOrdenes[[#This Row],[centro_costo]]="","",_xlfn.XLOOKUP(tblOrdenes[[#This Row],[centro_costo]],tblCECO[codigo],tblCECO[linea],"(sin catálogo)"))</f>
        <v/>
      </c>
      <c r="V773" s="3">
        <f>IF(tblOrdenes[[#This Row],[centro_costo]]="","",_xlfn.XLOOKUP(tblOrdenes[[#This Row],[centro_costo]],tblCECO[codigo],tblCECO[area],"(sin catálogo)"))</f>
        <v/>
      </c>
      <c r="W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3">
        <f>IF(tblOrdenes[[#This Row],[centro_costo]]="","",_xlfn.XLOOKUP(tblOrdenes[[#This Row],[centro_costo]],tblCECO[codigo],tblCECO[coordinador],"(sin catálogo)"))</f>
        <v/>
      </c>
      <c r="Y773" s="3">
        <f>IF(tblOrdenes[[#This Row],[puesto_trabajo]]="","",_xlfn.XLOOKUP(tblOrdenes[[#This Row],[puesto_trabajo]],tblPuestos[codigo],tblPuestos[especialidad],"(sin catálogo)"))</f>
        <v/>
      </c>
      <c r="Z773" s="3">
        <f>IF(tblOrdenes[[#This Row],[cod_actividad]]="","",_xlfn.XLOOKUP(tblOrdenes[[#This Row],[cod_actividad]],tblActividades[codigo],tblActividades[descripcion],"(sin catálogo)"))</f>
        <v/>
      </c>
      <c r="AA773" s="12">
        <f>IF(tblOrdenes[[#This Row],[fecha_inicio]]="","",TODAY()-tblOrdenes[[#This Row],[fecha_inicio]])</f>
        <v/>
      </c>
      <c r="AB7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3">
        <f>IF(tblOrdenes[[#This Row],[backlog_habiles]]="","",IF(tblOrdenes[[#This Row],[backlog_habiles]]&lt;0,"FUTURO",IF(tblOrdenes[[#This Row],[backlog_habiles]]&gt;p_dias_backlog_max,"BACKLOG","MES CORRIENTE")))</f>
        <v/>
      </c>
      <c r="AD773" s="3">
        <f>IF(tblOrdenes[[#This Row],[backlog_habiles]]="",FALSE,AND(tblOrdenes[[#This Row],[backlog_habiles]]&gt;p_dias_backlog_min,tblOrdenes[[#This Row],[backlog_habiles]]&lt;=p_dias_backlog_max))</f>
        <v/>
      </c>
      <c r="AE773" s="6" t="n"/>
      <c r="AF7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0">
        <f>IF(tblOrdenes[[#This Row],[orden]]="","",_xlfn.XLOOKUP(tblOrdenes[[#This Row],[id_operacion]],tblEjecucion[id_operacion],tblEjecucion[precio],0))</f>
        <v/>
      </c>
      <c r="AJ773" s="10">
        <f>IF(tblOrdenes[[#This Row],[orden]]="","",MAX(0,_xlfn.XLOOKUP(tblOrdenes[[#This Row],[id_operacion]],tblEjecucion[id_operacion],tblEjecucion[costo_plan_total],0)-tblOrdenes[[#This Row],[costo_servicio]]))</f>
        <v/>
      </c>
      <c r="AK773" s="10">
        <f>IF(tblOrdenes[[#This Row],[orden]]="","",tblOrdenes[[#This Row],[costo_servicio]]+tblOrdenes[[#This Row],[costo_materiales]])</f>
        <v/>
      </c>
      <c r="AL773" s="6" t="n"/>
      <c r="AM773" s="6" t="n"/>
      <c r="AN773" s="6" t="n"/>
      <c r="AO773" s="3">
        <f>IF(tblOrdenes[[#This Row],[link_checklist]]="","",HYPERLINK(p_ruta_base_checklists&amp;tblOrdenes[[#This Row],[link_checklist]],"abrir"))</f>
        <v/>
      </c>
      <c r="AP773" s="6" t="n"/>
      <c r="AQ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3">
        <f>IF(tblOrdenes[[#This Row],[tipo_ot]]="","",_xlfn.XLOOKUP(tblOrdenes[[#This Row],[tipo_ot]],tblTiposOT[codigo],tblTiposOT[clasificacion],"sin_clasificar"))</f>
        <v/>
      </c>
      <c r="U774" s="3">
        <f>IF(tblOrdenes[[#This Row],[centro_costo]]="","",_xlfn.XLOOKUP(tblOrdenes[[#This Row],[centro_costo]],tblCECO[codigo],tblCECO[linea],"(sin catálogo)"))</f>
        <v/>
      </c>
      <c r="V774" s="3">
        <f>IF(tblOrdenes[[#This Row],[centro_costo]]="","",_xlfn.XLOOKUP(tblOrdenes[[#This Row],[centro_costo]],tblCECO[codigo],tblCECO[area],"(sin catálogo)"))</f>
        <v/>
      </c>
      <c r="W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3">
        <f>IF(tblOrdenes[[#This Row],[centro_costo]]="","",_xlfn.XLOOKUP(tblOrdenes[[#This Row],[centro_costo]],tblCECO[codigo],tblCECO[coordinador],"(sin catálogo)"))</f>
        <v/>
      </c>
      <c r="Y774" s="3">
        <f>IF(tblOrdenes[[#This Row],[puesto_trabajo]]="","",_xlfn.XLOOKUP(tblOrdenes[[#This Row],[puesto_trabajo]],tblPuestos[codigo],tblPuestos[especialidad],"(sin catálogo)"))</f>
        <v/>
      </c>
      <c r="Z774" s="3">
        <f>IF(tblOrdenes[[#This Row],[cod_actividad]]="","",_xlfn.XLOOKUP(tblOrdenes[[#This Row],[cod_actividad]],tblActividades[codigo],tblActividades[descripcion],"(sin catálogo)"))</f>
        <v/>
      </c>
      <c r="AA774" s="12">
        <f>IF(tblOrdenes[[#This Row],[fecha_inicio]]="","",TODAY()-tblOrdenes[[#This Row],[fecha_inicio]])</f>
        <v/>
      </c>
      <c r="AB7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3">
        <f>IF(tblOrdenes[[#This Row],[backlog_habiles]]="","",IF(tblOrdenes[[#This Row],[backlog_habiles]]&lt;0,"FUTURO",IF(tblOrdenes[[#This Row],[backlog_habiles]]&gt;p_dias_backlog_max,"BACKLOG","MES CORRIENTE")))</f>
        <v/>
      </c>
      <c r="AD774" s="3">
        <f>IF(tblOrdenes[[#This Row],[backlog_habiles]]="",FALSE,AND(tblOrdenes[[#This Row],[backlog_habiles]]&gt;p_dias_backlog_min,tblOrdenes[[#This Row],[backlog_habiles]]&lt;=p_dias_backlog_max))</f>
        <v/>
      </c>
      <c r="AE774" s="6" t="n"/>
      <c r="AF7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0">
        <f>IF(tblOrdenes[[#This Row],[orden]]="","",_xlfn.XLOOKUP(tblOrdenes[[#This Row],[id_operacion]],tblEjecucion[id_operacion],tblEjecucion[precio],0))</f>
        <v/>
      </c>
      <c r="AJ774" s="10">
        <f>IF(tblOrdenes[[#This Row],[orden]]="","",MAX(0,_xlfn.XLOOKUP(tblOrdenes[[#This Row],[id_operacion]],tblEjecucion[id_operacion],tblEjecucion[costo_plan_total],0)-tblOrdenes[[#This Row],[costo_servicio]]))</f>
        <v/>
      </c>
      <c r="AK774" s="10">
        <f>IF(tblOrdenes[[#This Row],[orden]]="","",tblOrdenes[[#This Row],[costo_servicio]]+tblOrdenes[[#This Row],[costo_materiales]])</f>
        <v/>
      </c>
      <c r="AL774" s="6" t="n"/>
      <c r="AM774" s="6" t="n"/>
      <c r="AN774" s="6" t="n"/>
      <c r="AO774" s="3">
        <f>IF(tblOrdenes[[#This Row],[link_checklist]]="","",HYPERLINK(p_ruta_base_checklists&amp;tblOrdenes[[#This Row],[link_checklist]],"abrir"))</f>
        <v/>
      </c>
      <c r="AP774" s="6" t="n"/>
      <c r="AQ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3">
        <f>IF(tblOrdenes[[#This Row],[tipo_ot]]="","",_xlfn.XLOOKUP(tblOrdenes[[#This Row],[tipo_ot]],tblTiposOT[codigo],tblTiposOT[clasificacion],"sin_clasificar"))</f>
        <v/>
      </c>
      <c r="U775" s="3">
        <f>IF(tblOrdenes[[#This Row],[centro_costo]]="","",_xlfn.XLOOKUP(tblOrdenes[[#This Row],[centro_costo]],tblCECO[codigo],tblCECO[linea],"(sin catálogo)"))</f>
        <v/>
      </c>
      <c r="V775" s="3">
        <f>IF(tblOrdenes[[#This Row],[centro_costo]]="","",_xlfn.XLOOKUP(tblOrdenes[[#This Row],[centro_costo]],tblCECO[codigo],tblCECO[area],"(sin catálogo)"))</f>
        <v/>
      </c>
      <c r="W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3">
        <f>IF(tblOrdenes[[#This Row],[centro_costo]]="","",_xlfn.XLOOKUP(tblOrdenes[[#This Row],[centro_costo]],tblCECO[codigo],tblCECO[coordinador],"(sin catálogo)"))</f>
        <v/>
      </c>
      <c r="Y775" s="3">
        <f>IF(tblOrdenes[[#This Row],[puesto_trabajo]]="","",_xlfn.XLOOKUP(tblOrdenes[[#This Row],[puesto_trabajo]],tblPuestos[codigo],tblPuestos[especialidad],"(sin catálogo)"))</f>
        <v/>
      </c>
      <c r="Z775" s="3">
        <f>IF(tblOrdenes[[#This Row],[cod_actividad]]="","",_xlfn.XLOOKUP(tblOrdenes[[#This Row],[cod_actividad]],tblActividades[codigo],tblActividades[descripcion],"(sin catálogo)"))</f>
        <v/>
      </c>
      <c r="AA775" s="12">
        <f>IF(tblOrdenes[[#This Row],[fecha_inicio]]="","",TODAY()-tblOrdenes[[#This Row],[fecha_inicio]])</f>
        <v/>
      </c>
      <c r="AB7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3">
        <f>IF(tblOrdenes[[#This Row],[backlog_habiles]]="","",IF(tblOrdenes[[#This Row],[backlog_habiles]]&lt;0,"FUTURO",IF(tblOrdenes[[#This Row],[backlog_habiles]]&gt;p_dias_backlog_max,"BACKLOG","MES CORRIENTE")))</f>
        <v/>
      </c>
      <c r="AD775" s="3">
        <f>IF(tblOrdenes[[#This Row],[backlog_habiles]]="",FALSE,AND(tblOrdenes[[#This Row],[backlog_habiles]]&gt;p_dias_backlog_min,tblOrdenes[[#This Row],[backlog_habiles]]&lt;=p_dias_backlog_max))</f>
        <v/>
      </c>
      <c r="AE775" s="6" t="n"/>
      <c r="AF7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0">
        <f>IF(tblOrdenes[[#This Row],[orden]]="","",_xlfn.XLOOKUP(tblOrdenes[[#This Row],[id_operacion]],tblEjecucion[id_operacion],tblEjecucion[precio],0))</f>
        <v/>
      </c>
      <c r="AJ775" s="10">
        <f>IF(tblOrdenes[[#This Row],[orden]]="","",MAX(0,_xlfn.XLOOKUP(tblOrdenes[[#This Row],[id_operacion]],tblEjecucion[id_operacion],tblEjecucion[costo_plan_total],0)-tblOrdenes[[#This Row],[costo_servicio]]))</f>
        <v/>
      </c>
      <c r="AK775" s="10">
        <f>IF(tblOrdenes[[#This Row],[orden]]="","",tblOrdenes[[#This Row],[costo_servicio]]+tblOrdenes[[#This Row],[costo_materiales]])</f>
        <v/>
      </c>
      <c r="AL775" s="6" t="n"/>
      <c r="AM775" s="6" t="n"/>
      <c r="AN775" s="6" t="n"/>
      <c r="AO775" s="3">
        <f>IF(tblOrdenes[[#This Row],[link_checklist]]="","",HYPERLINK(p_ruta_base_checklists&amp;tblOrdenes[[#This Row],[link_checklist]],"abrir"))</f>
        <v/>
      </c>
      <c r="AP775" s="6" t="n"/>
      <c r="AQ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3">
        <f>IF(tblOrdenes[[#This Row],[tipo_ot]]="","",_xlfn.XLOOKUP(tblOrdenes[[#This Row],[tipo_ot]],tblTiposOT[codigo],tblTiposOT[clasificacion],"sin_clasificar"))</f>
        <v/>
      </c>
      <c r="U776" s="3">
        <f>IF(tblOrdenes[[#This Row],[centro_costo]]="","",_xlfn.XLOOKUP(tblOrdenes[[#This Row],[centro_costo]],tblCECO[codigo],tblCECO[linea],"(sin catálogo)"))</f>
        <v/>
      </c>
      <c r="V776" s="3">
        <f>IF(tblOrdenes[[#This Row],[centro_costo]]="","",_xlfn.XLOOKUP(tblOrdenes[[#This Row],[centro_costo]],tblCECO[codigo],tblCECO[area],"(sin catálogo)"))</f>
        <v/>
      </c>
      <c r="W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3">
        <f>IF(tblOrdenes[[#This Row],[centro_costo]]="","",_xlfn.XLOOKUP(tblOrdenes[[#This Row],[centro_costo]],tblCECO[codigo],tblCECO[coordinador],"(sin catálogo)"))</f>
        <v/>
      </c>
      <c r="Y776" s="3">
        <f>IF(tblOrdenes[[#This Row],[puesto_trabajo]]="","",_xlfn.XLOOKUP(tblOrdenes[[#This Row],[puesto_trabajo]],tblPuestos[codigo],tblPuestos[especialidad],"(sin catálogo)"))</f>
        <v/>
      </c>
      <c r="Z776" s="3">
        <f>IF(tblOrdenes[[#This Row],[cod_actividad]]="","",_xlfn.XLOOKUP(tblOrdenes[[#This Row],[cod_actividad]],tblActividades[codigo],tblActividades[descripcion],"(sin catálogo)"))</f>
        <v/>
      </c>
      <c r="AA776" s="12">
        <f>IF(tblOrdenes[[#This Row],[fecha_inicio]]="","",TODAY()-tblOrdenes[[#This Row],[fecha_inicio]])</f>
        <v/>
      </c>
      <c r="AB7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3">
        <f>IF(tblOrdenes[[#This Row],[backlog_habiles]]="","",IF(tblOrdenes[[#This Row],[backlog_habiles]]&lt;0,"FUTURO",IF(tblOrdenes[[#This Row],[backlog_habiles]]&gt;p_dias_backlog_max,"BACKLOG","MES CORRIENTE")))</f>
        <v/>
      </c>
      <c r="AD776" s="3">
        <f>IF(tblOrdenes[[#This Row],[backlog_habiles]]="",FALSE,AND(tblOrdenes[[#This Row],[backlog_habiles]]&gt;p_dias_backlog_min,tblOrdenes[[#This Row],[backlog_habiles]]&lt;=p_dias_backlog_max))</f>
        <v/>
      </c>
      <c r="AE776" s="6" t="n"/>
      <c r="AF7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0">
        <f>IF(tblOrdenes[[#This Row],[orden]]="","",_xlfn.XLOOKUP(tblOrdenes[[#This Row],[id_operacion]],tblEjecucion[id_operacion],tblEjecucion[precio],0))</f>
        <v/>
      </c>
      <c r="AJ776" s="10">
        <f>IF(tblOrdenes[[#This Row],[orden]]="","",MAX(0,_xlfn.XLOOKUP(tblOrdenes[[#This Row],[id_operacion]],tblEjecucion[id_operacion],tblEjecucion[costo_plan_total],0)-tblOrdenes[[#This Row],[costo_servicio]]))</f>
        <v/>
      </c>
      <c r="AK776" s="10">
        <f>IF(tblOrdenes[[#This Row],[orden]]="","",tblOrdenes[[#This Row],[costo_servicio]]+tblOrdenes[[#This Row],[costo_materiales]])</f>
        <v/>
      </c>
      <c r="AL776" s="6" t="n"/>
      <c r="AM776" s="6" t="n"/>
      <c r="AN776" s="6" t="n"/>
      <c r="AO776" s="3">
        <f>IF(tblOrdenes[[#This Row],[link_checklist]]="","",HYPERLINK(p_ruta_base_checklists&amp;tblOrdenes[[#This Row],[link_checklist]],"abrir"))</f>
        <v/>
      </c>
      <c r="AP776" s="6" t="n"/>
      <c r="AQ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3">
        <f>IF(tblOrdenes[[#This Row],[tipo_ot]]="","",_xlfn.XLOOKUP(tblOrdenes[[#This Row],[tipo_ot]],tblTiposOT[codigo],tblTiposOT[clasificacion],"sin_clasificar"))</f>
        <v/>
      </c>
      <c r="U777" s="3">
        <f>IF(tblOrdenes[[#This Row],[centro_costo]]="","",_xlfn.XLOOKUP(tblOrdenes[[#This Row],[centro_costo]],tblCECO[codigo],tblCECO[linea],"(sin catálogo)"))</f>
        <v/>
      </c>
      <c r="V777" s="3">
        <f>IF(tblOrdenes[[#This Row],[centro_costo]]="","",_xlfn.XLOOKUP(tblOrdenes[[#This Row],[centro_costo]],tblCECO[codigo],tblCECO[area],"(sin catálogo)"))</f>
        <v/>
      </c>
      <c r="W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3">
        <f>IF(tblOrdenes[[#This Row],[centro_costo]]="","",_xlfn.XLOOKUP(tblOrdenes[[#This Row],[centro_costo]],tblCECO[codigo],tblCECO[coordinador],"(sin catálogo)"))</f>
        <v/>
      </c>
      <c r="Y777" s="3">
        <f>IF(tblOrdenes[[#This Row],[puesto_trabajo]]="","",_xlfn.XLOOKUP(tblOrdenes[[#This Row],[puesto_trabajo]],tblPuestos[codigo],tblPuestos[especialidad],"(sin catálogo)"))</f>
        <v/>
      </c>
      <c r="Z777" s="3">
        <f>IF(tblOrdenes[[#This Row],[cod_actividad]]="","",_xlfn.XLOOKUP(tblOrdenes[[#This Row],[cod_actividad]],tblActividades[codigo],tblActividades[descripcion],"(sin catálogo)"))</f>
        <v/>
      </c>
      <c r="AA777" s="12">
        <f>IF(tblOrdenes[[#This Row],[fecha_inicio]]="","",TODAY()-tblOrdenes[[#This Row],[fecha_inicio]])</f>
        <v/>
      </c>
      <c r="AB7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3">
        <f>IF(tblOrdenes[[#This Row],[backlog_habiles]]="","",IF(tblOrdenes[[#This Row],[backlog_habiles]]&lt;0,"FUTURO",IF(tblOrdenes[[#This Row],[backlog_habiles]]&gt;p_dias_backlog_max,"BACKLOG","MES CORRIENTE")))</f>
        <v/>
      </c>
      <c r="AD777" s="3">
        <f>IF(tblOrdenes[[#This Row],[backlog_habiles]]="",FALSE,AND(tblOrdenes[[#This Row],[backlog_habiles]]&gt;p_dias_backlog_min,tblOrdenes[[#This Row],[backlog_habiles]]&lt;=p_dias_backlog_max))</f>
        <v/>
      </c>
      <c r="AE777" s="6" t="n"/>
      <c r="AF7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0">
        <f>IF(tblOrdenes[[#This Row],[orden]]="","",_xlfn.XLOOKUP(tblOrdenes[[#This Row],[id_operacion]],tblEjecucion[id_operacion],tblEjecucion[precio],0))</f>
        <v/>
      </c>
      <c r="AJ777" s="10">
        <f>IF(tblOrdenes[[#This Row],[orden]]="","",MAX(0,_xlfn.XLOOKUP(tblOrdenes[[#This Row],[id_operacion]],tblEjecucion[id_operacion],tblEjecucion[costo_plan_total],0)-tblOrdenes[[#This Row],[costo_servicio]]))</f>
        <v/>
      </c>
      <c r="AK777" s="10">
        <f>IF(tblOrdenes[[#This Row],[orden]]="","",tblOrdenes[[#This Row],[costo_servicio]]+tblOrdenes[[#This Row],[costo_materiales]])</f>
        <v/>
      </c>
      <c r="AL777" s="6" t="n"/>
      <c r="AM777" s="6" t="n"/>
      <c r="AN777" s="6" t="n"/>
      <c r="AO777" s="3">
        <f>IF(tblOrdenes[[#This Row],[link_checklist]]="","",HYPERLINK(p_ruta_base_checklists&amp;tblOrdenes[[#This Row],[link_checklist]],"abrir"))</f>
        <v/>
      </c>
      <c r="AP777" s="6" t="n"/>
      <c r="AQ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3">
        <f>IF(tblOrdenes[[#This Row],[tipo_ot]]="","",_xlfn.XLOOKUP(tblOrdenes[[#This Row],[tipo_ot]],tblTiposOT[codigo],tblTiposOT[clasificacion],"sin_clasificar"))</f>
        <v/>
      </c>
      <c r="U778" s="3">
        <f>IF(tblOrdenes[[#This Row],[centro_costo]]="","",_xlfn.XLOOKUP(tblOrdenes[[#This Row],[centro_costo]],tblCECO[codigo],tblCECO[linea],"(sin catálogo)"))</f>
        <v/>
      </c>
      <c r="V778" s="3">
        <f>IF(tblOrdenes[[#This Row],[centro_costo]]="","",_xlfn.XLOOKUP(tblOrdenes[[#This Row],[centro_costo]],tblCECO[codigo],tblCECO[area],"(sin catálogo)"))</f>
        <v/>
      </c>
      <c r="W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3">
        <f>IF(tblOrdenes[[#This Row],[centro_costo]]="","",_xlfn.XLOOKUP(tblOrdenes[[#This Row],[centro_costo]],tblCECO[codigo],tblCECO[coordinador],"(sin catálogo)"))</f>
        <v/>
      </c>
      <c r="Y778" s="3">
        <f>IF(tblOrdenes[[#This Row],[puesto_trabajo]]="","",_xlfn.XLOOKUP(tblOrdenes[[#This Row],[puesto_trabajo]],tblPuestos[codigo],tblPuestos[especialidad],"(sin catálogo)"))</f>
        <v/>
      </c>
      <c r="Z778" s="3">
        <f>IF(tblOrdenes[[#This Row],[cod_actividad]]="","",_xlfn.XLOOKUP(tblOrdenes[[#This Row],[cod_actividad]],tblActividades[codigo],tblActividades[descripcion],"(sin catálogo)"))</f>
        <v/>
      </c>
      <c r="AA778" s="12">
        <f>IF(tblOrdenes[[#This Row],[fecha_inicio]]="","",TODAY()-tblOrdenes[[#This Row],[fecha_inicio]])</f>
        <v/>
      </c>
      <c r="AB7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3">
        <f>IF(tblOrdenes[[#This Row],[backlog_habiles]]="","",IF(tblOrdenes[[#This Row],[backlog_habiles]]&lt;0,"FUTURO",IF(tblOrdenes[[#This Row],[backlog_habiles]]&gt;p_dias_backlog_max,"BACKLOG","MES CORRIENTE")))</f>
        <v/>
      </c>
      <c r="AD778" s="3">
        <f>IF(tblOrdenes[[#This Row],[backlog_habiles]]="",FALSE,AND(tblOrdenes[[#This Row],[backlog_habiles]]&gt;p_dias_backlog_min,tblOrdenes[[#This Row],[backlog_habiles]]&lt;=p_dias_backlog_max))</f>
        <v/>
      </c>
      <c r="AE778" s="6" t="n"/>
      <c r="AF7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0">
        <f>IF(tblOrdenes[[#This Row],[orden]]="","",_xlfn.XLOOKUP(tblOrdenes[[#This Row],[id_operacion]],tblEjecucion[id_operacion],tblEjecucion[precio],0))</f>
        <v/>
      </c>
      <c r="AJ778" s="10">
        <f>IF(tblOrdenes[[#This Row],[orden]]="","",MAX(0,_xlfn.XLOOKUP(tblOrdenes[[#This Row],[id_operacion]],tblEjecucion[id_operacion],tblEjecucion[costo_plan_total],0)-tblOrdenes[[#This Row],[costo_servicio]]))</f>
        <v/>
      </c>
      <c r="AK778" s="10">
        <f>IF(tblOrdenes[[#This Row],[orden]]="","",tblOrdenes[[#This Row],[costo_servicio]]+tblOrdenes[[#This Row],[costo_materiales]])</f>
        <v/>
      </c>
      <c r="AL778" s="6" t="n"/>
      <c r="AM778" s="6" t="n"/>
      <c r="AN778" s="6" t="n"/>
      <c r="AO778" s="3">
        <f>IF(tblOrdenes[[#This Row],[link_checklist]]="","",HYPERLINK(p_ruta_base_checklists&amp;tblOrdenes[[#This Row],[link_checklist]],"abrir"))</f>
        <v/>
      </c>
      <c r="AP778" s="6" t="n"/>
      <c r="AQ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3">
        <f>IF(tblOrdenes[[#This Row],[tipo_ot]]="","",_xlfn.XLOOKUP(tblOrdenes[[#This Row],[tipo_ot]],tblTiposOT[codigo],tblTiposOT[clasificacion],"sin_clasificar"))</f>
        <v/>
      </c>
      <c r="U779" s="3">
        <f>IF(tblOrdenes[[#This Row],[centro_costo]]="","",_xlfn.XLOOKUP(tblOrdenes[[#This Row],[centro_costo]],tblCECO[codigo],tblCECO[linea],"(sin catálogo)"))</f>
        <v/>
      </c>
      <c r="V779" s="3">
        <f>IF(tblOrdenes[[#This Row],[centro_costo]]="","",_xlfn.XLOOKUP(tblOrdenes[[#This Row],[centro_costo]],tblCECO[codigo],tblCECO[area],"(sin catálogo)"))</f>
        <v/>
      </c>
      <c r="W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3">
        <f>IF(tblOrdenes[[#This Row],[centro_costo]]="","",_xlfn.XLOOKUP(tblOrdenes[[#This Row],[centro_costo]],tblCECO[codigo],tblCECO[coordinador],"(sin catálogo)"))</f>
        <v/>
      </c>
      <c r="Y779" s="3">
        <f>IF(tblOrdenes[[#This Row],[puesto_trabajo]]="","",_xlfn.XLOOKUP(tblOrdenes[[#This Row],[puesto_trabajo]],tblPuestos[codigo],tblPuestos[especialidad],"(sin catálogo)"))</f>
        <v/>
      </c>
      <c r="Z779" s="3">
        <f>IF(tblOrdenes[[#This Row],[cod_actividad]]="","",_xlfn.XLOOKUP(tblOrdenes[[#This Row],[cod_actividad]],tblActividades[codigo],tblActividades[descripcion],"(sin catálogo)"))</f>
        <v/>
      </c>
      <c r="AA779" s="12">
        <f>IF(tblOrdenes[[#This Row],[fecha_inicio]]="","",TODAY()-tblOrdenes[[#This Row],[fecha_inicio]])</f>
        <v/>
      </c>
      <c r="AB7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3">
        <f>IF(tblOrdenes[[#This Row],[backlog_habiles]]="","",IF(tblOrdenes[[#This Row],[backlog_habiles]]&lt;0,"FUTURO",IF(tblOrdenes[[#This Row],[backlog_habiles]]&gt;p_dias_backlog_max,"BACKLOG","MES CORRIENTE")))</f>
        <v/>
      </c>
      <c r="AD779" s="3">
        <f>IF(tblOrdenes[[#This Row],[backlog_habiles]]="",FALSE,AND(tblOrdenes[[#This Row],[backlog_habiles]]&gt;p_dias_backlog_min,tblOrdenes[[#This Row],[backlog_habiles]]&lt;=p_dias_backlog_max))</f>
        <v/>
      </c>
      <c r="AE779" s="6" t="n"/>
      <c r="AF7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0">
        <f>IF(tblOrdenes[[#This Row],[orden]]="","",_xlfn.XLOOKUP(tblOrdenes[[#This Row],[id_operacion]],tblEjecucion[id_operacion],tblEjecucion[precio],0))</f>
        <v/>
      </c>
      <c r="AJ779" s="10">
        <f>IF(tblOrdenes[[#This Row],[orden]]="","",MAX(0,_xlfn.XLOOKUP(tblOrdenes[[#This Row],[id_operacion]],tblEjecucion[id_operacion],tblEjecucion[costo_plan_total],0)-tblOrdenes[[#This Row],[costo_servicio]]))</f>
        <v/>
      </c>
      <c r="AK779" s="10">
        <f>IF(tblOrdenes[[#This Row],[orden]]="","",tblOrdenes[[#This Row],[costo_servicio]]+tblOrdenes[[#This Row],[costo_materiales]])</f>
        <v/>
      </c>
      <c r="AL779" s="6" t="n"/>
      <c r="AM779" s="6" t="n"/>
      <c r="AN779" s="6" t="n"/>
      <c r="AO779" s="3">
        <f>IF(tblOrdenes[[#This Row],[link_checklist]]="","",HYPERLINK(p_ruta_base_checklists&amp;tblOrdenes[[#This Row],[link_checklist]],"abrir"))</f>
        <v/>
      </c>
      <c r="AP779" s="6" t="n"/>
      <c r="AQ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3">
        <f>IF(tblOrdenes[[#This Row],[tipo_ot]]="","",_xlfn.XLOOKUP(tblOrdenes[[#This Row],[tipo_ot]],tblTiposOT[codigo],tblTiposOT[clasificacion],"sin_clasificar"))</f>
        <v/>
      </c>
      <c r="U780" s="3">
        <f>IF(tblOrdenes[[#This Row],[centro_costo]]="","",_xlfn.XLOOKUP(tblOrdenes[[#This Row],[centro_costo]],tblCECO[codigo],tblCECO[linea],"(sin catálogo)"))</f>
        <v/>
      </c>
      <c r="V780" s="3">
        <f>IF(tblOrdenes[[#This Row],[centro_costo]]="","",_xlfn.XLOOKUP(tblOrdenes[[#This Row],[centro_costo]],tblCECO[codigo],tblCECO[area],"(sin catálogo)"))</f>
        <v/>
      </c>
      <c r="W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3">
        <f>IF(tblOrdenes[[#This Row],[centro_costo]]="","",_xlfn.XLOOKUP(tblOrdenes[[#This Row],[centro_costo]],tblCECO[codigo],tblCECO[coordinador],"(sin catálogo)"))</f>
        <v/>
      </c>
      <c r="Y780" s="3">
        <f>IF(tblOrdenes[[#This Row],[puesto_trabajo]]="","",_xlfn.XLOOKUP(tblOrdenes[[#This Row],[puesto_trabajo]],tblPuestos[codigo],tblPuestos[especialidad],"(sin catálogo)"))</f>
        <v/>
      </c>
      <c r="Z780" s="3">
        <f>IF(tblOrdenes[[#This Row],[cod_actividad]]="","",_xlfn.XLOOKUP(tblOrdenes[[#This Row],[cod_actividad]],tblActividades[codigo],tblActividades[descripcion],"(sin catálogo)"))</f>
        <v/>
      </c>
      <c r="AA780" s="12">
        <f>IF(tblOrdenes[[#This Row],[fecha_inicio]]="","",TODAY()-tblOrdenes[[#This Row],[fecha_inicio]])</f>
        <v/>
      </c>
      <c r="AB7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3">
        <f>IF(tblOrdenes[[#This Row],[backlog_habiles]]="","",IF(tblOrdenes[[#This Row],[backlog_habiles]]&lt;0,"FUTURO",IF(tblOrdenes[[#This Row],[backlog_habiles]]&gt;p_dias_backlog_max,"BACKLOG","MES CORRIENTE")))</f>
        <v/>
      </c>
      <c r="AD780" s="3">
        <f>IF(tblOrdenes[[#This Row],[backlog_habiles]]="",FALSE,AND(tblOrdenes[[#This Row],[backlog_habiles]]&gt;p_dias_backlog_min,tblOrdenes[[#This Row],[backlog_habiles]]&lt;=p_dias_backlog_max))</f>
        <v/>
      </c>
      <c r="AE780" s="6" t="n"/>
      <c r="AF7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0">
        <f>IF(tblOrdenes[[#This Row],[orden]]="","",_xlfn.XLOOKUP(tblOrdenes[[#This Row],[id_operacion]],tblEjecucion[id_operacion],tblEjecucion[precio],0))</f>
        <v/>
      </c>
      <c r="AJ780" s="10">
        <f>IF(tblOrdenes[[#This Row],[orden]]="","",MAX(0,_xlfn.XLOOKUP(tblOrdenes[[#This Row],[id_operacion]],tblEjecucion[id_operacion],tblEjecucion[costo_plan_total],0)-tblOrdenes[[#This Row],[costo_servicio]]))</f>
        <v/>
      </c>
      <c r="AK780" s="10">
        <f>IF(tblOrdenes[[#This Row],[orden]]="","",tblOrdenes[[#This Row],[costo_servicio]]+tblOrdenes[[#This Row],[costo_materiales]])</f>
        <v/>
      </c>
      <c r="AL780" s="6" t="n"/>
      <c r="AM780" s="6" t="n"/>
      <c r="AN780" s="6" t="n"/>
      <c r="AO780" s="3">
        <f>IF(tblOrdenes[[#This Row],[link_checklist]]="","",HYPERLINK(p_ruta_base_checklists&amp;tblOrdenes[[#This Row],[link_checklist]],"abrir"))</f>
        <v/>
      </c>
      <c r="AP780" s="6" t="n"/>
      <c r="AQ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3">
        <f>IF(tblOrdenes[[#This Row],[tipo_ot]]="","",_xlfn.XLOOKUP(tblOrdenes[[#This Row],[tipo_ot]],tblTiposOT[codigo],tblTiposOT[clasificacion],"sin_clasificar"))</f>
        <v/>
      </c>
      <c r="U781" s="3">
        <f>IF(tblOrdenes[[#This Row],[centro_costo]]="","",_xlfn.XLOOKUP(tblOrdenes[[#This Row],[centro_costo]],tblCECO[codigo],tblCECO[linea],"(sin catálogo)"))</f>
        <v/>
      </c>
      <c r="V781" s="3">
        <f>IF(tblOrdenes[[#This Row],[centro_costo]]="","",_xlfn.XLOOKUP(tblOrdenes[[#This Row],[centro_costo]],tblCECO[codigo],tblCECO[area],"(sin catálogo)"))</f>
        <v/>
      </c>
      <c r="W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3">
        <f>IF(tblOrdenes[[#This Row],[centro_costo]]="","",_xlfn.XLOOKUP(tblOrdenes[[#This Row],[centro_costo]],tblCECO[codigo],tblCECO[coordinador],"(sin catálogo)"))</f>
        <v/>
      </c>
      <c r="Y781" s="3">
        <f>IF(tblOrdenes[[#This Row],[puesto_trabajo]]="","",_xlfn.XLOOKUP(tblOrdenes[[#This Row],[puesto_trabajo]],tblPuestos[codigo],tblPuestos[especialidad],"(sin catálogo)"))</f>
        <v/>
      </c>
      <c r="Z781" s="3">
        <f>IF(tblOrdenes[[#This Row],[cod_actividad]]="","",_xlfn.XLOOKUP(tblOrdenes[[#This Row],[cod_actividad]],tblActividades[codigo],tblActividades[descripcion],"(sin catálogo)"))</f>
        <v/>
      </c>
      <c r="AA781" s="12">
        <f>IF(tblOrdenes[[#This Row],[fecha_inicio]]="","",TODAY()-tblOrdenes[[#This Row],[fecha_inicio]])</f>
        <v/>
      </c>
      <c r="AB7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3">
        <f>IF(tblOrdenes[[#This Row],[backlog_habiles]]="","",IF(tblOrdenes[[#This Row],[backlog_habiles]]&lt;0,"FUTURO",IF(tblOrdenes[[#This Row],[backlog_habiles]]&gt;p_dias_backlog_max,"BACKLOG","MES CORRIENTE")))</f>
        <v/>
      </c>
      <c r="AD781" s="3">
        <f>IF(tblOrdenes[[#This Row],[backlog_habiles]]="",FALSE,AND(tblOrdenes[[#This Row],[backlog_habiles]]&gt;p_dias_backlog_min,tblOrdenes[[#This Row],[backlog_habiles]]&lt;=p_dias_backlog_max))</f>
        <v/>
      </c>
      <c r="AE781" s="6" t="n"/>
      <c r="AF7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0">
        <f>IF(tblOrdenes[[#This Row],[orden]]="","",_xlfn.XLOOKUP(tblOrdenes[[#This Row],[id_operacion]],tblEjecucion[id_operacion],tblEjecucion[precio],0))</f>
        <v/>
      </c>
      <c r="AJ781" s="10">
        <f>IF(tblOrdenes[[#This Row],[orden]]="","",MAX(0,_xlfn.XLOOKUP(tblOrdenes[[#This Row],[id_operacion]],tblEjecucion[id_operacion],tblEjecucion[costo_plan_total],0)-tblOrdenes[[#This Row],[costo_servicio]]))</f>
        <v/>
      </c>
      <c r="AK781" s="10">
        <f>IF(tblOrdenes[[#This Row],[orden]]="","",tblOrdenes[[#This Row],[costo_servicio]]+tblOrdenes[[#This Row],[costo_materiales]])</f>
        <v/>
      </c>
      <c r="AL781" s="6" t="n"/>
      <c r="AM781" s="6" t="n"/>
      <c r="AN781" s="6" t="n"/>
      <c r="AO781" s="3">
        <f>IF(tblOrdenes[[#This Row],[link_checklist]]="","",HYPERLINK(p_ruta_base_checklists&amp;tblOrdenes[[#This Row],[link_checklist]],"abrir"))</f>
        <v/>
      </c>
      <c r="AP781" s="6" t="n"/>
      <c r="AQ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3">
        <f>IF(tblOrdenes[[#This Row],[tipo_ot]]="","",_xlfn.XLOOKUP(tblOrdenes[[#This Row],[tipo_ot]],tblTiposOT[codigo],tblTiposOT[clasificacion],"sin_clasificar"))</f>
        <v/>
      </c>
      <c r="U782" s="3">
        <f>IF(tblOrdenes[[#This Row],[centro_costo]]="","",_xlfn.XLOOKUP(tblOrdenes[[#This Row],[centro_costo]],tblCECO[codigo],tblCECO[linea],"(sin catálogo)"))</f>
        <v/>
      </c>
      <c r="V782" s="3">
        <f>IF(tblOrdenes[[#This Row],[centro_costo]]="","",_xlfn.XLOOKUP(tblOrdenes[[#This Row],[centro_costo]],tblCECO[codigo],tblCECO[area],"(sin catálogo)"))</f>
        <v/>
      </c>
      <c r="W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3">
        <f>IF(tblOrdenes[[#This Row],[centro_costo]]="","",_xlfn.XLOOKUP(tblOrdenes[[#This Row],[centro_costo]],tblCECO[codigo],tblCECO[coordinador],"(sin catálogo)"))</f>
        <v/>
      </c>
      <c r="Y782" s="3">
        <f>IF(tblOrdenes[[#This Row],[puesto_trabajo]]="","",_xlfn.XLOOKUP(tblOrdenes[[#This Row],[puesto_trabajo]],tblPuestos[codigo],tblPuestos[especialidad],"(sin catálogo)"))</f>
        <v/>
      </c>
      <c r="Z782" s="3">
        <f>IF(tblOrdenes[[#This Row],[cod_actividad]]="","",_xlfn.XLOOKUP(tblOrdenes[[#This Row],[cod_actividad]],tblActividades[codigo],tblActividades[descripcion],"(sin catálogo)"))</f>
        <v/>
      </c>
      <c r="AA782" s="12">
        <f>IF(tblOrdenes[[#This Row],[fecha_inicio]]="","",TODAY()-tblOrdenes[[#This Row],[fecha_inicio]])</f>
        <v/>
      </c>
      <c r="AB7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3">
        <f>IF(tblOrdenes[[#This Row],[backlog_habiles]]="","",IF(tblOrdenes[[#This Row],[backlog_habiles]]&lt;0,"FUTURO",IF(tblOrdenes[[#This Row],[backlog_habiles]]&gt;p_dias_backlog_max,"BACKLOG","MES CORRIENTE")))</f>
        <v/>
      </c>
      <c r="AD782" s="3">
        <f>IF(tblOrdenes[[#This Row],[backlog_habiles]]="",FALSE,AND(tblOrdenes[[#This Row],[backlog_habiles]]&gt;p_dias_backlog_min,tblOrdenes[[#This Row],[backlog_habiles]]&lt;=p_dias_backlog_max))</f>
        <v/>
      </c>
      <c r="AE782" s="6" t="n"/>
      <c r="AF7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0">
        <f>IF(tblOrdenes[[#This Row],[orden]]="","",_xlfn.XLOOKUP(tblOrdenes[[#This Row],[id_operacion]],tblEjecucion[id_operacion],tblEjecucion[precio],0))</f>
        <v/>
      </c>
      <c r="AJ782" s="10">
        <f>IF(tblOrdenes[[#This Row],[orden]]="","",MAX(0,_xlfn.XLOOKUP(tblOrdenes[[#This Row],[id_operacion]],tblEjecucion[id_operacion],tblEjecucion[costo_plan_total],0)-tblOrdenes[[#This Row],[costo_servicio]]))</f>
        <v/>
      </c>
      <c r="AK782" s="10">
        <f>IF(tblOrdenes[[#This Row],[orden]]="","",tblOrdenes[[#This Row],[costo_servicio]]+tblOrdenes[[#This Row],[costo_materiales]])</f>
        <v/>
      </c>
      <c r="AL782" s="6" t="n"/>
      <c r="AM782" s="6" t="n"/>
      <c r="AN782" s="6" t="n"/>
      <c r="AO782" s="3">
        <f>IF(tblOrdenes[[#This Row],[link_checklist]]="","",HYPERLINK(p_ruta_base_checklists&amp;tblOrdenes[[#This Row],[link_checklist]],"abrir"))</f>
        <v/>
      </c>
      <c r="AP782" s="6" t="n"/>
      <c r="AQ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3">
        <f>IF(tblOrdenes[[#This Row],[tipo_ot]]="","",_xlfn.XLOOKUP(tblOrdenes[[#This Row],[tipo_ot]],tblTiposOT[codigo],tblTiposOT[clasificacion],"sin_clasificar"))</f>
        <v/>
      </c>
      <c r="U783" s="3">
        <f>IF(tblOrdenes[[#This Row],[centro_costo]]="","",_xlfn.XLOOKUP(tblOrdenes[[#This Row],[centro_costo]],tblCECO[codigo],tblCECO[linea],"(sin catálogo)"))</f>
        <v/>
      </c>
      <c r="V783" s="3">
        <f>IF(tblOrdenes[[#This Row],[centro_costo]]="","",_xlfn.XLOOKUP(tblOrdenes[[#This Row],[centro_costo]],tblCECO[codigo],tblCECO[area],"(sin catálogo)"))</f>
        <v/>
      </c>
      <c r="W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3">
        <f>IF(tblOrdenes[[#This Row],[centro_costo]]="","",_xlfn.XLOOKUP(tblOrdenes[[#This Row],[centro_costo]],tblCECO[codigo],tblCECO[coordinador],"(sin catálogo)"))</f>
        <v/>
      </c>
      <c r="Y783" s="3">
        <f>IF(tblOrdenes[[#This Row],[puesto_trabajo]]="","",_xlfn.XLOOKUP(tblOrdenes[[#This Row],[puesto_trabajo]],tblPuestos[codigo],tblPuestos[especialidad],"(sin catálogo)"))</f>
        <v/>
      </c>
      <c r="Z783" s="3">
        <f>IF(tblOrdenes[[#This Row],[cod_actividad]]="","",_xlfn.XLOOKUP(tblOrdenes[[#This Row],[cod_actividad]],tblActividades[codigo],tblActividades[descripcion],"(sin catálogo)"))</f>
        <v/>
      </c>
      <c r="AA783" s="12">
        <f>IF(tblOrdenes[[#This Row],[fecha_inicio]]="","",TODAY()-tblOrdenes[[#This Row],[fecha_inicio]])</f>
        <v/>
      </c>
      <c r="AB7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3">
        <f>IF(tblOrdenes[[#This Row],[backlog_habiles]]="","",IF(tblOrdenes[[#This Row],[backlog_habiles]]&lt;0,"FUTURO",IF(tblOrdenes[[#This Row],[backlog_habiles]]&gt;p_dias_backlog_max,"BACKLOG","MES CORRIENTE")))</f>
        <v/>
      </c>
      <c r="AD783" s="3">
        <f>IF(tblOrdenes[[#This Row],[backlog_habiles]]="",FALSE,AND(tblOrdenes[[#This Row],[backlog_habiles]]&gt;p_dias_backlog_min,tblOrdenes[[#This Row],[backlog_habiles]]&lt;=p_dias_backlog_max))</f>
        <v/>
      </c>
      <c r="AE783" s="6" t="n"/>
      <c r="AF7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0">
        <f>IF(tblOrdenes[[#This Row],[orden]]="","",_xlfn.XLOOKUP(tblOrdenes[[#This Row],[id_operacion]],tblEjecucion[id_operacion],tblEjecucion[precio],0))</f>
        <v/>
      </c>
      <c r="AJ783" s="10">
        <f>IF(tblOrdenes[[#This Row],[orden]]="","",MAX(0,_xlfn.XLOOKUP(tblOrdenes[[#This Row],[id_operacion]],tblEjecucion[id_operacion],tblEjecucion[costo_plan_total],0)-tblOrdenes[[#This Row],[costo_servicio]]))</f>
        <v/>
      </c>
      <c r="AK783" s="10">
        <f>IF(tblOrdenes[[#This Row],[orden]]="","",tblOrdenes[[#This Row],[costo_servicio]]+tblOrdenes[[#This Row],[costo_materiales]])</f>
        <v/>
      </c>
      <c r="AL783" s="6" t="n"/>
      <c r="AM783" s="6" t="n"/>
      <c r="AN783" s="6" t="n"/>
      <c r="AO783" s="3">
        <f>IF(tblOrdenes[[#This Row],[link_checklist]]="","",HYPERLINK(p_ruta_base_checklists&amp;tblOrdenes[[#This Row],[link_checklist]],"abrir"))</f>
        <v/>
      </c>
      <c r="AP783" s="6" t="n"/>
      <c r="AQ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3">
        <f>IF(tblOrdenes[[#This Row],[tipo_ot]]="","",_xlfn.XLOOKUP(tblOrdenes[[#This Row],[tipo_ot]],tblTiposOT[codigo],tblTiposOT[clasificacion],"sin_clasificar"))</f>
        <v/>
      </c>
      <c r="U784" s="3">
        <f>IF(tblOrdenes[[#This Row],[centro_costo]]="","",_xlfn.XLOOKUP(tblOrdenes[[#This Row],[centro_costo]],tblCECO[codigo],tblCECO[linea],"(sin catálogo)"))</f>
        <v/>
      </c>
      <c r="V784" s="3">
        <f>IF(tblOrdenes[[#This Row],[centro_costo]]="","",_xlfn.XLOOKUP(tblOrdenes[[#This Row],[centro_costo]],tblCECO[codigo],tblCECO[area],"(sin catálogo)"))</f>
        <v/>
      </c>
      <c r="W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3">
        <f>IF(tblOrdenes[[#This Row],[centro_costo]]="","",_xlfn.XLOOKUP(tblOrdenes[[#This Row],[centro_costo]],tblCECO[codigo],tblCECO[coordinador],"(sin catálogo)"))</f>
        <v/>
      </c>
      <c r="Y784" s="3">
        <f>IF(tblOrdenes[[#This Row],[puesto_trabajo]]="","",_xlfn.XLOOKUP(tblOrdenes[[#This Row],[puesto_trabajo]],tblPuestos[codigo],tblPuestos[especialidad],"(sin catálogo)"))</f>
        <v/>
      </c>
      <c r="Z784" s="3">
        <f>IF(tblOrdenes[[#This Row],[cod_actividad]]="","",_xlfn.XLOOKUP(tblOrdenes[[#This Row],[cod_actividad]],tblActividades[codigo],tblActividades[descripcion],"(sin catálogo)"))</f>
        <v/>
      </c>
      <c r="AA784" s="12">
        <f>IF(tblOrdenes[[#This Row],[fecha_inicio]]="","",TODAY()-tblOrdenes[[#This Row],[fecha_inicio]])</f>
        <v/>
      </c>
      <c r="AB7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3">
        <f>IF(tblOrdenes[[#This Row],[backlog_habiles]]="","",IF(tblOrdenes[[#This Row],[backlog_habiles]]&lt;0,"FUTURO",IF(tblOrdenes[[#This Row],[backlog_habiles]]&gt;p_dias_backlog_max,"BACKLOG","MES CORRIENTE")))</f>
        <v/>
      </c>
      <c r="AD784" s="3">
        <f>IF(tblOrdenes[[#This Row],[backlog_habiles]]="",FALSE,AND(tblOrdenes[[#This Row],[backlog_habiles]]&gt;p_dias_backlog_min,tblOrdenes[[#This Row],[backlog_habiles]]&lt;=p_dias_backlog_max))</f>
        <v/>
      </c>
      <c r="AE784" s="6" t="n"/>
      <c r="AF7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0">
        <f>IF(tblOrdenes[[#This Row],[orden]]="","",_xlfn.XLOOKUP(tblOrdenes[[#This Row],[id_operacion]],tblEjecucion[id_operacion],tblEjecucion[precio],0))</f>
        <v/>
      </c>
      <c r="AJ784" s="10">
        <f>IF(tblOrdenes[[#This Row],[orden]]="","",MAX(0,_xlfn.XLOOKUP(tblOrdenes[[#This Row],[id_operacion]],tblEjecucion[id_operacion],tblEjecucion[costo_plan_total],0)-tblOrdenes[[#This Row],[costo_servicio]]))</f>
        <v/>
      </c>
      <c r="AK784" s="10">
        <f>IF(tblOrdenes[[#This Row],[orden]]="","",tblOrdenes[[#This Row],[costo_servicio]]+tblOrdenes[[#This Row],[costo_materiales]])</f>
        <v/>
      </c>
      <c r="AL784" s="6" t="n"/>
      <c r="AM784" s="6" t="n"/>
      <c r="AN784" s="6" t="n"/>
      <c r="AO784" s="3">
        <f>IF(tblOrdenes[[#This Row],[link_checklist]]="","",HYPERLINK(p_ruta_base_checklists&amp;tblOrdenes[[#This Row],[link_checklist]],"abrir"))</f>
        <v/>
      </c>
      <c r="AP784" s="6" t="n"/>
      <c r="AQ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3">
        <f>IF(tblOrdenes[[#This Row],[tipo_ot]]="","",_xlfn.XLOOKUP(tblOrdenes[[#This Row],[tipo_ot]],tblTiposOT[codigo],tblTiposOT[clasificacion],"sin_clasificar"))</f>
        <v/>
      </c>
      <c r="U785" s="3">
        <f>IF(tblOrdenes[[#This Row],[centro_costo]]="","",_xlfn.XLOOKUP(tblOrdenes[[#This Row],[centro_costo]],tblCECO[codigo],tblCECO[linea],"(sin catálogo)"))</f>
        <v/>
      </c>
      <c r="V785" s="3">
        <f>IF(tblOrdenes[[#This Row],[centro_costo]]="","",_xlfn.XLOOKUP(tblOrdenes[[#This Row],[centro_costo]],tblCECO[codigo],tblCECO[area],"(sin catálogo)"))</f>
        <v/>
      </c>
      <c r="W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3">
        <f>IF(tblOrdenes[[#This Row],[centro_costo]]="","",_xlfn.XLOOKUP(tblOrdenes[[#This Row],[centro_costo]],tblCECO[codigo],tblCECO[coordinador],"(sin catálogo)"))</f>
        <v/>
      </c>
      <c r="Y785" s="3">
        <f>IF(tblOrdenes[[#This Row],[puesto_trabajo]]="","",_xlfn.XLOOKUP(tblOrdenes[[#This Row],[puesto_trabajo]],tblPuestos[codigo],tblPuestos[especialidad],"(sin catálogo)"))</f>
        <v/>
      </c>
      <c r="Z785" s="3">
        <f>IF(tblOrdenes[[#This Row],[cod_actividad]]="","",_xlfn.XLOOKUP(tblOrdenes[[#This Row],[cod_actividad]],tblActividades[codigo],tblActividades[descripcion],"(sin catálogo)"))</f>
        <v/>
      </c>
      <c r="AA785" s="12">
        <f>IF(tblOrdenes[[#This Row],[fecha_inicio]]="","",TODAY()-tblOrdenes[[#This Row],[fecha_inicio]])</f>
        <v/>
      </c>
      <c r="AB7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3">
        <f>IF(tblOrdenes[[#This Row],[backlog_habiles]]="","",IF(tblOrdenes[[#This Row],[backlog_habiles]]&lt;0,"FUTURO",IF(tblOrdenes[[#This Row],[backlog_habiles]]&gt;p_dias_backlog_max,"BACKLOG","MES CORRIENTE")))</f>
        <v/>
      </c>
      <c r="AD785" s="3">
        <f>IF(tblOrdenes[[#This Row],[backlog_habiles]]="",FALSE,AND(tblOrdenes[[#This Row],[backlog_habiles]]&gt;p_dias_backlog_min,tblOrdenes[[#This Row],[backlog_habiles]]&lt;=p_dias_backlog_max))</f>
        <v/>
      </c>
      <c r="AE785" s="6" t="n"/>
      <c r="AF7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0">
        <f>IF(tblOrdenes[[#This Row],[orden]]="","",_xlfn.XLOOKUP(tblOrdenes[[#This Row],[id_operacion]],tblEjecucion[id_operacion],tblEjecucion[precio],0))</f>
        <v/>
      </c>
      <c r="AJ785" s="10">
        <f>IF(tblOrdenes[[#This Row],[orden]]="","",MAX(0,_xlfn.XLOOKUP(tblOrdenes[[#This Row],[id_operacion]],tblEjecucion[id_operacion],tblEjecucion[costo_plan_total],0)-tblOrdenes[[#This Row],[costo_servicio]]))</f>
        <v/>
      </c>
      <c r="AK785" s="10">
        <f>IF(tblOrdenes[[#This Row],[orden]]="","",tblOrdenes[[#This Row],[costo_servicio]]+tblOrdenes[[#This Row],[costo_materiales]])</f>
        <v/>
      </c>
      <c r="AL785" s="6" t="n"/>
      <c r="AM785" s="6" t="n"/>
      <c r="AN785" s="6" t="n"/>
      <c r="AO785" s="3">
        <f>IF(tblOrdenes[[#This Row],[link_checklist]]="","",HYPERLINK(p_ruta_base_checklists&amp;tblOrdenes[[#This Row],[link_checklist]],"abrir"))</f>
        <v/>
      </c>
      <c r="AP785" s="6" t="n"/>
      <c r="AQ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3">
        <f>IF(tblOrdenes[[#This Row],[tipo_ot]]="","",_xlfn.XLOOKUP(tblOrdenes[[#This Row],[tipo_ot]],tblTiposOT[codigo],tblTiposOT[clasificacion],"sin_clasificar"))</f>
        <v/>
      </c>
      <c r="U786" s="3">
        <f>IF(tblOrdenes[[#This Row],[centro_costo]]="","",_xlfn.XLOOKUP(tblOrdenes[[#This Row],[centro_costo]],tblCECO[codigo],tblCECO[linea],"(sin catálogo)"))</f>
        <v/>
      </c>
      <c r="V786" s="3">
        <f>IF(tblOrdenes[[#This Row],[centro_costo]]="","",_xlfn.XLOOKUP(tblOrdenes[[#This Row],[centro_costo]],tblCECO[codigo],tblCECO[area],"(sin catálogo)"))</f>
        <v/>
      </c>
      <c r="W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3">
        <f>IF(tblOrdenes[[#This Row],[centro_costo]]="","",_xlfn.XLOOKUP(tblOrdenes[[#This Row],[centro_costo]],tblCECO[codigo],tblCECO[coordinador],"(sin catálogo)"))</f>
        <v/>
      </c>
      <c r="Y786" s="3">
        <f>IF(tblOrdenes[[#This Row],[puesto_trabajo]]="","",_xlfn.XLOOKUP(tblOrdenes[[#This Row],[puesto_trabajo]],tblPuestos[codigo],tblPuestos[especialidad],"(sin catálogo)"))</f>
        <v/>
      </c>
      <c r="Z786" s="3">
        <f>IF(tblOrdenes[[#This Row],[cod_actividad]]="","",_xlfn.XLOOKUP(tblOrdenes[[#This Row],[cod_actividad]],tblActividades[codigo],tblActividades[descripcion],"(sin catálogo)"))</f>
        <v/>
      </c>
      <c r="AA786" s="12">
        <f>IF(tblOrdenes[[#This Row],[fecha_inicio]]="","",TODAY()-tblOrdenes[[#This Row],[fecha_inicio]])</f>
        <v/>
      </c>
      <c r="AB7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3">
        <f>IF(tblOrdenes[[#This Row],[backlog_habiles]]="","",IF(tblOrdenes[[#This Row],[backlog_habiles]]&lt;0,"FUTURO",IF(tblOrdenes[[#This Row],[backlog_habiles]]&gt;p_dias_backlog_max,"BACKLOG","MES CORRIENTE")))</f>
        <v/>
      </c>
      <c r="AD786" s="3">
        <f>IF(tblOrdenes[[#This Row],[backlog_habiles]]="",FALSE,AND(tblOrdenes[[#This Row],[backlog_habiles]]&gt;p_dias_backlog_min,tblOrdenes[[#This Row],[backlog_habiles]]&lt;=p_dias_backlog_max))</f>
        <v/>
      </c>
      <c r="AE786" s="6" t="n"/>
      <c r="AF7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0">
        <f>IF(tblOrdenes[[#This Row],[orden]]="","",_xlfn.XLOOKUP(tblOrdenes[[#This Row],[id_operacion]],tblEjecucion[id_operacion],tblEjecucion[precio],0))</f>
        <v/>
      </c>
      <c r="AJ786" s="10">
        <f>IF(tblOrdenes[[#This Row],[orden]]="","",MAX(0,_xlfn.XLOOKUP(tblOrdenes[[#This Row],[id_operacion]],tblEjecucion[id_operacion],tblEjecucion[costo_plan_total],0)-tblOrdenes[[#This Row],[costo_servicio]]))</f>
        <v/>
      </c>
      <c r="AK786" s="10">
        <f>IF(tblOrdenes[[#This Row],[orden]]="","",tblOrdenes[[#This Row],[costo_servicio]]+tblOrdenes[[#This Row],[costo_materiales]])</f>
        <v/>
      </c>
      <c r="AL786" s="6" t="n"/>
      <c r="AM786" s="6" t="n"/>
      <c r="AN786" s="6" t="n"/>
      <c r="AO786" s="3">
        <f>IF(tblOrdenes[[#This Row],[link_checklist]]="","",HYPERLINK(p_ruta_base_checklists&amp;tblOrdenes[[#This Row],[link_checklist]],"abrir"))</f>
        <v/>
      </c>
      <c r="AP786" s="6" t="n"/>
      <c r="AQ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3">
        <f>IF(tblOrdenes[[#This Row],[tipo_ot]]="","",_xlfn.XLOOKUP(tblOrdenes[[#This Row],[tipo_ot]],tblTiposOT[codigo],tblTiposOT[clasificacion],"sin_clasificar"))</f>
        <v/>
      </c>
      <c r="U787" s="3">
        <f>IF(tblOrdenes[[#This Row],[centro_costo]]="","",_xlfn.XLOOKUP(tblOrdenes[[#This Row],[centro_costo]],tblCECO[codigo],tblCECO[linea],"(sin catálogo)"))</f>
        <v/>
      </c>
      <c r="V787" s="3">
        <f>IF(tblOrdenes[[#This Row],[centro_costo]]="","",_xlfn.XLOOKUP(tblOrdenes[[#This Row],[centro_costo]],tblCECO[codigo],tblCECO[area],"(sin catálogo)"))</f>
        <v/>
      </c>
      <c r="W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3">
        <f>IF(tblOrdenes[[#This Row],[centro_costo]]="","",_xlfn.XLOOKUP(tblOrdenes[[#This Row],[centro_costo]],tblCECO[codigo],tblCECO[coordinador],"(sin catálogo)"))</f>
        <v/>
      </c>
      <c r="Y787" s="3">
        <f>IF(tblOrdenes[[#This Row],[puesto_trabajo]]="","",_xlfn.XLOOKUP(tblOrdenes[[#This Row],[puesto_trabajo]],tblPuestos[codigo],tblPuestos[especialidad],"(sin catálogo)"))</f>
        <v/>
      </c>
      <c r="Z787" s="3">
        <f>IF(tblOrdenes[[#This Row],[cod_actividad]]="","",_xlfn.XLOOKUP(tblOrdenes[[#This Row],[cod_actividad]],tblActividades[codigo],tblActividades[descripcion],"(sin catálogo)"))</f>
        <v/>
      </c>
      <c r="AA787" s="12">
        <f>IF(tblOrdenes[[#This Row],[fecha_inicio]]="","",TODAY()-tblOrdenes[[#This Row],[fecha_inicio]])</f>
        <v/>
      </c>
      <c r="AB7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3">
        <f>IF(tblOrdenes[[#This Row],[backlog_habiles]]="","",IF(tblOrdenes[[#This Row],[backlog_habiles]]&lt;0,"FUTURO",IF(tblOrdenes[[#This Row],[backlog_habiles]]&gt;p_dias_backlog_max,"BACKLOG","MES CORRIENTE")))</f>
        <v/>
      </c>
      <c r="AD787" s="3">
        <f>IF(tblOrdenes[[#This Row],[backlog_habiles]]="",FALSE,AND(tblOrdenes[[#This Row],[backlog_habiles]]&gt;p_dias_backlog_min,tblOrdenes[[#This Row],[backlog_habiles]]&lt;=p_dias_backlog_max))</f>
        <v/>
      </c>
      <c r="AE787" s="6" t="n"/>
      <c r="AF7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0">
        <f>IF(tblOrdenes[[#This Row],[orden]]="","",_xlfn.XLOOKUP(tblOrdenes[[#This Row],[id_operacion]],tblEjecucion[id_operacion],tblEjecucion[precio],0))</f>
        <v/>
      </c>
      <c r="AJ787" s="10">
        <f>IF(tblOrdenes[[#This Row],[orden]]="","",MAX(0,_xlfn.XLOOKUP(tblOrdenes[[#This Row],[id_operacion]],tblEjecucion[id_operacion],tblEjecucion[costo_plan_total],0)-tblOrdenes[[#This Row],[costo_servicio]]))</f>
        <v/>
      </c>
      <c r="AK787" s="10">
        <f>IF(tblOrdenes[[#This Row],[orden]]="","",tblOrdenes[[#This Row],[costo_servicio]]+tblOrdenes[[#This Row],[costo_materiales]])</f>
        <v/>
      </c>
      <c r="AL787" s="6" t="n"/>
      <c r="AM787" s="6" t="n"/>
      <c r="AN787" s="6" t="n"/>
      <c r="AO787" s="3">
        <f>IF(tblOrdenes[[#This Row],[link_checklist]]="","",HYPERLINK(p_ruta_base_checklists&amp;tblOrdenes[[#This Row],[link_checklist]],"abrir"))</f>
        <v/>
      </c>
      <c r="AP787" s="6" t="n"/>
      <c r="AQ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3">
        <f>IF(tblOrdenes[[#This Row],[tipo_ot]]="","",_xlfn.XLOOKUP(tblOrdenes[[#This Row],[tipo_ot]],tblTiposOT[codigo],tblTiposOT[clasificacion],"sin_clasificar"))</f>
        <v/>
      </c>
      <c r="U788" s="3">
        <f>IF(tblOrdenes[[#This Row],[centro_costo]]="","",_xlfn.XLOOKUP(tblOrdenes[[#This Row],[centro_costo]],tblCECO[codigo],tblCECO[linea],"(sin catálogo)"))</f>
        <v/>
      </c>
      <c r="V788" s="3">
        <f>IF(tblOrdenes[[#This Row],[centro_costo]]="","",_xlfn.XLOOKUP(tblOrdenes[[#This Row],[centro_costo]],tblCECO[codigo],tblCECO[area],"(sin catálogo)"))</f>
        <v/>
      </c>
      <c r="W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3">
        <f>IF(tblOrdenes[[#This Row],[centro_costo]]="","",_xlfn.XLOOKUP(tblOrdenes[[#This Row],[centro_costo]],tblCECO[codigo],tblCECO[coordinador],"(sin catálogo)"))</f>
        <v/>
      </c>
      <c r="Y788" s="3">
        <f>IF(tblOrdenes[[#This Row],[puesto_trabajo]]="","",_xlfn.XLOOKUP(tblOrdenes[[#This Row],[puesto_trabajo]],tblPuestos[codigo],tblPuestos[especialidad],"(sin catálogo)"))</f>
        <v/>
      </c>
      <c r="Z788" s="3">
        <f>IF(tblOrdenes[[#This Row],[cod_actividad]]="","",_xlfn.XLOOKUP(tblOrdenes[[#This Row],[cod_actividad]],tblActividades[codigo],tblActividades[descripcion],"(sin catálogo)"))</f>
        <v/>
      </c>
      <c r="AA788" s="12">
        <f>IF(tblOrdenes[[#This Row],[fecha_inicio]]="","",TODAY()-tblOrdenes[[#This Row],[fecha_inicio]])</f>
        <v/>
      </c>
      <c r="AB7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3">
        <f>IF(tblOrdenes[[#This Row],[backlog_habiles]]="","",IF(tblOrdenes[[#This Row],[backlog_habiles]]&lt;0,"FUTURO",IF(tblOrdenes[[#This Row],[backlog_habiles]]&gt;p_dias_backlog_max,"BACKLOG","MES CORRIENTE")))</f>
        <v/>
      </c>
      <c r="AD788" s="3">
        <f>IF(tblOrdenes[[#This Row],[backlog_habiles]]="",FALSE,AND(tblOrdenes[[#This Row],[backlog_habiles]]&gt;p_dias_backlog_min,tblOrdenes[[#This Row],[backlog_habiles]]&lt;=p_dias_backlog_max))</f>
        <v/>
      </c>
      <c r="AE788" s="6" t="n"/>
      <c r="AF7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0">
        <f>IF(tblOrdenes[[#This Row],[orden]]="","",_xlfn.XLOOKUP(tblOrdenes[[#This Row],[id_operacion]],tblEjecucion[id_operacion],tblEjecucion[precio],0))</f>
        <v/>
      </c>
      <c r="AJ788" s="10">
        <f>IF(tblOrdenes[[#This Row],[orden]]="","",MAX(0,_xlfn.XLOOKUP(tblOrdenes[[#This Row],[id_operacion]],tblEjecucion[id_operacion],tblEjecucion[costo_plan_total],0)-tblOrdenes[[#This Row],[costo_servicio]]))</f>
        <v/>
      </c>
      <c r="AK788" s="10">
        <f>IF(tblOrdenes[[#This Row],[orden]]="","",tblOrdenes[[#This Row],[costo_servicio]]+tblOrdenes[[#This Row],[costo_materiales]])</f>
        <v/>
      </c>
      <c r="AL788" s="6" t="n"/>
      <c r="AM788" s="6" t="n"/>
      <c r="AN788" s="6" t="n"/>
      <c r="AO788" s="3">
        <f>IF(tblOrdenes[[#This Row],[link_checklist]]="","",HYPERLINK(p_ruta_base_checklists&amp;tblOrdenes[[#This Row],[link_checklist]],"abrir"))</f>
        <v/>
      </c>
      <c r="AP788" s="6" t="n"/>
      <c r="AQ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3">
        <f>IF(tblOrdenes[[#This Row],[tipo_ot]]="","",_xlfn.XLOOKUP(tblOrdenes[[#This Row],[tipo_ot]],tblTiposOT[codigo],tblTiposOT[clasificacion],"sin_clasificar"))</f>
        <v/>
      </c>
      <c r="U789" s="3">
        <f>IF(tblOrdenes[[#This Row],[centro_costo]]="","",_xlfn.XLOOKUP(tblOrdenes[[#This Row],[centro_costo]],tblCECO[codigo],tblCECO[linea],"(sin catálogo)"))</f>
        <v/>
      </c>
      <c r="V789" s="3">
        <f>IF(tblOrdenes[[#This Row],[centro_costo]]="","",_xlfn.XLOOKUP(tblOrdenes[[#This Row],[centro_costo]],tblCECO[codigo],tblCECO[area],"(sin catálogo)"))</f>
        <v/>
      </c>
      <c r="W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3">
        <f>IF(tblOrdenes[[#This Row],[centro_costo]]="","",_xlfn.XLOOKUP(tblOrdenes[[#This Row],[centro_costo]],tblCECO[codigo],tblCECO[coordinador],"(sin catálogo)"))</f>
        <v/>
      </c>
      <c r="Y789" s="3">
        <f>IF(tblOrdenes[[#This Row],[puesto_trabajo]]="","",_xlfn.XLOOKUP(tblOrdenes[[#This Row],[puesto_trabajo]],tblPuestos[codigo],tblPuestos[especialidad],"(sin catálogo)"))</f>
        <v/>
      </c>
      <c r="Z789" s="3">
        <f>IF(tblOrdenes[[#This Row],[cod_actividad]]="","",_xlfn.XLOOKUP(tblOrdenes[[#This Row],[cod_actividad]],tblActividades[codigo],tblActividades[descripcion],"(sin catálogo)"))</f>
        <v/>
      </c>
      <c r="AA789" s="12">
        <f>IF(tblOrdenes[[#This Row],[fecha_inicio]]="","",TODAY()-tblOrdenes[[#This Row],[fecha_inicio]])</f>
        <v/>
      </c>
      <c r="AB7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3">
        <f>IF(tblOrdenes[[#This Row],[backlog_habiles]]="","",IF(tblOrdenes[[#This Row],[backlog_habiles]]&lt;0,"FUTURO",IF(tblOrdenes[[#This Row],[backlog_habiles]]&gt;p_dias_backlog_max,"BACKLOG","MES CORRIENTE")))</f>
        <v/>
      </c>
      <c r="AD789" s="3">
        <f>IF(tblOrdenes[[#This Row],[backlog_habiles]]="",FALSE,AND(tblOrdenes[[#This Row],[backlog_habiles]]&gt;p_dias_backlog_min,tblOrdenes[[#This Row],[backlog_habiles]]&lt;=p_dias_backlog_max))</f>
        <v/>
      </c>
      <c r="AE789" s="6" t="n"/>
      <c r="AF7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0">
        <f>IF(tblOrdenes[[#This Row],[orden]]="","",_xlfn.XLOOKUP(tblOrdenes[[#This Row],[id_operacion]],tblEjecucion[id_operacion],tblEjecucion[precio],0))</f>
        <v/>
      </c>
      <c r="AJ789" s="10">
        <f>IF(tblOrdenes[[#This Row],[orden]]="","",MAX(0,_xlfn.XLOOKUP(tblOrdenes[[#This Row],[id_operacion]],tblEjecucion[id_operacion],tblEjecucion[costo_plan_total],0)-tblOrdenes[[#This Row],[costo_servicio]]))</f>
        <v/>
      </c>
      <c r="AK789" s="10">
        <f>IF(tblOrdenes[[#This Row],[orden]]="","",tblOrdenes[[#This Row],[costo_servicio]]+tblOrdenes[[#This Row],[costo_materiales]])</f>
        <v/>
      </c>
      <c r="AL789" s="6" t="n"/>
      <c r="AM789" s="6" t="n"/>
      <c r="AN789" s="6" t="n"/>
      <c r="AO789" s="3">
        <f>IF(tblOrdenes[[#This Row],[link_checklist]]="","",HYPERLINK(p_ruta_base_checklists&amp;tblOrdenes[[#This Row],[link_checklist]],"abrir"))</f>
        <v/>
      </c>
      <c r="AP789" s="6" t="n"/>
      <c r="AQ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3">
        <f>IF(tblOrdenes[[#This Row],[tipo_ot]]="","",_xlfn.XLOOKUP(tblOrdenes[[#This Row],[tipo_ot]],tblTiposOT[codigo],tblTiposOT[clasificacion],"sin_clasificar"))</f>
        <v/>
      </c>
      <c r="U790" s="3">
        <f>IF(tblOrdenes[[#This Row],[centro_costo]]="","",_xlfn.XLOOKUP(tblOrdenes[[#This Row],[centro_costo]],tblCECO[codigo],tblCECO[linea],"(sin catálogo)"))</f>
        <v/>
      </c>
      <c r="V790" s="3">
        <f>IF(tblOrdenes[[#This Row],[centro_costo]]="","",_xlfn.XLOOKUP(tblOrdenes[[#This Row],[centro_costo]],tblCECO[codigo],tblCECO[area],"(sin catálogo)"))</f>
        <v/>
      </c>
      <c r="W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3">
        <f>IF(tblOrdenes[[#This Row],[centro_costo]]="","",_xlfn.XLOOKUP(tblOrdenes[[#This Row],[centro_costo]],tblCECO[codigo],tblCECO[coordinador],"(sin catálogo)"))</f>
        <v/>
      </c>
      <c r="Y790" s="3">
        <f>IF(tblOrdenes[[#This Row],[puesto_trabajo]]="","",_xlfn.XLOOKUP(tblOrdenes[[#This Row],[puesto_trabajo]],tblPuestos[codigo],tblPuestos[especialidad],"(sin catálogo)"))</f>
        <v/>
      </c>
      <c r="Z790" s="3">
        <f>IF(tblOrdenes[[#This Row],[cod_actividad]]="","",_xlfn.XLOOKUP(tblOrdenes[[#This Row],[cod_actividad]],tblActividades[codigo],tblActividades[descripcion],"(sin catálogo)"))</f>
        <v/>
      </c>
      <c r="AA790" s="12">
        <f>IF(tblOrdenes[[#This Row],[fecha_inicio]]="","",TODAY()-tblOrdenes[[#This Row],[fecha_inicio]])</f>
        <v/>
      </c>
      <c r="AB7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3">
        <f>IF(tblOrdenes[[#This Row],[backlog_habiles]]="","",IF(tblOrdenes[[#This Row],[backlog_habiles]]&lt;0,"FUTURO",IF(tblOrdenes[[#This Row],[backlog_habiles]]&gt;p_dias_backlog_max,"BACKLOG","MES CORRIENTE")))</f>
        <v/>
      </c>
      <c r="AD790" s="3">
        <f>IF(tblOrdenes[[#This Row],[backlog_habiles]]="",FALSE,AND(tblOrdenes[[#This Row],[backlog_habiles]]&gt;p_dias_backlog_min,tblOrdenes[[#This Row],[backlog_habiles]]&lt;=p_dias_backlog_max))</f>
        <v/>
      </c>
      <c r="AE790" s="6" t="n"/>
      <c r="AF7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0">
        <f>IF(tblOrdenes[[#This Row],[orden]]="","",_xlfn.XLOOKUP(tblOrdenes[[#This Row],[id_operacion]],tblEjecucion[id_operacion],tblEjecucion[precio],0))</f>
        <v/>
      </c>
      <c r="AJ790" s="10">
        <f>IF(tblOrdenes[[#This Row],[orden]]="","",MAX(0,_xlfn.XLOOKUP(tblOrdenes[[#This Row],[id_operacion]],tblEjecucion[id_operacion],tblEjecucion[costo_plan_total],0)-tblOrdenes[[#This Row],[costo_servicio]]))</f>
        <v/>
      </c>
      <c r="AK790" s="10">
        <f>IF(tblOrdenes[[#This Row],[orden]]="","",tblOrdenes[[#This Row],[costo_servicio]]+tblOrdenes[[#This Row],[costo_materiales]])</f>
        <v/>
      </c>
      <c r="AL790" s="6" t="n"/>
      <c r="AM790" s="6" t="n"/>
      <c r="AN790" s="6" t="n"/>
      <c r="AO790" s="3">
        <f>IF(tblOrdenes[[#This Row],[link_checklist]]="","",HYPERLINK(p_ruta_base_checklists&amp;tblOrdenes[[#This Row],[link_checklist]],"abrir"))</f>
        <v/>
      </c>
      <c r="AP790" s="6" t="n"/>
      <c r="AQ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3">
        <f>IF(tblOrdenes[[#This Row],[tipo_ot]]="","",_xlfn.XLOOKUP(tblOrdenes[[#This Row],[tipo_ot]],tblTiposOT[codigo],tblTiposOT[clasificacion],"sin_clasificar"))</f>
        <v/>
      </c>
      <c r="U791" s="3">
        <f>IF(tblOrdenes[[#This Row],[centro_costo]]="","",_xlfn.XLOOKUP(tblOrdenes[[#This Row],[centro_costo]],tblCECO[codigo],tblCECO[linea],"(sin catálogo)"))</f>
        <v/>
      </c>
      <c r="V791" s="3">
        <f>IF(tblOrdenes[[#This Row],[centro_costo]]="","",_xlfn.XLOOKUP(tblOrdenes[[#This Row],[centro_costo]],tblCECO[codigo],tblCECO[area],"(sin catálogo)"))</f>
        <v/>
      </c>
      <c r="W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3">
        <f>IF(tblOrdenes[[#This Row],[centro_costo]]="","",_xlfn.XLOOKUP(tblOrdenes[[#This Row],[centro_costo]],tblCECO[codigo],tblCECO[coordinador],"(sin catálogo)"))</f>
        <v/>
      </c>
      <c r="Y791" s="3">
        <f>IF(tblOrdenes[[#This Row],[puesto_trabajo]]="","",_xlfn.XLOOKUP(tblOrdenes[[#This Row],[puesto_trabajo]],tblPuestos[codigo],tblPuestos[especialidad],"(sin catálogo)"))</f>
        <v/>
      </c>
      <c r="Z791" s="3">
        <f>IF(tblOrdenes[[#This Row],[cod_actividad]]="","",_xlfn.XLOOKUP(tblOrdenes[[#This Row],[cod_actividad]],tblActividades[codigo],tblActividades[descripcion],"(sin catálogo)"))</f>
        <v/>
      </c>
      <c r="AA791" s="12">
        <f>IF(tblOrdenes[[#This Row],[fecha_inicio]]="","",TODAY()-tblOrdenes[[#This Row],[fecha_inicio]])</f>
        <v/>
      </c>
      <c r="AB7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3">
        <f>IF(tblOrdenes[[#This Row],[backlog_habiles]]="","",IF(tblOrdenes[[#This Row],[backlog_habiles]]&lt;0,"FUTURO",IF(tblOrdenes[[#This Row],[backlog_habiles]]&gt;p_dias_backlog_max,"BACKLOG","MES CORRIENTE")))</f>
        <v/>
      </c>
      <c r="AD791" s="3">
        <f>IF(tblOrdenes[[#This Row],[backlog_habiles]]="",FALSE,AND(tblOrdenes[[#This Row],[backlog_habiles]]&gt;p_dias_backlog_min,tblOrdenes[[#This Row],[backlog_habiles]]&lt;=p_dias_backlog_max))</f>
        <v/>
      </c>
      <c r="AE791" s="6" t="n"/>
      <c r="AF7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0">
        <f>IF(tblOrdenes[[#This Row],[orden]]="","",_xlfn.XLOOKUP(tblOrdenes[[#This Row],[id_operacion]],tblEjecucion[id_operacion],tblEjecucion[precio],0))</f>
        <v/>
      </c>
      <c r="AJ791" s="10">
        <f>IF(tblOrdenes[[#This Row],[orden]]="","",MAX(0,_xlfn.XLOOKUP(tblOrdenes[[#This Row],[id_operacion]],tblEjecucion[id_operacion],tblEjecucion[costo_plan_total],0)-tblOrdenes[[#This Row],[costo_servicio]]))</f>
        <v/>
      </c>
      <c r="AK791" s="10">
        <f>IF(tblOrdenes[[#This Row],[orden]]="","",tblOrdenes[[#This Row],[costo_servicio]]+tblOrdenes[[#This Row],[costo_materiales]])</f>
        <v/>
      </c>
      <c r="AL791" s="6" t="n"/>
      <c r="AM791" s="6" t="n"/>
      <c r="AN791" s="6" t="n"/>
      <c r="AO791" s="3">
        <f>IF(tblOrdenes[[#This Row],[link_checklist]]="","",HYPERLINK(p_ruta_base_checklists&amp;tblOrdenes[[#This Row],[link_checklist]],"abrir"))</f>
        <v/>
      </c>
      <c r="AP791" s="6" t="n"/>
      <c r="AQ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3">
        <f>IF(tblOrdenes[[#This Row],[tipo_ot]]="","",_xlfn.XLOOKUP(tblOrdenes[[#This Row],[tipo_ot]],tblTiposOT[codigo],tblTiposOT[clasificacion],"sin_clasificar"))</f>
        <v/>
      </c>
      <c r="U792" s="3">
        <f>IF(tblOrdenes[[#This Row],[centro_costo]]="","",_xlfn.XLOOKUP(tblOrdenes[[#This Row],[centro_costo]],tblCECO[codigo],tblCECO[linea],"(sin catálogo)"))</f>
        <v/>
      </c>
      <c r="V792" s="3">
        <f>IF(tblOrdenes[[#This Row],[centro_costo]]="","",_xlfn.XLOOKUP(tblOrdenes[[#This Row],[centro_costo]],tblCECO[codigo],tblCECO[area],"(sin catálogo)"))</f>
        <v/>
      </c>
      <c r="W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3">
        <f>IF(tblOrdenes[[#This Row],[centro_costo]]="","",_xlfn.XLOOKUP(tblOrdenes[[#This Row],[centro_costo]],tblCECO[codigo],tblCECO[coordinador],"(sin catálogo)"))</f>
        <v/>
      </c>
      <c r="Y792" s="3">
        <f>IF(tblOrdenes[[#This Row],[puesto_trabajo]]="","",_xlfn.XLOOKUP(tblOrdenes[[#This Row],[puesto_trabajo]],tblPuestos[codigo],tblPuestos[especialidad],"(sin catálogo)"))</f>
        <v/>
      </c>
      <c r="Z792" s="3">
        <f>IF(tblOrdenes[[#This Row],[cod_actividad]]="","",_xlfn.XLOOKUP(tblOrdenes[[#This Row],[cod_actividad]],tblActividades[codigo],tblActividades[descripcion],"(sin catálogo)"))</f>
        <v/>
      </c>
      <c r="AA792" s="12">
        <f>IF(tblOrdenes[[#This Row],[fecha_inicio]]="","",TODAY()-tblOrdenes[[#This Row],[fecha_inicio]])</f>
        <v/>
      </c>
      <c r="AB7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3">
        <f>IF(tblOrdenes[[#This Row],[backlog_habiles]]="","",IF(tblOrdenes[[#This Row],[backlog_habiles]]&lt;0,"FUTURO",IF(tblOrdenes[[#This Row],[backlog_habiles]]&gt;p_dias_backlog_max,"BACKLOG","MES CORRIENTE")))</f>
        <v/>
      </c>
      <c r="AD792" s="3">
        <f>IF(tblOrdenes[[#This Row],[backlog_habiles]]="",FALSE,AND(tblOrdenes[[#This Row],[backlog_habiles]]&gt;p_dias_backlog_min,tblOrdenes[[#This Row],[backlog_habiles]]&lt;=p_dias_backlog_max))</f>
        <v/>
      </c>
      <c r="AE792" s="6" t="n"/>
      <c r="AF7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0">
        <f>IF(tblOrdenes[[#This Row],[orden]]="","",_xlfn.XLOOKUP(tblOrdenes[[#This Row],[id_operacion]],tblEjecucion[id_operacion],tblEjecucion[precio],0))</f>
        <v/>
      </c>
      <c r="AJ792" s="10">
        <f>IF(tblOrdenes[[#This Row],[orden]]="","",MAX(0,_xlfn.XLOOKUP(tblOrdenes[[#This Row],[id_operacion]],tblEjecucion[id_operacion],tblEjecucion[costo_plan_total],0)-tblOrdenes[[#This Row],[costo_servicio]]))</f>
        <v/>
      </c>
      <c r="AK792" s="10">
        <f>IF(tblOrdenes[[#This Row],[orden]]="","",tblOrdenes[[#This Row],[costo_servicio]]+tblOrdenes[[#This Row],[costo_materiales]])</f>
        <v/>
      </c>
      <c r="AL792" s="6" t="n"/>
      <c r="AM792" s="6" t="n"/>
      <c r="AN792" s="6" t="n"/>
      <c r="AO792" s="3">
        <f>IF(tblOrdenes[[#This Row],[link_checklist]]="","",HYPERLINK(p_ruta_base_checklists&amp;tblOrdenes[[#This Row],[link_checklist]],"abrir"))</f>
        <v/>
      </c>
      <c r="AP792" s="6" t="n"/>
      <c r="AQ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3">
        <f>IF(tblOrdenes[[#This Row],[tipo_ot]]="","",_xlfn.XLOOKUP(tblOrdenes[[#This Row],[tipo_ot]],tblTiposOT[codigo],tblTiposOT[clasificacion],"sin_clasificar"))</f>
        <v/>
      </c>
      <c r="U793" s="3">
        <f>IF(tblOrdenes[[#This Row],[centro_costo]]="","",_xlfn.XLOOKUP(tblOrdenes[[#This Row],[centro_costo]],tblCECO[codigo],tblCECO[linea],"(sin catálogo)"))</f>
        <v/>
      </c>
      <c r="V793" s="3">
        <f>IF(tblOrdenes[[#This Row],[centro_costo]]="","",_xlfn.XLOOKUP(tblOrdenes[[#This Row],[centro_costo]],tblCECO[codigo],tblCECO[area],"(sin catálogo)"))</f>
        <v/>
      </c>
      <c r="W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3">
        <f>IF(tblOrdenes[[#This Row],[centro_costo]]="","",_xlfn.XLOOKUP(tblOrdenes[[#This Row],[centro_costo]],tblCECO[codigo],tblCECO[coordinador],"(sin catálogo)"))</f>
        <v/>
      </c>
      <c r="Y793" s="3">
        <f>IF(tblOrdenes[[#This Row],[puesto_trabajo]]="","",_xlfn.XLOOKUP(tblOrdenes[[#This Row],[puesto_trabajo]],tblPuestos[codigo],tblPuestos[especialidad],"(sin catálogo)"))</f>
        <v/>
      </c>
      <c r="Z793" s="3">
        <f>IF(tblOrdenes[[#This Row],[cod_actividad]]="","",_xlfn.XLOOKUP(tblOrdenes[[#This Row],[cod_actividad]],tblActividades[codigo],tblActividades[descripcion],"(sin catálogo)"))</f>
        <v/>
      </c>
      <c r="AA793" s="12">
        <f>IF(tblOrdenes[[#This Row],[fecha_inicio]]="","",TODAY()-tblOrdenes[[#This Row],[fecha_inicio]])</f>
        <v/>
      </c>
      <c r="AB7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3">
        <f>IF(tblOrdenes[[#This Row],[backlog_habiles]]="","",IF(tblOrdenes[[#This Row],[backlog_habiles]]&lt;0,"FUTURO",IF(tblOrdenes[[#This Row],[backlog_habiles]]&gt;p_dias_backlog_max,"BACKLOG","MES CORRIENTE")))</f>
        <v/>
      </c>
      <c r="AD793" s="3">
        <f>IF(tblOrdenes[[#This Row],[backlog_habiles]]="",FALSE,AND(tblOrdenes[[#This Row],[backlog_habiles]]&gt;p_dias_backlog_min,tblOrdenes[[#This Row],[backlog_habiles]]&lt;=p_dias_backlog_max))</f>
        <v/>
      </c>
      <c r="AE793" s="6" t="n"/>
      <c r="AF7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0">
        <f>IF(tblOrdenes[[#This Row],[orden]]="","",_xlfn.XLOOKUP(tblOrdenes[[#This Row],[id_operacion]],tblEjecucion[id_operacion],tblEjecucion[precio],0))</f>
        <v/>
      </c>
      <c r="AJ793" s="10">
        <f>IF(tblOrdenes[[#This Row],[orden]]="","",MAX(0,_xlfn.XLOOKUP(tblOrdenes[[#This Row],[id_operacion]],tblEjecucion[id_operacion],tblEjecucion[costo_plan_total],0)-tblOrdenes[[#This Row],[costo_servicio]]))</f>
        <v/>
      </c>
      <c r="AK793" s="10">
        <f>IF(tblOrdenes[[#This Row],[orden]]="","",tblOrdenes[[#This Row],[costo_servicio]]+tblOrdenes[[#This Row],[costo_materiales]])</f>
        <v/>
      </c>
      <c r="AL793" s="6" t="n"/>
      <c r="AM793" s="6" t="n"/>
      <c r="AN793" s="6" t="n"/>
      <c r="AO793" s="3">
        <f>IF(tblOrdenes[[#This Row],[link_checklist]]="","",HYPERLINK(p_ruta_base_checklists&amp;tblOrdenes[[#This Row],[link_checklist]],"abrir"))</f>
        <v/>
      </c>
      <c r="AP793" s="6" t="n"/>
      <c r="AQ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3">
        <f>IF(tblOrdenes[[#This Row],[tipo_ot]]="","",_xlfn.XLOOKUP(tblOrdenes[[#This Row],[tipo_ot]],tblTiposOT[codigo],tblTiposOT[clasificacion],"sin_clasificar"))</f>
        <v/>
      </c>
      <c r="U794" s="3">
        <f>IF(tblOrdenes[[#This Row],[centro_costo]]="","",_xlfn.XLOOKUP(tblOrdenes[[#This Row],[centro_costo]],tblCECO[codigo],tblCECO[linea],"(sin catálogo)"))</f>
        <v/>
      </c>
      <c r="V794" s="3">
        <f>IF(tblOrdenes[[#This Row],[centro_costo]]="","",_xlfn.XLOOKUP(tblOrdenes[[#This Row],[centro_costo]],tblCECO[codigo],tblCECO[area],"(sin catálogo)"))</f>
        <v/>
      </c>
      <c r="W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3">
        <f>IF(tblOrdenes[[#This Row],[centro_costo]]="","",_xlfn.XLOOKUP(tblOrdenes[[#This Row],[centro_costo]],tblCECO[codigo],tblCECO[coordinador],"(sin catálogo)"))</f>
        <v/>
      </c>
      <c r="Y794" s="3">
        <f>IF(tblOrdenes[[#This Row],[puesto_trabajo]]="","",_xlfn.XLOOKUP(tblOrdenes[[#This Row],[puesto_trabajo]],tblPuestos[codigo],tblPuestos[especialidad],"(sin catálogo)"))</f>
        <v/>
      </c>
      <c r="Z794" s="3">
        <f>IF(tblOrdenes[[#This Row],[cod_actividad]]="","",_xlfn.XLOOKUP(tblOrdenes[[#This Row],[cod_actividad]],tblActividades[codigo],tblActividades[descripcion],"(sin catálogo)"))</f>
        <v/>
      </c>
      <c r="AA794" s="12">
        <f>IF(tblOrdenes[[#This Row],[fecha_inicio]]="","",TODAY()-tblOrdenes[[#This Row],[fecha_inicio]])</f>
        <v/>
      </c>
      <c r="AB7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3">
        <f>IF(tblOrdenes[[#This Row],[backlog_habiles]]="","",IF(tblOrdenes[[#This Row],[backlog_habiles]]&lt;0,"FUTURO",IF(tblOrdenes[[#This Row],[backlog_habiles]]&gt;p_dias_backlog_max,"BACKLOG","MES CORRIENTE")))</f>
        <v/>
      </c>
      <c r="AD794" s="3">
        <f>IF(tblOrdenes[[#This Row],[backlog_habiles]]="",FALSE,AND(tblOrdenes[[#This Row],[backlog_habiles]]&gt;p_dias_backlog_min,tblOrdenes[[#This Row],[backlog_habiles]]&lt;=p_dias_backlog_max))</f>
        <v/>
      </c>
      <c r="AE794" s="6" t="n"/>
      <c r="AF7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0">
        <f>IF(tblOrdenes[[#This Row],[orden]]="","",_xlfn.XLOOKUP(tblOrdenes[[#This Row],[id_operacion]],tblEjecucion[id_operacion],tblEjecucion[precio],0))</f>
        <v/>
      </c>
      <c r="AJ794" s="10">
        <f>IF(tblOrdenes[[#This Row],[orden]]="","",MAX(0,_xlfn.XLOOKUP(tblOrdenes[[#This Row],[id_operacion]],tblEjecucion[id_operacion],tblEjecucion[costo_plan_total],0)-tblOrdenes[[#This Row],[costo_servicio]]))</f>
        <v/>
      </c>
      <c r="AK794" s="10">
        <f>IF(tblOrdenes[[#This Row],[orden]]="","",tblOrdenes[[#This Row],[costo_servicio]]+tblOrdenes[[#This Row],[costo_materiales]])</f>
        <v/>
      </c>
      <c r="AL794" s="6" t="n"/>
      <c r="AM794" s="6" t="n"/>
      <c r="AN794" s="6" t="n"/>
      <c r="AO794" s="3">
        <f>IF(tblOrdenes[[#This Row],[link_checklist]]="","",HYPERLINK(p_ruta_base_checklists&amp;tblOrdenes[[#This Row],[link_checklist]],"abrir"))</f>
        <v/>
      </c>
      <c r="AP794" s="6" t="n"/>
      <c r="AQ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3">
        <f>IF(tblOrdenes[[#This Row],[tipo_ot]]="","",_xlfn.XLOOKUP(tblOrdenes[[#This Row],[tipo_ot]],tblTiposOT[codigo],tblTiposOT[clasificacion],"sin_clasificar"))</f>
        <v/>
      </c>
      <c r="U795" s="3">
        <f>IF(tblOrdenes[[#This Row],[centro_costo]]="","",_xlfn.XLOOKUP(tblOrdenes[[#This Row],[centro_costo]],tblCECO[codigo],tblCECO[linea],"(sin catálogo)"))</f>
        <v/>
      </c>
      <c r="V795" s="3">
        <f>IF(tblOrdenes[[#This Row],[centro_costo]]="","",_xlfn.XLOOKUP(tblOrdenes[[#This Row],[centro_costo]],tblCECO[codigo],tblCECO[area],"(sin catálogo)"))</f>
        <v/>
      </c>
      <c r="W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3">
        <f>IF(tblOrdenes[[#This Row],[centro_costo]]="","",_xlfn.XLOOKUP(tblOrdenes[[#This Row],[centro_costo]],tblCECO[codigo],tblCECO[coordinador],"(sin catálogo)"))</f>
        <v/>
      </c>
      <c r="Y795" s="3">
        <f>IF(tblOrdenes[[#This Row],[puesto_trabajo]]="","",_xlfn.XLOOKUP(tblOrdenes[[#This Row],[puesto_trabajo]],tblPuestos[codigo],tblPuestos[especialidad],"(sin catálogo)"))</f>
        <v/>
      </c>
      <c r="Z795" s="3">
        <f>IF(tblOrdenes[[#This Row],[cod_actividad]]="","",_xlfn.XLOOKUP(tblOrdenes[[#This Row],[cod_actividad]],tblActividades[codigo],tblActividades[descripcion],"(sin catálogo)"))</f>
        <v/>
      </c>
      <c r="AA795" s="12">
        <f>IF(tblOrdenes[[#This Row],[fecha_inicio]]="","",TODAY()-tblOrdenes[[#This Row],[fecha_inicio]])</f>
        <v/>
      </c>
      <c r="AB7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3">
        <f>IF(tblOrdenes[[#This Row],[backlog_habiles]]="","",IF(tblOrdenes[[#This Row],[backlog_habiles]]&lt;0,"FUTURO",IF(tblOrdenes[[#This Row],[backlog_habiles]]&gt;p_dias_backlog_max,"BACKLOG","MES CORRIENTE")))</f>
        <v/>
      </c>
      <c r="AD795" s="3">
        <f>IF(tblOrdenes[[#This Row],[backlog_habiles]]="",FALSE,AND(tblOrdenes[[#This Row],[backlog_habiles]]&gt;p_dias_backlog_min,tblOrdenes[[#This Row],[backlog_habiles]]&lt;=p_dias_backlog_max))</f>
        <v/>
      </c>
      <c r="AE795" s="6" t="n"/>
      <c r="AF7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0">
        <f>IF(tblOrdenes[[#This Row],[orden]]="","",_xlfn.XLOOKUP(tblOrdenes[[#This Row],[id_operacion]],tblEjecucion[id_operacion],tblEjecucion[precio],0))</f>
        <v/>
      </c>
      <c r="AJ795" s="10">
        <f>IF(tblOrdenes[[#This Row],[orden]]="","",MAX(0,_xlfn.XLOOKUP(tblOrdenes[[#This Row],[id_operacion]],tblEjecucion[id_operacion],tblEjecucion[costo_plan_total],0)-tblOrdenes[[#This Row],[costo_servicio]]))</f>
        <v/>
      </c>
      <c r="AK795" s="10">
        <f>IF(tblOrdenes[[#This Row],[orden]]="","",tblOrdenes[[#This Row],[costo_servicio]]+tblOrdenes[[#This Row],[costo_materiales]])</f>
        <v/>
      </c>
      <c r="AL795" s="6" t="n"/>
      <c r="AM795" s="6" t="n"/>
      <c r="AN795" s="6" t="n"/>
      <c r="AO795" s="3">
        <f>IF(tblOrdenes[[#This Row],[link_checklist]]="","",HYPERLINK(p_ruta_base_checklists&amp;tblOrdenes[[#This Row],[link_checklist]],"abrir"))</f>
        <v/>
      </c>
      <c r="AP795" s="6" t="n"/>
      <c r="AQ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3">
        <f>IF(tblOrdenes[[#This Row],[tipo_ot]]="","",_xlfn.XLOOKUP(tblOrdenes[[#This Row],[tipo_ot]],tblTiposOT[codigo],tblTiposOT[clasificacion],"sin_clasificar"))</f>
        <v/>
      </c>
      <c r="U796" s="3">
        <f>IF(tblOrdenes[[#This Row],[centro_costo]]="","",_xlfn.XLOOKUP(tblOrdenes[[#This Row],[centro_costo]],tblCECO[codigo],tblCECO[linea],"(sin catálogo)"))</f>
        <v/>
      </c>
      <c r="V796" s="3">
        <f>IF(tblOrdenes[[#This Row],[centro_costo]]="","",_xlfn.XLOOKUP(tblOrdenes[[#This Row],[centro_costo]],tblCECO[codigo],tblCECO[area],"(sin catálogo)"))</f>
        <v/>
      </c>
      <c r="W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3">
        <f>IF(tblOrdenes[[#This Row],[centro_costo]]="","",_xlfn.XLOOKUP(tblOrdenes[[#This Row],[centro_costo]],tblCECO[codigo],tblCECO[coordinador],"(sin catálogo)"))</f>
        <v/>
      </c>
      <c r="Y796" s="3">
        <f>IF(tblOrdenes[[#This Row],[puesto_trabajo]]="","",_xlfn.XLOOKUP(tblOrdenes[[#This Row],[puesto_trabajo]],tblPuestos[codigo],tblPuestos[especialidad],"(sin catálogo)"))</f>
        <v/>
      </c>
      <c r="Z796" s="3">
        <f>IF(tblOrdenes[[#This Row],[cod_actividad]]="","",_xlfn.XLOOKUP(tblOrdenes[[#This Row],[cod_actividad]],tblActividades[codigo],tblActividades[descripcion],"(sin catálogo)"))</f>
        <v/>
      </c>
      <c r="AA796" s="12">
        <f>IF(tblOrdenes[[#This Row],[fecha_inicio]]="","",TODAY()-tblOrdenes[[#This Row],[fecha_inicio]])</f>
        <v/>
      </c>
      <c r="AB7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3">
        <f>IF(tblOrdenes[[#This Row],[backlog_habiles]]="","",IF(tblOrdenes[[#This Row],[backlog_habiles]]&lt;0,"FUTURO",IF(tblOrdenes[[#This Row],[backlog_habiles]]&gt;p_dias_backlog_max,"BACKLOG","MES CORRIENTE")))</f>
        <v/>
      </c>
      <c r="AD796" s="3">
        <f>IF(tblOrdenes[[#This Row],[backlog_habiles]]="",FALSE,AND(tblOrdenes[[#This Row],[backlog_habiles]]&gt;p_dias_backlog_min,tblOrdenes[[#This Row],[backlog_habiles]]&lt;=p_dias_backlog_max))</f>
        <v/>
      </c>
      <c r="AE796" s="6" t="n"/>
      <c r="AF7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0">
        <f>IF(tblOrdenes[[#This Row],[orden]]="","",_xlfn.XLOOKUP(tblOrdenes[[#This Row],[id_operacion]],tblEjecucion[id_operacion],tblEjecucion[precio],0))</f>
        <v/>
      </c>
      <c r="AJ796" s="10">
        <f>IF(tblOrdenes[[#This Row],[orden]]="","",MAX(0,_xlfn.XLOOKUP(tblOrdenes[[#This Row],[id_operacion]],tblEjecucion[id_operacion],tblEjecucion[costo_plan_total],0)-tblOrdenes[[#This Row],[costo_servicio]]))</f>
        <v/>
      </c>
      <c r="AK796" s="10">
        <f>IF(tblOrdenes[[#This Row],[orden]]="","",tblOrdenes[[#This Row],[costo_servicio]]+tblOrdenes[[#This Row],[costo_materiales]])</f>
        <v/>
      </c>
      <c r="AL796" s="6" t="n"/>
      <c r="AM796" s="6" t="n"/>
      <c r="AN796" s="6" t="n"/>
      <c r="AO796" s="3">
        <f>IF(tblOrdenes[[#This Row],[link_checklist]]="","",HYPERLINK(p_ruta_base_checklists&amp;tblOrdenes[[#This Row],[link_checklist]],"abrir"))</f>
        <v/>
      </c>
      <c r="AP796" s="6" t="n"/>
      <c r="AQ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3">
        <f>IF(tblOrdenes[[#This Row],[tipo_ot]]="","",_xlfn.XLOOKUP(tblOrdenes[[#This Row],[tipo_ot]],tblTiposOT[codigo],tblTiposOT[clasificacion],"sin_clasificar"))</f>
        <v/>
      </c>
      <c r="U797" s="3">
        <f>IF(tblOrdenes[[#This Row],[centro_costo]]="","",_xlfn.XLOOKUP(tblOrdenes[[#This Row],[centro_costo]],tblCECO[codigo],tblCECO[linea],"(sin catálogo)"))</f>
        <v/>
      </c>
      <c r="V797" s="3">
        <f>IF(tblOrdenes[[#This Row],[centro_costo]]="","",_xlfn.XLOOKUP(tblOrdenes[[#This Row],[centro_costo]],tblCECO[codigo],tblCECO[area],"(sin catálogo)"))</f>
        <v/>
      </c>
      <c r="W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3">
        <f>IF(tblOrdenes[[#This Row],[centro_costo]]="","",_xlfn.XLOOKUP(tblOrdenes[[#This Row],[centro_costo]],tblCECO[codigo],tblCECO[coordinador],"(sin catálogo)"))</f>
        <v/>
      </c>
      <c r="Y797" s="3">
        <f>IF(tblOrdenes[[#This Row],[puesto_trabajo]]="","",_xlfn.XLOOKUP(tblOrdenes[[#This Row],[puesto_trabajo]],tblPuestos[codigo],tblPuestos[especialidad],"(sin catálogo)"))</f>
        <v/>
      </c>
      <c r="Z797" s="3">
        <f>IF(tblOrdenes[[#This Row],[cod_actividad]]="","",_xlfn.XLOOKUP(tblOrdenes[[#This Row],[cod_actividad]],tblActividades[codigo],tblActividades[descripcion],"(sin catálogo)"))</f>
        <v/>
      </c>
      <c r="AA797" s="12">
        <f>IF(tblOrdenes[[#This Row],[fecha_inicio]]="","",TODAY()-tblOrdenes[[#This Row],[fecha_inicio]])</f>
        <v/>
      </c>
      <c r="AB7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3">
        <f>IF(tblOrdenes[[#This Row],[backlog_habiles]]="","",IF(tblOrdenes[[#This Row],[backlog_habiles]]&lt;0,"FUTURO",IF(tblOrdenes[[#This Row],[backlog_habiles]]&gt;p_dias_backlog_max,"BACKLOG","MES CORRIENTE")))</f>
        <v/>
      </c>
      <c r="AD797" s="3">
        <f>IF(tblOrdenes[[#This Row],[backlog_habiles]]="",FALSE,AND(tblOrdenes[[#This Row],[backlog_habiles]]&gt;p_dias_backlog_min,tblOrdenes[[#This Row],[backlog_habiles]]&lt;=p_dias_backlog_max))</f>
        <v/>
      </c>
      <c r="AE797" s="6" t="n"/>
      <c r="AF7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0">
        <f>IF(tblOrdenes[[#This Row],[orden]]="","",_xlfn.XLOOKUP(tblOrdenes[[#This Row],[id_operacion]],tblEjecucion[id_operacion],tblEjecucion[precio],0))</f>
        <v/>
      </c>
      <c r="AJ797" s="10">
        <f>IF(tblOrdenes[[#This Row],[orden]]="","",MAX(0,_xlfn.XLOOKUP(tblOrdenes[[#This Row],[id_operacion]],tblEjecucion[id_operacion],tblEjecucion[costo_plan_total],0)-tblOrdenes[[#This Row],[costo_servicio]]))</f>
        <v/>
      </c>
      <c r="AK797" s="10">
        <f>IF(tblOrdenes[[#This Row],[orden]]="","",tblOrdenes[[#This Row],[costo_servicio]]+tblOrdenes[[#This Row],[costo_materiales]])</f>
        <v/>
      </c>
      <c r="AL797" s="6" t="n"/>
      <c r="AM797" s="6" t="n"/>
      <c r="AN797" s="6" t="n"/>
      <c r="AO797" s="3">
        <f>IF(tblOrdenes[[#This Row],[link_checklist]]="","",HYPERLINK(p_ruta_base_checklists&amp;tblOrdenes[[#This Row],[link_checklist]],"abrir"))</f>
        <v/>
      </c>
      <c r="AP797" s="6" t="n"/>
      <c r="AQ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3">
        <f>IF(tblOrdenes[[#This Row],[tipo_ot]]="","",_xlfn.XLOOKUP(tblOrdenes[[#This Row],[tipo_ot]],tblTiposOT[codigo],tblTiposOT[clasificacion],"sin_clasificar"))</f>
        <v/>
      </c>
      <c r="U798" s="3">
        <f>IF(tblOrdenes[[#This Row],[centro_costo]]="","",_xlfn.XLOOKUP(tblOrdenes[[#This Row],[centro_costo]],tblCECO[codigo],tblCECO[linea],"(sin catálogo)"))</f>
        <v/>
      </c>
      <c r="V798" s="3">
        <f>IF(tblOrdenes[[#This Row],[centro_costo]]="","",_xlfn.XLOOKUP(tblOrdenes[[#This Row],[centro_costo]],tblCECO[codigo],tblCECO[area],"(sin catálogo)"))</f>
        <v/>
      </c>
      <c r="W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3">
        <f>IF(tblOrdenes[[#This Row],[centro_costo]]="","",_xlfn.XLOOKUP(tblOrdenes[[#This Row],[centro_costo]],tblCECO[codigo],tblCECO[coordinador],"(sin catálogo)"))</f>
        <v/>
      </c>
      <c r="Y798" s="3">
        <f>IF(tblOrdenes[[#This Row],[puesto_trabajo]]="","",_xlfn.XLOOKUP(tblOrdenes[[#This Row],[puesto_trabajo]],tblPuestos[codigo],tblPuestos[especialidad],"(sin catálogo)"))</f>
        <v/>
      </c>
      <c r="Z798" s="3">
        <f>IF(tblOrdenes[[#This Row],[cod_actividad]]="","",_xlfn.XLOOKUP(tblOrdenes[[#This Row],[cod_actividad]],tblActividades[codigo],tblActividades[descripcion],"(sin catálogo)"))</f>
        <v/>
      </c>
      <c r="AA798" s="12">
        <f>IF(tblOrdenes[[#This Row],[fecha_inicio]]="","",TODAY()-tblOrdenes[[#This Row],[fecha_inicio]])</f>
        <v/>
      </c>
      <c r="AB7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3">
        <f>IF(tblOrdenes[[#This Row],[backlog_habiles]]="","",IF(tblOrdenes[[#This Row],[backlog_habiles]]&lt;0,"FUTURO",IF(tblOrdenes[[#This Row],[backlog_habiles]]&gt;p_dias_backlog_max,"BACKLOG","MES CORRIENTE")))</f>
        <v/>
      </c>
      <c r="AD798" s="3">
        <f>IF(tblOrdenes[[#This Row],[backlog_habiles]]="",FALSE,AND(tblOrdenes[[#This Row],[backlog_habiles]]&gt;p_dias_backlog_min,tblOrdenes[[#This Row],[backlog_habiles]]&lt;=p_dias_backlog_max))</f>
        <v/>
      </c>
      <c r="AE798" s="6" t="n"/>
      <c r="AF7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0">
        <f>IF(tblOrdenes[[#This Row],[orden]]="","",_xlfn.XLOOKUP(tblOrdenes[[#This Row],[id_operacion]],tblEjecucion[id_operacion],tblEjecucion[precio],0))</f>
        <v/>
      </c>
      <c r="AJ798" s="10">
        <f>IF(tblOrdenes[[#This Row],[orden]]="","",MAX(0,_xlfn.XLOOKUP(tblOrdenes[[#This Row],[id_operacion]],tblEjecucion[id_operacion],tblEjecucion[costo_plan_total],0)-tblOrdenes[[#This Row],[costo_servicio]]))</f>
        <v/>
      </c>
      <c r="AK798" s="10">
        <f>IF(tblOrdenes[[#This Row],[orden]]="","",tblOrdenes[[#This Row],[costo_servicio]]+tblOrdenes[[#This Row],[costo_materiales]])</f>
        <v/>
      </c>
      <c r="AL798" s="6" t="n"/>
      <c r="AM798" s="6" t="n"/>
      <c r="AN798" s="6" t="n"/>
      <c r="AO798" s="3">
        <f>IF(tblOrdenes[[#This Row],[link_checklist]]="","",HYPERLINK(p_ruta_base_checklists&amp;tblOrdenes[[#This Row],[link_checklist]],"abrir"))</f>
        <v/>
      </c>
      <c r="AP798" s="6" t="n"/>
      <c r="AQ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3">
        <f>IF(tblOrdenes[[#This Row],[tipo_ot]]="","",_xlfn.XLOOKUP(tblOrdenes[[#This Row],[tipo_ot]],tblTiposOT[codigo],tblTiposOT[clasificacion],"sin_clasificar"))</f>
        <v/>
      </c>
      <c r="U799" s="3">
        <f>IF(tblOrdenes[[#This Row],[centro_costo]]="","",_xlfn.XLOOKUP(tblOrdenes[[#This Row],[centro_costo]],tblCECO[codigo],tblCECO[linea],"(sin catálogo)"))</f>
        <v/>
      </c>
      <c r="V799" s="3">
        <f>IF(tblOrdenes[[#This Row],[centro_costo]]="","",_xlfn.XLOOKUP(tblOrdenes[[#This Row],[centro_costo]],tblCECO[codigo],tblCECO[area],"(sin catálogo)"))</f>
        <v/>
      </c>
      <c r="W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3">
        <f>IF(tblOrdenes[[#This Row],[centro_costo]]="","",_xlfn.XLOOKUP(tblOrdenes[[#This Row],[centro_costo]],tblCECO[codigo],tblCECO[coordinador],"(sin catálogo)"))</f>
        <v/>
      </c>
      <c r="Y799" s="3">
        <f>IF(tblOrdenes[[#This Row],[puesto_trabajo]]="","",_xlfn.XLOOKUP(tblOrdenes[[#This Row],[puesto_trabajo]],tblPuestos[codigo],tblPuestos[especialidad],"(sin catálogo)"))</f>
        <v/>
      </c>
      <c r="Z799" s="3">
        <f>IF(tblOrdenes[[#This Row],[cod_actividad]]="","",_xlfn.XLOOKUP(tblOrdenes[[#This Row],[cod_actividad]],tblActividades[codigo],tblActividades[descripcion],"(sin catálogo)"))</f>
        <v/>
      </c>
      <c r="AA799" s="12">
        <f>IF(tblOrdenes[[#This Row],[fecha_inicio]]="","",TODAY()-tblOrdenes[[#This Row],[fecha_inicio]])</f>
        <v/>
      </c>
      <c r="AB7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3">
        <f>IF(tblOrdenes[[#This Row],[backlog_habiles]]="","",IF(tblOrdenes[[#This Row],[backlog_habiles]]&lt;0,"FUTURO",IF(tblOrdenes[[#This Row],[backlog_habiles]]&gt;p_dias_backlog_max,"BACKLOG","MES CORRIENTE")))</f>
        <v/>
      </c>
      <c r="AD799" s="3">
        <f>IF(tblOrdenes[[#This Row],[backlog_habiles]]="",FALSE,AND(tblOrdenes[[#This Row],[backlog_habiles]]&gt;p_dias_backlog_min,tblOrdenes[[#This Row],[backlog_habiles]]&lt;=p_dias_backlog_max))</f>
        <v/>
      </c>
      <c r="AE799" s="6" t="n"/>
      <c r="AF7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0">
        <f>IF(tblOrdenes[[#This Row],[orden]]="","",_xlfn.XLOOKUP(tblOrdenes[[#This Row],[id_operacion]],tblEjecucion[id_operacion],tblEjecucion[precio],0))</f>
        <v/>
      </c>
      <c r="AJ799" s="10">
        <f>IF(tblOrdenes[[#This Row],[orden]]="","",MAX(0,_xlfn.XLOOKUP(tblOrdenes[[#This Row],[id_operacion]],tblEjecucion[id_operacion],tblEjecucion[costo_plan_total],0)-tblOrdenes[[#This Row],[costo_servicio]]))</f>
        <v/>
      </c>
      <c r="AK799" s="10">
        <f>IF(tblOrdenes[[#This Row],[orden]]="","",tblOrdenes[[#This Row],[costo_servicio]]+tblOrdenes[[#This Row],[costo_materiales]])</f>
        <v/>
      </c>
      <c r="AL799" s="6" t="n"/>
      <c r="AM799" s="6" t="n"/>
      <c r="AN799" s="6" t="n"/>
      <c r="AO799" s="3">
        <f>IF(tblOrdenes[[#This Row],[link_checklist]]="","",HYPERLINK(p_ruta_base_checklists&amp;tblOrdenes[[#This Row],[link_checklist]],"abrir"))</f>
        <v/>
      </c>
      <c r="AP799" s="6" t="n"/>
      <c r="AQ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3">
        <f>IF(tblOrdenes[[#This Row],[tipo_ot]]="","",_xlfn.XLOOKUP(tblOrdenes[[#This Row],[tipo_ot]],tblTiposOT[codigo],tblTiposOT[clasificacion],"sin_clasificar"))</f>
        <v/>
      </c>
      <c r="U800" s="3">
        <f>IF(tblOrdenes[[#This Row],[centro_costo]]="","",_xlfn.XLOOKUP(tblOrdenes[[#This Row],[centro_costo]],tblCECO[codigo],tblCECO[linea],"(sin catálogo)"))</f>
        <v/>
      </c>
      <c r="V800" s="3">
        <f>IF(tblOrdenes[[#This Row],[centro_costo]]="","",_xlfn.XLOOKUP(tblOrdenes[[#This Row],[centro_costo]],tblCECO[codigo],tblCECO[area],"(sin catálogo)"))</f>
        <v/>
      </c>
      <c r="W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3">
        <f>IF(tblOrdenes[[#This Row],[centro_costo]]="","",_xlfn.XLOOKUP(tblOrdenes[[#This Row],[centro_costo]],tblCECO[codigo],tblCECO[coordinador],"(sin catálogo)"))</f>
        <v/>
      </c>
      <c r="Y800" s="3">
        <f>IF(tblOrdenes[[#This Row],[puesto_trabajo]]="","",_xlfn.XLOOKUP(tblOrdenes[[#This Row],[puesto_trabajo]],tblPuestos[codigo],tblPuestos[especialidad],"(sin catálogo)"))</f>
        <v/>
      </c>
      <c r="Z800" s="3">
        <f>IF(tblOrdenes[[#This Row],[cod_actividad]]="","",_xlfn.XLOOKUP(tblOrdenes[[#This Row],[cod_actividad]],tblActividades[codigo],tblActividades[descripcion],"(sin catálogo)"))</f>
        <v/>
      </c>
      <c r="AA800" s="12">
        <f>IF(tblOrdenes[[#This Row],[fecha_inicio]]="","",TODAY()-tblOrdenes[[#This Row],[fecha_inicio]])</f>
        <v/>
      </c>
      <c r="AB8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3">
        <f>IF(tblOrdenes[[#This Row],[backlog_habiles]]="","",IF(tblOrdenes[[#This Row],[backlog_habiles]]&lt;0,"FUTURO",IF(tblOrdenes[[#This Row],[backlog_habiles]]&gt;p_dias_backlog_max,"BACKLOG","MES CORRIENTE")))</f>
        <v/>
      </c>
      <c r="AD800" s="3">
        <f>IF(tblOrdenes[[#This Row],[backlog_habiles]]="",FALSE,AND(tblOrdenes[[#This Row],[backlog_habiles]]&gt;p_dias_backlog_min,tblOrdenes[[#This Row],[backlog_habiles]]&lt;=p_dias_backlog_max))</f>
        <v/>
      </c>
      <c r="AE800" s="6" t="n"/>
      <c r="AF8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0">
        <f>IF(tblOrdenes[[#This Row],[orden]]="","",_xlfn.XLOOKUP(tblOrdenes[[#This Row],[id_operacion]],tblEjecucion[id_operacion],tblEjecucion[precio],0))</f>
        <v/>
      </c>
      <c r="AJ800" s="10">
        <f>IF(tblOrdenes[[#This Row],[orden]]="","",MAX(0,_xlfn.XLOOKUP(tblOrdenes[[#This Row],[id_operacion]],tblEjecucion[id_operacion],tblEjecucion[costo_plan_total],0)-tblOrdenes[[#This Row],[costo_servicio]]))</f>
        <v/>
      </c>
      <c r="AK800" s="10">
        <f>IF(tblOrdenes[[#This Row],[orden]]="","",tblOrdenes[[#This Row],[costo_servicio]]+tblOrdenes[[#This Row],[costo_materiales]])</f>
        <v/>
      </c>
      <c r="AL800" s="6" t="n"/>
      <c r="AM800" s="6" t="n"/>
      <c r="AN800" s="6" t="n"/>
      <c r="AO800" s="3">
        <f>IF(tblOrdenes[[#This Row],[link_checklist]]="","",HYPERLINK(p_ruta_base_checklists&amp;tblOrdenes[[#This Row],[link_checklist]],"abrir"))</f>
        <v/>
      </c>
      <c r="AP800" s="6" t="n"/>
      <c r="AQ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3">
        <f>IF(tblOrdenes[[#This Row],[tipo_ot]]="","",_xlfn.XLOOKUP(tblOrdenes[[#This Row],[tipo_ot]],tblTiposOT[codigo],tblTiposOT[clasificacion],"sin_clasificar"))</f>
        <v/>
      </c>
      <c r="U801" s="3">
        <f>IF(tblOrdenes[[#This Row],[centro_costo]]="","",_xlfn.XLOOKUP(tblOrdenes[[#This Row],[centro_costo]],tblCECO[codigo],tblCECO[linea],"(sin catálogo)"))</f>
        <v/>
      </c>
      <c r="V801" s="3">
        <f>IF(tblOrdenes[[#This Row],[centro_costo]]="","",_xlfn.XLOOKUP(tblOrdenes[[#This Row],[centro_costo]],tblCECO[codigo],tblCECO[area],"(sin catálogo)"))</f>
        <v/>
      </c>
      <c r="W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3">
        <f>IF(tblOrdenes[[#This Row],[centro_costo]]="","",_xlfn.XLOOKUP(tblOrdenes[[#This Row],[centro_costo]],tblCECO[codigo],tblCECO[coordinador],"(sin catálogo)"))</f>
        <v/>
      </c>
      <c r="Y801" s="3">
        <f>IF(tblOrdenes[[#This Row],[puesto_trabajo]]="","",_xlfn.XLOOKUP(tblOrdenes[[#This Row],[puesto_trabajo]],tblPuestos[codigo],tblPuestos[especialidad],"(sin catálogo)"))</f>
        <v/>
      </c>
      <c r="Z801" s="3">
        <f>IF(tblOrdenes[[#This Row],[cod_actividad]]="","",_xlfn.XLOOKUP(tblOrdenes[[#This Row],[cod_actividad]],tblActividades[codigo],tblActividades[descripcion],"(sin catálogo)"))</f>
        <v/>
      </c>
      <c r="AA801" s="12">
        <f>IF(tblOrdenes[[#This Row],[fecha_inicio]]="","",TODAY()-tblOrdenes[[#This Row],[fecha_inicio]])</f>
        <v/>
      </c>
      <c r="AB8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3">
        <f>IF(tblOrdenes[[#This Row],[backlog_habiles]]="","",IF(tblOrdenes[[#This Row],[backlog_habiles]]&lt;0,"FUTURO",IF(tblOrdenes[[#This Row],[backlog_habiles]]&gt;p_dias_backlog_max,"BACKLOG","MES CORRIENTE")))</f>
        <v/>
      </c>
      <c r="AD801" s="3">
        <f>IF(tblOrdenes[[#This Row],[backlog_habiles]]="",FALSE,AND(tblOrdenes[[#This Row],[backlog_habiles]]&gt;p_dias_backlog_min,tblOrdenes[[#This Row],[backlog_habiles]]&lt;=p_dias_backlog_max))</f>
        <v/>
      </c>
      <c r="AE801" s="6" t="n"/>
      <c r="AF8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0">
        <f>IF(tblOrdenes[[#This Row],[orden]]="","",_xlfn.XLOOKUP(tblOrdenes[[#This Row],[id_operacion]],tblEjecucion[id_operacion],tblEjecucion[precio],0))</f>
        <v/>
      </c>
      <c r="AJ801" s="10">
        <f>IF(tblOrdenes[[#This Row],[orden]]="","",MAX(0,_xlfn.XLOOKUP(tblOrdenes[[#This Row],[id_operacion]],tblEjecucion[id_operacion],tblEjecucion[costo_plan_total],0)-tblOrdenes[[#This Row],[costo_servicio]]))</f>
        <v/>
      </c>
      <c r="AK801" s="10">
        <f>IF(tblOrdenes[[#This Row],[orden]]="","",tblOrdenes[[#This Row],[costo_servicio]]+tblOrdenes[[#This Row],[costo_materiales]])</f>
        <v/>
      </c>
      <c r="AL801" s="6" t="n"/>
      <c r="AM801" s="6" t="n"/>
      <c r="AN801" s="6" t="n"/>
      <c r="AO801" s="3">
        <f>IF(tblOrdenes[[#This Row],[link_checklist]]="","",HYPERLINK(p_ruta_base_checklists&amp;tblOrdenes[[#This Row],[link_checklist]],"abrir"))</f>
        <v/>
      </c>
      <c r="AP801" s="6" t="n"/>
      <c r="AQ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3">
        <f>IF(tblOrdenes[[#This Row],[tipo_ot]]="","",_xlfn.XLOOKUP(tblOrdenes[[#This Row],[tipo_ot]],tblTiposOT[codigo],tblTiposOT[clasificacion],"sin_clasificar"))</f>
        <v/>
      </c>
      <c r="U802" s="3">
        <f>IF(tblOrdenes[[#This Row],[centro_costo]]="","",_xlfn.XLOOKUP(tblOrdenes[[#This Row],[centro_costo]],tblCECO[codigo],tblCECO[linea],"(sin catálogo)"))</f>
        <v/>
      </c>
      <c r="V802" s="3">
        <f>IF(tblOrdenes[[#This Row],[centro_costo]]="","",_xlfn.XLOOKUP(tblOrdenes[[#This Row],[centro_costo]],tblCECO[codigo],tblCECO[area],"(sin catálogo)"))</f>
        <v/>
      </c>
      <c r="W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3">
        <f>IF(tblOrdenes[[#This Row],[centro_costo]]="","",_xlfn.XLOOKUP(tblOrdenes[[#This Row],[centro_costo]],tblCECO[codigo],tblCECO[coordinador],"(sin catálogo)"))</f>
        <v/>
      </c>
      <c r="Y802" s="3">
        <f>IF(tblOrdenes[[#This Row],[puesto_trabajo]]="","",_xlfn.XLOOKUP(tblOrdenes[[#This Row],[puesto_trabajo]],tblPuestos[codigo],tblPuestos[especialidad],"(sin catálogo)"))</f>
        <v/>
      </c>
      <c r="Z802" s="3">
        <f>IF(tblOrdenes[[#This Row],[cod_actividad]]="","",_xlfn.XLOOKUP(tblOrdenes[[#This Row],[cod_actividad]],tblActividades[codigo],tblActividades[descripcion],"(sin catálogo)"))</f>
        <v/>
      </c>
      <c r="AA802" s="12">
        <f>IF(tblOrdenes[[#This Row],[fecha_inicio]]="","",TODAY()-tblOrdenes[[#This Row],[fecha_inicio]])</f>
        <v/>
      </c>
      <c r="AB8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3">
        <f>IF(tblOrdenes[[#This Row],[backlog_habiles]]="","",IF(tblOrdenes[[#This Row],[backlog_habiles]]&lt;0,"FUTURO",IF(tblOrdenes[[#This Row],[backlog_habiles]]&gt;p_dias_backlog_max,"BACKLOG","MES CORRIENTE")))</f>
        <v/>
      </c>
      <c r="AD802" s="3">
        <f>IF(tblOrdenes[[#This Row],[backlog_habiles]]="",FALSE,AND(tblOrdenes[[#This Row],[backlog_habiles]]&gt;p_dias_backlog_min,tblOrdenes[[#This Row],[backlog_habiles]]&lt;=p_dias_backlog_max))</f>
        <v/>
      </c>
      <c r="AE802" s="6" t="n"/>
      <c r="AF8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0">
        <f>IF(tblOrdenes[[#This Row],[orden]]="","",_xlfn.XLOOKUP(tblOrdenes[[#This Row],[id_operacion]],tblEjecucion[id_operacion],tblEjecucion[precio],0))</f>
        <v/>
      </c>
      <c r="AJ802" s="10">
        <f>IF(tblOrdenes[[#This Row],[orden]]="","",MAX(0,_xlfn.XLOOKUP(tblOrdenes[[#This Row],[id_operacion]],tblEjecucion[id_operacion],tblEjecucion[costo_plan_total],0)-tblOrdenes[[#This Row],[costo_servicio]]))</f>
        <v/>
      </c>
      <c r="AK802" s="10">
        <f>IF(tblOrdenes[[#This Row],[orden]]="","",tblOrdenes[[#This Row],[costo_servicio]]+tblOrdenes[[#This Row],[costo_materiales]])</f>
        <v/>
      </c>
      <c r="AL802" s="6" t="n"/>
      <c r="AM802" s="6" t="n"/>
      <c r="AN802" s="6" t="n"/>
      <c r="AO802" s="3">
        <f>IF(tblOrdenes[[#This Row],[link_checklist]]="","",HYPERLINK(p_ruta_base_checklists&amp;tblOrdenes[[#This Row],[link_checklist]],"abrir"))</f>
        <v/>
      </c>
      <c r="AP802" s="6" t="n"/>
      <c r="AQ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3">
        <f>IF(tblOrdenes[[#This Row],[tipo_ot]]="","",_xlfn.XLOOKUP(tblOrdenes[[#This Row],[tipo_ot]],tblTiposOT[codigo],tblTiposOT[clasificacion],"sin_clasificar"))</f>
        <v/>
      </c>
      <c r="U803" s="3">
        <f>IF(tblOrdenes[[#This Row],[centro_costo]]="","",_xlfn.XLOOKUP(tblOrdenes[[#This Row],[centro_costo]],tblCECO[codigo],tblCECO[linea],"(sin catálogo)"))</f>
        <v/>
      </c>
      <c r="V803" s="3">
        <f>IF(tblOrdenes[[#This Row],[centro_costo]]="","",_xlfn.XLOOKUP(tblOrdenes[[#This Row],[centro_costo]],tblCECO[codigo],tblCECO[area],"(sin catálogo)"))</f>
        <v/>
      </c>
      <c r="W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3">
        <f>IF(tblOrdenes[[#This Row],[centro_costo]]="","",_xlfn.XLOOKUP(tblOrdenes[[#This Row],[centro_costo]],tblCECO[codigo],tblCECO[coordinador],"(sin catálogo)"))</f>
        <v/>
      </c>
      <c r="Y803" s="3">
        <f>IF(tblOrdenes[[#This Row],[puesto_trabajo]]="","",_xlfn.XLOOKUP(tblOrdenes[[#This Row],[puesto_trabajo]],tblPuestos[codigo],tblPuestos[especialidad],"(sin catálogo)"))</f>
        <v/>
      </c>
      <c r="Z803" s="3">
        <f>IF(tblOrdenes[[#This Row],[cod_actividad]]="","",_xlfn.XLOOKUP(tblOrdenes[[#This Row],[cod_actividad]],tblActividades[codigo],tblActividades[descripcion],"(sin catálogo)"))</f>
        <v/>
      </c>
      <c r="AA803" s="12">
        <f>IF(tblOrdenes[[#This Row],[fecha_inicio]]="","",TODAY()-tblOrdenes[[#This Row],[fecha_inicio]])</f>
        <v/>
      </c>
      <c r="AB8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3">
        <f>IF(tblOrdenes[[#This Row],[backlog_habiles]]="","",IF(tblOrdenes[[#This Row],[backlog_habiles]]&lt;0,"FUTURO",IF(tblOrdenes[[#This Row],[backlog_habiles]]&gt;p_dias_backlog_max,"BACKLOG","MES CORRIENTE")))</f>
        <v/>
      </c>
      <c r="AD803" s="3">
        <f>IF(tblOrdenes[[#This Row],[backlog_habiles]]="",FALSE,AND(tblOrdenes[[#This Row],[backlog_habiles]]&gt;p_dias_backlog_min,tblOrdenes[[#This Row],[backlog_habiles]]&lt;=p_dias_backlog_max))</f>
        <v/>
      </c>
      <c r="AE803" s="6" t="n"/>
      <c r="AF8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0">
        <f>IF(tblOrdenes[[#This Row],[orden]]="","",_xlfn.XLOOKUP(tblOrdenes[[#This Row],[id_operacion]],tblEjecucion[id_operacion],tblEjecucion[precio],0))</f>
        <v/>
      </c>
      <c r="AJ803" s="10">
        <f>IF(tblOrdenes[[#This Row],[orden]]="","",MAX(0,_xlfn.XLOOKUP(tblOrdenes[[#This Row],[id_operacion]],tblEjecucion[id_operacion],tblEjecucion[costo_plan_total],0)-tblOrdenes[[#This Row],[costo_servicio]]))</f>
        <v/>
      </c>
      <c r="AK803" s="10">
        <f>IF(tblOrdenes[[#This Row],[orden]]="","",tblOrdenes[[#This Row],[costo_servicio]]+tblOrdenes[[#This Row],[costo_materiales]])</f>
        <v/>
      </c>
      <c r="AL803" s="6" t="n"/>
      <c r="AM803" s="6" t="n"/>
      <c r="AN803" s="6" t="n"/>
      <c r="AO803" s="3">
        <f>IF(tblOrdenes[[#This Row],[link_checklist]]="","",HYPERLINK(p_ruta_base_checklists&amp;tblOrdenes[[#This Row],[link_checklist]],"abrir"))</f>
        <v/>
      </c>
      <c r="AP803" s="6" t="n"/>
      <c r="AQ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3">
        <f>IF(tblOrdenes[[#This Row],[tipo_ot]]="","",_xlfn.XLOOKUP(tblOrdenes[[#This Row],[tipo_ot]],tblTiposOT[codigo],tblTiposOT[clasificacion],"sin_clasificar"))</f>
        <v/>
      </c>
      <c r="U804" s="3">
        <f>IF(tblOrdenes[[#This Row],[centro_costo]]="","",_xlfn.XLOOKUP(tblOrdenes[[#This Row],[centro_costo]],tblCECO[codigo],tblCECO[linea],"(sin catálogo)"))</f>
        <v/>
      </c>
      <c r="V804" s="3">
        <f>IF(tblOrdenes[[#This Row],[centro_costo]]="","",_xlfn.XLOOKUP(tblOrdenes[[#This Row],[centro_costo]],tblCECO[codigo],tblCECO[area],"(sin catálogo)"))</f>
        <v/>
      </c>
      <c r="W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3">
        <f>IF(tblOrdenes[[#This Row],[centro_costo]]="","",_xlfn.XLOOKUP(tblOrdenes[[#This Row],[centro_costo]],tblCECO[codigo],tblCECO[coordinador],"(sin catálogo)"))</f>
        <v/>
      </c>
      <c r="Y804" s="3">
        <f>IF(tblOrdenes[[#This Row],[puesto_trabajo]]="","",_xlfn.XLOOKUP(tblOrdenes[[#This Row],[puesto_trabajo]],tblPuestos[codigo],tblPuestos[especialidad],"(sin catálogo)"))</f>
        <v/>
      </c>
      <c r="Z804" s="3">
        <f>IF(tblOrdenes[[#This Row],[cod_actividad]]="","",_xlfn.XLOOKUP(tblOrdenes[[#This Row],[cod_actividad]],tblActividades[codigo],tblActividades[descripcion],"(sin catálogo)"))</f>
        <v/>
      </c>
      <c r="AA804" s="12">
        <f>IF(tblOrdenes[[#This Row],[fecha_inicio]]="","",TODAY()-tblOrdenes[[#This Row],[fecha_inicio]])</f>
        <v/>
      </c>
      <c r="AB8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3">
        <f>IF(tblOrdenes[[#This Row],[backlog_habiles]]="","",IF(tblOrdenes[[#This Row],[backlog_habiles]]&lt;0,"FUTURO",IF(tblOrdenes[[#This Row],[backlog_habiles]]&gt;p_dias_backlog_max,"BACKLOG","MES CORRIENTE")))</f>
        <v/>
      </c>
      <c r="AD804" s="3">
        <f>IF(tblOrdenes[[#This Row],[backlog_habiles]]="",FALSE,AND(tblOrdenes[[#This Row],[backlog_habiles]]&gt;p_dias_backlog_min,tblOrdenes[[#This Row],[backlog_habiles]]&lt;=p_dias_backlog_max))</f>
        <v/>
      </c>
      <c r="AE804" s="6" t="n"/>
      <c r="AF8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0">
        <f>IF(tblOrdenes[[#This Row],[orden]]="","",_xlfn.XLOOKUP(tblOrdenes[[#This Row],[id_operacion]],tblEjecucion[id_operacion],tblEjecucion[precio],0))</f>
        <v/>
      </c>
      <c r="AJ804" s="10">
        <f>IF(tblOrdenes[[#This Row],[orden]]="","",MAX(0,_xlfn.XLOOKUP(tblOrdenes[[#This Row],[id_operacion]],tblEjecucion[id_operacion],tblEjecucion[costo_plan_total],0)-tblOrdenes[[#This Row],[costo_servicio]]))</f>
        <v/>
      </c>
      <c r="AK804" s="10">
        <f>IF(tblOrdenes[[#This Row],[orden]]="","",tblOrdenes[[#This Row],[costo_servicio]]+tblOrdenes[[#This Row],[costo_materiales]])</f>
        <v/>
      </c>
      <c r="AL804" s="6" t="n"/>
      <c r="AM804" s="6" t="n"/>
      <c r="AN804" s="6" t="n"/>
      <c r="AO804" s="3">
        <f>IF(tblOrdenes[[#This Row],[link_checklist]]="","",HYPERLINK(p_ruta_base_checklists&amp;tblOrdenes[[#This Row],[link_checklist]],"abrir"))</f>
        <v/>
      </c>
      <c r="AP804" s="6" t="n"/>
      <c r="AQ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3">
        <f>IF(tblOrdenes[[#This Row],[tipo_ot]]="","",_xlfn.XLOOKUP(tblOrdenes[[#This Row],[tipo_ot]],tblTiposOT[codigo],tblTiposOT[clasificacion],"sin_clasificar"))</f>
        <v/>
      </c>
      <c r="U805" s="3">
        <f>IF(tblOrdenes[[#This Row],[centro_costo]]="","",_xlfn.XLOOKUP(tblOrdenes[[#This Row],[centro_costo]],tblCECO[codigo],tblCECO[linea],"(sin catálogo)"))</f>
        <v/>
      </c>
      <c r="V805" s="3">
        <f>IF(tblOrdenes[[#This Row],[centro_costo]]="","",_xlfn.XLOOKUP(tblOrdenes[[#This Row],[centro_costo]],tblCECO[codigo],tblCECO[area],"(sin catálogo)"))</f>
        <v/>
      </c>
      <c r="W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3">
        <f>IF(tblOrdenes[[#This Row],[centro_costo]]="","",_xlfn.XLOOKUP(tblOrdenes[[#This Row],[centro_costo]],tblCECO[codigo],tblCECO[coordinador],"(sin catálogo)"))</f>
        <v/>
      </c>
      <c r="Y805" s="3">
        <f>IF(tblOrdenes[[#This Row],[puesto_trabajo]]="","",_xlfn.XLOOKUP(tblOrdenes[[#This Row],[puesto_trabajo]],tblPuestos[codigo],tblPuestos[especialidad],"(sin catálogo)"))</f>
        <v/>
      </c>
      <c r="Z805" s="3">
        <f>IF(tblOrdenes[[#This Row],[cod_actividad]]="","",_xlfn.XLOOKUP(tblOrdenes[[#This Row],[cod_actividad]],tblActividades[codigo],tblActividades[descripcion],"(sin catálogo)"))</f>
        <v/>
      </c>
      <c r="AA805" s="12">
        <f>IF(tblOrdenes[[#This Row],[fecha_inicio]]="","",TODAY()-tblOrdenes[[#This Row],[fecha_inicio]])</f>
        <v/>
      </c>
      <c r="AB8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3">
        <f>IF(tblOrdenes[[#This Row],[backlog_habiles]]="","",IF(tblOrdenes[[#This Row],[backlog_habiles]]&lt;0,"FUTURO",IF(tblOrdenes[[#This Row],[backlog_habiles]]&gt;p_dias_backlog_max,"BACKLOG","MES CORRIENTE")))</f>
        <v/>
      </c>
      <c r="AD805" s="3">
        <f>IF(tblOrdenes[[#This Row],[backlog_habiles]]="",FALSE,AND(tblOrdenes[[#This Row],[backlog_habiles]]&gt;p_dias_backlog_min,tblOrdenes[[#This Row],[backlog_habiles]]&lt;=p_dias_backlog_max))</f>
        <v/>
      </c>
      <c r="AE805" s="6" t="n"/>
      <c r="AF8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0">
        <f>IF(tblOrdenes[[#This Row],[orden]]="","",_xlfn.XLOOKUP(tblOrdenes[[#This Row],[id_operacion]],tblEjecucion[id_operacion],tblEjecucion[precio],0))</f>
        <v/>
      </c>
      <c r="AJ805" s="10">
        <f>IF(tblOrdenes[[#This Row],[orden]]="","",MAX(0,_xlfn.XLOOKUP(tblOrdenes[[#This Row],[id_operacion]],tblEjecucion[id_operacion],tblEjecucion[costo_plan_total],0)-tblOrdenes[[#This Row],[costo_servicio]]))</f>
        <v/>
      </c>
      <c r="AK805" s="10">
        <f>IF(tblOrdenes[[#This Row],[orden]]="","",tblOrdenes[[#This Row],[costo_servicio]]+tblOrdenes[[#This Row],[costo_materiales]])</f>
        <v/>
      </c>
      <c r="AL805" s="6" t="n"/>
      <c r="AM805" s="6" t="n"/>
      <c r="AN805" s="6" t="n"/>
      <c r="AO805" s="3">
        <f>IF(tblOrdenes[[#This Row],[link_checklist]]="","",HYPERLINK(p_ruta_base_checklists&amp;tblOrdenes[[#This Row],[link_checklist]],"abrir"))</f>
        <v/>
      </c>
      <c r="AP805" s="6" t="n"/>
      <c r="AQ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3">
        <f>IF(tblOrdenes[[#This Row],[tipo_ot]]="","",_xlfn.XLOOKUP(tblOrdenes[[#This Row],[tipo_ot]],tblTiposOT[codigo],tblTiposOT[clasificacion],"sin_clasificar"))</f>
        <v/>
      </c>
      <c r="U806" s="3">
        <f>IF(tblOrdenes[[#This Row],[centro_costo]]="","",_xlfn.XLOOKUP(tblOrdenes[[#This Row],[centro_costo]],tblCECO[codigo],tblCECO[linea],"(sin catálogo)"))</f>
        <v/>
      </c>
      <c r="V806" s="3">
        <f>IF(tblOrdenes[[#This Row],[centro_costo]]="","",_xlfn.XLOOKUP(tblOrdenes[[#This Row],[centro_costo]],tblCECO[codigo],tblCECO[area],"(sin catálogo)"))</f>
        <v/>
      </c>
      <c r="W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3">
        <f>IF(tblOrdenes[[#This Row],[centro_costo]]="","",_xlfn.XLOOKUP(tblOrdenes[[#This Row],[centro_costo]],tblCECO[codigo],tblCECO[coordinador],"(sin catálogo)"))</f>
        <v/>
      </c>
      <c r="Y806" s="3">
        <f>IF(tblOrdenes[[#This Row],[puesto_trabajo]]="","",_xlfn.XLOOKUP(tblOrdenes[[#This Row],[puesto_trabajo]],tblPuestos[codigo],tblPuestos[especialidad],"(sin catálogo)"))</f>
        <v/>
      </c>
      <c r="Z806" s="3">
        <f>IF(tblOrdenes[[#This Row],[cod_actividad]]="","",_xlfn.XLOOKUP(tblOrdenes[[#This Row],[cod_actividad]],tblActividades[codigo],tblActividades[descripcion],"(sin catálogo)"))</f>
        <v/>
      </c>
      <c r="AA806" s="12">
        <f>IF(tblOrdenes[[#This Row],[fecha_inicio]]="","",TODAY()-tblOrdenes[[#This Row],[fecha_inicio]])</f>
        <v/>
      </c>
      <c r="AB8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3">
        <f>IF(tblOrdenes[[#This Row],[backlog_habiles]]="","",IF(tblOrdenes[[#This Row],[backlog_habiles]]&lt;0,"FUTURO",IF(tblOrdenes[[#This Row],[backlog_habiles]]&gt;p_dias_backlog_max,"BACKLOG","MES CORRIENTE")))</f>
        <v/>
      </c>
      <c r="AD806" s="3">
        <f>IF(tblOrdenes[[#This Row],[backlog_habiles]]="",FALSE,AND(tblOrdenes[[#This Row],[backlog_habiles]]&gt;p_dias_backlog_min,tblOrdenes[[#This Row],[backlog_habiles]]&lt;=p_dias_backlog_max))</f>
        <v/>
      </c>
      <c r="AE806" s="6" t="n"/>
      <c r="AF8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0">
        <f>IF(tblOrdenes[[#This Row],[orden]]="","",_xlfn.XLOOKUP(tblOrdenes[[#This Row],[id_operacion]],tblEjecucion[id_operacion],tblEjecucion[precio],0))</f>
        <v/>
      </c>
      <c r="AJ806" s="10">
        <f>IF(tblOrdenes[[#This Row],[orden]]="","",MAX(0,_xlfn.XLOOKUP(tblOrdenes[[#This Row],[id_operacion]],tblEjecucion[id_operacion],tblEjecucion[costo_plan_total],0)-tblOrdenes[[#This Row],[costo_servicio]]))</f>
        <v/>
      </c>
      <c r="AK806" s="10">
        <f>IF(tblOrdenes[[#This Row],[orden]]="","",tblOrdenes[[#This Row],[costo_servicio]]+tblOrdenes[[#This Row],[costo_materiales]])</f>
        <v/>
      </c>
      <c r="AL806" s="6" t="n"/>
      <c r="AM806" s="6" t="n"/>
      <c r="AN806" s="6" t="n"/>
      <c r="AO806" s="3">
        <f>IF(tblOrdenes[[#This Row],[link_checklist]]="","",HYPERLINK(p_ruta_base_checklists&amp;tblOrdenes[[#This Row],[link_checklist]],"abrir"))</f>
        <v/>
      </c>
      <c r="AP806" s="6" t="n"/>
      <c r="AQ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3">
        <f>IF(tblOrdenes[[#This Row],[tipo_ot]]="","",_xlfn.XLOOKUP(tblOrdenes[[#This Row],[tipo_ot]],tblTiposOT[codigo],tblTiposOT[clasificacion],"sin_clasificar"))</f>
        <v/>
      </c>
      <c r="U807" s="3">
        <f>IF(tblOrdenes[[#This Row],[centro_costo]]="","",_xlfn.XLOOKUP(tblOrdenes[[#This Row],[centro_costo]],tblCECO[codigo],tblCECO[linea],"(sin catálogo)"))</f>
        <v/>
      </c>
      <c r="V807" s="3">
        <f>IF(tblOrdenes[[#This Row],[centro_costo]]="","",_xlfn.XLOOKUP(tblOrdenes[[#This Row],[centro_costo]],tblCECO[codigo],tblCECO[area],"(sin catálogo)"))</f>
        <v/>
      </c>
      <c r="W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3">
        <f>IF(tblOrdenes[[#This Row],[centro_costo]]="","",_xlfn.XLOOKUP(tblOrdenes[[#This Row],[centro_costo]],tblCECO[codigo],tblCECO[coordinador],"(sin catálogo)"))</f>
        <v/>
      </c>
      <c r="Y807" s="3">
        <f>IF(tblOrdenes[[#This Row],[puesto_trabajo]]="","",_xlfn.XLOOKUP(tblOrdenes[[#This Row],[puesto_trabajo]],tblPuestos[codigo],tblPuestos[especialidad],"(sin catálogo)"))</f>
        <v/>
      </c>
      <c r="Z807" s="3">
        <f>IF(tblOrdenes[[#This Row],[cod_actividad]]="","",_xlfn.XLOOKUP(tblOrdenes[[#This Row],[cod_actividad]],tblActividades[codigo],tblActividades[descripcion],"(sin catálogo)"))</f>
        <v/>
      </c>
      <c r="AA807" s="12">
        <f>IF(tblOrdenes[[#This Row],[fecha_inicio]]="","",TODAY()-tblOrdenes[[#This Row],[fecha_inicio]])</f>
        <v/>
      </c>
      <c r="AB8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3">
        <f>IF(tblOrdenes[[#This Row],[backlog_habiles]]="","",IF(tblOrdenes[[#This Row],[backlog_habiles]]&lt;0,"FUTURO",IF(tblOrdenes[[#This Row],[backlog_habiles]]&gt;p_dias_backlog_max,"BACKLOG","MES CORRIENTE")))</f>
        <v/>
      </c>
      <c r="AD807" s="3">
        <f>IF(tblOrdenes[[#This Row],[backlog_habiles]]="",FALSE,AND(tblOrdenes[[#This Row],[backlog_habiles]]&gt;p_dias_backlog_min,tblOrdenes[[#This Row],[backlog_habiles]]&lt;=p_dias_backlog_max))</f>
        <v/>
      </c>
      <c r="AE807" s="6" t="n"/>
      <c r="AF8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0">
        <f>IF(tblOrdenes[[#This Row],[orden]]="","",_xlfn.XLOOKUP(tblOrdenes[[#This Row],[id_operacion]],tblEjecucion[id_operacion],tblEjecucion[precio],0))</f>
        <v/>
      </c>
      <c r="AJ807" s="10">
        <f>IF(tblOrdenes[[#This Row],[orden]]="","",MAX(0,_xlfn.XLOOKUP(tblOrdenes[[#This Row],[id_operacion]],tblEjecucion[id_operacion],tblEjecucion[costo_plan_total],0)-tblOrdenes[[#This Row],[costo_servicio]]))</f>
        <v/>
      </c>
      <c r="AK807" s="10">
        <f>IF(tblOrdenes[[#This Row],[orden]]="","",tblOrdenes[[#This Row],[costo_servicio]]+tblOrdenes[[#This Row],[costo_materiales]])</f>
        <v/>
      </c>
      <c r="AL807" s="6" t="n"/>
      <c r="AM807" s="6" t="n"/>
      <c r="AN807" s="6" t="n"/>
      <c r="AO807" s="3">
        <f>IF(tblOrdenes[[#This Row],[link_checklist]]="","",HYPERLINK(p_ruta_base_checklists&amp;tblOrdenes[[#This Row],[link_checklist]],"abrir"))</f>
        <v/>
      </c>
      <c r="AP807" s="6" t="n"/>
      <c r="AQ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3">
        <f>IF(tblOrdenes[[#This Row],[tipo_ot]]="","",_xlfn.XLOOKUP(tblOrdenes[[#This Row],[tipo_ot]],tblTiposOT[codigo],tblTiposOT[clasificacion],"sin_clasificar"))</f>
        <v/>
      </c>
      <c r="U808" s="3">
        <f>IF(tblOrdenes[[#This Row],[centro_costo]]="","",_xlfn.XLOOKUP(tblOrdenes[[#This Row],[centro_costo]],tblCECO[codigo],tblCECO[linea],"(sin catálogo)"))</f>
        <v/>
      </c>
      <c r="V808" s="3">
        <f>IF(tblOrdenes[[#This Row],[centro_costo]]="","",_xlfn.XLOOKUP(tblOrdenes[[#This Row],[centro_costo]],tblCECO[codigo],tblCECO[area],"(sin catálogo)"))</f>
        <v/>
      </c>
      <c r="W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3">
        <f>IF(tblOrdenes[[#This Row],[centro_costo]]="","",_xlfn.XLOOKUP(tblOrdenes[[#This Row],[centro_costo]],tblCECO[codigo],tblCECO[coordinador],"(sin catálogo)"))</f>
        <v/>
      </c>
      <c r="Y808" s="3">
        <f>IF(tblOrdenes[[#This Row],[puesto_trabajo]]="","",_xlfn.XLOOKUP(tblOrdenes[[#This Row],[puesto_trabajo]],tblPuestos[codigo],tblPuestos[especialidad],"(sin catálogo)"))</f>
        <v/>
      </c>
      <c r="Z808" s="3">
        <f>IF(tblOrdenes[[#This Row],[cod_actividad]]="","",_xlfn.XLOOKUP(tblOrdenes[[#This Row],[cod_actividad]],tblActividades[codigo],tblActividades[descripcion],"(sin catálogo)"))</f>
        <v/>
      </c>
      <c r="AA808" s="12">
        <f>IF(tblOrdenes[[#This Row],[fecha_inicio]]="","",TODAY()-tblOrdenes[[#This Row],[fecha_inicio]])</f>
        <v/>
      </c>
      <c r="AB8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3">
        <f>IF(tblOrdenes[[#This Row],[backlog_habiles]]="","",IF(tblOrdenes[[#This Row],[backlog_habiles]]&lt;0,"FUTURO",IF(tblOrdenes[[#This Row],[backlog_habiles]]&gt;p_dias_backlog_max,"BACKLOG","MES CORRIENTE")))</f>
        <v/>
      </c>
      <c r="AD808" s="3">
        <f>IF(tblOrdenes[[#This Row],[backlog_habiles]]="",FALSE,AND(tblOrdenes[[#This Row],[backlog_habiles]]&gt;p_dias_backlog_min,tblOrdenes[[#This Row],[backlog_habiles]]&lt;=p_dias_backlog_max))</f>
        <v/>
      </c>
      <c r="AE808" s="6" t="n"/>
      <c r="AF8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0">
        <f>IF(tblOrdenes[[#This Row],[orden]]="","",_xlfn.XLOOKUP(tblOrdenes[[#This Row],[id_operacion]],tblEjecucion[id_operacion],tblEjecucion[precio],0))</f>
        <v/>
      </c>
      <c r="AJ808" s="10">
        <f>IF(tblOrdenes[[#This Row],[orden]]="","",MAX(0,_xlfn.XLOOKUP(tblOrdenes[[#This Row],[id_operacion]],tblEjecucion[id_operacion],tblEjecucion[costo_plan_total],0)-tblOrdenes[[#This Row],[costo_servicio]]))</f>
        <v/>
      </c>
      <c r="AK808" s="10">
        <f>IF(tblOrdenes[[#This Row],[orden]]="","",tblOrdenes[[#This Row],[costo_servicio]]+tblOrdenes[[#This Row],[costo_materiales]])</f>
        <v/>
      </c>
      <c r="AL808" s="6" t="n"/>
      <c r="AM808" s="6" t="n"/>
      <c r="AN808" s="6" t="n"/>
      <c r="AO808" s="3">
        <f>IF(tblOrdenes[[#This Row],[link_checklist]]="","",HYPERLINK(p_ruta_base_checklists&amp;tblOrdenes[[#This Row],[link_checklist]],"abrir"))</f>
        <v/>
      </c>
      <c r="AP808" s="6" t="n"/>
      <c r="AQ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3">
        <f>IF(tblOrdenes[[#This Row],[tipo_ot]]="","",_xlfn.XLOOKUP(tblOrdenes[[#This Row],[tipo_ot]],tblTiposOT[codigo],tblTiposOT[clasificacion],"sin_clasificar"))</f>
        <v/>
      </c>
      <c r="U809" s="3">
        <f>IF(tblOrdenes[[#This Row],[centro_costo]]="","",_xlfn.XLOOKUP(tblOrdenes[[#This Row],[centro_costo]],tblCECO[codigo],tblCECO[linea],"(sin catálogo)"))</f>
        <v/>
      </c>
      <c r="V809" s="3">
        <f>IF(tblOrdenes[[#This Row],[centro_costo]]="","",_xlfn.XLOOKUP(tblOrdenes[[#This Row],[centro_costo]],tblCECO[codigo],tblCECO[area],"(sin catálogo)"))</f>
        <v/>
      </c>
      <c r="W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3">
        <f>IF(tblOrdenes[[#This Row],[centro_costo]]="","",_xlfn.XLOOKUP(tblOrdenes[[#This Row],[centro_costo]],tblCECO[codigo],tblCECO[coordinador],"(sin catálogo)"))</f>
        <v/>
      </c>
      <c r="Y809" s="3">
        <f>IF(tblOrdenes[[#This Row],[puesto_trabajo]]="","",_xlfn.XLOOKUP(tblOrdenes[[#This Row],[puesto_trabajo]],tblPuestos[codigo],tblPuestos[especialidad],"(sin catálogo)"))</f>
        <v/>
      </c>
      <c r="Z809" s="3">
        <f>IF(tblOrdenes[[#This Row],[cod_actividad]]="","",_xlfn.XLOOKUP(tblOrdenes[[#This Row],[cod_actividad]],tblActividades[codigo],tblActividades[descripcion],"(sin catálogo)"))</f>
        <v/>
      </c>
      <c r="AA809" s="12">
        <f>IF(tblOrdenes[[#This Row],[fecha_inicio]]="","",TODAY()-tblOrdenes[[#This Row],[fecha_inicio]])</f>
        <v/>
      </c>
      <c r="AB8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3">
        <f>IF(tblOrdenes[[#This Row],[backlog_habiles]]="","",IF(tblOrdenes[[#This Row],[backlog_habiles]]&lt;0,"FUTURO",IF(tblOrdenes[[#This Row],[backlog_habiles]]&gt;p_dias_backlog_max,"BACKLOG","MES CORRIENTE")))</f>
        <v/>
      </c>
      <c r="AD809" s="3">
        <f>IF(tblOrdenes[[#This Row],[backlog_habiles]]="",FALSE,AND(tblOrdenes[[#This Row],[backlog_habiles]]&gt;p_dias_backlog_min,tblOrdenes[[#This Row],[backlog_habiles]]&lt;=p_dias_backlog_max))</f>
        <v/>
      </c>
      <c r="AE809" s="6" t="n"/>
      <c r="AF8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0">
        <f>IF(tblOrdenes[[#This Row],[orden]]="","",_xlfn.XLOOKUP(tblOrdenes[[#This Row],[id_operacion]],tblEjecucion[id_operacion],tblEjecucion[precio],0))</f>
        <v/>
      </c>
      <c r="AJ809" s="10">
        <f>IF(tblOrdenes[[#This Row],[orden]]="","",MAX(0,_xlfn.XLOOKUP(tblOrdenes[[#This Row],[id_operacion]],tblEjecucion[id_operacion],tblEjecucion[costo_plan_total],0)-tblOrdenes[[#This Row],[costo_servicio]]))</f>
        <v/>
      </c>
      <c r="AK809" s="10">
        <f>IF(tblOrdenes[[#This Row],[orden]]="","",tblOrdenes[[#This Row],[costo_servicio]]+tblOrdenes[[#This Row],[costo_materiales]])</f>
        <v/>
      </c>
      <c r="AL809" s="6" t="n"/>
      <c r="AM809" s="6" t="n"/>
      <c r="AN809" s="6" t="n"/>
      <c r="AO809" s="3">
        <f>IF(tblOrdenes[[#This Row],[link_checklist]]="","",HYPERLINK(p_ruta_base_checklists&amp;tblOrdenes[[#This Row],[link_checklist]],"abrir"))</f>
        <v/>
      </c>
      <c r="AP809" s="6" t="n"/>
      <c r="AQ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3">
        <f>IF(tblOrdenes[[#This Row],[tipo_ot]]="","",_xlfn.XLOOKUP(tblOrdenes[[#This Row],[tipo_ot]],tblTiposOT[codigo],tblTiposOT[clasificacion],"sin_clasificar"))</f>
        <v/>
      </c>
      <c r="U810" s="3">
        <f>IF(tblOrdenes[[#This Row],[centro_costo]]="","",_xlfn.XLOOKUP(tblOrdenes[[#This Row],[centro_costo]],tblCECO[codigo],tblCECO[linea],"(sin catálogo)"))</f>
        <v/>
      </c>
      <c r="V810" s="3">
        <f>IF(tblOrdenes[[#This Row],[centro_costo]]="","",_xlfn.XLOOKUP(tblOrdenes[[#This Row],[centro_costo]],tblCECO[codigo],tblCECO[area],"(sin catálogo)"))</f>
        <v/>
      </c>
      <c r="W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3">
        <f>IF(tblOrdenes[[#This Row],[centro_costo]]="","",_xlfn.XLOOKUP(tblOrdenes[[#This Row],[centro_costo]],tblCECO[codigo],tblCECO[coordinador],"(sin catálogo)"))</f>
        <v/>
      </c>
      <c r="Y810" s="3">
        <f>IF(tblOrdenes[[#This Row],[puesto_trabajo]]="","",_xlfn.XLOOKUP(tblOrdenes[[#This Row],[puesto_trabajo]],tblPuestos[codigo],tblPuestos[especialidad],"(sin catálogo)"))</f>
        <v/>
      </c>
      <c r="Z810" s="3">
        <f>IF(tblOrdenes[[#This Row],[cod_actividad]]="","",_xlfn.XLOOKUP(tblOrdenes[[#This Row],[cod_actividad]],tblActividades[codigo],tblActividades[descripcion],"(sin catálogo)"))</f>
        <v/>
      </c>
      <c r="AA810" s="12">
        <f>IF(tblOrdenes[[#This Row],[fecha_inicio]]="","",TODAY()-tblOrdenes[[#This Row],[fecha_inicio]])</f>
        <v/>
      </c>
      <c r="AB8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3">
        <f>IF(tblOrdenes[[#This Row],[backlog_habiles]]="","",IF(tblOrdenes[[#This Row],[backlog_habiles]]&lt;0,"FUTURO",IF(tblOrdenes[[#This Row],[backlog_habiles]]&gt;p_dias_backlog_max,"BACKLOG","MES CORRIENTE")))</f>
        <v/>
      </c>
      <c r="AD810" s="3">
        <f>IF(tblOrdenes[[#This Row],[backlog_habiles]]="",FALSE,AND(tblOrdenes[[#This Row],[backlog_habiles]]&gt;p_dias_backlog_min,tblOrdenes[[#This Row],[backlog_habiles]]&lt;=p_dias_backlog_max))</f>
        <v/>
      </c>
      <c r="AE810" s="6" t="n"/>
      <c r="AF8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0">
        <f>IF(tblOrdenes[[#This Row],[orden]]="","",_xlfn.XLOOKUP(tblOrdenes[[#This Row],[id_operacion]],tblEjecucion[id_operacion],tblEjecucion[precio],0))</f>
        <v/>
      </c>
      <c r="AJ810" s="10">
        <f>IF(tblOrdenes[[#This Row],[orden]]="","",MAX(0,_xlfn.XLOOKUP(tblOrdenes[[#This Row],[id_operacion]],tblEjecucion[id_operacion],tblEjecucion[costo_plan_total],0)-tblOrdenes[[#This Row],[costo_servicio]]))</f>
        <v/>
      </c>
      <c r="AK810" s="10">
        <f>IF(tblOrdenes[[#This Row],[orden]]="","",tblOrdenes[[#This Row],[costo_servicio]]+tblOrdenes[[#This Row],[costo_materiales]])</f>
        <v/>
      </c>
      <c r="AL810" s="6" t="n"/>
      <c r="AM810" s="6" t="n"/>
      <c r="AN810" s="6" t="n"/>
      <c r="AO810" s="3">
        <f>IF(tblOrdenes[[#This Row],[link_checklist]]="","",HYPERLINK(p_ruta_base_checklists&amp;tblOrdenes[[#This Row],[link_checklist]],"abrir"))</f>
        <v/>
      </c>
      <c r="AP810" s="6" t="n"/>
      <c r="AQ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3">
        <f>IF(tblOrdenes[[#This Row],[tipo_ot]]="","",_xlfn.XLOOKUP(tblOrdenes[[#This Row],[tipo_ot]],tblTiposOT[codigo],tblTiposOT[clasificacion],"sin_clasificar"))</f>
        <v/>
      </c>
      <c r="U811" s="3">
        <f>IF(tblOrdenes[[#This Row],[centro_costo]]="","",_xlfn.XLOOKUP(tblOrdenes[[#This Row],[centro_costo]],tblCECO[codigo],tblCECO[linea],"(sin catálogo)"))</f>
        <v/>
      </c>
      <c r="V811" s="3">
        <f>IF(tblOrdenes[[#This Row],[centro_costo]]="","",_xlfn.XLOOKUP(tblOrdenes[[#This Row],[centro_costo]],tblCECO[codigo],tblCECO[area],"(sin catálogo)"))</f>
        <v/>
      </c>
      <c r="W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3">
        <f>IF(tblOrdenes[[#This Row],[centro_costo]]="","",_xlfn.XLOOKUP(tblOrdenes[[#This Row],[centro_costo]],tblCECO[codigo],tblCECO[coordinador],"(sin catálogo)"))</f>
        <v/>
      </c>
      <c r="Y811" s="3">
        <f>IF(tblOrdenes[[#This Row],[puesto_trabajo]]="","",_xlfn.XLOOKUP(tblOrdenes[[#This Row],[puesto_trabajo]],tblPuestos[codigo],tblPuestos[especialidad],"(sin catálogo)"))</f>
        <v/>
      </c>
      <c r="Z811" s="3">
        <f>IF(tblOrdenes[[#This Row],[cod_actividad]]="","",_xlfn.XLOOKUP(tblOrdenes[[#This Row],[cod_actividad]],tblActividades[codigo],tblActividades[descripcion],"(sin catálogo)"))</f>
        <v/>
      </c>
      <c r="AA811" s="12">
        <f>IF(tblOrdenes[[#This Row],[fecha_inicio]]="","",TODAY()-tblOrdenes[[#This Row],[fecha_inicio]])</f>
        <v/>
      </c>
      <c r="AB8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3">
        <f>IF(tblOrdenes[[#This Row],[backlog_habiles]]="","",IF(tblOrdenes[[#This Row],[backlog_habiles]]&lt;0,"FUTURO",IF(tblOrdenes[[#This Row],[backlog_habiles]]&gt;p_dias_backlog_max,"BACKLOG","MES CORRIENTE")))</f>
        <v/>
      </c>
      <c r="AD811" s="3">
        <f>IF(tblOrdenes[[#This Row],[backlog_habiles]]="",FALSE,AND(tblOrdenes[[#This Row],[backlog_habiles]]&gt;p_dias_backlog_min,tblOrdenes[[#This Row],[backlog_habiles]]&lt;=p_dias_backlog_max))</f>
        <v/>
      </c>
      <c r="AE811" s="6" t="n"/>
      <c r="AF8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0">
        <f>IF(tblOrdenes[[#This Row],[orden]]="","",_xlfn.XLOOKUP(tblOrdenes[[#This Row],[id_operacion]],tblEjecucion[id_operacion],tblEjecucion[precio],0))</f>
        <v/>
      </c>
      <c r="AJ811" s="10">
        <f>IF(tblOrdenes[[#This Row],[orden]]="","",MAX(0,_xlfn.XLOOKUP(tblOrdenes[[#This Row],[id_operacion]],tblEjecucion[id_operacion],tblEjecucion[costo_plan_total],0)-tblOrdenes[[#This Row],[costo_servicio]]))</f>
        <v/>
      </c>
      <c r="AK811" s="10">
        <f>IF(tblOrdenes[[#This Row],[orden]]="","",tblOrdenes[[#This Row],[costo_servicio]]+tblOrdenes[[#This Row],[costo_materiales]])</f>
        <v/>
      </c>
      <c r="AL811" s="6" t="n"/>
      <c r="AM811" s="6" t="n"/>
      <c r="AN811" s="6" t="n"/>
      <c r="AO811" s="3">
        <f>IF(tblOrdenes[[#This Row],[link_checklist]]="","",HYPERLINK(p_ruta_base_checklists&amp;tblOrdenes[[#This Row],[link_checklist]],"abrir"))</f>
        <v/>
      </c>
      <c r="AP811" s="6" t="n"/>
      <c r="AQ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3">
        <f>IF(tblOrdenes[[#This Row],[tipo_ot]]="","",_xlfn.XLOOKUP(tblOrdenes[[#This Row],[tipo_ot]],tblTiposOT[codigo],tblTiposOT[clasificacion],"sin_clasificar"))</f>
        <v/>
      </c>
      <c r="U812" s="3">
        <f>IF(tblOrdenes[[#This Row],[centro_costo]]="","",_xlfn.XLOOKUP(tblOrdenes[[#This Row],[centro_costo]],tblCECO[codigo],tblCECO[linea],"(sin catálogo)"))</f>
        <v/>
      </c>
      <c r="V812" s="3">
        <f>IF(tblOrdenes[[#This Row],[centro_costo]]="","",_xlfn.XLOOKUP(tblOrdenes[[#This Row],[centro_costo]],tblCECO[codigo],tblCECO[area],"(sin catálogo)"))</f>
        <v/>
      </c>
      <c r="W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3">
        <f>IF(tblOrdenes[[#This Row],[centro_costo]]="","",_xlfn.XLOOKUP(tblOrdenes[[#This Row],[centro_costo]],tblCECO[codigo],tblCECO[coordinador],"(sin catálogo)"))</f>
        <v/>
      </c>
      <c r="Y812" s="3">
        <f>IF(tblOrdenes[[#This Row],[puesto_trabajo]]="","",_xlfn.XLOOKUP(tblOrdenes[[#This Row],[puesto_trabajo]],tblPuestos[codigo],tblPuestos[especialidad],"(sin catálogo)"))</f>
        <v/>
      </c>
      <c r="Z812" s="3">
        <f>IF(tblOrdenes[[#This Row],[cod_actividad]]="","",_xlfn.XLOOKUP(tblOrdenes[[#This Row],[cod_actividad]],tblActividades[codigo],tblActividades[descripcion],"(sin catálogo)"))</f>
        <v/>
      </c>
      <c r="AA812" s="12">
        <f>IF(tblOrdenes[[#This Row],[fecha_inicio]]="","",TODAY()-tblOrdenes[[#This Row],[fecha_inicio]])</f>
        <v/>
      </c>
      <c r="AB8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3">
        <f>IF(tblOrdenes[[#This Row],[backlog_habiles]]="","",IF(tblOrdenes[[#This Row],[backlog_habiles]]&lt;0,"FUTURO",IF(tblOrdenes[[#This Row],[backlog_habiles]]&gt;p_dias_backlog_max,"BACKLOG","MES CORRIENTE")))</f>
        <v/>
      </c>
      <c r="AD812" s="3">
        <f>IF(tblOrdenes[[#This Row],[backlog_habiles]]="",FALSE,AND(tblOrdenes[[#This Row],[backlog_habiles]]&gt;p_dias_backlog_min,tblOrdenes[[#This Row],[backlog_habiles]]&lt;=p_dias_backlog_max))</f>
        <v/>
      </c>
      <c r="AE812" s="6" t="n"/>
      <c r="AF8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0">
        <f>IF(tblOrdenes[[#This Row],[orden]]="","",_xlfn.XLOOKUP(tblOrdenes[[#This Row],[id_operacion]],tblEjecucion[id_operacion],tblEjecucion[precio],0))</f>
        <v/>
      </c>
      <c r="AJ812" s="10">
        <f>IF(tblOrdenes[[#This Row],[orden]]="","",MAX(0,_xlfn.XLOOKUP(tblOrdenes[[#This Row],[id_operacion]],tblEjecucion[id_operacion],tblEjecucion[costo_plan_total],0)-tblOrdenes[[#This Row],[costo_servicio]]))</f>
        <v/>
      </c>
      <c r="AK812" s="10">
        <f>IF(tblOrdenes[[#This Row],[orden]]="","",tblOrdenes[[#This Row],[costo_servicio]]+tblOrdenes[[#This Row],[costo_materiales]])</f>
        <v/>
      </c>
      <c r="AL812" s="6" t="n"/>
      <c r="AM812" s="6" t="n"/>
      <c r="AN812" s="6" t="n"/>
      <c r="AO812" s="3">
        <f>IF(tblOrdenes[[#This Row],[link_checklist]]="","",HYPERLINK(p_ruta_base_checklists&amp;tblOrdenes[[#This Row],[link_checklist]],"abrir"))</f>
        <v/>
      </c>
      <c r="AP812" s="6" t="n"/>
      <c r="AQ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3">
        <f>IF(tblOrdenes[[#This Row],[tipo_ot]]="","",_xlfn.XLOOKUP(tblOrdenes[[#This Row],[tipo_ot]],tblTiposOT[codigo],tblTiposOT[clasificacion],"sin_clasificar"))</f>
        <v/>
      </c>
      <c r="U813" s="3">
        <f>IF(tblOrdenes[[#This Row],[centro_costo]]="","",_xlfn.XLOOKUP(tblOrdenes[[#This Row],[centro_costo]],tblCECO[codigo],tblCECO[linea],"(sin catálogo)"))</f>
        <v/>
      </c>
      <c r="V813" s="3">
        <f>IF(tblOrdenes[[#This Row],[centro_costo]]="","",_xlfn.XLOOKUP(tblOrdenes[[#This Row],[centro_costo]],tblCECO[codigo],tblCECO[area],"(sin catálogo)"))</f>
        <v/>
      </c>
      <c r="W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3">
        <f>IF(tblOrdenes[[#This Row],[centro_costo]]="","",_xlfn.XLOOKUP(tblOrdenes[[#This Row],[centro_costo]],tblCECO[codigo],tblCECO[coordinador],"(sin catálogo)"))</f>
        <v/>
      </c>
      <c r="Y813" s="3">
        <f>IF(tblOrdenes[[#This Row],[puesto_trabajo]]="","",_xlfn.XLOOKUP(tblOrdenes[[#This Row],[puesto_trabajo]],tblPuestos[codigo],tblPuestos[especialidad],"(sin catálogo)"))</f>
        <v/>
      </c>
      <c r="Z813" s="3">
        <f>IF(tblOrdenes[[#This Row],[cod_actividad]]="","",_xlfn.XLOOKUP(tblOrdenes[[#This Row],[cod_actividad]],tblActividades[codigo],tblActividades[descripcion],"(sin catálogo)"))</f>
        <v/>
      </c>
      <c r="AA813" s="12">
        <f>IF(tblOrdenes[[#This Row],[fecha_inicio]]="","",TODAY()-tblOrdenes[[#This Row],[fecha_inicio]])</f>
        <v/>
      </c>
      <c r="AB8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3">
        <f>IF(tblOrdenes[[#This Row],[backlog_habiles]]="","",IF(tblOrdenes[[#This Row],[backlog_habiles]]&lt;0,"FUTURO",IF(tblOrdenes[[#This Row],[backlog_habiles]]&gt;p_dias_backlog_max,"BACKLOG","MES CORRIENTE")))</f>
        <v/>
      </c>
      <c r="AD813" s="3">
        <f>IF(tblOrdenes[[#This Row],[backlog_habiles]]="",FALSE,AND(tblOrdenes[[#This Row],[backlog_habiles]]&gt;p_dias_backlog_min,tblOrdenes[[#This Row],[backlog_habiles]]&lt;=p_dias_backlog_max))</f>
        <v/>
      </c>
      <c r="AE813" s="6" t="n"/>
      <c r="AF8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0">
        <f>IF(tblOrdenes[[#This Row],[orden]]="","",_xlfn.XLOOKUP(tblOrdenes[[#This Row],[id_operacion]],tblEjecucion[id_operacion],tblEjecucion[precio],0))</f>
        <v/>
      </c>
      <c r="AJ813" s="10">
        <f>IF(tblOrdenes[[#This Row],[orden]]="","",MAX(0,_xlfn.XLOOKUP(tblOrdenes[[#This Row],[id_operacion]],tblEjecucion[id_operacion],tblEjecucion[costo_plan_total],0)-tblOrdenes[[#This Row],[costo_servicio]]))</f>
        <v/>
      </c>
      <c r="AK813" s="10">
        <f>IF(tblOrdenes[[#This Row],[orden]]="","",tblOrdenes[[#This Row],[costo_servicio]]+tblOrdenes[[#This Row],[costo_materiales]])</f>
        <v/>
      </c>
      <c r="AL813" s="6" t="n"/>
      <c r="AM813" s="6" t="n"/>
      <c r="AN813" s="6" t="n"/>
      <c r="AO813" s="3">
        <f>IF(tblOrdenes[[#This Row],[link_checklist]]="","",HYPERLINK(p_ruta_base_checklists&amp;tblOrdenes[[#This Row],[link_checklist]],"abrir"))</f>
        <v/>
      </c>
      <c r="AP813" s="6" t="n"/>
      <c r="AQ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3">
        <f>IF(tblOrdenes[[#This Row],[tipo_ot]]="","",_xlfn.XLOOKUP(tblOrdenes[[#This Row],[tipo_ot]],tblTiposOT[codigo],tblTiposOT[clasificacion],"sin_clasificar"))</f>
        <v/>
      </c>
      <c r="U814" s="3">
        <f>IF(tblOrdenes[[#This Row],[centro_costo]]="","",_xlfn.XLOOKUP(tblOrdenes[[#This Row],[centro_costo]],tblCECO[codigo],tblCECO[linea],"(sin catálogo)"))</f>
        <v/>
      </c>
      <c r="V814" s="3">
        <f>IF(tblOrdenes[[#This Row],[centro_costo]]="","",_xlfn.XLOOKUP(tblOrdenes[[#This Row],[centro_costo]],tblCECO[codigo],tblCECO[area],"(sin catálogo)"))</f>
        <v/>
      </c>
      <c r="W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3">
        <f>IF(tblOrdenes[[#This Row],[centro_costo]]="","",_xlfn.XLOOKUP(tblOrdenes[[#This Row],[centro_costo]],tblCECO[codigo],tblCECO[coordinador],"(sin catálogo)"))</f>
        <v/>
      </c>
      <c r="Y814" s="3">
        <f>IF(tblOrdenes[[#This Row],[puesto_trabajo]]="","",_xlfn.XLOOKUP(tblOrdenes[[#This Row],[puesto_trabajo]],tblPuestos[codigo],tblPuestos[especialidad],"(sin catálogo)"))</f>
        <v/>
      </c>
      <c r="Z814" s="3">
        <f>IF(tblOrdenes[[#This Row],[cod_actividad]]="","",_xlfn.XLOOKUP(tblOrdenes[[#This Row],[cod_actividad]],tblActividades[codigo],tblActividades[descripcion],"(sin catálogo)"))</f>
        <v/>
      </c>
      <c r="AA814" s="12">
        <f>IF(tblOrdenes[[#This Row],[fecha_inicio]]="","",TODAY()-tblOrdenes[[#This Row],[fecha_inicio]])</f>
        <v/>
      </c>
      <c r="AB8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3">
        <f>IF(tblOrdenes[[#This Row],[backlog_habiles]]="","",IF(tblOrdenes[[#This Row],[backlog_habiles]]&lt;0,"FUTURO",IF(tblOrdenes[[#This Row],[backlog_habiles]]&gt;p_dias_backlog_max,"BACKLOG","MES CORRIENTE")))</f>
        <v/>
      </c>
      <c r="AD814" s="3">
        <f>IF(tblOrdenes[[#This Row],[backlog_habiles]]="",FALSE,AND(tblOrdenes[[#This Row],[backlog_habiles]]&gt;p_dias_backlog_min,tblOrdenes[[#This Row],[backlog_habiles]]&lt;=p_dias_backlog_max))</f>
        <v/>
      </c>
      <c r="AE814" s="6" t="n"/>
      <c r="AF8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0">
        <f>IF(tblOrdenes[[#This Row],[orden]]="","",_xlfn.XLOOKUP(tblOrdenes[[#This Row],[id_operacion]],tblEjecucion[id_operacion],tblEjecucion[precio],0))</f>
        <v/>
      </c>
      <c r="AJ814" s="10">
        <f>IF(tblOrdenes[[#This Row],[orden]]="","",MAX(0,_xlfn.XLOOKUP(tblOrdenes[[#This Row],[id_operacion]],tblEjecucion[id_operacion],tblEjecucion[costo_plan_total],0)-tblOrdenes[[#This Row],[costo_servicio]]))</f>
        <v/>
      </c>
      <c r="AK814" s="10">
        <f>IF(tblOrdenes[[#This Row],[orden]]="","",tblOrdenes[[#This Row],[costo_servicio]]+tblOrdenes[[#This Row],[costo_materiales]])</f>
        <v/>
      </c>
      <c r="AL814" s="6" t="n"/>
      <c r="AM814" s="6" t="n"/>
      <c r="AN814" s="6" t="n"/>
      <c r="AO814" s="3">
        <f>IF(tblOrdenes[[#This Row],[link_checklist]]="","",HYPERLINK(p_ruta_base_checklists&amp;tblOrdenes[[#This Row],[link_checklist]],"abrir"))</f>
        <v/>
      </c>
      <c r="AP814" s="6" t="n"/>
      <c r="AQ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3">
        <f>IF(tblOrdenes[[#This Row],[tipo_ot]]="","",_xlfn.XLOOKUP(tblOrdenes[[#This Row],[tipo_ot]],tblTiposOT[codigo],tblTiposOT[clasificacion],"sin_clasificar"))</f>
        <v/>
      </c>
      <c r="U815" s="3">
        <f>IF(tblOrdenes[[#This Row],[centro_costo]]="","",_xlfn.XLOOKUP(tblOrdenes[[#This Row],[centro_costo]],tblCECO[codigo],tblCECO[linea],"(sin catálogo)"))</f>
        <v/>
      </c>
      <c r="V815" s="3">
        <f>IF(tblOrdenes[[#This Row],[centro_costo]]="","",_xlfn.XLOOKUP(tblOrdenes[[#This Row],[centro_costo]],tblCECO[codigo],tblCECO[area],"(sin catálogo)"))</f>
        <v/>
      </c>
      <c r="W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3">
        <f>IF(tblOrdenes[[#This Row],[centro_costo]]="","",_xlfn.XLOOKUP(tblOrdenes[[#This Row],[centro_costo]],tblCECO[codigo],tblCECO[coordinador],"(sin catálogo)"))</f>
        <v/>
      </c>
      <c r="Y815" s="3">
        <f>IF(tblOrdenes[[#This Row],[puesto_trabajo]]="","",_xlfn.XLOOKUP(tblOrdenes[[#This Row],[puesto_trabajo]],tblPuestos[codigo],tblPuestos[especialidad],"(sin catálogo)"))</f>
        <v/>
      </c>
      <c r="Z815" s="3">
        <f>IF(tblOrdenes[[#This Row],[cod_actividad]]="","",_xlfn.XLOOKUP(tblOrdenes[[#This Row],[cod_actividad]],tblActividades[codigo],tblActividades[descripcion],"(sin catálogo)"))</f>
        <v/>
      </c>
      <c r="AA815" s="12">
        <f>IF(tblOrdenes[[#This Row],[fecha_inicio]]="","",TODAY()-tblOrdenes[[#This Row],[fecha_inicio]])</f>
        <v/>
      </c>
      <c r="AB8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3">
        <f>IF(tblOrdenes[[#This Row],[backlog_habiles]]="","",IF(tblOrdenes[[#This Row],[backlog_habiles]]&lt;0,"FUTURO",IF(tblOrdenes[[#This Row],[backlog_habiles]]&gt;p_dias_backlog_max,"BACKLOG","MES CORRIENTE")))</f>
        <v/>
      </c>
      <c r="AD815" s="3">
        <f>IF(tblOrdenes[[#This Row],[backlog_habiles]]="",FALSE,AND(tblOrdenes[[#This Row],[backlog_habiles]]&gt;p_dias_backlog_min,tblOrdenes[[#This Row],[backlog_habiles]]&lt;=p_dias_backlog_max))</f>
        <v/>
      </c>
      <c r="AE815" s="6" t="n"/>
      <c r="AF8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0">
        <f>IF(tblOrdenes[[#This Row],[orden]]="","",_xlfn.XLOOKUP(tblOrdenes[[#This Row],[id_operacion]],tblEjecucion[id_operacion],tblEjecucion[precio],0))</f>
        <v/>
      </c>
      <c r="AJ815" s="10">
        <f>IF(tblOrdenes[[#This Row],[orden]]="","",MAX(0,_xlfn.XLOOKUP(tblOrdenes[[#This Row],[id_operacion]],tblEjecucion[id_operacion],tblEjecucion[costo_plan_total],0)-tblOrdenes[[#This Row],[costo_servicio]]))</f>
        <v/>
      </c>
      <c r="AK815" s="10">
        <f>IF(tblOrdenes[[#This Row],[orden]]="","",tblOrdenes[[#This Row],[costo_servicio]]+tblOrdenes[[#This Row],[costo_materiales]])</f>
        <v/>
      </c>
      <c r="AL815" s="6" t="n"/>
      <c r="AM815" s="6" t="n"/>
      <c r="AN815" s="6" t="n"/>
      <c r="AO815" s="3">
        <f>IF(tblOrdenes[[#This Row],[link_checklist]]="","",HYPERLINK(p_ruta_base_checklists&amp;tblOrdenes[[#This Row],[link_checklist]],"abrir"))</f>
        <v/>
      </c>
      <c r="AP815" s="6" t="n"/>
      <c r="AQ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3">
        <f>IF(tblOrdenes[[#This Row],[tipo_ot]]="","",_xlfn.XLOOKUP(tblOrdenes[[#This Row],[tipo_ot]],tblTiposOT[codigo],tblTiposOT[clasificacion],"sin_clasificar"))</f>
        <v/>
      </c>
      <c r="U816" s="3">
        <f>IF(tblOrdenes[[#This Row],[centro_costo]]="","",_xlfn.XLOOKUP(tblOrdenes[[#This Row],[centro_costo]],tblCECO[codigo],tblCECO[linea],"(sin catálogo)"))</f>
        <v/>
      </c>
      <c r="V816" s="3">
        <f>IF(tblOrdenes[[#This Row],[centro_costo]]="","",_xlfn.XLOOKUP(tblOrdenes[[#This Row],[centro_costo]],tblCECO[codigo],tblCECO[area],"(sin catálogo)"))</f>
        <v/>
      </c>
      <c r="W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3">
        <f>IF(tblOrdenes[[#This Row],[centro_costo]]="","",_xlfn.XLOOKUP(tblOrdenes[[#This Row],[centro_costo]],tblCECO[codigo],tblCECO[coordinador],"(sin catálogo)"))</f>
        <v/>
      </c>
      <c r="Y816" s="3">
        <f>IF(tblOrdenes[[#This Row],[puesto_trabajo]]="","",_xlfn.XLOOKUP(tblOrdenes[[#This Row],[puesto_trabajo]],tblPuestos[codigo],tblPuestos[especialidad],"(sin catálogo)"))</f>
        <v/>
      </c>
      <c r="Z816" s="3">
        <f>IF(tblOrdenes[[#This Row],[cod_actividad]]="","",_xlfn.XLOOKUP(tblOrdenes[[#This Row],[cod_actividad]],tblActividades[codigo],tblActividades[descripcion],"(sin catálogo)"))</f>
        <v/>
      </c>
      <c r="AA816" s="12">
        <f>IF(tblOrdenes[[#This Row],[fecha_inicio]]="","",TODAY()-tblOrdenes[[#This Row],[fecha_inicio]])</f>
        <v/>
      </c>
      <c r="AB8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3">
        <f>IF(tblOrdenes[[#This Row],[backlog_habiles]]="","",IF(tblOrdenes[[#This Row],[backlog_habiles]]&lt;0,"FUTURO",IF(tblOrdenes[[#This Row],[backlog_habiles]]&gt;p_dias_backlog_max,"BACKLOG","MES CORRIENTE")))</f>
        <v/>
      </c>
      <c r="AD816" s="3">
        <f>IF(tblOrdenes[[#This Row],[backlog_habiles]]="",FALSE,AND(tblOrdenes[[#This Row],[backlog_habiles]]&gt;p_dias_backlog_min,tblOrdenes[[#This Row],[backlog_habiles]]&lt;=p_dias_backlog_max))</f>
        <v/>
      </c>
      <c r="AE816" s="6" t="n"/>
      <c r="AF8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0">
        <f>IF(tblOrdenes[[#This Row],[orden]]="","",_xlfn.XLOOKUP(tblOrdenes[[#This Row],[id_operacion]],tblEjecucion[id_operacion],tblEjecucion[precio],0))</f>
        <v/>
      </c>
      <c r="AJ816" s="10">
        <f>IF(tblOrdenes[[#This Row],[orden]]="","",MAX(0,_xlfn.XLOOKUP(tblOrdenes[[#This Row],[id_operacion]],tblEjecucion[id_operacion],tblEjecucion[costo_plan_total],0)-tblOrdenes[[#This Row],[costo_servicio]]))</f>
        <v/>
      </c>
      <c r="AK816" s="10">
        <f>IF(tblOrdenes[[#This Row],[orden]]="","",tblOrdenes[[#This Row],[costo_servicio]]+tblOrdenes[[#This Row],[costo_materiales]])</f>
        <v/>
      </c>
      <c r="AL816" s="6" t="n"/>
      <c r="AM816" s="6" t="n"/>
      <c r="AN816" s="6" t="n"/>
      <c r="AO816" s="3">
        <f>IF(tblOrdenes[[#This Row],[link_checklist]]="","",HYPERLINK(p_ruta_base_checklists&amp;tblOrdenes[[#This Row],[link_checklist]],"abrir"))</f>
        <v/>
      </c>
      <c r="AP816" s="6" t="n"/>
      <c r="AQ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3">
        <f>IF(tblOrdenes[[#This Row],[tipo_ot]]="","",_xlfn.XLOOKUP(tblOrdenes[[#This Row],[tipo_ot]],tblTiposOT[codigo],tblTiposOT[clasificacion],"sin_clasificar"))</f>
        <v/>
      </c>
      <c r="U817" s="3">
        <f>IF(tblOrdenes[[#This Row],[centro_costo]]="","",_xlfn.XLOOKUP(tblOrdenes[[#This Row],[centro_costo]],tblCECO[codigo],tblCECO[linea],"(sin catálogo)"))</f>
        <v/>
      </c>
      <c r="V817" s="3">
        <f>IF(tblOrdenes[[#This Row],[centro_costo]]="","",_xlfn.XLOOKUP(tblOrdenes[[#This Row],[centro_costo]],tblCECO[codigo],tblCECO[area],"(sin catálogo)"))</f>
        <v/>
      </c>
      <c r="W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3">
        <f>IF(tblOrdenes[[#This Row],[centro_costo]]="","",_xlfn.XLOOKUP(tblOrdenes[[#This Row],[centro_costo]],tblCECO[codigo],tblCECO[coordinador],"(sin catálogo)"))</f>
        <v/>
      </c>
      <c r="Y817" s="3">
        <f>IF(tblOrdenes[[#This Row],[puesto_trabajo]]="","",_xlfn.XLOOKUP(tblOrdenes[[#This Row],[puesto_trabajo]],tblPuestos[codigo],tblPuestos[especialidad],"(sin catálogo)"))</f>
        <v/>
      </c>
      <c r="Z817" s="3">
        <f>IF(tblOrdenes[[#This Row],[cod_actividad]]="","",_xlfn.XLOOKUP(tblOrdenes[[#This Row],[cod_actividad]],tblActividades[codigo],tblActividades[descripcion],"(sin catálogo)"))</f>
        <v/>
      </c>
      <c r="AA817" s="12">
        <f>IF(tblOrdenes[[#This Row],[fecha_inicio]]="","",TODAY()-tblOrdenes[[#This Row],[fecha_inicio]])</f>
        <v/>
      </c>
      <c r="AB8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3">
        <f>IF(tblOrdenes[[#This Row],[backlog_habiles]]="","",IF(tblOrdenes[[#This Row],[backlog_habiles]]&lt;0,"FUTURO",IF(tblOrdenes[[#This Row],[backlog_habiles]]&gt;p_dias_backlog_max,"BACKLOG","MES CORRIENTE")))</f>
        <v/>
      </c>
      <c r="AD817" s="3">
        <f>IF(tblOrdenes[[#This Row],[backlog_habiles]]="",FALSE,AND(tblOrdenes[[#This Row],[backlog_habiles]]&gt;p_dias_backlog_min,tblOrdenes[[#This Row],[backlog_habiles]]&lt;=p_dias_backlog_max))</f>
        <v/>
      </c>
      <c r="AE817" s="6" t="n"/>
      <c r="AF8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0">
        <f>IF(tblOrdenes[[#This Row],[orden]]="","",_xlfn.XLOOKUP(tblOrdenes[[#This Row],[id_operacion]],tblEjecucion[id_operacion],tblEjecucion[precio],0))</f>
        <v/>
      </c>
      <c r="AJ817" s="10">
        <f>IF(tblOrdenes[[#This Row],[orden]]="","",MAX(0,_xlfn.XLOOKUP(tblOrdenes[[#This Row],[id_operacion]],tblEjecucion[id_operacion],tblEjecucion[costo_plan_total],0)-tblOrdenes[[#This Row],[costo_servicio]]))</f>
        <v/>
      </c>
      <c r="AK817" s="10">
        <f>IF(tblOrdenes[[#This Row],[orden]]="","",tblOrdenes[[#This Row],[costo_servicio]]+tblOrdenes[[#This Row],[costo_materiales]])</f>
        <v/>
      </c>
      <c r="AL817" s="6" t="n"/>
      <c r="AM817" s="6" t="n"/>
      <c r="AN817" s="6" t="n"/>
      <c r="AO817" s="3">
        <f>IF(tblOrdenes[[#This Row],[link_checklist]]="","",HYPERLINK(p_ruta_base_checklists&amp;tblOrdenes[[#This Row],[link_checklist]],"abrir"))</f>
        <v/>
      </c>
      <c r="AP817" s="6" t="n"/>
      <c r="AQ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3">
        <f>IF(tblOrdenes[[#This Row],[tipo_ot]]="","",_xlfn.XLOOKUP(tblOrdenes[[#This Row],[tipo_ot]],tblTiposOT[codigo],tblTiposOT[clasificacion],"sin_clasificar"))</f>
        <v/>
      </c>
      <c r="U818" s="3">
        <f>IF(tblOrdenes[[#This Row],[centro_costo]]="","",_xlfn.XLOOKUP(tblOrdenes[[#This Row],[centro_costo]],tblCECO[codigo],tblCECO[linea],"(sin catálogo)"))</f>
        <v/>
      </c>
      <c r="V818" s="3">
        <f>IF(tblOrdenes[[#This Row],[centro_costo]]="","",_xlfn.XLOOKUP(tblOrdenes[[#This Row],[centro_costo]],tblCECO[codigo],tblCECO[area],"(sin catálogo)"))</f>
        <v/>
      </c>
      <c r="W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3">
        <f>IF(tblOrdenes[[#This Row],[centro_costo]]="","",_xlfn.XLOOKUP(tblOrdenes[[#This Row],[centro_costo]],tblCECO[codigo],tblCECO[coordinador],"(sin catálogo)"))</f>
        <v/>
      </c>
      <c r="Y818" s="3">
        <f>IF(tblOrdenes[[#This Row],[puesto_trabajo]]="","",_xlfn.XLOOKUP(tblOrdenes[[#This Row],[puesto_trabajo]],tblPuestos[codigo],tblPuestos[especialidad],"(sin catálogo)"))</f>
        <v/>
      </c>
      <c r="Z818" s="3">
        <f>IF(tblOrdenes[[#This Row],[cod_actividad]]="","",_xlfn.XLOOKUP(tblOrdenes[[#This Row],[cod_actividad]],tblActividades[codigo],tblActividades[descripcion],"(sin catálogo)"))</f>
        <v/>
      </c>
      <c r="AA818" s="12">
        <f>IF(tblOrdenes[[#This Row],[fecha_inicio]]="","",TODAY()-tblOrdenes[[#This Row],[fecha_inicio]])</f>
        <v/>
      </c>
      <c r="AB8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3">
        <f>IF(tblOrdenes[[#This Row],[backlog_habiles]]="","",IF(tblOrdenes[[#This Row],[backlog_habiles]]&lt;0,"FUTURO",IF(tblOrdenes[[#This Row],[backlog_habiles]]&gt;p_dias_backlog_max,"BACKLOG","MES CORRIENTE")))</f>
        <v/>
      </c>
      <c r="AD818" s="3">
        <f>IF(tblOrdenes[[#This Row],[backlog_habiles]]="",FALSE,AND(tblOrdenes[[#This Row],[backlog_habiles]]&gt;p_dias_backlog_min,tblOrdenes[[#This Row],[backlog_habiles]]&lt;=p_dias_backlog_max))</f>
        <v/>
      </c>
      <c r="AE818" s="6" t="n"/>
      <c r="AF8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0">
        <f>IF(tblOrdenes[[#This Row],[orden]]="","",_xlfn.XLOOKUP(tblOrdenes[[#This Row],[id_operacion]],tblEjecucion[id_operacion],tblEjecucion[precio],0))</f>
        <v/>
      </c>
      <c r="AJ818" s="10">
        <f>IF(tblOrdenes[[#This Row],[orden]]="","",MAX(0,_xlfn.XLOOKUP(tblOrdenes[[#This Row],[id_operacion]],tblEjecucion[id_operacion],tblEjecucion[costo_plan_total],0)-tblOrdenes[[#This Row],[costo_servicio]]))</f>
        <v/>
      </c>
      <c r="AK818" s="10">
        <f>IF(tblOrdenes[[#This Row],[orden]]="","",tblOrdenes[[#This Row],[costo_servicio]]+tblOrdenes[[#This Row],[costo_materiales]])</f>
        <v/>
      </c>
      <c r="AL818" s="6" t="n"/>
      <c r="AM818" s="6" t="n"/>
      <c r="AN818" s="6" t="n"/>
      <c r="AO818" s="3">
        <f>IF(tblOrdenes[[#This Row],[link_checklist]]="","",HYPERLINK(p_ruta_base_checklists&amp;tblOrdenes[[#This Row],[link_checklist]],"abrir"))</f>
        <v/>
      </c>
      <c r="AP818" s="6" t="n"/>
      <c r="AQ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3">
        <f>IF(tblOrdenes[[#This Row],[tipo_ot]]="","",_xlfn.XLOOKUP(tblOrdenes[[#This Row],[tipo_ot]],tblTiposOT[codigo],tblTiposOT[clasificacion],"sin_clasificar"))</f>
        <v/>
      </c>
      <c r="U819" s="3">
        <f>IF(tblOrdenes[[#This Row],[centro_costo]]="","",_xlfn.XLOOKUP(tblOrdenes[[#This Row],[centro_costo]],tblCECO[codigo],tblCECO[linea],"(sin catálogo)"))</f>
        <v/>
      </c>
      <c r="V819" s="3">
        <f>IF(tblOrdenes[[#This Row],[centro_costo]]="","",_xlfn.XLOOKUP(tblOrdenes[[#This Row],[centro_costo]],tblCECO[codigo],tblCECO[area],"(sin catálogo)"))</f>
        <v/>
      </c>
      <c r="W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3">
        <f>IF(tblOrdenes[[#This Row],[centro_costo]]="","",_xlfn.XLOOKUP(tblOrdenes[[#This Row],[centro_costo]],tblCECO[codigo],tblCECO[coordinador],"(sin catálogo)"))</f>
        <v/>
      </c>
      <c r="Y819" s="3">
        <f>IF(tblOrdenes[[#This Row],[puesto_trabajo]]="","",_xlfn.XLOOKUP(tblOrdenes[[#This Row],[puesto_trabajo]],tblPuestos[codigo],tblPuestos[especialidad],"(sin catálogo)"))</f>
        <v/>
      </c>
      <c r="Z819" s="3">
        <f>IF(tblOrdenes[[#This Row],[cod_actividad]]="","",_xlfn.XLOOKUP(tblOrdenes[[#This Row],[cod_actividad]],tblActividades[codigo],tblActividades[descripcion],"(sin catálogo)"))</f>
        <v/>
      </c>
      <c r="AA819" s="12">
        <f>IF(tblOrdenes[[#This Row],[fecha_inicio]]="","",TODAY()-tblOrdenes[[#This Row],[fecha_inicio]])</f>
        <v/>
      </c>
      <c r="AB8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3">
        <f>IF(tblOrdenes[[#This Row],[backlog_habiles]]="","",IF(tblOrdenes[[#This Row],[backlog_habiles]]&lt;0,"FUTURO",IF(tblOrdenes[[#This Row],[backlog_habiles]]&gt;p_dias_backlog_max,"BACKLOG","MES CORRIENTE")))</f>
        <v/>
      </c>
      <c r="AD819" s="3">
        <f>IF(tblOrdenes[[#This Row],[backlog_habiles]]="",FALSE,AND(tblOrdenes[[#This Row],[backlog_habiles]]&gt;p_dias_backlog_min,tblOrdenes[[#This Row],[backlog_habiles]]&lt;=p_dias_backlog_max))</f>
        <v/>
      </c>
      <c r="AE819" s="6" t="n"/>
      <c r="AF8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0">
        <f>IF(tblOrdenes[[#This Row],[orden]]="","",_xlfn.XLOOKUP(tblOrdenes[[#This Row],[id_operacion]],tblEjecucion[id_operacion],tblEjecucion[precio],0))</f>
        <v/>
      </c>
      <c r="AJ819" s="10">
        <f>IF(tblOrdenes[[#This Row],[orden]]="","",MAX(0,_xlfn.XLOOKUP(tblOrdenes[[#This Row],[id_operacion]],tblEjecucion[id_operacion],tblEjecucion[costo_plan_total],0)-tblOrdenes[[#This Row],[costo_servicio]]))</f>
        <v/>
      </c>
      <c r="AK819" s="10">
        <f>IF(tblOrdenes[[#This Row],[orden]]="","",tblOrdenes[[#This Row],[costo_servicio]]+tblOrdenes[[#This Row],[costo_materiales]])</f>
        <v/>
      </c>
      <c r="AL819" s="6" t="n"/>
      <c r="AM819" s="6" t="n"/>
      <c r="AN819" s="6" t="n"/>
      <c r="AO819" s="3">
        <f>IF(tblOrdenes[[#This Row],[link_checklist]]="","",HYPERLINK(p_ruta_base_checklists&amp;tblOrdenes[[#This Row],[link_checklist]],"abrir"))</f>
        <v/>
      </c>
      <c r="AP819" s="6" t="n"/>
      <c r="AQ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3">
        <f>IF(tblOrdenes[[#This Row],[tipo_ot]]="","",_xlfn.XLOOKUP(tblOrdenes[[#This Row],[tipo_ot]],tblTiposOT[codigo],tblTiposOT[clasificacion],"sin_clasificar"))</f>
        <v/>
      </c>
      <c r="U820" s="3">
        <f>IF(tblOrdenes[[#This Row],[centro_costo]]="","",_xlfn.XLOOKUP(tblOrdenes[[#This Row],[centro_costo]],tblCECO[codigo],tblCECO[linea],"(sin catálogo)"))</f>
        <v/>
      </c>
      <c r="V820" s="3">
        <f>IF(tblOrdenes[[#This Row],[centro_costo]]="","",_xlfn.XLOOKUP(tblOrdenes[[#This Row],[centro_costo]],tblCECO[codigo],tblCECO[area],"(sin catálogo)"))</f>
        <v/>
      </c>
      <c r="W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3">
        <f>IF(tblOrdenes[[#This Row],[centro_costo]]="","",_xlfn.XLOOKUP(tblOrdenes[[#This Row],[centro_costo]],tblCECO[codigo],tblCECO[coordinador],"(sin catálogo)"))</f>
        <v/>
      </c>
      <c r="Y820" s="3">
        <f>IF(tblOrdenes[[#This Row],[puesto_trabajo]]="","",_xlfn.XLOOKUP(tblOrdenes[[#This Row],[puesto_trabajo]],tblPuestos[codigo],tblPuestos[especialidad],"(sin catálogo)"))</f>
        <v/>
      </c>
      <c r="Z820" s="3">
        <f>IF(tblOrdenes[[#This Row],[cod_actividad]]="","",_xlfn.XLOOKUP(tblOrdenes[[#This Row],[cod_actividad]],tblActividades[codigo],tblActividades[descripcion],"(sin catálogo)"))</f>
        <v/>
      </c>
      <c r="AA820" s="12">
        <f>IF(tblOrdenes[[#This Row],[fecha_inicio]]="","",TODAY()-tblOrdenes[[#This Row],[fecha_inicio]])</f>
        <v/>
      </c>
      <c r="AB8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3">
        <f>IF(tblOrdenes[[#This Row],[backlog_habiles]]="","",IF(tblOrdenes[[#This Row],[backlog_habiles]]&lt;0,"FUTURO",IF(tblOrdenes[[#This Row],[backlog_habiles]]&gt;p_dias_backlog_max,"BACKLOG","MES CORRIENTE")))</f>
        <v/>
      </c>
      <c r="AD820" s="3">
        <f>IF(tblOrdenes[[#This Row],[backlog_habiles]]="",FALSE,AND(tblOrdenes[[#This Row],[backlog_habiles]]&gt;p_dias_backlog_min,tblOrdenes[[#This Row],[backlog_habiles]]&lt;=p_dias_backlog_max))</f>
        <v/>
      </c>
      <c r="AE820" s="6" t="n"/>
      <c r="AF8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0">
        <f>IF(tblOrdenes[[#This Row],[orden]]="","",_xlfn.XLOOKUP(tblOrdenes[[#This Row],[id_operacion]],tblEjecucion[id_operacion],tblEjecucion[precio],0))</f>
        <v/>
      </c>
      <c r="AJ820" s="10">
        <f>IF(tblOrdenes[[#This Row],[orden]]="","",MAX(0,_xlfn.XLOOKUP(tblOrdenes[[#This Row],[id_operacion]],tblEjecucion[id_operacion],tblEjecucion[costo_plan_total],0)-tblOrdenes[[#This Row],[costo_servicio]]))</f>
        <v/>
      </c>
      <c r="AK820" s="10">
        <f>IF(tblOrdenes[[#This Row],[orden]]="","",tblOrdenes[[#This Row],[costo_servicio]]+tblOrdenes[[#This Row],[costo_materiales]])</f>
        <v/>
      </c>
      <c r="AL820" s="6" t="n"/>
      <c r="AM820" s="6" t="n"/>
      <c r="AN820" s="6" t="n"/>
      <c r="AO820" s="3">
        <f>IF(tblOrdenes[[#This Row],[link_checklist]]="","",HYPERLINK(p_ruta_base_checklists&amp;tblOrdenes[[#This Row],[link_checklist]],"abrir"))</f>
        <v/>
      </c>
      <c r="AP820" s="6" t="n"/>
      <c r="AQ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3">
        <f>IF(tblOrdenes[[#This Row],[tipo_ot]]="","",_xlfn.XLOOKUP(tblOrdenes[[#This Row],[tipo_ot]],tblTiposOT[codigo],tblTiposOT[clasificacion],"sin_clasificar"))</f>
        <v/>
      </c>
      <c r="U821" s="3">
        <f>IF(tblOrdenes[[#This Row],[centro_costo]]="","",_xlfn.XLOOKUP(tblOrdenes[[#This Row],[centro_costo]],tblCECO[codigo],tblCECO[linea],"(sin catálogo)"))</f>
        <v/>
      </c>
      <c r="V821" s="3">
        <f>IF(tblOrdenes[[#This Row],[centro_costo]]="","",_xlfn.XLOOKUP(tblOrdenes[[#This Row],[centro_costo]],tblCECO[codigo],tblCECO[area],"(sin catálogo)"))</f>
        <v/>
      </c>
      <c r="W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3">
        <f>IF(tblOrdenes[[#This Row],[centro_costo]]="","",_xlfn.XLOOKUP(tblOrdenes[[#This Row],[centro_costo]],tblCECO[codigo],tblCECO[coordinador],"(sin catálogo)"))</f>
        <v/>
      </c>
      <c r="Y821" s="3">
        <f>IF(tblOrdenes[[#This Row],[puesto_trabajo]]="","",_xlfn.XLOOKUP(tblOrdenes[[#This Row],[puesto_trabajo]],tblPuestos[codigo],tblPuestos[especialidad],"(sin catálogo)"))</f>
        <v/>
      </c>
      <c r="Z821" s="3">
        <f>IF(tblOrdenes[[#This Row],[cod_actividad]]="","",_xlfn.XLOOKUP(tblOrdenes[[#This Row],[cod_actividad]],tblActividades[codigo],tblActividades[descripcion],"(sin catálogo)"))</f>
        <v/>
      </c>
      <c r="AA821" s="12">
        <f>IF(tblOrdenes[[#This Row],[fecha_inicio]]="","",TODAY()-tblOrdenes[[#This Row],[fecha_inicio]])</f>
        <v/>
      </c>
      <c r="AB8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3">
        <f>IF(tblOrdenes[[#This Row],[backlog_habiles]]="","",IF(tblOrdenes[[#This Row],[backlog_habiles]]&lt;0,"FUTURO",IF(tblOrdenes[[#This Row],[backlog_habiles]]&gt;p_dias_backlog_max,"BACKLOG","MES CORRIENTE")))</f>
        <v/>
      </c>
      <c r="AD821" s="3">
        <f>IF(tblOrdenes[[#This Row],[backlog_habiles]]="",FALSE,AND(tblOrdenes[[#This Row],[backlog_habiles]]&gt;p_dias_backlog_min,tblOrdenes[[#This Row],[backlog_habiles]]&lt;=p_dias_backlog_max))</f>
        <v/>
      </c>
      <c r="AE821" s="6" t="n"/>
      <c r="AF8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0">
        <f>IF(tblOrdenes[[#This Row],[orden]]="","",_xlfn.XLOOKUP(tblOrdenes[[#This Row],[id_operacion]],tblEjecucion[id_operacion],tblEjecucion[precio],0))</f>
        <v/>
      </c>
      <c r="AJ821" s="10">
        <f>IF(tblOrdenes[[#This Row],[orden]]="","",MAX(0,_xlfn.XLOOKUP(tblOrdenes[[#This Row],[id_operacion]],tblEjecucion[id_operacion],tblEjecucion[costo_plan_total],0)-tblOrdenes[[#This Row],[costo_servicio]]))</f>
        <v/>
      </c>
      <c r="AK821" s="10">
        <f>IF(tblOrdenes[[#This Row],[orden]]="","",tblOrdenes[[#This Row],[costo_servicio]]+tblOrdenes[[#This Row],[costo_materiales]])</f>
        <v/>
      </c>
      <c r="AL821" s="6" t="n"/>
      <c r="AM821" s="6" t="n"/>
      <c r="AN821" s="6" t="n"/>
      <c r="AO821" s="3">
        <f>IF(tblOrdenes[[#This Row],[link_checklist]]="","",HYPERLINK(p_ruta_base_checklists&amp;tblOrdenes[[#This Row],[link_checklist]],"abrir"))</f>
        <v/>
      </c>
      <c r="AP821" s="6" t="n"/>
      <c r="AQ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3">
        <f>IF(tblOrdenes[[#This Row],[tipo_ot]]="","",_xlfn.XLOOKUP(tblOrdenes[[#This Row],[tipo_ot]],tblTiposOT[codigo],tblTiposOT[clasificacion],"sin_clasificar"))</f>
        <v/>
      </c>
      <c r="U822" s="3">
        <f>IF(tblOrdenes[[#This Row],[centro_costo]]="","",_xlfn.XLOOKUP(tblOrdenes[[#This Row],[centro_costo]],tblCECO[codigo],tblCECO[linea],"(sin catálogo)"))</f>
        <v/>
      </c>
      <c r="V822" s="3">
        <f>IF(tblOrdenes[[#This Row],[centro_costo]]="","",_xlfn.XLOOKUP(tblOrdenes[[#This Row],[centro_costo]],tblCECO[codigo],tblCECO[area],"(sin catálogo)"))</f>
        <v/>
      </c>
      <c r="W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3">
        <f>IF(tblOrdenes[[#This Row],[centro_costo]]="","",_xlfn.XLOOKUP(tblOrdenes[[#This Row],[centro_costo]],tblCECO[codigo],tblCECO[coordinador],"(sin catálogo)"))</f>
        <v/>
      </c>
      <c r="Y822" s="3">
        <f>IF(tblOrdenes[[#This Row],[puesto_trabajo]]="","",_xlfn.XLOOKUP(tblOrdenes[[#This Row],[puesto_trabajo]],tblPuestos[codigo],tblPuestos[especialidad],"(sin catálogo)"))</f>
        <v/>
      </c>
      <c r="Z822" s="3">
        <f>IF(tblOrdenes[[#This Row],[cod_actividad]]="","",_xlfn.XLOOKUP(tblOrdenes[[#This Row],[cod_actividad]],tblActividades[codigo],tblActividades[descripcion],"(sin catálogo)"))</f>
        <v/>
      </c>
      <c r="AA822" s="12">
        <f>IF(tblOrdenes[[#This Row],[fecha_inicio]]="","",TODAY()-tblOrdenes[[#This Row],[fecha_inicio]])</f>
        <v/>
      </c>
      <c r="AB8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3">
        <f>IF(tblOrdenes[[#This Row],[backlog_habiles]]="","",IF(tblOrdenes[[#This Row],[backlog_habiles]]&lt;0,"FUTURO",IF(tblOrdenes[[#This Row],[backlog_habiles]]&gt;p_dias_backlog_max,"BACKLOG","MES CORRIENTE")))</f>
        <v/>
      </c>
      <c r="AD822" s="3">
        <f>IF(tblOrdenes[[#This Row],[backlog_habiles]]="",FALSE,AND(tblOrdenes[[#This Row],[backlog_habiles]]&gt;p_dias_backlog_min,tblOrdenes[[#This Row],[backlog_habiles]]&lt;=p_dias_backlog_max))</f>
        <v/>
      </c>
      <c r="AE822" s="6" t="n"/>
      <c r="AF8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0">
        <f>IF(tblOrdenes[[#This Row],[orden]]="","",_xlfn.XLOOKUP(tblOrdenes[[#This Row],[id_operacion]],tblEjecucion[id_operacion],tblEjecucion[precio],0))</f>
        <v/>
      </c>
      <c r="AJ822" s="10">
        <f>IF(tblOrdenes[[#This Row],[orden]]="","",MAX(0,_xlfn.XLOOKUP(tblOrdenes[[#This Row],[id_operacion]],tblEjecucion[id_operacion],tblEjecucion[costo_plan_total],0)-tblOrdenes[[#This Row],[costo_servicio]]))</f>
        <v/>
      </c>
      <c r="AK822" s="10">
        <f>IF(tblOrdenes[[#This Row],[orden]]="","",tblOrdenes[[#This Row],[costo_servicio]]+tblOrdenes[[#This Row],[costo_materiales]])</f>
        <v/>
      </c>
      <c r="AL822" s="6" t="n"/>
      <c r="AM822" s="6" t="n"/>
      <c r="AN822" s="6" t="n"/>
      <c r="AO822" s="3">
        <f>IF(tblOrdenes[[#This Row],[link_checklist]]="","",HYPERLINK(p_ruta_base_checklists&amp;tblOrdenes[[#This Row],[link_checklist]],"abrir"))</f>
        <v/>
      </c>
      <c r="AP822" s="6" t="n"/>
      <c r="AQ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3">
        <f>IF(tblOrdenes[[#This Row],[tipo_ot]]="","",_xlfn.XLOOKUP(tblOrdenes[[#This Row],[tipo_ot]],tblTiposOT[codigo],tblTiposOT[clasificacion],"sin_clasificar"))</f>
        <v/>
      </c>
      <c r="U823" s="3">
        <f>IF(tblOrdenes[[#This Row],[centro_costo]]="","",_xlfn.XLOOKUP(tblOrdenes[[#This Row],[centro_costo]],tblCECO[codigo],tblCECO[linea],"(sin catálogo)"))</f>
        <v/>
      </c>
      <c r="V823" s="3">
        <f>IF(tblOrdenes[[#This Row],[centro_costo]]="","",_xlfn.XLOOKUP(tblOrdenes[[#This Row],[centro_costo]],tblCECO[codigo],tblCECO[area],"(sin catálogo)"))</f>
        <v/>
      </c>
      <c r="W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3">
        <f>IF(tblOrdenes[[#This Row],[centro_costo]]="","",_xlfn.XLOOKUP(tblOrdenes[[#This Row],[centro_costo]],tblCECO[codigo],tblCECO[coordinador],"(sin catálogo)"))</f>
        <v/>
      </c>
      <c r="Y823" s="3">
        <f>IF(tblOrdenes[[#This Row],[puesto_trabajo]]="","",_xlfn.XLOOKUP(tblOrdenes[[#This Row],[puesto_trabajo]],tblPuestos[codigo],tblPuestos[especialidad],"(sin catálogo)"))</f>
        <v/>
      </c>
      <c r="Z823" s="3">
        <f>IF(tblOrdenes[[#This Row],[cod_actividad]]="","",_xlfn.XLOOKUP(tblOrdenes[[#This Row],[cod_actividad]],tblActividades[codigo],tblActividades[descripcion],"(sin catálogo)"))</f>
        <v/>
      </c>
      <c r="AA823" s="12">
        <f>IF(tblOrdenes[[#This Row],[fecha_inicio]]="","",TODAY()-tblOrdenes[[#This Row],[fecha_inicio]])</f>
        <v/>
      </c>
      <c r="AB8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3">
        <f>IF(tblOrdenes[[#This Row],[backlog_habiles]]="","",IF(tblOrdenes[[#This Row],[backlog_habiles]]&lt;0,"FUTURO",IF(tblOrdenes[[#This Row],[backlog_habiles]]&gt;p_dias_backlog_max,"BACKLOG","MES CORRIENTE")))</f>
        <v/>
      </c>
      <c r="AD823" s="3">
        <f>IF(tblOrdenes[[#This Row],[backlog_habiles]]="",FALSE,AND(tblOrdenes[[#This Row],[backlog_habiles]]&gt;p_dias_backlog_min,tblOrdenes[[#This Row],[backlog_habiles]]&lt;=p_dias_backlog_max))</f>
        <v/>
      </c>
      <c r="AE823" s="6" t="n"/>
      <c r="AF8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0">
        <f>IF(tblOrdenes[[#This Row],[orden]]="","",_xlfn.XLOOKUP(tblOrdenes[[#This Row],[id_operacion]],tblEjecucion[id_operacion],tblEjecucion[precio],0))</f>
        <v/>
      </c>
      <c r="AJ823" s="10">
        <f>IF(tblOrdenes[[#This Row],[orden]]="","",MAX(0,_xlfn.XLOOKUP(tblOrdenes[[#This Row],[id_operacion]],tblEjecucion[id_operacion],tblEjecucion[costo_plan_total],0)-tblOrdenes[[#This Row],[costo_servicio]]))</f>
        <v/>
      </c>
      <c r="AK823" s="10">
        <f>IF(tblOrdenes[[#This Row],[orden]]="","",tblOrdenes[[#This Row],[costo_servicio]]+tblOrdenes[[#This Row],[costo_materiales]])</f>
        <v/>
      </c>
      <c r="AL823" s="6" t="n"/>
      <c r="AM823" s="6" t="n"/>
      <c r="AN823" s="6" t="n"/>
      <c r="AO823" s="3">
        <f>IF(tblOrdenes[[#This Row],[link_checklist]]="","",HYPERLINK(p_ruta_base_checklists&amp;tblOrdenes[[#This Row],[link_checklist]],"abrir"))</f>
        <v/>
      </c>
      <c r="AP823" s="6" t="n"/>
      <c r="AQ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3">
        <f>IF(tblOrdenes[[#This Row],[tipo_ot]]="","",_xlfn.XLOOKUP(tblOrdenes[[#This Row],[tipo_ot]],tblTiposOT[codigo],tblTiposOT[clasificacion],"sin_clasificar"))</f>
        <v/>
      </c>
      <c r="U824" s="3">
        <f>IF(tblOrdenes[[#This Row],[centro_costo]]="","",_xlfn.XLOOKUP(tblOrdenes[[#This Row],[centro_costo]],tblCECO[codigo],tblCECO[linea],"(sin catálogo)"))</f>
        <v/>
      </c>
      <c r="V824" s="3">
        <f>IF(tblOrdenes[[#This Row],[centro_costo]]="","",_xlfn.XLOOKUP(tblOrdenes[[#This Row],[centro_costo]],tblCECO[codigo],tblCECO[area],"(sin catálogo)"))</f>
        <v/>
      </c>
      <c r="W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3">
        <f>IF(tblOrdenes[[#This Row],[centro_costo]]="","",_xlfn.XLOOKUP(tblOrdenes[[#This Row],[centro_costo]],tblCECO[codigo],tblCECO[coordinador],"(sin catálogo)"))</f>
        <v/>
      </c>
      <c r="Y824" s="3">
        <f>IF(tblOrdenes[[#This Row],[puesto_trabajo]]="","",_xlfn.XLOOKUP(tblOrdenes[[#This Row],[puesto_trabajo]],tblPuestos[codigo],tblPuestos[especialidad],"(sin catálogo)"))</f>
        <v/>
      </c>
      <c r="Z824" s="3">
        <f>IF(tblOrdenes[[#This Row],[cod_actividad]]="","",_xlfn.XLOOKUP(tblOrdenes[[#This Row],[cod_actividad]],tblActividades[codigo],tblActividades[descripcion],"(sin catálogo)"))</f>
        <v/>
      </c>
      <c r="AA824" s="12">
        <f>IF(tblOrdenes[[#This Row],[fecha_inicio]]="","",TODAY()-tblOrdenes[[#This Row],[fecha_inicio]])</f>
        <v/>
      </c>
      <c r="AB8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3">
        <f>IF(tblOrdenes[[#This Row],[backlog_habiles]]="","",IF(tblOrdenes[[#This Row],[backlog_habiles]]&lt;0,"FUTURO",IF(tblOrdenes[[#This Row],[backlog_habiles]]&gt;p_dias_backlog_max,"BACKLOG","MES CORRIENTE")))</f>
        <v/>
      </c>
      <c r="AD824" s="3">
        <f>IF(tblOrdenes[[#This Row],[backlog_habiles]]="",FALSE,AND(tblOrdenes[[#This Row],[backlog_habiles]]&gt;p_dias_backlog_min,tblOrdenes[[#This Row],[backlog_habiles]]&lt;=p_dias_backlog_max))</f>
        <v/>
      </c>
      <c r="AE824" s="6" t="n"/>
      <c r="AF8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0">
        <f>IF(tblOrdenes[[#This Row],[orden]]="","",_xlfn.XLOOKUP(tblOrdenes[[#This Row],[id_operacion]],tblEjecucion[id_operacion],tblEjecucion[precio],0))</f>
        <v/>
      </c>
      <c r="AJ824" s="10">
        <f>IF(tblOrdenes[[#This Row],[orden]]="","",MAX(0,_xlfn.XLOOKUP(tblOrdenes[[#This Row],[id_operacion]],tblEjecucion[id_operacion],tblEjecucion[costo_plan_total],0)-tblOrdenes[[#This Row],[costo_servicio]]))</f>
        <v/>
      </c>
      <c r="AK824" s="10">
        <f>IF(tblOrdenes[[#This Row],[orden]]="","",tblOrdenes[[#This Row],[costo_servicio]]+tblOrdenes[[#This Row],[costo_materiales]])</f>
        <v/>
      </c>
      <c r="AL824" s="6" t="n"/>
      <c r="AM824" s="6" t="n"/>
      <c r="AN824" s="6" t="n"/>
      <c r="AO824" s="3">
        <f>IF(tblOrdenes[[#This Row],[link_checklist]]="","",HYPERLINK(p_ruta_base_checklists&amp;tblOrdenes[[#This Row],[link_checklist]],"abrir"))</f>
        <v/>
      </c>
      <c r="AP824" s="6" t="n"/>
      <c r="AQ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3">
        <f>IF(tblOrdenes[[#This Row],[tipo_ot]]="","",_xlfn.XLOOKUP(tblOrdenes[[#This Row],[tipo_ot]],tblTiposOT[codigo],tblTiposOT[clasificacion],"sin_clasificar"))</f>
        <v/>
      </c>
      <c r="U825" s="3">
        <f>IF(tblOrdenes[[#This Row],[centro_costo]]="","",_xlfn.XLOOKUP(tblOrdenes[[#This Row],[centro_costo]],tblCECO[codigo],tblCECO[linea],"(sin catálogo)"))</f>
        <v/>
      </c>
      <c r="V825" s="3">
        <f>IF(tblOrdenes[[#This Row],[centro_costo]]="","",_xlfn.XLOOKUP(tblOrdenes[[#This Row],[centro_costo]],tblCECO[codigo],tblCECO[area],"(sin catálogo)"))</f>
        <v/>
      </c>
      <c r="W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3">
        <f>IF(tblOrdenes[[#This Row],[centro_costo]]="","",_xlfn.XLOOKUP(tblOrdenes[[#This Row],[centro_costo]],tblCECO[codigo],tblCECO[coordinador],"(sin catálogo)"))</f>
        <v/>
      </c>
      <c r="Y825" s="3">
        <f>IF(tblOrdenes[[#This Row],[puesto_trabajo]]="","",_xlfn.XLOOKUP(tblOrdenes[[#This Row],[puesto_trabajo]],tblPuestos[codigo],tblPuestos[especialidad],"(sin catálogo)"))</f>
        <v/>
      </c>
      <c r="Z825" s="3">
        <f>IF(tblOrdenes[[#This Row],[cod_actividad]]="","",_xlfn.XLOOKUP(tblOrdenes[[#This Row],[cod_actividad]],tblActividades[codigo],tblActividades[descripcion],"(sin catálogo)"))</f>
        <v/>
      </c>
      <c r="AA825" s="12">
        <f>IF(tblOrdenes[[#This Row],[fecha_inicio]]="","",TODAY()-tblOrdenes[[#This Row],[fecha_inicio]])</f>
        <v/>
      </c>
      <c r="AB8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3">
        <f>IF(tblOrdenes[[#This Row],[backlog_habiles]]="","",IF(tblOrdenes[[#This Row],[backlog_habiles]]&lt;0,"FUTURO",IF(tblOrdenes[[#This Row],[backlog_habiles]]&gt;p_dias_backlog_max,"BACKLOG","MES CORRIENTE")))</f>
        <v/>
      </c>
      <c r="AD825" s="3">
        <f>IF(tblOrdenes[[#This Row],[backlog_habiles]]="",FALSE,AND(tblOrdenes[[#This Row],[backlog_habiles]]&gt;p_dias_backlog_min,tblOrdenes[[#This Row],[backlog_habiles]]&lt;=p_dias_backlog_max))</f>
        <v/>
      </c>
      <c r="AE825" s="6" t="n"/>
      <c r="AF8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0">
        <f>IF(tblOrdenes[[#This Row],[orden]]="","",_xlfn.XLOOKUP(tblOrdenes[[#This Row],[id_operacion]],tblEjecucion[id_operacion],tblEjecucion[precio],0))</f>
        <v/>
      </c>
      <c r="AJ825" s="10">
        <f>IF(tblOrdenes[[#This Row],[orden]]="","",MAX(0,_xlfn.XLOOKUP(tblOrdenes[[#This Row],[id_operacion]],tblEjecucion[id_operacion],tblEjecucion[costo_plan_total],0)-tblOrdenes[[#This Row],[costo_servicio]]))</f>
        <v/>
      </c>
      <c r="AK825" s="10">
        <f>IF(tblOrdenes[[#This Row],[orden]]="","",tblOrdenes[[#This Row],[costo_servicio]]+tblOrdenes[[#This Row],[costo_materiales]])</f>
        <v/>
      </c>
      <c r="AL825" s="6" t="n"/>
      <c r="AM825" s="6" t="n"/>
      <c r="AN825" s="6" t="n"/>
      <c r="AO825" s="3">
        <f>IF(tblOrdenes[[#This Row],[link_checklist]]="","",HYPERLINK(p_ruta_base_checklists&amp;tblOrdenes[[#This Row],[link_checklist]],"abrir"))</f>
        <v/>
      </c>
      <c r="AP825" s="6" t="n"/>
      <c r="AQ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3">
        <f>IF(tblOrdenes[[#This Row],[tipo_ot]]="","",_xlfn.XLOOKUP(tblOrdenes[[#This Row],[tipo_ot]],tblTiposOT[codigo],tblTiposOT[clasificacion],"sin_clasificar"))</f>
        <v/>
      </c>
      <c r="U826" s="3">
        <f>IF(tblOrdenes[[#This Row],[centro_costo]]="","",_xlfn.XLOOKUP(tblOrdenes[[#This Row],[centro_costo]],tblCECO[codigo],tblCECO[linea],"(sin catálogo)"))</f>
        <v/>
      </c>
      <c r="V826" s="3">
        <f>IF(tblOrdenes[[#This Row],[centro_costo]]="","",_xlfn.XLOOKUP(tblOrdenes[[#This Row],[centro_costo]],tblCECO[codigo],tblCECO[area],"(sin catálogo)"))</f>
        <v/>
      </c>
      <c r="W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3">
        <f>IF(tblOrdenes[[#This Row],[centro_costo]]="","",_xlfn.XLOOKUP(tblOrdenes[[#This Row],[centro_costo]],tblCECO[codigo],tblCECO[coordinador],"(sin catálogo)"))</f>
        <v/>
      </c>
      <c r="Y826" s="3">
        <f>IF(tblOrdenes[[#This Row],[puesto_trabajo]]="","",_xlfn.XLOOKUP(tblOrdenes[[#This Row],[puesto_trabajo]],tblPuestos[codigo],tblPuestos[especialidad],"(sin catálogo)"))</f>
        <v/>
      </c>
      <c r="Z826" s="3">
        <f>IF(tblOrdenes[[#This Row],[cod_actividad]]="","",_xlfn.XLOOKUP(tblOrdenes[[#This Row],[cod_actividad]],tblActividades[codigo],tblActividades[descripcion],"(sin catálogo)"))</f>
        <v/>
      </c>
      <c r="AA826" s="12">
        <f>IF(tblOrdenes[[#This Row],[fecha_inicio]]="","",TODAY()-tblOrdenes[[#This Row],[fecha_inicio]])</f>
        <v/>
      </c>
      <c r="AB8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3">
        <f>IF(tblOrdenes[[#This Row],[backlog_habiles]]="","",IF(tblOrdenes[[#This Row],[backlog_habiles]]&lt;0,"FUTURO",IF(tblOrdenes[[#This Row],[backlog_habiles]]&gt;p_dias_backlog_max,"BACKLOG","MES CORRIENTE")))</f>
        <v/>
      </c>
      <c r="AD826" s="3">
        <f>IF(tblOrdenes[[#This Row],[backlog_habiles]]="",FALSE,AND(tblOrdenes[[#This Row],[backlog_habiles]]&gt;p_dias_backlog_min,tblOrdenes[[#This Row],[backlog_habiles]]&lt;=p_dias_backlog_max))</f>
        <v/>
      </c>
      <c r="AE826" s="6" t="n"/>
      <c r="AF8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0">
        <f>IF(tblOrdenes[[#This Row],[orden]]="","",_xlfn.XLOOKUP(tblOrdenes[[#This Row],[id_operacion]],tblEjecucion[id_operacion],tblEjecucion[precio],0))</f>
        <v/>
      </c>
      <c r="AJ826" s="10">
        <f>IF(tblOrdenes[[#This Row],[orden]]="","",MAX(0,_xlfn.XLOOKUP(tblOrdenes[[#This Row],[id_operacion]],tblEjecucion[id_operacion],tblEjecucion[costo_plan_total],0)-tblOrdenes[[#This Row],[costo_servicio]]))</f>
        <v/>
      </c>
      <c r="AK826" s="10">
        <f>IF(tblOrdenes[[#This Row],[orden]]="","",tblOrdenes[[#This Row],[costo_servicio]]+tblOrdenes[[#This Row],[costo_materiales]])</f>
        <v/>
      </c>
      <c r="AL826" s="6" t="n"/>
      <c r="AM826" s="6" t="n"/>
      <c r="AN826" s="6" t="n"/>
      <c r="AO826" s="3">
        <f>IF(tblOrdenes[[#This Row],[link_checklist]]="","",HYPERLINK(p_ruta_base_checklists&amp;tblOrdenes[[#This Row],[link_checklist]],"abrir"))</f>
        <v/>
      </c>
      <c r="AP826" s="6" t="n"/>
      <c r="AQ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3">
        <f>IF(tblOrdenes[[#This Row],[tipo_ot]]="","",_xlfn.XLOOKUP(tblOrdenes[[#This Row],[tipo_ot]],tblTiposOT[codigo],tblTiposOT[clasificacion],"sin_clasificar"))</f>
        <v/>
      </c>
      <c r="U827" s="3">
        <f>IF(tblOrdenes[[#This Row],[centro_costo]]="","",_xlfn.XLOOKUP(tblOrdenes[[#This Row],[centro_costo]],tblCECO[codigo],tblCECO[linea],"(sin catálogo)"))</f>
        <v/>
      </c>
      <c r="V827" s="3">
        <f>IF(tblOrdenes[[#This Row],[centro_costo]]="","",_xlfn.XLOOKUP(tblOrdenes[[#This Row],[centro_costo]],tblCECO[codigo],tblCECO[area],"(sin catálogo)"))</f>
        <v/>
      </c>
      <c r="W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3">
        <f>IF(tblOrdenes[[#This Row],[centro_costo]]="","",_xlfn.XLOOKUP(tblOrdenes[[#This Row],[centro_costo]],tblCECO[codigo],tblCECO[coordinador],"(sin catálogo)"))</f>
        <v/>
      </c>
      <c r="Y827" s="3">
        <f>IF(tblOrdenes[[#This Row],[puesto_trabajo]]="","",_xlfn.XLOOKUP(tblOrdenes[[#This Row],[puesto_trabajo]],tblPuestos[codigo],tblPuestos[especialidad],"(sin catálogo)"))</f>
        <v/>
      </c>
      <c r="Z827" s="3">
        <f>IF(tblOrdenes[[#This Row],[cod_actividad]]="","",_xlfn.XLOOKUP(tblOrdenes[[#This Row],[cod_actividad]],tblActividades[codigo],tblActividades[descripcion],"(sin catálogo)"))</f>
        <v/>
      </c>
      <c r="AA827" s="12">
        <f>IF(tblOrdenes[[#This Row],[fecha_inicio]]="","",TODAY()-tblOrdenes[[#This Row],[fecha_inicio]])</f>
        <v/>
      </c>
      <c r="AB8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3">
        <f>IF(tblOrdenes[[#This Row],[backlog_habiles]]="","",IF(tblOrdenes[[#This Row],[backlog_habiles]]&lt;0,"FUTURO",IF(tblOrdenes[[#This Row],[backlog_habiles]]&gt;p_dias_backlog_max,"BACKLOG","MES CORRIENTE")))</f>
        <v/>
      </c>
      <c r="AD827" s="3">
        <f>IF(tblOrdenes[[#This Row],[backlog_habiles]]="",FALSE,AND(tblOrdenes[[#This Row],[backlog_habiles]]&gt;p_dias_backlog_min,tblOrdenes[[#This Row],[backlog_habiles]]&lt;=p_dias_backlog_max))</f>
        <v/>
      </c>
      <c r="AE827" s="6" t="n"/>
      <c r="AF8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0">
        <f>IF(tblOrdenes[[#This Row],[orden]]="","",_xlfn.XLOOKUP(tblOrdenes[[#This Row],[id_operacion]],tblEjecucion[id_operacion],tblEjecucion[precio],0))</f>
        <v/>
      </c>
      <c r="AJ827" s="10">
        <f>IF(tblOrdenes[[#This Row],[orden]]="","",MAX(0,_xlfn.XLOOKUP(tblOrdenes[[#This Row],[id_operacion]],tblEjecucion[id_operacion],tblEjecucion[costo_plan_total],0)-tblOrdenes[[#This Row],[costo_servicio]]))</f>
        <v/>
      </c>
      <c r="AK827" s="10">
        <f>IF(tblOrdenes[[#This Row],[orden]]="","",tblOrdenes[[#This Row],[costo_servicio]]+tblOrdenes[[#This Row],[costo_materiales]])</f>
        <v/>
      </c>
      <c r="AL827" s="6" t="n"/>
      <c r="AM827" s="6" t="n"/>
      <c r="AN827" s="6" t="n"/>
      <c r="AO827" s="3">
        <f>IF(tblOrdenes[[#This Row],[link_checklist]]="","",HYPERLINK(p_ruta_base_checklists&amp;tblOrdenes[[#This Row],[link_checklist]],"abrir"))</f>
        <v/>
      </c>
      <c r="AP827" s="6" t="n"/>
      <c r="AQ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3">
        <f>IF(tblOrdenes[[#This Row],[tipo_ot]]="","",_xlfn.XLOOKUP(tblOrdenes[[#This Row],[tipo_ot]],tblTiposOT[codigo],tblTiposOT[clasificacion],"sin_clasificar"))</f>
        <v/>
      </c>
      <c r="U828" s="3">
        <f>IF(tblOrdenes[[#This Row],[centro_costo]]="","",_xlfn.XLOOKUP(tblOrdenes[[#This Row],[centro_costo]],tblCECO[codigo],tblCECO[linea],"(sin catálogo)"))</f>
        <v/>
      </c>
      <c r="V828" s="3">
        <f>IF(tblOrdenes[[#This Row],[centro_costo]]="","",_xlfn.XLOOKUP(tblOrdenes[[#This Row],[centro_costo]],tblCECO[codigo],tblCECO[area],"(sin catálogo)"))</f>
        <v/>
      </c>
      <c r="W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3">
        <f>IF(tblOrdenes[[#This Row],[centro_costo]]="","",_xlfn.XLOOKUP(tblOrdenes[[#This Row],[centro_costo]],tblCECO[codigo],tblCECO[coordinador],"(sin catálogo)"))</f>
        <v/>
      </c>
      <c r="Y828" s="3">
        <f>IF(tblOrdenes[[#This Row],[puesto_trabajo]]="","",_xlfn.XLOOKUP(tblOrdenes[[#This Row],[puesto_trabajo]],tblPuestos[codigo],tblPuestos[especialidad],"(sin catálogo)"))</f>
        <v/>
      </c>
      <c r="Z828" s="3">
        <f>IF(tblOrdenes[[#This Row],[cod_actividad]]="","",_xlfn.XLOOKUP(tblOrdenes[[#This Row],[cod_actividad]],tblActividades[codigo],tblActividades[descripcion],"(sin catálogo)"))</f>
        <v/>
      </c>
      <c r="AA828" s="12">
        <f>IF(tblOrdenes[[#This Row],[fecha_inicio]]="","",TODAY()-tblOrdenes[[#This Row],[fecha_inicio]])</f>
        <v/>
      </c>
      <c r="AB8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3">
        <f>IF(tblOrdenes[[#This Row],[backlog_habiles]]="","",IF(tblOrdenes[[#This Row],[backlog_habiles]]&lt;0,"FUTURO",IF(tblOrdenes[[#This Row],[backlog_habiles]]&gt;p_dias_backlog_max,"BACKLOG","MES CORRIENTE")))</f>
        <v/>
      </c>
      <c r="AD828" s="3">
        <f>IF(tblOrdenes[[#This Row],[backlog_habiles]]="",FALSE,AND(tblOrdenes[[#This Row],[backlog_habiles]]&gt;p_dias_backlog_min,tblOrdenes[[#This Row],[backlog_habiles]]&lt;=p_dias_backlog_max))</f>
        <v/>
      </c>
      <c r="AE828" s="6" t="n"/>
      <c r="AF8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0">
        <f>IF(tblOrdenes[[#This Row],[orden]]="","",_xlfn.XLOOKUP(tblOrdenes[[#This Row],[id_operacion]],tblEjecucion[id_operacion],tblEjecucion[precio],0))</f>
        <v/>
      </c>
      <c r="AJ828" s="10">
        <f>IF(tblOrdenes[[#This Row],[orden]]="","",MAX(0,_xlfn.XLOOKUP(tblOrdenes[[#This Row],[id_operacion]],tblEjecucion[id_operacion],tblEjecucion[costo_plan_total],0)-tblOrdenes[[#This Row],[costo_servicio]]))</f>
        <v/>
      </c>
      <c r="AK828" s="10">
        <f>IF(tblOrdenes[[#This Row],[orden]]="","",tblOrdenes[[#This Row],[costo_servicio]]+tblOrdenes[[#This Row],[costo_materiales]])</f>
        <v/>
      </c>
      <c r="AL828" s="6" t="n"/>
      <c r="AM828" s="6" t="n"/>
      <c r="AN828" s="6" t="n"/>
      <c r="AO828" s="3">
        <f>IF(tblOrdenes[[#This Row],[link_checklist]]="","",HYPERLINK(p_ruta_base_checklists&amp;tblOrdenes[[#This Row],[link_checklist]],"abrir"))</f>
        <v/>
      </c>
      <c r="AP828" s="6" t="n"/>
      <c r="AQ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3">
        <f>IF(tblOrdenes[[#This Row],[tipo_ot]]="","",_xlfn.XLOOKUP(tblOrdenes[[#This Row],[tipo_ot]],tblTiposOT[codigo],tblTiposOT[clasificacion],"sin_clasificar"))</f>
        <v/>
      </c>
      <c r="U829" s="3">
        <f>IF(tblOrdenes[[#This Row],[centro_costo]]="","",_xlfn.XLOOKUP(tblOrdenes[[#This Row],[centro_costo]],tblCECO[codigo],tblCECO[linea],"(sin catálogo)"))</f>
        <v/>
      </c>
      <c r="V829" s="3">
        <f>IF(tblOrdenes[[#This Row],[centro_costo]]="","",_xlfn.XLOOKUP(tblOrdenes[[#This Row],[centro_costo]],tblCECO[codigo],tblCECO[area],"(sin catálogo)"))</f>
        <v/>
      </c>
      <c r="W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3">
        <f>IF(tblOrdenes[[#This Row],[centro_costo]]="","",_xlfn.XLOOKUP(tblOrdenes[[#This Row],[centro_costo]],tblCECO[codigo],tblCECO[coordinador],"(sin catálogo)"))</f>
        <v/>
      </c>
      <c r="Y829" s="3">
        <f>IF(tblOrdenes[[#This Row],[puesto_trabajo]]="","",_xlfn.XLOOKUP(tblOrdenes[[#This Row],[puesto_trabajo]],tblPuestos[codigo],tblPuestos[especialidad],"(sin catálogo)"))</f>
        <v/>
      </c>
      <c r="Z829" s="3">
        <f>IF(tblOrdenes[[#This Row],[cod_actividad]]="","",_xlfn.XLOOKUP(tblOrdenes[[#This Row],[cod_actividad]],tblActividades[codigo],tblActividades[descripcion],"(sin catálogo)"))</f>
        <v/>
      </c>
      <c r="AA829" s="12">
        <f>IF(tblOrdenes[[#This Row],[fecha_inicio]]="","",TODAY()-tblOrdenes[[#This Row],[fecha_inicio]])</f>
        <v/>
      </c>
      <c r="AB8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3">
        <f>IF(tblOrdenes[[#This Row],[backlog_habiles]]="","",IF(tblOrdenes[[#This Row],[backlog_habiles]]&lt;0,"FUTURO",IF(tblOrdenes[[#This Row],[backlog_habiles]]&gt;p_dias_backlog_max,"BACKLOG","MES CORRIENTE")))</f>
        <v/>
      </c>
      <c r="AD829" s="3">
        <f>IF(tblOrdenes[[#This Row],[backlog_habiles]]="",FALSE,AND(tblOrdenes[[#This Row],[backlog_habiles]]&gt;p_dias_backlog_min,tblOrdenes[[#This Row],[backlog_habiles]]&lt;=p_dias_backlog_max))</f>
        <v/>
      </c>
      <c r="AE829" s="6" t="n"/>
      <c r="AF8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0">
        <f>IF(tblOrdenes[[#This Row],[orden]]="","",_xlfn.XLOOKUP(tblOrdenes[[#This Row],[id_operacion]],tblEjecucion[id_operacion],tblEjecucion[precio],0))</f>
        <v/>
      </c>
      <c r="AJ829" s="10">
        <f>IF(tblOrdenes[[#This Row],[orden]]="","",MAX(0,_xlfn.XLOOKUP(tblOrdenes[[#This Row],[id_operacion]],tblEjecucion[id_operacion],tblEjecucion[costo_plan_total],0)-tblOrdenes[[#This Row],[costo_servicio]]))</f>
        <v/>
      </c>
      <c r="AK829" s="10">
        <f>IF(tblOrdenes[[#This Row],[orden]]="","",tblOrdenes[[#This Row],[costo_servicio]]+tblOrdenes[[#This Row],[costo_materiales]])</f>
        <v/>
      </c>
      <c r="AL829" s="6" t="n"/>
      <c r="AM829" s="6" t="n"/>
      <c r="AN829" s="6" t="n"/>
      <c r="AO829" s="3">
        <f>IF(tblOrdenes[[#This Row],[link_checklist]]="","",HYPERLINK(p_ruta_base_checklists&amp;tblOrdenes[[#This Row],[link_checklist]],"abrir"))</f>
        <v/>
      </c>
      <c r="AP829" s="6" t="n"/>
      <c r="AQ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3">
        <f>IF(tblOrdenes[[#This Row],[tipo_ot]]="","",_xlfn.XLOOKUP(tblOrdenes[[#This Row],[tipo_ot]],tblTiposOT[codigo],tblTiposOT[clasificacion],"sin_clasificar"))</f>
        <v/>
      </c>
      <c r="U830" s="3">
        <f>IF(tblOrdenes[[#This Row],[centro_costo]]="","",_xlfn.XLOOKUP(tblOrdenes[[#This Row],[centro_costo]],tblCECO[codigo],tblCECO[linea],"(sin catálogo)"))</f>
        <v/>
      </c>
      <c r="V830" s="3">
        <f>IF(tblOrdenes[[#This Row],[centro_costo]]="","",_xlfn.XLOOKUP(tblOrdenes[[#This Row],[centro_costo]],tblCECO[codigo],tblCECO[area],"(sin catálogo)"))</f>
        <v/>
      </c>
      <c r="W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3">
        <f>IF(tblOrdenes[[#This Row],[centro_costo]]="","",_xlfn.XLOOKUP(tblOrdenes[[#This Row],[centro_costo]],tblCECO[codigo],tblCECO[coordinador],"(sin catálogo)"))</f>
        <v/>
      </c>
      <c r="Y830" s="3">
        <f>IF(tblOrdenes[[#This Row],[puesto_trabajo]]="","",_xlfn.XLOOKUP(tblOrdenes[[#This Row],[puesto_trabajo]],tblPuestos[codigo],tblPuestos[especialidad],"(sin catálogo)"))</f>
        <v/>
      </c>
      <c r="Z830" s="3">
        <f>IF(tblOrdenes[[#This Row],[cod_actividad]]="","",_xlfn.XLOOKUP(tblOrdenes[[#This Row],[cod_actividad]],tblActividades[codigo],tblActividades[descripcion],"(sin catálogo)"))</f>
        <v/>
      </c>
      <c r="AA830" s="12">
        <f>IF(tblOrdenes[[#This Row],[fecha_inicio]]="","",TODAY()-tblOrdenes[[#This Row],[fecha_inicio]])</f>
        <v/>
      </c>
      <c r="AB8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3">
        <f>IF(tblOrdenes[[#This Row],[backlog_habiles]]="","",IF(tblOrdenes[[#This Row],[backlog_habiles]]&lt;0,"FUTURO",IF(tblOrdenes[[#This Row],[backlog_habiles]]&gt;p_dias_backlog_max,"BACKLOG","MES CORRIENTE")))</f>
        <v/>
      </c>
      <c r="AD830" s="3">
        <f>IF(tblOrdenes[[#This Row],[backlog_habiles]]="",FALSE,AND(tblOrdenes[[#This Row],[backlog_habiles]]&gt;p_dias_backlog_min,tblOrdenes[[#This Row],[backlog_habiles]]&lt;=p_dias_backlog_max))</f>
        <v/>
      </c>
      <c r="AE830" s="6" t="n"/>
      <c r="AF8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0">
        <f>IF(tblOrdenes[[#This Row],[orden]]="","",_xlfn.XLOOKUP(tblOrdenes[[#This Row],[id_operacion]],tblEjecucion[id_operacion],tblEjecucion[precio],0))</f>
        <v/>
      </c>
      <c r="AJ830" s="10">
        <f>IF(tblOrdenes[[#This Row],[orden]]="","",MAX(0,_xlfn.XLOOKUP(tblOrdenes[[#This Row],[id_operacion]],tblEjecucion[id_operacion],tblEjecucion[costo_plan_total],0)-tblOrdenes[[#This Row],[costo_servicio]]))</f>
        <v/>
      </c>
      <c r="AK830" s="10">
        <f>IF(tblOrdenes[[#This Row],[orden]]="","",tblOrdenes[[#This Row],[costo_servicio]]+tblOrdenes[[#This Row],[costo_materiales]])</f>
        <v/>
      </c>
      <c r="AL830" s="6" t="n"/>
      <c r="AM830" s="6" t="n"/>
      <c r="AN830" s="6" t="n"/>
      <c r="AO830" s="3">
        <f>IF(tblOrdenes[[#This Row],[link_checklist]]="","",HYPERLINK(p_ruta_base_checklists&amp;tblOrdenes[[#This Row],[link_checklist]],"abrir"))</f>
        <v/>
      </c>
      <c r="AP830" s="6" t="n"/>
      <c r="AQ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3">
        <f>IF(tblOrdenes[[#This Row],[tipo_ot]]="","",_xlfn.XLOOKUP(tblOrdenes[[#This Row],[tipo_ot]],tblTiposOT[codigo],tblTiposOT[clasificacion],"sin_clasificar"))</f>
        <v/>
      </c>
      <c r="U831" s="3">
        <f>IF(tblOrdenes[[#This Row],[centro_costo]]="","",_xlfn.XLOOKUP(tblOrdenes[[#This Row],[centro_costo]],tblCECO[codigo],tblCECO[linea],"(sin catálogo)"))</f>
        <v/>
      </c>
      <c r="V831" s="3">
        <f>IF(tblOrdenes[[#This Row],[centro_costo]]="","",_xlfn.XLOOKUP(tblOrdenes[[#This Row],[centro_costo]],tblCECO[codigo],tblCECO[area],"(sin catálogo)"))</f>
        <v/>
      </c>
      <c r="W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3">
        <f>IF(tblOrdenes[[#This Row],[centro_costo]]="","",_xlfn.XLOOKUP(tblOrdenes[[#This Row],[centro_costo]],tblCECO[codigo],tblCECO[coordinador],"(sin catálogo)"))</f>
        <v/>
      </c>
      <c r="Y831" s="3">
        <f>IF(tblOrdenes[[#This Row],[puesto_trabajo]]="","",_xlfn.XLOOKUP(tblOrdenes[[#This Row],[puesto_trabajo]],tblPuestos[codigo],tblPuestos[especialidad],"(sin catálogo)"))</f>
        <v/>
      </c>
      <c r="Z831" s="3">
        <f>IF(tblOrdenes[[#This Row],[cod_actividad]]="","",_xlfn.XLOOKUP(tblOrdenes[[#This Row],[cod_actividad]],tblActividades[codigo],tblActividades[descripcion],"(sin catálogo)"))</f>
        <v/>
      </c>
      <c r="AA831" s="12">
        <f>IF(tblOrdenes[[#This Row],[fecha_inicio]]="","",TODAY()-tblOrdenes[[#This Row],[fecha_inicio]])</f>
        <v/>
      </c>
      <c r="AB8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3">
        <f>IF(tblOrdenes[[#This Row],[backlog_habiles]]="","",IF(tblOrdenes[[#This Row],[backlog_habiles]]&lt;0,"FUTURO",IF(tblOrdenes[[#This Row],[backlog_habiles]]&gt;p_dias_backlog_max,"BACKLOG","MES CORRIENTE")))</f>
        <v/>
      </c>
      <c r="AD831" s="3">
        <f>IF(tblOrdenes[[#This Row],[backlog_habiles]]="",FALSE,AND(tblOrdenes[[#This Row],[backlog_habiles]]&gt;p_dias_backlog_min,tblOrdenes[[#This Row],[backlog_habiles]]&lt;=p_dias_backlog_max))</f>
        <v/>
      </c>
      <c r="AE831" s="6" t="n"/>
      <c r="AF8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0">
        <f>IF(tblOrdenes[[#This Row],[orden]]="","",_xlfn.XLOOKUP(tblOrdenes[[#This Row],[id_operacion]],tblEjecucion[id_operacion],tblEjecucion[precio],0))</f>
        <v/>
      </c>
      <c r="AJ831" s="10">
        <f>IF(tblOrdenes[[#This Row],[orden]]="","",MAX(0,_xlfn.XLOOKUP(tblOrdenes[[#This Row],[id_operacion]],tblEjecucion[id_operacion],tblEjecucion[costo_plan_total],0)-tblOrdenes[[#This Row],[costo_servicio]]))</f>
        <v/>
      </c>
      <c r="AK831" s="10">
        <f>IF(tblOrdenes[[#This Row],[orden]]="","",tblOrdenes[[#This Row],[costo_servicio]]+tblOrdenes[[#This Row],[costo_materiales]])</f>
        <v/>
      </c>
      <c r="AL831" s="6" t="n"/>
      <c r="AM831" s="6" t="n"/>
      <c r="AN831" s="6" t="n"/>
      <c r="AO831" s="3">
        <f>IF(tblOrdenes[[#This Row],[link_checklist]]="","",HYPERLINK(p_ruta_base_checklists&amp;tblOrdenes[[#This Row],[link_checklist]],"abrir"))</f>
        <v/>
      </c>
      <c r="AP831" s="6" t="n"/>
      <c r="AQ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3">
        <f>IF(tblOrdenes[[#This Row],[tipo_ot]]="","",_xlfn.XLOOKUP(tblOrdenes[[#This Row],[tipo_ot]],tblTiposOT[codigo],tblTiposOT[clasificacion],"sin_clasificar"))</f>
        <v/>
      </c>
      <c r="U832" s="3">
        <f>IF(tblOrdenes[[#This Row],[centro_costo]]="","",_xlfn.XLOOKUP(tblOrdenes[[#This Row],[centro_costo]],tblCECO[codigo],tblCECO[linea],"(sin catálogo)"))</f>
        <v/>
      </c>
      <c r="V832" s="3">
        <f>IF(tblOrdenes[[#This Row],[centro_costo]]="","",_xlfn.XLOOKUP(tblOrdenes[[#This Row],[centro_costo]],tblCECO[codigo],tblCECO[area],"(sin catálogo)"))</f>
        <v/>
      </c>
      <c r="W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3">
        <f>IF(tblOrdenes[[#This Row],[centro_costo]]="","",_xlfn.XLOOKUP(tblOrdenes[[#This Row],[centro_costo]],tblCECO[codigo],tblCECO[coordinador],"(sin catálogo)"))</f>
        <v/>
      </c>
      <c r="Y832" s="3">
        <f>IF(tblOrdenes[[#This Row],[puesto_trabajo]]="","",_xlfn.XLOOKUP(tblOrdenes[[#This Row],[puesto_trabajo]],tblPuestos[codigo],tblPuestos[especialidad],"(sin catálogo)"))</f>
        <v/>
      </c>
      <c r="Z832" s="3">
        <f>IF(tblOrdenes[[#This Row],[cod_actividad]]="","",_xlfn.XLOOKUP(tblOrdenes[[#This Row],[cod_actividad]],tblActividades[codigo],tblActividades[descripcion],"(sin catálogo)"))</f>
        <v/>
      </c>
      <c r="AA832" s="12">
        <f>IF(tblOrdenes[[#This Row],[fecha_inicio]]="","",TODAY()-tblOrdenes[[#This Row],[fecha_inicio]])</f>
        <v/>
      </c>
      <c r="AB8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3">
        <f>IF(tblOrdenes[[#This Row],[backlog_habiles]]="","",IF(tblOrdenes[[#This Row],[backlog_habiles]]&lt;0,"FUTURO",IF(tblOrdenes[[#This Row],[backlog_habiles]]&gt;p_dias_backlog_max,"BACKLOG","MES CORRIENTE")))</f>
        <v/>
      </c>
      <c r="AD832" s="3">
        <f>IF(tblOrdenes[[#This Row],[backlog_habiles]]="",FALSE,AND(tblOrdenes[[#This Row],[backlog_habiles]]&gt;p_dias_backlog_min,tblOrdenes[[#This Row],[backlog_habiles]]&lt;=p_dias_backlog_max))</f>
        <v/>
      </c>
      <c r="AE832" s="6" t="n"/>
      <c r="AF8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0">
        <f>IF(tblOrdenes[[#This Row],[orden]]="","",_xlfn.XLOOKUP(tblOrdenes[[#This Row],[id_operacion]],tblEjecucion[id_operacion],tblEjecucion[precio],0))</f>
        <v/>
      </c>
      <c r="AJ832" s="10">
        <f>IF(tblOrdenes[[#This Row],[orden]]="","",MAX(0,_xlfn.XLOOKUP(tblOrdenes[[#This Row],[id_operacion]],tblEjecucion[id_operacion],tblEjecucion[costo_plan_total],0)-tblOrdenes[[#This Row],[costo_servicio]]))</f>
        <v/>
      </c>
      <c r="AK832" s="10">
        <f>IF(tblOrdenes[[#This Row],[orden]]="","",tblOrdenes[[#This Row],[costo_servicio]]+tblOrdenes[[#This Row],[costo_materiales]])</f>
        <v/>
      </c>
      <c r="AL832" s="6" t="n"/>
      <c r="AM832" s="6" t="n"/>
      <c r="AN832" s="6" t="n"/>
      <c r="AO832" s="3">
        <f>IF(tblOrdenes[[#This Row],[link_checklist]]="","",HYPERLINK(p_ruta_base_checklists&amp;tblOrdenes[[#This Row],[link_checklist]],"abrir"))</f>
        <v/>
      </c>
      <c r="AP832" s="6" t="n"/>
      <c r="AQ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3">
        <f>IF(tblOrdenes[[#This Row],[tipo_ot]]="","",_xlfn.XLOOKUP(tblOrdenes[[#This Row],[tipo_ot]],tblTiposOT[codigo],tblTiposOT[clasificacion],"sin_clasificar"))</f>
        <v/>
      </c>
      <c r="U833" s="3">
        <f>IF(tblOrdenes[[#This Row],[centro_costo]]="","",_xlfn.XLOOKUP(tblOrdenes[[#This Row],[centro_costo]],tblCECO[codigo],tblCECO[linea],"(sin catálogo)"))</f>
        <v/>
      </c>
      <c r="V833" s="3">
        <f>IF(tblOrdenes[[#This Row],[centro_costo]]="","",_xlfn.XLOOKUP(tblOrdenes[[#This Row],[centro_costo]],tblCECO[codigo],tblCECO[area],"(sin catálogo)"))</f>
        <v/>
      </c>
      <c r="W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3">
        <f>IF(tblOrdenes[[#This Row],[centro_costo]]="","",_xlfn.XLOOKUP(tblOrdenes[[#This Row],[centro_costo]],tblCECO[codigo],tblCECO[coordinador],"(sin catálogo)"))</f>
        <v/>
      </c>
      <c r="Y833" s="3">
        <f>IF(tblOrdenes[[#This Row],[puesto_trabajo]]="","",_xlfn.XLOOKUP(tblOrdenes[[#This Row],[puesto_trabajo]],tblPuestos[codigo],tblPuestos[especialidad],"(sin catálogo)"))</f>
        <v/>
      </c>
      <c r="Z833" s="3">
        <f>IF(tblOrdenes[[#This Row],[cod_actividad]]="","",_xlfn.XLOOKUP(tblOrdenes[[#This Row],[cod_actividad]],tblActividades[codigo],tblActividades[descripcion],"(sin catálogo)"))</f>
        <v/>
      </c>
      <c r="AA833" s="12">
        <f>IF(tblOrdenes[[#This Row],[fecha_inicio]]="","",TODAY()-tblOrdenes[[#This Row],[fecha_inicio]])</f>
        <v/>
      </c>
      <c r="AB8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3">
        <f>IF(tblOrdenes[[#This Row],[backlog_habiles]]="","",IF(tblOrdenes[[#This Row],[backlog_habiles]]&lt;0,"FUTURO",IF(tblOrdenes[[#This Row],[backlog_habiles]]&gt;p_dias_backlog_max,"BACKLOG","MES CORRIENTE")))</f>
        <v/>
      </c>
      <c r="AD833" s="3">
        <f>IF(tblOrdenes[[#This Row],[backlog_habiles]]="",FALSE,AND(tblOrdenes[[#This Row],[backlog_habiles]]&gt;p_dias_backlog_min,tblOrdenes[[#This Row],[backlog_habiles]]&lt;=p_dias_backlog_max))</f>
        <v/>
      </c>
      <c r="AE833" s="6" t="n"/>
      <c r="AF8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0">
        <f>IF(tblOrdenes[[#This Row],[orden]]="","",_xlfn.XLOOKUP(tblOrdenes[[#This Row],[id_operacion]],tblEjecucion[id_operacion],tblEjecucion[precio],0))</f>
        <v/>
      </c>
      <c r="AJ833" s="10">
        <f>IF(tblOrdenes[[#This Row],[orden]]="","",MAX(0,_xlfn.XLOOKUP(tblOrdenes[[#This Row],[id_operacion]],tblEjecucion[id_operacion],tblEjecucion[costo_plan_total],0)-tblOrdenes[[#This Row],[costo_servicio]]))</f>
        <v/>
      </c>
      <c r="AK833" s="10">
        <f>IF(tblOrdenes[[#This Row],[orden]]="","",tblOrdenes[[#This Row],[costo_servicio]]+tblOrdenes[[#This Row],[costo_materiales]])</f>
        <v/>
      </c>
      <c r="AL833" s="6" t="n"/>
      <c r="AM833" s="6" t="n"/>
      <c r="AN833" s="6" t="n"/>
      <c r="AO833" s="3">
        <f>IF(tblOrdenes[[#This Row],[link_checklist]]="","",HYPERLINK(p_ruta_base_checklists&amp;tblOrdenes[[#This Row],[link_checklist]],"abrir"))</f>
        <v/>
      </c>
      <c r="AP833" s="6" t="n"/>
      <c r="AQ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3">
        <f>IF(tblOrdenes[[#This Row],[tipo_ot]]="","",_xlfn.XLOOKUP(tblOrdenes[[#This Row],[tipo_ot]],tblTiposOT[codigo],tblTiposOT[clasificacion],"sin_clasificar"))</f>
        <v/>
      </c>
      <c r="U834" s="3">
        <f>IF(tblOrdenes[[#This Row],[centro_costo]]="","",_xlfn.XLOOKUP(tblOrdenes[[#This Row],[centro_costo]],tblCECO[codigo],tblCECO[linea],"(sin catálogo)"))</f>
        <v/>
      </c>
      <c r="V834" s="3">
        <f>IF(tblOrdenes[[#This Row],[centro_costo]]="","",_xlfn.XLOOKUP(tblOrdenes[[#This Row],[centro_costo]],tblCECO[codigo],tblCECO[area],"(sin catálogo)"))</f>
        <v/>
      </c>
      <c r="W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3">
        <f>IF(tblOrdenes[[#This Row],[centro_costo]]="","",_xlfn.XLOOKUP(tblOrdenes[[#This Row],[centro_costo]],tblCECO[codigo],tblCECO[coordinador],"(sin catálogo)"))</f>
        <v/>
      </c>
      <c r="Y834" s="3">
        <f>IF(tblOrdenes[[#This Row],[puesto_trabajo]]="","",_xlfn.XLOOKUP(tblOrdenes[[#This Row],[puesto_trabajo]],tblPuestos[codigo],tblPuestos[especialidad],"(sin catálogo)"))</f>
        <v/>
      </c>
      <c r="Z834" s="3">
        <f>IF(tblOrdenes[[#This Row],[cod_actividad]]="","",_xlfn.XLOOKUP(tblOrdenes[[#This Row],[cod_actividad]],tblActividades[codigo],tblActividades[descripcion],"(sin catálogo)"))</f>
        <v/>
      </c>
      <c r="AA834" s="12">
        <f>IF(tblOrdenes[[#This Row],[fecha_inicio]]="","",TODAY()-tblOrdenes[[#This Row],[fecha_inicio]])</f>
        <v/>
      </c>
      <c r="AB8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3">
        <f>IF(tblOrdenes[[#This Row],[backlog_habiles]]="","",IF(tblOrdenes[[#This Row],[backlog_habiles]]&lt;0,"FUTURO",IF(tblOrdenes[[#This Row],[backlog_habiles]]&gt;p_dias_backlog_max,"BACKLOG","MES CORRIENTE")))</f>
        <v/>
      </c>
      <c r="AD834" s="3">
        <f>IF(tblOrdenes[[#This Row],[backlog_habiles]]="",FALSE,AND(tblOrdenes[[#This Row],[backlog_habiles]]&gt;p_dias_backlog_min,tblOrdenes[[#This Row],[backlog_habiles]]&lt;=p_dias_backlog_max))</f>
        <v/>
      </c>
      <c r="AE834" s="6" t="n"/>
      <c r="AF8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0">
        <f>IF(tblOrdenes[[#This Row],[orden]]="","",_xlfn.XLOOKUP(tblOrdenes[[#This Row],[id_operacion]],tblEjecucion[id_operacion],tblEjecucion[precio],0))</f>
        <v/>
      </c>
      <c r="AJ834" s="10">
        <f>IF(tblOrdenes[[#This Row],[orden]]="","",MAX(0,_xlfn.XLOOKUP(tblOrdenes[[#This Row],[id_operacion]],tblEjecucion[id_operacion],tblEjecucion[costo_plan_total],0)-tblOrdenes[[#This Row],[costo_servicio]]))</f>
        <v/>
      </c>
      <c r="AK834" s="10">
        <f>IF(tblOrdenes[[#This Row],[orden]]="","",tblOrdenes[[#This Row],[costo_servicio]]+tblOrdenes[[#This Row],[costo_materiales]])</f>
        <v/>
      </c>
      <c r="AL834" s="6" t="n"/>
      <c r="AM834" s="6" t="n"/>
      <c r="AN834" s="6" t="n"/>
      <c r="AO834" s="3">
        <f>IF(tblOrdenes[[#This Row],[link_checklist]]="","",HYPERLINK(p_ruta_base_checklists&amp;tblOrdenes[[#This Row],[link_checklist]],"abrir"))</f>
        <v/>
      </c>
      <c r="AP834" s="6" t="n"/>
      <c r="AQ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3">
        <f>IF(tblOrdenes[[#This Row],[tipo_ot]]="","",_xlfn.XLOOKUP(tblOrdenes[[#This Row],[tipo_ot]],tblTiposOT[codigo],tblTiposOT[clasificacion],"sin_clasificar"))</f>
        <v/>
      </c>
      <c r="U835" s="3">
        <f>IF(tblOrdenes[[#This Row],[centro_costo]]="","",_xlfn.XLOOKUP(tblOrdenes[[#This Row],[centro_costo]],tblCECO[codigo],tblCECO[linea],"(sin catálogo)"))</f>
        <v/>
      </c>
      <c r="V835" s="3">
        <f>IF(tblOrdenes[[#This Row],[centro_costo]]="","",_xlfn.XLOOKUP(tblOrdenes[[#This Row],[centro_costo]],tblCECO[codigo],tblCECO[area],"(sin catálogo)"))</f>
        <v/>
      </c>
      <c r="W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3">
        <f>IF(tblOrdenes[[#This Row],[centro_costo]]="","",_xlfn.XLOOKUP(tblOrdenes[[#This Row],[centro_costo]],tblCECO[codigo],tblCECO[coordinador],"(sin catálogo)"))</f>
        <v/>
      </c>
      <c r="Y835" s="3">
        <f>IF(tblOrdenes[[#This Row],[puesto_trabajo]]="","",_xlfn.XLOOKUP(tblOrdenes[[#This Row],[puesto_trabajo]],tblPuestos[codigo],tblPuestos[especialidad],"(sin catálogo)"))</f>
        <v/>
      </c>
      <c r="Z835" s="3">
        <f>IF(tblOrdenes[[#This Row],[cod_actividad]]="","",_xlfn.XLOOKUP(tblOrdenes[[#This Row],[cod_actividad]],tblActividades[codigo],tblActividades[descripcion],"(sin catálogo)"))</f>
        <v/>
      </c>
      <c r="AA835" s="12">
        <f>IF(tblOrdenes[[#This Row],[fecha_inicio]]="","",TODAY()-tblOrdenes[[#This Row],[fecha_inicio]])</f>
        <v/>
      </c>
      <c r="AB8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3">
        <f>IF(tblOrdenes[[#This Row],[backlog_habiles]]="","",IF(tblOrdenes[[#This Row],[backlog_habiles]]&lt;0,"FUTURO",IF(tblOrdenes[[#This Row],[backlog_habiles]]&gt;p_dias_backlog_max,"BACKLOG","MES CORRIENTE")))</f>
        <v/>
      </c>
      <c r="AD835" s="3">
        <f>IF(tblOrdenes[[#This Row],[backlog_habiles]]="",FALSE,AND(tblOrdenes[[#This Row],[backlog_habiles]]&gt;p_dias_backlog_min,tblOrdenes[[#This Row],[backlog_habiles]]&lt;=p_dias_backlog_max))</f>
        <v/>
      </c>
      <c r="AE835" s="6" t="n"/>
      <c r="AF8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0">
        <f>IF(tblOrdenes[[#This Row],[orden]]="","",_xlfn.XLOOKUP(tblOrdenes[[#This Row],[id_operacion]],tblEjecucion[id_operacion],tblEjecucion[precio],0))</f>
        <v/>
      </c>
      <c r="AJ835" s="10">
        <f>IF(tblOrdenes[[#This Row],[orden]]="","",MAX(0,_xlfn.XLOOKUP(tblOrdenes[[#This Row],[id_operacion]],tblEjecucion[id_operacion],tblEjecucion[costo_plan_total],0)-tblOrdenes[[#This Row],[costo_servicio]]))</f>
        <v/>
      </c>
      <c r="AK835" s="10">
        <f>IF(tblOrdenes[[#This Row],[orden]]="","",tblOrdenes[[#This Row],[costo_servicio]]+tblOrdenes[[#This Row],[costo_materiales]])</f>
        <v/>
      </c>
      <c r="AL835" s="6" t="n"/>
      <c r="AM835" s="6" t="n"/>
      <c r="AN835" s="6" t="n"/>
      <c r="AO835" s="3">
        <f>IF(tblOrdenes[[#This Row],[link_checklist]]="","",HYPERLINK(p_ruta_base_checklists&amp;tblOrdenes[[#This Row],[link_checklist]],"abrir"))</f>
        <v/>
      </c>
      <c r="AP835" s="6" t="n"/>
      <c r="AQ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3">
        <f>IF(tblOrdenes[[#This Row],[tipo_ot]]="","",_xlfn.XLOOKUP(tblOrdenes[[#This Row],[tipo_ot]],tblTiposOT[codigo],tblTiposOT[clasificacion],"sin_clasificar"))</f>
        <v/>
      </c>
      <c r="U836" s="3">
        <f>IF(tblOrdenes[[#This Row],[centro_costo]]="","",_xlfn.XLOOKUP(tblOrdenes[[#This Row],[centro_costo]],tblCECO[codigo],tblCECO[linea],"(sin catálogo)"))</f>
        <v/>
      </c>
      <c r="V836" s="3">
        <f>IF(tblOrdenes[[#This Row],[centro_costo]]="","",_xlfn.XLOOKUP(tblOrdenes[[#This Row],[centro_costo]],tblCECO[codigo],tblCECO[area],"(sin catálogo)"))</f>
        <v/>
      </c>
      <c r="W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3">
        <f>IF(tblOrdenes[[#This Row],[centro_costo]]="","",_xlfn.XLOOKUP(tblOrdenes[[#This Row],[centro_costo]],tblCECO[codigo],tblCECO[coordinador],"(sin catálogo)"))</f>
        <v/>
      </c>
      <c r="Y836" s="3">
        <f>IF(tblOrdenes[[#This Row],[puesto_trabajo]]="","",_xlfn.XLOOKUP(tblOrdenes[[#This Row],[puesto_trabajo]],tblPuestos[codigo],tblPuestos[especialidad],"(sin catálogo)"))</f>
        <v/>
      </c>
      <c r="Z836" s="3">
        <f>IF(tblOrdenes[[#This Row],[cod_actividad]]="","",_xlfn.XLOOKUP(tblOrdenes[[#This Row],[cod_actividad]],tblActividades[codigo],tblActividades[descripcion],"(sin catálogo)"))</f>
        <v/>
      </c>
      <c r="AA836" s="12">
        <f>IF(tblOrdenes[[#This Row],[fecha_inicio]]="","",TODAY()-tblOrdenes[[#This Row],[fecha_inicio]])</f>
        <v/>
      </c>
      <c r="AB8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3">
        <f>IF(tblOrdenes[[#This Row],[backlog_habiles]]="","",IF(tblOrdenes[[#This Row],[backlog_habiles]]&lt;0,"FUTURO",IF(tblOrdenes[[#This Row],[backlog_habiles]]&gt;p_dias_backlog_max,"BACKLOG","MES CORRIENTE")))</f>
        <v/>
      </c>
      <c r="AD836" s="3">
        <f>IF(tblOrdenes[[#This Row],[backlog_habiles]]="",FALSE,AND(tblOrdenes[[#This Row],[backlog_habiles]]&gt;p_dias_backlog_min,tblOrdenes[[#This Row],[backlog_habiles]]&lt;=p_dias_backlog_max))</f>
        <v/>
      </c>
      <c r="AE836" s="6" t="n"/>
      <c r="AF8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0">
        <f>IF(tblOrdenes[[#This Row],[orden]]="","",_xlfn.XLOOKUP(tblOrdenes[[#This Row],[id_operacion]],tblEjecucion[id_operacion],tblEjecucion[precio],0))</f>
        <v/>
      </c>
      <c r="AJ836" s="10">
        <f>IF(tblOrdenes[[#This Row],[orden]]="","",MAX(0,_xlfn.XLOOKUP(tblOrdenes[[#This Row],[id_operacion]],tblEjecucion[id_operacion],tblEjecucion[costo_plan_total],0)-tblOrdenes[[#This Row],[costo_servicio]]))</f>
        <v/>
      </c>
      <c r="AK836" s="10">
        <f>IF(tblOrdenes[[#This Row],[orden]]="","",tblOrdenes[[#This Row],[costo_servicio]]+tblOrdenes[[#This Row],[costo_materiales]])</f>
        <v/>
      </c>
      <c r="AL836" s="6" t="n"/>
      <c r="AM836" s="6" t="n"/>
      <c r="AN836" s="6" t="n"/>
      <c r="AO836" s="3">
        <f>IF(tblOrdenes[[#This Row],[link_checklist]]="","",HYPERLINK(p_ruta_base_checklists&amp;tblOrdenes[[#This Row],[link_checklist]],"abrir"))</f>
        <v/>
      </c>
      <c r="AP836" s="6" t="n"/>
      <c r="AQ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3">
        <f>IF(tblOrdenes[[#This Row],[tipo_ot]]="","",_xlfn.XLOOKUP(tblOrdenes[[#This Row],[tipo_ot]],tblTiposOT[codigo],tblTiposOT[clasificacion],"sin_clasificar"))</f>
        <v/>
      </c>
      <c r="U837" s="3">
        <f>IF(tblOrdenes[[#This Row],[centro_costo]]="","",_xlfn.XLOOKUP(tblOrdenes[[#This Row],[centro_costo]],tblCECO[codigo],tblCECO[linea],"(sin catálogo)"))</f>
        <v/>
      </c>
      <c r="V837" s="3">
        <f>IF(tblOrdenes[[#This Row],[centro_costo]]="","",_xlfn.XLOOKUP(tblOrdenes[[#This Row],[centro_costo]],tblCECO[codigo],tblCECO[area],"(sin catálogo)"))</f>
        <v/>
      </c>
      <c r="W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3">
        <f>IF(tblOrdenes[[#This Row],[centro_costo]]="","",_xlfn.XLOOKUP(tblOrdenes[[#This Row],[centro_costo]],tblCECO[codigo],tblCECO[coordinador],"(sin catálogo)"))</f>
        <v/>
      </c>
      <c r="Y837" s="3">
        <f>IF(tblOrdenes[[#This Row],[puesto_trabajo]]="","",_xlfn.XLOOKUP(tblOrdenes[[#This Row],[puesto_trabajo]],tblPuestos[codigo],tblPuestos[especialidad],"(sin catálogo)"))</f>
        <v/>
      </c>
      <c r="Z837" s="3">
        <f>IF(tblOrdenes[[#This Row],[cod_actividad]]="","",_xlfn.XLOOKUP(tblOrdenes[[#This Row],[cod_actividad]],tblActividades[codigo],tblActividades[descripcion],"(sin catálogo)"))</f>
        <v/>
      </c>
      <c r="AA837" s="12">
        <f>IF(tblOrdenes[[#This Row],[fecha_inicio]]="","",TODAY()-tblOrdenes[[#This Row],[fecha_inicio]])</f>
        <v/>
      </c>
      <c r="AB8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3">
        <f>IF(tblOrdenes[[#This Row],[backlog_habiles]]="","",IF(tblOrdenes[[#This Row],[backlog_habiles]]&lt;0,"FUTURO",IF(tblOrdenes[[#This Row],[backlog_habiles]]&gt;p_dias_backlog_max,"BACKLOG","MES CORRIENTE")))</f>
        <v/>
      </c>
      <c r="AD837" s="3">
        <f>IF(tblOrdenes[[#This Row],[backlog_habiles]]="",FALSE,AND(tblOrdenes[[#This Row],[backlog_habiles]]&gt;p_dias_backlog_min,tblOrdenes[[#This Row],[backlog_habiles]]&lt;=p_dias_backlog_max))</f>
        <v/>
      </c>
      <c r="AE837" s="6" t="n"/>
      <c r="AF8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0">
        <f>IF(tblOrdenes[[#This Row],[orden]]="","",_xlfn.XLOOKUP(tblOrdenes[[#This Row],[id_operacion]],tblEjecucion[id_operacion],tblEjecucion[precio],0))</f>
        <v/>
      </c>
      <c r="AJ837" s="10">
        <f>IF(tblOrdenes[[#This Row],[orden]]="","",MAX(0,_xlfn.XLOOKUP(tblOrdenes[[#This Row],[id_operacion]],tblEjecucion[id_operacion],tblEjecucion[costo_plan_total],0)-tblOrdenes[[#This Row],[costo_servicio]]))</f>
        <v/>
      </c>
      <c r="AK837" s="10">
        <f>IF(tblOrdenes[[#This Row],[orden]]="","",tblOrdenes[[#This Row],[costo_servicio]]+tblOrdenes[[#This Row],[costo_materiales]])</f>
        <v/>
      </c>
      <c r="AL837" s="6" t="n"/>
      <c r="AM837" s="6" t="n"/>
      <c r="AN837" s="6" t="n"/>
      <c r="AO837" s="3">
        <f>IF(tblOrdenes[[#This Row],[link_checklist]]="","",HYPERLINK(p_ruta_base_checklists&amp;tblOrdenes[[#This Row],[link_checklist]],"abrir"))</f>
        <v/>
      </c>
      <c r="AP837" s="6" t="n"/>
      <c r="AQ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3">
        <f>IF(tblOrdenes[[#This Row],[tipo_ot]]="","",_xlfn.XLOOKUP(tblOrdenes[[#This Row],[tipo_ot]],tblTiposOT[codigo],tblTiposOT[clasificacion],"sin_clasificar"))</f>
        <v/>
      </c>
      <c r="U838" s="3">
        <f>IF(tblOrdenes[[#This Row],[centro_costo]]="","",_xlfn.XLOOKUP(tblOrdenes[[#This Row],[centro_costo]],tblCECO[codigo],tblCECO[linea],"(sin catálogo)"))</f>
        <v/>
      </c>
      <c r="V838" s="3">
        <f>IF(tblOrdenes[[#This Row],[centro_costo]]="","",_xlfn.XLOOKUP(tblOrdenes[[#This Row],[centro_costo]],tblCECO[codigo],tblCECO[area],"(sin catálogo)"))</f>
        <v/>
      </c>
      <c r="W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3">
        <f>IF(tblOrdenes[[#This Row],[centro_costo]]="","",_xlfn.XLOOKUP(tblOrdenes[[#This Row],[centro_costo]],tblCECO[codigo],tblCECO[coordinador],"(sin catálogo)"))</f>
        <v/>
      </c>
      <c r="Y838" s="3">
        <f>IF(tblOrdenes[[#This Row],[puesto_trabajo]]="","",_xlfn.XLOOKUP(tblOrdenes[[#This Row],[puesto_trabajo]],tblPuestos[codigo],tblPuestos[especialidad],"(sin catálogo)"))</f>
        <v/>
      </c>
      <c r="Z838" s="3">
        <f>IF(tblOrdenes[[#This Row],[cod_actividad]]="","",_xlfn.XLOOKUP(tblOrdenes[[#This Row],[cod_actividad]],tblActividades[codigo],tblActividades[descripcion],"(sin catálogo)"))</f>
        <v/>
      </c>
      <c r="AA838" s="12">
        <f>IF(tblOrdenes[[#This Row],[fecha_inicio]]="","",TODAY()-tblOrdenes[[#This Row],[fecha_inicio]])</f>
        <v/>
      </c>
      <c r="AB8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3">
        <f>IF(tblOrdenes[[#This Row],[backlog_habiles]]="","",IF(tblOrdenes[[#This Row],[backlog_habiles]]&lt;0,"FUTURO",IF(tblOrdenes[[#This Row],[backlog_habiles]]&gt;p_dias_backlog_max,"BACKLOG","MES CORRIENTE")))</f>
        <v/>
      </c>
      <c r="AD838" s="3">
        <f>IF(tblOrdenes[[#This Row],[backlog_habiles]]="",FALSE,AND(tblOrdenes[[#This Row],[backlog_habiles]]&gt;p_dias_backlog_min,tblOrdenes[[#This Row],[backlog_habiles]]&lt;=p_dias_backlog_max))</f>
        <v/>
      </c>
      <c r="AE838" s="6" t="n"/>
      <c r="AF8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0">
        <f>IF(tblOrdenes[[#This Row],[orden]]="","",_xlfn.XLOOKUP(tblOrdenes[[#This Row],[id_operacion]],tblEjecucion[id_operacion],tblEjecucion[precio],0))</f>
        <v/>
      </c>
      <c r="AJ838" s="10">
        <f>IF(tblOrdenes[[#This Row],[orden]]="","",MAX(0,_xlfn.XLOOKUP(tblOrdenes[[#This Row],[id_operacion]],tblEjecucion[id_operacion],tblEjecucion[costo_plan_total],0)-tblOrdenes[[#This Row],[costo_servicio]]))</f>
        <v/>
      </c>
      <c r="AK838" s="10">
        <f>IF(tblOrdenes[[#This Row],[orden]]="","",tblOrdenes[[#This Row],[costo_servicio]]+tblOrdenes[[#This Row],[costo_materiales]])</f>
        <v/>
      </c>
      <c r="AL838" s="6" t="n"/>
      <c r="AM838" s="6" t="n"/>
      <c r="AN838" s="6" t="n"/>
      <c r="AO838" s="3">
        <f>IF(tblOrdenes[[#This Row],[link_checklist]]="","",HYPERLINK(p_ruta_base_checklists&amp;tblOrdenes[[#This Row],[link_checklist]],"abrir"))</f>
        <v/>
      </c>
      <c r="AP838" s="6" t="n"/>
      <c r="AQ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3">
        <f>IF(tblOrdenes[[#This Row],[tipo_ot]]="","",_xlfn.XLOOKUP(tblOrdenes[[#This Row],[tipo_ot]],tblTiposOT[codigo],tblTiposOT[clasificacion],"sin_clasificar"))</f>
        <v/>
      </c>
      <c r="U839" s="3">
        <f>IF(tblOrdenes[[#This Row],[centro_costo]]="","",_xlfn.XLOOKUP(tblOrdenes[[#This Row],[centro_costo]],tblCECO[codigo],tblCECO[linea],"(sin catálogo)"))</f>
        <v/>
      </c>
      <c r="V839" s="3">
        <f>IF(tblOrdenes[[#This Row],[centro_costo]]="","",_xlfn.XLOOKUP(tblOrdenes[[#This Row],[centro_costo]],tblCECO[codigo],tblCECO[area],"(sin catálogo)"))</f>
        <v/>
      </c>
      <c r="W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3">
        <f>IF(tblOrdenes[[#This Row],[centro_costo]]="","",_xlfn.XLOOKUP(tblOrdenes[[#This Row],[centro_costo]],tblCECO[codigo],tblCECO[coordinador],"(sin catálogo)"))</f>
        <v/>
      </c>
      <c r="Y839" s="3">
        <f>IF(tblOrdenes[[#This Row],[puesto_trabajo]]="","",_xlfn.XLOOKUP(tblOrdenes[[#This Row],[puesto_trabajo]],tblPuestos[codigo],tblPuestos[especialidad],"(sin catálogo)"))</f>
        <v/>
      </c>
      <c r="Z839" s="3">
        <f>IF(tblOrdenes[[#This Row],[cod_actividad]]="","",_xlfn.XLOOKUP(tblOrdenes[[#This Row],[cod_actividad]],tblActividades[codigo],tblActividades[descripcion],"(sin catálogo)"))</f>
        <v/>
      </c>
      <c r="AA839" s="12">
        <f>IF(tblOrdenes[[#This Row],[fecha_inicio]]="","",TODAY()-tblOrdenes[[#This Row],[fecha_inicio]])</f>
        <v/>
      </c>
      <c r="AB8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3">
        <f>IF(tblOrdenes[[#This Row],[backlog_habiles]]="","",IF(tblOrdenes[[#This Row],[backlog_habiles]]&lt;0,"FUTURO",IF(tblOrdenes[[#This Row],[backlog_habiles]]&gt;p_dias_backlog_max,"BACKLOG","MES CORRIENTE")))</f>
        <v/>
      </c>
      <c r="AD839" s="3">
        <f>IF(tblOrdenes[[#This Row],[backlog_habiles]]="",FALSE,AND(tblOrdenes[[#This Row],[backlog_habiles]]&gt;p_dias_backlog_min,tblOrdenes[[#This Row],[backlog_habiles]]&lt;=p_dias_backlog_max))</f>
        <v/>
      </c>
      <c r="AE839" s="6" t="n"/>
      <c r="AF8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0">
        <f>IF(tblOrdenes[[#This Row],[orden]]="","",_xlfn.XLOOKUP(tblOrdenes[[#This Row],[id_operacion]],tblEjecucion[id_operacion],tblEjecucion[precio],0))</f>
        <v/>
      </c>
      <c r="AJ839" s="10">
        <f>IF(tblOrdenes[[#This Row],[orden]]="","",MAX(0,_xlfn.XLOOKUP(tblOrdenes[[#This Row],[id_operacion]],tblEjecucion[id_operacion],tblEjecucion[costo_plan_total],0)-tblOrdenes[[#This Row],[costo_servicio]]))</f>
        <v/>
      </c>
      <c r="AK839" s="10">
        <f>IF(tblOrdenes[[#This Row],[orden]]="","",tblOrdenes[[#This Row],[costo_servicio]]+tblOrdenes[[#This Row],[costo_materiales]])</f>
        <v/>
      </c>
      <c r="AL839" s="6" t="n"/>
      <c r="AM839" s="6" t="n"/>
      <c r="AN839" s="6" t="n"/>
      <c r="AO839" s="3">
        <f>IF(tblOrdenes[[#This Row],[link_checklist]]="","",HYPERLINK(p_ruta_base_checklists&amp;tblOrdenes[[#This Row],[link_checklist]],"abrir"))</f>
        <v/>
      </c>
      <c r="AP839" s="6" t="n"/>
      <c r="AQ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3">
        <f>IF(tblOrdenes[[#This Row],[tipo_ot]]="","",_xlfn.XLOOKUP(tblOrdenes[[#This Row],[tipo_ot]],tblTiposOT[codigo],tblTiposOT[clasificacion],"sin_clasificar"))</f>
        <v/>
      </c>
      <c r="U840" s="3">
        <f>IF(tblOrdenes[[#This Row],[centro_costo]]="","",_xlfn.XLOOKUP(tblOrdenes[[#This Row],[centro_costo]],tblCECO[codigo],tblCECO[linea],"(sin catálogo)"))</f>
        <v/>
      </c>
      <c r="V840" s="3">
        <f>IF(tblOrdenes[[#This Row],[centro_costo]]="","",_xlfn.XLOOKUP(tblOrdenes[[#This Row],[centro_costo]],tblCECO[codigo],tblCECO[area],"(sin catálogo)"))</f>
        <v/>
      </c>
      <c r="W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3">
        <f>IF(tblOrdenes[[#This Row],[centro_costo]]="","",_xlfn.XLOOKUP(tblOrdenes[[#This Row],[centro_costo]],tblCECO[codigo],tblCECO[coordinador],"(sin catálogo)"))</f>
        <v/>
      </c>
      <c r="Y840" s="3">
        <f>IF(tblOrdenes[[#This Row],[puesto_trabajo]]="","",_xlfn.XLOOKUP(tblOrdenes[[#This Row],[puesto_trabajo]],tblPuestos[codigo],tblPuestos[especialidad],"(sin catálogo)"))</f>
        <v/>
      </c>
      <c r="Z840" s="3">
        <f>IF(tblOrdenes[[#This Row],[cod_actividad]]="","",_xlfn.XLOOKUP(tblOrdenes[[#This Row],[cod_actividad]],tblActividades[codigo],tblActividades[descripcion],"(sin catálogo)"))</f>
        <v/>
      </c>
      <c r="AA840" s="12">
        <f>IF(tblOrdenes[[#This Row],[fecha_inicio]]="","",TODAY()-tblOrdenes[[#This Row],[fecha_inicio]])</f>
        <v/>
      </c>
      <c r="AB8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3">
        <f>IF(tblOrdenes[[#This Row],[backlog_habiles]]="","",IF(tblOrdenes[[#This Row],[backlog_habiles]]&lt;0,"FUTURO",IF(tblOrdenes[[#This Row],[backlog_habiles]]&gt;p_dias_backlog_max,"BACKLOG","MES CORRIENTE")))</f>
        <v/>
      </c>
      <c r="AD840" s="3">
        <f>IF(tblOrdenes[[#This Row],[backlog_habiles]]="",FALSE,AND(tblOrdenes[[#This Row],[backlog_habiles]]&gt;p_dias_backlog_min,tblOrdenes[[#This Row],[backlog_habiles]]&lt;=p_dias_backlog_max))</f>
        <v/>
      </c>
      <c r="AE840" s="6" t="n"/>
      <c r="AF8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0">
        <f>IF(tblOrdenes[[#This Row],[orden]]="","",_xlfn.XLOOKUP(tblOrdenes[[#This Row],[id_operacion]],tblEjecucion[id_operacion],tblEjecucion[precio],0))</f>
        <v/>
      </c>
      <c r="AJ840" s="10">
        <f>IF(tblOrdenes[[#This Row],[orden]]="","",MAX(0,_xlfn.XLOOKUP(tblOrdenes[[#This Row],[id_operacion]],tblEjecucion[id_operacion],tblEjecucion[costo_plan_total],0)-tblOrdenes[[#This Row],[costo_servicio]]))</f>
        <v/>
      </c>
      <c r="AK840" s="10">
        <f>IF(tblOrdenes[[#This Row],[orden]]="","",tblOrdenes[[#This Row],[costo_servicio]]+tblOrdenes[[#This Row],[costo_materiales]])</f>
        <v/>
      </c>
      <c r="AL840" s="6" t="n"/>
      <c r="AM840" s="6" t="n"/>
      <c r="AN840" s="6" t="n"/>
      <c r="AO840" s="3">
        <f>IF(tblOrdenes[[#This Row],[link_checklist]]="","",HYPERLINK(p_ruta_base_checklists&amp;tblOrdenes[[#This Row],[link_checklist]],"abrir"))</f>
        <v/>
      </c>
      <c r="AP840" s="6" t="n"/>
      <c r="AQ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3">
        <f>IF(tblOrdenes[[#This Row],[tipo_ot]]="","",_xlfn.XLOOKUP(tblOrdenes[[#This Row],[tipo_ot]],tblTiposOT[codigo],tblTiposOT[clasificacion],"sin_clasificar"))</f>
        <v/>
      </c>
      <c r="U841" s="3">
        <f>IF(tblOrdenes[[#This Row],[centro_costo]]="","",_xlfn.XLOOKUP(tblOrdenes[[#This Row],[centro_costo]],tblCECO[codigo],tblCECO[linea],"(sin catálogo)"))</f>
        <v/>
      </c>
      <c r="V841" s="3">
        <f>IF(tblOrdenes[[#This Row],[centro_costo]]="","",_xlfn.XLOOKUP(tblOrdenes[[#This Row],[centro_costo]],tblCECO[codigo],tblCECO[area],"(sin catálogo)"))</f>
        <v/>
      </c>
      <c r="W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3">
        <f>IF(tblOrdenes[[#This Row],[centro_costo]]="","",_xlfn.XLOOKUP(tblOrdenes[[#This Row],[centro_costo]],tblCECO[codigo],tblCECO[coordinador],"(sin catálogo)"))</f>
        <v/>
      </c>
      <c r="Y841" s="3">
        <f>IF(tblOrdenes[[#This Row],[puesto_trabajo]]="","",_xlfn.XLOOKUP(tblOrdenes[[#This Row],[puesto_trabajo]],tblPuestos[codigo],tblPuestos[especialidad],"(sin catálogo)"))</f>
        <v/>
      </c>
      <c r="Z841" s="3">
        <f>IF(tblOrdenes[[#This Row],[cod_actividad]]="","",_xlfn.XLOOKUP(tblOrdenes[[#This Row],[cod_actividad]],tblActividades[codigo],tblActividades[descripcion],"(sin catálogo)"))</f>
        <v/>
      </c>
      <c r="AA841" s="12">
        <f>IF(tblOrdenes[[#This Row],[fecha_inicio]]="","",TODAY()-tblOrdenes[[#This Row],[fecha_inicio]])</f>
        <v/>
      </c>
      <c r="AB8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3">
        <f>IF(tblOrdenes[[#This Row],[backlog_habiles]]="","",IF(tblOrdenes[[#This Row],[backlog_habiles]]&lt;0,"FUTURO",IF(tblOrdenes[[#This Row],[backlog_habiles]]&gt;p_dias_backlog_max,"BACKLOG","MES CORRIENTE")))</f>
        <v/>
      </c>
      <c r="AD841" s="3">
        <f>IF(tblOrdenes[[#This Row],[backlog_habiles]]="",FALSE,AND(tblOrdenes[[#This Row],[backlog_habiles]]&gt;p_dias_backlog_min,tblOrdenes[[#This Row],[backlog_habiles]]&lt;=p_dias_backlog_max))</f>
        <v/>
      </c>
      <c r="AE841" s="6" t="n"/>
      <c r="AF8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0">
        <f>IF(tblOrdenes[[#This Row],[orden]]="","",_xlfn.XLOOKUP(tblOrdenes[[#This Row],[id_operacion]],tblEjecucion[id_operacion],tblEjecucion[precio],0))</f>
        <v/>
      </c>
      <c r="AJ841" s="10">
        <f>IF(tblOrdenes[[#This Row],[orden]]="","",MAX(0,_xlfn.XLOOKUP(tblOrdenes[[#This Row],[id_operacion]],tblEjecucion[id_operacion],tblEjecucion[costo_plan_total],0)-tblOrdenes[[#This Row],[costo_servicio]]))</f>
        <v/>
      </c>
      <c r="AK841" s="10">
        <f>IF(tblOrdenes[[#This Row],[orden]]="","",tblOrdenes[[#This Row],[costo_servicio]]+tblOrdenes[[#This Row],[costo_materiales]])</f>
        <v/>
      </c>
      <c r="AL841" s="6" t="n"/>
      <c r="AM841" s="6" t="n"/>
      <c r="AN841" s="6" t="n"/>
      <c r="AO841" s="3">
        <f>IF(tblOrdenes[[#This Row],[link_checklist]]="","",HYPERLINK(p_ruta_base_checklists&amp;tblOrdenes[[#This Row],[link_checklist]],"abrir"))</f>
        <v/>
      </c>
      <c r="AP841" s="6" t="n"/>
      <c r="AQ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3">
        <f>IF(tblOrdenes[[#This Row],[tipo_ot]]="","",_xlfn.XLOOKUP(tblOrdenes[[#This Row],[tipo_ot]],tblTiposOT[codigo],tblTiposOT[clasificacion],"sin_clasificar"))</f>
        <v/>
      </c>
      <c r="U842" s="3">
        <f>IF(tblOrdenes[[#This Row],[centro_costo]]="","",_xlfn.XLOOKUP(tblOrdenes[[#This Row],[centro_costo]],tblCECO[codigo],tblCECO[linea],"(sin catálogo)"))</f>
        <v/>
      </c>
      <c r="V842" s="3">
        <f>IF(tblOrdenes[[#This Row],[centro_costo]]="","",_xlfn.XLOOKUP(tblOrdenes[[#This Row],[centro_costo]],tblCECO[codigo],tblCECO[area],"(sin catálogo)"))</f>
        <v/>
      </c>
      <c r="W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3">
        <f>IF(tblOrdenes[[#This Row],[centro_costo]]="","",_xlfn.XLOOKUP(tblOrdenes[[#This Row],[centro_costo]],tblCECO[codigo],tblCECO[coordinador],"(sin catálogo)"))</f>
        <v/>
      </c>
      <c r="Y842" s="3">
        <f>IF(tblOrdenes[[#This Row],[puesto_trabajo]]="","",_xlfn.XLOOKUP(tblOrdenes[[#This Row],[puesto_trabajo]],tblPuestos[codigo],tblPuestos[especialidad],"(sin catálogo)"))</f>
        <v/>
      </c>
      <c r="Z842" s="3">
        <f>IF(tblOrdenes[[#This Row],[cod_actividad]]="","",_xlfn.XLOOKUP(tblOrdenes[[#This Row],[cod_actividad]],tblActividades[codigo],tblActividades[descripcion],"(sin catálogo)"))</f>
        <v/>
      </c>
      <c r="AA842" s="12">
        <f>IF(tblOrdenes[[#This Row],[fecha_inicio]]="","",TODAY()-tblOrdenes[[#This Row],[fecha_inicio]])</f>
        <v/>
      </c>
      <c r="AB8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3">
        <f>IF(tblOrdenes[[#This Row],[backlog_habiles]]="","",IF(tblOrdenes[[#This Row],[backlog_habiles]]&lt;0,"FUTURO",IF(tblOrdenes[[#This Row],[backlog_habiles]]&gt;p_dias_backlog_max,"BACKLOG","MES CORRIENTE")))</f>
        <v/>
      </c>
      <c r="AD842" s="3">
        <f>IF(tblOrdenes[[#This Row],[backlog_habiles]]="",FALSE,AND(tblOrdenes[[#This Row],[backlog_habiles]]&gt;p_dias_backlog_min,tblOrdenes[[#This Row],[backlog_habiles]]&lt;=p_dias_backlog_max))</f>
        <v/>
      </c>
      <c r="AE842" s="6" t="n"/>
      <c r="AF8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0">
        <f>IF(tblOrdenes[[#This Row],[orden]]="","",_xlfn.XLOOKUP(tblOrdenes[[#This Row],[id_operacion]],tblEjecucion[id_operacion],tblEjecucion[precio],0))</f>
        <v/>
      </c>
      <c r="AJ842" s="10">
        <f>IF(tblOrdenes[[#This Row],[orden]]="","",MAX(0,_xlfn.XLOOKUP(tblOrdenes[[#This Row],[id_operacion]],tblEjecucion[id_operacion],tblEjecucion[costo_plan_total],0)-tblOrdenes[[#This Row],[costo_servicio]]))</f>
        <v/>
      </c>
      <c r="AK842" s="10">
        <f>IF(tblOrdenes[[#This Row],[orden]]="","",tblOrdenes[[#This Row],[costo_servicio]]+tblOrdenes[[#This Row],[costo_materiales]])</f>
        <v/>
      </c>
      <c r="AL842" s="6" t="n"/>
      <c r="AM842" s="6" t="n"/>
      <c r="AN842" s="6" t="n"/>
      <c r="AO842" s="3">
        <f>IF(tblOrdenes[[#This Row],[link_checklist]]="","",HYPERLINK(p_ruta_base_checklists&amp;tblOrdenes[[#This Row],[link_checklist]],"abrir"))</f>
        <v/>
      </c>
      <c r="AP842" s="6" t="n"/>
      <c r="AQ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3">
        <f>IF(tblOrdenes[[#This Row],[tipo_ot]]="","",_xlfn.XLOOKUP(tblOrdenes[[#This Row],[tipo_ot]],tblTiposOT[codigo],tblTiposOT[clasificacion],"sin_clasificar"))</f>
        <v/>
      </c>
      <c r="U843" s="3">
        <f>IF(tblOrdenes[[#This Row],[centro_costo]]="","",_xlfn.XLOOKUP(tblOrdenes[[#This Row],[centro_costo]],tblCECO[codigo],tblCECO[linea],"(sin catálogo)"))</f>
        <v/>
      </c>
      <c r="V843" s="3">
        <f>IF(tblOrdenes[[#This Row],[centro_costo]]="","",_xlfn.XLOOKUP(tblOrdenes[[#This Row],[centro_costo]],tblCECO[codigo],tblCECO[area],"(sin catálogo)"))</f>
        <v/>
      </c>
      <c r="W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3">
        <f>IF(tblOrdenes[[#This Row],[centro_costo]]="","",_xlfn.XLOOKUP(tblOrdenes[[#This Row],[centro_costo]],tblCECO[codigo],tblCECO[coordinador],"(sin catálogo)"))</f>
        <v/>
      </c>
      <c r="Y843" s="3">
        <f>IF(tblOrdenes[[#This Row],[puesto_trabajo]]="","",_xlfn.XLOOKUP(tblOrdenes[[#This Row],[puesto_trabajo]],tblPuestos[codigo],tblPuestos[especialidad],"(sin catálogo)"))</f>
        <v/>
      </c>
      <c r="Z843" s="3">
        <f>IF(tblOrdenes[[#This Row],[cod_actividad]]="","",_xlfn.XLOOKUP(tblOrdenes[[#This Row],[cod_actividad]],tblActividades[codigo],tblActividades[descripcion],"(sin catálogo)"))</f>
        <v/>
      </c>
      <c r="AA843" s="12">
        <f>IF(tblOrdenes[[#This Row],[fecha_inicio]]="","",TODAY()-tblOrdenes[[#This Row],[fecha_inicio]])</f>
        <v/>
      </c>
      <c r="AB8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3">
        <f>IF(tblOrdenes[[#This Row],[backlog_habiles]]="","",IF(tblOrdenes[[#This Row],[backlog_habiles]]&lt;0,"FUTURO",IF(tblOrdenes[[#This Row],[backlog_habiles]]&gt;p_dias_backlog_max,"BACKLOG","MES CORRIENTE")))</f>
        <v/>
      </c>
      <c r="AD843" s="3">
        <f>IF(tblOrdenes[[#This Row],[backlog_habiles]]="",FALSE,AND(tblOrdenes[[#This Row],[backlog_habiles]]&gt;p_dias_backlog_min,tblOrdenes[[#This Row],[backlog_habiles]]&lt;=p_dias_backlog_max))</f>
        <v/>
      </c>
      <c r="AE843" s="6" t="n"/>
      <c r="AF8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0">
        <f>IF(tblOrdenes[[#This Row],[orden]]="","",_xlfn.XLOOKUP(tblOrdenes[[#This Row],[id_operacion]],tblEjecucion[id_operacion],tblEjecucion[precio],0))</f>
        <v/>
      </c>
      <c r="AJ843" s="10">
        <f>IF(tblOrdenes[[#This Row],[orden]]="","",MAX(0,_xlfn.XLOOKUP(tblOrdenes[[#This Row],[id_operacion]],tblEjecucion[id_operacion],tblEjecucion[costo_plan_total],0)-tblOrdenes[[#This Row],[costo_servicio]]))</f>
        <v/>
      </c>
      <c r="AK843" s="10">
        <f>IF(tblOrdenes[[#This Row],[orden]]="","",tblOrdenes[[#This Row],[costo_servicio]]+tblOrdenes[[#This Row],[costo_materiales]])</f>
        <v/>
      </c>
      <c r="AL843" s="6" t="n"/>
      <c r="AM843" s="6" t="n"/>
      <c r="AN843" s="6" t="n"/>
      <c r="AO843" s="3">
        <f>IF(tblOrdenes[[#This Row],[link_checklist]]="","",HYPERLINK(p_ruta_base_checklists&amp;tblOrdenes[[#This Row],[link_checklist]],"abrir"))</f>
        <v/>
      </c>
      <c r="AP843" s="6" t="n"/>
      <c r="AQ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3">
        <f>IF(tblOrdenes[[#This Row],[tipo_ot]]="","",_xlfn.XLOOKUP(tblOrdenes[[#This Row],[tipo_ot]],tblTiposOT[codigo],tblTiposOT[clasificacion],"sin_clasificar"))</f>
        <v/>
      </c>
      <c r="U844" s="3">
        <f>IF(tblOrdenes[[#This Row],[centro_costo]]="","",_xlfn.XLOOKUP(tblOrdenes[[#This Row],[centro_costo]],tblCECO[codigo],tblCECO[linea],"(sin catálogo)"))</f>
        <v/>
      </c>
      <c r="V844" s="3">
        <f>IF(tblOrdenes[[#This Row],[centro_costo]]="","",_xlfn.XLOOKUP(tblOrdenes[[#This Row],[centro_costo]],tblCECO[codigo],tblCECO[area],"(sin catálogo)"))</f>
        <v/>
      </c>
      <c r="W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3">
        <f>IF(tblOrdenes[[#This Row],[centro_costo]]="","",_xlfn.XLOOKUP(tblOrdenes[[#This Row],[centro_costo]],tblCECO[codigo],tblCECO[coordinador],"(sin catálogo)"))</f>
        <v/>
      </c>
      <c r="Y844" s="3">
        <f>IF(tblOrdenes[[#This Row],[puesto_trabajo]]="","",_xlfn.XLOOKUP(tblOrdenes[[#This Row],[puesto_trabajo]],tblPuestos[codigo],tblPuestos[especialidad],"(sin catálogo)"))</f>
        <v/>
      </c>
      <c r="Z844" s="3">
        <f>IF(tblOrdenes[[#This Row],[cod_actividad]]="","",_xlfn.XLOOKUP(tblOrdenes[[#This Row],[cod_actividad]],tblActividades[codigo],tblActividades[descripcion],"(sin catálogo)"))</f>
        <v/>
      </c>
      <c r="AA844" s="12">
        <f>IF(tblOrdenes[[#This Row],[fecha_inicio]]="","",TODAY()-tblOrdenes[[#This Row],[fecha_inicio]])</f>
        <v/>
      </c>
      <c r="AB8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3">
        <f>IF(tblOrdenes[[#This Row],[backlog_habiles]]="","",IF(tblOrdenes[[#This Row],[backlog_habiles]]&lt;0,"FUTURO",IF(tblOrdenes[[#This Row],[backlog_habiles]]&gt;p_dias_backlog_max,"BACKLOG","MES CORRIENTE")))</f>
        <v/>
      </c>
      <c r="AD844" s="3">
        <f>IF(tblOrdenes[[#This Row],[backlog_habiles]]="",FALSE,AND(tblOrdenes[[#This Row],[backlog_habiles]]&gt;p_dias_backlog_min,tblOrdenes[[#This Row],[backlog_habiles]]&lt;=p_dias_backlog_max))</f>
        <v/>
      </c>
      <c r="AE844" s="6" t="n"/>
      <c r="AF8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0">
        <f>IF(tblOrdenes[[#This Row],[orden]]="","",_xlfn.XLOOKUP(tblOrdenes[[#This Row],[id_operacion]],tblEjecucion[id_operacion],tblEjecucion[precio],0))</f>
        <v/>
      </c>
      <c r="AJ844" s="10">
        <f>IF(tblOrdenes[[#This Row],[orden]]="","",MAX(0,_xlfn.XLOOKUP(tblOrdenes[[#This Row],[id_operacion]],tblEjecucion[id_operacion],tblEjecucion[costo_plan_total],0)-tblOrdenes[[#This Row],[costo_servicio]]))</f>
        <v/>
      </c>
      <c r="AK844" s="10">
        <f>IF(tblOrdenes[[#This Row],[orden]]="","",tblOrdenes[[#This Row],[costo_servicio]]+tblOrdenes[[#This Row],[costo_materiales]])</f>
        <v/>
      </c>
      <c r="AL844" s="6" t="n"/>
      <c r="AM844" s="6" t="n"/>
      <c r="AN844" s="6" t="n"/>
      <c r="AO844" s="3">
        <f>IF(tblOrdenes[[#This Row],[link_checklist]]="","",HYPERLINK(p_ruta_base_checklists&amp;tblOrdenes[[#This Row],[link_checklist]],"abrir"))</f>
        <v/>
      </c>
      <c r="AP844" s="6" t="n"/>
      <c r="AQ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3">
        <f>IF(tblOrdenes[[#This Row],[tipo_ot]]="","",_xlfn.XLOOKUP(tblOrdenes[[#This Row],[tipo_ot]],tblTiposOT[codigo],tblTiposOT[clasificacion],"sin_clasificar"))</f>
        <v/>
      </c>
      <c r="U845" s="3">
        <f>IF(tblOrdenes[[#This Row],[centro_costo]]="","",_xlfn.XLOOKUP(tblOrdenes[[#This Row],[centro_costo]],tblCECO[codigo],tblCECO[linea],"(sin catálogo)"))</f>
        <v/>
      </c>
      <c r="V845" s="3">
        <f>IF(tblOrdenes[[#This Row],[centro_costo]]="","",_xlfn.XLOOKUP(tblOrdenes[[#This Row],[centro_costo]],tblCECO[codigo],tblCECO[area],"(sin catálogo)"))</f>
        <v/>
      </c>
      <c r="W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3">
        <f>IF(tblOrdenes[[#This Row],[centro_costo]]="","",_xlfn.XLOOKUP(tblOrdenes[[#This Row],[centro_costo]],tblCECO[codigo],tblCECO[coordinador],"(sin catálogo)"))</f>
        <v/>
      </c>
      <c r="Y845" s="3">
        <f>IF(tblOrdenes[[#This Row],[puesto_trabajo]]="","",_xlfn.XLOOKUP(tblOrdenes[[#This Row],[puesto_trabajo]],tblPuestos[codigo],tblPuestos[especialidad],"(sin catálogo)"))</f>
        <v/>
      </c>
      <c r="Z845" s="3">
        <f>IF(tblOrdenes[[#This Row],[cod_actividad]]="","",_xlfn.XLOOKUP(tblOrdenes[[#This Row],[cod_actividad]],tblActividades[codigo],tblActividades[descripcion],"(sin catálogo)"))</f>
        <v/>
      </c>
      <c r="AA845" s="12">
        <f>IF(tblOrdenes[[#This Row],[fecha_inicio]]="","",TODAY()-tblOrdenes[[#This Row],[fecha_inicio]])</f>
        <v/>
      </c>
      <c r="AB8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3">
        <f>IF(tblOrdenes[[#This Row],[backlog_habiles]]="","",IF(tblOrdenes[[#This Row],[backlog_habiles]]&lt;0,"FUTURO",IF(tblOrdenes[[#This Row],[backlog_habiles]]&gt;p_dias_backlog_max,"BACKLOG","MES CORRIENTE")))</f>
        <v/>
      </c>
      <c r="AD845" s="3">
        <f>IF(tblOrdenes[[#This Row],[backlog_habiles]]="",FALSE,AND(tblOrdenes[[#This Row],[backlog_habiles]]&gt;p_dias_backlog_min,tblOrdenes[[#This Row],[backlog_habiles]]&lt;=p_dias_backlog_max))</f>
        <v/>
      </c>
      <c r="AE845" s="6" t="n"/>
      <c r="AF8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0">
        <f>IF(tblOrdenes[[#This Row],[orden]]="","",_xlfn.XLOOKUP(tblOrdenes[[#This Row],[id_operacion]],tblEjecucion[id_operacion],tblEjecucion[precio],0))</f>
        <v/>
      </c>
      <c r="AJ845" s="10">
        <f>IF(tblOrdenes[[#This Row],[orden]]="","",MAX(0,_xlfn.XLOOKUP(tblOrdenes[[#This Row],[id_operacion]],tblEjecucion[id_operacion],tblEjecucion[costo_plan_total],0)-tblOrdenes[[#This Row],[costo_servicio]]))</f>
        <v/>
      </c>
      <c r="AK845" s="10">
        <f>IF(tblOrdenes[[#This Row],[orden]]="","",tblOrdenes[[#This Row],[costo_servicio]]+tblOrdenes[[#This Row],[costo_materiales]])</f>
        <v/>
      </c>
      <c r="AL845" s="6" t="n"/>
      <c r="AM845" s="6" t="n"/>
      <c r="AN845" s="6" t="n"/>
      <c r="AO845" s="3">
        <f>IF(tblOrdenes[[#This Row],[link_checklist]]="","",HYPERLINK(p_ruta_base_checklists&amp;tblOrdenes[[#This Row],[link_checklist]],"abrir"))</f>
        <v/>
      </c>
      <c r="AP845" s="6" t="n"/>
      <c r="AQ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3">
        <f>IF(tblOrdenes[[#This Row],[tipo_ot]]="","",_xlfn.XLOOKUP(tblOrdenes[[#This Row],[tipo_ot]],tblTiposOT[codigo],tblTiposOT[clasificacion],"sin_clasificar"))</f>
        <v/>
      </c>
      <c r="U846" s="3">
        <f>IF(tblOrdenes[[#This Row],[centro_costo]]="","",_xlfn.XLOOKUP(tblOrdenes[[#This Row],[centro_costo]],tblCECO[codigo],tblCECO[linea],"(sin catálogo)"))</f>
        <v/>
      </c>
      <c r="V846" s="3">
        <f>IF(tblOrdenes[[#This Row],[centro_costo]]="","",_xlfn.XLOOKUP(tblOrdenes[[#This Row],[centro_costo]],tblCECO[codigo],tblCECO[area],"(sin catálogo)"))</f>
        <v/>
      </c>
      <c r="W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3">
        <f>IF(tblOrdenes[[#This Row],[centro_costo]]="","",_xlfn.XLOOKUP(tblOrdenes[[#This Row],[centro_costo]],tblCECO[codigo],tblCECO[coordinador],"(sin catálogo)"))</f>
        <v/>
      </c>
      <c r="Y846" s="3">
        <f>IF(tblOrdenes[[#This Row],[puesto_trabajo]]="","",_xlfn.XLOOKUP(tblOrdenes[[#This Row],[puesto_trabajo]],tblPuestos[codigo],tblPuestos[especialidad],"(sin catálogo)"))</f>
        <v/>
      </c>
      <c r="Z846" s="3">
        <f>IF(tblOrdenes[[#This Row],[cod_actividad]]="","",_xlfn.XLOOKUP(tblOrdenes[[#This Row],[cod_actividad]],tblActividades[codigo],tblActividades[descripcion],"(sin catálogo)"))</f>
        <v/>
      </c>
      <c r="AA846" s="12">
        <f>IF(tblOrdenes[[#This Row],[fecha_inicio]]="","",TODAY()-tblOrdenes[[#This Row],[fecha_inicio]])</f>
        <v/>
      </c>
      <c r="AB8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3">
        <f>IF(tblOrdenes[[#This Row],[backlog_habiles]]="","",IF(tblOrdenes[[#This Row],[backlog_habiles]]&lt;0,"FUTURO",IF(tblOrdenes[[#This Row],[backlog_habiles]]&gt;p_dias_backlog_max,"BACKLOG","MES CORRIENTE")))</f>
        <v/>
      </c>
      <c r="AD846" s="3">
        <f>IF(tblOrdenes[[#This Row],[backlog_habiles]]="",FALSE,AND(tblOrdenes[[#This Row],[backlog_habiles]]&gt;p_dias_backlog_min,tblOrdenes[[#This Row],[backlog_habiles]]&lt;=p_dias_backlog_max))</f>
        <v/>
      </c>
      <c r="AE846" s="6" t="n"/>
      <c r="AF8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0">
        <f>IF(tblOrdenes[[#This Row],[orden]]="","",_xlfn.XLOOKUP(tblOrdenes[[#This Row],[id_operacion]],tblEjecucion[id_operacion],tblEjecucion[precio],0))</f>
        <v/>
      </c>
      <c r="AJ846" s="10">
        <f>IF(tblOrdenes[[#This Row],[orden]]="","",MAX(0,_xlfn.XLOOKUP(tblOrdenes[[#This Row],[id_operacion]],tblEjecucion[id_operacion],tblEjecucion[costo_plan_total],0)-tblOrdenes[[#This Row],[costo_servicio]]))</f>
        <v/>
      </c>
      <c r="AK846" s="10">
        <f>IF(tblOrdenes[[#This Row],[orden]]="","",tblOrdenes[[#This Row],[costo_servicio]]+tblOrdenes[[#This Row],[costo_materiales]])</f>
        <v/>
      </c>
      <c r="AL846" s="6" t="n"/>
      <c r="AM846" s="6" t="n"/>
      <c r="AN846" s="6" t="n"/>
      <c r="AO846" s="3">
        <f>IF(tblOrdenes[[#This Row],[link_checklist]]="","",HYPERLINK(p_ruta_base_checklists&amp;tblOrdenes[[#This Row],[link_checklist]],"abrir"))</f>
        <v/>
      </c>
      <c r="AP846" s="6" t="n"/>
      <c r="AQ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3">
        <f>IF(tblOrdenes[[#This Row],[tipo_ot]]="","",_xlfn.XLOOKUP(tblOrdenes[[#This Row],[tipo_ot]],tblTiposOT[codigo],tblTiposOT[clasificacion],"sin_clasificar"))</f>
        <v/>
      </c>
      <c r="U847" s="3">
        <f>IF(tblOrdenes[[#This Row],[centro_costo]]="","",_xlfn.XLOOKUP(tblOrdenes[[#This Row],[centro_costo]],tblCECO[codigo],tblCECO[linea],"(sin catálogo)"))</f>
        <v/>
      </c>
      <c r="V847" s="3">
        <f>IF(tblOrdenes[[#This Row],[centro_costo]]="","",_xlfn.XLOOKUP(tblOrdenes[[#This Row],[centro_costo]],tblCECO[codigo],tblCECO[area],"(sin catálogo)"))</f>
        <v/>
      </c>
      <c r="W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3">
        <f>IF(tblOrdenes[[#This Row],[centro_costo]]="","",_xlfn.XLOOKUP(tblOrdenes[[#This Row],[centro_costo]],tblCECO[codigo],tblCECO[coordinador],"(sin catálogo)"))</f>
        <v/>
      </c>
      <c r="Y847" s="3">
        <f>IF(tblOrdenes[[#This Row],[puesto_trabajo]]="","",_xlfn.XLOOKUP(tblOrdenes[[#This Row],[puesto_trabajo]],tblPuestos[codigo],tblPuestos[especialidad],"(sin catálogo)"))</f>
        <v/>
      </c>
      <c r="Z847" s="3">
        <f>IF(tblOrdenes[[#This Row],[cod_actividad]]="","",_xlfn.XLOOKUP(tblOrdenes[[#This Row],[cod_actividad]],tblActividades[codigo],tblActividades[descripcion],"(sin catálogo)"))</f>
        <v/>
      </c>
      <c r="AA847" s="12">
        <f>IF(tblOrdenes[[#This Row],[fecha_inicio]]="","",TODAY()-tblOrdenes[[#This Row],[fecha_inicio]])</f>
        <v/>
      </c>
      <c r="AB8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3">
        <f>IF(tblOrdenes[[#This Row],[backlog_habiles]]="","",IF(tblOrdenes[[#This Row],[backlog_habiles]]&lt;0,"FUTURO",IF(tblOrdenes[[#This Row],[backlog_habiles]]&gt;p_dias_backlog_max,"BACKLOG","MES CORRIENTE")))</f>
        <v/>
      </c>
      <c r="AD847" s="3">
        <f>IF(tblOrdenes[[#This Row],[backlog_habiles]]="",FALSE,AND(tblOrdenes[[#This Row],[backlog_habiles]]&gt;p_dias_backlog_min,tblOrdenes[[#This Row],[backlog_habiles]]&lt;=p_dias_backlog_max))</f>
        <v/>
      </c>
      <c r="AE847" s="6" t="n"/>
      <c r="AF8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0">
        <f>IF(tblOrdenes[[#This Row],[orden]]="","",_xlfn.XLOOKUP(tblOrdenes[[#This Row],[id_operacion]],tblEjecucion[id_operacion],tblEjecucion[precio],0))</f>
        <v/>
      </c>
      <c r="AJ847" s="10">
        <f>IF(tblOrdenes[[#This Row],[orden]]="","",MAX(0,_xlfn.XLOOKUP(tblOrdenes[[#This Row],[id_operacion]],tblEjecucion[id_operacion],tblEjecucion[costo_plan_total],0)-tblOrdenes[[#This Row],[costo_servicio]]))</f>
        <v/>
      </c>
      <c r="AK847" s="10">
        <f>IF(tblOrdenes[[#This Row],[orden]]="","",tblOrdenes[[#This Row],[costo_servicio]]+tblOrdenes[[#This Row],[costo_materiales]])</f>
        <v/>
      </c>
      <c r="AL847" s="6" t="n"/>
      <c r="AM847" s="6" t="n"/>
      <c r="AN847" s="6" t="n"/>
      <c r="AO847" s="3">
        <f>IF(tblOrdenes[[#This Row],[link_checklist]]="","",HYPERLINK(p_ruta_base_checklists&amp;tblOrdenes[[#This Row],[link_checklist]],"abrir"))</f>
        <v/>
      </c>
      <c r="AP847" s="6" t="n"/>
      <c r="AQ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3">
        <f>IF(tblOrdenes[[#This Row],[tipo_ot]]="","",_xlfn.XLOOKUP(tblOrdenes[[#This Row],[tipo_ot]],tblTiposOT[codigo],tblTiposOT[clasificacion],"sin_clasificar"))</f>
        <v/>
      </c>
      <c r="U848" s="3">
        <f>IF(tblOrdenes[[#This Row],[centro_costo]]="","",_xlfn.XLOOKUP(tblOrdenes[[#This Row],[centro_costo]],tblCECO[codigo],tblCECO[linea],"(sin catálogo)"))</f>
        <v/>
      </c>
      <c r="V848" s="3">
        <f>IF(tblOrdenes[[#This Row],[centro_costo]]="","",_xlfn.XLOOKUP(tblOrdenes[[#This Row],[centro_costo]],tblCECO[codigo],tblCECO[area],"(sin catálogo)"))</f>
        <v/>
      </c>
      <c r="W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3">
        <f>IF(tblOrdenes[[#This Row],[centro_costo]]="","",_xlfn.XLOOKUP(tblOrdenes[[#This Row],[centro_costo]],tblCECO[codigo],tblCECO[coordinador],"(sin catálogo)"))</f>
        <v/>
      </c>
      <c r="Y848" s="3">
        <f>IF(tblOrdenes[[#This Row],[puesto_trabajo]]="","",_xlfn.XLOOKUP(tblOrdenes[[#This Row],[puesto_trabajo]],tblPuestos[codigo],tblPuestos[especialidad],"(sin catálogo)"))</f>
        <v/>
      </c>
      <c r="Z848" s="3">
        <f>IF(tblOrdenes[[#This Row],[cod_actividad]]="","",_xlfn.XLOOKUP(tblOrdenes[[#This Row],[cod_actividad]],tblActividades[codigo],tblActividades[descripcion],"(sin catálogo)"))</f>
        <v/>
      </c>
      <c r="AA848" s="12">
        <f>IF(tblOrdenes[[#This Row],[fecha_inicio]]="","",TODAY()-tblOrdenes[[#This Row],[fecha_inicio]])</f>
        <v/>
      </c>
      <c r="AB8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3">
        <f>IF(tblOrdenes[[#This Row],[backlog_habiles]]="","",IF(tblOrdenes[[#This Row],[backlog_habiles]]&lt;0,"FUTURO",IF(tblOrdenes[[#This Row],[backlog_habiles]]&gt;p_dias_backlog_max,"BACKLOG","MES CORRIENTE")))</f>
        <v/>
      </c>
      <c r="AD848" s="3">
        <f>IF(tblOrdenes[[#This Row],[backlog_habiles]]="",FALSE,AND(tblOrdenes[[#This Row],[backlog_habiles]]&gt;p_dias_backlog_min,tblOrdenes[[#This Row],[backlog_habiles]]&lt;=p_dias_backlog_max))</f>
        <v/>
      </c>
      <c r="AE848" s="6" t="n"/>
      <c r="AF8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0">
        <f>IF(tblOrdenes[[#This Row],[orden]]="","",_xlfn.XLOOKUP(tblOrdenes[[#This Row],[id_operacion]],tblEjecucion[id_operacion],tblEjecucion[precio],0))</f>
        <v/>
      </c>
      <c r="AJ848" s="10">
        <f>IF(tblOrdenes[[#This Row],[orden]]="","",MAX(0,_xlfn.XLOOKUP(tblOrdenes[[#This Row],[id_operacion]],tblEjecucion[id_operacion],tblEjecucion[costo_plan_total],0)-tblOrdenes[[#This Row],[costo_servicio]]))</f>
        <v/>
      </c>
      <c r="AK848" s="10">
        <f>IF(tblOrdenes[[#This Row],[orden]]="","",tblOrdenes[[#This Row],[costo_servicio]]+tblOrdenes[[#This Row],[costo_materiales]])</f>
        <v/>
      </c>
      <c r="AL848" s="6" t="n"/>
      <c r="AM848" s="6" t="n"/>
      <c r="AN848" s="6" t="n"/>
      <c r="AO848" s="3">
        <f>IF(tblOrdenes[[#This Row],[link_checklist]]="","",HYPERLINK(p_ruta_base_checklists&amp;tblOrdenes[[#This Row],[link_checklist]],"abrir"))</f>
        <v/>
      </c>
      <c r="AP848" s="6" t="n"/>
      <c r="AQ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3">
        <f>IF(tblOrdenes[[#This Row],[tipo_ot]]="","",_xlfn.XLOOKUP(tblOrdenes[[#This Row],[tipo_ot]],tblTiposOT[codigo],tblTiposOT[clasificacion],"sin_clasificar"))</f>
        <v/>
      </c>
      <c r="U849" s="3">
        <f>IF(tblOrdenes[[#This Row],[centro_costo]]="","",_xlfn.XLOOKUP(tblOrdenes[[#This Row],[centro_costo]],tblCECO[codigo],tblCECO[linea],"(sin catálogo)"))</f>
        <v/>
      </c>
      <c r="V849" s="3">
        <f>IF(tblOrdenes[[#This Row],[centro_costo]]="","",_xlfn.XLOOKUP(tblOrdenes[[#This Row],[centro_costo]],tblCECO[codigo],tblCECO[area],"(sin catálogo)"))</f>
        <v/>
      </c>
      <c r="W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3">
        <f>IF(tblOrdenes[[#This Row],[centro_costo]]="","",_xlfn.XLOOKUP(tblOrdenes[[#This Row],[centro_costo]],tblCECO[codigo],tblCECO[coordinador],"(sin catálogo)"))</f>
        <v/>
      </c>
      <c r="Y849" s="3">
        <f>IF(tblOrdenes[[#This Row],[puesto_trabajo]]="","",_xlfn.XLOOKUP(tblOrdenes[[#This Row],[puesto_trabajo]],tblPuestos[codigo],tblPuestos[especialidad],"(sin catálogo)"))</f>
        <v/>
      </c>
      <c r="Z849" s="3">
        <f>IF(tblOrdenes[[#This Row],[cod_actividad]]="","",_xlfn.XLOOKUP(tblOrdenes[[#This Row],[cod_actividad]],tblActividades[codigo],tblActividades[descripcion],"(sin catálogo)"))</f>
        <v/>
      </c>
      <c r="AA849" s="12">
        <f>IF(tblOrdenes[[#This Row],[fecha_inicio]]="","",TODAY()-tblOrdenes[[#This Row],[fecha_inicio]])</f>
        <v/>
      </c>
      <c r="AB8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3">
        <f>IF(tblOrdenes[[#This Row],[backlog_habiles]]="","",IF(tblOrdenes[[#This Row],[backlog_habiles]]&lt;0,"FUTURO",IF(tblOrdenes[[#This Row],[backlog_habiles]]&gt;p_dias_backlog_max,"BACKLOG","MES CORRIENTE")))</f>
        <v/>
      </c>
      <c r="AD849" s="3">
        <f>IF(tblOrdenes[[#This Row],[backlog_habiles]]="",FALSE,AND(tblOrdenes[[#This Row],[backlog_habiles]]&gt;p_dias_backlog_min,tblOrdenes[[#This Row],[backlog_habiles]]&lt;=p_dias_backlog_max))</f>
        <v/>
      </c>
      <c r="AE849" s="6" t="n"/>
      <c r="AF8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0">
        <f>IF(tblOrdenes[[#This Row],[orden]]="","",_xlfn.XLOOKUP(tblOrdenes[[#This Row],[id_operacion]],tblEjecucion[id_operacion],tblEjecucion[precio],0))</f>
        <v/>
      </c>
      <c r="AJ849" s="10">
        <f>IF(tblOrdenes[[#This Row],[orden]]="","",MAX(0,_xlfn.XLOOKUP(tblOrdenes[[#This Row],[id_operacion]],tblEjecucion[id_operacion],tblEjecucion[costo_plan_total],0)-tblOrdenes[[#This Row],[costo_servicio]]))</f>
        <v/>
      </c>
      <c r="AK849" s="10">
        <f>IF(tblOrdenes[[#This Row],[orden]]="","",tblOrdenes[[#This Row],[costo_servicio]]+tblOrdenes[[#This Row],[costo_materiales]])</f>
        <v/>
      </c>
      <c r="AL849" s="6" t="n"/>
      <c r="AM849" s="6" t="n"/>
      <c r="AN849" s="6" t="n"/>
      <c r="AO849" s="3">
        <f>IF(tblOrdenes[[#This Row],[link_checklist]]="","",HYPERLINK(p_ruta_base_checklists&amp;tblOrdenes[[#This Row],[link_checklist]],"abrir"))</f>
        <v/>
      </c>
      <c r="AP849" s="6" t="n"/>
      <c r="AQ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3">
        <f>IF(tblOrdenes[[#This Row],[tipo_ot]]="","",_xlfn.XLOOKUP(tblOrdenes[[#This Row],[tipo_ot]],tblTiposOT[codigo],tblTiposOT[clasificacion],"sin_clasificar"))</f>
        <v/>
      </c>
      <c r="U850" s="3">
        <f>IF(tblOrdenes[[#This Row],[centro_costo]]="","",_xlfn.XLOOKUP(tblOrdenes[[#This Row],[centro_costo]],tblCECO[codigo],tblCECO[linea],"(sin catálogo)"))</f>
        <v/>
      </c>
      <c r="V850" s="3">
        <f>IF(tblOrdenes[[#This Row],[centro_costo]]="","",_xlfn.XLOOKUP(tblOrdenes[[#This Row],[centro_costo]],tblCECO[codigo],tblCECO[area],"(sin catálogo)"))</f>
        <v/>
      </c>
      <c r="W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3">
        <f>IF(tblOrdenes[[#This Row],[centro_costo]]="","",_xlfn.XLOOKUP(tblOrdenes[[#This Row],[centro_costo]],tblCECO[codigo],tblCECO[coordinador],"(sin catálogo)"))</f>
        <v/>
      </c>
      <c r="Y850" s="3">
        <f>IF(tblOrdenes[[#This Row],[puesto_trabajo]]="","",_xlfn.XLOOKUP(tblOrdenes[[#This Row],[puesto_trabajo]],tblPuestos[codigo],tblPuestos[especialidad],"(sin catálogo)"))</f>
        <v/>
      </c>
      <c r="Z850" s="3">
        <f>IF(tblOrdenes[[#This Row],[cod_actividad]]="","",_xlfn.XLOOKUP(tblOrdenes[[#This Row],[cod_actividad]],tblActividades[codigo],tblActividades[descripcion],"(sin catálogo)"))</f>
        <v/>
      </c>
      <c r="AA850" s="12">
        <f>IF(tblOrdenes[[#This Row],[fecha_inicio]]="","",TODAY()-tblOrdenes[[#This Row],[fecha_inicio]])</f>
        <v/>
      </c>
      <c r="AB8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3">
        <f>IF(tblOrdenes[[#This Row],[backlog_habiles]]="","",IF(tblOrdenes[[#This Row],[backlog_habiles]]&lt;0,"FUTURO",IF(tblOrdenes[[#This Row],[backlog_habiles]]&gt;p_dias_backlog_max,"BACKLOG","MES CORRIENTE")))</f>
        <v/>
      </c>
      <c r="AD850" s="3">
        <f>IF(tblOrdenes[[#This Row],[backlog_habiles]]="",FALSE,AND(tblOrdenes[[#This Row],[backlog_habiles]]&gt;p_dias_backlog_min,tblOrdenes[[#This Row],[backlog_habiles]]&lt;=p_dias_backlog_max))</f>
        <v/>
      </c>
      <c r="AE850" s="6" t="n"/>
      <c r="AF8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0">
        <f>IF(tblOrdenes[[#This Row],[orden]]="","",_xlfn.XLOOKUP(tblOrdenes[[#This Row],[id_operacion]],tblEjecucion[id_operacion],tblEjecucion[precio],0))</f>
        <v/>
      </c>
      <c r="AJ850" s="10">
        <f>IF(tblOrdenes[[#This Row],[orden]]="","",MAX(0,_xlfn.XLOOKUP(tblOrdenes[[#This Row],[id_operacion]],tblEjecucion[id_operacion],tblEjecucion[costo_plan_total],0)-tblOrdenes[[#This Row],[costo_servicio]]))</f>
        <v/>
      </c>
      <c r="AK850" s="10">
        <f>IF(tblOrdenes[[#This Row],[orden]]="","",tblOrdenes[[#This Row],[costo_servicio]]+tblOrdenes[[#This Row],[costo_materiales]])</f>
        <v/>
      </c>
      <c r="AL850" s="6" t="n"/>
      <c r="AM850" s="6" t="n"/>
      <c r="AN850" s="6" t="n"/>
      <c r="AO850" s="3">
        <f>IF(tblOrdenes[[#This Row],[link_checklist]]="","",HYPERLINK(p_ruta_base_checklists&amp;tblOrdenes[[#This Row],[link_checklist]],"abrir"))</f>
        <v/>
      </c>
      <c r="AP850" s="6" t="n"/>
      <c r="AQ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3">
        <f>IF(tblOrdenes[[#This Row],[tipo_ot]]="","",_xlfn.XLOOKUP(tblOrdenes[[#This Row],[tipo_ot]],tblTiposOT[codigo],tblTiposOT[clasificacion],"sin_clasificar"))</f>
        <v/>
      </c>
      <c r="U851" s="3">
        <f>IF(tblOrdenes[[#This Row],[centro_costo]]="","",_xlfn.XLOOKUP(tblOrdenes[[#This Row],[centro_costo]],tblCECO[codigo],tblCECO[linea],"(sin catálogo)"))</f>
        <v/>
      </c>
      <c r="V851" s="3">
        <f>IF(tblOrdenes[[#This Row],[centro_costo]]="","",_xlfn.XLOOKUP(tblOrdenes[[#This Row],[centro_costo]],tblCECO[codigo],tblCECO[area],"(sin catálogo)"))</f>
        <v/>
      </c>
      <c r="W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3">
        <f>IF(tblOrdenes[[#This Row],[centro_costo]]="","",_xlfn.XLOOKUP(tblOrdenes[[#This Row],[centro_costo]],tblCECO[codigo],tblCECO[coordinador],"(sin catálogo)"))</f>
        <v/>
      </c>
      <c r="Y851" s="3">
        <f>IF(tblOrdenes[[#This Row],[puesto_trabajo]]="","",_xlfn.XLOOKUP(tblOrdenes[[#This Row],[puesto_trabajo]],tblPuestos[codigo],tblPuestos[especialidad],"(sin catálogo)"))</f>
        <v/>
      </c>
      <c r="Z851" s="3">
        <f>IF(tblOrdenes[[#This Row],[cod_actividad]]="","",_xlfn.XLOOKUP(tblOrdenes[[#This Row],[cod_actividad]],tblActividades[codigo],tblActividades[descripcion],"(sin catálogo)"))</f>
        <v/>
      </c>
      <c r="AA851" s="12">
        <f>IF(tblOrdenes[[#This Row],[fecha_inicio]]="","",TODAY()-tblOrdenes[[#This Row],[fecha_inicio]])</f>
        <v/>
      </c>
      <c r="AB8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3">
        <f>IF(tblOrdenes[[#This Row],[backlog_habiles]]="","",IF(tblOrdenes[[#This Row],[backlog_habiles]]&lt;0,"FUTURO",IF(tblOrdenes[[#This Row],[backlog_habiles]]&gt;p_dias_backlog_max,"BACKLOG","MES CORRIENTE")))</f>
        <v/>
      </c>
      <c r="AD851" s="3">
        <f>IF(tblOrdenes[[#This Row],[backlog_habiles]]="",FALSE,AND(tblOrdenes[[#This Row],[backlog_habiles]]&gt;p_dias_backlog_min,tblOrdenes[[#This Row],[backlog_habiles]]&lt;=p_dias_backlog_max))</f>
        <v/>
      </c>
      <c r="AE851" s="6" t="n"/>
      <c r="AF8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0">
        <f>IF(tblOrdenes[[#This Row],[orden]]="","",_xlfn.XLOOKUP(tblOrdenes[[#This Row],[id_operacion]],tblEjecucion[id_operacion],tblEjecucion[precio],0))</f>
        <v/>
      </c>
      <c r="AJ851" s="10">
        <f>IF(tblOrdenes[[#This Row],[orden]]="","",MAX(0,_xlfn.XLOOKUP(tblOrdenes[[#This Row],[id_operacion]],tblEjecucion[id_operacion],tblEjecucion[costo_plan_total],0)-tblOrdenes[[#This Row],[costo_servicio]]))</f>
        <v/>
      </c>
      <c r="AK851" s="10">
        <f>IF(tblOrdenes[[#This Row],[orden]]="","",tblOrdenes[[#This Row],[costo_servicio]]+tblOrdenes[[#This Row],[costo_materiales]])</f>
        <v/>
      </c>
      <c r="AL851" s="6" t="n"/>
      <c r="AM851" s="6" t="n"/>
      <c r="AN851" s="6" t="n"/>
      <c r="AO851" s="3">
        <f>IF(tblOrdenes[[#This Row],[link_checklist]]="","",HYPERLINK(p_ruta_base_checklists&amp;tblOrdenes[[#This Row],[link_checklist]],"abrir"))</f>
        <v/>
      </c>
      <c r="AP851" s="6" t="n"/>
      <c r="AQ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3">
        <f>IF(tblOrdenes[[#This Row],[tipo_ot]]="","",_xlfn.XLOOKUP(tblOrdenes[[#This Row],[tipo_ot]],tblTiposOT[codigo],tblTiposOT[clasificacion],"sin_clasificar"))</f>
        <v/>
      </c>
      <c r="U852" s="3">
        <f>IF(tblOrdenes[[#This Row],[centro_costo]]="","",_xlfn.XLOOKUP(tblOrdenes[[#This Row],[centro_costo]],tblCECO[codigo],tblCECO[linea],"(sin catálogo)"))</f>
        <v/>
      </c>
      <c r="V852" s="3">
        <f>IF(tblOrdenes[[#This Row],[centro_costo]]="","",_xlfn.XLOOKUP(tblOrdenes[[#This Row],[centro_costo]],tblCECO[codigo],tblCECO[area],"(sin catálogo)"))</f>
        <v/>
      </c>
      <c r="W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3">
        <f>IF(tblOrdenes[[#This Row],[centro_costo]]="","",_xlfn.XLOOKUP(tblOrdenes[[#This Row],[centro_costo]],tblCECO[codigo],tblCECO[coordinador],"(sin catálogo)"))</f>
        <v/>
      </c>
      <c r="Y852" s="3">
        <f>IF(tblOrdenes[[#This Row],[puesto_trabajo]]="","",_xlfn.XLOOKUP(tblOrdenes[[#This Row],[puesto_trabajo]],tblPuestos[codigo],tblPuestos[especialidad],"(sin catálogo)"))</f>
        <v/>
      </c>
      <c r="Z852" s="3">
        <f>IF(tblOrdenes[[#This Row],[cod_actividad]]="","",_xlfn.XLOOKUP(tblOrdenes[[#This Row],[cod_actividad]],tblActividades[codigo],tblActividades[descripcion],"(sin catálogo)"))</f>
        <v/>
      </c>
      <c r="AA852" s="12">
        <f>IF(tblOrdenes[[#This Row],[fecha_inicio]]="","",TODAY()-tblOrdenes[[#This Row],[fecha_inicio]])</f>
        <v/>
      </c>
      <c r="AB8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3">
        <f>IF(tblOrdenes[[#This Row],[backlog_habiles]]="","",IF(tblOrdenes[[#This Row],[backlog_habiles]]&lt;0,"FUTURO",IF(tblOrdenes[[#This Row],[backlog_habiles]]&gt;p_dias_backlog_max,"BACKLOG","MES CORRIENTE")))</f>
        <v/>
      </c>
      <c r="AD852" s="3">
        <f>IF(tblOrdenes[[#This Row],[backlog_habiles]]="",FALSE,AND(tblOrdenes[[#This Row],[backlog_habiles]]&gt;p_dias_backlog_min,tblOrdenes[[#This Row],[backlog_habiles]]&lt;=p_dias_backlog_max))</f>
        <v/>
      </c>
      <c r="AE852" s="6" t="n"/>
      <c r="AF8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0">
        <f>IF(tblOrdenes[[#This Row],[orden]]="","",_xlfn.XLOOKUP(tblOrdenes[[#This Row],[id_operacion]],tblEjecucion[id_operacion],tblEjecucion[precio],0))</f>
        <v/>
      </c>
      <c r="AJ852" s="10">
        <f>IF(tblOrdenes[[#This Row],[orden]]="","",MAX(0,_xlfn.XLOOKUP(tblOrdenes[[#This Row],[id_operacion]],tblEjecucion[id_operacion],tblEjecucion[costo_plan_total],0)-tblOrdenes[[#This Row],[costo_servicio]]))</f>
        <v/>
      </c>
      <c r="AK852" s="10">
        <f>IF(tblOrdenes[[#This Row],[orden]]="","",tblOrdenes[[#This Row],[costo_servicio]]+tblOrdenes[[#This Row],[costo_materiales]])</f>
        <v/>
      </c>
      <c r="AL852" s="6" t="n"/>
      <c r="AM852" s="6" t="n"/>
      <c r="AN852" s="6" t="n"/>
      <c r="AO852" s="3">
        <f>IF(tblOrdenes[[#This Row],[link_checklist]]="","",HYPERLINK(p_ruta_base_checklists&amp;tblOrdenes[[#This Row],[link_checklist]],"abrir"))</f>
        <v/>
      </c>
      <c r="AP852" s="6" t="n"/>
      <c r="AQ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3">
        <f>IF(tblOrdenes[[#This Row],[tipo_ot]]="","",_xlfn.XLOOKUP(tblOrdenes[[#This Row],[tipo_ot]],tblTiposOT[codigo],tblTiposOT[clasificacion],"sin_clasificar"))</f>
        <v/>
      </c>
      <c r="U853" s="3">
        <f>IF(tblOrdenes[[#This Row],[centro_costo]]="","",_xlfn.XLOOKUP(tblOrdenes[[#This Row],[centro_costo]],tblCECO[codigo],tblCECO[linea],"(sin catálogo)"))</f>
        <v/>
      </c>
      <c r="V853" s="3">
        <f>IF(tblOrdenes[[#This Row],[centro_costo]]="","",_xlfn.XLOOKUP(tblOrdenes[[#This Row],[centro_costo]],tblCECO[codigo],tblCECO[area],"(sin catálogo)"))</f>
        <v/>
      </c>
      <c r="W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3">
        <f>IF(tblOrdenes[[#This Row],[centro_costo]]="","",_xlfn.XLOOKUP(tblOrdenes[[#This Row],[centro_costo]],tblCECO[codigo],tblCECO[coordinador],"(sin catálogo)"))</f>
        <v/>
      </c>
      <c r="Y853" s="3">
        <f>IF(tblOrdenes[[#This Row],[puesto_trabajo]]="","",_xlfn.XLOOKUP(tblOrdenes[[#This Row],[puesto_trabajo]],tblPuestos[codigo],tblPuestos[especialidad],"(sin catálogo)"))</f>
        <v/>
      </c>
      <c r="Z853" s="3">
        <f>IF(tblOrdenes[[#This Row],[cod_actividad]]="","",_xlfn.XLOOKUP(tblOrdenes[[#This Row],[cod_actividad]],tblActividades[codigo],tblActividades[descripcion],"(sin catálogo)"))</f>
        <v/>
      </c>
      <c r="AA853" s="12">
        <f>IF(tblOrdenes[[#This Row],[fecha_inicio]]="","",TODAY()-tblOrdenes[[#This Row],[fecha_inicio]])</f>
        <v/>
      </c>
      <c r="AB8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3">
        <f>IF(tblOrdenes[[#This Row],[backlog_habiles]]="","",IF(tblOrdenes[[#This Row],[backlog_habiles]]&lt;0,"FUTURO",IF(tblOrdenes[[#This Row],[backlog_habiles]]&gt;p_dias_backlog_max,"BACKLOG","MES CORRIENTE")))</f>
        <v/>
      </c>
      <c r="AD853" s="3">
        <f>IF(tblOrdenes[[#This Row],[backlog_habiles]]="",FALSE,AND(tblOrdenes[[#This Row],[backlog_habiles]]&gt;p_dias_backlog_min,tblOrdenes[[#This Row],[backlog_habiles]]&lt;=p_dias_backlog_max))</f>
        <v/>
      </c>
      <c r="AE853" s="6" t="n"/>
      <c r="AF8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0">
        <f>IF(tblOrdenes[[#This Row],[orden]]="","",_xlfn.XLOOKUP(tblOrdenes[[#This Row],[id_operacion]],tblEjecucion[id_operacion],tblEjecucion[precio],0))</f>
        <v/>
      </c>
      <c r="AJ853" s="10">
        <f>IF(tblOrdenes[[#This Row],[orden]]="","",MAX(0,_xlfn.XLOOKUP(tblOrdenes[[#This Row],[id_operacion]],tblEjecucion[id_operacion],tblEjecucion[costo_plan_total],0)-tblOrdenes[[#This Row],[costo_servicio]]))</f>
        <v/>
      </c>
      <c r="AK853" s="10">
        <f>IF(tblOrdenes[[#This Row],[orden]]="","",tblOrdenes[[#This Row],[costo_servicio]]+tblOrdenes[[#This Row],[costo_materiales]])</f>
        <v/>
      </c>
      <c r="AL853" s="6" t="n"/>
      <c r="AM853" s="6" t="n"/>
      <c r="AN853" s="6" t="n"/>
      <c r="AO853" s="3">
        <f>IF(tblOrdenes[[#This Row],[link_checklist]]="","",HYPERLINK(p_ruta_base_checklists&amp;tblOrdenes[[#This Row],[link_checklist]],"abrir"))</f>
        <v/>
      </c>
      <c r="AP853" s="6" t="n"/>
      <c r="AQ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3">
        <f>IF(tblOrdenes[[#This Row],[tipo_ot]]="","",_xlfn.XLOOKUP(tblOrdenes[[#This Row],[tipo_ot]],tblTiposOT[codigo],tblTiposOT[clasificacion],"sin_clasificar"))</f>
        <v/>
      </c>
      <c r="U854" s="3">
        <f>IF(tblOrdenes[[#This Row],[centro_costo]]="","",_xlfn.XLOOKUP(tblOrdenes[[#This Row],[centro_costo]],tblCECO[codigo],tblCECO[linea],"(sin catálogo)"))</f>
        <v/>
      </c>
      <c r="V854" s="3">
        <f>IF(tblOrdenes[[#This Row],[centro_costo]]="","",_xlfn.XLOOKUP(tblOrdenes[[#This Row],[centro_costo]],tblCECO[codigo],tblCECO[area],"(sin catálogo)"))</f>
        <v/>
      </c>
      <c r="W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3">
        <f>IF(tblOrdenes[[#This Row],[centro_costo]]="","",_xlfn.XLOOKUP(tblOrdenes[[#This Row],[centro_costo]],tblCECO[codigo],tblCECO[coordinador],"(sin catálogo)"))</f>
        <v/>
      </c>
      <c r="Y854" s="3">
        <f>IF(tblOrdenes[[#This Row],[puesto_trabajo]]="","",_xlfn.XLOOKUP(tblOrdenes[[#This Row],[puesto_trabajo]],tblPuestos[codigo],tblPuestos[especialidad],"(sin catálogo)"))</f>
        <v/>
      </c>
      <c r="Z854" s="3">
        <f>IF(tblOrdenes[[#This Row],[cod_actividad]]="","",_xlfn.XLOOKUP(tblOrdenes[[#This Row],[cod_actividad]],tblActividades[codigo],tblActividades[descripcion],"(sin catálogo)"))</f>
        <v/>
      </c>
      <c r="AA854" s="12">
        <f>IF(tblOrdenes[[#This Row],[fecha_inicio]]="","",TODAY()-tblOrdenes[[#This Row],[fecha_inicio]])</f>
        <v/>
      </c>
      <c r="AB8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3">
        <f>IF(tblOrdenes[[#This Row],[backlog_habiles]]="","",IF(tblOrdenes[[#This Row],[backlog_habiles]]&lt;0,"FUTURO",IF(tblOrdenes[[#This Row],[backlog_habiles]]&gt;p_dias_backlog_max,"BACKLOG","MES CORRIENTE")))</f>
        <v/>
      </c>
      <c r="AD854" s="3">
        <f>IF(tblOrdenes[[#This Row],[backlog_habiles]]="",FALSE,AND(tblOrdenes[[#This Row],[backlog_habiles]]&gt;p_dias_backlog_min,tblOrdenes[[#This Row],[backlog_habiles]]&lt;=p_dias_backlog_max))</f>
        <v/>
      </c>
      <c r="AE854" s="6" t="n"/>
      <c r="AF8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0">
        <f>IF(tblOrdenes[[#This Row],[orden]]="","",_xlfn.XLOOKUP(tblOrdenes[[#This Row],[id_operacion]],tblEjecucion[id_operacion],tblEjecucion[precio],0))</f>
        <v/>
      </c>
      <c r="AJ854" s="10">
        <f>IF(tblOrdenes[[#This Row],[orden]]="","",MAX(0,_xlfn.XLOOKUP(tblOrdenes[[#This Row],[id_operacion]],tblEjecucion[id_operacion],tblEjecucion[costo_plan_total],0)-tblOrdenes[[#This Row],[costo_servicio]]))</f>
        <v/>
      </c>
      <c r="AK854" s="10">
        <f>IF(tblOrdenes[[#This Row],[orden]]="","",tblOrdenes[[#This Row],[costo_servicio]]+tblOrdenes[[#This Row],[costo_materiales]])</f>
        <v/>
      </c>
      <c r="AL854" s="6" t="n"/>
      <c r="AM854" s="6" t="n"/>
      <c r="AN854" s="6" t="n"/>
      <c r="AO854" s="3">
        <f>IF(tblOrdenes[[#This Row],[link_checklist]]="","",HYPERLINK(p_ruta_base_checklists&amp;tblOrdenes[[#This Row],[link_checklist]],"abrir"))</f>
        <v/>
      </c>
      <c r="AP854" s="6" t="n"/>
      <c r="AQ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3">
        <f>IF(tblOrdenes[[#This Row],[tipo_ot]]="","",_xlfn.XLOOKUP(tblOrdenes[[#This Row],[tipo_ot]],tblTiposOT[codigo],tblTiposOT[clasificacion],"sin_clasificar"))</f>
        <v/>
      </c>
      <c r="U855" s="3">
        <f>IF(tblOrdenes[[#This Row],[centro_costo]]="","",_xlfn.XLOOKUP(tblOrdenes[[#This Row],[centro_costo]],tblCECO[codigo],tblCECO[linea],"(sin catálogo)"))</f>
        <v/>
      </c>
      <c r="V855" s="3">
        <f>IF(tblOrdenes[[#This Row],[centro_costo]]="","",_xlfn.XLOOKUP(tblOrdenes[[#This Row],[centro_costo]],tblCECO[codigo],tblCECO[area],"(sin catálogo)"))</f>
        <v/>
      </c>
      <c r="W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3">
        <f>IF(tblOrdenes[[#This Row],[centro_costo]]="","",_xlfn.XLOOKUP(tblOrdenes[[#This Row],[centro_costo]],tblCECO[codigo],tblCECO[coordinador],"(sin catálogo)"))</f>
        <v/>
      </c>
      <c r="Y855" s="3">
        <f>IF(tblOrdenes[[#This Row],[puesto_trabajo]]="","",_xlfn.XLOOKUP(tblOrdenes[[#This Row],[puesto_trabajo]],tblPuestos[codigo],tblPuestos[especialidad],"(sin catálogo)"))</f>
        <v/>
      </c>
      <c r="Z855" s="3">
        <f>IF(tblOrdenes[[#This Row],[cod_actividad]]="","",_xlfn.XLOOKUP(tblOrdenes[[#This Row],[cod_actividad]],tblActividades[codigo],tblActividades[descripcion],"(sin catálogo)"))</f>
        <v/>
      </c>
      <c r="AA855" s="12">
        <f>IF(tblOrdenes[[#This Row],[fecha_inicio]]="","",TODAY()-tblOrdenes[[#This Row],[fecha_inicio]])</f>
        <v/>
      </c>
      <c r="AB8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3">
        <f>IF(tblOrdenes[[#This Row],[backlog_habiles]]="","",IF(tblOrdenes[[#This Row],[backlog_habiles]]&lt;0,"FUTURO",IF(tblOrdenes[[#This Row],[backlog_habiles]]&gt;p_dias_backlog_max,"BACKLOG","MES CORRIENTE")))</f>
        <v/>
      </c>
      <c r="AD855" s="3">
        <f>IF(tblOrdenes[[#This Row],[backlog_habiles]]="",FALSE,AND(tblOrdenes[[#This Row],[backlog_habiles]]&gt;p_dias_backlog_min,tblOrdenes[[#This Row],[backlog_habiles]]&lt;=p_dias_backlog_max))</f>
        <v/>
      </c>
      <c r="AE855" s="6" t="n"/>
      <c r="AF8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0">
        <f>IF(tblOrdenes[[#This Row],[orden]]="","",_xlfn.XLOOKUP(tblOrdenes[[#This Row],[id_operacion]],tblEjecucion[id_operacion],tblEjecucion[precio],0))</f>
        <v/>
      </c>
      <c r="AJ855" s="10">
        <f>IF(tblOrdenes[[#This Row],[orden]]="","",MAX(0,_xlfn.XLOOKUP(tblOrdenes[[#This Row],[id_operacion]],tblEjecucion[id_operacion],tblEjecucion[costo_plan_total],0)-tblOrdenes[[#This Row],[costo_servicio]]))</f>
        <v/>
      </c>
      <c r="AK855" s="10">
        <f>IF(tblOrdenes[[#This Row],[orden]]="","",tblOrdenes[[#This Row],[costo_servicio]]+tblOrdenes[[#This Row],[costo_materiales]])</f>
        <v/>
      </c>
      <c r="AL855" s="6" t="n"/>
      <c r="AM855" s="6" t="n"/>
      <c r="AN855" s="6" t="n"/>
      <c r="AO855" s="3">
        <f>IF(tblOrdenes[[#This Row],[link_checklist]]="","",HYPERLINK(p_ruta_base_checklists&amp;tblOrdenes[[#This Row],[link_checklist]],"abrir"))</f>
        <v/>
      </c>
      <c r="AP855" s="6" t="n"/>
      <c r="AQ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3">
        <f>IF(tblOrdenes[[#This Row],[tipo_ot]]="","",_xlfn.XLOOKUP(tblOrdenes[[#This Row],[tipo_ot]],tblTiposOT[codigo],tblTiposOT[clasificacion],"sin_clasificar"))</f>
        <v/>
      </c>
      <c r="U856" s="3">
        <f>IF(tblOrdenes[[#This Row],[centro_costo]]="","",_xlfn.XLOOKUP(tblOrdenes[[#This Row],[centro_costo]],tblCECO[codigo],tblCECO[linea],"(sin catálogo)"))</f>
        <v/>
      </c>
      <c r="V856" s="3">
        <f>IF(tblOrdenes[[#This Row],[centro_costo]]="","",_xlfn.XLOOKUP(tblOrdenes[[#This Row],[centro_costo]],tblCECO[codigo],tblCECO[area],"(sin catálogo)"))</f>
        <v/>
      </c>
      <c r="W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3">
        <f>IF(tblOrdenes[[#This Row],[centro_costo]]="","",_xlfn.XLOOKUP(tblOrdenes[[#This Row],[centro_costo]],tblCECO[codigo],tblCECO[coordinador],"(sin catálogo)"))</f>
        <v/>
      </c>
      <c r="Y856" s="3">
        <f>IF(tblOrdenes[[#This Row],[puesto_trabajo]]="","",_xlfn.XLOOKUP(tblOrdenes[[#This Row],[puesto_trabajo]],tblPuestos[codigo],tblPuestos[especialidad],"(sin catálogo)"))</f>
        <v/>
      </c>
      <c r="Z856" s="3">
        <f>IF(tblOrdenes[[#This Row],[cod_actividad]]="","",_xlfn.XLOOKUP(tblOrdenes[[#This Row],[cod_actividad]],tblActividades[codigo],tblActividades[descripcion],"(sin catálogo)"))</f>
        <v/>
      </c>
      <c r="AA856" s="12">
        <f>IF(tblOrdenes[[#This Row],[fecha_inicio]]="","",TODAY()-tblOrdenes[[#This Row],[fecha_inicio]])</f>
        <v/>
      </c>
      <c r="AB8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3">
        <f>IF(tblOrdenes[[#This Row],[backlog_habiles]]="","",IF(tblOrdenes[[#This Row],[backlog_habiles]]&lt;0,"FUTURO",IF(tblOrdenes[[#This Row],[backlog_habiles]]&gt;p_dias_backlog_max,"BACKLOG","MES CORRIENTE")))</f>
        <v/>
      </c>
      <c r="AD856" s="3">
        <f>IF(tblOrdenes[[#This Row],[backlog_habiles]]="",FALSE,AND(tblOrdenes[[#This Row],[backlog_habiles]]&gt;p_dias_backlog_min,tblOrdenes[[#This Row],[backlog_habiles]]&lt;=p_dias_backlog_max))</f>
        <v/>
      </c>
      <c r="AE856" s="6" t="n"/>
      <c r="AF8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0">
        <f>IF(tblOrdenes[[#This Row],[orden]]="","",_xlfn.XLOOKUP(tblOrdenes[[#This Row],[id_operacion]],tblEjecucion[id_operacion],tblEjecucion[precio],0))</f>
        <v/>
      </c>
      <c r="AJ856" s="10">
        <f>IF(tblOrdenes[[#This Row],[orden]]="","",MAX(0,_xlfn.XLOOKUP(tblOrdenes[[#This Row],[id_operacion]],tblEjecucion[id_operacion],tblEjecucion[costo_plan_total],0)-tblOrdenes[[#This Row],[costo_servicio]]))</f>
        <v/>
      </c>
      <c r="AK856" s="10">
        <f>IF(tblOrdenes[[#This Row],[orden]]="","",tblOrdenes[[#This Row],[costo_servicio]]+tblOrdenes[[#This Row],[costo_materiales]])</f>
        <v/>
      </c>
      <c r="AL856" s="6" t="n"/>
      <c r="AM856" s="6" t="n"/>
      <c r="AN856" s="6" t="n"/>
      <c r="AO856" s="3">
        <f>IF(tblOrdenes[[#This Row],[link_checklist]]="","",HYPERLINK(p_ruta_base_checklists&amp;tblOrdenes[[#This Row],[link_checklist]],"abrir"))</f>
        <v/>
      </c>
      <c r="AP856" s="6" t="n"/>
      <c r="AQ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3">
        <f>IF(tblOrdenes[[#This Row],[tipo_ot]]="","",_xlfn.XLOOKUP(tblOrdenes[[#This Row],[tipo_ot]],tblTiposOT[codigo],tblTiposOT[clasificacion],"sin_clasificar"))</f>
        <v/>
      </c>
      <c r="U857" s="3">
        <f>IF(tblOrdenes[[#This Row],[centro_costo]]="","",_xlfn.XLOOKUP(tblOrdenes[[#This Row],[centro_costo]],tblCECO[codigo],tblCECO[linea],"(sin catálogo)"))</f>
        <v/>
      </c>
      <c r="V857" s="3">
        <f>IF(tblOrdenes[[#This Row],[centro_costo]]="","",_xlfn.XLOOKUP(tblOrdenes[[#This Row],[centro_costo]],tblCECO[codigo],tblCECO[area],"(sin catálogo)"))</f>
        <v/>
      </c>
      <c r="W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3">
        <f>IF(tblOrdenes[[#This Row],[centro_costo]]="","",_xlfn.XLOOKUP(tblOrdenes[[#This Row],[centro_costo]],tblCECO[codigo],tblCECO[coordinador],"(sin catálogo)"))</f>
        <v/>
      </c>
      <c r="Y857" s="3">
        <f>IF(tblOrdenes[[#This Row],[puesto_trabajo]]="","",_xlfn.XLOOKUP(tblOrdenes[[#This Row],[puesto_trabajo]],tblPuestos[codigo],tblPuestos[especialidad],"(sin catálogo)"))</f>
        <v/>
      </c>
      <c r="Z857" s="3">
        <f>IF(tblOrdenes[[#This Row],[cod_actividad]]="","",_xlfn.XLOOKUP(tblOrdenes[[#This Row],[cod_actividad]],tblActividades[codigo],tblActividades[descripcion],"(sin catálogo)"))</f>
        <v/>
      </c>
      <c r="AA857" s="12">
        <f>IF(tblOrdenes[[#This Row],[fecha_inicio]]="","",TODAY()-tblOrdenes[[#This Row],[fecha_inicio]])</f>
        <v/>
      </c>
      <c r="AB8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3">
        <f>IF(tblOrdenes[[#This Row],[backlog_habiles]]="","",IF(tblOrdenes[[#This Row],[backlog_habiles]]&lt;0,"FUTURO",IF(tblOrdenes[[#This Row],[backlog_habiles]]&gt;p_dias_backlog_max,"BACKLOG","MES CORRIENTE")))</f>
        <v/>
      </c>
      <c r="AD857" s="3">
        <f>IF(tblOrdenes[[#This Row],[backlog_habiles]]="",FALSE,AND(tblOrdenes[[#This Row],[backlog_habiles]]&gt;p_dias_backlog_min,tblOrdenes[[#This Row],[backlog_habiles]]&lt;=p_dias_backlog_max))</f>
        <v/>
      </c>
      <c r="AE857" s="6" t="n"/>
      <c r="AF8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0">
        <f>IF(tblOrdenes[[#This Row],[orden]]="","",_xlfn.XLOOKUP(tblOrdenes[[#This Row],[id_operacion]],tblEjecucion[id_operacion],tblEjecucion[precio],0))</f>
        <v/>
      </c>
      <c r="AJ857" s="10">
        <f>IF(tblOrdenes[[#This Row],[orden]]="","",MAX(0,_xlfn.XLOOKUP(tblOrdenes[[#This Row],[id_operacion]],tblEjecucion[id_operacion],tblEjecucion[costo_plan_total],0)-tblOrdenes[[#This Row],[costo_servicio]]))</f>
        <v/>
      </c>
      <c r="AK857" s="10">
        <f>IF(tblOrdenes[[#This Row],[orden]]="","",tblOrdenes[[#This Row],[costo_servicio]]+tblOrdenes[[#This Row],[costo_materiales]])</f>
        <v/>
      </c>
      <c r="AL857" s="6" t="n"/>
      <c r="AM857" s="6" t="n"/>
      <c r="AN857" s="6" t="n"/>
      <c r="AO857" s="3">
        <f>IF(tblOrdenes[[#This Row],[link_checklist]]="","",HYPERLINK(p_ruta_base_checklists&amp;tblOrdenes[[#This Row],[link_checklist]],"abrir"))</f>
        <v/>
      </c>
      <c r="AP857" s="6" t="n"/>
      <c r="AQ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3">
        <f>IF(tblOrdenes[[#This Row],[tipo_ot]]="","",_xlfn.XLOOKUP(tblOrdenes[[#This Row],[tipo_ot]],tblTiposOT[codigo],tblTiposOT[clasificacion],"sin_clasificar"))</f>
        <v/>
      </c>
      <c r="U858" s="3">
        <f>IF(tblOrdenes[[#This Row],[centro_costo]]="","",_xlfn.XLOOKUP(tblOrdenes[[#This Row],[centro_costo]],tblCECO[codigo],tblCECO[linea],"(sin catálogo)"))</f>
        <v/>
      </c>
      <c r="V858" s="3">
        <f>IF(tblOrdenes[[#This Row],[centro_costo]]="","",_xlfn.XLOOKUP(tblOrdenes[[#This Row],[centro_costo]],tblCECO[codigo],tblCECO[area],"(sin catálogo)"))</f>
        <v/>
      </c>
      <c r="W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3">
        <f>IF(tblOrdenes[[#This Row],[centro_costo]]="","",_xlfn.XLOOKUP(tblOrdenes[[#This Row],[centro_costo]],tblCECO[codigo],tblCECO[coordinador],"(sin catálogo)"))</f>
        <v/>
      </c>
      <c r="Y858" s="3">
        <f>IF(tblOrdenes[[#This Row],[puesto_trabajo]]="","",_xlfn.XLOOKUP(tblOrdenes[[#This Row],[puesto_trabajo]],tblPuestos[codigo],tblPuestos[especialidad],"(sin catálogo)"))</f>
        <v/>
      </c>
      <c r="Z858" s="3">
        <f>IF(tblOrdenes[[#This Row],[cod_actividad]]="","",_xlfn.XLOOKUP(tblOrdenes[[#This Row],[cod_actividad]],tblActividades[codigo],tblActividades[descripcion],"(sin catálogo)"))</f>
        <v/>
      </c>
      <c r="AA858" s="12">
        <f>IF(tblOrdenes[[#This Row],[fecha_inicio]]="","",TODAY()-tblOrdenes[[#This Row],[fecha_inicio]])</f>
        <v/>
      </c>
      <c r="AB8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3">
        <f>IF(tblOrdenes[[#This Row],[backlog_habiles]]="","",IF(tblOrdenes[[#This Row],[backlog_habiles]]&lt;0,"FUTURO",IF(tblOrdenes[[#This Row],[backlog_habiles]]&gt;p_dias_backlog_max,"BACKLOG","MES CORRIENTE")))</f>
        <v/>
      </c>
      <c r="AD858" s="3">
        <f>IF(tblOrdenes[[#This Row],[backlog_habiles]]="",FALSE,AND(tblOrdenes[[#This Row],[backlog_habiles]]&gt;p_dias_backlog_min,tblOrdenes[[#This Row],[backlog_habiles]]&lt;=p_dias_backlog_max))</f>
        <v/>
      </c>
      <c r="AE858" s="6" t="n"/>
      <c r="AF8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0">
        <f>IF(tblOrdenes[[#This Row],[orden]]="","",_xlfn.XLOOKUP(tblOrdenes[[#This Row],[id_operacion]],tblEjecucion[id_operacion],tblEjecucion[precio],0))</f>
        <v/>
      </c>
      <c r="AJ858" s="10">
        <f>IF(tblOrdenes[[#This Row],[orden]]="","",MAX(0,_xlfn.XLOOKUP(tblOrdenes[[#This Row],[id_operacion]],tblEjecucion[id_operacion],tblEjecucion[costo_plan_total],0)-tblOrdenes[[#This Row],[costo_servicio]]))</f>
        <v/>
      </c>
      <c r="AK858" s="10">
        <f>IF(tblOrdenes[[#This Row],[orden]]="","",tblOrdenes[[#This Row],[costo_servicio]]+tblOrdenes[[#This Row],[costo_materiales]])</f>
        <v/>
      </c>
      <c r="AL858" s="6" t="n"/>
      <c r="AM858" s="6" t="n"/>
      <c r="AN858" s="6" t="n"/>
      <c r="AO858" s="3">
        <f>IF(tblOrdenes[[#This Row],[link_checklist]]="","",HYPERLINK(p_ruta_base_checklists&amp;tblOrdenes[[#This Row],[link_checklist]],"abrir"))</f>
        <v/>
      </c>
      <c r="AP858" s="6" t="n"/>
      <c r="AQ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3">
        <f>IF(tblOrdenes[[#This Row],[tipo_ot]]="","",_xlfn.XLOOKUP(tblOrdenes[[#This Row],[tipo_ot]],tblTiposOT[codigo],tblTiposOT[clasificacion],"sin_clasificar"))</f>
        <v/>
      </c>
      <c r="U859" s="3">
        <f>IF(tblOrdenes[[#This Row],[centro_costo]]="","",_xlfn.XLOOKUP(tblOrdenes[[#This Row],[centro_costo]],tblCECO[codigo],tblCECO[linea],"(sin catálogo)"))</f>
        <v/>
      </c>
      <c r="V859" s="3">
        <f>IF(tblOrdenes[[#This Row],[centro_costo]]="","",_xlfn.XLOOKUP(tblOrdenes[[#This Row],[centro_costo]],tblCECO[codigo],tblCECO[area],"(sin catálogo)"))</f>
        <v/>
      </c>
      <c r="W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3">
        <f>IF(tblOrdenes[[#This Row],[centro_costo]]="","",_xlfn.XLOOKUP(tblOrdenes[[#This Row],[centro_costo]],tblCECO[codigo],tblCECO[coordinador],"(sin catálogo)"))</f>
        <v/>
      </c>
      <c r="Y859" s="3">
        <f>IF(tblOrdenes[[#This Row],[puesto_trabajo]]="","",_xlfn.XLOOKUP(tblOrdenes[[#This Row],[puesto_trabajo]],tblPuestos[codigo],tblPuestos[especialidad],"(sin catálogo)"))</f>
        <v/>
      </c>
      <c r="Z859" s="3">
        <f>IF(tblOrdenes[[#This Row],[cod_actividad]]="","",_xlfn.XLOOKUP(tblOrdenes[[#This Row],[cod_actividad]],tblActividades[codigo],tblActividades[descripcion],"(sin catálogo)"))</f>
        <v/>
      </c>
      <c r="AA859" s="12">
        <f>IF(tblOrdenes[[#This Row],[fecha_inicio]]="","",TODAY()-tblOrdenes[[#This Row],[fecha_inicio]])</f>
        <v/>
      </c>
      <c r="AB8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3">
        <f>IF(tblOrdenes[[#This Row],[backlog_habiles]]="","",IF(tblOrdenes[[#This Row],[backlog_habiles]]&lt;0,"FUTURO",IF(tblOrdenes[[#This Row],[backlog_habiles]]&gt;p_dias_backlog_max,"BACKLOG","MES CORRIENTE")))</f>
        <v/>
      </c>
      <c r="AD859" s="3">
        <f>IF(tblOrdenes[[#This Row],[backlog_habiles]]="",FALSE,AND(tblOrdenes[[#This Row],[backlog_habiles]]&gt;p_dias_backlog_min,tblOrdenes[[#This Row],[backlog_habiles]]&lt;=p_dias_backlog_max))</f>
        <v/>
      </c>
      <c r="AE859" s="6" t="n"/>
      <c r="AF8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0">
        <f>IF(tblOrdenes[[#This Row],[orden]]="","",_xlfn.XLOOKUP(tblOrdenes[[#This Row],[id_operacion]],tblEjecucion[id_operacion],tblEjecucion[precio],0))</f>
        <v/>
      </c>
      <c r="AJ859" s="10">
        <f>IF(tblOrdenes[[#This Row],[orden]]="","",MAX(0,_xlfn.XLOOKUP(tblOrdenes[[#This Row],[id_operacion]],tblEjecucion[id_operacion],tblEjecucion[costo_plan_total],0)-tblOrdenes[[#This Row],[costo_servicio]]))</f>
        <v/>
      </c>
      <c r="AK859" s="10">
        <f>IF(tblOrdenes[[#This Row],[orden]]="","",tblOrdenes[[#This Row],[costo_servicio]]+tblOrdenes[[#This Row],[costo_materiales]])</f>
        <v/>
      </c>
      <c r="AL859" s="6" t="n"/>
      <c r="AM859" s="6" t="n"/>
      <c r="AN859" s="6" t="n"/>
      <c r="AO859" s="3">
        <f>IF(tblOrdenes[[#This Row],[link_checklist]]="","",HYPERLINK(p_ruta_base_checklists&amp;tblOrdenes[[#This Row],[link_checklist]],"abrir"))</f>
        <v/>
      </c>
      <c r="AP859" s="6" t="n"/>
      <c r="AQ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3">
        <f>IF(tblOrdenes[[#This Row],[tipo_ot]]="","",_xlfn.XLOOKUP(tblOrdenes[[#This Row],[tipo_ot]],tblTiposOT[codigo],tblTiposOT[clasificacion],"sin_clasificar"))</f>
        <v/>
      </c>
      <c r="U860" s="3">
        <f>IF(tblOrdenes[[#This Row],[centro_costo]]="","",_xlfn.XLOOKUP(tblOrdenes[[#This Row],[centro_costo]],tblCECO[codigo],tblCECO[linea],"(sin catálogo)"))</f>
        <v/>
      </c>
      <c r="V860" s="3">
        <f>IF(tblOrdenes[[#This Row],[centro_costo]]="","",_xlfn.XLOOKUP(tblOrdenes[[#This Row],[centro_costo]],tblCECO[codigo],tblCECO[area],"(sin catálogo)"))</f>
        <v/>
      </c>
      <c r="W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3">
        <f>IF(tblOrdenes[[#This Row],[centro_costo]]="","",_xlfn.XLOOKUP(tblOrdenes[[#This Row],[centro_costo]],tblCECO[codigo],tblCECO[coordinador],"(sin catálogo)"))</f>
        <v/>
      </c>
      <c r="Y860" s="3">
        <f>IF(tblOrdenes[[#This Row],[puesto_trabajo]]="","",_xlfn.XLOOKUP(tblOrdenes[[#This Row],[puesto_trabajo]],tblPuestos[codigo],tblPuestos[especialidad],"(sin catálogo)"))</f>
        <v/>
      </c>
      <c r="Z860" s="3">
        <f>IF(tblOrdenes[[#This Row],[cod_actividad]]="","",_xlfn.XLOOKUP(tblOrdenes[[#This Row],[cod_actividad]],tblActividades[codigo],tblActividades[descripcion],"(sin catálogo)"))</f>
        <v/>
      </c>
      <c r="AA860" s="12">
        <f>IF(tblOrdenes[[#This Row],[fecha_inicio]]="","",TODAY()-tblOrdenes[[#This Row],[fecha_inicio]])</f>
        <v/>
      </c>
      <c r="AB8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3">
        <f>IF(tblOrdenes[[#This Row],[backlog_habiles]]="","",IF(tblOrdenes[[#This Row],[backlog_habiles]]&lt;0,"FUTURO",IF(tblOrdenes[[#This Row],[backlog_habiles]]&gt;p_dias_backlog_max,"BACKLOG","MES CORRIENTE")))</f>
        <v/>
      </c>
      <c r="AD860" s="3">
        <f>IF(tblOrdenes[[#This Row],[backlog_habiles]]="",FALSE,AND(tblOrdenes[[#This Row],[backlog_habiles]]&gt;p_dias_backlog_min,tblOrdenes[[#This Row],[backlog_habiles]]&lt;=p_dias_backlog_max))</f>
        <v/>
      </c>
      <c r="AE860" s="6" t="n"/>
      <c r="AF8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0">
        <f>IF(tblOrdenes[[#This Row],[orden]]="","",_xlfn.XLOOKUP(tblOrdenes[[#This Row],[id_operacion]],tblEjecucion[id_operacion],tblEjecucion[precio],0))</f>
        <v/>
      </c>
      <c r="AJ860" s="10">
        <f>IF(tblOrdenes[[#This Row],[orden]]="","",MAX(0,_xlfn.XLOOKUP(tblOrdenes[[#This Row],[id_operacion]],tblEjecucion[id_operacion],tblEjecucion[costo_plan_total],0)-tblOrdenes[[#This Row],[costo_servicio]]))</f>
        <v/>
      </c>
      <c r="AK860" s="10">
        <f>IF(tblOrdenes[[#This Row],[orden]]="","",tblOrdenes[[#This Row],[costo_servicio]]+tblOrdenes[[#This Row],[costo_materiales]])</f>
        <v/>
      </c>
      <c r="AL860" s="6" t="n"/>
      <c r="AM860" s="6" t="n"/>
      <c r="AN860" s="6" t="n"/>
      <c r="AO860" s="3">
        <f>IF(tblOrdenes[[#This Row],[link_checklist]]="","",HYPERLINK(p_ruta_base_checklists&amp;tblOrdenes[[#This Row],[link_checklist]],"abrir"))</f>
        <v/>
      </c>
      <c r="AP860" s="6" t="n"/>
      <c r="AQ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3">
        <f>IF(tblOrdenes[[#This Row],[tipo_ot]]="","",_xlfn.XLOOKUP(tblOrdenes[[#This Row],[tipo_ot]],tblTiposOT[codigo],tblTiposOT[clasificacion],"sin_clasificar"))</f>
        <v/>
      </c>
      <c r="U861" s="3">
        <f>IF(tblOrdenes[[#This Row],[centro_costo]]="","",_xlfn.XLOOKUP(tblOrdenes[[#This Row],[centro_costo]],tblCECO[codigo],tblCECO[linea],"(sin catálogo)"))</f>
        <v/>
      </c>
      <c r="V861" s="3">
        <f>IF(tblOrdenes[[#This Row],[centro_costo]]="","",_xlfn.XLOOKUP(tblOrdenes[[#This Row],[centro_costo]],tblCECO[codigo],tblCECO[area],"(sin catálogo)"))</f>
        <v/>
      </c>
      <c r="W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3">
        <f>IF(tblOrdenes[[#This Row],[centro_costo]]="","",_xlfn.XLOOKUP(tblOrdenes[[#This Row],[centro_costo]],tblCECO[codigo],tblCECO[coordinador],"(sin catálogo)"))</f>
        <v/>
      </c>
      <c r="Y861" s="3">
        <f>IF(tblOrdenes[[#This Row],[puesto_trabajo]]="","",_xlfn.XLOOKUP(tblOrdenes[[#This Row],[puesto_trabajo]],tblPuestos[codigo],tblPuestos[especialidad],"(sin catálogo)"))</f>
        <v/>
      </c>
      <c r="Z861" s="3">
        <f>IF(tblOrdenes[[#This Row],[cod_actividad]]="","",_xlfn.XLOOKUP(tblOrdenes[[#This Row],[cod_actividad]],tblActividades[codigo],tblActividades[descripcion],"(sin catálogo)"))</f>
        <v/>
      </c>
      <c r="AA861" s="12">
        <f>IF(tblOrdenes[[#This Row],[fecha_inicio]]="","",TODAY()-tblOrdenes[[#This Row],[fecha_inicio]])</f>
        <v/>
      </c>
      <c r="AB8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3">
        <f>IF(tblOrdenes[[#This Row],[backlog_habiles]]="","",IF(tblOrdenes[[#This Row],[backlog_habiles]]&lt;0,"FUTURO",IF(tblOrdenes[[#This Row],[backlog_habiles]]&gt;p_dias_backlog_max,"BACKLOG","MES CORRIENTE")))</f>
        <v/>
      </c>
      <c r="AD861" s="3">
        <f>IF(tblOrdenes[[#This Row],[backlog_habiles]]="",FALSE,AND(tblOrdenes[[#This Row],[backlog_habiles]]&gt;p_dias_backlog_min,tblOrdenes[[#This Row],[backlog_habiles]]&lt;=p_dias_backlog_max))</f>
        <v/>
      </c>
      <c r="AE861" s="6" t="n"/>
      <c r="AF8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0">
        <f>IF(tblOrdenes[[#This Row],[orden]]="","",_xlfn.XLOOKUP(tblOrdenes[[#This Row],[id_operacion]],tblEjecucion[id_operacion],tblEjecucion[precio],0))</f>
        <v/>
      </c>
      <c r="AJ861" s="10">
        <f>IF(tblOrdenes[[#This Row],[orden]]="","",MAX(0,_xlfn.XLOOKUP(tblOrdenes[[#This Row],[id_operacion]],tblEjecucion[id_operacion],tblEjecucion[costo_plan_total],0)-tblOrdenes[[#This Row],[costo_servicio]]))</f>
        <v/>
      </c>
      <c r="AK861" s="10">
        <f>IF(tblOrdenes[[#This Row],[orden]]="","",tblOrdenes[[#This Row],[costo_servicio]]+tblOrdenes[[#This Row],[costo_materiales]])</f>
        <v/>
      </c>
      <c r="AL861" s="6" t="n"/>
      <c r="AM861" s="6" t="n"/>
      <c r="AN861" s="6" t="n"/>
      <c r="AO861" s="3">
        <f>IF(tblOrdenes[[#This Row],[link_checklist]]="","",HYPERLINK(p_ruta_base_checklists&amp;tblOrdenes[[#This Row],[link_checklist]],"abrir"))</f>
        <v/>
      </c>
      <c r="AP861" s="6" t="n"/>
      <c r="AQ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3">
        <f>IF(tblOrdenes[[#This Row],[tipo_ot]]="","",_xlfn.XLOOKUP(tblOrdenes[[#This Row],[tipo_ot]],tblTiposOT[codigo],tblTiposOT[clasificacion],"sin_clasificar"))</f>
        <v/>
      </c>
      <c r="U862" s="3">
        <f>IF(tblOrdenes[[#This Row],[centro_costo]]="","",_xlfn.XLOOKUP(tblOrdenes[[#This Row],[centro_costo]],tblCECO[codigo],tblCECO[linea],"(sin catálogo)"))</f>
        <v/>
      </c>
      <c r="V862" s="3">
        <f>IF(tblOrdenes[[#This Row],[centro_costo]]="","",_xlfn.XLOOKUP(tblOrdenes[[#This Row],[centro_costo]],tblCECO[codigo],tblCECO[area],"(sin catálogo)"))</f>
        <v/>
      </c>
      <c r="W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3">
        <f>IF(tblOrdenes[[#This Row],[centro_costo]]="","",_xlfn.XLOOKUP(tblOrdenes[[#This Row],[centro_costo]],tblCECO[codigo],tblCECO[coordinador],"(sin catálogo)"))</f>
        <v/>
      </c>
      <c r="Y862" s="3">
        <f>IF(tblOrdenes[[#This Row],[puesto_trabajo]]="","",_xlfn.XLOOKUP(tblOrdenes[[#This Row],[puesto_trabajo]],tblPuestos[codigo],tblPuestos[especialidad],"(sin catálogo)"))</f>
        <v/>
      </c>
      <c r="Z862" s="3">
        <f>IF(tblOrdenes[[#This Row],[cod_actividad]]="","",_xlfn.XLOOKUP(tblOrdenes[[#This Row],[cod_actividad]],tblActividades[codigo],tblActividades[descripcion],"(sin catálogo)"))</f>
        <v/>
      </c>
      <c r="AA862" s="12">
        <f>IF(tblOrdenes[[#This Row],[fecha_inicio]]="","",TODAY()-tblOrdenes[[#This Row],[fecha_inicio]])</f>
        <v/>
      </c>
      <c r="AB8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3">
        <f>IF(tblOrdenes[[#This Row],[backlog_habiles]]="","",IF(tblOrdenes[[#This Row],[backlog_habiles]]&lt;0,"FUTURO",IF(tblOrdenes[[#This Row],[backlog_habiles]]&gt;p_dias_backlog_max,"BACKLOG","MES CORRIENTE")))</f>
        <v/>
      </c>
      <c r="AD862" s="3">
        <f>IF(tblOrdenes[[#This Row],[backlog_habiles]]="",FALSE,AND(tblOrdenes[[#This Row],[backlog_habiles]]&gt;p_dias_backlog_min,tblOrdenes[[#This Row],[backlog_habiles]]&lt;=p_dias_backlog_max))</f>
        <v/>
      </c>
      <c r="AE862" s="6" t="n"/>
      <c r="AF8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0">
        <f>IF(tblOrdenes[[#This Row],[orden]]="","",_xlfn.XLOOKUP(tblOrdenes[[#This Row],[id_operacion]],tblEjecucion[id_operacion],tblEjecucion[precio],0))</f>
        <v/>
      </c>
      <c r="AJ862" s="10">
        <f>IF(tblOrdenes[[#This Row],[orden]]="","",MAX(0,_xlfn.XLOOKUP(tblOrdenes[[#This Row],[id_operacion]],tblEjecucion[id_operacion],tblEjecucion[costo_plan_total],0)-tblOrdenes[[#This Row],[costo_servicio]]))</f>
        <v/>
      </c>
      <c r="AK862" s="10">
        <f>IF(tblOrdenes[[#This Row],[orden]]="","",tblOrdenes[[#This Row],[costo_servicio]]+tblOrdenes[[#This Row],[costo_materiales]])</f>
        <v/>
      </c>
      <c r="AL862" s="6" t="n"/>
      <c r="AM862" s="6" t="n"/>
      <c r="AN862" s="6" t="n"/>
      <c r="AO862" s="3">
        <f>IF(tblOrdenes[[#This Row],[link_checklist]]="","",HYPERLINK(p_ruta_base_checklists&amp;tblOrdenes[[#This Row],[link_checklist]],"abrir"))</f>
        <v/>
      </c>
      <c r="AP862" s="6" t="n"/>
      <c r="AQ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3">
        <f>IF(tblOrdenes[[#This Row],[tipo_ot]]="","",_xlfn.XLOOKUP(tblOrdenes[[#This Row],[tipo_ot]],tblTiposOT[codigo],tblTiposOT[clasificacion],"sin_clasificar"))</f>
        <v/>
      </c>
      <c r="U863" s="3">
        <f>IF(tblOrdenes[[#This Row],[centro_costo]]="","",_xlfn.XLOOKUP(tblOrdenes[[#This Row],[centro_costo]],tblCECO[codigo],tblCECO[linea],"(sin catálogo)"))</f>
        <v/>
      </c>
      <c r="V863" s="3">
        <f>IF(tblOrdenes[[#This Row],[centro_costo]]="","",_xlfn.XLOOKUP(tblOrdenes[[#This Row],[centro_costo]],tblCECO[codigo],tblCECO[area],"(sin catálogo)"))</f>
        <v/>
      </c>
      <c r="W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3">
        <f>IF(tblOrdenes[[#This Row],[centro_costo]]="","",_xlfn.XLOOKUP(tblOrdenes[[#This Row],[centro_costo]],tblCECO[codigo],tblCECO[coordinador],"(sin catálogo)"))</f>
        <v/>
      </c>
      <c r="Y863" s="3">
        <f>IF(tblOrdenes[[#This Row],[puesto_trabajo]]="","",_xlfn.XLOOKUP(tblOrdenes[[#This Row],[puesto_trabajo]],tblPuestos[codigo],tblPuestos[especialidad],"(sin catálogo)"))</f>
        <v/>
      </c>
      <c r="Z863" s="3">
        <f>IF(tblOrdenes[[#This Row],[cod_actividad]]="","",_xlfn.XLOOKUP(tblOrdenes[[#This Row],[cod_actividad]],tblActividades[codigo],tblActividades[descripcion],"(sin catálogo)"))</f>
        <v/>
      </c>
      <c r="AA863" s="12">
        <f>IF(tblOrdenes[[#This Row],[fecha_inicio]]="","",TODAY()-tblOrdenes[[#This Row],[fecha_inicio]])</f>
        <v/>
      </c>
      <c r="AB8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3">
        <f>IF(tblOrdenes[[#This Row],[backlog_habiles]]="","",IF(tblOrdenes[[#This Row],[backlog_habiles]]&lt;0,"FUTURO",IF(tblOrdenes[[#This Row],[backlog_habiles]]&gt;p_dias_backlog_max,"BACKLOG","MES CORRIENTE")))</f>
        <v/>
      </c>
      <c r="AD863" s="3">
        <f>IF(tblOrdenes[[#This Row],[backlog_habiles]]="",FALSE,AND(tblOrdenes[[#This Row],[backlog_habiles]]&gt;p_dias_backlog_min,tblOrdenes[[#This Row],[backlog_habiles]]&lt;=p_dias_backlog_max))</f>
        <v/>
      </c>
      <c r="AE863" s="6" t="n"/>
      <c r="AF8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0">
        <f>IF(tblOrdenes[[#This Row],[orden]]="","",_xlfn.XLOOKUP(tblOrdenes[[#This Row],[id_operacion]],tblEjecucion[id_operacion],tblEjecucion[precio],0))</f>
        <v/>
      </c>
      <c r="AJ863" s="10">
        <f>IF(tblOrdenes[[#This Row],[orden]]="","",MAX(0,_xlfn.XLOOKUP(tblOrdenes[[#This Row],[id_operacion]],tblEjecucion[id_operacion],tblEjecucion[costo_plan_total],0)-tblOrdenes[[#This Row],[costo_servicio]]))</f>
        <v/>
      </c>
      <c r="AK863" s="10">
        <f>IF(tblOrdenes[[#This Row],[orden]]="","",tblOrdenes[[#This Row],[costo_servicio]]+tblOrdenes[[#This Row],[costo_materiales]])</f>
        <v/>
      </c>
      <c r="AL863" s="6" t="n"/>
      <c r="AM863" s="6" t="n"/>
      <c r="AN863" s="6" t="n"/>
      <c r="AO863" s="3">
        <f>IF(tblOrdenes[[#This Row],[link_checklist]]="","",HYPERLINK(p_ruta_base_checklists&amp;tblOrdenes[[#This Row],[link_checklist]],"abrir"))</f>
        <v/>
      </c>
      <c r="AP863" s="6" t="n"/>
      <c r="AQ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3">
        <f>IF(tblOrdenes[[#This Row],[tipo_ot]]="","",_xlfn.XLOOKUP(tblOrdenes[[#This Row],[tipo_ot]],tblTiposOT[codigo],tblTiposOT[clasificacion],"sin_clasificar"))</f>
        <v/>
      </c>
      <c r="U864" s="3">
        <f>IF(tblOrdenes[[#This Row],[centro_costo]]="","",_xlfn.XLOOKUP(tblOrdenes[[#This Row],[centro_costo]],tblCECO[codigo],tblCECO[linea],"(sin catálogo)"))</f>
        <v/>
      </c>
      <c r="V864" s="3">
        <f>IF(tblOrdenes[[#This Row],[centro_costo]]="","",_xlfn.XLOOKUP(tblOrdenes[[#This Row],[centro_costo]],tblCECO[codigo],tblCECO[area],"(sin catálogo)"))</f>
        <v/>
      </c>
      <c r="W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3">
        <f>IF(tblOrdenes[[#This Row],[centro_costo]]="","",_xlfn.XLOOKUP(tblOrdenes[[#This Row],[centro_costo]],tblCECO[codigo],tblCECO[coordinador],"(sin catálogo)"))</f>
        <v/>
      </c>
      <c r="Y864" s="3">
        <f>IF(tblOrdenes[[#This Row],[puesto_trabajo]]="","",_xlfn.XLOOKUP(tblOrdenes[[#This Row],[puesto_trabajo]],tblPuestos[codigo],tblPuestos[especialidad],"(sin catálogo)"))</f>
        <v/>
      </c>
      <c r="Z864" s="3">
        <f>IF(tblOrdenes[[#This Row],[cod_actividad]]="","",_xlfn.XLOOKUP(tblOrdenes[[#This Row],[cod_actividad]],tblActividades[codigo],tblActividades[descripcion],"(sin catálogo)"))</f>
        <v/>
      </c>
      <c r="AA864" s="12">
        <f>IF(tblOrdenes[[#This Row],[fecha_inicio]]="","",TODAY()-tblOrdenes[[#This Row],[fecha_inicio]])</f>
        <v/>
      </c>
      <c r="AB8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3">
        <f>IF(tblOrdenes[[#This Row],[backlog_habiles]]="","",IF(tblOrdenes[[#This Row],[backlog_habiles]]&lt;0,"FUTURO",IF(tblOrdenes[[#This Row],[backlog_habiles]]&gt;p_dias_backlog_max,"BACKLOG","MES CORRIENTE")))</f>
        <v/>
      </c>
      <c r="AD864" s="3">
        <f>IF(tblOrdenes[[#This Row],[backlog_habiles]]="",FALSE,AND(tblOrdenes[[#This Row],[backlog_habiles]]&gt;p_dias_backlog_min,tblOrdenes[[#This Row],[backlog_habiles]]&lt;=p_dias_backlog_max))</f>
        <v/>
      </c>
      <c r="AE864" s="6" t="n"/>
      <c r="AF8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0">
        <f>IF(tblOrdenes[[#This Row],[orden]]="","",_xlfn.XLOOKUP(tblOrdenes[[#This Row],[id_operacion]],tblEjecucion[id_operacion],tblEjecucion[precio],0))</f>
        <v/>
      </c>
      <c r="AJ864" s="10">
        <f>IF(tblOrdenes[[#This Row],[orden]]="","",MAX(0,_xlfn.XLOOKUP(tblOrdenes[[#This Row],[id_operacion]],tblEjecucion[id_operacion],tblEjecucion[costo_plan_total],0)-tblOrdenes[[#This Row],[costo_servicio]]))</f>
        <v/>
      </c>
      <c r="AK864" s="10">
        <f>IF(tblOrdenes[[#This Row],[orden]]="","",tblOrdenes[[#This Row],[costo_servicio]]+tblOrdenes[[#This Row],[costo_materiales]])</f>
        <v/>
      </c>
      <c r="AL864" s="6" t="n"/>
      <c r="AM864" s="6" t="n"/>
      <c r="AN864" s="6" t="n"/>
      <c r="AO864" s="3">
        <f>IF(tblOrdenes[[#This Row],[link_checklist]]="","",HYPERLINK(p_ruta_base_checklists&amp;tblOrdenes[[#This Row],[link_checklist]],"abrir"))</f>
        <v/>
      </c>
      <c r="AP864" s="6" t="n"/>
      <c r="AQ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3">
        <f>IF(tblOrdenes[[#This Row],[tipo_ot]]="","",_xlfn.XLOOKUP(tblOrdenes[[#This Row],[tipo_ot]],tblTiposOT[codigo],tblTiposOT[clasificacion],"sin_clasificar"))</f>
        <v/>
      </c>
      <c r="U865" s="3">
        <f>IF(tblOrdenes[[#This Row],[centro_costo]]="","",_xlfn.XLOOKUP(tblOrdenes[[#This Row],[centro_costo]],tblCECO[codigo],tblCECO[linea],"(sin catálogo)"))</f>
        <v/>
      </c>
      <c r="V865" s="3">
        <f>IF(tblOrdenes[[#This Row],[centro_costo]]="","",_xlfn.XLOOKUP(tblOrdenes[[#This Row],[centro_costo]],tblCECO[codigo],tblCECO[area],"(sin catálogo)"))</f>
        <v/>
      </c>
      <c r="W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3">
        <f>IF(tblOrdenes[[#This Row],[centro_costo]]="","",_xlfn.XLOOKUP(tblOrdenes[[#This Row],[centro_costo]],tblCECO[codigo],tblCECO[coordinador],"(sin catálogo)"))</f>
        <v/>
      </c>
      <c r="Y865" s="3">
        <f>IF(tblOrdenes[[#This Row],[puesto_trabajo]]="","",_xlfn.XLOOKUP(tblOrdenes[[#This Row],[puesto_trabajo]],tblPuestos[codigo],tblPuestos[especialidad],"(sin catálogo)"))</f>
        <v/>
      </c>
      <c r="Z865" s="3">
        <f>IF(tblOrdenes[[#This Row],[cod_actividad]]="","",_xlfn.XLOOKUP(tblOrdenes[[#This Row],[cod_actividad]],tblActividades[codigo],tblActividades[descripcion],"(sin catálogo)"))</f>
        <v/>
      </c>
      <c r="AA865" s="12">
        <f>IF(tblOrdenes[[#This Row],[fecha_inicio]]="","",TODAY()-tblOrdenes[[#This Row],[fecha_inicio]])</f>
        <v/>
      </c>
      <c r="AB8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3">
        <f>IF(tblOrdenes[[#This Row],[backlog_habiles]]="","",IF(tblOrdenes[[#This Row],[backlog_habiles]]&lt;0,"FUTURO",IF(tblOrdenes[[#This Row],[backlog_habiles]]&gt;p_dias_backlog_max,"BACKLOG","MES CORRIENTE")))</f>
        <v/>
      </c>
      <c r="AD865" s="3">
        <f>IF(tblOrdenes[[#This Row],[backlog_habiles]]="",FALSE,AND(tblOrdenes[[#This Row],[backlog_habiles]]&gt;p_dias_backlog_min,tblOrdenes[[#This Row],[backlog_habiles]]&lt;=p_dias_backlog_max))</f>
        <v/>
      </c>
      <c r="AE865" s="6" t="n"/>
      <c r="AF8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0">
        <f>IF(tblOrdenes[[#This Row],[orden]]="","",_xlfn.XLOOKUP(tblOrdenes[[#This Row],[id_operacion]],tblEjecucion[id_operacion],tblEjecucion[precio],0))</f>
        <v/>
      </c>
      <c r="AJ865" s="10">
        <f>IF(tblOrdenes[[#This Row],[orden]]="","",MAX(0,_xlfn.XLOOKUP(tblOrdenes[[#This Row],[id_operacion]],tblEjecucion[id_operacion],tblEjecucion[costo_plan_total],0)-tblOrdenes[[#This Row],[costo_servicio]]))</f>
        <v/>
      </c>
      <c r="AK865" s="10">
        <f>IF(tblOrdenes[[#This Row],[orden]]="","",tblOrdenes[[#This Row],[costo_servicio]]+tblOrdenes[[#This Row],[costo_materiales]])</f>
        <v/>
      </c>
      <c r="AL865" s="6" t="n"/>
      <c r="AM865" s="6" t="n"/>
      <c r="AN865" s="6" t="n"/>
      <c r="AO865" s="3">
        <f>IF(tblOrdenes[[#This Row],[link_checklist]]="","",HYPERLINK(p_ruta_base_checklists&amp;tblOrdenes[[#This Row],[link_checklist]],"abrir"))</f>
        <v/>
      </c>
      <c r="AP865" s="6" t="n"/>
      <c r="AQ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3">
        <f>IF(tblOrdenes[[#This Row],[tipo_ot]]="","",_xlfn.XLOOKUP(tblOrdenes[[#This Row],[tipo_ot]],tblTiposOT[codigo],tblTiposOT[clasificacion],"sin_clasificar"))</f>
        <v/>
      </c>
      <c r="U866" s="3">
        <f>IF(tblOrdenes[[#This Row],[centro_costo]]="","",_xlfn.XLOOKUP(tblOrdenes[[#This Row],[centro_costo]],tblCECO[codigo],tblCECO[linea],"(sin catálogo)"))</f>
        <v/>
      </c>
      <c r="V866" s="3">
        <f>IF(tblOrdenes[[#This Row],[centro_costo]]="","",_xlfn.XLOOKUP(tblOrdenes[[#This Row],[centro_costo]],tblCECO[codigo],tblCECO[area],"(sin catálogo)"))</f>
        <v/>
      </c>
      <c r="W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3">
        <f>IF(tblOrdenes[[#This Row],[centro_costo]]="","",_xlfn.XLOOKUP(tblOrdenes[[#This Row],[centro_costo]],tblCECO[codigo],tblCECO[coordinador],"(sin catálogo)"))</f>
        <v/>
      </c>
      <c r="Y866" s="3">
        <f>IF(tblOrdenes[[#This Row],[puesto_trabajo]]="","",_xlfn.XLOOKUP(tblOrdenes[[#This Row],[puesto_trabajo]],tblPuestos[codigo],tblPuestos[especialidad],"(sin catálogo)"))</f>
        <v/>
      </c>
      <c r="Z866" s="3">
        <f>IF(tblOrdenes[[#This Row],[cod_actividad]]="","",_xlfn.XLOOKUP(tblOrdenes[[#This Row],[cod_actividad]],tblActividades[codigo],tblActividades[descripcion],"(sin catálogo)"))</f>
        <v/>
      </c>
      <c r="AA866" s="12">
        <f>IF(tblOrdenes[[#This Row],[fecha_inicio]]="","",TODAY()-tblOrdenes[[#This Row],[fecha_inicio]])</f>
        <v/>
      </c>
      <c r="AB8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3">
        <f>IF(tblOrdenes[[#This Row],[backlog_habiles]]="","",IF(tblOrdenes[[#This Row],[backlog_habiles]]&lt;0,"FUTURO",IF(tblOrdenes[[#This Row],[backlog_habiles]]&gt;p_dias_backlog_max,"BACKLOG","MES CORRIENTE")))</f>
        <v/>
      </c>
      <c r="AD866" s="3">
        <f>IF(tblOrdenes[[#This Row],[backlog_habiles]]="",FALSE,AND(tblOrdenes[[#This Row],[backlog_habiles]]&gt;p_dias_backlog_min,tblOrdenes[[#This Row],[backlog_habiles]]&lt;=p_dias_backlog_max))</f>
        <v/>
      </c>
      <c r="AE866" s="6" t="n"/>
      <c r="AF8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0">
        <f>IF(tblOrdenes[[#This Row],[orden]]="","",_xlfn.XLOOKUP(tblOrdenes[[#This Row],[id_operacion]],tblEjecucion[id_operacion],tblEjecucion[precio],0))</f>
        <v/>
      </c>
      <c r="AJ866" s="10">
        <f>IF(tblOrdenes[[#This Row],[orden]]="","",MAX(0,_xlfn.XLOOKUP(tblOrdenes[[#This Row],[id_operacion]],tblEjecucion[id_operacion],tblEjecucion[costo_plan_total],0)-tblOrdenes[[#This Row],[costo_servicio]]))</f>
        <v/>
      </c>
      <c r="AK866" s="10">
        <f>IF(tblOrdenes[[#This Row],[orden]]="","",tblOrdenes[[#This Row],[costo_servicio]]+tblOrdenes[[#This Row],[costo_materiales]])</f>
        <v/>
      </c>
      <c r="AL866" s="6" t="n"/>
      <c r="AM866" s="6" t="n"/>
      <c r="AN866" s="6" t="n"/>
      <c r="AO866" s="3">
        <f>IF(tblOrdenes[[#This Row],[link_checklist]]="","",HYPERLINK(p_ruta_base_checklists&amp;tblOrdenes[[#This Row],[link_checklist]],"abrir"))</f>
        <v/>
      </c>
      <c r="AP866" s="6" t="n"/>
      <c r="AQ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3">
        <f>IF(tblOrdenes[[#This Row],[tipo_ot]]="","",_xlfn.XLOOKUP(tblOrdenes[[#This Row],[tipo_ot]],tblTiposOT[codigo],tblTiposOT[clasificacion],"sin_clasificar"))</f>
        <v/>
      </c>
      <c r="U867" s="3">
        <f>IF(tblOrdenes[[#This Row],[centro_costo]]="","",_xlfn.XLOOKUP(tblOrdenes[[#This Row],[centro_costo]],tblCECO[codigo],tblCECO[linea],"(sin catálogo)"))</f>
        <v/>
      </c>
      <c r="V867" s="3">
        <f>IF(tblOrdenes[[#This Row],[centro_costo]]="","",_xlfn.XLOOKUP(tblOrdenes[[#This Row],[centro_costo]],tblCECO[codigo],tblCECO[area],"(sin catálogo)"))</f>
        <v/>
      </c>
      <c r="W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3">
        <f>IF(tblOrdenes[[#This Row],[centro_costo]]="","",_xlfn.XLOOKUP(tblOrdenes[[#This Row],[centro_costo]],tblCECO[codigo],tblCECO[coordinador],"(sin catálogo)"))</f>
        <v/>
      </c>
      <c r="Y867" s="3">
        <f>IF(tblOrdenes[[#This Row],[puesto_trabajo]]="","",_xlfn.XLOOKUP(tblOrdenes[[#This Row],[puesto_trabajo]],tblPuestos[codigo],tblPuestos[especialidad],"(sin catálogo)"))</f>
        <v/>
      </c>
      <c r="Z867" s="3">
        <f>IF(tblOrdenes[[#This Row],[cod_actividad]]="","",_xlfn.XLOOKUP(tblOrdenes[[#This Row],[cod_actividad]],tblActividades[codigo],tblActividades[descripcion],"(sin catálogo)"))</f>
        <v/>
      </c>
      <c r="AA867" s="12">
        <f>IF(tblOrdenes[[#This Row],[fecha_inicio]]="","",TODAY()-tblOrdenes[[#This Row],[fecha_inicio]])</f>
        <v/>
      </c>
      <c r="AB8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3">
        <f>IF(tblOrdenes[[#This Row],[backlog_habiles]]="","",IF(tblOrdenes[[#This Row],[backlog_habiles]]&lt;0,"FUTURO",IF(tblOrdenes[[#This Row],[backlog_habiles]]&gt;p_dias_backlog_max,"BACKLOG","MES CORRIENTE")))</f>
        <v/>
      </c>
      <c r="AD867" s="3">
        <f>IF(tblOrdenes[[#This Row],[backlog_habiles]]="",FALSE,AND(tblOrdenes[[#This Row],[backlog_habiles]]&gt;p_dias_backlog_min,tblOrdenes[[#This Row],[backlog_habiles]]&lt;=p_dias_backlog_max))</f>
        <v/>
      </c>
      <c r="AE867" s="6" t="n"/>
      <c r="AF8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0">
        <f>IF(tblOrdenes[[#This Row],[orden]]="","",_xlfn.XLOOKUP(tblOrdenes[[#This Row],[id_operacion]],tblEjecucion[id_operacion],tblEjecucion[precio],0))</f>
        <v/>
      </c>
      <c r="AJ867" s="10">
        <f>IF(tblOrdenes[[#This Row],[orden]]="","",MAX(0,_xlfn.XLOOKUP(tblOrdenes[[#This Row],[id_operacion]],tblEjecucion[id_operacion],tblEjecucion[costo_plan_total],0)-tblOrdenes[[#This Row],[costo_servicio]]))</f>
        <v/>
      </c>
      <c r="AK867" s="10">
        <f>IF(tblOrdenes[[#This Row],[orden]]="","",tblOrdenes[[#This Row],[costo_servicio]]+tblOrdenes[[#This Row],[costo_materiales]])</f>
        <v/>
      </c>
      <c r="AL867" s="6" t="n"/>
      <c r="AM867" s="6" t="n"/>
      <c r="AN867" s="6" t="n"/>
      <c r="AO867" s="3">
        <f>IF(tblOrdenes[[#This Row],[link_checklist]]="","",HYPERLINK(p_ruta_base_checklists&amp;tblOrdenes[[#This Row],[link_checklist]],"abrir"))</f>
        <v/>
      </c>
      <c r="AP867" s="6" t="n"/>
      <c r="AQ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3">
        <f>IF(tblOrdenes[[#This Row],[tipo_ot]]="","",_xlfn.XLOOKUP(tblOrdenes[[#This Row],[tipo_ot]],tblTiposOT[codigo],tblTiposOT[clasificacion],"sin_clasificar"))</f>
        <v/>
      </c>
      <c r="U868" s="3">
        <f>IF(tblOrdenes[[#This Row],[centro_costo]]="","",_xlfn.XLOOKUP(tblOrdenes[[#This Row],[centro_costo]],tblCECO[codigo],tblCECO[linea],"(sin catálogo)"))</f>
        <v/>
      </c>
      <c r="V868" s="3">
        <f>IF(tblOrdenes[[#This Row],[centro_costo]]="","",_xlfn.XLOOKUP(tblOrdenes[[#This Row],[centro_costo]],tblCECO[codigo],tblCECO[area],"(sin catálogo)"))</f>
        <v/>
      </c>
      <c r="W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3">
        <f>IF(tblOrdenes[[#This Row],[centro_costo]]="","",_xlfn.XLOOKUP(tblOrdenes[[#This Row],[centro_costo]],tblCECO[codigo],tblCECO[coordinador],"(sin catálogo)"))</f>
        <v/>
      </c>
      <c r="Y868" s="3">
        <f>IF(tblOrdenes[[#This Row],[puesto_trabajo]]="","",_xlfn.XLOOKUP(tblOrdenes[[#This Row],[puesto_trabajo]],tblPuestos[codigo],tblPuestos[especialidad],"(sin catálogo)"))</f>
        <v/>
      </c>
      <c r="Z868" s="3">
        <f>IF(tblOrdenes[[#This Row],[cod_actividad]]="","",_xlfn.XLOOKUP(tblOrdenes[[#This Row],[cod_actividad]],tblActividades[codigo],tblActividades[descripcion],"(sin catálogo)"))</f>
        <v/>
      </c>
      <c r="AA868" s="12">
        <f>IF(tblOrdenes[[#This Row],[fecha_inicio]]="","",TODAY()-tblOrdenes[[#This Row],[fecha_inicio]])</f>
        <v/>
      </c>
      <c r="AB8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3">
        <f>IF(tblOrdenes[[#This Row],[backlog_habiles]]="","",IF(tblOrdenes[[#This Row],[backlog_habiles]]&lt;0,"FUTURO",IF(tblOrdenes[[#This Row],[backlog_habiles]]&gt;p_dias_backlog_max,"BACKLOG","MES CORRIENTE")))</f>
        <v/>
      </c>
      <c r="AD868" s="3">
        <f>IF(tblOrdenes[[#This Row],[backlog_habiles]]="",FALSE,AND(tblOrdenes[[#This Row],[backlog_habiles]]&gt;p_dias_backlog_min,tblOrdenes[[#This Row],[backlog_habiles]]&lt;=p_dias_backlog_max))</f>
        <v/>
      </c>
      <c r="AE868" s="6" t="n"/>
      <c r="AF8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0">
        <f>IF(tblOrdenes[[#This Row],[orden]]="","",_xlfn.XLOOKUP(tblOrdenes[[#This Row],[id_operacion]],tblEjecucion[id_operacion],tblEjecucion[precio],0))</f>
        <v/>
      </c>
      <c r="AJ868" s="10">
        <f>IF(tblOrdenes[[#This Row],[orden]]="","",MAX(0,_xlfn.XLOOKUP(tblOrdenes[[#This Row],[id_operacion]],tblEjecucion[id_operacion],tblEjecucion[costo_plan_total],0)-tblOrdenes[[#This Row],[costo_servicio]]))</f>
        <v/>
      </c>
      <c r="AK868" s="10">
        <f>IF(tblOrdenes[[#This Row],[orden]]="","",tblOrdenes[[#This Row],[costo_servicio]]+tblOrdenes[[#This Row],[costo_materiales]])</f>
        <v/>
      </c>
      <c r="AL868" s="6" t="n"/>
      <c r="AM868" s="6" t="n"/>
      <c r="AN868" s="6" t="n"/>
      <c r="AO868" s="3">
        <f>IF(tblOrdenes[[#This Row],[link_checklist]]="","",HYPERLINK(p_ruta_base_checklists&amp;tblOrdenes[[#This Row],[link_checklist]],"abrir"))</f>
        <v/>
      </c>
      <c r="AP868" s="6" t="n"/>
      <c r="AQ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3">
        <f>IF(tblOrdenes[[#This Row],[tipo_ot]]="","",_xlfn.XLOOKUP(tblOrdenes[[#This Row],[tipo_ot]],tblTiposOT[codigo],tblTiposOT[clasificacion],"sin_clasificar"))</f>
        <v/>
      </c>
      <c r="U869" s="3">
        <f>IF(tblOrdenes[[#This Row],[centro_costo]]="","",_xlfn.XLOOKUP(tblOrdenes[[#This Row],[centro_costo]],tblCECO[codigo],tblCECO[linea],"(sin catálogo)"))</f>
        <v/>
      </c>
      <c r="V869" s="3">
        <f>IF(tblOrdenes[[#This Row],[centro_costo]]="","",_xlfn.XLOOKUP(tblOrdenes[[#This Row],[centro_costo]],tblCECO[codigo],tblCECO[area],"(sin catálogo)"))</f>
        <v/>
      </c>
      <c r="W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3">
        <f>IF(tblOrdenes[[#This Row],[centro_costo]]="","",_xlfn.XLOOKUP(tblOrdenes[[#This Row],[centro_costo]],tblCECO[codigo],tblCECO[coordinador],"(sin catálogo)"))</f>
        <v/>
      </c>
      <c r="Y869" s="3">
        <f>IF(tblOrdenes[[#This Row],[puesto_trabajo]]="","",_xlfn.XLOOKUP(tblOrdenes[[#This Row],[puesto_trabajo]],tblPuestos[codigo],tblPuestos[especialidad],"(sin catálogo)"))</f>
        <v/>
      </c>
      <c r="Z869" s="3">
        <f>IF(tblOrdenes[[#This Row],[cod_actividad]]="","",_xlfn.XLOOKUP(tblOrdenes[[#This Row],[cod_actividad]],tblActividades[codigo],tblActividades[descripcion],"(sin catálogo)"))</f>
        <v/>
      </c>
      <c r="AA869" s="12">
        <f>IF(tblOrdenes[[#This Row],[fecha_inicio]]="","",TODAY()-tblOrdenes[[#This Row],[fecha_inicio]])</f>
        <v/>
      </c>
      <c r="AB8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3">
        <f>IF(tblOrdenes[[#This Row],[backlog_habiles]]="","",IF(tblOrdenes[[#This Row],[backlog_habiles]]&lt;0,"FUTURO",IF(tblOrdenes[[#This Row],[backlog_habiles]]&gt;p_dias_backlog_max,"BACKLOG","MES CORRIENTE")))</f>
        <v/>
      </c>
      <c r="AD869" s="3">
        <f>IF(tblOrdenes[[#This Row],[backlog_habiles]]="",FALSE,AND(tblOrdenes[[#This Row],[backlog_habiles]]&gt;p_dias_backlog_min,tblOrdenes[[#This Row],[backlog_habiles]]&lt;=p_dias_backlog_max))</f>
        <v/>
      </c>
      <c r="AE869" s="6" t="n"/>
      <c r="AF8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0">
        <f>IF(tblOrdenes[[#This Row],[orden]]="","",_xlfn.XLOOKUP(tblOrdenes[[#This Row],[id_operacion]],tblEjecucion[id_operacion],tblEjecucion[precio],0))</f>
        <v/>
      </c>
      <c r="AJ869" s="10">
        <f>IF(tblOrdenes[[#This Row],[orden]]="","",MAX(0,_xlfn.XLOOKUP(tblOrdenes[[#This Row],[id_operacion]],tblEjecucion[id_operacion],tblEjecucion[costo_plan_total],0)-tblOrdenes[[#This Row],[costo_servicio]]))</f>
        <v/>
      </c>
      <c r="AK869" s="10">
        <f>IF(tblOrdenes[[#This Row],[orden]]="","",tblOrdenes[[#This Row],[costo_servicio]]+tblOrdenes[[#This Row],[costo_materiales]])</f>
        <v/>
      </c>
      <c r="AL869" s="6" t="n"/>
      <c r="AM869" s="6" t="n"/>
      <c r="AN869" s="6" t="n"/>
      <c r="AO869" s="3">
        <f>IF(tblOrdenes[[#This Row],[link_checklist]]="","",HYPERLINK(p_ruta_base_checklists&amp;tblOrdenes[[#This Row],[link_checklist]],"abrir"))</f>
        <v/>
      </c>
      <c r="AP869" s="6" t="n"/>
      <c r="AQ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3">
        <f>IF(tblOrdenes[[#This Row],[tipo_ot]]="","",_xlfn.XLOOKUP(tblOrdenes[[#This Row],[tipo_ot]],tblTiposOT[codigo],tblTiposOT[clasificacion],"sin_clasificar"))</f>
        <v/>
      </c>
      <c r="U870" s="3">
        <f>IF(tblOrdenes[[#This Row],[centro_costo]]="","",_xlfn.XLOOKUP(tblOrdenes[[#This Row],[centro_costo]],tblCECO[codigo],tblCECO[linea],"(sin catálogo)"))</f>
        <v/>
      </c>
      <c r="V870" s="3">
        <f>IF(tblOrdenes[[#This Row],[centro_costo]]="","",_xlfn.XLOOKUP(tblOrdenes[[#This Row],[centro_costo]],tblCECO[codigo],tblCECO[area],"(sin catálogo)"))</f>
        <v/>
      </c>
      <c r="W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3">
        <f>IF(tblOrdenes[[#This Row],[centro_costo]]="","",_xlfn.XLOOKUP(tblOrdenes[[#This Row],[centro_costo]],tblCECO[codigo],tblCECO[coordinador],"(sin catálogo)"))</f>
        <v/>
      </c>
      <c r="Y870" s="3">
        <f>IF(tblOrdenes[[#This Row],[puesto_trabajo]]="","",_xlfn.XLOOKUP(tblOrdenes[[#This Row],[puesto_trabajo]],tblPuestos[codigo],tblPuestos[especialidad],"(sin catálogo)"))</f>
        <v/>
      </c>
      <c r="Z870" s="3">
        <f>IF(tblOrdenes[[#This Row],[cod_actividad]]="","",_xlfn.XLOOKUP(tblOrdenes[[#This Row],[cod_actividad]],tblActividades[codigo],tblActividades[descripcion],"(sin catálogo)"))</f>
        <v/>
      </c>
      <c r="AA870" s="12">
        <f>IF(tblOrdenes[[#This Row],[fecha_inicio]]="","",TODAY()-tblOrdenes[[#This Row],[fecha_inicio]])</f>
        <v/>
      </c>
      <c r="AB8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3">
        <f>IF(tblOrdenes[[#This Row],[backlog_habiles]]="","",IF(tblOrdenes[[#This Row],[backlog_habiles]]&lt;0,"FUTURO",IF(tblOrdenes[[#This Row],[backlog_habiles]]&gt;p_dias_backlog_max,"BACKLOG","MES CORRIENTE")))</f>
        <v/>
      </c>
      <c r="AD870" s="3">
        <f>IF(tblOrdenes[[#This Row],[backlog_habiles]]="",FALSE,AND(tblOrdenes[[#This Row],[backlog_habiles]]&gt;p_dias_backlog_min,tblOrdenes[[#This Row],[backlog_habiles]]&lt;=p_dias_backlog_max))</f>
        <v/>
      </c>
      <c r="AE870" s="6" t="n"/>
      <c r="AF8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0">
        <f>IF(tblOrdenes[[#This Row],[orden]]="","",_xlfn.XLOOKUP(tblOrdenes[[#This Row],[id_operacion]],tblEjecucion[id_operacion],tblEjecucion[precio],0))</f>
        <v/>
      </c>
      <c r="AJ870" s="10">
        <f>IF(tblOrdenes[[#This Row],[orden]]="","",MAX(0,_xlfn.XLOOKUP(tblOrdenes[[#This Row],[id_operacion]],tblEjecucion[id_operacion],tblEjecucion[costo_plan_total],0)-tblOrdenes[[#This Row],[costo_servicio]]))</f>
        <v/>
      </c>
      <c r="AK870" s="10">
        <f>IF(tblOrdenes[[#This Row],[orden]]="","",tblOrdenes[[#This Row],[costo_servicio]]+tblOrdenes[[#This Row],[costo_materiales]])</f>
        <v/>
      </c>
      <c r="AL870" s="6" t="n"/>
      <c r="AM870" s="6" t="n"/>
      <c r="AN870" s="6" t="n"/>
      <c r="AO870" s="3">
        <f>IF(tblOrdenes[[#This Row],[link_checklist]]="","",HYPERLINK(p_ruta_base_checklists&amp;tblOrdenes[[#This Row],[link_checklist]],"abrir"))</f>
        <v/>
      </c>
      <c r="AP870" s="6" t="n"/>
      <c r="AQ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3">
        <f>IF(tblOrdenes[[#This Row],[tipo_ot]]="","",_xlfn.XLOOKUP(tblOrdenes[[#This Row],[tipo_ot]],tblTiposOT[codigo],tblTiposOT[clasificacion],"sin_clasificar"))</f>
        <v/>
      </c>
      <c r="U871" s="3">
        <f>IF(tblOrdenes[[#This Row],[centro_costo]]="","",_xlfn.XLOOKUP(tblOrdenes[[#This Row],[centro_costo]],tblCECO[codigo],tblCECO[linea],"(sin catálogo)"))</f>
        <v/>
      </c>
      <c r="V871" s="3">
        <f>IF(tblOrdenes[[#This Row],[centro_costo]]="","",_xlfn.XLOOKUP(tblOrdenes[[#This Row],[centro_costo]],tblCECO[codigo],tblCECO[area],"(sin catálogo)"))</f>
        <v/>
      </c>
      <c r="W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3">
        <f>IF(tblOrdenes[[#This Row],[centro_costo]]="","",_xlfn.XLOOKUP(tblOrdenes[[#This Row],[centro_costo]],tblCECO[codigo],tblCECO[coordinador],"(sin catálogo)"))</f>
        <v/>
      </c>
      <c r="Y871" s="3">
        <f>IF(tblOrdenes[[#This Row],[puesto_trabajo]]="","",_xlfn.XLOOKUP(tblOrdenes[[#This Row],[puesto_trabajo]],tblPuestos[codigo],tblPuestos[especialidad],"(sin catálogo)"))</f>
        <v/>
      </c>
      <c r="Z871" s="3">
        <f>IF(tblOrdenes[[#This Row],[cod_actividad]]="","",_xlfn.XLOOKUP(tblOrdenes[[#This Row],[cod_actividad]],tblActividades[codigo],tblActividades[descripcion],"(sin catálogo)"))</f>
        <v/>
      </c>
      <c r="AA871" s="12">
        <f>IF(tblOrdenes[[#This Row],[fecha_inicio]]="","",TODAY()-tblOrdenes[[#This Row],[fecha_inicio]])</f>
        <v/>
      </c>
      <c r="AB8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3">
        <f>IF(tblOrdenes[[#This Row],[backlog_habiles]]="","",IF(tblOrdenes[[#This Row],[backlog_habiles]]&lt;0,"FUTURO",IF(tblOrdenes[[#This Row],[backlog_habiles]]&gt;p_dias_backlog_max,"BACKLOG","MES CORRIENTE")))</f>
        <v/>
      </c>
      <c r="AD871" s="3">
        <f>IF(tblOrdenes[[#This Row],[backlog_habiles]]="",FALSE,AND(tblOrdenes[[#This Row],[backlog_habiles]]&gt;p_dias_backlog_min,tblOrdenes[[#This Row],[backlog_habiles]]&lt;=p_dias_backlog_max))</f>
        <v/>
      </c>
      <c r="AE871" s="6" t="n"/>
      <c r="AF8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0">
        <f>IF(tblOrdenes[[#This Row],[orden]]="","",_xlfn.XLOOKUP(tblOrdenes[[#This Row],[id_operacion]],tblEjecucion[id_operacion],tblEjecucion[precio],0))</f>
        <v/>
      </c>
      <c r="AJ871" s="10">
        <f>IF(tblOrdenes[[#This Row],[orden]]="","",MAX(0,_xlfn.XLOOKUP(tblOrdenes[[#This Row],[id_operacion]],tblEjecucion[id_operacion],tblEjecucion[costo_plan_total],0)-tblOrdenes[[#This Row],[costo_servicio]]))</f>
        <v/>
      </c>
      <c r="AK871" s="10">
        <f>IF(tblOrdenes[[#This Row],[orden]]="","",tblOrdenes[[#This Row],[costo_servicio]]+tblOrdenes[[#This Row],[costo_materiales]])</f>
        <v/>
      </c>
      <c r="AL871" s="6" t="n"/>
      <c r="AM871" s="6" t="n"/>
      <c r="AN871" s="6" t="n"/>
      <c r="AO871" s="3">
        <f>IF(tblOrdenes[[#This Row],[link_checklist]]="","",HYPERLINK(p_ruta_base_checklists&amp;tblOrdenes[[#This Row],[link_checklist]],"abrir"))</f>
        <v/>
      </c>
      <c r="AP871" s="6" t="n"/>
      <c r="AQ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3">
        <f>IF(tblOrdenes[[#This Row],[tipo_ot]]="","",_xlfn.XLOOKUP(tblOrdenes[[#This Row],[tipo_ot]],tblTiposOT[codigo],tblTiposOT[clasificacion],"sin_clasificar"))</f>
        <v/>
      </c>
      <c r="U872" s="3">
        <f>IF(tblOrdenes[[#This Row],[centro_costo]]="","",_xlfn.XLOOKUP(tblOrdenes[[#This Row],[centro_costo]],tblCECO[codigo],tblCECO[linea],"(sin catálogo)"))</f>
        <v/>
      </c>
      <c r="V872" s="3">
        <f>IF(tblOrdenes[[#This Row],[centro_costo]]="","",_xlfn.XLOOKUP(tblOrdenes[[#This Row],[centro_costo]],tblCECO[codigo],tblCECO[area],"(sin catálogo)"))</f>
        <v/>
      </c>
      <c r="W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3">
        <f>IF(tblOrdenes[[#This Row],[centro_costo]]="","",_xlfn.XLOOKUP(tblOrdenes[[#This Row],[centro_costo]],tblCECO[codigo],tblCECO[coordinador],"(sin catálogo)"))</f>
        <v/>
      </c>
      <c r="Y872" s="3">
        <f>IF(tblOrdenes[[#This Row],[puesto_trabajo]]="","",_xlfn.XLOOKUP(tblOrdenes[[#This Row],[puesto_trabajo]],tblPuestos[codigo],tblPuestos[especialidad],"(sin catálogo)"))</f>
        <v/>
      </c>
      <c r="Z872" s="3">
        <f>IF(tblOrdenes[[#This Row],[cod_actividad]]="","",_xlfn.XLOOKUP(tblOrdenes[[#This Row],[cod_actividad]],tblActividades[codigo],tblActividades[descripcion],"(sin catálogo)"))</f>
        <v/>
      </c>
      <c r="AA872" s="12">
        <f>IF(tblOrdenes[[#This Row],[fecha_inicio]]="","",TODAY()-tblOrdenes[[#This Row],[fecha_inicio]])</f>
        <v/>
      </c>
      <c r="AB8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3">
        <f>IF(tblOrdenes[[#This Row],[backlog_habiles]]="","",IF(tblOrdenes[[#This Row],[backlog_habiles]]&lt;0,"FUTURO",IF(tblOrdenes[[#This Row],[backlog_habiles]]&gt;p_dias_backlog_max,"BACKLOG","MES CORRIENTE")))</f>
        <v/>
      </c>
      <c r="AD872" s="3">
        <f>IF(tblOrdenes[[#This Row],[backlog_habiles]]="",FALSE,AND(tblOrdenes[[#This Row],[backlog_habiles]]&gt;p_dias_backlog_min,tblOrdenes[[#This Row],[backlog_habiles]]&lt;=p_dias_backlog_max))</f>
        <v/>
      </c>
      <c r="AE872" s="6" t="n"/>
      <c r="AF8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0">
        <f>IF(tblOrdenes[[#This Row],[orden]]="","",_xlfn.XLOOKUP(tblOrdenes[[#This Row],[id_operacion]],tblEjecucion[id_operacion],tblEjecucion[precio],0))</f>
        <v/>
      </c>
      <c r="AJ872" s="10">
        <f>IF(tblOrdenes[[#This Row],[orden]]="","",MAX(0,_xlfn.XLOOKUP(tblOrdenes[[#This Row],[id_operacion]],tblEjecucion[id_operacion],tblEjecucion[costo_plan_total],0)-tblOrdenes[[#This Row],[costo_servicio]]))</f>
        <v/>
      </c>
      <c r="AK872" s="10">
        <f>IF(tblOrdenes[[#This Row],[orden]]="","",tblOrdenes[[#This Row],[costo_servicio]]+tblOrdenes[[#This Row],[costo_materiales]])</f>
        <v/>
      </c>
      <c r="AL872" s="6" t="n"/>
      <c r="AM872" s="6" t="n"/>
      <c r="AN872" s="6" t="n"/>
      <c r="AO872" s="3">
        <f>IF(tblOrdenes[[#This Row],[link_checklist]]="","",HYPERLINK(p_ruta_base_checklists&amp;tblOrdenes[[#This Row],[link_checklist]],"abrir"))</f>
        <v/>
      </c>
      <c r="AP872" s="6" t="n"/>
      <c r="AQ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3">
        <f>IF(tblOrdenes[[#This Row],[tipo_ot]]="","",_xlfn.XLOOKUP(tblOrdenes[[#This Row],[tipo_ot]],tblTiposOT[codigo],tblTiposOT[clasificacion],"sin_clasificar"))</f>
        <v/>
      </c>
      <c r="U873" s="3">
        <f>IF(tblOrdenes[[#This Row],[centro_costo]]="","",_xlfn.XLOOKUP(tblOrdenes[[#This Row],[centro_costo]],tblCECO[codigo],tblCECO[linea],"(sin catálogo)"))</f>
        <v/>
      </c>
      <c r="V873" s="3">
        <f>IF(tblOrdenes[[#This Row],[centro_costo]]="","",_xlfn.XLOOKUP(tblOrdenes[[#This Row],[centro_costo]],tblCECO[codigo],tblCECO[area],"(sin catálogo)"))</f>
        <v/>
      </c>
      <c r="W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3">
        <f>IF(tblOrdenes[[#This Row],[centro_costo]]="","",_xlfn.XLOOKUP(tblOrdenes[[#This Row],[centro_costo]],tblCECO[codigo],tblCECO[coordinador],"(sin catálogo)"))</f>
        <v/>
      </c>
      <c r="Y873" s="3">
        <f>IF(tblOrdenes[[#This Row],[puesto_trabajo]]="","",_xlfn.XLOOKUP(tblOrdenes[[#This Row],[puesto_trabajo]],tblPuestos[codigo],tblPuestos[especialidad],"(sin catálogo)"))</f>
        <v/>
      </c>
      <c r="Z873" s="3">
        <f>IF(tblOrdenes[[#This Row],[cod_actividad]]="","",_xlfn.XLOOKUP(tblOrdenes[[#This Row],[cod_actividad]],tblActividades[codigo],tblActividades[descripcion],"(sin catálogo)"))</f>
        <v/>
      </c>
      <c r="AA873" s="12">
        <f>IF(tblOrdenes[[#This Row],[fecha_inicio]]="","",TODAY()-tblOrdenes[[#This Row],[fecha_inicio]])</f>
        <v/>
      </c>
      <c r="AB8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3">
        <f>IF(tblOrdenes[[#This Row],[backlog_habiles]]="","",IF(tblOrdenes[[#This Row],[backlog_habiles]]&lt;0,"FUTURO",IF(tblOrdenes[[#This Row],[backlog_habiles]]&gt;p_dias_backlog_max,"BACKLOG","MES CORRIENTE")))</f>
        <v/>
      </c>
      <c r="AD873" s="3">
        <f>IF(tblOrdenes[[#This Row],[backlog_habiles]]="",FALSE,AND(tblOrdenes[[#This Row],[backlog_habiles]]&gt;p_dias_backlog_min,tblOrdenes[[#This Row],[backlog_habiles]]&lt;=p_dias_backlog_max))</f>
        <v/>
      </c>
      <c r="AE873" s="6" t="n"/>
      <c r="AF8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0">
        <f>IF(tblOrdenes[[#This Row],[orden]]="","",_xlfn.XLOOKUP(tblOrdenes[[#This Row],[id_operacion]],tblEjecucion[id_operacion],tblEjecucion[precio],0))</f>
        <v/>
      </c>
      <c r="AJ873" s="10">
        <f>IF(tblOrdenes[[#This Row],[orden]]="","",MAX(0,_xlfn.XLOOKUP(tblOrdenes[[#This Row],[id_operacion]],tblEjecucion[id_operacion],tblEjecucion[costo_plan_total],0)-tblOrdenes[[#This Row],[costo_servicio]]))</f>
        <v/>
      </c>
      <c r="AK873" s="10">
        <f>IF(tblOrdenes[[#This Row],[orden]]="","",tblOrdenes[[#This Row],[costo_servicio]]+tblOrdenes[[#This Row],[costo_materiales]])</f>
        <v/>
      </c>
      <c r="AL873" s="6" t="n"/>
      <c r="AM873" s="6" t="n"/>
      <c r="AN873" s="6" t="n"/>
      <c r="AO873" s="3">
        <f>IF(tblOrdenes[[#This Row],[link_checklist]]="","",HYPERLINK(p_ruta_base_checklists&amp;tblOrdenes[[#This Row],[link_checklist]],"abrir"))</f>
        <v/>
      </c>
      <c r="AP873" s="6" t="n"/>
      <c r="AQ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3">
        <f>IF(tblOrdenes[[#This Row],[tipo_ot]]="","",_xlfn.XLOOKUP(tblOrdenes[[#This Row],[tipo_ot]],tblTiposOT[codigo],tblTiposOT[clasificacion],"sin_clasificar"))</f>
        <v/>
      </c>
      <c r="U874" s="3">
        <f>IF(tblOrdenes[[#This Row],[centro_costo]]="","",_xlfn.XLOOKUP(tblOrdenes[[#This Row],[centro_costo]],tblCECO[codigo],tblCECO[linea],"(sin catálogo)"))</f>
        <v/>
      </c>
      <c r="V874" s="3">
        <f>IF(tblOrdenes[[#This Row],[centro_costo]]="","",_xlfn.XLOOKUP(tblOrdenes[[#This Row],[centro_costo]],tblCECO[codigo],tblCECO[area],"(sin catálogo)"))</f>
        <v/>
      </c>
      <c r="W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3">
        <f>IF(tblOrdenes[[#This Row],[centro_costo]]="","",_xlfn.XLOOKUP(tblOrdenes[[#This Row],[centro_costo]],tblCECO[codigo],tblCECO[coordinador],"(sin catálogo)"))</f>
        <v/>
      </c>
      <c r="Y874" s="3">
        <f>IF(tblOrdenes[[#This Row],[puesto_trabajo]]="","",_xlfn.XLOOKUP(tblOrdenes[[#This Row],[puesto_trabajo]],tblPuestos[codigo],tblPuestos[especialidad],"(sin catálogo)"))</f>
        <v/>
      </c>
      <c r="Z874" s="3">
        <f>IF(tblOrdenes[[#This Row],[cod_actividad]]="","",_xlfn.XLOOKUP(tblOrdenes[[#This Row],[cod_actividad]],tblActividades[codigo],tblActividades[descripcion],"(sin catálogo)"))</f>
        <v/>
      </c>
      <c r="AA874" s="12">
        <f>IF(tblOrdenes[[#This Row],[fecha_inicio]]="","",TODAY()-tblOrdenes[[#This Row],[fecha_inicio]])</f>
        <v/>
      </c>
      <c r="AB8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3">
        <f>IF(tblOrdenes[[#This Row],[backlog_habiles]]="","",IF(tblOrdenes[[#This Row],[backlog_habiles]]&lt;0,"FUTURO",IF(tblOrdenes[[#This Row],[backlog_habiles]]&gt;p_dias_backlog_max,"BACKLOG","MES CORRIENTE")))</f>
        <v/>
      </c>
      <c r="AD874" s="3">
        <f>IF(tblOrdenes[[#This Row],[backlog_habiles]]="",FALSE,AND(tblOrdenes[[#This Row],[backlog_habiles]]&gt;p_dias_backlog_min,tblOrdenes[[#This Row],[backlog_habiles]]&lt;=p_dias_backlog_max))</f>
        <v/>
      </c>
      <c r="AE874" s="6" t="n"/>
      <c r="AF8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0">
        <f>IF(tblOrdenes[[#This Row],[orden]]="","",_xlfn.XLOOKUP(tblOrdenes[[#This Row],[id_operacion]],tblEjecucion[id_operacion],tblEjecucion[precio],0))</f>
        <v/>
      </c>
      <c r="AJ874" s="10">
        <f>IF(tblOrdenes[[#This Row],[orden]]="","",MAX(0,_xlfn.XLOOKUP(tblOrdenes[[#This Row],[id_operacion]],tblEjecucion[id_operacion],tblEjecucion[costo_plan_total],0)-tblOrdenes[[#This Row],[costo_servicio]]))</f>
        <v/>
      </c>
      <c r="AK874" s="10">
        <f>IF(tblOrdenes[[#This Row],[orden]]="","",tblOrdenes[[#This Row],[costo_servicio]]+tblOrdenes[[#This Row],[costo_materiales]])</f>
        <v/>
      </c>
      <c r="AL874" s="6" t="n"/>
      <c r="AM874" s="6" t="n"/>
      <c r="AN874" s="6" t="n"/>
      <c r="AO874" s="3">
        <f>IF(tblOrdenes[[#This Row],[link_checklist]]="","",HYPERLINK(p_ruta_base_checklists&amp;tblOrdenes[[#This Row],[link_checklist]],"abrir"))</f>
        <v/>
      </c>
      <c r="AP874" s="6" t="n"/>
      <c r="AQ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3">
        <f>IF(tblOrdenes[[#This Row],[tipo_ot]]="","",_xlfn.XLOOKUP(tblOrdenes[[#This Row],[tipo_ot]],tblTiposOT[codigo],tblTiposOT[clasificacion],"sin_clasificar"))</f>
        <v/>
      </c>
      <c r="U875" s="3">
        <f>IF(tblOrdenes[[#This Row],[centro_costo]]="","",_xlfn.XLOOKUP(tblOrdenes[[#This Row],[centro_costo]],tblCECO[codigo],tblCECO[linea],"(sin catálogo)"))</f>
        <v/>
      </c>
      <c r="V875" s="3">
        <f>IF(tblOrdenes[[#This Row],[centro_costo]]="","",_xlfn.XLOOKUP(tblOrdenes[[#This Row],[centro_costo]],tblCECO[codigo],tblCECO[area],"(sin catálogo)"))</f>
        <v/>
      </c>
      <c r="W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3">
        <f>IF(tblOrdenes[[#This Row],[centro_costo]]="","",_xlfn.XLOOKUP(tblOrdenes[[#This Row],[centro_costo]],tblCECO[codigo],tblCECO[coordinador],"(sin catálogo)"))</f>
        <v/>
      </c>
      <c r="Y875" s="3">
        <f>IF(tblOrdenes[[#This Row],[puesto_trabajo]]="","",_xlfn.XLOOKUP(tblOrdenes[[#This Row],[puesto_trabajo]],tblPuestos[codigo],tblPuestos[especialidad],"(sin catálogo)"))</f>
        <v/>
      </c>
      <c r="Z875" s="3">
        <f>IF(tblOrdenes[[#This Row],[cod_actividad]]="","",_xlfn.XLOOKUP(tblOrdenes[[#This Row],[cod_actividad]],tblActividades[codigo],tblActividades[descripcion],"(sin catálogo)"))</f>
        <v/>
      </c>
      <c r="AA875" s="12">
        <f>IF(tblOrdenes[[#This Row],[fecha_inicio]]="","",TODAY()-tblOrdenes[[#This Row],[fecha_inicio]])</f>
        <v/>
      </c>
      <c r="AB8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3">
        <f>IF(tblOrdenes[[#This Row],[backlog_habiles]]="","",IF(tblOrdenes[[#This Row],[backlog_habiles]]&lt;0,"FUTURO",IF(tblOrdenes[[#This Row],[backlog_habiles]]&gt;p_dias_backlog_max,"BACKLOG","MES CORRIENTE")))</f>
        <v/>
      </c>
      <c r="AD875" s="3">
        <f>IF(tblOrdenes[[#This Row],[backlog_habiles]]="",FALSE,AND(tblOrdenes[[#This Row],[backlog_habiles]]&gt;p_dias_backlog_min,tblOrdenes[[#This Row],[backlog_habiles]]&lt;=p_dias_backlog_max))</f>
        <v/>
      </c>
      <c r="AE875" s="6" t="n"/>
      <c r="AF8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0">
        <f>IF(tblOrdenes[[#This Row],[orden]]="","",_xlfn.XLOOKUP(tblOrdenes[[#This Row],[id_operacion]],tblEjecucion[id_operacion],tblEjecucion[precio],0))</f>
        <v/>
      </c>
      <c r="AJ875" s="10">
        <f>IF(tblOrdenes[[#This Row],[orden]]="","",MAX(0,_xlfn.XLOOKUP(tblOrdenes[[#This Row],[id_operacion]],tblEjecucion[id_operacion],tblEjecucion[costo_plan_total],0)-tblOrdenes[[#This Row],[costo_servicio]]))</f>
        <v/>
      </c>
      <c r="AK875" s="10">
        <f>IF(tblOrdenes[[#This Row],[orden]]="","",tblOrdenes[[#This Row],[costo_servicio]]+tblOrdenes[[#This Row],[costo_materiales]])</f>
        <v/>
      </c>
      <c r="AL875" s="6" t="n"/>
      <c r="AM875" s="6" t="n"/>
      <c r="AN875" s="6" t="n"/>
      <c r="AO875" s="3">
        <f>IF(tblOrdenes[[#This Row],[link_checklist]]="","",HYPERLINK(p_ruta_base_checklists&amp;tblOrdenes[[#This Row],[link_checklist]],"abrir"))</f>
        <v/>
      </c>
      <c r="AP875" s="6" t="n"/>
      <c r="AQ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3">
        <f>IF(tblOrdenes[[#This Row],[tipo_ot]]="","",_xlfn.XLOOKUP(tblOrdenes[[#This Row],[tipo_ot]],tblTiposOT[codigo],tblTiposOT[clasificacion],"sin_clasificar"))</f>
        <v/>
      </c>
      <c r="U876" s="3">
        <f>IF(tblOrdenes[[#This Row],[centro_costo]]="","",_xlfn.XLOOKUP(tblOrdenes[[#This Row],[centro_costo]],tblCECO[codigo],tblCECO[linea],"(sin catálogo)"))</f>
        <v/>
      </c>
      <c r="V876" s="3">
        <f>IF(tblOrdenes[[#This Row],[centro_costo]]="","",_xlfn.XLOOKUP(tblOrdenes[[#This Row],[centro_costo]],tblCECO[codigo],tblCECO[area],"(sin catálogo)"))</f>
        <v/>
      </c>
      <c r="W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3">
        <f>IF(tblOrdenes[[#This Row],[centro_costo]]="","",_xlfn.XLOOKUP(tblOrdenes[[#This Row],[centro_costo]],tblCECO[codigo],tblCECO[coordinador],"(sin catálogo)"))</f>
        <v/>
      </c>
      <c r="Y876" s="3">
        <f>IF(tblOrdenes[[#This Row],[puesto_trabajo]]="","",_xlfn.XLOOKUP(tblOrdenes[[#This Row],[puesto_trabajo]],tblPuestos[codigo],tblPuestos[especialidad],"(sin catálogo)"))</f>
        <v/>
      </c>
      <c r="Z876" s="3">
        <f>IF(tblOrdenes[[#This Row],[cod_actividad]]="","",_xlfn.XLOOKUP(tblOrdenes[[#This Row],[cod_actividad]],tblActividades[codigo],tblActividades[descripcion],"(sin catálogo)"))</f>
        <v/>
      </c>
      <c r="AA876" s="12">
        <f>IF(tblOrdenes[[#This Row],[fecha_inicio]]="","",TODAY()-tblOrdenes[[#This Row],[fecha_inicio]])</f>
        <v/>
      </c>
      <c r="AB8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3">
        <f>IF(tblOrdenes[[#This Row],[backlog_habiles]]="","",IF(tblOrdenes[[#This Row],[backlog_habiles]]&lt;0,"FUTURO",IF(tblOrdenes[[#This Row],[backlog_habiles]]&gt;p_dias_backlog_max,"BACKLOG","MES CORRIENTE")))</f>
        <v/>
      </c>
      <c r="AD876" s="3">
        <f>IF(tblOrdenes[[#This Row],[backlog_habiles]]="",FALSE,AND(tblOrdenes[[#This Row],[backlog_habiles]]&gt;p_dias_backlog_min,tblOrdenes[[#This Row],[backlog_habiles]]&lt;=p_dias_backlog_max))</f>
        <v/>
      </c>
      <c r="AE876" s="6" t="n"/>
      <c r="AF8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0">
        <f>IF(tblOrdenes[[#This Row],[orden]]="","",_xlfn.XLOOKUP(tblOrdenes[[#This Row],[id_operacion]],tblEjecucion[id_operacion],tblEjecucion[precio],0))</f>
        <v/>
      </c>
      <c r="AJ876" s="10">
        <f>IF(tblOrdenes[[#This Row],[orden]]="","",MAX(0,_xlfn.XLOOKUP(tblOrdenes[[#This Row],[id_operacion]],tblEjecucion[id_operacion],tblEjecucion[costo_plan_total],0)-tblOrdenes[[#This Row],[costo_servicio]]))</f>
        <v/>
      </c>
      <c r="AK876" s="10">
        <f>IF(tblOrdenes[[#This Row],[orden]]="","",tblOrdenes[[#This Row],[costo_servicio]]+tblOrdenes[[#This Row],[costo_materiales]])</f>
        <v/>
      </c>
      <c r="AL876" s="6" t="n"/>
      <c r="AM876" s="6" t="n"/>
      <c r="AN876" s="6" t="n"/>
      <c r="AO876" s="3">
        <f>IF(tblOrdenes[[#This Row],[link_checklist]]="","",HYPERLINK(p_ruta_base_checklists&amp;tblOrdenes[[#This Row],[link_checklist]],"abrir"))</f>
        <v/>
      </c>
      <c r="AP876" s="6" t="n"/>
      <c r="AQ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3">
        <f>IF(tblOrdenes[[#This Row],[tipo_ot]]="","",_xlfn.XLOOKUP(tblOrdenes[[#This Row],[tipo_ot]],tblTiposOT[codigo],tblTiposOT[clasificacion],"sin_clasificar"))</f>
        <v/>
      </c>
      <c r="U877" s="3">
        <f>IF(tblOrdenes[[#This Row],[centro_costo]]="","",_xlfn.XLOOKUP(tblOrdenes[[#This Row],[centro_costo]],tblCECO[codigo],tblCECO[linea],"(sin catálogo)"))</f>
        <v/>
      </c>
      <c r="V877" s="3">
        <f>IF(tblOrdenes[[#This Row],[centro_costo]]="","",_xlfn.XLOOKUP(tblOrdenes[[#This Row],[centro_costo]],tblCECO[codigo],tblCECO[area],"(sin catálogo)"))</f>
        <v/>
      </c>
      <c r="W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3">
        <f>IF(tblOrdenes[[#This Row],[centro_costo]]="","",_xlfn.XLOOKUP(tblOrdenes[[#This Row],[centro_costo]],tblCECO[codigo],tblCECO[coordinador],"(sin catálogo)"))</f>
        <v/>
      </c>
      <c r="Y877" s="3">
        <f>IF(tblOrdenes[[#This Row],[puesto_trabajo]]="","",_xlfn.XLOOKUP(tblOrdenes[[#This Row],[puesto_trabajo]],tblPuestos[codigo],tblPuestos[especialidad],"(sin catálogo)"))</f>
        <v/>
      </c>
      <c r="Z877" s="3">
        <f>IF(tblOrdenes[[#This Row],[cod_actividad]]="","",_xlfn.XLOOKUP(tblOrdenes[[#This Row],[cod_actividad]],tblActividades[codigo],tblActividades[descripcion],"(sin catálogo)"))</f>
        <v/>
      </c>
      <c r="AA877" s="12">
        <f>IF(tblOrdenes[[#This Row],[fecha_inicio]]="","",TODAY()-tblOrdenes[[#This Row],[fecha_inicio]])</f>
        <v/>
      </c>
      <c r="AB8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3">
        <f>IF(tblOrdenes[[#This Row],[backlog_habiles]]="","",IF(tblOrdenes[[#This Row],[backlog_habiles]]&lt;0,"FUTURO",IF(tblOrdenes[[#This Row],[backlog_habiles]]&gt;p_dias_backlog_max,"BACKLOG","MES CORRIENTE")))</f>
        <v/>
      </c>
      <c r="AD877" s="3">
        <f>IF(tblOrdenes[[#This Row],[backlog_habiles]]="",FALSE,AND(tblOrdenes[[#This Row],[backlog_habiles]]&gt;p_dias_backlog_min,tblOrdenes[[#This Row],[backlog_habiles]]&lt;=p_dias_backlog_max))</f>
        <v/>
      </c>
      <c r="AE877" s="6" t="n"/>
      <c r="AF8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0">
        <f>IF(tblOrdenes[[#This Row],[orden]]="","",_xlfn.XLOOKUP(tblOrdenes[[#This Row],[id_operacion]],tblEjecucion[id_operacion],tblEjecucion[precio],0))</f>
        <v/>
      </c>
      <c r="AJ877" s="10">
        <f>IF(tblOrdenes[[#This Row],[orden]]="","",MAX(0,_xlfn.XLOOKUP(tblOrdenes[[#This Row],[id_operacion]],tblEjecucion[id_operacion],tblEjecucion[costo_plan_total],0)-tblOrdenes[[#This Row],[costo_servicio]]))</f>
        <v/>
      </c>
      <c r="AK877" s="10">
        <f>IF(tblOrdenes[[#This Row],[orden]]="","",tblOrdenes[[#This Row],[costo_servicio]]+tblOrdenes[[#This Row],[costo_materiales]])</f>
        <v/>
      </c>
      <c r="AL877" s="6" t="n"/>
      <c r="AM877" s="6" t="n"/>
      <c r="AN877" s="6" t="n"/>
      <c r="AO877" s="3">
        <f>IF(tblOrdenes[[#This Row],[link_checklist]]="","",HYPERLINK(p_ruta_base_checklists&amp;tblOrdenes[[#This Row],[link_checklist]],"abrir"))</f>
        <v/>
      </c>
      <c r="AP877" s="6" t="n"/>
      <c r="AQ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3">
        <f>IF(tblOrdenes[[#This Row],[tipo_ot]]="","",_xlfn.XLOOKUP(tblOrdenes[[#This Row],[tipo_ot]],tblTiposOT[codigo],tblTiposOT[clasificacion],"sin_clasificar"))</f>
        <v/>
      </c>
      <c r="U878" s="3">
        <f>IF(tblOrdenes[[#This Row],[centro_costo]]="","",_xlfn.XLOOKUP(tblOrdenes[[#This Row],[centro_costo]],tblCECO[codigo],tblCECO[linea],"(sin catálogo)"))</f>
        <v/>
      </c>
      <c r="V878" s="3">
        <f>IF(tblOrdenes[[#This Row],[centro_costo]]="","",_xlfn.XLOOKUP(tblOrdenes[[#This Row],[centro_costo]],tblCECO[codigo],tblCECO[area],"(sin catálogo)"))</f>
        <v/>
      </c>
      <c r="W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3">
        <f>IF(tblOrdenes[[#This Row],[centro_costo]]="","",_xlfn.XLOOKUP(tblOrdenes[[#This Row],[centro_costo]],tblCECO[codigo],tblCECO[coordinador],"(sin catálogo)"))</f>
        <v/>
      </c>
      <c r="Y878" s="3">
        <f>IF(tblOrdenes[[#This Row],[puesto_trabajo]]="","",_xlfn.XLOOKUP(tblOrdenes[[#This Row],[puesto_trabajo]],tblPuestos[codigo],tblPuestos[especialidad],"(sin catálogo)"))</f>
        <v/>
      </c>
      <c r="Z878" s="3">
        <f>IF(tblOrdenes[[#This Row],[cod_actividad]]="","",_xlfn.XLOOKUP(tblOrdenes[[#This Row],[cod_actividad]],tblActividades[codigo],tblActividades[descripcion],"(sin catálogo)"))</f>
        <v/>
      </c>
      <c r="AA878" s="12">
        <f>IF(tblOrdenes[[#This Row],[fecha_inicio]]="","",TODAY()-tblOrdenes[[#This Row],[fecha_inicio]])</f>
        <v/>
      </c>
      <c r="AB8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3">
        <f>IF(tblOrdenes[[#This Row],[backlog_habiles]]="","",IF(tblOrdenes[[#This Row],[backlog_habiles]]&lt;0,"FUTURO",IF(tblOrdenes[[#This Row],[backlog_habiles]]&gt;p_dias_backlog_max,"BACKLOG","MES CORRIENTE")))</f>
        <v/>
      </c>
      <c r="AD878" s="3">
        <f>IF(tblOrdenes[[#This Row],[backlog_habiles]]="",FALSE,AND(tblOrdenes[[#This Row],[backlog_habiles]]&gt;p_dias_backlog_min,tblOrdenes[[#This Row],[backlog_habiles]]&lt;=p_dias_backlog_max))</f>
        <v/>
      </c>
      <c r="AE878" s="6" t="n"/>
      <c r="AF8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0">
        <f>IF(tblOrdenes[[#This Row],[orden]]="","",_xlfn.XLOOKUP(tblOrdenes[[#This Row],[id_operacion]],tblEjecucion[id_operacion],tblEjecucion[precio],0))</f>
        <v/>
      </c>
      <c r="AJ878" s="10">
        <f>IF(tblOrdenes[[#This Row],[orden]]="","",MAX(0,_xlfn.XLOOKUP(tblOrdenes[[#This Row],[id_operacion]],tblEjecucion[id_operacion],tblEjecucion[costo_plan_total],0)-tblOrdenes[[#This Row],[costo_servicio]]))</f>
        <v/>
      </c>
      <c r="AK878" s="10">
        <f>IF(tblOrdenes[[#This Row],[orden]]="","",tblOrdenes[[#This Row],[costo_servicio]]+tblOrdenes[[#This Row],[costo_materiales]])</f>
        <v/>
      </c>
      <c r="AL878" s="6" t="n"/>
      <c r="AM878" s="6" t="n"/>
      <c r="AN878" s="6" t="n"/>
      <c r="AO878" s="3">
        <f>IF(tblOrdenes[[#This Row],[link_checklist]]="","",HYPERLINK(p_ruta_base_checklists&amp;tblOrdenes[[#This Row],[link_checklist]],"abrir"))</f>
        <v/>
      </c>
      <c r="AP878" s="6" t="n"/>
      <c r="AQ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3">
        <f>IF(tblOrdenes[[#This Row],[tipo_ot]]="","",_xlfn.XLOOKUP(tblOrdenes[[#This Row],[tipo_ot]],tblTiposOT[codigo],tblTiposOT[clasificacion],"sin_clasificar"))</f>
        <v/>
      </c>
      <c r="U879" s="3">
        <f>IF(tblOrdenes[[#This Row],[centro_costo]]="","",_xlfn.XLOOKUP(tblOrdenes[[#This Row],[centro_costo]],tblCECO[codigo],tblCECO[linea],"(sin catálogo)"))</f>
        <v/>
      </c>
      <c r="V879" s="3">
        <f>IF(tblOrdenes[[#This Row],[centro_costo]]="","",_xlfn.XLOOKUP(tblOrdenes[[#This Row],[centro_costo]],tblCECO[codigo],tblCECO[area],"(sin catálogo)"))</f>
        <v/>
      </c>
      <c r="W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3">
        <f>IF(tblOrdenes[[#This Row],[centro_costo]]="","",_xlfn.XLOOKUP(tblOrdenes[[#This Row],[centro_costo]],tblCECO[codigo],tblCECO[coordinador],"(sin catálogo)"))</f>
        <v/>
      </c>
      <c r="Y879" s="3">
        <f>IF(tblOrdenes[[#This Row],[puesto_trabajo]]="","",_xlfn.XLOOKUP(tblOrdenes[[#This Row],[puesto_trabajo]],tblPuestos[codigo],tblPuestos[especialidad],"(sin catálogo)"))</f>
        <v/>
      </c>
      <c r="Z879" s="3">
        <f>IF(tblOrdenes[[#This Row],[cod_actividad]]="","",_xlfn.XLOOKUP(tblOrdenes[[#This Row],[cod_actividad]],tblActividades[codigo],tblActividades[descripcion],"(sin catálogo)"))</f>
        <v/>
      </c>
      <c r="AA879" s="12">
        <f>IF(tblOrdenes[[#This Row],[fecha_inicio]]="","",TODAY()-tblOrdenes[[#This Row],[fecha_inicio]])</f>
        <v/>
      </c>
      <c r="AB8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3">
        <f>IF(tblOrdenes[[#This Row],[backlog_habiles]]="","",IF(tblOrdenes[[#This Row],[backlog_habiles]]&lt;0,"FUTURO",IF(tblOrdenes[[#This Row],[backlog_habiles]]&gt;p_dias_backlog_max,"BACKLOG","MES CORRIENTE")))</f>
        <v/>
      </c>
      <c r="AD879" s="3">
        <f>IF(tblOrdenes[[#This Row],[backlog_habiles]]="",FALSE,AND(tblOrdenes[[#This Row],[backlog_habiles]]&gt;p_dias_backlog_min,tblOrdenes[[#This Row],[backlog_habiles]]&lt;=p_dias_backlog_max))</f>
        <v/>
      </c>
      <c r="AE879" s="6" t="n"/>
      <c r="AF8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0">
        <f>IF(tblOrdenes[[#This Row],[orden]]="","",_xlfn.XLOOKUP(tblOrdenes[[#This Row],[id_operacion]],tblEjecucion[id_operacion],tblEjecucion[precio],0))</f>
        <v/>
      </c>
      <c r="AJ879" s="10">
        <f>IF(tblOrdenes[[#This Row],[orden]]="","",MAX(0,_xlfn.XLOOKUP(tblOrdenes[[#This Row],[id_operacion]],tblEjecucion[id_operacion],tblEjecucion[costo_plan_total],0)-tblOrdenes[[#This Row],[costo_servicio]]))</f>
        <v/>
      </c>
      <c r="AK879" s="10">
        <f>IF(tblOrdenes[[#This Row],[orden]]="","",tblOrdenes[[#This Row],[costo_servicio]]+tblOrdenes[[#This Row],[costo_materiales]])</f>
        <v/>
      </c>
      <c r="AL879" s="6" t="n"/>
      <c r="AM879" s="6" t="n"/>
      <c r="AN879" s="6" t="n"/>
      <c r="AO879" s="3">
        <f>IF(tblOrdenes[[#This Row],[link_checklist]]="","",HYPERLINK(p_ruta_base_checklists&amp;tblOrdenes[[#This Row],[link_checklist]],"abrir"))</f>
        <v/>
      </c>
      <c r="AP879" s="6" t="n"/>
      <c r="AQ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3">
        <f>IF(tblOrdenes[[#This Row],[tipo_ot]]="","",_xlfn.XLOOKUP(tblOrdenes[[#This Row],[tipo_ot]],tblTiposOT[codigo],tblTiposOT[clasificacion],"sin_clasificar"))</f>
        <v/>
      </c>
      <c r="U880" s="3">
        <f>IF(tblOrdenes[[#This Row],[centro_costo]]="","",_xlfn.XLOOKUP(tblOrdenes[[#This Row],[centro_costo]],tblCECO[codigo],tblCECO[linea],"(sin catálogo)"))</f>
        <v/>
      </c>
      <c r="V880" s="3">
        <f>IF(tblOrdenes[[#This Row],[centro_costo]]="","",_xlfn.XLOOKUP(tblOrdenes[[#This Row],[centro_costo]],tblCECO[codigo],tblCECO[area],"(sin catálogo)"))</f>
        <v/>
      </c>
      <c r="W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3">
        <f>IF(tblOrdenes[[#This Row],[centro_costo]]="","",_xlfn.XLOOKUP(tblOrdenes[[#This Row],[centro_costo]],tblCECO[codigo],tblCECO[coordinador],"(sin catálogo)"))</f>
        <v/>
      </c>
      <c r="Y880" s="3">
        <f>IF(tblOrdenes[[#This Row],[puesto_trabajo]]="","",_xlfn.XLOOKUP(tblOrdenes[[#This Row],[puesto_trabajo]],tblPuestos[codigo],tblPuestos[especialidad],"(sin catálogo)"))</f>
        <v/>
      </c>
      <c r="Z880" s="3">
        <f>IF(tblOrdenes[[#This Row],[cod_actividad]]="","",_xlfn.XLOOKUP(tblOrdenes[[#This Row],[cod_actividad]],tblActividades[codigo],tblActividades[descripcion],"(sin catálogo)"))</f>
        <v/>
      </c>
      <c r="AA880" s="12">
        <f>IF(tblOrdenes[[#This Row],[fecha_inicio]]="","",TODAY()-tblOrdenes[[#This Row],[fecha_inicio]])</f>
        <v/>
      </c>
      <c r="AB8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3">
        <f>IF(tblOrdenes[[#This Row],[backlog_habiles]]="","",IF(tblOrdenes[[#This Row],[backlog_habiles]]&lt;0,"FUTURO",IF(tblOrdenes[[#This Row],[backlog_habiles]]&gt;p_dias_backlog_max,"BACKLOG","MES CORRIENTE")))</f>
        <v/>
      </c>
      <c r="AD880" s="3">
        <f>IF(tblOrdenes[[#This Row],[backlog_habiles]]="",FALSE,AND(tblOrdenes[[#This Row],[backlog_habiles]]&gt;p_dias_backlog_min,tblOrdenes[[#This Row],[backlog_habiles]]&lt;=p_dias_backlog_max))</f>
        <v/>
      </c>
      <c r="AE880" s="6" t="n"/>
      <c r="AF8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0">
        <f>IF(tblOrdenes[[#This Row],[orden]]="","",_xlfn.XLOOKUP(tblOrdenes[[#This Row],[id_operacion]],tblEjecucion[id_operacion],tblEjecucion[precio],0))</f>
        <v/>
      </c>
      <c r="AJ880" s="10">
        <f>IF(tblOrdenes[[#This Row],[orden]]="","",MAX(0,_xlfn.XLOOKUP(tblOrdenes[[#This Row],[id_operacion]],tblEjecucion[id_operacion],tblEjecucion[costo_plan_total],0)-tblOrdenes[[#This Row],[costo_servicio]]))</f>
        <v/>
      </c>
      <c r="AK880" s="10">
        <f>IF(tblOrdenes[[#This Row],[orden]]="","",tblOrdenes[[#This Row],[costo_servicio]]+tblOrdenes[[#This Row],[costo_materiales]])</f>
        <v/>
      </c>
      <c r="AL880" s="6" t="n"/>
      <c r="AM880" s="6" t="n"/>
      <c r="AN880" s="6" t="n"/>
      <c r="AO880" s="3">
        <f>IF(tblOrdenes[[#This Row],[link_checklist]]="","",HYPERLINK(p_ruta_base_checklists&amp;tblOrdenes[[#This Row],[link_checklist]],"abrir"))</f>
        <v/>
      </c>
      <c r="AP880" s="6" t="n"/>
      <c r="AQ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3">
        <f>IF(tblOrdenes[[#This Row],[tipo_ot]]="","",_xlfn.XLOOKUP(tblOrdenes[[#This Row],[tipo_ot]],tblTiposOT[codigo],tblTiposOT[clasificacion],"sin_clasificar"))</f>
        <v/>
      </c>
      <c r="U881" s="3">
        <f>IF(tblOrdenes[[#This Row],[centro_costo]]="","",_xlfn.XLOOKUP(tblOrdenes[[#This Row],[centro_costo]],tblCECO[codigo],tblCECO[linea],"(sin catálogo)"))</f>
        <v/>
      </c>
      <c r="V881" s="3">
        <f>IF(tblOrdenes[[#This Row],[centro_costo]]="","",_xlfn.XLOOKUP(tblOrdenes[[#This Row],[centro_costo]],tblCECO[codigo],tblCECO[area],"(sin catálogo)"))</f>
        <v/>
      </c>
      <c r="W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3">
        <f>IF(tblOrdenes[[#This Row],[centro_costo]]="","",_xlfn.XLOOKUP(tblOrdenes[[#This Row],[centro_costo]],tblCECO[codigo],tblCECO[coordinador],"(sin catálogo)"))</f>
        <v/>
      </c>
      <c r="Y881" s="3">
        <f>IF(tblOrdenes[[#This Row],[puesto_trabajo]]="","",_xlfn.XLOOKUP(tblOrdenes[[#This Row],[puesto_trabajo]],tblPuestos[codigo],tblPuestos[especialidad],"(sin catálogo)"))</f>
        <v/>
      </c>
      <c r="Z881" s="3">
        <f>IF(tblOrdenes[[#This Row],[cod_actividad]]="","",_xlfn.XLOOKUP(tblOrdenes[[#This Row],[cod_actividad]],tblActividades[codigo],tblActividades[descripcion],"(sin catálogo)"))</f>
        <v/>
      </c>
      <c r="AA881" s="12">
        <f>IF(tblOrdenes[[#This Row],[fecha_inicio]]="","",TODAY()-tblOrdenes[[#This Row],[fecha_inicio]])</f>
        <v/>
      </c>
      <c r="AB8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3">
        <f>IF(tblOrdenes[[#This Row],[backlog_habiles]]="","",IF(tblOrdenes[[#This Row],[backlog_habiles]]&lt;0,"FUTURO",IF(tblOrdenes[[#This Row],[backlog_habiles]]&gt;p_dias_backlog_max,"BACKLOG","MES CORRIENTE")))</f>
        <v/>
      </c>
      <c r="AD881" s="3">
        <f>IF(tblOrdenes[[#This Row],[backlog_habiles]]="",FALSE,AND(tblOrdenes[[#This Row],[backlog_habiles]]&gt;p_dias_backlog_min,tblOrdenes[[#This Row],[backlog_habiles]]&lt;=p_dias_backlog_max))</f>
        <v/>
      </c>
      <c r="AE881" s="6" t="n"/>
      <c r="AF8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0">
        <f>IF(tblOrdenes[[#This Row],[orden]]="","",_xlfn.XLOOKUP(tblOrdenes[[#This Row],[id_operacion]],tblEjecucion[id_operacion],tblEjecucion[precio],0))</f>
        <v/>
      </c>
      <c r="AJ881" s="10">
        <f>IF(tblOrdenes[[#This Row],[orden]]="","",MAX(0,_xlfn.XLOOKUP(tblOrdenes[[#This Row],[id_operacion]],tblEjecucion[id_operacion],tblEjecucion[costo_plan_total],0)-tblOrdenes[[#This Row],[costo_servicio]]))</f>
        <v/>
      </c>
      <c r="AK881" s="10">
        <f>IF(tblOrdenes[[#This Row],[orden]]="","",tblOrdenes[[#This Row],[costo_servicio]]+tblOrdenes[[#This Row],[costo_materiales]])</f>
        <v/>
      </c>
      <c r="AL881" s="6" t="n"/>
      <c r="AM881" s="6" t="n"/>
      <c r="AN881" s="6" t="n"/>
      <c r="AO881" s="3">
        <f>IF(tblOrdenes[[#This Row],[link_checklist]]="","",HYPERLINK(p_ruta_base_checklists&amp;tblOrdenes[[#This Row],[link_checklist]],"abrir"))</f>
        <v/>
      </c>
      <c r="AP881" s="6" t="n"/>
      <c r="AQ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3">
        <f>IF(tblOrdenes[[#This Row],[tipo_ot]]="","",_xlfn.XLOOKUP(tblOrdenes[[#This Row],[tipo_ot]],tblTiposOT[codigo],tblTiposOT[clasificacion],"sin_clasificar"))</f>
        <v/>
      </c>
      <c r="U882" s="3">
        <f>IF(tblOrdenes[[#This Row],[centro_costo]]="","",_xlfn.XLOOKUP(tblOrdenes[[#This Row],[centro_costo]],tblCECO[codigo],tblCECO[linea],"(sin catálogo)"))</f>
        <v/>
      </c>
      <c r="V882" s="3">
        <f>IF(tblOrdenes[[#This Row],[centro_costo]]="","",_xlfn.XLOOKUP(tblOrdenes[[#This Row],[centro_costo]],tblCECO[codigo],tblCECO[area],"(sin catálogo)"))</f>
        <v/>
      </c>
      <c r="W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3">
        <f>IF(tblOrdenes[[#This Row],[centro_costo]]="","",_xlfn.XLOOKUP(tblOrdenes[[#This Row],[centro_costo]],tblCECO[codigo],tblCECO[coordinador],"(sin catálogo)"))</f>
        <v/>
      </c>
      <c r="Y882" s="3">
        <f>IF(tblOrdenes[[#This Row],[puesto_trabajo]]="","",_xlfn.XLOOKUP(tblOrdenes[[#This Row],[puesto_trabajo]],tblPuestos[codigo],tblPuestos[especialidad],"(sin catálogo)"))</f>
        <v/>
      </c>
      <c r="Z882" s="3">
        <f>IF(tblOrdenes[[#This Row],[cod_actividad]]="","",_xlfn.XLOOKUP(tblOrdenes[[#This Row],[cod_actividad]],tblActividades[codigo],tblActividades[descripcion],"(sin catálogo)"))</f>
        <v/>
      </c>
      <c r="AA882" s="12">
        <f>IF(tblOrdenes[[#This Row],[fecha_inicio]]="","",TODAY()-tblOrdenes[[#This Row],[fecha_inicio]])</f>
        <v/>
      </c>
      <c r="AB8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3">
        <f>IF(tblOrdenes[[#This Row],[backlog_habiles]]="","",IF(tblOrdenes[[#This Row],[backlog_habiles]]&lt;0,"FUTURO",IF(tblOrdenes[[#This Row],[backlog_habiles]]&gt;p_dias_backlog_max,"BACKLOG","MES CORRIENTE")))</f>
        <v/>
      </c>
      <c r="AD882" s="3">
        <f>IF(tblOrdenes[[#This Row],[backlog_habiles]]="",FALSE,AND(tblOrdenes[[#This Row],[backlog_habiles]]&gt;p_dias_backlog_min,tblOrdenes[[#This Row],[backlog_habiles]]&lt;=p_dias_backlog_max))</f>
        <v/>
      </c>
      <c r="AE882" s="6" t="n"/>
      <c r="AF8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0">
        <f>IF(tblOrdenes[[#This Row],[orden]]="","",_xlfn.XLOOKUP(tblOrdenes[[#This Row],[id_operacion]],tblEjecucion[id_operacion],tblEjecucion[precio],0))</f>
        <v/>
      </c>
      <c r="AJ882" s="10">
        <f>IF(tblOrdenes[[#This Row],[orden]]="","",MAX(0,_xlfn.XLOOKUP(tblOrdenes[[#This Row],[id_operacion]],tblEjecucion[id_operacion],tblEjecucion[costo_plan_total],0)-tblOrdenes[[#This Row],[costo_servicio]]))</f>
        <v/>
      </c>
      <c r="AK882" s="10">
        <f>IF(tblOrdenes[[#This Row],[orden]]="","",tblOrdenes[[#This Row],[costo_servicio]]+tblOrdenes[[#This Row],[costo_materiales]])</f>
        <v/>
      </c>
      <c r="AL882" s="6" t="n"/>
      <c r="AM882" s="6" t="n"/>
      <c r="AN882" s="6" t="n"/>
      <c r="AO882" s="3">
        <f>IF(tblOrdenes[[#This Row],[link_checklist]]="","",HYPERLINK(p_ruta_base_checklists&amp;tblOrdenes[[#This Row],[link_checklist]],"abrir"))</f>
        <v/>
      </c>
      <c r="AP882" s="6" t="n"/>
      <c r="AQ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3">
        <f>IF(tblOrdenes[[#This Row],[tipo_ot]]="","",_xlfn.XLOOKUP(tblOrdenes[[#This Row],[tipo_ot]],tblTiposOT[codigo],tblTiposOT[clasificacion],"sin_clasificar"))</f>
        <v/>
      </c>
      <c r="U883" s="3">
        <f>IF(tblOrdenes[[#This Row],[centro_costo]]="","",_xlfn.XLOOKUP(tblOrdenes[[#This Row],[centro_costo]],tblCECO[codigo],tblCECO[linea],"(sin catálogo)"))</f>
        <v/>
      </c>
      <c r="V883" s="3">
        <f>IF(tblOrdenes[[#This Row],[centro_costo]]="","",_xlfn.XLOOKUP(tblOrdenes[[#This Row],[centro_costo]],tblCECO[codigo],tblCECO[area],"(sin catálogo)"))</f>
        <v/>
      </c>
      <c r="W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3">
        <f>IF(tblOrdenes[[#This Row],[centro_costo]]="","",_xlfn.XLOOKUP(tblOrdenes[[#This Row],[centro_costo]],tblCECO[codigo],tblCECO[coordinador],"(sin catálogo)"))</f>
        <v/>
      </c>
      <c r="Y883" s="3">
        <f>IF(tblOrdenes[[#This Row],[puesto_trabajo]]="","",_xlfn.XLOOKUP(tblOrdenes[[#This Row],[puesto_trabajo]],tblPuestos[codigo],tblPuestos[especialidad],"(sin catálogo)"))</f>
        <v/>
      </c>
      <c r="Z883" s="3">
        <f>IF(tblOrdenes[[#This Row],[cod_actividad]]="","",_xlfn.XLOOKUP(tblOrdenes[[#This Row],[cod_actividad]],tblActividades[codigo],tblActividades[descripcion],"(sin catálogo)"))</f>
        <v/>
      </c>
      <c r="AA883" s="12">
        <f>IF(tblOrdenes[[#This Row],[fecha_inicio]]="","",TODAY()-tblOrdenes[[#This Row],[fecha_inicio]])</f>
        <v/>
      </c>
      <c r="AB8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3">
        <f>IF(tblOrdenes[[#This Row],[backlog_habiles]]="","",IF(tblOrdenes[[#This Row],[backlog_habiles]]&lt;0,"FUTURO",IF(tblOrdenes[[#This Row],[backlog_habiles]]&gt;p_dias_backlog_max,"BACKLOG","MES CORRIENTE")))</f>
        <v/>
      </c>
      <c r="AD883" s="3">
        <f>IF(tblOrdenes[[#This Row],[backlog_habiles]]="",FALSE,AND(tblOrdenes[[#This Row],[backlog_habiles]]&gt;p_dias_backlog_min,tblOrdenes[[#This Row],[backlog_habiles]]&lt;=p_dias_backlog_max))</f>
        <v/>
      </c>
      <c r="AE883" s="6" t="n"/>
      <c r="AF8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0">
        <f>IF(tblOrdenes[[#This Row],[orden]]="","",_xlfn.XLOOKUP(tblOrdenes[[#This Row],[id_operacion]],tblEjecucion[id_operacion],tblEjecucion[precio],0))</f>
        <v/>
      </c>
      <c r="AJ883" s="10">
        <f>IF(tblOrdenes[[#This Row],[orden]]="","",MAX(0,_xlfn.XLOOKUP(tblOrdenes[[#This Row],[id_operacion]],tblEjecucion[id_operacion],tblEjecucion[costo_plan_total],0)-tblOrdenes[[#This Row],[costo_servicio]]))</f>
        <v/>
      </c>
      <c r="AK883" s="10">
        <f>IF(tblOrdenes[[#This Row],[orden]]="","",tblOrdenes[[#This Row],[costo_servicio]]+tblOrdenes[[#This Row],[costo_materiales]])</f>
        <v/>
      </c>
      <c r="AL883" s="6" t="n"/>
      <c r="AM883" s="6" t="n"/>
      <c r="AN883" s="6" t="n"/>
      <c r="AO883" s="3">
        <f>IF(tblOrdenes[[#This Row],[link_checklist]]="","",HYPERLINK(p_ruta_base_checklists&amp;tblOrdenes[[#This Row],[link_checklist]],"abrir"))</f>
        <v/>
      </c>
      <c r="AP883" s="6" t="n"/>
      <c r="AQ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3">
        <f>IF(tblOrdenes[[#This Row],[tipo_ot]]="","",_xlfn.XLOOKUP(tblOrdenes[[#This Row],[tipo_ot]],tblTiposOT[codigo],tblTiposOT[clasificacion],"sin_clasificar"))</f>
        <v/>
      </c>
      <c r="U884" s="3">
        <f>IF(tblOrdenes[[#This Row],[centro_costo]]="","",_xlfn.XLOOKUP(tblOrdenes[[#This Row],[centro_costo]],tblCECO[codigo],tblCECO[linea],"(sin catálogo)"))</f>
        <v/>
      </c>
      <c r="V884" s="3">
        <f>IF(tblOrdenes[[#This Row],[centro_costo]]="","",_xlfn.XLOOKUP(tblOrdenes[[#This Row],[centro_costo]],tblCECO[codigo],tblCECO[area],"(sin catálogo)"))</f>
        <v/>
      </c>
      <c r="W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3">
        <f>IF(tblOrdenes[[#This Row],[centro_costo]]="","",_xlfn.XLOOKUP(tblOrdenes[[#This Row],[centro_costo]],tblCECO[codigo],tblCECO[coordinador],"(sin catálogo)"))</f>
        <v/>
      </c>
      <c r="Y884" s="3">
        <f>IF(tblOrdenes[[#This Row],[puesto_trabajo]]="","",_xlfn.XLOOKUP(tblOrdenes[[#This Row],[puesto_trabajo]],tblPuestos[codigo],tblPuestos[especialidad],"(sin catálogo)"))</f>
        <v/>
      </c>
      <c r="Z884" s="3">
        <f>IF(tblOrdenes[[#This Row],[cod_actividad]]="","",_xlfn.XLOOKUP(tblOrdenes[[#This Row],[cod_actividad]],tblActividades[codigo],tblActividades[descripcion],"(sin catálogo)"))</f>
        <v/>
      </c>
      <c r="AA884" s="12">
        <f>IF(tblOrdenes[[#This Row],[fecha_inicio]]="","",TODAY()-tblOrdenes[[#This Row],[fecha_inicio]])</f>
        <v/>
      </c>
      <c r="AB8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3">
        <f>IF(tblOrdenes[[#This Row],[backlog_habiles]]="","",IF(tblOrdenes[[#This Row],[backlog_habiles]]&lt;0,"FUTURO",IF(tblOrdenes[[#This Row],[backlog_habiles]]&gt;p_dias_backlog_max,"BACKLOG","MES CORRIENTE")))</f>
        <v/>
      </c>
      <c r="AD884" s="3">
        <f>IF(tblOrdenes[[#This Row],[backlog_habiles]]="",FALSE,AND(tblOrdenes[[#This Row],[backlog_habiles]]&gt;p_dias_backlog_min,tblOrdenes[[#This Row],[backlog_habiles]]&lt;=p_dias_backlog_max))</f>
        <v/>
      </c>
      <c r="AE884" s="6" t="n"/>
      <c r="AF8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0">
        <f>IF(tblOrdenes[[#This Row],[orden]]="","",_xlfn.XLOOKUP(tblOrdenes[[#This Row],[id_operacion]],tblEjecucion[id_operacion],tblEjecucion[precio],0))</f>
        <v/>
      </c>
      <c r="AJ884" s="10">
        <f>IF(tblOrdenes[[#This Row],[orden]]="","",MAX(0,_xlfn.XLOOKUP(tblOrdenes[[#This Row],[id_operacion]],tblEjecucion[id_operacion],tblEjecucion[costo_plan_total],0)-tblOrdenes[[#This Row],[costo_servicio]]))</f>
        <v/>
      </c>
      <c r="AK884" s="10">
        <f>IF(tblOrdenes[[#This Row],[orden]]="","",tblOrdenes[[#This Row],[costo_servicio]]+tblOrdenes[[#This Row],[costo_materiales]])</f>
        <v/>
      </c>
      <c r="AL884" s="6" t="n"/>
      <c r="AM884" s="6" t="n"/>
      <c r="AN884" s="6" t="n"/>
      <c r="AO884" s="3">
        <f>IF(tblOrdenes[[#This Row],[link_checklist]]="","",HYPERLINK(p_ruta_base_checklists&amp;tblOrdenes[[#This Row],[link_checklist]],"abrir"))</f>
        <v/>
      </c>
      <c r="AP884" s="6" t="n"/>
      <c r="AQ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3">
        <f>IF(tblOrdenes[[#This Row],[tipo_ot]]="","",_xlfn.XLOOKUP(tblOrdenes[[#This Row],[tipo_ot]],tblTiposOT[codigo],tblTiposOT[clasificacion],"sin_clasificar"))</f>
        <v/>
      </c>
      <c r="U885" s="3">
        <f>IF(tblOrdenes[[#This Row],[centro_costo]]="","",_xlfn.XLOOKUP(tblOrdenes[[#This Row],[centro_costo]],tblCECO[codigo],tblCECO[linea],"(sin catálogo)"))</f>
        <v/>
      </c>
      <c r="V885" s="3">
        <f>IF(tblOrdenes[[#This Row],[centro_costo]]="","",_xlfn.XLOOKUP(tblOrdenes[[#This Row],[centro_costo]],tblCECO[codigo],tblCECO[area],"(sin catálogo)"))</f>
        <v/>
      </c>
      <c r="W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3">
        <f>IF(tblOrdenes[[#This Row],[centro_costo]]="","",_xlfn.XLOOKUP(tblOrdenes[[#This Row],[centro_costo]],tblCECO[codigo],tblCECO[coordinador],"(sin catálogo)"))</f>
        <v/>
      </c>
      <c r="Y885" s="3">
        <f>IF(tblOrdenes[[#This Row],[puesto_trabajo]]="","",_xlfn.XLOOKUP(tblOrdenes[[#This Row],[puesto_trabajo]],tblPuestos[codigo],tblPuestos[especialidad],"(sin catálogo)"))</f>
        <v/>
      </c>
      <c r="Z885" s="3">
        <f>IF(tblOrdenes[[#This Row],[cod_actividad]]="","",_xlfn.XLOOKUP(tblOrdenes[[#This Row],[cod_actividad]],tblActividades[codigo],tblActividades[descripcion],"(sin catálogo)"))</f>
        <v/>
      </c>
      <c r="AA885" s="12">
        <f>IF(tblOrdenes[[#This Row],[fecha_inicio]]="","",TODAY()-tblOrdenes[[#This Row],[fecha_inicio]])</f>
        <v/>
      </c>
      <c r="AB8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3">
        <f>IF(tblOrdenes[[#This Row],[backlog_habiles]]="","",IF(tblOrdenes[[#This Row],[backlog_habiles]]&lt;0,"FUTURO",IF(tblOrdenes[[#This Row],[backlog_habiles]]&gt;p_dias_backlog_max,"BACKLOG","MES CORRIENTE")))</f>
        <v/>
      </c>
      <c r="AD885" s="3">
        <f>IF(tblOrdenes[[#This Row],[backlog_habiles]]="",FALSE,AND(tblOrdenes[[#This Row],[backlog_habiles]]&gt;p_dias_backlog_min,tblOrdenes[[#This Row],[backlog_habiles]]&lt;=p_dias_backlog_max))</f>
        <v/>
      </c>
      <c r="AE885" s="6" t="n"/>
      <c r="AF8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0">
        <f>IF(tblOrdenes[[#This Row],[orden]]="","",_xlfn.XLOOKUP(tblOrdenes[[#This Row],[id_operacion]],tblEjecucion[id_operacion],tblEjecucion[precio],0))</f>
        <v/>
      </c>
      <c r="AJ885" s="10">
        <f>IF(tblOrdenes[[#This Row],[orden]]="","",MAX(0,_xlfn.XLOOKUP(tblOrdenes[[#This Row],[id_operacion]],tblEjecucion[id_operacion],tblEjecucion[costo_plan_total],0)-tblOrdenes[[#This Row],[costo_servicio]]))</f>
        <v/>
      </c>
      <c r="AK885" s="10">
        <f>IF(tblOrdenes[[#This Row],[orden]]="","",tblOrdenes[[#This Row],[costo_servicio]]+tblOrdenes[[#This Row],[costo_materiales]])</f>
        <v/>
      </c>
      <c r="AL885" s="6" t="n"/>
      <c r="AM885" s="6" t="n"/>
      <c r="AN885" s="6" t="n"/>
      <c r="AO885" s="3">
        <f>IF(tblOrdenes[[#This Row],[link_checklist]]="","",HYPERLINK(p_ruta_base_checklists&amp;tblOrdenes[[#This Row],[link_checklist]],"abrir"))</f>
        <v/>
      </c>
      <c r="AP885" s="6" t="n"/>
      <c r="AQ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3">
        <f>IF(tblOrdenes[[#This Row],[tipo_ot]]="","",_xlfn.XLOOKUP(tblOrdenes[[#This Row],[tipo_ot]],tblTiposOT[codigo],tblTiposOT[clasificacion],"sin_clasificar"))</f>
        <v/>
      </c>
      <c r="U886" s="3">
        <f>IF(tblOrdenes[[#This Row],[centro_costo]]="","",_xlfn.XLOOKUP(tblOrdenes[[#This Row],[centro_costo]],tblCECO[codigo],tblCECO[linea],"(sin catálogo)"))</f>
        <v/>
      </c>
      <c r="V886" s="3">
        <f>IF(tblOrdenes[[#This Row],[centro_costo]]="","",_xlfn.XLOOKUP(tblOrdenes[[#This Row],[centro_costo]],tblCECO[codigo],tblCECO[area],"(sin catálogo)"))</f>
        <v/>
      </c>
      <c r="W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3">
        <f>IF(tblOrdenes[[#This Row],[centro_costo]]="","",_xlfn.XLOOKUP(tblOrdenes[[#This Row],[centro_costo]],tblCECO[codigo],tblCECO[coordinador],"(sin catálogo)"))</f>
        <v/>
      </c>
      <c r="Y886" s="3">
        <f>IF(tblOrdenes[[#This Row],[puesto_trabajo]]="","",_xlfn.XLOOKUP(tblOrdenes[[#This Row],[puesto_trabajo]],tblPuestos[codigo],tblPuestos[especialidad],"(sin catálogo)"))</f>
        <v/>
      </c>
      <c r="Z886" s="3">
        <f>IF(tblOrdenes[[#This Row],[cod_actividad]]="","",_xlfn.XLOOKUP(tblOrdenes[[#This Row],[cod_actividad]],tblActividades[codigo],tblActividades[descripcion],"(sin catálogo)"))</f>
        <v/>
      </c>
      <c r="AA886" s="12">
        <f>IF(tblOrdenes[[#This Row],[fecha_inicio]]="","",TODAY()-tblOrdenes[[#This Row],[fecha_inicio]])</f>
        <v/>
      </c>
      <c r="AB8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3">
        <f>IF(tblOrdenes[[#This Row],[backlog_habiles]]="","",IF(tblOrdenes[[#This Row],[backlog_habiles]]&lt;0,"FUTURO",IF(tblOrdenes[[#This Row],[backlog_habiles]]&gt;p_dias_backlog_max,"BACKLOG","MES CORRIENTE")))</f>
        <v/>
      </c>
      <c r="AD886" s="3">
        <f>IF(tblOrdenes[[#This Row],[backlog_habiles]]="",FALSE,AND(tblOrdenes[[#This Row],[backlog_habiles]]&gt;p_dias_backlog_min,tblOrdenes[[#This Row],[backlog_habiles]]&lt;=p_dias_backlog_max))</f>
        <v/>
      </c>
      <c r="AE886" s="6" t="n"/>
      <c r="AF8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0">
        <f>IF(tblOrdenes[[#This Row],[orden]]="","",_xlfn.XLOOKUP(tblOrdenes[[#This Row],[id_operacion]],tblEjecucion[id_operacion],tblEjecucion[precio],0))</f>
        <v/>
      </c>
      <c r="AJ886" s="10">
        <f>IF(tblOrdenes[[#This Row],[orden]]="","",MAX(0,_xlfn.XLOOKUP(tblOrdenes[[#This Row],[id_operacion]],tblEjecucion[id_operacion],tblEjecucion[costo_plan_total],0)-tblOrdenes[[#This Row],[costo_servicio]]))</f>
        <v/>
      </c>
      <c r="AK886" s="10">
        <f>IF(tblOrdenes[[#This Row],[orden]]="","",tblOrdenes[[#This Row],[costo_servicio]]+tblOrdenes[[#This Row],[costo_materiales]])</f>
        <v/>
      </c>
      <c r="AL886" s="6" t="n"/>
      <c r="AM886" s="6" t="n"/>
      <c r="AN886" s="6" t="n"/>
      <c r="AO886" s="3">
        <f>IF(tblOrdenes[[#This Row],[link_checklist]]="","",HYPERLINK(p_ruta_base_checklists&amp;tblOrdenes[[#This Row],[link_checklist]],"abrir"))</f>
        <v/>
      </c>
      <c r="AP886" s="6" t="n"/>
      <c r="AQ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3">
        <f>IF(tblOrdenes[[#This Row],[tipo_ot]]="","",_xlfn.XLOOKUP(tblOrdenes[[#This Row],[tipo_ot]],tblTiposOT[codigo],tblTiposOT[clasificacion],"sin_clasificar"))</f>
        <v/>
      </c>
      <c r="U887" s="3">
        <f>IF(tblOrdenes[[#This Row],[centro_costo]]="","",_xlfn.XLOOKUP(tblOrdenes[[#This Row],[centro_costo]],tblCECO[codigo],tblCECO[linea],"(sin catálogo)"))</f>
        <v/>
      </c>
      <c r="V887" s="3">
        <f>IF(tblOrdenes[[#This Row],[centro_costo]]="","",_xlfn.XLOOKUP(tblOrdenes[[#This Row],[centro_costo]],tblCECO[codigo],tblCECO[area],"(sin catálogo)"))</f>
        <v/>
      </c>
      <c r="W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3">
        <f>IF(tblOrdenes[[#This Row],[centro_costo]]="","",_xlfn.XLOOKUP(tblOrdenes[[#This Row],[centro_costo]],tblCECO[codigo],tblCECO[coordinador],"(sin catálogo)"))</f>
        <v/>
      </c>
      <c r="Y887" s="3">
        <f>IF(tblOrdenes[[#This Row],[puesto_trabajo]]="","",_xlfn.XLOOKUP(tblOrdenes[[#This Row],[puesto_trabajo]],tblPuestos[codigo],tblPuestos[especialidad],"(sin catálogo)"))</f>
        <v/>
      </c>
      <c r="Z887" s="3">
        <f>IF(tblOrdenes[[#This Row],[cod_actividad]]="","",_xlfn.XLOOKUP(tblOrdenes[[#This Row],[cod_actividad]],tblActividades[codigo],tblActividades[descripcion],"(sin catálogo)"))</f>
        <v/>
      </c>
      <c r="AA887" s="12">
        <f>IF(tblOrdenes[[#This Row],[fecha_inicio]]="","",TODAY()-tblOrdenes[[#This Row],[fecha_inicio]])</f>
        <v/>
      </c>
      <c r="AB8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3">
        <f>IF(tblOrdenes[[#This Row],[backlog_habiles]]="","",IF(tblOrdenes[[#This Row],[backlog_habiles]]&lt;0,"FUTURO",IF(tblOrdenes[[#This Row],[backlog_habiles]]&gt;p_dias_backlog_max,"BACKLOG","MES CORRIENTE")))</f>
        <v/>
      </c>
      <c r="AD887" s="3">
        <f>IF(tblOrdenes[[#This Row],[backlog_habiles]]="",FALSE,AND(tblOrdenes[[#This Row],[backlog_habiles]]&gt;p_dias_backlog_min,tblOrdenes[[#This Row],[backlog_habiles]]&lt;=p_dias_backlog_max))</f>
        <v/>
      </c>
      <c r="AE887" s="6" t="n"/>
      <c r="AF8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0">
        <f>IF(tblOrdenes[[#This Row],[orden]]="","",_xlfn.XLOOKUP(tblOrdenes[[#This Row],[id_operacion]],tblEjecucion[id_operacion],tblEjecucion[precio],0))</f>
        <v/>
      </c>
      <c r="AJ887" s="10">
        <f>IF(tblOrdenes[[#This Row],[orden]]="","",MAX(0,_xlfn.XLOOKUP(tblOrdenes[[#This Row],[id_operacion]],tblEjecucion[id_operacion],tblEjecucion[costo_plan_total],0)-tblOrdenes[[#This Row],[costo_servicio]]))</f>
        <v/>
      </c>
      <c r="AK887" s="10">
        <f>IF(tblOrdenes[[#This Row],[orden]]="","",tblOrdenes[[#This Row],[costo_servicio]]+tblOrdenes[[#This Row],[costo_materiales]])</f>
        <v/>
      </c>
      <c r="AL887" s="6" t="n"/>
      <c r="AM887" s="6" t="n"/>
      <c r="AN887" s="6" t="n"/>
      <c r="AO887" s="3">
        <f>IF(tblOrdenes[[#This Row],[link_checklist]]="","",HYPERLINK(p_ruta_base_checklists&amp;tblOrdenes[[#This Row],[link_checklist]],"abrir"))</f>
        <v/>
      </c>
      <c r="AP887" s="6" t="n"/>
      <c r="AQ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3">
        <f>IF(tblOrdenes[[#This Row],[tipo_ot]]="","",_xlfn.XLOOKUP(tblOrdenes[[#This Row],[tipo_ot]],tblTiposOT[codigo],tblTiposOT[clasificacion],"sin_clasificar"))</f>
        <v/>
      </c>
      <c r="U888" s="3">
        <f>IF(tblOrdenes[[#This Row],[centro_costo]]="","",_xlfn.XLOOKUP(tblOrdenes[[#This Row],[centro_costo]],tblCECO[codigo],tblCECO[linea],"(sin catálogo)"))</f>
        <v/>
      </c>
      <c r="V888" s="3">
        <f>IF(tblOrdenes[[#This Row],[centro_costo]]="","",_xlfn.XLOOKUP(tblOrdenes[[#This Row],[centro_costo]],tblCECO[codigo],tblCECO[area],"(sin catálogo)"))</f>
        <v/>
      </c>
      <c r="W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3">
        <f>IF(tblOrdenes[[#This Row],[centro_costo]]="","",_xlfn.XLOOKUP(tblOrdenes[[#This Row],[centro_costo]],tblCECO[codigo],tblCECO[coordinador],"(sin catálogo)"))</f>
        <v/>
      </c>
      <c r="Y888" s="3">
        <f>IF(tblOrdenes[[#This Row],[puesto_trabajo]]="","",_xlfn.XLOOKUP(tblOrdenes[[#This Row],[puesto_trabajo]],tblPuestos[codigo],tblPuestos[especialidad],"(sin catálogo)"))</f>
        <v/>
      </c>
      <c r="Z888" s="3">
        <f>IF(tblOrdenes[[#This Row],[cod_actividad]]="","",_xlfn.XLOOKUP(tblOrdenes[[#This Row],[cod_actividad]],tblActividades[codigo],tblActividades[descripcion],"(sin catálogo)"))</f>
        <v/>
      </c>
      <c r="AA888" s="12">
        <f>IF(tblOrdenes[[#This Row],[fecha_inicio]]="","",TODAY()-tblOrdenes[[#This Row],[fecha_inicio]])</f>
        <v/>
      </c>
      <c r="AB8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3">
        <f>IF(tblOrdenes[[#This Row],[backlog_habiles]]="","",IF(tblOrdenes[[#This Row],[backlog_habiles]]&lt;0,"FUTURO",IF(tblOrdenes[[#This Row],[backlog_habiles]]&gt;p_dias_backlog_max,"BACKLOG","MES CORRIENTE")))</f>
        <v/>
      </c>
      <c r="AD888" s="3">
        <f>IF(tblOrdenes[[#This Row],[backlog_habiles]]="",FALSE,AND(tblOrdenes[[#This Row],[backlog_habiles]]&gt;p_dias_backlog_min,tblOrdenes[[#This Row],[backlog_habiles]]&lt;=p_dias_backlog_max))</f>
        <v/>
      </c>
      <c r="AE888" s="6" t="n"/>
      <c r="AF8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0">
        <f>IF(tblOrdenes[[#This Row],[orden]]="","",_xlfn.XLOOKUP(tblOrdenes[[#This Row],[id_operacion]],tblEjecucion[id_operacion],tblEjecucion[precio],0))</f>
        <v/>
      </c>
      <c r="AJ888" s="10">
        <f>IF(tblOrdenes[[#This Row],[orden]]="","",MAX(0,_xlfn.XLOOKUP(tblOrdenes[[#This Row],[id_operacion]],tblEjecucion[id_operacion],tblEjecucion[costo_plan_total],0)-tblOrdenes[[#This Row],[costo_servicio]]))</f>
        <v/>
      </c>
      <c r="AK888" s="10">
        <f>IF(tblOrdenes[[#This Row],[orden]]="","",tblOrdenes[[#This Row],[costo_servicio]]+tblOrdenes[[#This Row],[costo_materiales]])</f>
        <v/>
      </c>
      <c r="AL888" s="6" t="n"/>
      <c r="AM888" s="6" t="n"/>
      <c r="AN888" s="6" t="n"/>
      <c r="AO888" s="3">
        <f>IF(tblOrdenes[[#This Row],[link_checklist]]="","",HYPERLINK(p_ruta_base_checklists&amp;tblOrdenes[[#This Row],[link_checklist]],"abrir"))</f>
        <v/>
      </c>
      <c r="AP888" s="6" t="n"/>
      <c r="AQ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3">
        <f>IF(tblOrdenes[[#This Row],[tipo_ot]]="","",_xlfn.XLOOKUP(tblOrdenes[[#This Row],[tipo_ot]],tblTiposOT[codigo],tblTiposOT[clasificacion],"sin_clasificar"))</f>
        <v/>
      </c>
      <c r="U889" s="3">
        <f>IF(tblOrdenes[[#This Row],[centro_costo]]="","",_xlfn.XLOOKUP(tblOrdenes[[#This Row],[centro_costo]],tblCECO[codigo],tblCECO[linea],"(sin catálogo)"))</f>
        <v/>
      </c>
      <c r="V889" s="3">
        <f>IF(tblOrdenes[[#This Row],[centro_costo]]="","",_xlfn.XLOOKUP(tblOrdenes[[#This Row],[centro_costo]],tblCECO[codigo],tblCECO[area],"(sin catálogo)"))</f>
        <v/>
      </c>
      <c r="W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3">
        <f>IF(tblOrdenes[[#This Row],[centro_costo]]="","",_xlfn.XLOOKUP(tblOrdenes[[#This Row],[centro_costo]],tblCECO[codigo],tblCECO[coordinador],"(sin catálogo)"))</f>
        <v/>
      </c>
      <c r="Y889" s="3">
        <f>IF(tblOrdenes[[#This Row],[puesto_trabajo]]="","",_xlfn.XLOOKUP(tblOrdenes[[#This Row],[puesto_trabajo]],tblPuestos[codigo],tblPuestos[especialidad],"(sin catálogo)"))</f>
        <v/>
      </c>
      <c r="Z889" s="3">
        <f>IF(tblOrdenes[[#This Row],[cod_actividad]]="","",_xlfn.XLOOKUP(tblOrdenes[[#This Row],[cod_actividad]],tblActividades[codigo],tblActividades[descripcion],"(sin catálogo)"))</f>
        <v/>
      </c>
      <c r="AA889" s="12">
        <f>IF(tblOrdenes[[#This Row],[fecha_inicio]]="","",TODAY()-tblOrdenes[[#This Row],[fecha_inicio]])</f>
        <v/>
      </c>
      <c r="AB8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3">
        <f>IF(tblOrdenes[[#This Row],[backlog_habiles]]="","",IF(tblOrdenes[[#This Row],[backlog_habiles]]&lt;0,"FUTURO",IF(tblOrdenes[[#This Row],[backlog_habiles]]&gt;p_dias_backlog_max,"BACKLOG","MES CORRIENTE")))</f>
        <v/>
      </c>
      <c r="AD889" s="3">
        <f>IF(tblOrdenes[[#This Row],[backlog_habiles]]="",FALSE,AND(tblOrdenes[[#This Row],[backlog_habiles]]&gt;p_dias_backlog_min,tblOrdenes[[#This Row],[backlog_habiles]]&lt;=p_dias_backlog_max))</f>
        <v/>
      </c>
      <c r="AE889" s="6" t="n"/>
      <c r="AF8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0">
        <f>IF(tblOrdenes[[#This Row],[orden]]="","",_xlfn.XLOOKUP(tblOrdenes[[#This Row],[id_operacion]],tblEjecucion[id_operacion],tblEjecucion[precio],0))</f>
        <v/>
      </c>
      <c r="AJ889" s="10">
        <f>IF(tblOrdenes[[#This Row],[orden]]="","",MAX(0,_xlfn.XLOOKUP(tblOrdenes[[#This Row],[id_operacion]],tblEjecucion[id_operacion],tblEjecucion[costo_plan_total],0)-tblOrdenes[[#This Row],[costo_servicio]]))</f>
        <v/>
      </c>
      <c r="AK889" s="10">
        <f>IF(tblOrdenes[[#This Row],[orden]]="","",tblOrdenes[[#This Row],[costo_servicio]]+tblOrdenes[[#This Row],[costo_materiales]])</f>
        <v/>
      </c>
      <c r="AL889" s="6" t="n"/>
      <c r="AM889" s="6" t="n"/>
      <c r="AN889" s="6" t="n"/>
      <c r="AO889" s="3">
        <f>IF(tblOrdenes[[#This Row],[link_checklist]]="","",HYPERLINK(p_ruta_base_checklists&amp;tblOrdenes[[#This Row],[link_checklist]],"abrir"))</f>
        <v/>
      </c>
      <c r="AP889" s="6" t="n"/>
      <c r="AQ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3">
        <f>IF(tblOrdenes[[#This Row],[tipo_ot]]="","",_xlfn.XLOOKUP(tblOrdenes[[#This Row],[tipo_ot]],tblTiposOT[codigo],tblTiposOT[clasificacion],"sin_clasificar"))</f>
        <v/>
      </c>
      <c r="U890" s="3">
        <f>IF(tblOrdenes[[#This Row],[centro_costo]]="","",_xlfn.XLOOKUP(tblOrdenes[[#This Row],[centro_costo]],tblCECO[codigo],tblCECO[linea],"(sin catálogo)"))</f>
        <v/>
      </c>
      <c r="V890" s="3">
        <f>IF(tblOrdenes[[#This Row],[centro_costo]]="","",_xlfn.XLOOKUP(tblOrdenes[[#This Row],[centro_costo]],tblCECO[codigo],tblCECO[area],"(sin catálogo)"))</f>
        <v/>
      </c>
      <c r="W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3">
        <f>IF(tblOrdenes[[#This Row],[centro_costo]]="","",_xlfn.XLOOKUP(tblOrdenes[[#This Row],[centro_costo]],tblCECO[codigo],tblCECO[coordinador],"(sin catálogo)"))</f>
        <v/>
      </c>
      <c r="Y890" s="3">
        <f>IF(tblOrdenes[[#This Row],[puesto_trabajo]]="","",_xlfn.XLOOKUP(tblOrdenes[[#This Row],[puesto_trabajo]],tblPuestos[codigo],tblPuestos[especialidad],"(sin catálogo)"))</f>
        <v/>
      </c>
      <c r="Z890" s="3">
        <f>IF(tblOrdenes[[#This Row],[cod_actividad]]="","",_xlfn.XLOOKUP(tblOrdenes[[#This Row],[cod_actividad]],tblActividades[codigo],tblActividades[descripcion],"(sin catálogo)"))</f>
        <v/>
      </c>
      <c r="AA890" s="12">
        <f>IF(tblOrdenes[[#This Row],[fecha_inicio]]="","",TODAY()-tblOrdenes[[#This Row],[fecha_inicio]])</f>
        <v/>
      </c>
      <c r="AB8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3">
        <f>IF(tblOrdenes[[#This Row],[backlog_habiles]]="","",IF(tblOrdenes[[#This Row],[backlog_habiles]]&lt;0,"FUTURO",IF(tblOrdenes[[#This Row],[backlog_habiles]]&gt;p_dias_backlog_max,"BACKLOG","MES CORRIENTE")))</f>
        <v/>
      </c>
      <c r="AD890" s="3">
        <f>IF(tblOrdenes[[#This Row],[backlog_habiles]]="",FALSE,AND(tblOrdenes[[#This Row],[backlog_habiles]]&gt;p_dias_backlog_min,tblOrdenes[[#This Row],[backlog_habiles]]&lt;=p_dias_backlog_max))</f>
        <v/>
      </c>
      <c r="AE890" s="6" t="n"/>
      <c r="AF8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0">
        <f>IF(tblOrdenes[[#This Row],[orden]]="","",_xlfn.XLOOKUP(tblOrdenes[[#This Row],[id_operacion]],tblEjecucion[id_operacion],tblEjecucion[precio],0))</f>
        <v/>
      </c>
      <c r="AJ890" s="10">
        <f>IF(tblOrdenes[[#This Row],[orden]]="","",MAX(0,_xlfn.XLOOKUP(tblOrdenes[[#This Row],[id_operacion]],tblEjecucion[id_operacion],tblEjecucion[costo_plan_total],0)-tblOrdenes[[#This Row],[costo_servicio]]))</f>
        <v/>
      </c>
      <c r="AK890" s="10">
        <f>IF(tblOrdenes[[#This Row],[orden]]="","",tblOrdenes[[#This Row],[costo_servicio]]+tblOrdenes[[#This Row],[costo_materiales]])</f>
        <v/>
      </c>
      <c r="AL890" s="6" t="n"/>
      <c r="AM890" s="6" t="n"/>
      <c r="AN890" s="6" t="n"/>
      <c r="AO890" s="3">
        <f>IF(tblOrdenes[[#This Row],[link_checklist]]="","",HYPERLINK(p_ruta_base_checklists&amp;tblOrdenes[[#This Row],[link_checklist]],"abrir"))</f>
        <v/>
      </c>
      <c r="AP890" s="6" t="n"/>
      <c r="AQ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3">
        <f>IF(tblOrdenes[[#This Row],[tipo_ot]]="","",_xlfn.XLOOKUP(tblOrdenes[[#This Row],[tipo_ot]],tblTiposOT[codigo],tblTiposOT[clasificacion],"sin_clasificar"))</f>
        <v/>
      </c>
      <c r="U891" s="3">
        <f>IF(tblOrdenes[[#This Row],[centro_costo]]="","",_xlfn.XLOOKUP(tblOrdenes[[#This Row],[centro_costo]],tblCECO[codigo],tblCECO[linea],"(sin catálogo)"))</f>
        <v/>
      </c>
      <c r="V891" s="3">
        <f>IF(tblOrdenes[[#This Row],[centro_costo]]="","",_xlfn.XLOOKUP(tblOrdenes[[#This Row],[centro_costo]],tblCECO[codigo],tblCECO[area],"(sin catálogo)"))</f>
        <v/>
      </c>
      <c r="W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3">
        <f>IF(tblOrdenes[[#This Row],[centro_costo]]="","",_xlfn.XLOOKUP(tblOrdenes[[#This Row],[centro_costo]],tblCECO[codigo],tblCECO[coordinador],"(sin catálogo)"))</f>
        <v/>
      </c>
      <c r="Y891" s="3">
        <f>IF(tblOrdenes[[#This Row],[puesto_trabajo]]="","",_xlfn.XLOOKUP(tblOrdenes[[#This Row],[puesto_trabajo]],tblPuestos[codigo],tblPuestos[especialidad],"(sin catálogo)"))</f>
        <v/>
      </c>
      <c r="Z891" s="3">
        <f>IF(tblOrdenes[[#This Row],[cod_actividad]]="","",_xlfn.XLOOKUP(tblOrdenes[[#This Row],[cod_actividad]],tblActividades[codigo],tblActividades[descripcion],"(sin catálogo)"))</f>
        <v/>
      </c>
      <c r="AA891" s="12">
        <f>IF(tblOrdenes[[#This Row],[fecha_inicio]]="","",TODAY()-tblOrdenes[[#This Row],[fecha_inicio]])</f>
        <v/>
      </c>
      <c r="AB8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3">
        <f>IF(tblOrdenes[[#This Row],[backlog_habiles]]="","",IF(tblOrdenes[[#This Row],[backlog_habiles]]&lt;0,"FUTURO",IF(tblOrdenes[[#This Row],[backlog_habiles]]&gt;p_dias_backlog_max,"BACKLOG","MES CORRIENTE")))</f>
        <v/>
      </c>
      <c r="AD891" s="3">
        <f>IF(tblOrdenes[[#This Row],[backlog_habiles]]="",FALSE,AND(tblOrdenes[[#This Row],[backlog_habiles]]&gt;p_dias_backlog_min,tblOrdenes[[#This Row],[backlog_habiles]]&lt;=p_dias_backlog_max))</f>
        <v/>
      </c>
      <c r="AE891" s="6" t="n"/>
      <c r="AF8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0">
        <f>IF(tblOrdenes[[#This Row],[orden]]="","",_xlfn.XLOOKUP(tblOrdenes[[#This Row],[id_operacion]],tblEjecucion[id_operacion],tblEjecucion[precio],0))</f>
        <v/>
      </c>
      <c r="AJ891" s="10">
        <f>IF(tblOrdenes[[#This Row],[orden]]="","",MAX(0,_xlfn.XLOOKUP(tblOrdenes[[#This Row],[id_operacion]],tblEjecucion[id_operacion],tblEjecucion[costo_plan_total],0)-tblOrdenes[[#This Row],[costo_servicio]]))</f>
        <v/>
      </c>
      <c r="AK891" s="10">
        <f>IF(tblOrdenes[[#This Row],[orden]]="","",tblOrdenes[[#This Row],[costo_servicio]]+tblOrdenes[[#This Row],[costo_materiales]])</f>
        <v/>
      </c>
      <c r="AL891" s="6" t="n"/>
      <c r="AM891" s="6" t="n"/>
      <c r="AN891" s="6" t="n"/>
      <c r="AO891" s="3">
        <f>IF(tblOrdenes[[#This Row],[link_checklist]]="","",HYPERLINK(p_ruta_base_checklists&amp;tblOrdenes[[#This Row],[link_checklist]],"abrir"))</f>
        <v/>
      </c>
      <c r="AP891" s="6" t="n"/>
      <c r="AQ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3">
        <f>IF(tblOrdenes[[#This Row],[tipo_ot]]="","",_xlfn.XLOOKUP(tblOrdenes[[#This Row],[tipo_ot]],tblTiposOT[codigo],tblTiposOT[clasificacion],"sin_clasificar"))</f>
        <v/>
      </c>
      <c r="U892" s="3">
        <f>IF(tblOrdenes[[#This Row],[centro_costo]]="","",_xlfn.XLOOKUP(tblOrdenes[[#This Row],[centro_costo]],tblCECO[codigo],tblCECO[linea],"(sin catálogo)"))</f>
        <v/>
      </c>
      <c r="V892" s="3">
        <f>IF(tblOrdenes[[#This Row],[centro_costo]]="","",_xlfn.XLOOKUP(tblOrdenes[[#This Row],[centro_costo]],tblCECO[codigo],tblCECO[area],"(sin catálogo)"))</f>
        <v/>
      </c>
      <c r="W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3">
        <f>IF(tblOrdenes[[#This Row],[centro_costo]]="","",_xlfn.XLOOKUP(tblOrdenes[[#This Row],[centro_costo]],tblCECO[codigo],tblCECO[coordinador],"(sin catálogo)"))</f>
        <v/>
      </c>
      <c r="Y892" s="3">
        <f>IF(tblOrdenes[[#This Row],[puesto_trabajo]]="","",_xlfn.XLOOKUP(tblOrdenes[[#This Row],[puesto_trabajo]],tblPuestos[codigo],tblPuestos[especialidad],"(sin catálogo)"))</f>
        <v/>
      </c>
      <c r="Z892" s="3">
        <f>IF(tblOrdenes[[#This Row],[cod_actividad]]="","",_xlfn.XLOOKUP(tblOrdenes[[#This Row],[cod_actividad]],tblActividades[codigo],tblActividades[descripcion],"(sin catálogo)"))</f>
        <v/>
      </c>
      <c r="AA892" s="12">
        <f>IF(tblOrdenes[[#This Row],[fecha_inicio]]="","",TODAY()-tblOrdenes[[#This Row],[fecha_inicio]])</f>
        <v/>
      </c>
      <c r="AB8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3">
        <f>IF(tblOrdenes[[#This Row],[backlog_habiles]]="","",IF(tblOrdenes[[#This Row],[backlog_habiles]]&lt;0,"FUTURO",IF(tblOrdenes[[#This Row],[backlog_habiles]]&gt;p_dias_backlog_max,"BACKLOG","MES CORRIENTE")))</f>
        <v/>
      </c>
      <c r="AD892" s="3">
        <f>IF(tblOrdenes[[#This Row],[backlog_habiles]]="",FALSE,AND(tblOrdenes[[#This Row],[backlog_habiles]]&gt;p_dias_backlog_min,tblOrdenes[[#This Row],[backlog_habiles]]&lt;=p_dias_backlog_max))</f>
        <v/>
      </c>
      <c r="AE892" s="6" t="n"/>
      <c r="AF8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0">
        <f>IF(tblOrdenes[[#This Row],[orden]]="","",_xlfn.XLOOKUP(tblOrdenes[[#This Row],[id_operacion]],tblEjecucion[id_operacion],tblEjecucion[precio],0))</f>
        <v/>
      </c>
      <c r="AJ892" s="10">
        <f>IF(tblOrdenes[[#This Row],[orden]]="","",MAX(0,_xlfn.XLOOKUP(tblOrdenes[[#This Row],[id_operacion]],tblEjecucion[id_operacion],tblEjecucion[costo_plan_total],0)-tblOrdenes[[#This Row],[costo_servicio]]))</f>
        <v/>
      </c>
      <c r="AK892" s="10">
        <f>IF(tblOrdenes[[#This Row],[orden]]="","",tblOrdenes[[#This Row],[costo_servicio]]+tblOrdenes[[#This Row],[costo_materiales]])</f>
        <v/>
      </c>
      <c r="AL892" s="6" t="n"/>
      <c r="AM892" s="6" t="n"/>
      <c r="AN892" s="6" t="n"/>
      <c r="AO892" s="3">
        <f>IF(tblOrdenes[[#This Row],[link_checklist]]="","",HYPERLINK(p_ruta_base_checklists&amp;tblOrdenes[[#This Row],[link_checklist]],"abrir"))</f>
        <v/>
      </c>
      <c r="AP892" s="6" t="n"/>
      <c r="AQ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3">
        <f>IF(tblOrdenes[[#This Row],[tipo_ot]]="","",_xlfn.XLOOKUP(tblOrdenes[[#This Row],[tipo_ot]],tblTiposOT[codigo],tblTiposOT[clasificacion],"sin_clasificar"))</f>
        <v/>
      </c>
      <c r="U893" s="3">
        <f>IF(tblOrdenes[[#This Row],[centro_costo]]="","",_xlfn.XLOOKUP(tblOrdenes[[#This Row],[centro_costo]],tblCECO[codigo],tblCECO[linea],"(sin catálogo)"))</f>
        <v/>
      </c>
      <c r="V893" s="3">
        <f>IF(tblOrdenes[[#This Row],[centro_costo]]="","",_xlfn.XLOOKUP(tblOrdenes[[#This Row],[centro_costo]],tblCECO[codigo],tblCECO[area],"(sin catálogo)"))</f>
        <v/>
      </c>
      <c r="W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3">
        <f>IF(tblOrdenes[[#This Row],[centro_costo]]="","",_xlfn.XLOOKUP(tblOrdenes[[#This Row],[centro_costo]],tblCECO[codigo],tblCECO[coordinador],"(sin catálogo)"))</f>
        <v/>
      </c>
      <c r="Y893" s="3">
        <f>IF(tblOrdenes[[#This Row],[puesto_trabajo]]="","",_xlfn.XLOOKUP(tblOrdenes[[#This Row],[puesto_trabajo]],tblPuestos[codigo],tblPuestos[especialidad],"(sin catálogo)"))</f>
        <v/>
      </c>
      <c r="Z893" s="3">
        <f>IF(tblOrdenes[[#This Row],[cod_actividad]]="","",_xlfn.XLOOKUP(tblOrdenes[[#This Row],[cod_actividad]],tblActividades[codigo],tblActividades[descripcion],"(sin catálogo)"))</f>
        <v/>
      </c>
      <c r="AA893" s="12">
        <f>IF(tblOrdenes[[#This Row],[fecha_inicio]]="","",TODAY()-tblOrdenes[[#This Row],[fecha_inicio]])</f>
        <v/>
      </c>
      <c r="AB8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3">
        <f>IF(tblOrdenes[[#This Row],[backlog_habiles]]="","",IF(tblOrdenes[[#This Row],[backlog_habiles]]&lt;0,"FUTURO",IF(tblOrdenes[[#This Row],[backlog_habiles]]&gt;p_dias_backlog_max,"BACKLOG","MES CORRIENTE")))</f>
        <v/>
      </c>
      <c r="AD893" s="3">
        <f>IF(tblOrdenes[[#This Row],[backlog_habiles]]="",FALSE,AND(tblOrdenes[[#This Row],[backlog_habiles]]&gt;p_dias_backlog_min,tblOrdenes[[#This Row],[backlog_habiles]]&lt;=p_dias_backlog_max))</f>
        <v/>
      </c>
      <c r="AE893" s="6" t="n"/>
      <c r="AF8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0">
        <f>IF(tblOrdenes[[#This Row],[orden]]="","",_xlfn.XLOOKUP(tblOrdenes[[#This Row],[id_operacion]],tblEjecucion[id_operacion],tblEjecucion[precio],0))</f>
        <v/>
      </c>
      <c r="AJ893" s="10">
        <f>IF(tblOrdenes[[#This Row],[orden]]="","",MAX(0,_xlfn.XLOOKUP(tblOrdenes[[#This Row],[id_operacion]],tblEjecucion[id_operacion],tblEjecucion[costo_plan_total],0)-tblOrdenes[[#This Row],[costo_servicio]]))</f>
        <v/>
      </c>
      <c r="AK893" s="10">
        <f>IF(tblOrdenes[[#This Row],[orden]]="","",tblOrdenes[[#This Row],[costo_servicio]]+tblOrdenes[[#This Row],[costo_materiales]])</f>
        <v/>
      </c>
      <c r="AL893" s="6" t="n"/>
      <c r="AM893" s="6" t="n"/>
      <c r="AN893" s="6" t="n"/>
      <c r="AO893" s="3">
        <f>IF(tblOrdenes[[#This Row],[link_checklist]]="","",HYPERLINK(p_ruta_base_checklists&amp;tblOrdenes[[#This Row],[link_checklist]],"abrir"))</f>
        <v/>
      </c>
      <c r="AP893" s="6" t="n"/>
      <c r="AQ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3">
        <f>IF(tblOrdenes[[#This Row],[tipo_ot]]="","",_xlfn.XLOOKUP(tblOrdenes[[#This Row],[tipo_ot]],tblTiposOT[codigo],tblTiposOT[clasificacion],"sin_clasificar"))</f>
        <v/>
      </c>
      <c r="U894" s="3">
        <f>IF(tblOrdenes[[#This Row],[centro_costo]]="","",_xlfn.XLOOKUP(tblOrdenes[[#This Row],[centro_costo]],tblCECO[codigo],tblCECO[linea],"(sin catálogo)"))</f>
        <v/>
      </c>
      <c r="V894" s="3">
        <f>IF(tblOrdenes[[#This Row],[centro_costo]]="","",_xlfn.XLOOKUP(tblOrdenes[[#This Row],[centro_costo]],tblCECO[codigo],tblCECO[area],"(sin catálogo)"))</f>
        <v/>
      </c>
      <c r="W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3">
        <f>IF(tblOrdenes[[#This Row],[centro_costo]]="","",_xlfn.XLOOKUP(tblOrdenes[[#This Row],[centro_costo]],tblCECO[codigo],tblCECO[coordinador],"(sin catálogo)"))</f>
        <v/>
      </c>
      <c r="Y894" s="3">
        <f>IF(tblOrdenes[[#This Row],[puesto_trabajo]]="","",_xlfn.XLOOKUP(tblOrdenes[[#This Row],[puesto_trabajo]],tblPuestos[codigo],tblPuestos[especialidad],"(sin catálogo)"))</f>
        <v/>
      </c>
      <c r="Z894" s="3">
        <f>IF(tblOrdenes[[#This Row],[cod_actividad]]="","",_xlfn.XLOOKUP(tblOrdenes[[#This Row],[cod_actividad]],tblActividades[codigo],tblActividades[descripcion],"(sin catálogo)"))</f>
        <v/>
      </c>
      <c r="AA894" s="12">
        <f>IF(tblOrdenes[[#This Row],[fecha_inicio]]="","",TODAY()-tblOrdenes[[#This Row],[fecha_inicio]])</f>
        <v/>
      </c>
      <c r="AB8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3">
        <f>IF(tblOrdenes[[#This Row],[backlog_habiles]]="","",IF(tblOrdenes[[#This Row],[backlog_habiles]]&lt;0,"FUTURO",IF(tblOrdenes[[#This Row],[backlog_habiles]]&gt;p_dias_backlog_max,"BACKLOG","MES CORRIENTE")))</f>
        <v/>
      </c>
      <c r="AD894" s="3">
        <f>IF(tblOrdenes[[#This Row],[backlog_habiles]]="",FALSE,AND(tblOrdenes[[#This Row],[backlog_habiles]]&gt;p_dias_backlog_min,tblOrdenes[[#This Row],[backlog_habiles]]&lt;=p_dias_backlog_max))</f>
        <v/>
      </c>
      <c r="AE894" s="6" t="n"/>
      <c r="AF8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0">
        <f>IF(tblOrdenes[[#This Row],[orden]]="","",_xlfn.XLOOKUP(tblOrdenes[[#This Row],[id_operacion]],tblEjecucion[id_operacion],tblEjecucion[precio],0))</f>
        <v/>
      </c>
      <c r="AJ894" s="10">
        <f>IF(tblOrdenes[[#This Row],[orden]]="","",MAX(0,_xlfn.XLOOKUP(tblOrdenes[[#This Row],[id_operacion]],tblEjecucion[id_operacion],tblEjecucion[costo_plan_total],0)-tblOrdenes[[#This Row],[costo_servicio]]))</f>
        <v/>
      </c>
      <c r="AK894" s="10">
        <f>IF(tblOrdenes[[#This Row],[orden]]="","",tblOrdenes[[#This Row],[costo_servicio]]+tblOrdenes[[#This Row],[costo_materiales]])</f>
        <v/>
      </c>
      <c r="AL894" s="6" t="n"/>
      <c r="AM894" s="6" t="n"/>
      <c r="AN894" s="6" t="n"/>
      <c r="AO894" s="3">
        <f>IF(tblOrdenes[[#This Row],[link_checklist]]="","",HYPERLINK(p_ruta_base_checklists&amp;tblOrdenes[[#This Row],[link_checklist]],"abrir"))</f>
        <v/>
      </c>
      <c r="AP894" s="6" t="n"/>
      <c r="AQ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3">
        <f>IF(tblOrdenes[[#This Row],[tipo_ot]]="","",_xlfn.XLOOKUP(tblOrdenes[[#This Row],[tipo_ot]],tblTiposOT[codigo],tblTiposOT[clasificacion],"sin_clasificar"))</f>
        <v/>
      </c>
      <c r="U895" s="3">
        <f>IF(tblOrdenes[[#This Row],[centro_costo]]="","",_xlfn.XLOOKUP(tblOrdenes[[#This Row],[centro_costo]],tblCECO[codigo],tblCECO[linea],"(sin catálogo)"))</f>
        <v/>
      </c>
      <c r="V895" s="3">
        <f>IF(tblOrdenes[[#This Row],[centro_costo]]="","",_xlfn.XLOOKUP(tblOrdenes[[#This Row],[centro_costo]],tblCECO[codigo],tblCECO[area],"(sin catálogo)"))</f>
        <v/>
      </c>
      <c r="W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3">
        <f>IF(tblOrdenes[[#This Row],[centro_costo]]="","",_xlfn.XLOOKUP(tblOrdenes[[#This Row],[centro_costo]],tblCECO[codigo],tblCECO[coordinador],"(sin catálogo)"))</f>
        <v/>
      </c>
      <c r="Y895" s="3">
        <f>IF(tblOrdenes[[#This Row],[puesto_trabajo]]="","",_xlfn.XLOOKUP(tblOrdenes[[#This Row],[puesto_trabajo]],tblPuestos[codigo],tblPuestos[especialidad],"(sin catálogo)"))</f>
        <v/>
      </c>
      <c r="Z895" s="3">
        <f>IF(tblOrdenes[[#This Row],[cod_actividad]]="","",_xlfn.XLOOKUP(tblOrdenes[[#This Row],[cod_actividad]],tblActividades[codigo],tblActividades[descripcion],"(sin catálogo)"))</f>
        <v/>
      </c>
      <c r="AA895" s="12">
        <f>IF(tblOrdenes[[#This Row],[fecha_inicio]]="","",TODAY()-tblOrdenes[[#This Row],[fecha_inicio]])</f>
        <v/>
      </c>
      <c r="AB8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3">
        <f>IF(tblOrdenes[[#This Row],[backlog_habiles]]="","",IF(tblOrdenes[[#This Row],[backlog_habiles]]&lt;0,"FUTURO",IF(tblOrdenes[[#This Row],[backlog_habiles]]&gt;p_dias_backlog_max,"BACKLOG","MES CORRIENTE")))</f>
        <v/>
      </c>
      <c r="AD895" s="3">
        <f>IF(tblOrdenes[[#This Row],[backlog_habiles]]="",FALSE,AND(tblOrdenes[[#This Row],[backlog_habiles]]&gt;p_dias_backlog_min,tblOrdenes[[#This Row],[backlog_habiles]]&lt;=p_dias_backlog_max))</f>
        <v/>
      </c>
      <c r="AE895" s="6" t="n"/>
      <c r="AF8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0">
        <f>IF(tblOrdenes[[#This Row],[orden]]="","",_xlfn.XLOOKUP(tblOrdenes[[#This Row],[id_operacion]],tblEjecucion[id_operacion],tblEjecucion[precio],0))</f>
        <v/>
      </c>
      <c r="AJ895" s="10">
        <f>IF(tblOrdenes[[#This Row],[orden]]="","",MAX(0,_xlfn.XLOOKUP(tblOrdenes[[#This Row],[id_operacion]],tblEjecucion[id_operacion],tblEjecucion[costo_plan_total],0)-tblOrdenes[[#This Row],[costo_servicio]]))</f>
        <v/>
      </c>
      <c r="AK895" s="10">
        <f>IF(tblOrdenes[[#This Row],[orden]]="","",tblOrdenes[[#This Row],[costo_servicio]]+tblOrdenes[[#This Row],[costo_materiales]])</f>
        <v/>
      </c>
      <c r="AL895" s="6" t="n"/>
      <c r="AM895" s="6" t="n"/>
      <c r="AN895" s="6" t="n"/>
      <c r="AO895" s="3">
        <f>IF(tblOrdenes[[#This Row],[link_checklist]]="","",HYPERLINK(p_ruta_base_checklists&amp;tblOrdenes[[#This Row],[link_checklist]],"abrir"))</f>
        <v/>
      </c>
      <c r="AP895" s="6" t="n"/>
      <c r="AQ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3">
        <f>IF(tblOrdenes[[#This Row],[tipo_ot]]="","",_xlfn.XLOOKUP(tblOrdenes[[#This Row],[tipo_ot]],tblTiposOT[codigo],tblTiposOT[clasificacion],"sin_clasificar"))</f>
        <v/>
      </c>
      <c r="U896" s="3">
        <f>IF(tblOrdenes[[#This Row],[centro_costo]]="","",_xlfn.XLOOKUP(tblOrdenes[[#This Row],[centro_costo]],tblCECO[codigo],tblCECO[linea],"(sin catálogo)"))</f>
        <v/>
      </c>
      <c r="V896" s="3">
        <f>IF(tblOrdenes[[#This Row],[centro_costo]]="","",_xlfn.XLOOKUP(tblOrdenes[[#This Row],[centro_costo]],tblCECO[codigo],tblCECO[area],"(sin catálogo)"))</f>
        <v/>
      </c>
      <c r="W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3">
        <f>IF(tblOrdenes[[#This Row],[centro_costo]]="","",_xlfn.XLOOKUP(tblOrdenes[[#This Row],[centro_costo]],tblCECO[codigo],tblCECO[coordinador],"(sin catálogo)"))</f>
        <v/>
      </c>
      <c r="Y896" s="3">
        <f>IF(tblOrdenes[[#This Row],[puesto_trabajo]]="","",_xlfn.XLOOKUP(tblOrdenes[[#This Row],[puesto_trabajo]],tblPuestos[codigo],tblPuestos[especialidad],"(sin catálogo)"))</f>
        <v/>
      </c>
      <c r="Z896" s="3">
        <f>IF(tblOrdenes[[#This Row],[cod_actividad]]="","",_xlfn.XLOOKUP(tblOrdenes[[#This Row],[cod_actividad]],tblActividades[codigo],tblActividades[descripcion],"(sin catálogo)"))</f>
        <v/>
      </c>
      <c r="AA896" s="12">
        <f>IF(tblOrdenes[[#This Row],[fecha_inicio]]="","",TODAY()-tblOrdenes[[#This Row],[fecha_inicio]])</f>
        <v/>
      </c>
      <c r="AB8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3">
        <f>IF(tblOrdenes[[#This Row],[backlog_habiles]]="","",IF(tblOrdenes[[#This Row],[backlog_habiles]]&lt;0,"FUTURO",IF(tblOrdenes[[#This Row],[backlog_habiles]]&gt;p_dias_backlog_max,"BACKLOG","MES CORRIENTE")))</f>
        <v/>
      </c>
      <c r="AD896" s="3">
        <f>IF(tblOrdenes[[#This Row],[backlog_habiles]]="",FALSE,AND(tblOrdenes[[#This Row],[backlog_habiles]]&gt;p_dias_backlog_min,tblOrdenes[[#This Row],[backlog_habiles]]&lt;=p_dias_backlog_max))</f>
        <v/>
      </c>
      <c r="AE896" s="6" t="n"/>
      <c r="AF8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0">
        <f>IF(tblOrdenes[[#This Row],[orden]]="","",_xlfn.XLOOKUP(tblOrdenes[[#This Row],[id_operacion]],tblEjecucion[id_operacion],tblEjecucion[precio],0))</f>
        <v/>
      </c>
      <c r="AJ896" s="10">
        <f>IF(tblOrdenes[[#This Row],[orden]]="","",MAX(0,_xlfn.XLOOKUP(tblOrdenes[[#This Row],[id_operacion]],tblEjecucion[id_operacion],tblEjecucion[costo_plan_total],0)-tblOrdenes[[#This Row],[costo_servicio]]))</f>
        <v/>
      </c>
      <c r="AK896" s="10">
        <f>IF(tblOrdenes[[#This Row],[orden]]="","",tblOrdenes[[#This Row],[costo_servicio]]+tblOrdenes[[#This Row],[costo_materiales]])</f>
        <v/>
      </c>
      <c r="AL896" s="6" t="n"/>
      <c r="AM896" s="6" t="n"/>
      <c r="AN896" s="6" t="n"/>
      <c r="AO896" s="3">
        <f>IF(tblOrdenes[[#This Row],[link_checklist]]="","",HYPERLINK(p_ruta_base_checklists&amp;tblOrdenes[[#This Row],[link_checklist]],"abrir"))</f>
        <v/>
      </c>
      <c r="AP896" s="6" t="n"/>
      <c r="AQ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3">
        <f>IF(tblOrdenes[[#This Row],[tipo_ot]]="","",_xlfn.XLOOKUP(tblOrdenes[[#This Row],[tipo_ot]],tblTiposOT[codigo],tblTiposOT[clasificacion],"sin_clasificar"))</f>
        <v/>
      </c>
      <c r="U897" s="3">
        <f>IF(tblOrdenes[[#This Row],[centro_costo]]="","",_xlfn.XLOOKUP(tblOrdenes[[#This Row],[centro_costo]],tblCECO[codigo],tblCECO[linea],"(sin catálogo)"))</f>
        <v/>
      </c>
      <c r="V897" s="3">
        <f>IF(tblOrdenes[[#This Row],[centro_costo]]="","",_xlfn.XLOOKUP(tblOrdenes[[#This Row],[centro_costo]],tblCECO[codigo],tblCECO[area],"(sin catálogo)"))</f>
        <v/>
      </c>
      <c r="W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3">
        <f>IF(tblOrdenes[[#This Row],[centro_costo]]="","",_xlfn.XLOOKUP(tblOrdenes[[#This Row],[centro_costo]],tblCECO[codigo],tblCECO[coordinador],"(sin catálogo)"))</f>
        <v/>
      </c>
      <c r="Y897" s="3">
        <f>IF(tblOrdenes[[#This Row],[puesto_trabajo]]="","",_xlfn.XLOOKUP(tblOrdenes[[#This Row],[puesto_trabajo]],tblPuestos[codigo],tblPuestos[especialidad],"(sin catálogo)"))</f>
        <v/>
      </c>
      <c r="Z897" s="3">
        <f>IF(tblOrdenes[[#This Row],[cod_actividad]]="","",_xlfn.XLOOKUP(tblOrdenes[[#This Row],[cod_actividad]],tblActividades[codigo],tblActividades[descripcion],"(sin catálogo)"))</f>
        <v/>
      </c>
      <c r="AA897" s="12">
        <f>IF(tblOrdenes[[#This Row],[fecha_inicio]]="","",TODAY()-tblOrdenes[[#This Row],[fecha_inicio]])</f>
        <v/>
      </c>
      <c r="AB8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3">
        <f>IF(tblOrdenes[[#This Row],[backlog_habiles]]="","",IF(tblOrdenes[[#This Row],[backlog_habiles]]&lt;0,"FUTURO",IF(tblOrdenes[[#This Row],[backlog_habiles]]&gt;p_dias_backlog_max,"BACKLOG","MES CORRIENTE")))</f>
        <v/>
      </c>
      <c r="AD897" s="3">
        <f>IF(tblOrdenes[[#This Row],[backlog_habiles]]="",FALSE,AND(tblOrdenes[[#This Row],[backlog_habiles]]&gt;p_dias_backlog_min,tblOrdenes[[#This Row],[backlog_habiles]]&lt;=p_dias_backlog_max))</f>
        <v/>
      </c>
      <c r="AE897" s="6" t="n"/>
      <c r="AF8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0">
        <f>IF(tblOrdenes[[#This Row],[orden]]="","",_xlfn.XLOOKUP(tblOrdenes[[#This Row],[id_operacion]],tblEjecucion[id_operacion],tblEjecucion[precio],0))</f>
        <v/>
      </c>
      <c r="AJ897" s="10">
        <f>IF(tblOrdenes[[#This Row],[orden]]="","",MAX(0,_xlfn.XLOOKUP(tblOrdenes[[#This Row],[id_operacion]],tblEjecucion[id_operacion],tblEjecucion[costo_plan_total],0)-tblOrdenes[[#This Row],[costo_servicio]]))</f>
        <v/>
      </c>
      <c r="AK897" s="10">
        <f>IF(tblOrdenes[[#This Row],[orden]]="","",tblOrdenes[[#This Row],[costo_servicio]]+tblOrdenes[[#This Row],[costo_materiales]])</f>
        <v/>
      </c>
      <c r="AL897" s="6" t="n"/>
      <c r="AM897" s="6" t="n"/>
      <c r="AN897" s="6" t="n"/>
      <c r="AO897" s="3">
        <f>IF(tblOrdenes[[#This Row],[link_checklist]]="","",HYPERLINK(p_ruta_base_checklists&amp;tblOrdenes[[#This Row],[link_checklist]],"abrir"))</f>
        <v/>
      </c>
      <c r="AP897" s="6" t="n"/>
      <c r="AQ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3">
        <f>IF(tblOrdenes[[#This Row],[tipo_ot]]="","",_xlfn.XLOOKUP(tblOrdenes[[#This Row],[tipo_ot]],tblTiposOT[codigo],tblTiposOT[clasificacion],"sin_clasificar"))</f>
        <v/>
      </c>
      <c r="U898" s="3">
        <f>IF(tblOrdenes[[#This Row],[centro_costo]]="","",_xlfn.XLOOKUP(tblOrdenes[[#This Row],[centro_costo]],tblCECO[codigo],tblCECO[linea],"(sin catálogo)"))</f>
        <v/>
      </c>
      <c r="V898" s="3">
        <f>IF(tblOrdenes[[#This Row],[centro_costo]]="","",_xlfn.XLOOKUP(tblOrdenes[[#This Row],[centro_costo]],tblCECO[codigo],tblCECO[area],"(sin catálogo)"))</f>
        <v/>
      </c>
      <c r="W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3">
        <f>IF(tblOrdenes[[#This Row],[centro_costo]]="","",_xlfn.XLOOKUP(tblOrdenes[[#This Row],[centro_costo]],tblCECO[codigo],tblCECO[coordinador],"(sin catálogo)"))</f>
        <v/>
      </c>
      <c r="Y898" s="3">
        <f>IF(tblOrdenes[[#This Row],[puesto_trabajo]]="","",_xlfn.XLOOKUP(tblOrdenes[[#This Row],[puesto_trabajo]],tblPuestos[codigo],tblPuestos[especialidad],"(sin catálogo)"))</f>
        <v/>
      </c>
      <c r="Z898" s="3">
        <f>IF(tblOrdenes[[#This Row],[cod_actividad]]="","",_xlfn.XLOOKUP(tblOrdenes[[#This Row],[cod_actividad]],tblActividades[codigo],tblActividades[descripcion],"(sin catálogo)"))</f>
        <v/>
      </c>
      <c r="AA898" s="12">
        <f>IF(tblOrdenes[[#This Row],[fecha_inicio]]="","",TODAY()-tblOrdenes[[#This Row],[fecha_inicio]])</f>
        <v/>
      </c>
      <c r="AB8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3">
        <f>IF(tblOrdenes[[#This Row],[backlog_habiles]]="","",IF(tblOrdenes[[#This Row],[backlog_habiles]]&lt;0,"FUTURO",IF(tblOrdenes[[#This Row],[backlog_habiles]]&gt;p_dias_backlog_max,"BACKLOG","MES CORRIENTE")))</f>
        <v/>
      </c>
      <c r="AD898" s="3">
        <f>IF(tblOrdenes[[#This Row],[backlog_habiles]]="",FALSE,AND(tblOrdenes[[#This Row],[backlog_habiles]]&gt;p_dias_backlog_min,tblOrdenes[[#This Row],[backlog_habiles]]&lt;=p_dias_backlog_max))</f>
        <v/>
      </c>
      <c r="AE898" s="6" t="n"/>
      <c r="AF8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0">
        <f>IF(tblOrdenes[[#This Row],[orden]]="","",_xlfn.XLOOKUP(tblOrdenes[[#This Row],[id_operacion]],tblEjecucion[id_operacion],tblEjecucion[precio],0))</f>
        <v/>
      </c>
      <c r="AJ898" s="10">
        <f>IF(tblOrdenes[[#This Row],[orden]]="","",MAX(0,_xlfn.XLOOKUP(tblOrdenes[[#This Row],[id_operacion]],tblEjecucion[id_operacion],tblEjecucion[costo_plan_total],0)-tblOrdenes[[#This Row],[costo_servicio]]))</f>
        <v/>
      </c>
      <c r="AK898" s="10">
        <f>IF(tblOrdenes[[#This Row],[orden]]="","",tblOrdenes[[#This Row],[costo_servicio]]+tblOrdenes[[#This Row],[costo_materiales]])</f>
        <v/>
      </c>
      <c r="AL898" s="6" t="n"/>
      <c r="AM898" s="6" t="n"/>
      <c r="AN898" s="6" t="n"/>
      <c r="AO898" s="3">
        <f>IF(tblOrdenes[[#This Row],[link_checklist]]="","",HYPERLINK(p_ruta_base_checklists&amp;tblOrdenes[[#This Row],[link_checklist]],"abrir"))</f>
        <v/>
      </c>
      <c r="AP898" s="6" t="n"/>
      <c r="AQ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3">
        <f>IF(tblOrdenes[[#This Row],[tipo_ot]]="","",_xlfn.XLOOKUP(tblOrdenes[[#This Row],[tipo_ot]],tblTiposOT[codigo],tblTiposOT[clasificacion],"sin_clasificar"))</f>
        <v/>
      </c>
      <c r="U899" s="3">
        <f>IF(tblOrdenes[[#This Row],[centro_costo]]="","",_xlfn.XLOOKUP(tblOrdenes[[#This Row],[centro_costo]],tblCECO[codigo],tblCECO[linea],"(sin catálogo)"))</f>
        <v/>
      </c>
      <c r="V899" s="3">
        <f>IF(tblOrdenes[[#This Row],[centro_costo]]="","",_xlfn.XLOOKUP(tblOrdenes[[#This Row],[centro_costo]],tblCECO[codigo],tblCECO[area],"(sin catálogo)"))</f>
        <v/>
      </c>
      <c r="W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3">
        <f>IF(tblOrdenes[[#This Row],[centro_costo]]="","",_xlfn.XLOOKUP(tblOrdenes[[#This Row],[centro_costo]],tblCECO[codigo],tblCECO[coordinador],"(sin catálogo)"))</f>
        <v/>
      </c>
      <c r="Y899" s="3">
        <f>IF(tblOrdenes[[#This Row],[puesto_trabajo]]="","",_xlfn.XLOOKUP(tblOrdenes[[#This Row],[puesto_trabajo]],tblPuestos[codigo],tblPuestos[especialidad],"(sin catálogo)"))</f>
        <v/>
      </c>
      <c r="Z899" s="3">
        <f>IF(tblOrdenes[[#This Row],[cod_actividad]]="","",_xlfn.XLOOKUP(tblOrdenes[[#This Row],[cod_actividad]],tblActividades[codigo],tblActividades[descripcion],"(sin catálogo)"))</f>
        <v/>
      </c>
      <c r="AA899" s="12">
        <f>IF(tblOrdenes[[#This Row],[fecha_inicio]]="","",TODAY()-tblOrdenes[[#This Row],[fecha_inicio]])</f>
        <v/>
      </c>
      <c r="AB8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3">
        <f>IF(tblOrdenes[[#This Row],[backlog_habiles]]="","",IF(tblOrdenes[[#This Row],[backlog_habiles]]&lt;0,"FUTURO",IF(tblOrdenes[[#This Row],[backlog_habiles]]&gt;p_dias_backlog_max,"BACKLOG","MES CORRIENTE")))</f>
        <v/>
      </c>
      <c r="AD899" s="3">
        <f>IF(tblOrdenes[[#This Row],[backlog_habiles]]="",FALSE,AND(tblOrdenes[[#This Row],[backlog_habiles]]&gt;p_dias_backlog_min,tblOrdenes[[#This Row],[backlog_habiles]]&lt;=p_dias_backlog_max))</f>
        <v/>
      </c>
      <c r="AE899" s="6" t="n"/>
      <c r="AF8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0">
        <f>IF(tblOrdenes[[#This Row],[orden]]="","",_xlfn.XLOOKUP(tblOrdenes[[#This Row],[id_operacion]],tblEjecucion[id_operacion],tblEjecucion[precio],0))</f>
        <v/>
      </c>
      <c r="AJ899" s="10">
        <f>IF(tblOrdenes[[#This Row],[orden]]="","",MAX(0,_xlfn.XLOOKUP(tblOrdenes[[#This Row],[id_operacion]],tblEjecucion[id_operacion],tblEjecucion[costo_plan_total],0)-tblOrdenes[[#This Row],[costo_servicio]]))</f>
        <v/>
      </c>
      <c r="AK899" s="10">
        <f>IF(tblOrdenes[[#This Row],[orden]]="","",tblOrdenes[[#This Row],[costo_servicio]]+tblOrdenes[[#This Row],[costo_materiales]])</f>
        <v/>
      </c>
      <c r="AL899" s="6" t="n"/>
      <c r="AM899" s="6" t="n"/>
      <c r="AN899" s="6" t="n"/>
      <c r="AO899" s="3">
        <f>IF(tblOrdenes[[#This Row],[link_checklist]]="","",HYPERLINK(p_ruta_base_checklists&amp;tblOrdenes[[#This Row],[link_checklist]],"abrir"))</f>
        <v/>
      </c>
      <c r="AP899" s="6" t="n"/>
      <c r="AQ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3">
        <f>IF(tblOrdenes[[#This Row],[tipo_ot]]="","",_xlfn.XLOOKUP(tblOrdenes[[#This Row],[tipo_ot]],tblTiposOT[codigo],tblTiposOT[clasificacion],"sin_clasificar"))</f>
        <v/>
      </c>
      <c r="U900" s="3">
        <f>IF(tblOrdenes[[#This Row],[centro_costo]]="","",_xlfn.XLOOKUP(tblOrdenes[[#This Row],[centro_costo]],tblCECO[codigo],tblCECO[linea],"(sin catálogo)"))</f>
        <v/>
      </c>
      <c r="V900" s="3">
        <f>IF(tblOrdenes[[#This Row],[centro_costo]]="","",_xlfn.XLOOKUP(tblOrdenes[[#This Row],[centro_costo]],tblCECO[codigo],tblCECO[area],"(sin catálogo)"))</f>
        <v/>
      </c>
      <c r="W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3">
        <f>IF(tblOrdenes[[#This Row],[centro_costo]]="","",_xlfn.XLOOKUP(tblOrdenes[[#This Row],[centro_costo]],tblCECO[codigo],tblCECO[coordinador],"(sin catálogo)"))</f>
        <v/>
      </c>
      <c r="Y900" s="3">
        <f>IF(tblOrdenes[[#This Row],[puesto_trabajo]]="","",_xlfn.XLOOKUP(tblOrdenes[[#This Row],[puesto_trabajo]],tblPuestos[codigo],tblPuestos[especialidad],"(sin catálogo)"))</f>
        <v/>
      </c>
      <c r="Z900" s="3">
        <f>IF(tblOrdenes[[#This Row],[cod_actividad]]="","",_xlfn.XLOOKUP(tblOrdenes[[#This Row],[cod_actividad]],tblActividades[codigo],tblActividades[descripcion],"(sin catálogo)"))</f>
        <v/>
      </c>
      <c r="AA900" s="12">
        <f>IF(tblOrdenes[[#This Row],[fecha_inicio]]="","",TODAY()-tblOrdenes[[#This Row],[fecha_inicio]])</f>
        <v/>
      </c>
      <c r="AB9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3">
        <f>IF(tblOrdenes[[#This Row],[backlog_habiles]]="","",IF(tblOrdenes[[#This Row],[backlog_habiles]]&lt;0,"FUTURO",IF(tblOrdenes[[#This Row],[backlog_habiles]]&gt;p_dias_backlog_max,"BACKLOG","MES CORRIENTE")))</f>
        <v/>
      </c>
      <c r="AD900" s="3">
        <f>IF(tblOrdenes[[#This Row],[backlog_habiles]]="",FALSE,AND(tblOrdenes[[#This Row],[backlog_habiles]]&gt;p_dias_backlog_min,tblOrdenes[[#This Row],[backlog_habiles]]&lt;=p_dias_backlog_max))</f>
        <v/>
      </c>
      <c r="AE900" s="6" t="n"/>
      <c r="AF9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0">
        <f>IF(tblOrdenes[[#This Row],[orden]]="","",_xlfn.XLOOKUP(tblOrdenes[[#This Row],[id_operacion]],tblEjecucion[id_operacion],tblEjecucion[precio],0))</f>
        <v/>
      </c>
      <c r="AJ900" s="10">
        <f>IF(tblOrdenes[[#This Row],[orden]]="","",MAX(0,_xlfn.XLOOKUP(tblOrdenes[[#This Row],[id_operacion]],tblEjecucion[id_operacion],tblEjecucion[costo_plan_total],0)-tblOrdenes[[#This Row],[costo_servicio]]))</f>
        <v/>
      </c>
      <c r="AK900" s="10">
        <f>IF(tblOrdenes[[#This Row],[orden]]="","",tblOrdenes[[#This Row],[costo_servicio]]+tblOrdenes[[#This Row],[costo_materiales]])</f>
        <v/>
      </c>
      <c r="AL900" s="6" t="n"/>
      <c r="AM900" s="6" t="n"/>
      <c r="AN900" s="6" t="n"/>
      <c r="AO900" s="3">
        <f>IF(tblOrdenes[[#This Row],[link_checklist]]="","",HYPERLINK(p_ruta_base_checklists&amp;tblOrdenes[[#This Row],[link_checklist]],"abrir"))</f>
        <v/>
      </c>
      <c r="AP900" s="6" t="n"/>
      <c r="AQ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3">
        <f>IF(tblOrdenes[[#This Row],[tipo_ot]]="","",_xlfn.XLOOKUP(tblOrdenes[[#This Row],[tipo_ot]],tblTiposOT[codigo],tblTiposOT[clasificacion],"sin_clasificar"))</f>
        <v/>
      </c>
      <c r="U901" s="3">
        <f>IF(tblOrdenes[[#This Row],[centro_costo]]="","",_xlfn.XLOOKUP(tblOrdenes[[#This Row],[centro_costo]],tblCECO[codigo],tblCECO[linea],"(sin catálogo)"))</f>
        <v/>
      </c>
      <c r="V901" s="3">
        <f>IF(tblOrdenes[[#This Row],[centro_costo]]="","",_xlfn.XLOOKUP(tblOrdenes[[#This Row],[centro_costo]],tblCECO[codigo],tblCECO[area],"(sin catálogo)"))</f>
        <v/>
      </c>
      <c r="W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3">
        <f>IF(tblOrdenes[[#This Row],[centro_costo]]="","",_xlfn.XLOOKUP(tblOrdenes[[#This Row],[centro_costo]],tblCECO[codigo],tblCECO[coordinador],"(sin catálogo)"))</f>
        <v/>
      </c>
      <c r="Y901" s="3">
        <f>IF(tblOrdenes[[#This Row],[puesto_trabajo]]="","",_xlfn.XLOOKUP(tblOrdenes[[#This Row],[puesto_trabajo]],tblPuestos[codigo],tblPuestos[especialidad],"(sin catálogo)"))</f>
        <v/>
      </c>
      <c r="Z901" s="3">
        <f>IF(tblOrdenes[[#This Row],[cod_actividad]]="","",_xlfn.XLOOKUP(tblOrdenes[[#This Row],[cod_actividad]],tblActividades[codigo],tblActividades[descripcion],"(sin catálogo)"))</f>
        <v/>
      </c>
      <c r="AA901" s="12">
        <f>IF(tblOrdenes[[#This Row],[fecha_inicio]]="","",TODAY()-tblOrdenes[[#This Row],[fecha_inicio]])</f>
        <v/>
      </c>
      <c r="AB9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3">
        <f>IF(tblOrdenes[[#This Row],[backlog_habiles]]="","",IF(tblOrdenes[[#This Row],[backlog_habiles]]&lt;0,"FUTURO",IF(tblOrdenes[[#This Row],[backlog_habiles]]&gt;p_dias_backlog_max,"BACKLOG","MES CORRIENTE")))</f>
        <v/>
      </c>
      <c r="AD901" s="3">
        <f>IF(tblOrdenes[[#This Row],[backlog_habiles]]="",FALSE,AND(tblOrdenes[[#This Row],[backlog_habiles]]&gt;p_dias_backlog_min,tblOrdenes[[#This Row],[backlog_habiles]]&lt;=p_dias_backlog_max))</f>
        <v/>
      </c>
      <c r="AE901" s="6" t="n"/>
      <c r="AF9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0">
        <f>IF(tblOrdenes[[#This Row],[orden]]="","",_xlfn.XLOOKUP(tblOrdenes[[#This Row],[id_operacion]],tblEjecucion[id_operacion],tblEjecucion[precio],0))</f>
        <v/>
      </c>
      <c r="AJ901" s="10">
        <f>IF(tblOrdenes[[#This Row],[orden]]="","",MAX(0,_xlfn.XLOOKUP(tblOrdenes[[#This Row],[id_operacion]],tblEjecucion[id_operacion],tblEjecucion[costo_plan_total],0)-tblOrdenes[[#This Row],[costo_servicio]]))</f>
        <v/>
      </c>
      <c r="AK901" s="10">
        <f>IF(tblOrdenes[[#This Row],[orden]]="","",tblOrdenes[[#This Row],[costo_servicio]]+tblOrdenes[[#This Row],[costo_materiales]])</f>
        <v/>
      </c>
      <c r="AL901" s="6" t="n"/>
      <c r="AM901" s="6" t="n"/>
      <c r="AN901" s="6" t="n"/>
      <c r="AO901" s="3">
        <f>IF(tblOrdenes[[#This Row],[link_checklist]]="","",HYPERLINK(p_ruta_base_checklists&amp;tblOrdenes[[#This Row],[link_checklist]],"abrir"))</f>
        <v/>
      </c>
      <c r="AP901" s="6" t="n"/>
      <c r="AQ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3">
        <f>IF(tblOrdenes[[#This Row],[tipo_ot]]="","",_xlfn.XLOOKUP(tblOrdenes[[#This Row],[tipo_ot]],tblTiposOT[codigo],tblTiposOT[clasificacion],"sin_clasificar"))</f>
        <v/>
      </c>
      <c r="U902" s="3">
        <f>IF(tblOrdenes[[#This Row],[centro_costo]]="","",_xlfn.XLOOKUP(tblOrdenes[[#This Row],[centro_costo]],tblCECO[codigo],tblCECO[linea],"(sin catálogo)"))</f>
        <v/>
      </c>
      <c r="V902" s="3">
        <f>IF(tblOrdenes[[#This Row],[centro_costo]]="","",_xlfn.XLOOKUP(tblOrdenes[[#This Row],[centro_costo]],tblCECO[codigo],tblCECO[area],"(sin catálogo)"))</f>
        <v/>
      </c>
      <c r="W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3">
        <f>IF(tblOrdenes[[#This Row],[centro_costo]]="","",_xlfn.XLOOKUP(tblOrdenes[[#This Row],[centro_costo]],tblCECO[codigo],tblCECO[coordinador],"(sin catálogo)"))</f>
        <v/>
      </c>
      <c r="Y902" s="3">
        <f>IF(tblOrdenes[[#This Row],[puesto_trabajo]]="","",_xlfn.XLOOKUP(tblOrdenes[[#This Row],[puesto_trabajo]],tblPuestos[codigo],tblPuestos[especialidad],"(sin catálogo)"))</f>
        <v/>
      </c>
      <c r="Z902" s="3">
        <f>IF(tblOrdenes[[#This Row],[cod_actividad]]="","",_xlfn.XLOOKUP(tblOrdenes[[#This Row],[cod_actividad]],tblActividades[codigo],tblActividades[descripcion],"(sin catálogo)"))</f>
        <v/>
      </c>
      <c r="AA902" s="12">
        <f>IF(tblOrdenes[[#This Row],[fecha_inicio]]="","",TODAY()-tblOrdenes[[#This Row],[fecha_inicio]])</f>
        <v/>
      </c>
      <c r="AB9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3">
        <f>IF(tblOrdenes[[#This Row],[backlog_habiles]]="","",IF(tblOrdenes[[#This Row],[backlog_habiles]]&lt;0,"FUTURO",IF(tblOrdenes[[#This Row],[backlog_habiles]]&gt;p_dias_backlog_max,"BACKLOG","MES CORRIENTE")))</f>
        <v/>
      </c>
      <c r="AD902" s="3">
        <f>IF(tblOrdenes[[#This Row],[backlog_habiles]]="",FALSE,AND(tblOrdenes[[#This Row],[backlog_habiles]]&gt;p_dias_backlog_min,tblOrdenes[[#This Row],[backlog_habiles]]&lt;=p_dias_backlog_max))</f>
        <v/>
      </c>
      <c r="AE902" s="6" t="n"/>
      <c r="AF9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0">
        <f>IF(tblOrdenes[[#This Row],[orden]]="","",_xlfn.XLOOKUP(tblOrdenes[[#This Row],[id_operacion]],tblEjecucion[id_operacion],tblEjecucion[precio],0))</f>
        <v/>
      </c>
      <c r="AJ902" s="10">
        <f>IF(tblOrdenes[[#This Row],[orden]]="","",MAX(0,_xlfn.XLOOKUP(tblOrdenes[[#This Row],[id_operacion]],tblEjecucion[id_operacion],tblEjecucion[costo_plan_total],0)-tblOrdenes[[#This Row],[costo_servicio]]))</f>
        <v/>
      </c>
      <c r="AK902" s="10">
        <f>IF(tblOrdenes[[#This Row],[orden]]="","",tblOrdenes[[#This Row],[costo_servicio]]+tblOrdenes[[#This Row],[costo_materiales]])</f>
        <v/>
      </c>
      <c r="AL902" s="6" t="n"/>
      <c r="AM902" s="6" t="n"/>
      <c r="AN902" s="6" t="n"/>
      <c r="AO902" s="3">
        <f>IF(tblOrdenes[[#This Row],[link_checklist]]="","",HYPERLINK(p_ruta_base_checklists&amp;tblOrdenes[[#This Row],[link_checklist]],"abrir"))</f>
        <v/>
      </c>
      <c r="AP902" s="6" t="n"/>
      <c r="AQ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3">
        <f>IF(tblOrdenes[[#This Row],[tipo_ot]]="","",_xlfn.XLOOKUP(tblOrdenes[[#This Row],[tipo_ot]],tblTiposOT[codigo],tblTiposOT[clasificacion],"sin_clasificar"))</f>
        <v/>
      </c>
      <c r="U903" s="3">
        <f>IF(tblOrdenes[[#This Row],[centro_costo]]="","",_xlfn.XLOOKUP(tblOrdenes[[#This Row],[centro_costo]],tblCECO[codigo],tblCECO[linea],"(sin catálogo)"))</f>
        <v/>
      </c>
      <c r="V903" s="3">
        <f>IF(tblOrdenes[[#This Row],[centro_costo]]="","",_xlfn.XLOOKUP(tblOrdenes[[#This Row],[centro_costo]],tblCECO[codigo],tblCECO[area],"(sin catálogo)"))</f>
        <v/>
      </c>
      <c r="W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3">
        <f>IF(tblOrdenes[[#This Row],[centro_costo]]="","",_xlfn.XLOOKUP(tblOrdenes[[#This Row],[centro_costo]],tblCECO[codigo],tblCECO[coordinador],"(sin catálogo)"))</f>
        <v/>
      </c>
      <c r="Y903" s="3">
        <f>IF(tblOrdenes[[#This Row],[puesto_trabajo]]="","",_xlfn.XLOOKUP(tblOrdenes[[#This Row],[puesto_trabajo]],tblPuestos[codigo],tblPuestos[especialidad],"(sin catálogo)"))</f>
        <v/>
      </c>
      <c r="Z903" s="3">
        <f>IF(tblOrdenes[[#This Row],[cod_actividad]]="","",_xlfn.XLOOKUP(tblOrdenes[[#This Row],[cod_actividad]],tblActividades[codigo],tblActividades[descripcion],"(sin catálogo)"))</f>
        <v/>
      </c>
      <c r="AA903" s="12">
        <f>IF(tblOrdenes[[#This Row],[fecha_inicio]]="","",TODAY()-tblOrdenes[[#This Row],[fecha_inicio]])</f>
        <v/>
      </c>
      <c r="AB9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3">
        <f>IF(tblOrdenes[[#This Row],[backlog_habiles]]="","",IF(tblOrdenes[[#This Row],[backlog_habiles]]&lt;0,"FUTURO",IF(tblOrdenes[[#This Row],[backlog_habiles]]&gt;p_dias_backlog_max,"BACKLOG","MES CORRIENTE")))</f>
        <v/>
      </c>
      <c r="AD903" s="3">
        <f>IF(tblOrdenes[[#This Row],[backlog_habiles]]="",FALSE,AND(tblOrdenes[[#This Row],[backlog_habiles]]&gt;p_dias_backlog_min,tblOrdenes[[#This Row],[backlog_habiles]]&lt;=p_dias_backlog_max))</f>
        <v/>
      </c>
      <c r="AE903" s="6" t="n"/>
      <c r="AF9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0">
        <f>IF(tblOrdenes[[#This Row],[orden]]="","",_xlfn.XLOOKUP(tblOrdenes[[#This Row],[id_operacion]],tblEjecucion[id_operacion],tblEjecucion[precio],0))</f>
        <v/>
      </c>
      <c r="AJ903" s="10">
        <f>IF(tblOrdenes[[#This Row],[orden]]="","",MAX(0,_xlfn.XLOOKUP(tblOrdenes[[#This Row],[id_operacion]],tblEjecucion[id_operacion],tblEjecucion[costo_plan_total],0)-tblOrdenes[[#This Row],[costo_servicio]]))</f>
        <v/>
      </c>
      <c r="AK903" s="10">
        <f>IF(tblOrdenes[[#This Row],[orden]]="","",tblOrdenes[[#This Row],[costo_servicio]]+tblOrdenes[[#This Row],[costo_materiales]])</f>
        <v/>
      </c>
      <c r="AL903" s="6" t="n"/>
      <c r="AM903" s="6" t="n"/>
      <c r="AN903" s="6" t="n"/>
      <c r="AO903" s="3">
        <f>IF(tblOrdenes[[#This Row],[link_checklist]]="","",HYPERLINK(p_ruta_base_checklists&amp;tblOrdenes[[#This Row],[link_checklist]],"abrir"))</f>
        <v/>
      </c>
      <c r="AP903" s="6" t="n"/>
      <c r="AQ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3">
        <f>IF(tblOrdenes[[#This Row],[tipo_ot]]="","",_xlfn.XLOOKUP(tblOrdenes[[#This Row],[tipo_ot]],tblTiposOT[codigo],tblTiposOT[clasificacion],"sin_clasificar"))</f>
        <v/>
      </c>
      <c r="U904" s="3">
        <f>IF(tblOrdenes[[#This Row],[centro_costo]]="","",_xlfn.XLOOKUP(tblOrdenes[[#This Row],[centro_costo]],tblCECO[codigo],tblCECO[linea],"(sin catálogo)"))</f>
        <v/>
      </c>
      <c r="V904" s="3">
        <f>IF(tblOrdenes[[#This Row],[centro_costo]]="","",_xlfn.XLOOKUP(tblOrdenes[[#This Row],[centro_costo]],tblCECO[codigo],tblCECO[area],"(sin catálogo)"))</f>
        <v/>
      </c>
      <c r="W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3">
        <f>IF(tblOrdenes[[#This Row],[centro_costo]]="","",_xlfn.XLOOKUP(tblOrdenes[[#This Row],[centro_costo]],tblCECO[codigo],tblCECO[coordinador],"(sin catálogo)"))</f>
        <v/>
      </c>
      <c r="Y904" s="3">
        <f>IF(tblOrdenes[[#This Row],[puesto_trabajo]]="","",_xlfn.XLOOKUP(tblOrdenes[[#This Row],[puesto_trabajo]],tblPuestos[codigo],tblPuestos[especialidad],"(sin catálogo)"))</f>
        <v/>
      </c>
      <c r="Z904" s="3">
        <f>IF(tblOrdenes[[#This Row],[cod_actividad]]="","",_xlfn.XLOOKUP(tblOrdenes[[#This Row],[cod_actividad]],tblActividades[codigo],tblActividades[descripcion],"(sin catálogo)"))</f>
        <v/>
      </c>
      <c r="AA904" s="12">
        <f>IF(tblOrdenes[[#This Row],[fecha_inicio]]="","",TODAY()-tblOrdenes[[#This Row],[fecha_inicio]])</f>
        <v/>
      </c>
      <c r="AB9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3">
        <f>IF(tblOrdenes[[#This Row],[backlog_habiles]]="","",IF(tblOrdenes[[#This Row],[backlog_habiles]]&lt;0,"FUTURO",IF(tblOrdenes[[#This Row],[backlog_habiles]]&gt;p_dias_backlog_max,"BACKLOG","MES CORRIENTE")))</f>
        <v/>
      </c>
      <c r="AD904" s="3">
        <f>IF(tblOrdenes[[#This Row],[backlog_habiles]]="",FALSE,AND(tblOrdenes[[#This Row],[backlog_habiles]]&gt;p_dias_backlog_min,tblOrdenes[[#This Row],[backlog_habiles]]&lt;=p_dias_backlog_max))</f>
        <v/>
      </c>
      <c r="AE904" s="6" t="n"/>
      <c r="AF9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0">
        <f>IF(tblOrdenes[[#This Row],[orden]]="","",_xlfn.XLOOKUP(tblOrdenes[[#This Row],[id_operacion]],tblEjecucion[id_operacion],tblEjecucion[precio],0))</f>
        <v/>
      </c>
      <c r="AJ904" s="10">
        <f>IF(tblOrdenes[[#This Row],[orden]]="","",MAX(0,_xlfn.XLOOKUP(tblOrdenes[[#This Row],[id_operacion]],tblEjecucion[id_operacion],tblEjecucion[costo_plan_total],0)-tblOrdenes[[#This Row],[costo_servicio]]))</f>
        <v/>
      </c>
      <c r="AK904" s="10">
        <f>IF(tblOrdenes[[#This Row],[orden]]="","",tblOrdenes[[#This Row],[costo_servicio]]+tblOrdenes[[#This Row],[costo_materiales]])</f>
        <v/>
      </c>
      <c r="AL904" s="6" t="n"/>
      <c r="AM904" s="6" t="n"/>
      <c r="AN904" s="6" t="n"/>
      <c r="AO904" s="3">
        <f>IF(tblOrdenes[[#This Row],[link_checklist]]="","",HYPERLINK(p_ruta_base_checklists&amp;tblOrdenes[[#This Row],[link_checklist]],"abrir"))</f>
        <v/>
      </c>
      <c r="AP904" s="6" t="n"/>
      <c r="AQ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3">
        <f>IF(tblOrdenes[[#This Row],[tipo_ot]]="","",_xlfn.XLOOKUP(tblOrdenes[[#This Row],[tipo_ot]],tblTiposOT[codigo],tblTiposOT[clasificacion],"sin_clasificar"))</f>
        <v/>
      </c>
      <c r="U905" s="3">
        <f>IF(tblOrdenes[[#This Row],[centro_costo]]="","",_xlfn.XLOOKUP(tblOrdenes[[#This Row],[centro_costo]],tblCECO[codigo],tblCECO[linea],"(sin catálogo)"))</f>
        <v/>
      </c>
      <c r="V905" s="3">
        <f>IF(tblOrdenes[[#This Row],[centro_costo]]="","",_xlfn.XLOOKUP(tblOrdenes[[#This Row],[centro_costo]],tblCECO[codigo],tblCECO[area],"(sin catálogo)"))</f>
        <v/>
      </c>
      <c r="W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3">
        <f>IF(tblOrdenes[[#This Row],[centro_costo]]="","",_xlfn.XLOOKUP(tblOrdenes[[#This Row],[centro_costo]],tblCECO[codigo],tblCECO[coordinador],"(sin catálogo)"))</f>
        <v/>
      </c>
      <c r="Y905" s="3">
        <f>IF(tblOrdenes[[#This Row],[puesto_trabajo]]="","",_xlfn.XLOOKUP(tblOrdenes[[#This Row],[puesto_trabajo]],tblPuestos[codigo],tblPuestos[especialidad],"(sin catálogo)"))</f>
        <v/>
      </c>
      <c r="Z905" s="3">
        <f>IF(tblOrdenes[[#This Row],[cod_actividad]]="","",_xlfn.XLOOKUP(tblOrdenes[[#This Row],[cod_actividad]],tblActividades[codigo],tblActividades[descripcion],"(sin catálogo)"))</f>
        <v/>
      </c>
      <c r="AA905" s="12">
        <f>IF(tblOrdenes[[#This Row],[fecha_inicio]]="","",TODAY()-tblOrdenes[[#This Row],[fecha_inicio]])</f>
        <v/>
      </c>
      <c r="AB9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3">
        <f>IF(tblOrdenes[[#This Row],[backlog_habiles]]="","",IF(tblOrdenes[[#This Row],[backlog_habiles]]&lt;0,"FUTURO",IF(tblOrdenes[[#This Row],[backlog_habiles]]&gt;p_dias_backlog_max,"BACKLOG","MES CORRIENTE")))</f>
        <v/>
      </c>
      <c r="AD905" s="3">
        <f>IF(tblOrdenes[[#This Row],[backlog_habiles]]="",FALSE,AND(tblOrdenes[[#This Row],[backlog_habiles]]&gt;p_dias_backlog_min,tblOrdenes[[#This Row],[backlog_habiles]]&lt;=p_dias_backlog_max))</f>
        <v/>
      </c>
      <c r="AE905" s="6" t="n"/>
      <c r="AF9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0">
        <f>IF(tblOrdenes[[#This Row],[orden]]="","",_xlfn.XLOOKUP(tblOrdenes[[#This Row],[id_operacion]],tblEjecucion[id_operacion],tblEjecucion[precio],0))</f>
        <v/>
      </c>
      <c r="AJ905" s="10">
        <f>IF(tblOrdenes[[#This Row],[orden]]="","",MAX(0,_xlfn.XLOOKUP(tblOrdenes[[#This Row],[id_operacion]],tblEjecucion[id_operacion],tblEjecucion[costo_plan_total],0)-tblOrdenes[[#This Row],[costo_servicio]]))</f>
        <v/>
      </c>
      <c r="AK905" s="10">
        <f>IF(tblOrdenes[[#This Row],[orden]]="","",tblOrdenes[[#This Row],[costo_servicio]]+tblOrdenes[[#This Row],[costo_materiales]])</f>
        <v/>
      </c>
      <c r="AL905" s="6" t="n"/>
      <c r="AM905" s="6" t="n"/>
      <c r="AN905" s="6" t="n"/>
      <c r="AO905" s="3">
        <f>IF(tblOrdenes[[#This Row],[link_checklist]]="","",HYPERLINK(p_ruta_base_checklists&amp;tblOrdenes[[#This Row],[link_checklist]],"abrir"))</f>
        <v/>
      </c>
      <c r="AP905" s="6" t="n"/>
      <c r="AQ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3">
        <f>IF(tblOrdenes[[#This Row],[tipo_ot]]="","",_xlfn.XLOOKUP(tblOrdenes[[#This Row],[tipo_ot]],tblTiposOT[codigo],tblTiposOT[clasificacion],"sin_clasificar"))</f>
        <v/>
      </c>
      <c r="U906" s="3">
        <f>IF(tblOrdenes[[#This Row],[centro_costo]]="","",_xlfn.XLOOKUP(tblOrdenes[[#This Row],[centro_costo]],tblCECO[codigo],tblCECO[linea],"(sin catálogo)"))</f>
        <v/>
      </c>
      <c r="V906" s="3">
        <f>IF(tblOrdenes[[#This Row],[centro_costo]]="","",_xlfn.XLOOKUP(tblOrdenes[[#This Row],[centro_costo]],tblCECO[codigo],tblCECO[area],"(sin catálogo)"))</f>
        <v/>
      </c>
      <c r="W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3">
        <f>IF(tblOrdenes[[#This Row],[centro_costo]]="","",_xlfn.XLOOKUP(tblOrdenes[[#This Row],[centro_costo]],tblCECO[codigo],tblCECO[coordinador],"(sin catálogo)"))</f>
        <v/>
      </c>
      <c r="Y906" s="3">
        <f>IF(tblOrdenes[[#This Row],[puesto_trabajo]]="","",_xlfn.XLOOKUP(tblOrdenes[[#This Row],[puesto_trabajo]],tblPuestos[codigo],tblPuestos[especialidad],"(sin catálogo)"))</f>
        <v/>
      </c>
      <c r="Z906" s="3">
        <f>IF(tblOrdenes[[#This Row],[cod_actividad]]="","",_xlfn.XLOOKUP(tblOrdenes[[#This Row],[cod_actividad]],tblActividades[codigo],tblActividades[descripcion],"(sin catálogo)"))</f>
        <v/>
      </c>
      <c r="AA906" s="12">
        <f>IF(tblOrdenes[[#This Row],[fecha_inicio]]="","",TODAY()-tblOrdenes[[#This Row],[fecha_inicio]])</f>
        <v/>
      </c>
      <c r="AB9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3">
        <f>IF(tblOrdenes[[#This Row],[backlog_habiles]]="","",IF(tblOrdenes[[#This Row],[backlog_habiles]]&lt;0,"FUTURO",IF(tblOrdenes[[#This Row],[backlog_habiles]]&gt;p_dias_backlog_max,"BACKLOG","MES CORRIENTE")))</f>
        <v/>
      </c>
      <c r="AD906" s="3">
        <f>IF(tblOrdenes[[#This Row],[backlog_habiles]]="",FALSE,AND(tblOrdenes[[#This Row],[backlog_habiles]]&gt;p_dias_backlog_min,tblOrdenes[[#This Row],[backlog_habiles]]&lt;=p_dias_backlog_max))</f>
        <v/>
      </c>
      <c r="AE906" s="6" t="n"/>
      <c r="AF9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0">
        <f>IF(tblOrdenes[[#This Row],[orden]]="","",_xlfn.XLOOKUP(tblOrdenes[[#This Row],[id_operacion]],tblEjecucion[id_operacion],tblEjecucion[precio],0))</f>
        <v/>
      </c>
      <c r="AJ906" s="10">
        <f>IF(tblOrdenes[[#This Row],[orden]]="","",MAX(0,_xlfn.XLOOKUP(tblOrdenes[[#This Row],[id_operacion]],tblEjecucion[id_operacion],tblEjecucion[costo_plan_total],0)-tblOrdenes[[#This Row],[costo_servicio]]))</f>
        <v/>
      </c>
      <c r="AK906" s="10">
        <f>IF(tblOrdenes[[#This Row],[orden]]="","",tblOrdenes[[#This Row],[costo_servicio]]+tblOrdenes[[#This Row],[costo_materiales]])</f>
        <v/>
      </c>
      <c r="AL906" s="6" t="n"/>
      <c r="AM906" s="6" t="n"/>
      <c r="AN906" s="6" t="n"/>
      <c r="AO906" s="3">
        <f>IF(tblOrdenes[[#This Row],[link_checklist]]="","",HYPERLINK(p_ruta_base_checklists&amp;tblOrdenes[[#This Row],[link_checklist]],"abrir"))</f>
        <v/>
      </c>
      <c r="AP906" s="6" t="n"/>
      <c r="AQ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3">
        <f>IF(tblOrdenes[[#This Row],[tipo_ot]]="","",_xlfn.XLOOKUP(tblOrdenes[[#This Row],[tipo_ot]],tblTiposOT[codigo],tblTiposOT[clasificacion],"sin_clasificar"))</f>
        <v/>
      </c>
      <c r="U907" s="3">
        <f>IF(tblOrdenes[[#This Row],[centro_costo]]="","",_xlfn.XLOOKUP(tblOrdenes[[#This Row],[centro_costo]],tblCECO[codigo],tblCECO[linea],"(sin catálogo)"))</f>
        <v/>
      </c>
      <c r="V907" s="3">
        <f>IF(tblOrdenes[[#This Row],[centro_costo]]="","",_xlfn.XLOOKUP(tblOrdenes[[#This Row],[centro_costo]],tblCECO[codigo],tblCECO[area],"(sin catálogo)"))</f>
        <v/>
      </c>
      <c r="W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3">
        <f>IF(tblOrdenes[[#This Row],[centro_costo]]="","",_xlfn.XLOOKUP(tblOrdenes[[#This Row],[centro_costo]],tblCECO[codigo],tblCECO[coordinador],"(sin catálogo)"))</f>
        <v/>
      </c>
      <c r="Y907" s="3">
        <f>IF(tblOrdenes[[#This Row],[puesto_trabajo]]="","",_xlfn.XLOOKUP(tblOrdenes[[#This Row],[puesto_trabajo]],tblPuestos[codigo],tblPuestos[especialidad],"(sin catálogo)"))</f>
        <v/>
      </c>
      <c r="Z907" s="3">
        <f>IF(tblOrdenes[[#This Row],[cod_actividad]]="","",_xlfn.XLOOKUP(tblOrdenes[[#This Row],[cod_actividad]],tblActividades[codigo],tblActividades[descripcion],"(sin catálogo)"))</f>
        <v/>
      </c>
      <c r="AA907" s="12">
        <f>IF(tblOrdenes[[#This Row],[fecha_inicio]]="","",TODAY()-tblOrdenes[[#This Row],[fecha_inicio]])</f>
        <v/>
      </c>
      <c r="AB9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3">
        <f>IF(tblOrdenes[[#This Row],[backlog_habiles]]="","",IF(tblOrdenes[[#This Row],[backlog_habiles]]&lt;0,"FUTURO",IF(tblOrdenes[[#This Row],[backlog_habiles]]&gt;p_dias_backlog_max,"BACKLOG","MES CORRIENTE")))</f>
        <v/>
      </c>
      <c r="AD907" s="3">
        <f>IF(tblOrdenes[[#This Row],[backlog_habiles]]="",FALSE,AND(tblOrdenes[[#This Row],[backlog_habiles]]&gt;p_dias_backlog_min,tblOrdenes[[#This Row],[backlog_habiles]]&lt;=p_dias_backlog_max))</f>
        <v/>
      </c>
      <c r="AE907" s="6" t="n"/>
      <c r="AF9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0">
        <f>IF(tblOrdenes[[#This Row],[orden]]="","",_xlfn.XLOOKUP(tblOrdenes[[#This Row],[id_operacion]],tblEjecucion[id_operacion],tblEjecucion[precio],0))</f>
        <v/>
      </c>
      <c r="AJ907" s="10">
        <f>IF(tblOrdenes[[#This Row],[orden]]="","",MAX(0,_xlfn.XLOOKUP(tblOrdenes[[#This Row],[id_operacion]],tblEjecucion[id_operacion],tblEjecucion[costo_plan_total],0)-tblOrdenes[[#This Row],[costo_servicio]]))</f>
        <v/>
      </c>
      <c r="AK907" s="10">
        <f>IF(tblOrdenes[[#This Row],[orden]]="","",tblOrdenes[[#This Row],[costo_servicio]]+tblOrdenes[[#This Row],[costo_materiales]])</f>
        <v/>
      </c>
      <c r="AL907" s="6" t="n"/>
      <c r="AM907" s="6" t="n"/>
      <c r="AN907" s="6" t="n"/>
      <c r="AO907" s="3">
        <f>IF(tblOrdenes[[#This Row],[link_checklist]]="","",HYPERLINK(p_ruta_base_checklists&amp;tblOrdenes[[#This Row],[link_checklist]],"abrir"))</f>
        <v/>
      </c>
      <c r="AP907" s="6" t="n"/>
      <c r="AQ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3">
        <f>IF(tblOrdenes[[#This Row],[tipo_ot]]="","",_xlfn.XLOOKUP(tblOrdenes[[#This Row],[tipo_ot]],tblTiposOT[codigo],tblTiposOT[clasificacion],"sin_clasificar"))</f>
        <v/>
      </c>
      <c r="U908" s="3">
        <f>IF(tblOrdenes[[#This Row],[centro_costo]]="","",_xlfn.XLOOKUP(tblOrdenes[[#This Row],[centro_costo]],tblCECO[codigo],tblCECO[linea],"(sin catálogo)"))</f>
        <v/>
      </c>
      <c r="V908" s="3">
        <f>IF(tblOrdenes[[#This Row],[centro_costo]]="","",_xlfn.XLOOKUP(tblOrdenes[[#This Row],[centro_costo]],tblCECO[codigo],tblCECO[area],"(sin catálogo)"))</f>
        <v/>
      </c>
      <c r="W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3">
        <f>IF(tblOrdenes[[#This Row],[centro_costo]]="","",_xlfn.XLOOKUP(tblOrdenes[[#This Row],[centro_costo]],tblCECO[codigo],tblCECO[coordinador],"(sin catálogo)"))</f>
        <v/>
      </c>
      <c r="Y908" s="3">
        <f>IF(tblOrdenes[[#This Row],[puesto_trabajo]]="","",_xlfn.XLOOKUP(tblOrdenes[[#This Row],[puesto_trabajo]],tblPuestos[codigo],tblPuestos[especialidad],"(sin catálogo)"))</f>
        <v/>
      </c>
      <c r="Z908" s="3">
        <f>IF(tblOrdenes[[#This Row],[cod_actividad]]="","",_xlfn.XLOOKUP(tblOrdenes[[#This Row],[cod_actividad]],tblActividades[codigo],tblActividades[descripcion],"(sin catálogo)"))</f>
        <v/>
      </c>
      <c r="AA908" s="12">
        <f>IF(tblOrdenes[[#This Row],[fecha_inicio]]="","",TODAY()-tblOrdenes[[#This Row],[fecha_inicio]])</f>
        <v/>
      </c>
      <c r="AB9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3">
        <f>IF(tblOrdenes[[#This Row],[backlog_habiles]]="","",IF(tblOrdenes[[#This Row],[backlog_habiles]]&lt;0,"FUTURO",IF(tblOrdenes[[#This Row],[backlog_habiles]]&gt;p_dias_backlog_max,"BACKLOG","MES CORRIENTE")))</f>
        <v/>
      </c>
      <c r="AD908" s="3">
        <f>IF(tblOrdenes[[#This Row],[backlog_habiles]]="",FALSE,AND(tblOrdenes[[#This Row],[backlog_habiles]]&gt;p_dias_backlog_min,tblOrdenes[[#This Row],[backlog_habiles]]&lt;=p_dias_backlog_max))</f>
        <v/>
      </c>
      <c r="AE908" s="6" t="n"/>
      <c r="AF9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0">
        <f>IF(tblOrdenes[[#This Row],[orden]]="","",_xlfn.XLOOKUP(tblOrdenes[[#This Row],[id_operacion]],tblEjecucion[id_operacion],tblEjecucion[precio],0))</f>
        <v/>
      </c>
      <c r="AJ908" s="10">
        <f>IF(tblOrdenes[[#This Row],[orden]]="","",MAX(0,_xlfn.XLOOKUP(tblOrdenes[[#This Row],[id_operacion]],tblEjecucion[id_operacion],tblEjecucion[costo_plan_total],0)-tblOrdenes[[#This Row],[costo_servicio]]))</f>
        <v/>
      </c>
      <c r="AK908" s="10">
        <f>IF(tblOrdenes[[#This Row],[orden]]="","",tblOrdenes[[#This Row],[costo_servicio]]+tblOrdenes[[#This Row],[costo_materiales]])</f>
        <v/>
      </c>
      <c r="AL908" s="6" t="n"/>
      <c r="AM908" s="6" t="n"/>
      <c r="AN908" s="6" t="n"/>
      <c r="AO908" s="3">
        <f>IF(tblOrdenes[[#This Row],[link_checklist]]="","",HYPERLINK(p_ruta_base_checklists&amp;tblOrdenes[[#This Row],[link_checklist]],"abrir"))</f>
        <v/>
      </c>
      <c r="AP908" s="6" t="n"/>
      <c r="AQ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3">
        <f>IF(tblOrdenes[[#This Row],[tipo_ot]]="","",_xlfn.XLOOKUP(tblOrdenes[[#This Row],[tipo_ot]],tblTiposOT[codigo],tblTiposOT[clasificacion],"sin_clasificar"))</f>
        <v/>
      </c>
      <c r="U909" s="3">
        <f>IF(tblOrdenes[[#This Row],[centro_costo]]="","",_xlfn.XLOOKUP(tblOrdenes[[#This Row],[centro_costo]],tblCECO[codigo],tblCECO[linea],"(sin catálogo)"))</f>
        <v/>
      </c>
      <c r="V909" s="3">
        <f>IF(tblOrdenes[[#This Row],[centro_costo]]="","",_xlfn.XLOOKUP(tblOrdenes[[#This Row],[centro_costo]],tblCECO[codigo],tblCECO[area],"(sin catálogo)"))</f>
        <v/>
      </c>
      <c r="W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3">
        <f>IF(tblOrdenes[[#This Row],[centro_costo]]="","",_xlfn.XLOOKUP(tblOrdenes[[#This Row],[centro_costo]],tblCECO[codigo],tblCECO[coordinador],"(sin catálogo)"))</f>
        <v/>
      </c>
      <c r="Y909" s="3">
        <f>IF(tblOrdenes[[#This Row],[puesto_trabajo]]="","",_xlfn.XLOOKUP(tblOrdenes[[#This Row],[puesto_trabajo]],tblPuestos[codigo],tblPuestos[especialidad],"(sin catálogo)"))</f>
        <v/>
      </c>
      <c r="Z909" s="3">
        <f>IF(tblOrdenes[[#This Row],[cod_actividad]]="","",_xlfn.XLOOKUP(tblOrdenes[[#This Row],[cod_actividad]],tblActividades[codigo],tblActividades[descripcion],"(sin catálogo)"))</f>
        <v/>
      </c>
      <c r="AA909" s="12">
        <f>IF(tblOrdenes[[#This Row],[fecha_inicio]]="","",TODAY()-tblOrdenes[[#This Row],[fecha_inicio]])</f>
        <v/>
      </c>
      <c r="AB9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3">
        <f>IF(tblOrdenes[[#This Row],[backlog_habiles]]="","",IF(tblOrdenes[[#This Row],[backlog_habiles]]&lt;0,"FUTURO",IF(tblOrdenes[[#This Row],[backlog_habiles]]&gt;p_dias_backlog_max,"BACKLOG","MES CORRIENTE")))</f>
        <v/>
      </c>
      <c r="AD909" s="3">
        <f>IF(tblOrdenes[[#This Row],[backlog_habiles]]="",FALSE,AND(tblOrdenes[[#This Row],[backlog_habiles]]&gt;p_dias_backlog_min,tblOrdenes[[#This Row],[backlog_habiles]]&lt;=p_dias_backlog_max))</f>
        <v/>
      </c>
      <c r="AE909" s="6" t="n"/>
      <c r="AF9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0">
        <f>IF(tblOrdenes[[#This Row],[orden]]="","",_xlfn.XLOOKUP(tblOrdenes[[#This Row],[id_operacion]],tblEjecucion[id_operacion],tblEjecucion[precio],0))</f>
        <v/>
      </c>
      <c r="AJ909" s="10">
        <f>IF(tblOrdenes[[#This Row],[orden]]="","",MAX(0,_xlfn.XLOOKUP(tblOrdenes[[#This Row],[id_operacion]],tblEjecucion[id_operacion],tblEjecucion[costo_plan_total],0)-tblOrdenes[[#This Row],[costo_servicio]]))</f>
        <v/>
      </c>
      <c r="AK909" s="10">
        <f>IF(tblOrdenes[[#This Row],[orden]]="","",tblOrdenes[[#This Row],[costo_servicio]]+tblOrdenes[[#This Row],[costo_materiales]])</f>
        <v/>
      </c>
      <c r="AL909" s="6" t="n"/>
      <c r="AM909" s="6" t="n"/>
      <c r="AN909" s="6" t="n"/>
      <c r="AO909" s="3">
        <f>IF(tblOrdenes[[#This Row],[link_checklist]]="","",HYPERLINK(p_ruta_base_checklists&amp;tblOrdenes[[#This Row],[link_checklist]],"abrir"))</f>
        <v/>
      </c>
      <c r="AP909" s="6" t="n"/>
      <c r="AQ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3">
        <f>IF(tblOrdenes[[#This Row],[tipo_ot]]="","",_xlfn.XLOOKUP(tblOrdenes[[#This Row],[tipo_ot]],tblTiposOT[codigo],tblTiposOT[clasificacion],"sin_clasificar"))</f>
        <v/>
      </c>
      <c r="U910" s="3">
        <f>IF(tblOrdenes[[#This Row],[centro_costo]]="","",_xlfn.XLOOKUP(tblOrdenes[[#This Row],[centro_costo]],tblCECO[codigo],tblCECO[linea],"(sin catálogo)"))</f>
        <v/>
      </c>
      <c r="V910" s="3">
        <f>IF(tblOrdenes[[#This Row],[centro_costo]]="","",_xlfn.XLOOKUP(tblOrdenes[[#This Row],[centro_costo]],tblCECO[codigo],tblCECO[area],"(sin catálogo)"))</f>
        <v/>
      </c>
      <c r="W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3">
        <f>IF(tblOrdenes[[#This Row],[centro_costo]]="","",_xlfn.XLOOKUP(tblOrdenes[[#This Row],[centro_costo]],tblCECO[codigo],tblCECO[coordinador],"(sin catálogo)"))</f>
        <v/>
      </c>
      <c r="Y910" s="3">
        <f>IF(tblOrdenes[[#This Row],[puesto_trabajo]]="","",_xlfn.XLOOKUP(tblOrdenes[[#This Row],[puesto_trabajo]],tblPuestos[codigo],tblPuestos[especialidad],"(sin catálogo)"))</f>
        <v/>
      </c>
      <c r="Z910" s="3">
        <f>IF(tblOrdenes[[#This Row],[cod_actividad]]="","",_xlfn.XLOOKUP(tblOrdenes[[#This Row],[cod_actividad]],tblActividades[codigo],tblActividades[descripcion],"(sin catálogo)"))</f>
        <v/>
      </c>
      <c r="AA910" s="12">
        <f>IF(tblOrdenes[[#This Row],[fecha_inicio]]="","",TODAY()-tblOrdenes[[#This Row],[fecha_inicio]])</f>
        <v/>
      </c>
      <c r="AB9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3">
        <f>IF(tblOrdenes[[#This Row],[backlog_habiles]]="","",IF(tblOrdenes[[#This Row],[backlog_habiles]]&lt;0,"FUTURO",IF(tblOrdenes[[#This Row],[backlog_habiles]]&gt;p_dias_backlog_max,"BACKLOG","MES CORRIENTE")))</f>
        <v/>
      </c>
      <c r="AD910" s="3">
        <f>IF(tblOrdenes[[#This Row],[backlog_habiles]]="",FALSE,AND(tblOrdenes[[#This Row],[backlog_habiles]]&gt;p_dias_backlog_min,tblOrdenes[[#This Row],[backlog_habiles]]&lt;=p_dias_backlog_max))</f>
        <v/>
      </c>
      <c r="AE910" s="6" t="n"/>
      <c r="AF9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0">
        <f>IF(tblOrdenes[[#This Row],[orden]]="","",_xlfn.XLOOKUP(tblOrdenes[[#This Row],[id_operacion]],tblEjecucion[id_operacion],tblEjecucion[precio],0))</f>
        <v/>
      </c>
      <c r="AJ910" s="10">
        <f>IF(tblOrdenes[[#This Row],[orden]]="","",MAX(0,_xlfn.XLOOKUP(tblOrdenes[[#This Row],[id_operacion]],tblEjecucion[id_operacion],tblEjecucion[costo_plan_total],0)-tblOrdenes[[#This Row],[costo_servicio]]))</f>
        <v/>
      </c>
      <c r="AK910" s="10">
        <f>IF(tblOrdenes[[#This Row],[orden]]="","",tblOrdenes[[#This Row],[costo_servicio]]+tblOrdenes[[#This Row],[costo_materiales]])</f>
        <v/>
      </c>
      <c r="AL910" s="6" t="n"/>
      <c r="AM910" s="6" t="n"/>
      <c r="AN910" s="6" t="n"/>
      <c r="AO910" s="3">
        <f>IF(tblOrdenes[[#This Row],[link_checklist]]="","",HYPERLINK(p_ruta_base_checklists&amp;tblOrdenes[[#This Row],[link_checklist]],"abrir"))</f>
        <v/>
      </c>
      <c r="AP910" s="6" t="n"/>
      <c r="AQ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3">
        <f>IF(tblOrdenes[[#This Row],[tipo_ot]]="","",_xlfn.XLOOKUP(tblOrdenes[[#This Row],[tipo_ot]],tblTiposOT[codigo],tblTiposOT[clasificacion],"sin_clasificar"))</f>
        <v/>
      </c>
      <c r="U911" s="3">
        <f>IF(tblOrdenes[[#This Row],[centro_costo]]="","",_xlfn.XLOOKUP(tblOrdenes[[#This Row],[centro_costo]],tblCECO[codigo],tblCECO[linea],"(sin catálogo)"))</f>
        <v/>
      </c>
      <c r="V911" s="3">
        <f>IF(tblOrdenes[[#This Row],[centro_costo]]="","",_xlfn.XLOOKUP(tblOrdenes[[#This Row],[centro_costo]],tblCECO[codigo],tblCECO[area],"(sin catálogo)"))</f>
        <v/>
      </c>
      <c r="W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3">
        <f>IF(tblOrdenes[[#This Row],[centro_costo]]="","",_xlfn.XLOOKUP(tblOrdenes[[#This Row],[centro_costo]],tblCECO[codigo],tblCECO[coordinador],"(sin catálogo)"))</f>
        <v/>
      </c>
      <c r="Y911" s="3">
        <f>IF(tblOrdenes[[#This Row],[puesto_trabajo]]="","",_xlfn.XLOOKUP(tblOrdenes[[#This Row],[puesto_trabajo]],tblPuestos[codigo],tblPuestos[especialidad],"(sin catálogo)"))</f>
        <v/>
      </c>
      <c r="Z911" s="3">
        <f>IF(tblOrdenes[[#This Row],[cod_actividad]]="","",_xlfn.XLOOKUP(tblOrdenes[[#This Row],[cod_actividad]],tblActividades[codigo],tblActividades[descripcion],"(sin catálogo)"))</f>
        <v/>
      </c>
      <c r="AA911" s="12">
        <f>IF(tblOrdenes[[#This Row],[fecha_inicio]]="","",TODAY()-tblOrdenes[[#This Row],[fecha_inicio]])</f>
        <v/>
      </c>
      <c r="AB9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3">
        <f>IF(tblOrdenes[[#This Row],[backlog_habiles]]="","",IF(tblOrdenes[[#This Row],[backlog_habiles]]&lt;0,"FUTURO",IF(tblOrdenes[[#This Row],[backlog_habiles]]&gt;p_dias_backlog_max,"BACKLOG","MES CORRIENTE")))</f>
        <v/>
      </c>
      <c r="AD911" s="3">
        <f>IF(tblOrdenes[[#This Row],[backlog_habiles]]="",FALSE,AND(tblOrdenes[[#This Row],[backlog_habiles]]&gt;p_dias_backlog_min,tblOrdenes[[#This Row],[backlog_habiles]]&lt;=p_dias_backlog_max))</f>
        <v/>
      </c>
      <c r="AE911" s="6" t="n"/>
      <c r="AF9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0">
        <f>IF(tblOrdenes[[#This Row],[orden]]="","",_xlfn.XLOOKUP(tblOrdenes[[#This Row],[id_operacion]],tblEjecucion[id_operacion],tblEjecucion[precio],0))</f>
        <v/>
      </c>
      <c r="AJ911" s="10">
        <f>IF(tblOrdenes[[#This Row],[orden]]="","",MAX(0,_xlfn.XLOOKUP(tblOrdenes[[#This Row],[id_operacion]],tblEjecucion[id_operacion],tblEjecucion[costo_plan_total],0)-tblOrdenes[[#This Row],[costo_servicio]]))</f>
        <v/>
      </c>
      <c r="AK911" s="10">
        <f>IF(tblOrdenes[[#This Row],[orden]]="","",tblOrdenes[[#This Row],[costo_servicio]]+tblOrdenes[[#This Row],[costo_materiales]])</f>
        <v/>
      </c>
      <c r="AL911" s="6" t="n"/>
      <c r="AM911" s="6" t="n"/>
      <c r="AN911" s="6" t="n"/>
      <c r="AO911" s="3">
        <f>IF(tblOrdenes[[#This Row],[link_checklist]]="","",HYPERLINK(p_ruta_base_checklists&amp;tblOrdenes[[#This Row],[link_checklist]],"abrir"))</f>
        <v/>
      </c>
      <c r="AP911" s="6" t="n"/>
      <c r="AQ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3">
        <f>IF(tblOrdenes[[#This Row],[tipo_ot]]="","",_xlfn.XLOOKUP(tblOrdenes[[#This Row],[tipo_ot]],tblTiposOT[codigo],tblTiposOT[clasificacion],"sin_clasificar"))</f>
        <v/>
      </c>
      <c r="U912" s="3">
        <f>IF(tblOrdenes[[#This Row],[centro_costo]]="","",_xlfn.XLOOKUP(tblOrdenes[[#This Row],[centro_costo]],tblCECO[codigo],tblCECO[linea],"(sin catálogo)"))</f>
        <v/>
      </c>
      <c r="V912" s="3">
        <f>IF(tblOrdenes[[#This Row],[centro_costo]]="","",_xlfn.XLOOKUP(tblOrdenes[[#This Row],[centro_costo]],tblCECO[codigo],tblCECO[area],"(sin catálogo)"))</f>
        <v/>
      </c>
      <c r="W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3">
        <f>IF(tblOrdenes[[#This Row],[centro_costo]]="","",_xlfn.XLOOKUP(tblOrdenes[[#This Row],[centro_costo]],tblCECO[codigo],tblCECO[coordinador],"(sin catálogo)"))</f>
        <v/>
      </c>
      <c r="Y912" s="3">
        <f>IF(tblOrdenes[[#This Row],[puesto_trabajo]]="","",_xlfn.XLOOKUP(tblOrdenes[[#This Row],[puesto_trabajo]],tblPuestos[codigo],tblPuestos[especialidad],"(sin catálogo)"))</f>
        <v/>
      </c>
      <c r="Z912" s="3">
        <f>IF(tblOrdenes[[#This Row],[cod_actividad]]="","",_xlfn.XLOOKUP(tblOrdenes[[#This Row],[cod_actividad]],tblActividades[codigo],tblActividades[descripcion],"(sin catálogo)"))</f>
        <v/>
      </c>
      <c r="AA912" s="12">
        <f>IF(tblOrdenes[[#This Row],[fecha_inicio]]="","",TODAY()-tblOrdenes[[#This Row],[fecha_inicio]])</f>
        <v/>
      </c>
      <c r="AB9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3">
        <f>IF(tblOrdenes[[#This Row],[backlog_habiles]]="","",IF(tblOrdenes[[#This Row],[backlog_habiles]]&lt;0,"FUTURO",IF(tblOrdenes[[#This Row],[backlog_habiles]]&gt;p_dias_backlog_max,"BACKLOG","MES CORRIENTE")))</f>
        <v/>
      </c>
      <c r="AD912" s="3">
        <f>IF(tblOrdenes[[#This Row],[backlog_habiles]]="",FALSE,AND(tblOrdenes[[#This Row],[backlog_habiles]]&gt;p_dias_backlog_min,tblOrdenes[[#This Row],[backlog_habiles]]&lt;=p_dias_backlog_max))</f>
        <v/>
      </c>
      <c r="AE912" s="6" t="n"/>
      <c r="AF9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0">
        <f>IF(tblOrdenes[[#This Row],[orden]]="","",_xlfn.XLOOKUP(tblOrdenes[[#This Row],[id_operacion]],tblEjecucion[id_operacion],tblEjecucion[precio],0))</f>
        <v/>
      </c>
      <c r="AJ912" s="10">
        <f>IF(tblOrdenes[[#This Row],[orden]]="","",MAX(0,_xlfn.XLOOKUP(tblOrdenes[[#This Row],[id_operacion]],tblEjecucion[id_operacion],tblEjecucion[costo_plan_total],0)-tblOrdenes[[#This Row],[costo_servicio]]))</f>
        <v/>
      </c>
      <c r="AK912" s="10">
        <f>IF(tblOrdenes[[#This Row],[orden]]="","",tblOrdenes[[#This Row],[costo_servicio]]+tblOrdenes[[#This Row],[costo_materiales]])</f>
        <v/>
      </c>
      <c r="AL912" s="6" t="n"/>
      <c r="AM912" s="6" t="n"/>
      <c r="AN912" s="6" t="n"/>
      <c r="AO912" s="3">
        <f>IF(tblOrdenes[[#This Row],[link_checklist]]="","",HYPERLINK(p_ruta_base_checklists&amp;tblOrdenes[[#This Row],[link_checklist]],"abrir"))</f>
        <v/>
      </c>
      <c r="AP912" s="6" t="n"/>
      <c r="AQ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3">
        <f>IF(tblOrdenes[[#This Row],[tipo_ot]]="","",_xlfn.XLOOKUP(tblOrdenes[[#This Row],[tipo_ot]],tblTiposOT[codigo],tblTiposOT[clasificacion],"sin_clasificar"))</f>
        <v/>
      </c>
      <c r="U913" s="3">
        <f>IF(tblOrdenes[[#This Row],[centro_costo]]="","",_xlfn.XLOOKUP(tblOrdenes[[#This Row],[centro_costo]],tblCECO[codigo],tblCECO[linea],"(sin catálogo)"))</f>
        <v/>
      </c>
      <c r="V913" s="3">
        <f>IF(tblOrdenes[[#This Row],[centro_costo]]="","",_xlfn.XLOOKUP(tblOrdenes[[#This Row],[centro_costo]],tblCECO[codigo],tblCECO[area],"(sin catálogo)"))</f>
        <v/>
      </c>
      <c r="W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3">
        <f>IF(tblOrdenes[[#This Row],[centro_costo]]="","",_xlfn.XLOOKUP(tblOrdenes[[#This Row],[centro_costo]],tblCECO[codigo],tblCECO[coordinador],"(sin catálogo)"))</f>
        <v/>
      </c>
      <c r="Y913" s="3">
        <f>IF(tblOrdenes[[#This Row],[puesto_trabajo]]="","",_xlfn.XLOOKUP(tblOrdenes[[#This Row],[puesto_trabajo]],tblPuestos[codigo],tblPuestos[especialidad],"(sin catálogo)"))</f>
        <v/>
      </c>
      <c r="Z913" s="3">
        <f>IF(tblOrdenes[[#This Row],[cod_actividad]]="","",_xlfn.XLOOKUP(tblOrdenes[[#This Row],[cod_actividad]],tblActividades[codigo],tblActividades[descripcion],"(sin catálogo)"))</f>
        <v/>
      </c>
      <c r="AA913" s="12">
        <f>IF(tblOrdenes[[#This Row],[fecha_inicio]]="","",TODAY()-tblOrdenes[[#This Row],[fecha_inicio]])</f>
        <v/>
      </c>
      <c r="AB9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3">
        <f>IF(tblOrdenes[[#This Row],[backlog_habiles]]="","",IF(tblOrdenes[[#This Row],[backlog_habiles]]&lt;0,"FUTURO",IF(tblOrdenes[[#This Row],[backlog_habiles]]&gt;p_dias_backlog_max,"BACKLOG","MES CORRIENTE")))</f>
        <v/>
      </c>
      <c r="AD913" s="3">
        <f>IF(tblOrdenes[[#This Row],[backlog_habiles]]="",FALSE,AND(tblOrdenes[[#This Row],[backlog_habiles]]&gt;p_dias_backlog_min,tblOrdenes[[#This Row],[backlog_habiles]]&lt;=p_dias_backlog_max))</f>
        <v/>
      </c>
      <c r="AE913" s="6" t="n"/>
      <c r="AF9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0">
        <f>IF(tblOrdenes[[#This Row],[orden]]="","",_xlfn.XLOOKUP(tblOrdenes[[#This Row],[id_operacion]],tblEjecucion[id_operacion],tblEjecucion[precio],0))</f>
        <v/>
      </c>
      <c r="AJ913" s="10">
        <f>IF(tblOrdenes[[#This Row],[orden]]="","",MAX(0,_xlfn.XLOOKUP(tblOrdenes[[#This Row],[id_operacion]],tblEjecucion[id_operacion],tblEjecucion[costo_plan_total],0)-tblOrdenes[[#This Row],[costo_servicio]]))</f>
        <v/>
      </c>
      <c r="AK913" s="10">
        <f>IF(tblOrdenes[[#This Row],[orden]]="","",tblOrdenes[[#This Row],[costo_servicio]]+tblOrdenes[[#This Row],[costo_materiales]])</f>
        <v/>
      </c>
      <c r="AL913" s="6" t="n"/>
      <c r="AM913" s="6" t="n"/>
      <c r="AN913" s="6" t="n"/>
      <c r="AO913" s="3">
        <f>IF(tblOrdenes[[#This Row],[link_checklist]]="","",HYPERLINK(p_ruta_base_checklists&amp;tblOrdenes[[#This Row],[link_checklist]],"abrir"))</f>
        <v/>
      </c>
      <c r="AP913" s="6" t="n"/>
      <c r="AQ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3">
        <f>IF(tblOrdenes[[#This Row],[tipo_ot]]="","",_xlfn.XLOOKUP(tblOrdenes[[#This Row],[tipo_ot]],tblTiposOT[codigo],tblTiposOT[clasificacion],"sin_clasificar"))</f>
        <v/>
      </c>
      <c r="U914" s="3">
        <f>IF(tblOrdenes[[#This Row],[centro_costo]]="","",_xlfn.XLOOKUP(tblOrdenes[[#This Row],[centro_costo]],tblCECO[codigo],tblCECO[linea],"(sin catálogo)"))</f>
        <v/>
      </c>
      <c r="V914" s="3">
        <f>IF(tblOrdenes[[#This Row],[centro_costo]]="","",_xlfn.XLOOKUP(tblOrdenes[[#This Row],[centro_costo]],tblCECO[codigo],tblCECO[area],"(sin catálogo)"))</f>
        <v/>
      </c>
      <c r="W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3">
        <f>IF(tblOrdenes[[#This Row],[centro_costo]]="","",_xlfn.XLOOKUP(tblOrdenes[[#This Row],[centro_costo]],tblCECO[codigo],tblCECO[coordinador],"(sin catálogo)"))</f>
        <v/>
      </c>
      <c r="Y914" s="3">
        <f>IF(tblOrdenes[[#This Row],[puesto_trabajo]]="","",_xlfn.XLOOKUP(tblOrdenes[[#This Row],[puesto_trabajo]],tblPuestos[codigo],tblPuestos[especialidad],"(sin catálogo)"))</f>
        <v/>
      </c>
      <c r="Z914" s="3">
        <f>IF(tblOrdenes[[#This Row],[cod_actividad]]="","",_xlfn.XLOOKUP(tblOrdenes[[#This Row],[cod_actividad]],tblActividades[codigo],tblActividades[descripcion],"(sin catálogo)"))</f>
        <v/>
      </c>
      <c r="AA914" s="12">
        <f>IF(tblOrdenes[[#This Row],[fecha_inicio]]="","",TODAY()-tblOrdenes[[#This Row],[fecha_inicio]])</f>
        <v/>
      </c>
      <c r="AB9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3">
        <f>IF(tblOrdenes[[#This Row],[backlog_habiles]]="","",IF(tblOrdenes[[#This Row],[backlog_habiles]]&lt;0,"FUTURO",IF(tblOrdenes[[#This Row],[backlog_habiles]]&gt;p_dias_backlog_max,"BACKLOG","MES CORRIENTE")))</f>
        <v/>
      </c>
      <c r="AD914" s="3">
        <f>IF(tblOrdenes[[#This Row],[backlog_habiles]]="",FALSE,AND(tblOrdenes[[#This Row],[backlog_habiles]]&gt;p_dias_backlog_min,tblOrdenes[[#This Row],[backlog_habiles]]&lt;=p_dias_backlog_max))</f>
        <v/>
      </c>
      <c r="AE914" s="6" t="n"/>
      <c r="AF9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0">
        <f>IF(tblOrdenes[[#This Row],[orden]]="","",_xlfn.XLOOKUP(tblOrdenes[[#This Row],[id_operacion]],tblEjecucion[id_operacion],tblEjecucion[precio],0))</f>
        <v/>
      </c>
      <c r="AJ914" s="10">
        <f>IF(tblOrdenes[[#This Row],[orden]]="","",MAX(0,_xlfn.XLOOKUP(tblOrdenes[[#This Row],[id_operacion]],tblEjecucion[id_operacion],tblEjecucion[costo_plan_total],0)-tblOrdenes[[#This Row],[costo_servicio]]))</f>
        <v/>
      </c>
      <c r="AK914" s="10">
        <f>IF(tblOrdenes[[#This Row],[orden]]="","",tblOrdenes[[#This Row],[costo_servicio]]+tblOrdenes[[#This Row],[costo_materiales]])</f>
        <v/>
      </c>
      <c r="AL914" s="6" t="n"/>
      <c r="AM914" s="6" t="n"/>
      <c r="AN914" s="6" t="n"/>
      <c r="AO914" s="3">
        <f>IF(tblOrdenes[[#This Row],[link_checklist]]="","",HYPERLINK(p_ruta_base_checklists&amp;tblOrdenes[[#This Row],[link_checklist]],"abrir"))</f>
        <v/>
      </c>
      <c r="AP914" s="6" t="n"/>
      <c r="AQ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3">
        <f>IF(tblOrdenes[[#This Row],[tipo_ot]]="","",_xlfn.XLOOKUP(tblOrdenes[[#This Row],[tipo_ot]],tblTiposOT[codigo],tblTiposOT[clasificacion],"sin_clasificar"))</f>
        <v/>
      </c>
      <c r="U915" s="3">
        <f>IF(tblOrdenes[[#This Row],[centro_costo]]="","",_xlfn.XLOOKUP(tblOrdenes[[#This Row],[centro_costo]],tblCECO[codigo],tblCECO[linea],"(sin catálogo)"))</f>
        <v/>
      </c>
      <c r="V915" s="3">
        <f>IF(tblOrdenes[[#This Row],[centro_costo]]="","",_xlfn.XLOOKUP(tblOrdenes[[#This Row],[centro_costo]],tblCECO[codigo],tblCECO[area],"(sin catálogo)"))</f>
        <v/>
      </c>
      <c r="W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3">
        <f>IF(tblOrdenes[[#This Row],[centro_costo]]="","",_xlfn.XLOOKUP(tblOrdenes[[#This Row],[centro_costo]],tblCECO[codigo],tblCECO[coordinador],"(sin catálogo)"))</f>
        <v/>
      </c>
      <c r="Y915" s="3">
        <f>IF(tblOrdenes[[#This Row],[puesto_trabajo]]="","",_xlfn.XLOOKUP(tblOrdenes[[#This Row],[puesto_trabajo]],tblPuestos[codigo],tblPuestos[especialidad],"(sin catálogo)"))</f>
        <v/>
      </c>
      <c r="Z915" s="3">
        <f>IF(tblOrdenes[[#This Row],[cod_actividad]]="","",_xlfn.XLOOKUP(tblOrdenes[[#This Row],[cod_actividad]],tblActividades[codigo],tblActividades[descripcion],"(sin catálogo)"))</f>
        <v/>
      </c>
      <c r="AA915" s="12">
        <f>IF(tblOrdenes[[#This Row],[fecha_inicio]]="","",TODAY()-tblOrdenes[[#This Row],[fecha_inicio]])</f>
        <v/>
      </c>
      <c r="AB9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3">
        <f>IF(tblOrdenes[[#This Row],[backlog_habiles]]="","",IF(tblOrdenes[[#This Row],[backlog_habiles]]&lt;0,"FUTURO",IF(tblOrdenes[[#This Row],[backlog_habiles]]&gt;p_dias_backlog_max,"BACKLOG","MES CORRIENTE")))</f>
        <v/>
      </c>
      <c r="AD915" s="3">
        <f>IF(tblOrdenes[[#This Row],[backlog_habiles]]="",FALSE,AND(tblOrdenes[[#This Row],[backlog_habiles]]&gt;p_dias_backlog_min,tblOrdenes[[#This Row],[backlog_habiles]]&lt;=p_dias_backlog_max))</f>
        <v/>
      </c>
      <c r="AE915" s="6" t="n"/>
      <c r="AF9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0">
        <f>IF(tblOrdenes[[#This Row],[orden]]="","",_xlfn.XLOOKUP(tblOrdenes[[#This Row],[id_operacion]],tblEjecucion[id_operacion],tblEjecucion[precio],0))</f>
        <v/>
      </c>
      <c r="AJ915" s="10">
        <f>IF(tblOrdenes[[#This Row],[orden]]="","",MAX(0,_xlfn.XLOOKUP(tblOrdenes[[#This Row],[id_operacion]],tblEjecucion[id_operacion],tblEjecucion[costo_plan_total],0)-tblOrdenes[[#This Row],[costo_servicio]]))</f>
        <v/>
      </c>
      <c r="AK915" s="10">
        <f>IF(tblOrdenes[[#This Row],[orden]]="","",tblOrdenes[[#This Row],[costo_servicio]]+tblOrdenes[[#This Row],[costo_materiales]])</f>
        <v/>
      </c>
      <c r="AL915" s="6" t="n"/>
      <c r="AM915" s="6" t="n"/>
      <c r="AN915" s="6" t="n"/>
      <c r="AO915" s="3">
        <f>IF(tblOrdenes[[#This Row],[link_checklist]]="","",HYPERLINK(p_ruta_base_checklists&amp;tblOrdenes[[#This Row],[link_checklist]],"abrir"))</f>
        <v/>
      </c>
      <c r="AP915" s="6" t="n"/>
      <c r="AQ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3">
        <f>IF(tblOrdenes[[#This Row],[tipo_ot]]="","",_xlfn.XLOOKUP(tblOrdenes[[#This Row],[tipo_ot]],tblTiposOT[codigo],tblTiposOT[clasificacion],"sin_clasificar"))</f>
        <v/>
      </c>
      <c r="U916" s="3">
        <f>IF(tblOrdenes[[#This Row],[centro_costo]]="","",_xlfn.XLOOKUP(tblOrdenes[[#This Row],[centro_costo]],tblCECO[codigo],tblCECO[linea],"(sin catálogo)"))</f>
        <v/>
      </c>
      <c r="V916" s="3">
        <f>IF(tblOrdenes[[#This Row],[centro_costo]]="","",_xlfn.XLOOKUP(tblOrdenes[[#This Row],[centro_costo]],tblCECO[codigo],tblCECO[area],"(sin catálogo)"))</f>
        <v/>
      </c>
      <c r="W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3">
        <f>IF(tblOrdenes[[#This Row],[centro_costo]]="","",_xlfn.XLOOKUP(tblOrdenes[[#This Row],[centro_costo]],tblCECO[codigo],tblCECO[coordinador],"(sin catálogo)"))</f>
        <v/>
      </c>
      <c r="Y916" s="3">
        <f>IF(tblOrdenes[[#This Row],[puesto_trabajo]]="","",_xlfn.XLOOKUP(tblOrdenes[[#This Row],[puesto_trabajo]],tblPuestos[codigo],tblPuestos[especialidad],"(sin catálogo)"))</f>
        <v/>
      </c>
      <c r="Z916" s="3">
        <f>IF(tblOrdenes[[#This Row],[cod_actividad]]="","",_xlfn.XLOOKUP(tblOrdenes[[#This Row],[cod_actividad]],tblActividades[codigo],tblActividades[descripcion],"(sin catálogo)"))</f>
        <v/>
      </c>
      <c r="AA916" s="12">
        <f>IF(tblOrdenes[[#This Row],[fecha_inicio]]="","",TODAY()-tblOrdenes[[#This Row],[fecha_inicio]])</f>
        <v/>
      </c>
      <c r="AB9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3">
        <f>IF(tblOrdenes[[#This Row],[backlog_habiles]]="","",IF(tblOrdenes[[#This Row],[backlog_habiles]]&lt;0,"FUTURO",IF(tblOrdenes[[#This Row],[backlog_habiles]]&gt;p_dias_backlog_max,"BACKLOG","MES CORRIENTE")))</f>
        <v/>
      </c>
      <c r="AD916" s="3">
        <f>IF(tblOrdenes[[#This Row],[backlog_habiles]]="",FALSE,AND(tblOrdenes[[#This Row],[backlog_habiles]]&gt;p_dias_backlog_min,tblOrdenes[[#This Row],[backlog_habiles]]&lt;=p_dias_backlog_max))</f>
        <v/>
      </c>
      <c r="AE916" s="6" t="n"/>
      <c r="AF9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0">
        <f>IF(tblOrdenes[[#This Row],[orden]]="","",_xlfn.XLOOKUP(tblOrdenes[[#This Row],[id_operacion]],tblEjecucion[id_operacion],tblEjecucion[precio],0))</f>
        <v/>
      </c>
      <c r="AJ916" s="10">
        <f>IF(tblOrdenes[[#This Row],[orden]]="","",MAX(0,_xlfn.XLOOKUP(tblOrdenes[[#This Row],[id_operacion]],tblEjecucion[id_operacion],tblEjecucion[costo_plan_total],0)-tblOrdenes[[#This Row],[costo_servicio]]))</f>
        <v/>
      </c>
      <c r="AK916" s="10">
        <f>IF(tblOrdenes[[#This Row],[orden]]="","",tblOrdenes[[#This Row],[costo_servicio]]+tblOrdenes[[#This Row],[costo_materiales]])</f>
        <v/>
      </c>
      <c r="AL916" s="6" t="n"/>
      <c r="AM916" s="6" t="n"/>
      <c r="AN916" s="6" t="n"/>
      <c r="AO916" s="3">
        <f>IF(tblOrdenes[[#This Row],[link_checklist]]="","",HYPERLINK(p_ruta_base_checklists&amp;tblOrdenes[[#This Row],[link_checklist]],"abrir"))</f>
        <v/>
      </c>
      <c r="AP916" s="6" t="n"/>
      <c r="AQ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3">
        <f>IF(tblOrdenes[[#This Row],[tipo_ot]]="","",_xlfn.XLOOKUP(tblOrdenes[[#This Row],[tipo_ot]],tblTiposOT[codigo],tblTiposOT[clasificacion],"sin_clasificar"))</f>
        <v/>
      </c>
      <c r="U917" s="3">
        <f>IF(tblOrdenes[[#This Row],[centro_costo]]="","",_xlfn.XLOOKUP(tblOrdenes[[#This Row],[centro_costo]],tblCECO[codigo],tblCECO[linea],"(sin catálogo)"))</f>
        <v/>
      </c>
      <c r="V917" s="3">
        <f>IF(tblOrdenes[[#This Row],[centro_costo]]="","",_xlfn.XLOOKUP(tblOrdenes[[#This Row],[centro_costo]],tblCECO[codigo],tblCECO[area],"(sin catálogo)"))</f>
        <v/>
      </c>
      <c r="W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3">
        <f>IF(tblOrdenes[[#This Row],[centro_costo]]="","",_xlfn.XLOOKUP(tblOrdenes[[#This Row],[centro_costo]],tblCECO[codigo],tblCECO[coordinador],"(sin catálogo)"))</f>
        <v/>
      </c>
      <c r="Y917" s="3">
        <f>IF(tblOrdenes[[#This Row],[puesto_trabajo]]="","",_xlfn.XLOOKUP(tblOrdenes[[#This Row],[puesto_trabajo]],tblPuestos[codigo],tblPuestos[especialidad],"(sin catálogo)"))</f>
        <v/>
      </c>
      <c r="Z917" s="3">
        <f>IF(tblOrdenes[[#This Row],[cod_actividad]]="","",_xlfn.XLOOKUP(tblOrdenes[[#This Row],[cod_actividad]],tblActividades[codigo],tblActividades[descripcion],"(sin catálogo)"))</f>
        <v/>
      </c>
      <c r="AA917" s="12">
        <f>IF(tblOrdenes[[#This Row],[fecha_inicio]]="","",TODAY()-tblOrdenes[[#This Row],[fecha_inicio]])</f>
        <v/>
      </c>
      <c r="AB9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3">
        <f>IF(tblOrdenes[[#This Row],[backlog_habiles]]="","",IF(tblOrdenes[[#This Row],[backlog_habiles]]&lt;0,"FUTURO",IF(tblOrdenes[[#This Row],[backlog_habiles]]&gt;p_dias_backlog_max,"BACKLOG","MES CORRIENTE")))</f>
        <v/>
      </c>
      <c r="AD917" s="3">
        <f>IF(tblOrdenes[[#This Row],[backlog_habiles]]="",FALSE,AND(tblOrdenes[[#This Row],[backlog_habiles]]&gt;p_dias_backlog_min,tblOrdenes[[#This Row],[backlog_habiles]]&lt;=p_dias_backlog_max))</f>
        <v/>
      </c>
      <c r="AE917" s="6" t="n"/>
      <c r="AF9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0">
        <f>IF(tblOrdenes[[#This Row],[orden]]="","",_xlfn.XLOOKUP(tblOrdenes[[#This Row],[id_operacion]],tblEjecucion[id_operacion],tblEjecucion[precio],0))</f>
        <v/>
      </c>
      <c r="AJ917" s="10">
        <f>IF(tblOrdenes[[#This Row],[orden]]="","",MAX(0,_xlfn.XLOOKUP(tblOrdenes[[#This Row],[id_operacion]],tblEjecucion[id_operacion],tblEjecucion[costo_plan_total],0)-tblOrdenes[[#This Row],[costo_servicio]]))</f>
        <v/>
      </c>
      <c r="AK917" s="10">
        <f>IF(tblOrdenes[[#This Row],[orden]]="","",tblOrdenes[[#This Row],[costo_servicio]]+tblOrdenes[[#This Row],[costo_materiales]])</f>
        <v/>
      </c>
      <c r="AL917" s="6" t="n"/>
      <c r="AM917" s="6" t="n"/>
      <c r="AN917" s="6" t="n"/>
      <c r="AO917" s="3">
        <f>IF(tblOrdenes[[#This Row],[link_checklist]]="","",HYPERLINK(p_ruta_base_checklists&amp;tblOrdenes[[#This Row],[link_checklist]],"abrir"))</f>
        <v/>
      </c>
      <c r="AP917" s="6" t="n"/>
      <c r="AQ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3">
        <f>IF(tblOrdenes[[#This Row],[tipo_ot]]="","",_xlfn.XLOOKUP(tblOrdenes[[#This Row],[tipo_ot]],tblTiposOT[codigo],tblTiposOT[clasificacion],"sin_clasificar"))</f>
        <v/>
      </c>
      <c r="U918" s="3">
        <f>IF(tblOrdenes[[#This Row],[centro_costo]]="","",_xlfn.XLOOKUP(tblOrdenes[[#This Row],[centro_costo]],tblCECO[codigo],tblCECO[linea],"(sin catálogo)"))</f>
        <v/>
      </c>
      <c r="V918" s="3">
        <f>IF(tblOrdenes[[#This Row],[centro_costo]]="","",_xlfn.XLOOKUP(tblOrdenes[[#This Row],[centro_costo]],tblCECO[codigo],tblCECO[area],"(sin catálogo)"))</f>
        <v/>
      </c>
      <c r="W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3">
        <f>IF(tblOrdenes[[#This Row],[centro_costo]]="","",_xlfn.XLOOKUP(tblOrdenes[[#This Row],[centro_costo]],tblCECO[codigo],tblCECO[coordinador],"(sin catálogo)"))</f>
        <v/>
      </c>
      <c r="Y918" s="3">
        <f>IF(tblOrdenes[[#This Row],[puesto_trabajo]]="","",_xlfn.XLOOKUP(tblOrdenes[[#This Row],[puesto_trabajo]],tblPuestos[codigo],tblPuestos[especialidad],"(sin catálogo)"))</f>
        <v/>
      </c>
      <c r="Z918" s="3">
        <f>IF(tblOrdenes[[#This Row],[cod_actividad]]="","",_xlfn.XLOOKUP(tblOrdenes[[#This Row],[cod_actividad]],tblActividades[codigo],tblActividades[descripcion],"(sin catálogo)"))</f>
        <v/>
      </c>
      <c r="AA918" s="12">
        <f>IF(tblOrdenes[[#This Row],[fecha_inicio]]="","",TODAY()-tblOrdenes[[#This Row],[fecha_inicio]])</f>
        <v/>
      </c>
      <c r="AB9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3">
        <f>IF(tblOrdenes[[#This Row],[backlog_habiles]]="","",IF(tblOrdenes[[#This Row],[backlog_habiles]]&lt;0,"FUTURO",IF(tblOrdenes[[#This Row],[backlog_habiles]]&gt;p_dias_backlog_max,"BACKLOG","MES CORRIENTE")))</f>
        <v/>
      </c>
      <c r="AD918" s="3">
        <f>IF(tblOrdenes[[#This Row],[backlog_habiles]]="",FALSE,AND(tblOrdenes[[#This Row],[backlog_habiles]]&gt;p_dias_backlog_min,tblOrdenes[[#This Row],[backlog_habiles]]&lt;=p_dias_backlog_max))</f>
        <v/>
      </c>
      <c r="AE918" s="6" t="n"/>
      <c r="AF9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0">
        <f>IF(tblOrdenes[[#This Row],[orden]]="","",_xlfn.XLOOKUP(tblOrdenes[[#This Row],[id_operacion]],tblEjecucion[id_operacion],tblEjecucion[precio],0))</f>
        <v/>
      </c>
      <c r="AJ918" s="10">
        <f>IF(tblOrdenes[[#This Row],[orden]]="","",MAX(0,_xlfn.XLOOKUP(tblOrdenes[[#This Row],[id_operacion]],tblEjecucion[id_operacion],tblEjecucion[costo_plan_total],0)-tblOrdenes[[#This Row],[costo_servicio]]))</f>
        <v/>
      </c>
      <c r="AK918" s="10">
        <f>IF(tblOrdenes[[#This Row],[orden]]="","",tblOrdenes[[#This Row],[costo_servicio]]+tblOrdenes[[#This Row],[costo_materiales]])</f>
        <v/>
      </c>
      <c r="AL918" s="6" t="n"/>
      <c r="AM918" s="6" t="n"/>
      <c r="AN918" s="6" t="n"/>
      <c r="AO918" s="3">
        <f>IF(tblOrdenes[[#This Row],[link_checklist]]="","",HYPERLINK(p_ruta_base_checklists&amp;tblOrdenes[[#This Row],[link_checklist]],"abrir"))</f>
        <v/>
      </c>
      <c r="AP918" s="6" t="n"/>
      <c r="AQ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3">
        <f>IF(tblOrdenes[[#This Row],[tipo_ot]]="","",_xlfn.XLOOKUP(tblOrdenes[[#This Row],[tipo_ot]],tblTiposOT[codigo],tblTiposOT[clasificacion],"sin_clasificar"))</f>
        <v/>
      </c>
      <c r="U919" s="3">
        <f>IF(tblOrdenes[[#This Row],[centro_costo]]="","",_xlfn.XLOOKUP(tblOrdenes[[#This Row],[centro_costo]],tblCECO[codigo],tblCECO[linea],"(sin catálogo)"))</f>
        <v/>
      </c>
      <c r="V919" s="3">
        <f>IF(tblOrdenes[[#This Row],[centro_costo]]="","",_xlfn.XLOOKUP(tblOrdenes[[#This Row],[centro_costo]],tblCECO[codigo],tblCECO[area],"(sin catálogo)"))</f>
        <v/>
      </c>
      <c r="W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3">
        <f>IF(tblOrdenes[[#This Row],[centro_costo]]="","",_xlfn.XLOOKUP(tblOrdenes[[#This Row],[centro_costo]],tblCECO[codigo],tblCECO[coordinador],"(sin catálogo)"))</f>
        <v/>
      </c>
      <c r="Y919" s="3">
        <f>IF(tblOrdenes[[#This Row],[puesto_trabajo]]="","",_xlfn.XLOOKUP(tblOrdenes[[#This Row],[puesto_trabajo]],tblPuestos[codigo],tblPuestos[especialidad],"(sin catálogo)"))</f>
        <v/>
      </c>
      <c r="Z919" s="3">
        <f>IF(tblOrdenes[[#This Row],[cod_actividad]]="","",_xlfn.XLOOKUP(tblOrdenes[[#This Row],[cod_actividad]],tblActividades[codigo],tblActividades[descripcion],"(sin catálogo)"))</f>
        <v/>
      </c>
      <c r="AA919" s="12">
        <f>IF(tblOrdenes[[#This Row],[fecha_inicio]]="","",TODAY()-tblOrdenes[[#This Row],[fecha_inicio]])</f>
        <v/>
      </c>
      <c r="AB9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3">
        <f>IF(tblOrdenes[[#This Row],[backlog_habiles]]="","",IF(tblOrdenes[[#This Row],[backlog_habiles]]&lt;0,"FUTURO",IF(tblOrdenes[[#This Row],[backlog_habiles]]&gt;p_dias_backlog_max,"BACKLOG","MES CORRIENTE")))</f>
        <v/>
      </c>
      <c r="AD919" s="3">
        <f>IF(tblOrdenes[[#This Row],[backlog_habiles]]="",FALSE,AND(tblOrdenes[[#This Row],[backlog_habiles]]&gt;p_dias_backlog_min,tblOrdenes[[#This Row],[backlog_habiles]]&lt;=p_dias_backlog_max))</f>
        <v/>
      </c>
      <c r="AE919" s="6" t="n"/>
      <c r="AF9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0">
        <f>IF(tblOrdenes[[#This Row],[orden]]="","",_xlfn.XLOOKUP(tblOrdenes[[#This Row],[id_operacion]],tblEjecucion[id_operacion],tblEjecucion[precio],0))</f>
        <v/>
      </c>
      <c r="AJ919" s="10">
        <f>IF(tblOrdenes[[#This Row],[orden]]="","",MAX(0,_xlfn.XLOOKUP(tblOrdenes[[#This Row],[id_operacion]],tblEjecucion[id_operacion],tblEjecucion[costo_plan_total],0)-tblOrdenes[[#This Row],[costo_servicio]]))</f>
        <v/>
      </c>
      <c r="AK919" s="10">
        <f>IF(tblOrdenes[[#This Row],[orden]]="","",tblOrdenes[[#This Row],[costo_servicio]]+tblOrdenes[[#This Row],[costo_materiales]])</f>
        <v/>
      </c>
      <c r="AL919" s="6" t="n"/>
      <c r="AM919" s="6" t="n"/>
      <c r="AN919" s="6" t="n"/>
      <c r="AO919" s="3">
        <f>IF(tblOrdenes[[#This Row],[link_checklist]]="","",HYPERLINK(p_ruta_base_checklists&amp;tblOrdenes[[#This Row],[link_checklist]],"abrir"))</f>
        <v/>
      </c>
      <c r="AP919" s="6" t="n"/>
      <c r="AQ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3">
        <f>IF(tblOrdenes[[#This Row],[tipo_ot]]="","",_xlfn.XLOOKUP(tblOrdenes[[#This Row],[tipo_ot]],tblTiposOT[codigo],tblTiposOT[clasificacion],"sin_clasificar"))</f>
        <v/>
      </c>
      <c r="U920" s="3">
        <f>IF(tblOrdenes[[#This Row],[centro_costo]]="","",_xlfn.XLOOKUP(tblOrdenes[[#This Row],[centro_costo]],tblCECO[codigo],tblCECO[linea],"(sin catálogo)"))</f>
        <v/>
      </c>
      <c r="V920" s="3">
        <f>IF(tblOrdenes[[#This Row],[centro_costo]]="","",_xlfn.XLOOKUP(tblOrdenes[[#This Row],[centro_costo]],tblCECO[codigo],tblCECO[area],"(sin catálogo)"))</f>
        <v/>
      </c>
      <c r="W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3">
        <f>IF(tblOrdenes[[#This Row],[centro_costo]]="","",_xlfn.XLOOKUP(tblOrdenes[[#This Row],[centro_costo]],tblCECO[codigo],tblCECO[coordinador],"(sin catálogo)"))</f>
        <v/>
      </c>
      <c r="Y920" s="3">
        <f>IF(tblOrdenes[[#This Row],[puesto_trabajo]]="","",_xlfn.XLOOKUP(tblOrdenes[[#This Row],[puesto_trabajo]],tblPuestos[codigo],tblPuestos[especialidad],"(sin catálogo)"))</f>
        <v/>
      </c>
      <c r="Z920" s="3">
        <f>IF(tblOrdenes[[#This Row],[cod_actividad]]="","",_xlfn.XLOOKUP(tblOrdenes[[#This Row],[cod_actividad]],tblActividades[codigo],tblActividades[descripcion],"(sin catálogo)"))</f>
        <v/>
      </c>
      <c r="AA920" s="12">
        <f>IF(tblOrdenes[[#This Row],[fecha_inicio]]="","",TODAY()-tblOrdenes[[#This Row],[fecha_inicio]])</f>
        <v/>
      </c>
      <c r="AB9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3">
        <f>IF(tblOrdenes[[#This Row],[backlog_habiles]]="","",IF(tblOrdenes[[#This Row],[backlog_habiles]]&lt;0,"FUTURO",IF(tblOrdenes[[#This Row],[backlog_habiles]]&gt;p_dias_backlog_max,"BACKLOG","MES CORRIENTE")))</f>
        <v/>
      </c>
      <c r="AD920" s="3">
        <f>IF(tblOrdenes[[#This Row],[backlog_habiles]]="",FALSE,AND(tblOrdenes[[#This Row],[backlog_habiles]]&gt;p_dias_backlog_min,tblOrdenes[[#This Row],[backlog_habiles]]&lt;=p_dias_backlog_max))</f>
        <v/>
      </c>
      <c r="AE920" s="6" t="n"/>
      <c r="AF9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0">
        <f>IF(tblOrdenes[[#This Row],[orden]]="","",_xlfn.XLOOKUP(tblOrdenes[[#This Row],[id_operacion]],tblEjecucion[id_operacion],tblEjecucion[precio],0))</f>
        <v/>
      </c>
      <c r="AJ920" s="10">
        <f>IF(tblOrdenes[[#This Row],[orden]]="","",MAX(0,_xlfn.XLOOKUP(tblOrdenes[[#This Row],[id_operacion]],tblEjecucion[id_operacion],tblEjecucion[costo_plan_total],0)-tblOrdenes[[#This Row],[costo_servicio]]))</f>
        <v/>
      </c>
      <c r="AK920" s="10">
        <f>IF(tblOrdenes[[#This Row],[orden]]="","",tblOrdenes[[#This Row],[costo_servicio]]+tblOrdenes[[#This Row],[costo_materiales]])</f>
        <v/>
      </c>
      <c r="AL920" s="6" t="n"/>
      <c r="AM920" s="6" t="n"/>
      <c r="AN920" s="6" t="n"/>
      <c r="AO920" s="3">
        <f>IF(tblOrdenes[[#This Row],[link_checklist]]="","",HYPERLINK(p_ruta_base_checklists&amp;tblOrdenes[[#This Row],[link_checklist]],"abrir"))</f>
        <v/>
      </c>
      <c r="AP920" s="6" t="n"/>
      <c r="AQ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3">
        <f>IF(tblOrdenes[[#This Row],[tipo_ot]]="","",_xlfn.XLOOKUP(tblOrdenes[[#This Row],[tipo_ot]],tblTiposOT[codigo],tblTiposOT[clasificacion],"sin_clasificar"))</f>
        <v/>
      </c>
      <c r="U921" s="3">
        <f>IF(tblOrdenes[[#This Row],[centro_costo]]="","",_xlfn.XLOOKUP(tblOrdenes[[#This Row],[centro_costo]],tblCECO[codigo],tblCECO[linea],"(sin catálogo)"))</f>
        <v/>
      </c>
      <c r="V921" s="3">
        <f>IF(tblOrdenes[[#This Row],[centro_costo]]="","",_xlfn.XLOOKUP(tblOrdenes[[#This Row],[centro_costo]],tblCECO[codigo],tblCECO[area],"(sin catálogo)"))</f>
        <v/>
      </c>
      <c r="W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3">
        <f>IF(tblOrdenes[[#This Row],[centro_costo]]="","",_xlfn.XLOOKUP(tblOrdenes[[#This Row],[centro_costo]],tblCECO[codigo],tblCECO[coordinador],"(sin catálogo)"))</f>
        <v/>
      </c>
      <c r="Y921" s="3">
        <f>IF(tblOrdenes[[#This Row],[puesto_trabajo]]="","",_xlfn.XLOOKUP(tblOrdenes[[#This Row],[puesto_trabajo]],tblPuestos[codigo],tblPuestos[especialidad],"(sin catálogo)"))</f>
        <v/>
      </c>
      <c r="Z921" s="3">
        <f>IF(tblOrdenes[[#This Row],[cod_actividad]]="","",_xlfn.XLOOKUP(tblOrdenes[[#This Row],[cod_actividad]],tblActividades[codigo],tblActividades[descripcion],"(sin catálogo)"))</f>
        <v/>
      </c>
      <c r="AA921" s="12">
        <f>IF(tblOrdenes[[#This Row],[fecha_inicio]]="","",TODAY()-tblOrdenes[[#This Row],[fecha_inicio]])</f>
        <v/>
      </c>
      <c r="AB9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3">
        <f>IF(tblOrdenes[[#This Row],[backlog_habiles]]="","",IF(tblOrdenes[[#This Row],[backlog_habiles]]&lt;0,"FUTURO",IF(tblOrdenes[[#This Row],[backlog_habiles]]&gt;p_dias_backlog_max,"BACKLOG","MES CORRIENTE")))</f>
        <v/>
      </c>
      <c r="AD921" s="3">
        <f>IF(tblOrdenes[[#This Row],[backlog_habiles]]="",FALSE,AND(tblOrdenes[[#This Row],[backlog_habiles]]&gt;p_dias_backlog_min,tblOrdenes[[#This Row],[backlog_habiles]]&lt;=p_dias_backlog_max))</f>
        <v/>
      </c>
      <c r="AE921" s="6" t="n"/>
      <c r="AF9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0">
        <f>IF(tblOrdenes[[#This Row],[orden]]="","",_xlfn.XLOOKUP(tblOrdenes[[#This Row],[id_operacion]],tblEjecucion[id_operacion],tblEjecucion[precio],0))</f>
        <v/>
      </c>
      <c r="AJ921" s="10">
        <f>IF(tblOrdenes[[#This Row],[orden]]="","",MAX(0,_xlfn.XLOOKUP(tblOrdenes[[#This Row],[id_operacion]],tblEjecucion[id_operacion],tblEjecucion[costo_plan_total],0)-tblOrdenes[[#This Row],[costo_servicio]]))</f>
        <v/>
      </c>
      <c r="AK921" s="10">
        <f>IF(tblOrdenes[[#This Row],[orden]]="","",tblOrdenes[[#This Row],[costo_servicio]]+tblOrdenes[[#This Row],[costo_materiales]])</f>
        <v/>
      </c>
      <c r="AL921" s="6" t="n"/>
      <c r="AM921" s="6" t="n"/>
      <c r="AN921" s="6" t="n"/>
      <c r="AO921" s="3">
        <f>IF(tblOrdenes[[#This Row],[link_checklist]]="","",HYPERLINK(p_ruta_base_checklists&amp;tblOrdenes[[#This Row],[link_checklist]],"abrir"))</f>
        <v/>
      </c>
      <c r="AP921" s="6" t="n"/>
      <c r="AQ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3">
        <f>IF(tblOrdenes[[#This Row],[tipo_ot]]="","",_xlfn.XLOOKUP(tblOrdenes[[#This Row],[tipo_ot]],tblTiposOT[codigo],tblTiposOT[clasificacion],"sin_clasificar"))</f>
        <v/>
      </c>
      <c r="U922" s="3">
        <f>IF(tblOrdenes[[#This Row],[centro_costo]]="","",_xlfn.XLOOKUP(tblOrdenes[[#This Row],[centro_costo]],tblCECO[codigo],tblCECO[linea],"(sin catálogo)"))</f>
        <v/>
      </c>
      <c r="V922" s="3">
        <f>IF(tblOrdenes[[#This Row],[centro_costo]]="","",_xlfn.XLOOKUP(tblOrdenes[[#This Row],[centro_costo]],tblCECO[codigo],tblCECO[area],"(sin catálogo)"))</f>
        <v/>
      </c>
      <c r="W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3">
        <f>IF(tblOrdenes[[#This Row],[centro_costo]]="","",_xlfn.XLOOKUP(tblOrdenes[[#This Row],[centro_costo]],tblCECO[codigo],tblCECO[coordinador],"(sin catálogo)"))</f>
        <v/>
      </c>
      <c r="Y922" s="3">
        <f>IF(tblOrdenes[[#This Row],[puesto_trabajo]]="","",_xlfn.XLOOKUP(tblOrdenes[[#This Row],[puesto_trabajo]],tblPuestos[codigo],tblPuestos[especialidad],"(sin catálogo)"))</f>
        <v/>
      </c>
      <c r="Z922" s="3">
        <f>IF(tblOrdenes[[#This Row],[cod_actividad]]="","",_xlfn.XLOOKUP(tblOrdenes[[#This Row],[cod_actividad]],tblActividades[codigo],tblActividades[descripcion],"(sin catálogo)"))</f>
        <v/>
      </c>
      <c r="AA922" s="12">
        <f>IF(tblOrdenes[[#This Row],[fecha_inicio]]="","",TODAY()-tblOrdenes[[#This Row],[fecha_inicio]])</f>
        <v/>
      </c>
      <c r="AB9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3">
        <f>IF(tblOrdenes[[#This Row],[backlog_habiles]]="","",IF(tblOrdenes[[#This Row],[backlog_habiles]]&lt;0,"FUTURO",IF(tblOrdenes[[#This Row],[backlog_habiles]]&gt;p_dias_backlog_max,"BACKLOG","MES CORRIENTE")))</f>
        <v/>
      </c>
      <c r="AD922" s="3">
        <f>IF(tblOrdenes[[#This Row],[backlog_habiles]]="",FALSE,AND(tblOrdenes[[#This Row],[backlog_habiles]]&gt;p_dias_backlog_min,tblOrdenes[[#This Row],[backlog_habiles]]&lt;=p_dias_backlog_max))</f>
        <v/>
      </c>
      <c r="AE922" s="6" t="n"/>
      <c r="AF9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0">
        <f>IF(tblOrdenes[[#This Row],[orden]]="","",_xlfn.XLOOKUP(tblOrdenes[[#This Row],[id_operacion]],tblEjecucion[id_operacion],tblEjecucion[precio],0))</f>
        <v/>
      </c>
      <c r="AJ922" s="10">
        <f>IF(tblOrdenes[[#This Row],[orden]]="","",MAX(0,_xlfn.XLOOKUP(tblOrdenes[[#This Row],[id_operacion]],tblEjecucion[id_operacion],tblEjecucion[costo_plan_total],0)-tblOrdenes[[#This Row],[costo_servicio]]))</f>
        <v/>
      </c>
      <c r="AK922" s="10">
        <f>IF(tblOrdenes[[#This Row],[orden]]="","",tblOrdenes[[#This Row],[costo_servicio]]+tblOrdenes[[#This Row],[costo_materiales]])</f>
        <v/>
      </c>
      <c r="AL922" s="6" t="n"/>
      <c r="AM922" s="6" t="n"/>
      <c r="AN922" s="6" t="n"/>
      <c r="AO922" s="3">
        <f>IF(tblOrdenes[[#This Row],[link_checklist]]="","",HYPERLINK(p_ruta_base_checklists&amp;tblOrdenes[[#This Row],[link_checklist]],"abrir"))</f>
        <v/>
      </c>
      <c r="AP922" s="6" t="n"/>
      <c r="AQ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3">
        <f>IF(tblOrdenes[[#This Row],[tipo_ot]]="","",_xlfn.XLOOKUP(tblOrdenes[[#This Row],[tipo_ot]],tblTiposOT[codigo],tblTiposOT[clasificacion],"sin_clasificar"))</f>
        <v/>
      </c>
      <c r="U923" s="3">
        <f>IF(tblOrdenes[[#This Row],[centro_costo]]="","",_xlfn.XLOOKUP(tblOrdenes[[#This Row],[centro_costo]],tblCECO[codigo],tblCECO[linea],"(sin catálogo)"))</f>
        <v/>
      </c>
      <c r="V923" s="3">
        <f>IF(tblOrdenes[[#This Row],[centro_costo]]="","",_xlfn.XLOOKUP(tblOrdenes[[#This Row],[centro_costo]],tblCECO[codigo],tblCECO[area],"(sin catálogo)"))</f>
        <v/>
      </c>
      <c r="W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3">
        <f>IF(tblOrdenes[[#This Row],[centro_costo]]="","",_xlfn.XLOOKUP(tblOrdenes[[#This Row],[centro_costo]],tblCECO[codigo],tblCECO[coordinador],"(sin catálogo)"))</f>
        <v/>
      </c>
      <c r="Y923" s="3">
        <f>IF(tblOrdenes[[#This Row],[puesto_trabajo]]="","",_xlfn.XLOOKUP(tblOrdenes[[#This Row],[puesto_trabajo]],tblPuestos[codigo],tblPuestos[especialidad],"(sin catálogo)"))</f>
        <v/>
      </c>
      <c r="Z923" s="3">
        <f>IF(tblOrdenes[[#This Row],[cod_actividad]]="","",_xlfn.XLOOKUP(tblOrdenes[[#This Row],[cod_actividad]],tblActividades[codigo],tblActividades[descripcion],"(sin catálogo)"))</f>
        <v/>
      </c>
      <c r="AA923" s="12">
        <f>IF(tblOrdenes[[#This Row],[fecha_inicio]]="","",TODAY()-tblOrdenes[[#This Row],[fecha_inicio]])</f>
        <v/>
      </c>
      <c r="AB9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3">
        <f>IF(tblOrdenes[[#This Row],[backlog_habiles]]="","",IF(tblOrdenes[[#This Row],[backlog_habiles]]&lt;0,"FUTURO",IF(tblOrdenes[[#This Row],[backlog_habiles]]&gt;p_dias_backlog_max,"BACKLOG","MES CORRIENTE")))</f>
        <v/>
      </c>
      <c r="AD923" s="3">
        <f>IF(tblOrdenes[[#This Row],[backlog_habiles]]="",FALSE,AND(tblOrdenes[[#This Row],[backlog_habiles]]&gt;p_dias_backlog_min,tblOrdenes[[#This Row],[backlog_habiles]]&lt;=p_dias_backlog_max))</f>
        <v/>
      </c>
      <c r="AE923" s="6" t="n"/>
      <c r="AF9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0">
        <f>IF(tblOrdenes[[#This Row],[orden]]="","",_xlfn.XLOOKUP(tblOrdenes[[#This Row],[id_operacion]],tblEjecucion[id_operacion],tblEjecucion[precio],0))</f>
        <v/>
      </c>
      <c r="AJ923" s="10">
        <f>IF(tblOrdenes[[#This Row],[orden]]="","",MAX(0,_xlfn.XLOOKUP(tblOrdenes[[#This Row],[id_operacion]],tblEjecucion[id_operacion],tblEjecucion[costo_plan_total],0)-tblOrdenes[[#This Row],[costo_servicio]]))</f>
        <v/>
      </c>
      <c r="AK923" s="10">
        <f>IF(tblOrdenes[[#This Row],[orden]]="","",tblOrdenes[[#This Row],[costo_servicio]]+tblOrdenes[[#This Row],[costo_materiales]])</f>
        <v/>
      </c>
      <c r="AL923" s="6" t="n"/>
      <c r="AM923" s="6" t="n"/>
      <c r="AN923" s="6" t="n"/>
      <c r="AO923" s="3">
        <f>IF(tblOrdenes[[#This Row],[link_checklist]]="","",HYPERLINK(p_ruta_base_checklists&amp;tblOrdenes[[#This Row],[link_checklist]],"abrir"))</f>
        <v/>
      </c>
      <c r="AP923" s="6" t="n"/>
      <c r="AQ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3">
        <f>IF(tblOrdenes[[#This Row],[tipo_ot]]="","",_xlfn.XLOOKUP(tblOrdenes[[#This Row],[tipo_ot]],tblTiposOT[codigo],tblTiposOT[clasificacion],"sin_clasificar"))</f>
        <v/>
      </c>
      <c r="U924" s="3">
        <f>IF(tblOrdenes[[#This Row],[centro_costo]]="","",_xlfn.XLOOKUP(tblOrdenes[[#This Row],[centro_costo]],tblCECO[codigo],tblCECO[linea],"(sin catálogo)"))</f>
        <v/>
      </c>
      <c r="V924" s="3">
        <f>IF(tblOrdenes[[#This Row],[centro_costo]]="","",_xlfn.XLOOKUP(tblOrdenes[[#This Row],[centro_costo]],tblCECO[codigo],tblCECO[area],"(sin catálogo)"))</f>
        <v/>
      </c>
      <c r="W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3">
        <f>IF(tblOrdenes[[#This Row],[centro_costo]]="","",_xlfn.XLOOKUP(tblOrdenes[[#This Row],[centro_costo]],tblCECO[codigo],tblCECO[coordinador],"(sin catálogo)"))</f>
        <v/>
      </c>
      <c r="Y924" s="3">
        <f>IF(tblOrdenes[[#This Row],[puesto_trabajo]]="","",_xlfn.XLOOKUP(tblOrdenes[[#This Row],[puesto_trabajo]],tblPuestos[codigo],tblPuestos[especialidad],"(sin catálogo)"))</f>
        <v/>
      </c>
      <c r="Z924" s="3">
        <f>IF(tblOrdenes[[#This Row],[cod_actividad]]="","",_xlfn.XLOOKUP(tblOrdenes[[#This Row],[cod_actividad]],tblActividades[codigo],tblActividades[descripcion],"(sin catálogo)"))</f>
        <v/>
      </c>
      <c r="AA924" s="12">
        <f>IF(tblOrdenes[[#This Row],[fecha_inicio]]="","",TODAY()-tblOrdenes[[#This Row],[fecha_inicio]])</f>
        <v/>
      </c>
      <c r="AB9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3">
        <f>IF(tblOrdenes[[#This Row],[backlog_habiles]]="","",IF(tblOrdenes[[#This Row],[backlog_habiles]]&lt;0,"FUTURO",IF(tblOrdenes[[#This Row],[backlog_habiles]]&gt;p_dias_backlog_max,"BACKLOG","MES CORRIENTE")))</f>
        <v/>
      </c>
      <c r="AD924" s="3">
        <f>IF(tblOrdenes[[#This Row],[backlog_habiles]]="",FALSE,AND(tblOrdenes[[#This Row],[backlog_habiles]]&gt;p_dias_backlog_min,tblOrdenes[[#This Row],[backlog_habiles]]&lt;=p_dias_backlog_max))</f>
        <v/>
      </c>
      <c r="AE924" s="6" t="n"/>
      <c r="AF9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0">
        <f>IF(tblOrdenes[[#This Row],[orden]]="","",_xlfn.XLOOKUP(tblOrdenes[[#This Row],[id_operacion]],tblEjecucion[id_operacion],tblEjecucion[precio],0))</f>
        <v/>
      </c>
      <c r="AJ924" s="10">
        <f>IF(tblOrdenes[[#This Row],[orden]]="","",MAX(0,_xlfn.XLOOKUP(tblOrdenes[[#This Row],[id_operacion]],tblEjecucion[id_operacion],tblEjecucion[costo_plan_total],0)-tblOrdenes[[#This Row],[costo_servicio]]))</f>
        <v/>
      </c>
      <c r="AK924" s="10">
        <f>IF(tblOrdenes[[#This Row],[orden]]="","",tblOrdenes[[#This Row],[costo_servicio]]+tblOrdenes[[#This Row],[costo_materiales]])</f>
        <v/>
      </c>
      <c r="AL924" s="6" t="n"/>
      <c r="AM924" s="6" t="n"/>
      <c r="AN924" s="6" t="n"/>
      <c r="AO924" s="3">
        <f>IF(tblOrdenes[[#This Row],[link_checklist]]="","",HYPERLINK(p_ruta_base_checklists&amp;tblOrdenes[[#This Row],[link_checklist]],"abrir"))</f>
        <v/>
      </c>
      <c r="AP924" s="6" t="n"/>
      <c r="AQ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3">
        <f>IF(tblOrdenes[[#This Row],[tipo_ot]]="","",_xlfn.XLOOKUP(tblOrdenes[[#This Row],[tipo_ot]],tblTiposOT[codigo],tblTiposOT[clasificacion],"sin_clasificar"))</f>
        <v/>
      </c>
      <c r="U925" s="3">
        <f>IF(tblOrdenes[[#This Row],[centro_costo]]="","",_xlfn.XLOOKUP(tblOrdenes[[#This Row],[centro_costo]],tblCECO[codigo],tblCECO[linea],"(sin catálogo)"))</f>
        <v/>
      </c>
      <c r="V925" s="3">
        <f>IF(tblOrdenes[[#This Row],[centro_costo]]="","",_xlfn.XLOOKUP(tblOrdenes[[#This Row],[centro_costo]],tblCECO[codigo],tblCECO[area],"(sin catálogo)"))</f>
        <v/>
      </c>
      <c r="W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3">
        <f>IF(tblOrdenes[[#This Row],[centro_costo]]="","",_xlfn.XLOOKUP(tblOrdenes[[#This Row],[centro_costo]],tblCECO[codigo],tblCECO[coordinador],"(sin catálogo)"))</f>
        <v/>
      </c>
      <c r="Y925" s="3">
        <f>IF(tblOrdenes[[#This Row],[puesto_trabajo]]="","",_xlfn.XLOOKUP(tblOrdenes[[#This Row],[puesto_trabajo]],tblPuestos[codigo],tblPuestos[especialidad],"(sin catálogo)"))</f>
        <v/>
      </c>
      <c r="Z925" s="3">
        <f>IF(tblOrdenes[[#This Row],[cod_actividad]]="","",_xlfn.XLOOKUP(tblOrdenes[[#This Row],[cod_actividad]],tblActividades[codigo],tblActividades[descripcion],"(sin catálogo)"))</f>
        <v/>
      </c>
      <c r="AA925" s="12">
        <f>IF(tblOrdenes[[#This Row],[fecha_inicio]]="","",TODAY()-tblOrdenes[[#This Row],[fecha_inicio]])</f>
        <v/>
      </c>
      <c r="AB9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3">
        <f>IF(tblOrdenes[[#This Row],[backlog_habiles]]="","",IF(tblOrdenes[[#This Row],[backlog_habiles]]&lt;0,"FUTURO",IF(tblOrdenes[[#This Row],[backlog_habiles]]&gt;p_dias_backlog_max,"BACKLOG","MES CORRIENTE")))</f>
        <v/>
      </c>
      <c r="AD925" s="3">
        <f>IF(tblOrdenes[[#This Row],[backlog_habiles]]="",FALSE,AND(tblOrdenes[[#This Row],[backlog_habiles]]&gt;p_dias_backlog_min,tblOrdenes[[#This Row],[backlog_habiles]]&lt;=p_dias_backlog_max))</f>
        <v/>
      </c>
      <c r="AE925" s="6" t="n"/>
      <c r="AF9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0">
        <f>IF(tblOrdenes[[#This Row],[orden]]="","",_xlfn.XLOOKUP(tblOrdenes[[#This Row],[id_operacion]],tblEjecucion[id_operacion],tblEjecucion[precio],0))</f>
        <v/>
      </c>
      <c r="AJ925" s="10">
        <f>IF(tblOrdenes[[#This Row],[orden]]="","",MAX(0,_xlfn.XLOOKUP(tblOrdenes[[#This Row],[id_operacion]],tblEjecucion[id_operacion],tblEjecucion[costo_plan_total],0)-tblOrdenes[[#This Row],[costo_servicio]]))</f>
        <v/>
      </c>
      <c r="AK925" s="10">
        <f>IF(tblOrdenes[[#This Row],[orden]]="","",tblOrdenes[[#This Row],[costo_servicio]]+tblOrdenes[[#This Row],[costo_materiales]])</f>
        <v/>
      </c>
      <c r="AL925" s="6" t="n"/>
      <c r="AM925" s="6" t="n"/>
      <c r="AN925" s="6" t="n"/>
      <c r="AO925" s="3">
        <f>IF(tblOrdenes[[#This Row],[link_checklist]]="","",HYPERLINK(p_ruta_base_checklists&amp;tblOrdenes[[#This Row],[link_checklist]],"abrir"))</f>
        <v/>
      </c>
      <c r="AP925" s="6" t="n"/>
      <c r="AQ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3">
        <f>IF(tblOrdenes[[#This Row],[tipo_ot]]="","",_xlfn.XLOOKUP(tblOrdenes[[#This Row],[tipo_ot]],tblTiposOT[codigo],tblTiposOT[clasificacion],"sin_clasificar"))</f>
        <v/>
      </c>
      <c r="U926" s="3">
        <f>IF(tblOrdenes[[#This Row],[centro_costo]]="","",_xlfn.XLOOKUP(tblOrdenes[[#This Row],[centro_costo]],tblCECO[codigo],tblCECO[linea],"(sin catálogo)"))</f>
        <v/>
      </c>
      <c r="V926" s="3">
        <f>IF(tblOrdenes[[#This Row],[centro_costo]]="","",_xlfn.XLOOKUP(tblOrdenes[[#This Row],[centro_costo]],tblCECO[codigo],tblCECO[area],"(sin catálogo)"))</f>
        <v/>
      </c>
      <c r="W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3">
        <f>IF(tblOrdenes[[#This Row],[centro_costo]]="","",_xlfn.XLOOKUP(tblOrdenes[[#This Row],[centro_costo]],tblCECO[codigo],tblCECO[coordinador],"(sin catálogo)"))</f>
        <v/>
      </c>
      <c r="Y926" s="3">
        <f>IF(tblOrdenes[[#This Row],[puesto_trabajo]]="","",_xlfn.XLOOKUP(tblOrdenes[[#This Row],[puesto_trabajo]],tblPuestos[codigo],tblPuestos[especialidad],"(sin catálogo)"))</f>
        <v/>
      </c>
      <c r="Z926" s="3">
        <f>IF(tblOrdenes[[#This Row],[cod_actividad]]="","",_xlfn.XLOOKUP(tblOrdenes[[#This Row],[cod_actividad]],tblActividades[codigo],tblActividades[descripcion],"(sin catálogo)"))</f>
        <v/>
      </c>
      <c r="AA926" s="12">
        <f>IF(tblOrdenes[[#This Row],[fecha_inicio]]="","",TODAY()-tblOrdenes[[#This Row],[fecha_inicio]])</f>
        <v/>
      </c>
      <c r="AB9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3">
        <f>IF(tblOrdenes[[#This Row],[backlog_habiles]]="","",IF(tblOrdenes[[#This Row],[backlog_habiles]]&lt;0,"FUTURO",IF(tblOrdenes[[#This Row],[backlog_habiles]]&gt;p_dias_backlog_max,"BACKLOG","MES CORRIENTE")))</f>
        <v/>
      </c>
      <c r="AD926" s="3">
        <f>IF(tblOrdenes[[#This Row],[backlog_habiles]]="",FALSE,AND(tblOrdenes[[#This Row],[backlog_habiles]]&gt;p_dias_backlog_min,tblOrdenes[[#This Row],[backlog_habiles]]&lt;=p_dias_backlog_max))</f>
        <v/>
      </c>
      <c r="AE926" s="6" t="n"/>
      <c r="AF9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0">
        <f>IF(tblOrdenes[[#This Row],[orden]]="","",_xlfn.XLOOKUP(tblOrdenes[[#This Row],[id_operacion]],tblEjecucion[id_operacion],tblEjecucion[precio],0))</f>
        <v/>
      </c>
      <c r="AJ926" s="10">
        <f>IF(tblOrdenes[[#This Row],[orden]]="","",MAX(0,_xlfn.XLOOKUP(tblOrdenes[[#This Row],[id_operacion]],tblEjecucion[id_operacion],tblEjecucion[costo_plan_total],0)-tblOrdenes[[#This Row],[costo_servicio]]))</f>
        <v/>
      </c>
      <c r="AK926" s="10">
        <f>IF(tblOrdenes[[#This Row],[orden]]="","",tblOrdenes[[#This Row],[costo_servicio]]+tblOrdenes[[#This Row],[costo_materiales]])</f>
        <v/>
      </c>
      <c r="AL926" s="6" t="n"/>
      <c r="AM926" s="6" t="n"/>
      <c r="AN926" s="6" t="n"/>
      <c r="AO926" s="3">
        <f>IF(tblOrdenes[[#This Row],[link_checklist]]="","",HYPERLINK(p_ruta_base_checklists&amp;tblOrdenes[[#This Row],[link_checklist]],"abrir"))</f>
        <v/>
      </c>
      <c r="AP926" s="6" t="n"/>
      <c r="AQ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3">
        <f>IF(tblOrdenes[[#This Row],[tipo_ot]]="","",_xlfn.XLOOKUP(tblOrdenes[[#This Row],[tipo_ot]],tblTiposOT[codigo],tblTiposOT[clasificacion],"sin_clasificar"))</f>
        <v/>
      </c>
      <c r="U927" s="3">
        <f>IF(tblOrdenes[[#This Row],[centro_costo]]="","",_xlfn.XLOOKUP(tblOrdenes[[#This Row],[centro_costo]],tblCECO[codigo],tblCECO[linea],"(sin catálogo)"))</f>
        <v/>
      </c>
      <c r="V927" s="3">
        <f>IF(tblOrdenes[[#This Row],[centro_costo]]="","",_xlfn.XLOOKUP(tblOrdenes[[#This Row],[centro_costo]],tblCECO[codigo],tblCECO[area],"(sin catálogo)"))</f>
        <v/>
      </c>
      <c r="W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3">
        <f>IF(tblOrdenes[[#This Row],[centro_costo]]="","",_xlfn.XLOOKUP(tblOrdenes[[#This Row],[centro_costo]],tblCECO[codigo],tblCECO[coordinador],"(sin catálogo)"))</f>
        <v/>
      </c>
      <c r="Y927" s="3">
        <f>IF(tblOrdenes[[#This Row],[puesto_trabajo]]="","",_xlfn.XLOOKUP(tblOrdenes[[#This Row],[puesto_trabajo]],tblPuestos[codigo],tblPuestos[especialidad],"(sin catálogo)"))</f>
        <v/>
      </c>
      <c r="Z927" s="3">
        <f>IF(tblOrdenes[[#This Row],[cod_actividad]]="","",_xlfn.XLOOKUP(tblOrdenes[[#This Row],[cod_actividad]],tblActividades[codigo],tblActividades[descripcion],"(sin catálogo)"))</f>
        <v/>
      </c>
      <c r="AA927" s="12">
        <f>IF(tblOrdenes[[#This Row],[fecha_inicio]]="","",TODAY()-tblOrdenes[[#This Row],[fecha_inicio]])</f>
        <v/>
      </c>
      <c r="AB9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3">
        <f>IF(tblOrdenes[[#This Row],[backlog_habiles]]="","",IF(tblOrdenes[[#This Row],[backlog_habiles]]&lt;0,"FUTURO",IF(tblOrdenes[[#This Row],[backlog_habiles]]&gt;p_dias_backlog_max,"BACKLOG","MES CORRIENTE")))</f>
        <v/>
      </c>
      <c r="AD927" s="3">
        <f>IF(tblOrdenes[[#This Row],[backlog_habiles]]="",FALSE,AND(tblOrdenes[[#This Row],[backlog_habiles]]&gt;p_dias_backlog_min,tblOrdenes[[#This Row],[backlog_habiles]]&lt;=p_dias_backlog_max))</f>
        <v/>
      </c>
      <c r="AE927" s="6" t="n"/>
      <c r="AF9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0">
        <f>IF(tblOrdenes[[#This Row],[orden]]="","",_xlfn.XLOOKUP(tblOrdenes[[#This Row],[id_operacion]],tblEjecucion[id_operacion],tblEjecucion[precio],0))</f>
        <v/>
      </c>
      <c r="AJ927" s="10">
        <f>IF(tblOrdenes[[#This Row],[orden]]="","",MAX(0,_xlfn.XLOOKUP(tblOrdenes[[#This Row],[id_operacion]],tblEjecucion[id_operacion],tblEjecucion[costo_plan_total],0)-tblOrdenes[[#This Row],[costo_servicio]]))</f>
        <v/>
      </c>
      <c r="AK927" s="10">
        <f>IF(tblOrdenes[[#This Row],[orden]]="","",tblOrdenes[[#This Row],[costo_servicio]]+tblOrdenes[[#This Row],[costo_materiales]])</f>
        <v/>
      </c>
      <c r="AL927" s="6" t="n"/>
      <c r="AM927" s="6" t="n"/>
      <c r="AN927" s="6" t="n"/>
      <c r="AO927" s="3">
        <f>IF(tblOrdenes[[#This Row],[link_checklist]]="","",HYPERLINK(p_ruta_base_checklists&amp;tblOrdenes[[#This Row],[link_checklist]],"abrir"))</f>
        <v/>
      </c>
      <c r="AP927" s="6" t="n"/>
      <c r="AQ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3">
        <f>IF(tblOrdenes[[#This Row],[tipo_ot]]="","",_xlfn.XLOOKUP(tblOrdenes[[#This Row],[tipo_ot]],tblTiposOT[codigo],tblTiposOT[clasificacion],"sin_clasificar"))</f>
        <v/>
      </c>
      <c r="U928" s="3">
        <f>IF(tblOrdenes[[#This Row],[centro_costo]]="","",_xlfn.XLOOKUP(tblOrdenes[[#This Row],[centro_costo]],tblCECO[codigo],tblCECO[linea],"(sin catálogo)"))</f>
        <v/>
      </c>
      <c r="V928" s="3">
        <f>IF(tblOrdenes[[#This Row],[centro_costo]]="","",_xlfn.XLOOKUP(tblOrdenes[[#This Row],[centro_costo]],tblCECO[codigo],tblCECO[area],"(sin catálogo)"))</f>
        <v/>
      </c>
      <c r="W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3">
        <f>IF(tblOrdenes[[#This Row],[centro_costo]]="","",_xlfn.XLOOKUP(tblOrdenes[[#This Row],[centro_costo]],tblCECO[codigo],tblCECO[coordinador],"(sin catálogo)"))</f>
        <v/>
      </c>
      <c r="Y928" s="3">
        <f>IF(tblOrdenes[[#This Row],[puesto_trabajo]]="","",_xlfn.XLOOKUP(tblOrdenes[[#This Row],[puesto_trabajo]],tblPuestos[codigo],tblPuestos[especialidad],"(sin catálogo)"))</f>
        <v/>
      </c>
      <c r="Z928" s="3">
        <f>IF(tblOrdenes[[#This Row],[cod_actividad]]="","",_xlfn.XLOOKUP(tblOrdenes[[#This Row],[cod_actividad]],tblActividades[codigo],tblActividades[descripcion],"(sin catálogo)"))</f>
        <v/>
      </c>
      <c r="AA928" s="12">
        <f>IF(tblOrdenes[[#This Row],[fecha_inicio]]="","",TODAY()-tblOrdenes[[#This Row],[fecha_inicio]])</f>
        <v/>
      </c>
      <c r="AB9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3">
        <f>IF(tblOrdenes[[#This Row],[backlog_habiles]]="","",IF(tblOrdenes[[#This Row],[backlog_habiles]]&lt;0,"FUTURO",IF(tblOrdenes[[#This Row],[backlog_habiles]]&gt;p_dias_backlog_max,"BACKLOG","MES CORRIENTE")))</f>
        <v/>
      </c>
      <c r="AD928" s="3">
        <f>IF(tblOrdenes[[#This Row],[backlog_habiles]]="",FALSE,AND(tblOrdenes[[#This Row],[backlog_habiles]]&gt;p_dias_backlog_min,tblOrdenes[[#This Row],[backlog_habiles]]&lt;=p_dias_backlog_max))</f>
        <v/>
      </c>
      <c r="AE928" s="6" t="n"/>
      <c r="AF9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0">
        <f>IF(tblOrdenes[[#This Row],[orden]]="","",_xlfn.XLOOKUP(tblOrdenes[[#This Row],[id_operacion]],tblEjecucion[id_operacion],tblEjecucion[precio],0))</f>
        <v/>
      </c>
      <c r="AJ928" s="10">
        <f>IF(tblOrdenes[[#This Row],[orden]]="","",MAX(0,_xlfn.XLOOKUP(tblOrdenes[[#This Row],[id_operacion]],tblEjecucion[id_operacion],tblEjecucion[costo_plan_total],0)-tblOrdenes[[#This Row],[costo_servicio]]))</f>
        <v/>
      </c>
      <c r="AK928" s="10">
        <f>IF(tblOrdenes[[#This Row],[orden]]="","",tblOrdenes[[#This Row],[costo_servicio]]+tblOrdenes[[#This Row],[costo_materiales]])</f>
        <v/>
      </c>
      <c r="AL928" s="6" t="n"/>
      <c r="AM928" s="6" t="n"/>
      <c r="AN928" s="6" t="n"/>
      <c r="AO928" s="3">
        <f>IF(tblOrdenes[[#This Row],[link_checklist]]="","",HYPERLINK(p_ruta_base_checklists&amp;tblOrdenes[[#This Row],[link_checklist]],"abrir"))</f>
        <v/>
      </c>
      <c r="AP928" s="6" t="n"/>
      <c r="AQ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3">
        <f>IF(tblOrdenes[[#This Row],[tipo_ot]]="","",_xlfn.XLOOKUP(tblOrdenes[[#This Row],[tipo_ot]],tblTiposOT[codigo],tblTiposOT[clasificacion],"sin_clasificar"))</f>
        <v/>
      </c>
      <c r="U929" s="3">
        <f>IF(tblOrdenes[[#This Row],[centro_costo]]="","",_xlfn.XLOOKUP(tblOrdenes[[#This Row],[centro_costo]],tblCECO[codigo],tblCECO[linea],"(sin catálogo)"))</f>
        <v/>
      </c>
      <c r="V929" s="3">
        <f>IF(tblOrdenes[[#This Row],[centro_costo]]="","",_xlfn.XLOOKUP(tblOrdenes[[#This Row],[centro_costo]],tblCECO[codigo],tblCECO[area],"(sin catálogo)"))</f>
        <v/>
      </c>
      <c r="W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3">
        <f>IF(tblOrdenes[[#This Row],[centro_costo]]="","",_xlfn.XLOOKUP(tblOrdenes[[#This Row],[centro_costo]],tblCECO[codigo],tblCECO[coordinador],"(sin catálogo)"))</f>
        <v/>
      </c>
      <c r="Y929" s="3">
        <f>IF(tblOrdenes[[#This Row],[puesto_trabajo]]="","",_xlfn.XLOOKUP(tblOrdenes[[#This Row],[puesto_trabajo]],tblPuestos[codigo],tblPuestos[especialidad],"(sin catálogo)"))</f>
        <v/>
      </c>
      <c r="Z929" s="3">
        <f>IF(tblOrdenes[[#This Row],[cod_actividad]]="","",_xlfn.XLOOKUP(tblOrdenes[[#This Row],[cod_actividad]],tblActividades[codigo],tblActividades[descripcion],"(sin catálogo)"))</f>
        <v/>
      </c>
      <c r="AA929" s="12">
        <f>IF(tblOrdenes[[#This Row],[fecha_inicio]]="","",TODAY()-tblOrdenes[[#This Row],[fecha_inicio]])</f>
        <v/>
      </c>
      <c r="AB9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3">
        <f>IF(tblOrdenes[[#This Row],[backlog_habiles]]="","",IF(tblOrdenes[[#This Row],[backlog_habiles]]&lt;0,"FUTURO",IF(tblOrdenes[[#This Row],[backlog_habiles]]&gt;p_dias_backlog_max,"BACKLOG","MES CORRIENTE")))</f>
        <v/>
      </c>
      <c r="AD929" s="3">
        <f>IF(tblOrdenes[[#This Row],[backlog_habiles]]="",FALSE,AND(tblOrdenes[[#This Row],[backlog_habiles]]&gt;p_dias_backlog_min,tblOrdenes[[#This Row],[backlog_habiles]]&lt;=p_dias_backlog_max))</f>
        <v/>
      </c>
      <c r="AE929" s="6" t="n"/>
      <c r="AF9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0">
        <f>IF(tblOrdenes[[#This Row],[orden]]="","",_xlfn.XLOOKUP(tblOrdenes[[#This Row],[id_operacion]],tblEjecucion[id_operacion],tblEjecucion[precio],0))</f>
        <v/>
      </c>
      <c r="AJ929" s="10">
        <f>IF(tblOrdenes[[#This Row],[orden]]="","",MAX(0,_xlfn.XLOOKUP(tblOrdenes[[#This Row],[id_operacion]],tblEjecucion[id_operacion],tblEjecucion[costo_plan_total],0)-tblOrdenes[[#This Row],[costo_servicio]]))</f>
        <v/>
      </c>
      <c r="AK929" s="10">
        <f>IF(tblOrdenes[[#This Row],[orden]]="","",tblOrdenes[[#This Row],[costo_servicio]]+tblOrdenes[[#This Row],[costo_materiales]])</f>
        <v/>
      </c>
      <c r="AL929" s="6" t="n"/>
      <c r="AM929" s="6" t="n"/>
      <c r="AN929" s="6" t="n"/>
      <c r="AO929" s="3">
        <f>IF(tblOrdenes[[#This Row],[link_checklist]]="","",HYPERLINK(p_ruta_base_checklists&amp;tblOrdenes[[#This Row],[link_checklist]],"abrir"))</f>
        <v/>
      </c>
      <c r="AP929" s="6" t="n"/>
      <c r="AQ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3">
        <f>IF(tblOrdenes[[#This Row],[tipo_ot]]="","",_xlfn.XLOOKUP(tblOrdenes[[#This Row],[tipo_ot]],tblTiposOT[codigo],tblTiposOT[clasificacion],"sin_clasificar"))</f>
        <v/>
      </c>
      <c r="U930" s="3">
        <f>IF(tblOrdenes[[#This Row],[centro_costo]]="","",_xlfn.XLOOKUP(tblOrdenes[[#This Row],[centro_costo]],tblCECO[codigo],tblCECO[linea],"(sin catálogo)"))</f>
        <v/>
      </c>
      <c r="V930" s="3">
        <f>IF(tblOrdenes[[#This Row],[centro_costo]]="","",_xlfn.XLOOKUP(tblOrdenes[[#This Row],[centro_costo]],tblCECO[codigo],tblCECO[area],"(sin catálogo)"))</f>
        <v/>
      </c>
      <c r="W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3">
        <f>IF(tblOrdenes[[#This Row],[centro_costo]]="","",_xlfn.XLOOKUP(tblOrdenes[[#This Row],[centro_costo]],tblCECO[codigo],tblCECO[coordinador],"(sin catálogo)"))</f>
        <v/>
      </c>
      <c r="Y930" s="3">
        <f>IF(tblOrdenes[[#This Row],[puesto_trabajo]]="","",_xlfn.XLOOKUP(tblOrdenes[[#This Row],[puesto_trabajo]],tblPuestos[codigo],tblPuestos[especialidad],"(sin catálogo)"))</f>
        <v/>
      </c>
      <c r="Z930" s="3">
        <f>IF(tblOrdenes[[#This Row],[cod_actividad]]="","",_xlfn.XLOOKUP(tblOrdenes[[#This Row],[cod_actividad]],tblActividades[codigo],tblActividades[descripcion],"(sin catálogo)"))</f>
        <v/>
      </c>
      <c r="AA930" s="12">
        <f>IF(tblOrdenes[[#This Row],[fecha_inicio]]="","",TODAY()-tblOrdenes[[#This Row],[fecha_inicio]])</f>
        <v/>
      </c>
      <c r="AB9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3">
        <f>IF(tblOrdenes[[#This Row],[backlog_habiles]]="","",IF(tblOrdenes[[#This Row],[backlog_habiles]]&lt;0,"FUTURO",IF(tblOrdenes[[#This Row],[backlog_habiles]]&gt;p_dias_backlog_max,"BACKLOG","MES CORRIENTE")))</f>
        <v/>
      </c>
      <c r="AD930" s="3">
        <f>IF(tblOrdenes[[#This Row],[backlog_habiles]]="",FALSE,AND(tblOrdenes[[#This Row],[backlog_habiles]]&gt;p_dias_backlog_min,tblOrdenes[[#This Row],[backlog_habiles]]&lt;=p_dias_backlog_max))</f>
        <v/>
      </c>
      <c r="AE930" s="6" t="n"/>
      <c r="AF9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0">
        <f>IF(tblOrdenes[[#This Row],[orden]]="","",_xlfn.XLOOKUP(tblOrdenes[[#This Row],[id_operacion]],tblEjecucion[id_operacion],tblEjecucion[precio],0))</f>
        <v/>
      </c>
      <c r="AJ930" s="10">
        <f>IF(tblOrdenes[[#This Row],[orden]]="","",MAX(0,_xlfn.XLOOKUP(tblOrdenes[[#This Row],[id_operacion]],tblEjecucion[id_operacion],tblEjecucion[costo_plan_total],0)-tblOrdenes[[#This Row],[costo_servicio]]))</f>
        <v/>
      </c>
      <c r="AK930" s="10">
        <f>IF(tblOrdenes[[#This Row],[orden]]="","",tblOrdenes[[#This Row],[costo_servicio]]+tblOrdenes[[#This Row],[costo_materiales]])</f>
        <v/>
      </c>
      <c r="AL930" s="6" t="n"/>
      <c r="AM930" s="6" t="n"/>
      <c r="AN930" s="6" t="n"/>
      <c r="AO930" s="3">
        <f>IF(tblOrdenes[[#This Row],[link_checklist]]="","",HYPERLINK(p_ruta_base_checklists&amp;tblOrdenes[[#This Row],[link_checklist]],"abrir"))</f>
        <v/>
      </c>
      <c r="AP930" s="6" t="n"/>
      <c r="AQ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3">
        <f>IF(tblOrdenes[[#This Row],[tipo_ot]]="","",_xlfn.XLOOKUP(tblOrdenes[[#This Row],[tipo_ot]],tblTiposOT[codigo],tblTiposOT[clasificacion],"sin_clasificar"))</f>
        <v/>
      </c>
      <c r="U931" s="3">
        <f>IF(tblOrdenes[[#This Row],[centro_costo]]="","",_xlfn.XLOOKUP(tblOrdenes[[#This Row],[centro_costo]],tblCECO[codigo],tblCECO[linea],"(sin catálogo)"))</f>
        <v/>
      </c>
      <c r="V931" s="3">
        <f>IF(tblOrdenes[[#This Row],[centro_costo]]="","",_xlfn.XLOOKUP(tblOrdenes[[#This Row],[centro_costo]],tblCECO[codigo],tblCECO[area],"(sin catálogo)"))</f>
        <v/>
      </c>
      <c r="W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3">
        <f>IF(tblOrdenes[[#This Row],[centro_costo]]="","",_xlfn.XLOOKUP(tblOrdenes[[#This Row],[centro_costo]],tblCECO[codigo],tblCECO[coordinador],"(sin catálogo)"))</f>
        <v/>
      </c>
      <c r="Y931" s="3">
        <f>IF(tblOrdenes[[#This Row],[puesto_trabajo]]="","",_xlfn.XLOOKUP(tblOrdenes[[#This Row],[puesto_trabajo]],tblPuestos[codigo],tblPuestos[especialidad],"(sin catálogo)"))</f>
        <v/>
      </c>
      <c r="Z931" s="3">
        <f>IF(tblOrdenes[[#This Row],[cod_actividad]]="","",_xlfn.XLOOKUP(tblOrdenes[[#This Row],[cod_actividad]],tblActividades[codigo],tblActividades[descripcion],"(sin catálogo)"))</f>
        <v/>
      </c>
      <c r="AA931" s="12">
        <f>IF(tblOrdenes[[#This Row],[fecha_inicio]]="","",TODAY()-tblOrdenes[[#This Row],[fecha_inicio]])</f>
        <v/>
      </c>
      <c r="AB9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3">
        <f>IF(tblOrdenes[[#This Row],[backlog_habiles]]="","",IF(tblOrdenes[[#This Row],[backlog_habiles]]&lt;0,"FUTURO",IF(tblOrdenes[[#This Row],[backlog_habiles]]&gt;p_dias_backlog_max,"BACKLOG","MES CORRIENTE")))</f>
        <v/>
      </c>
      <c r="AD931" s="3">
        <f>IF(tblOrdenes[[#This Row],[backlog_habiles]]="",FALSE,AND(tblOrdenes[[#This Row],[backlog_habiles]]&gt;p_dias_backlog_min,tblOrdenes[[#This Row],[backlog_habiles]]&lt;=p_dias_backlog_max))</f>
        <v/>
      </c>
      <c r="AE931" s="6" t="n"/>
      <c r="AF9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0">
        <f>IF(tblOrdenes[[#This Row],[orden]]="","",_xlfn.XLOOKUP(tblOrdenes[[#This Row],[id_operacion]],tblEjecucion[id_operacion],tblEjecucion[precio],0))</f>
        <v/>
      </c>
      <c r="AJ931" s="10">
        <f>IF(tblOrdenes[[#This Row],[orden]]="","",MAX(0,_xlfn.XLOOKUP(tblOrdenes[[#This Row],[id_operacion]],tblEjecucion[id_operacion],tblEjecucion[costo_plan_total],0)-tblOrdenes[[#This Row],[costo_servicio]]))</f>
        <v/>
      </c>
      <c r="AK931" s="10">
        <f>IF(tblOrdenes[[#This Row],[orden]]="","",tblOrdenes[[#This Row],[costo_servicio]]+tblOrdenes[[#This Row],[costo_materiales]])</f>
        <v/>
      </c>
      <c r="AL931" s="6" t="n"/>
      <c r="AM931" s="6" t="n"/>
      <c r="AN931" s="6" t="n"/>
      <c r="AO931" s="3">
        <f>IF(tblOrdenes[[#This Row],[link_checklist]]="","",HYPERLINK(p_ruta_base_checklists&amp;tblOrdenes[[#This Row],[link_checklist]],"abrir"))</f>
        <v/>
      </c>
      <c r="AP931" s="6" t="n"/>
      <c r="AQ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3">
        <f>IF(tblOrdenes[[#This Row],[tipo_ot]]="","",_xlfn.XLOOKUP(tblOrdenes[[#This Row],[tipo_ot]],tblTiposOT[codigo],tblTiposOT[clasificacion],"sin_clasificar"))</f>
        <v/>
      </c>
      <c r="U932" s="3">
        <f>IF(tblOrdenes[[#This Row],[centro_costo]]="","",_xlfn.XLOOKUP(tblOrdenes[[#This Row],[centro_costo]],tblCECO[codigo],tblCECO[linea],"(sin catálogo)"))</f>
        <v/>
      </c>
      <c r="V932" s="3">
        <f>IF(tblOrdenes[[#This Row],[centro_costo]]="","",_xlfn.XLOOKUP(tblOrdenes[[#This Row],[centro_costo]],tblCECO[codigo],tblCECO[area],"(sin catálogo)"))</f>
        <v/>
      </c>
      <c r="W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3">
        <f>IF(tblOrdenes[[#This Row],[centro_costo]]="","",_xlfn.XLOOKUP(tblOrdenes[[#This Row],[centro_costo]],tblCECO[codigo],tblCECO[coordinador],"(sin catálogo)"))</f>
        <v/>
      </c>
      <c r="Y932" s="3">
        <f>IF(tblOrdenes[[#This Row],[puesto_trabajo]]="","",_xlfn.XLOOKUP(tblOrdenes[[#This Row],[puesto_trabajo]],tblPuestos[codigo],tblPuestos[especialidad],"(sin catálogo)"))</f>
        <v/>
      </c>
      <c r="Z932" s="3">
        <f>IF(tblOrdenes[[#This Row],[cod_actividad]]="","",_xlfn.XLOOKUP(tblOrdenes[[#This Row],[cod_actividad]],tblActividades[codigo],tblActividades[descripcion],"(sin catálogo)"))</f>
        <v/>
      </c>
      <c r="AA932" s="12">
        <f>IF(tblOrdenes[[#This Row],[fecha_inicio]]="","",TODAY()-tblOrdenes[[#This Row],[fecha_inicio]])</f>
        <v/>
      </c>
      <c r="AB9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3">
        <f>IF(tblOrdenes[[#This Row],[backlog_habiles]]="","",IF(tblOrdenes[[#This Row],[backlog_habiles]]&lt;0,"FUTURO",IF(tblOrdenes[[#This Row],[backlog_habiles]]&gt;p_dias_backlog_max,"BACKLOG","MES CORRIENTE")))</f>
        <v/>
      </c>
      <c r="AD932" s="3">
        <f>IF(tblOrdenes[[#This Row],[backlog_habiles]]="",FALSE,AND(tblOrdenes[[#This Row],[backlog_habiles]]&gt;p_dias_backlog_min,tblOrdenes[[#This Row],[backlog_habiles]]&lt;=p_dias_backlog_max))</f>
        <v/>
      </c>
      <c r="AE932" s="6" t="n"/>
      <c r="AF9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0">
        <f>IF(tblOrdenes[[#This Row],[orden]]="","",_xlfn.XLOOKUP(tblOrdenes[[#This Row],[id_operacion]],tblEjecucion[id_operacion],tblEjecucion[precio],0))</f>
        <v/>
      </c>
      <c r="AJ932" s="10">
        <f>IF(tblOrdenes[[#This Row],[orden]]="","",MAX(0,_xlfn.XLOOKUP(tblOrdenes[[#This Row],[id_operacion]],tblEjecucion[id_operacion],tblEjecucion[costo_plan_total],0)-tblOrdenes[[#This Row],[costo_servicio]]))</f>
        <v/>
      </c>
      <c r="AK932" s="10">
        <f>IF(tblOrdenes[[#This Row],[orden]]="","",tblOrdenes[[#This Row],[costo_servicio]]+tblOrdenes[[#This Row],[costo_materiales]])</f>
        <v/>
      </c>
      <c r="AL932" s="6" t="n"/>
      <c r="AM932" s="6" t="n"/>
      <c r="AN932" s="6" t="n"/>
      <c r="AO932" s="3">
        <f>IF(tblOrdenes[[#This Row],[link_checklist]]="","",HYPERLINK(p_ruta_base_checklists&amp;tblOrdenes[[#This Row],[link_checklist]],"abrir"))</f>
        <v/>
      </c>
      <c r="AP932" s="6" t="n"/>
      <c r="AQ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3">
        <f>IF(tblOrdenes[[#This Row],[tipo_ot]]="","",_xlfn.XLOOKUP(tblOrdenes[[#This Row],[tipo_ot]],tblTiposOT[codigo],tblTiposOT[clasificacion],"sin_clasificar"))</f>
        <v/>
      </c>
      <c r="U933" s="3">
        <f>IF(tblOrdenes[[#This Row],[centro_costo]]="","",_xlfn.XLOOKUP(tblOrdenes[[#This Row],[centro_costo]],tblCECO[codigo],tblCECO[linea],"(sin catálogo)"))</f>
        <v/>
      </c>
      <c r="V933" s="3">
        <f>IF(tblOrdenes[[#This Row],[centro_costo]]="","",_xlfn.XLOOKUP(tblOrdenes[[#This Row],[centro_costo]],tblCECO[codigo],tblCECO[area],"(sin catálogo)"))</f>
        <v/>
      </c>
      <c r="W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3">
        <f>IF(tblOrdenes[[#This Row],[centro_costo]]="","",_xlfn.XLOOKUP(tblOrdenes[[#This Row],[centro_costo]],tblCECO[codigo],tblCECO[coordinador],"(sin catálogo)"))</f>
        <v/>
      </c>
      <c r="Y933" s="3">
        <f>IF(tblOrdenes[[#This Row],[puesto_trabajo]]="","",_xlfn.XLOOKUP(tblOrdenes[[#This Row],[puesto_trabajo]],tblPuestos[codigo],tblPuestos[especialidad],"(sin catálogo)"))</f>
        <v/>
      </c>
      <c r="Z933" s="3">
        <f>IF(tblOrdenes[[#This Row],[cod_actividad]]="","",_xlfn.XLOOKUP(tblOrdenes[[#This Row],[cod_actividad]],tblActividades[codigo],tblActividades[descripcion],"(sin catálogo)"))</f>
        <v/>
      </c>
      <c r="AA933" s="12">
        <f>IF(tblOrdenes[[#This Row],[fecha_inicio]]="","",TODAY()-tblOrdenes[[#This Row],[fecha_inicio]])</f>
        <v/>
      </c>
      <c r="AB9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3">
        <f>IF(tblOrdenes[[#This Row],[backlog_habiles]]="","",IF(tblOrdenes[[#This Row],[backlog_habiles]]&lt;0,"FUTURO",IF(tblOrdenes[[#This Row],[backlog_habiles]]&gt;p_dias_backlog_max,"BACKLOG","MES CORRIENTE")))</f>
        <v/>
      </c>
      <c r="AD933" s="3">
        <f>IF(tblOrdenes[[#This Row],[backlog_habiles]]="",FALSE,AND(tblOrdenes[[#This Row],[backlog_habiles]]&gt;p_dias_backlog_min,tblOrdenes[[#This Row],[backlog_habiles]]&lt;=p_dias_backlog_max))</f>
        <v/>
      </c>
      <c r="AE933" s="6" t="n"/>
      <c r="AF9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0">
        <f>IF(tblOrdenes[[#This Row],[orden]]="","",_xlfn.XLOOKUP(tblOrdenes[[#This Row],[id_operacion]],tblEjecucion[id_operacion],tblEjecucion[precio],0))</f>
        <v/>
      </c>
      <c r="AJ933" s="10">
        <f>IF(tblOrdenes[[#This Row],[orden]]="","",MAX(0,_xlfn.XLOOKUP(tblOrdenes[[#This Row],[id_operacion]],tblEjecucion[id_operacion],tblEjecucion[costo_plan_total],0)-tblOrdenes[[#This Row],[costo_servicio]]))</f>
        <v/>
      </c>
      <c r="AK933" s="10">
        <f>IF(tblOrdenes[[#This Row],[orden]]="","",tblOrdenes[[#This Row],[costo_servicio]]+tblOrdenes[[#This Row],[costo_materiales]])</f>
        <v/>
      </c>
      <c r="AL933" s="6" t="n"/>
      <c r="AM933" s="6" t="n"/>
      <c r="AN933" s="6" t="n"/>
      <c r="AO933" s="3">
        <f>IF(tblOrdenes[[#This Row],[link_checklist]]="","",HYPERLINK(p_ruta_base_checklists&amp;tblOrdenes[[#This Row],[link_checklist]],"abrir"))</f>
        <v/>
      </c>
      <c r="AP933" s="6" t="n"/>
      <c r="AQ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3">
        <f>IF(tblOrdenes[[#This Row],[tipo_ot]]="","",_xlfn.XLOOKUP(tblOrdenes[[#This Row],[tipo_ot]],tblTiposOT[codigo],tblTiposOT[clasificacion],"sin_clasificar"))</f>
        <v/>
      </c>
      <c r="U934" s="3">
        <f>IF(tblOrdenes[[#This Row],[centro_costo]]="","",_xlfn.XLOOKUP(tblOrdenes[[#This Row],[centro_costo]],tblCECO[codigo],tblCECO[linea],"(sin catálogo)"))</f>
        <v/>
      </c>
      <c r="V934" s="3">
        <f>IF(tblOrdenes[[#This Row],[centro_costo]]="","",_xlfn.XLOOKUP(tblOrdenes[[#This Row],[centro_costo]],tblCECO[codigo],tblCECO[area],"(sin catálogo)"))</f>
        <v/>
      </c>
      <c r="W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3">
        <f>IF(tblOrdenes[[#This Row],[centro_costo]]="","",_xlfn.XLOOKUP(tblOrdenes[[#This Row],[centro_costo]],tblCECO[codigo],tblCECO[coordinador],"(sin catálogo)"))</f>
        <v/>
      </c>
      <c r="Y934" s="3">
        <f>IF(tblOrdenes[[#This Row],[puesto_trabajo]]="","",_xlfn.XLOOKUP(tblOrdenes[[#This Row],[puesto_trabajo]],tblPuestos[codigo],tblPuestos[especialidad],"(sin catálogo)"))</f>
        <v/>
      </c>
      <c r="Z934" s="3">
        <f>IF(tblOrdenes[[#This Row],[cod_actividad]]="","",_xlfn.XLOOKUP(tblOrdenes[[#This Row],[cod_actividad]],tblActividades[codigo],tblActividades[descripcion],"(sin catálogo)"))</f>
        <v/>
      </c>
      <c r="AA934" s="12">
        <f>IF(tblOrdenes[[#This Row],[fecha_inicio]]="","",TODAY()-tblOrdenes[[#This Row],[fecha_inicio]])</f>
        <v/>
      </c>
      <c r="AB9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3">
        <f>IF(tblOrdenes[[#This Row],[backlog_habiles]]="","",IF(tblOrdenes[[#This Row],[backlog_habiles]]&lt;0,"FUTURO",IF(tblOrdenes[[#This Row],[backlog_habiles]]&gt;p_dias_backlog_max,"BACKLOG","MES CORRIENTE")))</f>
        <v/>
      </c>
      <c r="AD934" s="3">
        <f>IF(tblOrdenes[[#This Row],[backlog_habiles]]="",FALSE,AND(tblOrdenes[[#This Row],[backlog_habiles]]&gt;p_dias_backlog_min,tblOrdenes[[#This Row],[backlog_habiles]]&lt;=p_dias_backlog_max))</f>
        <v/>
      </c>
      <c r="AE934" s="6" t="n"/>
      <c r="AF9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0">
        <f>IF(tblOrdenes[[#This Row],[orden]]="","",_xlfn.XLOOKUP(tblOrdenes[[#This Row],[id_operacion]],tblEjecucion[id_operacion],tblEjecucion[precio],0))</f>
        <v/>
      </c>
      <c r="AJ934" s="10">
        <f>IF(tblOrdenes[[#This Row],[orden]]="","",MAX(0,_xlfn.XLOOKUP(tblOrdenes[[#This Row],[id_operacion]],tblEjecucion[id_operacion],tblEjecucion[costo_plan_total],0)-tblOrdenes[[#This Row],[costo_servicio]]))</f>
        <v/>
      </c>
      <c r="AK934" s="10">
        <f>IF(tblOrdenes[[#This Row],[orden]]="","",tblOrdenes[[#This Row],[costo_servicio]]+tblOrdenes[[#This Row],[costo_materiales]])</f>
        <v/>
      </c>
      <c r="AL934" s="6" t="n"/>
      <c r="AM934" s="6" t="n"/>
      <c r="AN934" s="6" t="n"/>
      <c r="AO934" s="3">
        <f>IF(tblOrdenes[[#This Row],[link_checklist]]="","",HYPERLINK(p_ruta_base_checklists&amp;tblOrdenes[[#This Row],[link_checklist]],"abrir"))</f>
        <v/>
      </c>
      <c r="AP934" s="6" t="n"/>
      <c r="AQ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3">
        <f>IF(tblOrdenes[[#This Row],[tipo_ot]]="","",_xlfn.XLOOKUP(tblOrdenes[[#This Row],[tipo_ot]],tblTiposOT[codigo],tblTiposOT[clasificacion],"sin_clasificar"))</f>
        <v/>
      </c>
      <c r="U935" s="3">
        <f>IF(tblOrdenes[[#This Row],[centro_costo]]="","",_xlfn.XLOOKUP(tblOrdenes[[#This Row],[centro_costo]],tblCECO[codigo],tblCECO[linea],"(sin catálogo)"))</f>
        <v/>
      </c>
      <c r="V935" s="3">
        <f>IF(tblOrdenes[[#This Row],[centro_costo]]="","",_xlfn.XLOOKUP(tblOrdenes[[#This Row],[centro_costo]],tblCECO[codigo],tblCECO[area],"(sin catálogo)"))</f>
        <v/>
      </c>
      <c r="W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3">
        <f>IF(tblOrdenes[[#This Row],[centro_costo]]="","",_xlfn.XLOOKUP(tblOrdenes[[#This Row],[centro_costo]],tblCECO[codigo],tblCECO[coordinador],"(sin catálogo)"))</f>
        <v/>
      </c>
      <c r="Y935" s="3">
        <f>IF(tblOrdenes[[#This Row],[puesto_trabajo]]="","",_xlfn.XLOOKUP(tblOrdenes[[#This Row],[puesto_trabajo]],tblPuestos[codigo],tblPuestos[especialidad],"(sin catálogo)"))</f>
        <v/>
      </c>
      <c r="Z935" s="3">
        <f>IF(tblOrdenes[[#This Row],[cod_actividad]]="","",_xlfn.XLOOKUP(tblOrdenes[[#This Row],[cod_actividad]],tblActividades[codigo],tblActividades[descripcion],"(sin catálogo)"))</f>
        <v/>
      </c>
      <c r="AA935" s="12">
        <f>IF(tblOrdenes[[#This Row],[fecha_inicio]]="","",TODAY()-tblOrdenes[[#This Row],[fecha_inicio]])</f>
        <v/>
      </c>
      <c r="AB9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3">
        <f>IF(tblOrdenes[[#This Row],[backlog_habiles]]="","",IF(tblOrdenes[[#This Row],[backlog_habiles]]&lt;0,"FUTURO",IF(tblOrdenes[[#This Row],[backlog_habiles]]&gt;p_dias_backlog_max,"BACKLOG","MES CORRIENTE")))</f>
        <v/>
      </c>
      <c r="AD935" s="3">
        <f>IF(tblOrdenes[[#This Row],[backlog_habiles]]="",FALSE,AND(tblOrdenes[[#This Row],[backlog_habiles]]&gt;p_dias_backlog_min,tblOrdenes[[#This Row],[backlog_habiles]]&lt;=p_dias_backlog_max))</f>
        <v/>
      </c>
      <c r="AE935" s="6" t="n"/>
      <c r="AF9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0">
        <f>IF(tblOrdenes[[#This Row],[orden]]="","",_xlfn.XLOOKUP(tblOrdenes[[#This Row],[id_operacion]],tblEjecucion[id_operacion],tblEjecucion[precio],0))</f>
        <v/>
      </c>
      <c r="AJ935" s="10">
        <f>IF(tblOrdenes[[#This Row],[orden]]="","",MAX(0,_xlfn.XLOOKUP(tblOrdenes[[#This Row],[id_operacion]],tblEjecucion[id_operacion],tblEjecucion[costo_plan_total],0)-tblOrdenes[[#This Row],[costo_servicio]]))</f>
        <v/>
      </c>
      <c r="AK935" s="10">
        <f>IF(tblOrdenes[[#This Row],[orden]]="","",tblOrdenes[[#This Row],[costo_servicio]]+tblOrdenes[[#This Row],[costo_materiales]])</f>
        <v/>
      </c>
      <c r="AL935" s="6" t="n"/>
      <c r="AM935" s="6" t="n"/>
      <c r="AN935" s="6" t="n"/>
      <c r="AO935" s="3">
        <f>IF(tblOrdenes[[#This Row],[link_checklist]]="","",HYPERLINK(p_ruta_base_checklists&amp;tblOrdenes[[#This Row],[link_checklist]],"abrir"))</f>
        <v/>
      </c>
      <c r="AP935" s="6" t="n"/>
      <c r="AQ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3">
        <f>IF(tblOrdenes[[#This Row],[tipo_ot]]="","",_xlfn.XLOOKUP(tblOrdenes[[#This Row],[tipo_ot]],tblTiposOT[codigo],tblTiposOT[clasificacion],"sin_clasificar"))</f>
        <v/>
      </c>
      <c r="U936" s="3">
        <f>IF(tblOrdenes[[#This Row],[centro_costo]]="","",_xlfn.XLOOKUP(tblOrdenes[[#This Row],[centro_costo]],tblCECO[codigo],tblCECO[linea],"(sin catálogo)"))</f>
        <v/>
      </c>
      <c r="V936" s="3">
        <f>IF(tblOrdenes[[#This Row],[centro_costo]]="","",_xlfn.XLOOKUP(tblOrdenes[[#This Row],[centro_costo]],tblCECO[codigo],tblCECO[area],"(sin catálogo)"))</f>
        <v/>
      </c>
      <c r="W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3">
        <f>IF(tblOrdenes[[#This Row],[centro_costo]]="","",_xlfn.XLOOKUP(tblOrdenes[[#This Row],[centro_costo]],tblCECO[codigo],tblCECO[coordinador],"(sin catálogo)"))</f>
        <v/>
      </c>
      <c r="Y936" s="3">
        <f>IF(tblOrdenes[[#This Row],[puesto_trabajo]]="","",_xlfn.XLOOKUP(tblOrdenes[[#This Row],[puesto_trabajo]],tblPuestos[codigo],tblPuestos[especialidad],"(sin catálogo)"))</f>
        <v/>
      </c>
      <c r="Z936" s="3">
        <f>IF(tblOrdenes[[#This Row],[cod_actividad]]="","",_xlfn.XLOOKUP(tblOrdenes[[#This Row],[cod_actividad]],tblActividades[codigo],tblActividades[descripcion],"(sin catálogo)"))</f>
        <v/>
      </c>
      <c r="AA936" s="12">
        <f>IF(tblOrdenes[[#This Row],[fecha_inicio]]="","",TODAY()-tblOrdenes[[#This Row],[fecha_inicio]])</f>
        <v/>
      </c>
      <c r="AB9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3">
        <f>IF(tblOrdenes[[#This Row],[backlog_habiles]]="","",IF(tblOrdenes[[#This Row],[backlog_habiles]]&lt;0,"FUTURO",IF(tblOrdenes[[#This Row],[backlog_habiles]]&gt;p_dias_backlog_max,"BACKLOG","MES CORRIENTE")))</f>
        <v/>
      </c>
      <c r="AD936" s="3">
        <f>IF(tblOrdenes[[#This Row],[backlog_habiles]]="",FALSE,AND(tblOrdenes[[#This Row],[backlog_habiles]]&gt;p_dias_backlog_min,tblOrdenes[[#This Row],[backlog_habiles]]&lt;=p_dias_backlog_max))</f>
        <v/>
      </c>
      <c r="AE936" s="6" t="n"/>
      <c r="AF9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0">
        <f>IF(tblOrdenes[[#This Row],[orden]]="","",_xlfn.XLOOKUP(tblOrdenes[[#This Row],[id_operacion]],tblEjecucion[id_operacion],tblEjecucion[precio],0))</f>
        <v/>
      </c>
      <c r="AJ936" s="10">
        <f>IF(tblOrdenes[[#This Row],[orden]]="","",MAX(0,_xlfn.XLOOKUP(tblOrdenes[[#This Row],[id_operacion]],tblEjecucion[id_operacion],tblEjecucion[costo_plan_total],0)-tblOrdenes[[#This Row],[costo_servicio]]))</f>
        <v/>
      </c>
      <c r="AK936" s="10">
        <f>IF(tblOrdenes[[#This Row],[orden]]="","",tblOrdenes[[#This Row],[costo_servicio]]+tblOrdenes[[#This Row],[costo_materiales]])</f>
        <v/>
      </c>
      <c r="AL936" s="6" t="n"/>
      <c r="AM936" s="6" t="n"/>
      <c r="AN936" s="6" t="n"/>
      <c r="AO936" s="3">
        <f>IF(tblOrdenes[[#This Row],[link_checklist]]="","",HYPERLINK(p_ruta_base_checklists&amp;tblOrdenes[[#This Row],[link_checklist]],"abrir"))</f>
        <v/>
      </c>
      <c r="AP936" s="6" t="n"/>
      <c r="AQ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3">
        <f>IF(tblOrdenes[[#This Row],[tipo_ot]]="","",_xlfn.XLOOKUP(tblOrdenes[[#This Row],[tipo_ot]],tblTiposOT[codigo],tblTiposOT[clasificacion],"sin_clasificar"))</f>
        <v/>
      </c>
      <c r="U937" s="3">
        <f>IF(tblOrdenes[[#This Row],[centro_costo]]="","",_xlfn.XLOOKUP(tblOrdenes[[#This Row],[centro_costo]],tblCECO[codigo],tblCECO[linea],"(sin catálogo)"))</f>
        <v/>
      </c>
      <c r="V937" s="3">
        <f>IF(tblOrdenes[[#This Row],[centro_costo]]="","",_xlfn.XLOOKUP(tblOrdenes[[#This Row],[centro_costo]],tblCECO[codigo],tblCECO[area],"(sin catálogo)"))</f>
        <v/>
      </c>
      <c r="W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3">
        <f>IF(tblOrdenes[[#This Row],[centro_costo]]="","",_xlfn.XLOOKUP(tblOrdenes[[#This Row],[centro_costo]],tblCECO[codigo],tblCECO[coordinador],"(sin catálogo)"))</f>
        <v/>
      </c>
      <c r="Y937" s="3">
        <f>IF(tblOrdenes[[#This Row],[puesto_trabajo]]="","",_xlfn.XLOOKUP(tblOrdenes[[#This Row],[puesto_trabajo]],tblPuestos[codigo],tblPuestos[especialidad],"(sin catálogo)"))</f>
        <v/>
      </c>
      <c r="Z937" s="3">
        <f>IF(tblOrdenes[[#This Row],[cod_actividad]]="","",_xlfn.XLOOKUP(tblOrdenes[[#This Row],[cod_actividad]],tblActividades[codigo],tblActividades[descripcion],"(sin catálogo)"))</f>
        <v/>
      </c>
      <c r="AA937" s="12">
        <f>IF(tblOrdenes[[#This Row],[fecha_inicio]]="","",TODAY()-tblOrdenes[[#This Row],[fecha_inicio]])</f>
        <v/>
      </c>
      <c r="AB9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3">
        <f>IF(tblOrdenes[[#This Row],[backlog_habiles]]="","",IF(tblOrdenes[[#This Row],[backlog_habiles]]&lt;0,"FUTURO",IF(tblOrdenes[[#This Row],[backlog_habiles]]&gt;p_dias_backlog_max,"BACKLOG","MES CORRIENTE")))</f>
        <v/>
      </c>
      <c r="AD937" s="3">
        <f>IF(tblOrdenes[[#This Row],[backlog_habiles]]="",FALSE,AND(tblOrdenes[[#This Row],[backlog_habiles]]&gt;p_dias_backlog_min,tblOrdenes[[#This Row],[backlog_habiles]]&lt;=p_dias_backlog_max))</f>
        <v/>
      </c>
      <c r="AE937" s="6" t="n"/>
      <c r="AF9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0">
        <f>IF(tblOrdenes[[#This Row],[orden]]="","",_xlfn.XLOOKUP(tblOrdenes[[#This Row],[id_operacion]],tblEjecucion[id_operacion],tblEjecucion[precio],0))</f>
        <v/>
      </c>
      <c r="AJ937" s="10">
        <f>IF(tblOrdenes[[#This Row],[orden]]="","",MAX(0,_xlfn.XLOOKUP(tblOrdenes[[#This Row],[id_operacion]],tblEjecucion[id_operacion],tblEjecucion[costo_plan_total],0)-tblOrdenes[[#This Row],[costo_servicio]]))</f>
        <v/>
      </c>
      <c r="AK937" s="10">
        <f>IF(tblOrdenes[[#This Row],[orden]]="","",tblOrdenes[[#This Row],[costo_servicio]]+tblOrdenes[[#This Row],[costo_materiales]])</f>
        <v/>
      </c>
      <c r="AL937" s="6" t="n"/>
      <c r="AM937" s="6" t="n"/>
      <c r="AN937" s="6" t="n"/>
      <c r="AO937" s="3">
        <f>IF(tblOrdenes[[#This Row],[link_checklist]]="","",HYPERLINK(p_ruta_base_checklists&amp;tblOrdenes[[#This Row],[link_checklist]],"abrir"))</f>
        <v/>
      </c>
      <c r="AP937" s="6" t="n"/>
      <c r="AQ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3">
        <f>IF(tblOrdenes[[#This Row],[tipo_ot]]="","",_xlfn.XLOOKUP(tblOrdenes[[#This Row],[tipo_ot]],tblTiposOT[codigo],tblTiposOT[clasificacion],"sin_clasificar"))</f>
        <v/>
      </c>
      <c r="U938" s="3">
        <f>IF(tblOrdenes[[#This Row],[centro_costo]]="","",_xlfn.XLOOKUP(tblOrdenes[[#This Row],[centro_costo]],tblCECO[codigo],tblCECO[linea],"(sin catálogo)"))</f>
        <v/>
      </c>
      <c r="V938" s="3">
        <f>IF(tblOrdenes[[#This Row],[centro_costo]]="","",_xlfn.XLOOKUP(tblOrdenes[[#This Row],[centro_costo]],tblCECO[codigo],tblCECO[area],"(sin catálogo)"))</f>
        <v/>
      </c>
      <c r="W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3">
        <f>IF(tblOrdenes[[#This Row],[centro_costo]]="","",_xlfn.XLOOKUP(tblOrdenes[[#This Row],[centro_costo]],tblCECO[codigo],tblCECO[coordinador],"(sin catálogo)"))</f>
        <v/>
      </c>
      <c r="Y938" s="3">
        <f>IF(tblOrdenes[[#This Row],[puesto_trabajo]]="","",_xlfn.XLOOKUP(tblOrdenes[[#This Row],[puesto_trabajo]],tblPuestos[codigo],tblPuestos[especialidad],"(sin catálogo)"))</f>
        <v/>
      </c>
      <c r="Z938" s="3">
        <f>IF(tblOrdenes[[#This Row],[cod_actividad]]="","",_xlfn.XLOOKUP(tblOrdenes[[#This Row],[cod_actividad]],tblActividades[codigo],tblActividades[descripcion],"(sin catálogo)"))</f>
        <v/>
      </c>
      <c r="AA938" s="12">
        <f>IF(tblOrdenes[[#This Row],[fecha_inicio]]="","",TODAY()-tblOrdenes[[#This Row],[fecha_inicio]])</f>
        <v/>
      </c>
      <c r="AB9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3">
        <f>IF(tblOrdenes[[#This Row],[backlog_habiles]]="","",IF(tblOrdenes[[#This Row],[backlog_habiles]]&lt;0,"FUTURO",IF(tblOrdenes[[#This Row],[backlog_habiles]]&gt;p_dias_backlog_max,"BACKLOG","MES CORRIENTE")))</f>
        <v/>
      </c>
      <c r="AD938" s="3">
        <f>IF(tblOrdenes[[#This Row],[backlog_habiles]]="",FALSE,AND(tblOrdenes[[#This Row],[backlog_habiles]]&gt;p_dias_backlog_min,tblOrdenes[[#This Row],[backlog_habiles]]&lt;=p_dias_backlog_max))</f>
        <v/>
      </c>
      <c r="AE938" s="6" t="n"/>
      <c r="AF9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0">
        <f>IF(tblOrdenes[[#This Row],[orden]]="","",_xlfn.XLOOKUP(tblOrdenes[[#This Row],[id_operacion]],tblEjecucion[id_operacion],tblEjecucion[precio],0))</f>
        <v/>
      </c>
      <c r="AJ938" s="10">
        <f>IF(tblOrdenes[[#This Row],[orden]]="","",MAX(0,_xlfn.XLOOKUP(tblOrdenes[[#This Row],[id_operacion]],tblEjecucion[id_operacion],tblEjecucion[costo_plan_total],0)-tblOrdenes[[#This Row],[costo_servicio]]))</f>
        <v/>
      </c>
      <c r="AK938" s="10">
        <f>IF(tblOrdenes[[#This Row],[orden]]="","",tblOrdenes[[#This Row],[costo_servicio]]+tblOrdenes[[#This Row],[costo_materiales]])</f>
        <v/>
      </c>
      <c r="AL938" s="6" t="n"/>
      <c r="AM938" s="6" t="n"/>
      <c r="AN938" s="6" t="n"/>
      <c r="AO938" s="3">
        <f>IF(tblOrdenes[[#This Row],[link_checklist]]="","",HYPERLINK(p_ruta_base_checklists&amp;tblOrdenes[[#This Row],[link_checklist]],"abrir"))</f>
        <v/>
      </c>
      <c r="AP938" s="6" t="n"/>
      <c r="AQ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3">
        <f>IF(tblOrdenes[[#This Row],[tipo_ot]]="","",_xlfn.XLOOKUP(tblOrdenes[[#This Row],[tipo_ot]],tblTiposOT[codigo],tblTiposOT[clasificacion],"sin_clasificar"))</f>
        <v/>
      </c>
      <c r="U939" s="3">
        <f>IF(tblOrdenes[[#This Row],[centro_costo]]="","",_xlfn.XLOOKUP(tblOrdenes[[#This Row],[centro_costo]],tblCECO[codigo],tblCECO[linea],"(sin catálogo)"))</f>
        <v/>
      </c>
      <c r="V939" s="3">
        <f>IF(tblOrdenes[[#This Row],[centro_costo]]="","",_xlfn.XLOOKUP(tblOrdenes[[#This Row],[centro_costo]],tblCECO[codigo],tblCECO[area],"(sin catálogo)"))</f>
        <v/>
      </c>
      <c r="W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3">
        <f>IF(tblOrdenes[[#This Row],[centro_costo]]="","",_xlfn.XLOOKUP(tblOrdenes[[#This Row],[centro_costo]],tblCECO[codigo],tblCECO[coordinador],"(sin catálogo)"))</f>
        <v/>
      </c>
      <c r="Y939" s="3">
        <f>IF(tblOrdenes[[#This Row],[puesto_trabajo]]="","",_xlfn.XLOOKUP(tblOrdenes[[#This Row],[puesto_trabajo]],tblPuestos[codigo],tblPuestos[especialidad],"(sin catálogo)"))</f>
        <v/>
      </c>
      <c r="Z939" s="3">
        <f>IF(tblOrdenes[[#This Row],[cod_actividad]]="","",_xlfn.XLOOKUP(tblOrdenes[[#This Row],[cod_actividad]],tblActividades[codigo],tblActividades[descripcion],"(sin catálogo)"))</f>
        <v/>
      </c>
      <c r="AA939" s="12">
        <f>IF(tblOrdenes[[#This Row],[fecha_inicio]]="","",TODAY()-tblOrdenes[[#This Row],[fecha_inicio]])</f>
        <v/>
      </c>
      <c r="AB9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3">
        <f>IF(tblOrdenes[[#This Row],[backlog_habiles]]="","",IF(tblOrdenes[[#This Row],[backlog_habiles]]&lt;0,"FUTURO",IF(tblOrdenes[[#This Row],[backlog_habiles]]&gt;p_dias_backlog_max,"BACKLOG","MES CORRIENTE")))</f>
        <v/>
      </c>
      <c r="AD939" s="3">
        <f>IF(tblOrdenes[[#This Row],[backlog_habiles]]="",FALSE,AND(tblOrdenes[[#This Row],[backlog_habiles]]&gt;p_dias_backlog_min,tblOrdenes[[#This Row],[backlog_habiles]]&lt;=p_dias_backlog_max))</f>
        <v/>
      </c>
      <c r="AE939" s="6" t="n"/>
      <c r="AF9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0">
        <f>IF(tblOrdenes[[#This Row],[orden]]="","",_xlfn.XLOOKUP(tblOrdenes[[#This Row],[id_operacion]],tblEjecucion[id_operacion],tblEjecucion[precio],0))</f>
        <v/>
      </c>
      <c r="AJ939" s="10">
        <f>IF(tblOrdenes[[#This Row],[orden]]="","",MAX(0,_xlfn.XLOOKUP(tblOrdenes[[#This Row],[id_operacion]],tblEjecucion[id_operacion],tblEjecucion[costo_plan_total],0)-tblOrdenes[[#This Row],[costo_servicio]]))</f>
        <v/>
      </c>
      <c r="AK939" s="10">
        <f>IF(tblOrdenes[[#This Row],[orden]]="","",tblOrdenes[[#This Row],[costo_servicio]]+tblOrdenes[[#This Row],[costo_materiales]])</f>
        <v/>
      </c>
      <c r="AL939" s="6" t="n"/>
      <c r="AM939" s="6" t="n"/>
      <c r="AN939" s="6" t="n"/>
      <c r="AO939" s="3">
        <f>IF(tblOrdenes[[#This Row],[link_checklist]]="","",HYPERLINK(p_ruta_base_checklists&amp;tblOrdenes[[#This Row],[link_checklist]],"abrir"))</f>
        <v/>
      </c>
      <c r="AP939" s="6" t="n"/>
      <c r="AQ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3">
        <f>IF(tblOrdenes[[#This Row],[tipo_ot]]="","",_xlfn.XLOOKUP(tblOrdenes[[#This Row],[tipo_ot]],tblTiposOT[codigo],tblTiposOT[clasificacion],"sin_clasificar"))</f>
        <v/>
      </c>
      <c r="U940" s="3">
        <f>IF(tblOrdenes[[#This Row],[centro_costo]]="","",_xlfn.XLOOKUP(tblOrdenes[[#This Row],[centro_costo]],tblCECO[codigo],tblCECO[linea],"(sin catálogo)"))</f>
        <v/>
      </c>
      <c r="V940" s="3">
        <f>IF(tblOrdenes[[#This Row],[centro_costo]]="","",_xlfn.XLOOKUP(tblOrdenes[[#This Row],[centro_costo]],tblCECO[codigo],tblCECO[area],"(sin catálogo)"))</f>
        <v/>
      </c>
      <c r="W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3">
        <f>IF(tblOrdenes[[#This Row],[centro_costo]]="","",_xlfn.XLOOKUP(tblOrdenes[[#This Row],[centro_costo]],tblCECO[codigo],tblCECO[coordinador],"(sin catálogo)"))</f>
        <v/>
      </c>
      <c r="Y940" s="3">
        <f>IF(tblOrdenes[[#This Row],[puesto_trabajo]]="","",_xlfn.XLOOKUP(tblOrdenes[[#This Row],[puesto_trabajo]],tblPuestos[codigo],tblPuestos[especialidad],"(sin catálogo)"))</f>
        <v/>
      </c>
      <c r="Z940" s="3">
        <f>IF(tblOrdenes[[#This Row],[cod_actividad]]="","",_xlfn.XLOOKUP(tblOrdenes[[#This Row],[cod_actividad]],tblActividades[codigo],tblActividades[descripcion],"(sin catálogo)"))</f>
        <v/>
      </c>
      <c r="AA940" s="12">
        <f>IF(tblOrdenes[[#This Row],[fecha_inicio]]="","",TODAY()-tblOrdenes[[#This Row],[fecha_inicio]])</f>
        <v/>
      </c>
      <c r="AB9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3">
        <f>IF(tblOrdenes[[#This Row],[backlog_habiles]]="","",IF(tblOrdenes[[#This Row],[backlog_habiles]]&lt;0,"FUTURO",IF(tblOrdenes[[#This Row],[backlog_habiles]]&gt;p_dias_backlog_max,"BACKLOG","MES CORRIENTE")))</f>
        <v/>
      </c>
      <c r="AD940" s="3">
        <f>IF(tblOrdenes[[#This Row],[backlog_habiles]]="",FALSE,AND(tblOrdenes[[#This Row],[backlog_habiles]]&gt;p_dias_backlog_min,tblOrdenes[[#This Row],[backlog_habiles]]&lt;=p_dias_backlog_max))</f>
        <v/>
      </c>
      <c r="AE940" s="6" t="n"/>
      <c r="AF9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0">
        <f>IF(tblOrdenes[[#This Row],[orden]]="","",_xlfn.XLOOKUP(tblOrdenes[[#This Row],[id_operacion]],tblEjecucion[id_operacion],tblEjecucion[precio],0))</f>
        <v/>
      </c>
      <c r="AJ940" s="10">
        <f>IF(tblOrdenes[[#This Row],[orden]]="","",MAX(0,_xlfn.XLOOKUP(tblOrdenes[[#This Row],[id_operacion]],tblEjecucion[id_operacion],tblEjecucion[costo_plan_total],0)-tblOrdenes[[#This Row],[costo_servicio]]))</f>
        <v/>
      </c>
      <c r="AK940" s="10">
        <f>IF(tblOrdenes[[#This Row],[orden]]="","",tblOrdenes[[#This Row],[costo_servicio]]+tblOrdenes[[#This Row],[costo_materiales]])</f>
        <v/>
      </c>
      <c r="AL940" s="6" t="n"/>
      <c r="AM940" s="6" t="n"/>
      <c r="AN940" s="6" t="n"/>
      <c r="AO940" s="3">
        <f>IF(tblOrdenes[[#This Row],[link_checklist]]="","",HYPERLINK(p_ruta_base_checklists&amp;tblOrdenes[[#This Row],[link_checklist]],"abrir"))</f>
        <v/>
      </c>
      <c r="AP940" s="6" t="n"/>
      <c r="AQ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3">
        <f>IF(tblOrdenes[[#This Row],[tipo_ot]]="","",_xlfn.XLOOKUP(tblOrdenes[[#This Row],[tipo_ot]],tblTiposOT[codigo],tblTiposOT[clasificacion],"sin_clasificar"))</f>
        <v/>
      </c>
      <c r="U941" s="3">
        <f>IF(tblOrdenes[[#This Row],[centro_costo]]="","",_xlfn.XLOOKUP(tblOrdenes[[#This Row],[centro_costo]],tblCECO[codigo],tblCECO[linea],"(sin catálogo)"))</f>
        <v/>
      </c>
      <c r="V941" s="3">
        <f>IF(tblOrdenes[[#This Row],[centro_costo]]="","",_xlfn.XLOOKUP(tblOrdenes[[#This Row],[centro_costo]],tblCECO[codigo],tblCECO[area],"(sin catálogo)"))</f>
        <v/>
      </c>
      <c r="W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3">
        <f>IF(tblOrdenes[[#This Row],[centro_costo]]="","",_xlfn.XLOOKUP(tblOrdenes[[#This Row],[centro_costo]],tblCECO[codigo],tblCECO[coordinador],"(sin catálogo)"))</f>
        <v/>
      </c>
      <c r="Y941" s="3">
        <f>IF(tblOrdenes[[#This Row],[puesto_trabajo]]="","",_xlfn.XLOOKUP(tblOrdenes[[#This Row],[puesto_trabajo]],tblPuestos[codigo],tblPuestos[especialidad],"(sin catálogo)"))</f>
        <v/>
      </c>
      <c r="Z941" s="3">
        <f>IF(tblOrdenes[[#This Row],[cod_actividad]]="","",_xlfn.XLOOKUP(tblOrdenes[[#This Row],[cod_actividad]],tblActividades[codigo],tblActividades[descripcion],"(sin catálogo)"))</f>
        <v/>
      </c>
      <c r="AA941" s="12">
        <f>IF(tblOrdenes[[#This Row],[fecha_inicio]]="","",TODAY()-tblOrdenes[[#This Row],[fecha_inicio]])</f>
        <v/>
      </c>
      <c r="AB9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3">
        <f>IF(tblOrdenes[[#This Row],[backlog_habiles]]="","",IF(tblOrdenes[[#This Row],[backlog_habiles]]&lt;0,"FUTURO",IF(tblOrdenes[[#This Row],[backlog_habiles]]&gt;p_dias_backlog_max,"BACKLOG","MES CORRIENTE")))</f>
        <v/>
      </c>
      <c r="AD941" s="3">
        <f>IF(tblOrdenes[[#This Row],[backlog_habiles]]="",FALSE,AND(tblOrdenes[[#This Row],[backlog_habiles]]&gt;p_dias_backlog_min,tblOrdenes[[#This Row],[backlog_habiles]]&lt;=p_dias_backlog_max))</f>
        <v/>
      </c>
      <c r="AE941" s="6" t="n"/>
      <c r="AF9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0">
        <f>IF(tblOrdenes[[#This Row],[orden]]="","",_xlfn.XLOOKUP(tblOrdenes[[#This Row],[id_operacion]],tblEjecucion[id_operacion],tblEjecucion[precio],0))</f>
        <v/>
      </c>
      <c r="AJ941" s="10">
        <f>IF(tblOrdenes[[#This Row],[orden]]="","",MAX(0,_xlfn.XLOOKUP(tblOrdenes[[#This Row],[id_operacion]],tblEjecucion[id_operacion],tblEjecucion[costo_plan_total],0)-tblOrdenes[[#This Row],[costo_servicio]]))</f>
        <v/>
      </c>
      <c r="AK941" s="10">
        <f>IF(tblOrdenes[[#This Row],[orden]]="","",tblOrdenes[[#This Row],[costo_servicio]]+tblOrdenes[[#This Row],[costo_materiales]])</f>
        <v/>
      </c>
      <c r="AL941" s="6" t="n"/>
      <c r="AM941" s="6" t="n"/>
      <c r="AN941" s="6" t="n"/>
      <c r="AO941" s="3">
        <f>IF(tblOrdenes[[#This Row],[link_checklist]]="","",HYPERLINK(p_ruta_base_checklists&amp;tblOrdenes[[#This Row],[link_checklist]],"abrir"))</f>
        <v/>
      </c>
      <c r="AP941" s="6" t="n"/>
      <c r="AQ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3">
        <f>IF(tblOrdenes[[#This Row],[tipo_ot]]="","",_xlfn.XLOOKUP(tblOrdenes[[#This Row],[tipo_ot]],tblTiposOT[codigo],tblTiposOT[clasificacion],"sin_clasificar"))</f>
        <v/>
      </c>
      <c r="U942" s="3">
        <f>IF(tblOrdenes[[#This Row],[centro_costo]]="","",_xlfn.XLOOKUP(tblOrdenes[[#This Row],[centro_costo]],tblCECO[codigo],tblCECO[linea],"(sin catálogo)"))</f>
        <v/>
      </c>
      <c r="V942" s="3">
        <f>IF(tblOrdenes[[#This Row],[centro_costo]]="","",_xlfn.XLOOKUP(tblOrdenes[[#This Row],[centro_costo]],tblCECO[codigo],tblCECO[area],"(sin catálogo)"))</f>
        <v/>
      </c>
      <c r="W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3">
        <f>IF(tblOrdenes[[#This Row],[centro_costo]]="","",_xlfn.XLOOKUP(tblOrdenes[[#This Row],[centro_costo]],tblCECO[codigo],tblCECO[coordinador],"(sin catálogo)"))</f>
        <v/>
      </c>
      <c r="Y942" s="3">
        <f>IF(tblOrdenes[[#This Row],[puesto_trabajo]]="","",_xlfn.XLOOKUP(tblOrdenes[[#This Row],[puesto_trabajo]],tblPuestos[codigo],tblPuestos[especialidad],"(sin catálogo)"))</f>
        <v/>
      </c>
      <c r="Z942" s="3">
        <f>IF(tblOrdenes[[#This Row],[cod_actividad]]="","",_xlfn.XLOOKUP(tblOrdenes[[#This Row],[cod_actividad]],tblActividades[codigo],tblActividades[descripcion],"(sin catálogo)"))</f>
        <v/>
      </c>
      <c r="AA942" s="12">
        <f>IF(tblOrdenes[[#This Row],[fecha_inicio]]="","",TODAY()-tblOrdenes[[#This Row],[fecha_inicio]])</f>
        <v/>
      </c>
      <c r="AB9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3">
        <f>IF(tblOrdenes[[#This Row],[backlog_habiles]]="","",IF(tblOrdenes[[#This Row],[backlog_habiles]]&lt;0,"FUTURO",IF(tblOrdenes[[#This Row],[backlog_habiles]]&gt;p_dias_backlog_max,"BACKLOG","MES CORRIENTE")))</f>
        <v/>
      </c>
      <c r="AD942" s="3">
        <f>IF(tblOrdenes[[#This Row],[backlog_habiles]]="",FALSE,AND(tblOrdenes[[#This Row],[backlog_habiles]]&gt;p_dias_backlog_min,tblOrdenes[[#This Row],[backlog_habiles]]&lt;=p_dias_backlog_max))</f>
        <v/>
      </c>
      <c r="AE942" s="6" t="n"/>
      <c r="AF9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0">
        <f>IF(tblOrdenes[[#This Row],[orden]]="","",_xlfn.XLOOKUP(tblOrdenes[[#This Row],[id_operacion]],tblEjecucion[id_operacion],tblEjecucion[precio],0))</f>
        <v/>
      </c>
      <c r="AJ942" s="10">
        <f>IF(tblOrdenes[[#This Row],[orden]]="","",MAX(0,_xlfn.XLOOKUP(tblOrdenes[[#This Row],[id_operacion]],tblEjecucion[id_operacion],tblEjecucion[costo_plan_total],0)-tblOrdenes[[#This Row],[costo_servicio]]))</f>
        <v/>
      </c>
      <c r="AK942" s="10">
        <f>IF(tblOrdenes[[#This Row],[orden]]="","",tblOrdenes[[#This Row],[costo_servicio]]+tblOrdenes[[#This Row],[costo_materiales]])</f>
        <v/>
      </c>
      <c r="AL942" s="6" t="n"/>
      <c r="AM942" s="6" t="n"/>
      <c r="AN942" s="6" t="n"/>
      <c r="AO942" s="3">
        <f>IF(tblOrdenes[[#This Row],[link_checklist]]="","",HYPERLINK(p_ruta_base_checklists&amp;tblOrdenes[[#This Row],[link_checklist]],"abrir"))</f>
        <v/>
      </c>
      <c r="AP942" s="6" t="n"/>
      <c r="AQ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3">
        <f>IF(tblOrdenes[[#This Row],[tipo_ot]]="","",_xlfn.XLOOKUP(tblOrdenes[[#This Row],[tipo_ot]],tblTiposOT[codigo],tblTiposOT[clasificacion],"sin_clasificar"))</f>
        <v/>
      </c>
      <c r="U943" s="3">
        <f>IF(tblOrdenes[[#This Row],[centro_costo]]="","",_xlfn.XLOOKUP(tblOrdenes[[#This Row],[centro_costo]],tblCECO[codigo],tblCECO[linea],"(sin catálogo)"))</f>
        <v/>
      </c>
      <c r="V943" s="3">
        <f>IF(tblOrdenes[[#This Row],[centro_costo]]="","",_xlfn.XLOOKUP(tblOrdenes[[#This Row],[centro_costo]],tblCECO[codigo],tblCECO[area],"(sin catálogo)"))</f>
        <v/>
      </c>
      <c r="W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3">
        <f>IF(tblOrdenes[[#This Row],[centro_costo]]="","",_xlfn.XLOOKUP(tblOrdenes[[#This Row],[centro_costo]],tblCECO[codigo],tblCECO[coordinador],"(sin catálogo)"))</f>
        <v/>
      </c>
      <c r="Y943" s="3">
        <f>IF(tblOrdenes[[#This Row],[puesto_trabajo]]="","",_xlfn.XLOOKUP(tblOrdenes[[#This Row],[puesto_trabajo]],tblPuestos[codigo],tblPuestos[especialidad],"(sin catálogo)"))</f>
        <v/>
      </c>
      <c r="Z943" s="3">
        <f>IF(tblOrdenes[[#This Row],[cod_actividad]]="","",_xlfn.XLOOKUP(tblOrdenes[[#This Row],[cod_actividad]],tblActividades[codigo],tblActividades[descripcion],"(sin catálogo)"))</f>
        <v/>
      </c>
      <c r="AA943" s="12">
        <f>IF(tblOrdenes[[#This Row],[fecha_inicio]]="","",TODAY()-tblOrdenes[[#This Row],[fecha_inicio]])</f>
        <v/>
      </c>
      <c r="AB9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3">
        <f>IF(tblOrdenes[[#This Row],[backlog_habiles]]="","",IF(tblOrdenes[[#This Row],[backlog_habiles]]&lt;0,"FUTURO",IF(tblOrdenes[[#This Row],[backlog_habiles]]&gt;p_dias_backlog_max,"BACKLOG","MES CORRIENTE")))</f>
        <v/>
      </c>
      <c r="AD943" s="3">
        <f>IF(tblOrdenes[[#This Row],[backlog_habiles]]="",FALSE,AND(tblOrdenes[[#This Row],[backlog_habiles]]&gt;p_dias_backlog_min,tblOrdenes[[#This Row],[backlog_habiles]]&lt;=p_dias_backlog_max))</f>
        <v/>
      </c>
      <c r="AE943" s="6" t="n"/>
      <c r="AF9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0">
        <f>IF(tblOrdenes[[#This Row],[orden]]="","",_xlfn.XLOOKUP(tblOrdenes[[#This Row],[id_operacion]],tblEjecucion[id_operacion],tblEjecucion[precio],0))</f>
        <v/>
      </c>
      <c r="AJ943" s="10">
        <f>IF(tblOrdenes[[#This Row],[orden]]="","",MAX(0,_xlfn.XLOOKUP(tblOrdenes[[#This Row],[id_operacion]],tblEjecucion[id_operacion],tblEjecucion[costo_plan_total],0)-tblOrdenes[[#This Row],[costo_servicio]]))</f>
        <v/>
      </c>
      <c r="AK943" s="10">
        <f>IF(tblOrdenes[[#This Row],[orden]]="","",tblOrdenes[[#This Row],[costo_servicio]]+tblOrdenes[[#This Row],[costo_materiales]])</f>
        <v/>
      </c>
      <c r="AL943" s="6" t="n"/>
      <c r="AM943" s="6" t="n"/>
      <c r="AN943" s="6" t="n"/>
      <c r="AO943" s="3">
        <f>IF(tblOrdenes[[#This Row],[link_checklist]]="","",HYPERLINK(p_ruta_base_checklists&amp;tblOrdenes[[#This Row],[link_checklist]],"abrir"))</f>
        <v/>
      </c>
      <c r="AP943" s="6" t="n"/>
      <c r="AQ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3">
        <f>IF(tblOrdenes[[#This Row],[tipo_ot]]="","",_xlfn.XLOOKUP(tblOrdenes[[#This Row],[tipo_ot]],tblTiposOT[codigo],tblTiposOT[clasificacion],"sin_clasificar"))</f>
        <v/>
      </c>
      <c r="U944" s="3">
        <f>IF(tblOrdenes[[#This Row],[centro_costo]]="","",_xlfn.XLOOKUP(tblOrdenes[[#This Row],[centro_costo]],tblCECO[codigo],tblCECO[linea],"(sin catálogo)"))</f>
        <v/>
      </c>
      <c r="V944" s="3">
        <f>IF(tblOrdenes[[#This Row],[centro_costo]]="","",_xlfn.XLOOKUP(tblOrdenes[[#This Row],[centro_costo]],tblCECO[codigo],tblCECO[area],"(sin catálogo)"))</f>
        <v/>
      </c>
      <c r="W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3">
        <f>IF(tblOrdenes[[#This Row],[centro_costo]]="","",_xlfn.XLOOKUP(tblOrdenes[[#This Row],[centro_costo]],tblCECO[codigo],tblCECO[coordinador],"(sin catálogo)"))</f>
        <v/>
      </c>
      <c r="Y944" s="3">
        <f>IF(tblOrdenes[[#This Row],[puesto_trabajo]]="","",_xlfn.XLOOKUP(tblOrdenes[[#This Row],[puesto_trabajo]],tblPuestos[codigo],tblPuestos[especialidad],"(sin catálogo)"))</f>
        <v/>
      </c>
      <c r="Z944" s="3">
        <f>IF(tblOrdenes[[#This Row],[cod_actividad]]="","",_xlfn.XLOOKUP(tblOrdenes[[#This Row],[cod_actividad]],tblActividades[codigo],tblActividades[descripcion],"(sin catálogo)"))</f>
        <v/>
      </c>
      <c r="AA944" s="12">
        <f>IF(tblOrdenes[[#This Row],[fecha_inicio]]="","",TODAY()-tblOrdenes[[#This Row],[fecha_inicio]])</f>
        <v/>
      </c>
      <c r="AB9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3">
        <f>IF(tblOrdenes[[#This Row],[backlog_habiles]]="","",IF(tblOrdenes[[#This Row],[backlog_habiles]]&lt;0,"FUTURO",IF(tblOrdenes[[#This Row],[backlog_habiles]]&gt;p_dias_backlog_max,"BACKLOG","MES CORRIENTE")))</f>
        <v/>
      </c>
      <c r="AD944" s="3">
        <f>IF(tblOrdenes[[#This Row],[backlog_habiles]]="",FALSE,AND(tblOrdenes[[#This Row],[backlog_habiles]]&gt;p_dias_backlog_min,tblOrdenes[[#This Row],[backlog_habiles]]&lt;=p_dias_backlog_max))</f>
        <v/>
      </c>
      <c r="AE944" s="6" t="n"/>
      <c r="AF9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0">
        <f>IF(tblOrdenes[[#This Row],[orden]]="","",_xlfn.XLOOKUP(tblOrdenes[[#This Row],[id_operacion]],tblEjecucion[id_operacion],tblEjecucion[precio],0))</f>
        <v/>
      </c>
      <c r="AJ944" s="10">
        <f>IF(tblOrdenes[[#This Row],[orden]]="","",MAX(0,_xlfn.XLOOKUP(tblOrdenes[[#This Row],[id_operacion]],tblEjecucion[id_operacion],tblEjecucion[costo_plan_total],0)-tblOrdenes[[#This Row],[costo_servicio]]))</f>
        <v/>
      </c>
      <c r="AK944" s="10">
        <f>IF(tblOrdenes[[#This Row],[orden]]="","",tblOrdenes[[#This Row],[costo_servicio]]+tblOrdenes[[#This Row],[costo_materiales]])</f>
        <v/>
      </c>
      <c r="AL944" s="6" t="n"/>
      <c r="AM944" s="6" t="n"/>
      <c r="AN944" s="6" t="n"/>
      <c r="AO944" s="3">
        <f>IF(tblOrdenes[[#This Row],[link_checklist]]="","",HYPERLINK(p_ruta_base_checklists&amp;tblOrdenes[[#This Row],[link_checklist]],"abrir"))</f>
        <v/>
      </c>
      <c r="AP944" s="6" t="n"/>
      <c r="AQ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3">
        <f>IF(tblOrdenes[[#This Row],[tipo_ot]]="","",_xlfn.XLOOKUP(tblOrdenes[[#This Row],[tipo_ot]],tblTiposOT[codigo],tblTiposOT[clasificacion],"sin_clasificar"))</f>
        <v/>
      </c>
      <c r="U945" s="3">
        <f>IF(tblOrdenes[[#This Row],[centro_costo]]="","",_xlfn.XLOOKUP(tblOrdenes[[#This Row],[centro_costo]],tblCECO[codigo],tblCECO[linea],"(sin catálogo)"))</f>
        <v/>
      </c>
      <c r="V945" s="3">
        <f>IF(tblOrdenes[[#This Row],[centro_costo]]="","",_xlfn.XLOOKUP(tblOrdenes[[#This Row],[centro_costo]],tblCECO[codigo],tblCECO[area],"(sin catálogo)"))</f>
        <v/>
      </c>
      <c r="W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3">
        <f>IF(tblOrdenes[[#This Row],[centro_costo]]="","",_xlfn.XLOOKUP(tblOrdenes[[#This Row],[centro_costo]],tblCECO[codigo],tblCECO[coordinador],"(sin catálogo)"))</f>
        <v/>
      </c>
      <c r="Y945" s="3">
        <f>IF(tblOrdenes[[#This Row],[puesto_trabajo]]="","",_xlfn.XLOOKUP(tblOrdenes[[#This Row],[puesto_trabajo]],tblPuestos[codigo],tblPuestos[especialidad],"(sin catálogo)"))</f>
        <v/>
      </c>
      <c r="Z945" s="3">
        <f>IF(tblOrdenes[[#This Row],[cod_actividad]]="","",_xlfn.XLOOKUP(tblOrdenes[[#This Row],[cod_actividad]],tblActividades[codigo],tblActividades[descripcion],"(sin catálogo)"))</f>
        <v/>
      </c>
      <c r="AA945" s="12">
        <f>IF(tblOrdenes[[#This Row],[fecha_inicio]]="","",TODAY()-tblOrdenes[[#This Row],[fecha_inicio]])</f>
        <v/>
      </c>
      <c r="AB9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3">
        <f>IF(tblOrdenes[[#This Row],[backlog_habiles]]="","",IF(tblOrdenes[[#This Row],[backlog_habiles]]&lt;0,"FUTURO",IF(tblOrdenes[[#This Row],[backlog_habiles]]&gt;p_dias_backlog_max,"BACKLOG","MES CORRIENTE")))</f>
        <v/>
      </c>
      <c r="AD945" s="3">
        <f>IF(tblOrdenes[[#This Row],[backlog_habiles]]="",FALSE,AND(tblOrdenes[[#This Row],[backlog_habiles]]&gt;p_dias_backlog_min,tblOrdenes[[#This Row],[backlog_habiles]]&lt;=p_dias_backlog_max))</f>
        <v/>
      </c>
      <c r="AE945" s="6" t="n"/>
      <c r="AF9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0">
        <f>IF(tblOrdenes[[#This Row],[orden]]="","",_xlfn.XLOOKUP(tblOrdenes[[#This Row],[id_operacion]],tblEjecucion[id_operacion],tblEjecucion[precio],0))</f>
        <v/>
      </c>
      <c r="AJ945" s="10">
        <f>IF(tblOrdenes[[#This Row],[orden]]="","",MAX(0,_xlfn.XLOOKUP(tblOrdenes[[#This Row],[id_operacion]],tblEjecucion[id_operacion],tblEjecucion[costo_plan_total],0)-tblOrdenes[[#This Row],[costo_servicio]]))</f>
        <v/>
      </c>
      <c r="AK945" s="10">
        <f>IF(tblOrdenes[[#This Row],[orden]]="","",tblOrdenes[[#This Row],[costo_servicio]]+tblOrdenes[[#This Row],[costo_materiales]])</f>
        <v/>
      </c>
      <c r="AL945" s="6" t="n"/>
      <c r="AM945" s="6" t="n"/>
      <c r="AN945" s="6" t="n"/>
      <c r="AO945" s="3">
        <f>IF(tblOrdenes[[#This Row],[link_checklist]]="","",HYPERLINK(p_ruta_base_checklists&amp;tblOrdenes[[#This Row],[link_checklist]],"abrir"))</f>
        <v/>
      </c>
      <c r="AP945" s="6" t="n"/>
      <c r="AQ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3">
        <f>IF(tblOrdenes[[#This Row],[tipo_ot]]="","",_xlfn.XLOOKUP(tblOrdenes[[#This Row],[tipo_ot]],tblTiposOT[codigo],tblTiposOT[clasificacion],"sin_clasificar"))</f>
        <v/>
      </c>
      <c r="U946" s="3">
        <f>IF(tblOrdenes[[#This Row],[centro_costo]]="","",_xlfn.XLOOKUP(tblOrdenes[[#This Row],[centro_costo]],tblCECO[codigo],tblCECO[linea],"(sin catálogo)"))</f>
        <v/>
      </c>
      <c r="V946" s="3">
        <f>IF(tblOrdenes[[#This Row],[centro_costo]]="","",_xlfn.XLOOKUP(tblOrdenes[[#This Row],[centro_costo]],tblCECO[codigo],tblCECO[area],"(sin catálogo)"))</f>
        <v/>
      </c>
      <c r="W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3">
        <f>IF(tblOrdenes[[#This Row],[centro_costo]]="","",_xlfn.XLOOKUP(tblOrdenes[[#This Row],[centro_costo]],tblCECO[codigo],tblCECO[coordinador],"(sin catálogo)"))</f>
        <v/>
      </c>
      <c r="Y946" s="3">
        <f>IF(tblOrdenes[[#This Row],[puesto_trabajo]]="","",_xlfn.XLOOKUP(tblOrdenes[[#This Row],[puesto_trabajo]],tblPuestos[codigo],tblPuestos[especialidad],"(sin catálogo)"))</f>
        <v/>
      </c>
      <c r="Z946" s="3">
        <f>IF(tblOrdenes[[#This Row],[cod_actividad]]="","",_xlfn.XLOOKUP(tblOrdenes[[#This Row],[cod_actividad]],tblActividades[codigo],tblActividades[descripcion],"(sin catálogo)"))</f>
        <v/>
      </c>
      <c r="AA946" s="12">
        <f>IF(tblOrdenes[[#This Row],[fecha_inicio]]="","",TODAY()-tblOrdenes[[#This Row],[fecha_inicio]])</f>
        <v/>
      </c>
      <c r="AB9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3">
        <f>IF(tblOrdenes[[#This Row],[backlog_habiles]]="","",IF(tblOrdenes[[#This Row],[backlog_habiles]]&lt;0,"FUTURO",IF(tblOrdenes[[#This Row],[backlog_habiles]]&gt;p_dias_backlog_max,"BACKLOG","MES CORRIENTE")))</f>
        <v/>
      </c>
      <c r="AD946" s="3">
        <f>IF(tblOrdenes[[#This Row],[backlog_habiles]]="",FALSE,AND(tblOrdenes[[#This Row],[backlog_habiles]]&gt;p_dias_backlog_min,tblOrdenes[[#This Row],[backlog_habiles]]&lt;=p_dias_backlog_max))</f>
        <v/>
      </c>
      <c r="AE946" s="6" t="n"/>
      <c r="AF9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0">
        <f>IF(tblOrdenes[[#This Row],[orden]]="","",_xlfn.XLOOKUP(tblOrdenes[[#This Row],[id_operacion]],tblEjecucion[id_operacion],tblEjecucion[precio],0))</f>
        <v/>
      </c>
      <c r="AJ946" s="10">
        <f>IF(tblOrdenes[[#This Row],[orden]]="","",MAX(0,_xlfn.XLOOKUP(tblOrdenes[[#This Row],[id_operacion]],tblEjecucion[id_operacion],tblEjecucion[costo_plan_total],0)-tblOrdenes[[#This Row],[costo_servicio]]))</f>
        <v/>
      </c>
      <c r="AK946" s="10">
        <f>IF(tblOrdenes[[#This Row],[orden]]="","",tblOrdenes[[#This Row],[costo_servicio]]+tblOrdenes[[#This Row],[costo_materiales]])</f>
        <v/>
      </c>
      <c r="AL946" s="6" t="n"/>
      <c r="AM946" s="6" t="n"/>
      <c r="AN946" s="6" t="n"/>
      <c r="AO946" s="3">
        <f>IF(tblOrdenes[[#This Row],[link_checklist]]="","",HYPERLINK(p_ruta_base_checklists&amp;tblOrdenes[[#This Row],[link_checklist]],"abrir"))</f>
        <v/>
      </c>
      <c r="AP946" s="6" t="n"/>
      <c r="AQ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3">
        <f>IF(tblOrdenes[[#This Row],[tipo_ot]]="","",_xlfn.XLOOKUP(tblOrdenes[[#This Row],[tipo_ot]],tblTiposOT[codigo],tblTiposOT[clasificacion],"sin_clasificar"))</f>
        <v/>
      </c>
      <c r="U947" s="3">
        <f>IF(tblOrdenes[[#This Row],[centro_costo]]="","",_xlfn.XLOOKUP(tblOrdenes[[#This Row],[centro_costo]],tblCECO[codigo],tblCECO[linea],"(sin catálogo)"))</f>
        <v/>
      </c>
      <c r="V947" s="3">
        <f>IF(tblOrdenes[[#This Row],[centro_costo]]="","",_xlfn.XLOOKUP(tblOrdenes[[#This Row],[centro_costo]],tblCECO[codigo],tblCECO[area],"(sin catálogo)"))</f>
        <v/>
      </c>
      <c r="W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3">
        <f>IF(tblOrdenes[[#This Row],[centro_costo]]="","",_xlfn.XLOOKUP(tblOrdenes[[#This Row],[centro_costo]],tblCECO[codigo],tblCECO[coordinador],"(sin catálogo)"))</f>
        <v/>
      </c>
      <c r="Y947" s="3">
        <f>IF(tblOrdenes[[#This Row],[puesto_trabajo]]="","",_xlfn.XLOOKUP(tblOrdenes[[#This Row],[puesto_trabajo]],tblPuestos[codigo],tblPuestos[especialidad],"(sin catálogo)"))</f>
        <v/>
      </c>
      <c r="Z947" s="3">
        <f>IF(tblOrdenes[[#This Row],[cod_actividad]]="","",_xlfn.XLOOKUP(tblOrdenes[[#This Row],[cod_actividad]],tblActividades[codigo],tblActividades[descripcion],"(sin catálogo)"))</f>
        <v/>
      </c>
      <c r="AA947" s="12">
        <f>IF(tblOrdenes[[#This Row],[fecha_inicio]]="","",TODAY()-tblOrdenes[[#This Row],[fecha_inicio]])</f>
        <v/>
      </c>
      <c r="AB9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3">
        <f>IF(tblOrdenes[[#This Row],[backlog_habiles]]="","",IF(tblOrdenes[[#This Row],[backlog_habiles]]&lt;0,"FUTURO",IF(tblOrdenes[[#This Row],[backlog_habiles]]&gt;p_dias_backlog_max,"BACKLOG","MES CORRIENTE")))</f>
        <v/>
      </c>
      <c r="AD947" s="3">
        <f>IF(tblOrdenes[[#This Row],[backlog_habiles]]="",FALSE,AND(tblOrdenes[[#This Row],[backlog_habiles]]&gt;p_dias_backlog_min,tblOrdenes[[#This Row],[backlog_habiles]]&lt;=p_dias_backlog_max))</f>
        <v/>
      </c>
      <c r="AE947" s="6" t="n"/>
      <c r="AF9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0">
        <f>IF(tblOrdenes[[#This Row],[orden]]="","",_xlfn.XLOOKUP(tblOrdenes[[#This Row],[id_operacion]],tblEjecucion[id_operacion],tblEjecucion[precio],0))</f>
        <v/>
      </c>
      <c r="AJ947" s="10">
        <f>IF(tblOrdenes[[#This Row],[orden]]="","",MAX(0,_xlfn.XLOOKUP(tblOrdenes[[#This Row],[id_operacion]],tblEjecucion[id_operacion],tblEjecucion[costo_plan_total],0)-tblOrdenes[[#This Row],[costo_servicio]]))</f>
        <v/>
      </c>
      <c r="AK947" s="10">
        <f>IF(tblOrdenes[[#This Row],[orden]]="","",tblOrdenes[[#This Row],[costo_servicio]]+tblOrdenes[[#This Row],[costo_materiales]])</f>
        <v/>
      </c>
      <c r="AL947" s="6" t="n"/>
      <c r="AM947" s="6" t="n"/>
      <c r="AN947" s="6" t="n"/>
      <c r="AO947" s="3">
        <f>IF(tblOrdenes[[#This Row],[link_checklist]]="","",HYPERLINK(p_ruta_base_checklists&amp;tblOrdenes[[#This Row],[link_checklist]],"abrir"))</f>
        <v/>
      </c>
      <c r="AP947" s="6" t="n"/>
      <c r="AQ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3">
        <f>IF(tblOrdenes[[#This Row],[tipo_ot]]="","",_xlfn.XLOOKUP(tblOrdenes[[#This Row],[tipo_ot]],tblTiposOT[codigo],tblTiposOT[clasificacion],"sin_clasificar"))</f>
        <v/>
      </c>
      <c r="U948" s="3">
        <f>IF(tblOrdenes[[#This Row],[centro_costo]]="","",_xlfn.XLOOKUP(tblOrdenes[[#This Row],[centro_costo]],tblCECO[codigo],tblCECO[linea],"(sin catálogo)"))</f>
        <v/>
      </c>
      <c r="V948" s="3">
        <f>IF(tblOrdenes[[#This Row],[centro_costo]]="","",_xlfn.XLOOKUP(tblOrdenes[[#This Row],[centro_costo]],tblCECO[codigo],tblCECO[area],"(sin catálogo)"))</f>
        <v/>
      </c>
      <c r="W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3">
        <f>IF(tblOrdenes[[#This Row],[centro_costo]]="","",_xlfn.XLOOKUP(tblOrdenes[[#This Row],[centro_costo]],tblCECO[codigo],tblCECO[coordinador],"(sin catálogo)"))</f>
        <v/>
      </c>
      <c r="Y948" s="3">
        <f>IF(tblOrdenes[[#This Row],[puesto_trabajo]]="","",_xlfn.XLOOKUP(tblOrdenes[[#This Row],[puesto_trabajo]],tblPuestos[codigo],tblPuestos[especialidad],"(sin catálogo)"))</f>
        <v/>
      </c>
      <c r="Z948" s="3">
        <f>IF(tblOrdenes[[#This Row],[cod_actividad]]="","",_xlfn.XLOOKUP(tblOrdenes[[#This Row],[cod_actividad]],tblActividades[codigo],tblActividades[descripcion],"(sin catálogo)"))</f>
        <v/>
      </c>
      <c r="AA948" s="12">
        <f>IF(tblOrdenes[[#This Row],[fecha_inicio]]="","",TODAY()-tblOrdenes[[#This Row],[fecha_inicio]])</f>
        <v/>
      </c>
      <c r="AB9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3">
        <f>IF(tblOrdenes[[#This Row],[backlog_habiles]]="","",IF(tblOrdenes[[#This Row],[backlog_habiles]]&lt;0,"FUTURO",IF(tblOrdenes[[#This Row],[backlog_habiles]]&gt;p_dias_backlog_max,"BACKLOG","MES CORRIENTE")))</f>
        <v/>
      </c>
      <c r="AD948" s="3">
        <f>IF(tblOrdenes[[#This Row],[backlog_habiles]]="",FALSE,AND(tblOrdenes[[#This Row],[backlog_habiles]]&gt;p_dias_backlog_min,tblOrdenes[[#This Row],[backlog_habiles]]&lt;=p_dias_backlog_max))</f>
        <v/>
      </c>
      <c r="AE948" s="6" t="n"/>
      <c r="AF9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0">
        <f>IF(tblOrdenes[[#This Row],[orden]]="","",_xlfn.XLOOKUP(tblOrdenes[[#This Row],[id_operacion]],tblEjecucion[id_operacion],tblEjecucion[precio],0))</f>
        <v/>
      </c>
      <c r="AJ948" s="10">
        <f>IF(tblOrdenes[[#This Row],[orden]]="","",MAX(0,_xlfn.XLOOKUP(tblOrdenes[[#This Row],[id_operacion]],tblEjecucion[id_operacion],tblEjecucion[costo_plan_total],0)-tblOrdenes[[#This Row],[costo_servicio]]))</f>
        <v/>
      </c>
      <c r="AK948" s="10">
        <f>IF(tblOrdenes[[#This Row],[orden]]="","",tblOrdenes[[#This Row],[costo_servicio]]+tblOrdenes[[#This Row],[costo_materiales]])</f>
        <v/>
      </c>
      <c r="AL948" s="6" t="n"/>
      <c r="AM948" s="6" t="n"/>
      <c r="AN948" s="6" t="n"/>
      <c r="AO948" s="3">
        <f>IF(tblOrdenes[[#This Row],[link_checklist]]="","",HYPERLINK(p_ruta_base_checklists&amp;tblOrdenes[[#This Row],[link_checklist]],"abrir"))</f>
        <v/>
      </c>
      <c r="AP948" s="6" t="n"/>
      <c r="AQ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3">
        <f>IF(tblOrdenes[[#This Row],[tipo_ot]]="","",_xlfn.XLOOKUP(tblOrdenes[[#This Row],[tipo_ot]],tblTiposOT[codigo],tblTiposOT[clasificacion],"sin_clasificar"))</f>
        <v/>
      </c>
      <c r="U949" s="3">
        <f>IF(tblOrdenes[[#This Row],[centro_costo]]="","",_xlfn.XLOOKUP(tblOrdenes[[#This Row],[centro_costo]],tblCECO[codigo],tblCECO[linea],"(sin catálogo)"))</f>
        <v/>
      </c>
      <c r="V949" s="3">
        <f>IF(tblOrdenes[[#This Row],[centro_costo]]="","",_xlfn.XLOOKUP(tblOrdenes[[#This Row],[centro_costo]],tblCECO[codigo],tblCECO[area],"(sin catálogo)"))</f>
        <v/>
      </c>
      <c r="W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3">
        <f>IF(tblOrdenes[[#This Row],[centro_costo]]="","",_xlfn.XLOOKUP(tblOrdenes[[#This Row],[centro_costo]],tblCECO[codigo],tblCECO[coordinador],"(sin catálogo)"))</f>
        <v/>
      </c>
      <c r="Y949" s="3">
        <f>IF(tblOrdenes[[#This Row],[puesto_trabajo]]="","",_xlfn.XLOOKUP(tblOrdenes[[#This Row],[puesto_trabajo]],tblPuestos[codigo],tblPuestos[especialidad],"(sin catálogo)"))</f>
        <v/>
      </c>
      <c r="Z949" s="3">
        <f>IF(tblOrdenes[[#This Row],[cod_actividad]]="","",_xlfn.XLOOKUP(tblOrdenes[[#This Row],[cod_actividad]],tblActividades[codigo],tblActividades[descripcion],"(sin catálogo)"))</f>
        <v/>
      </c>
      <c r="AA949" s="12">
        <f>IF(tblOrdenes[[#This Row],[fecha_inicio]]="","",TODAY()-tblOrdenes[[#This Row],[fecha_inicio]])</f>
        <v/>
      </c>
      <c r="AB9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3">
        <f>IF(tblOrdenes[[#This Row],[backlog_habiles]]="","",IF(tblOrdenes[[#This Row],[backlog_habiles]]&lt;0,"FUTURO",IF(tblOrdenes[[#This Row],[backlog_habiles]]&gt;p_dias_backlog_max,"BACKLOG","MES CORRIENTE")))</f>
        <v/>
      </c>
      <c r="AD949" s="3">
        <f>IF(tblOrdenes[[#This Row],[backlog_habiles]]="",FALSE,AND(tblOrdenes[[#This Row],[backlog_habiles]]&gt;p_dias_backlog_min,tblOrdenes[[#This Row],[backlog_habiles]]&lt;=p_dias_backlog_max))</f>
        <v/>
      </c>
      <c r="AE949" s="6" t="n"/>
      <c r="AF9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0">
        <f>IF(tblOrdenes[[#This Row],[orden]]="","",_xlfn.XLOOKUP(tblOrdenes[[#This Row],[id_operacion]],tblEjecucion[id_operacion],tblEjecucion[precio],0))</f>
        <v/>
      </c>
      <c r="AJ949" s="10">
        <f>IF(tblOrdenes[[#This Row],[orden]]="","",MAX(0,_xlfn.XLOOKUP(tblOrdenes[[#This Row],[id_operacion]],tblEjecucion[id_operacion],tblEjecucion[costo_plan_total],0)-tblOrdenes[[#This Row],[costo_servicio]]))</f>
        <v/>
      </c>
      <c r="AK949" s="10">
        <f>IF(tblOrdenes[[#This Row],[orden]]="","",tblOrdenes[[#This Row],[costo_servicio]]+tblOrdenes[[#This Row],[costo_materiales]])</f>
        <v/>
      </c>
      <c r="AL949" s="6" t="n"/>
      <c r="AM949" s="6" t="n"/>
      <c r="AN949" s="6" t="n"/>
      <c r="AO949" s="3">
        <f>IF(tblOrdenes[[#This Row],[link_checklist]]="","",HYPERLINK(p_ruta_base_checklists&amp;tblOrdenes[[#This Row],[link_checklist]],"abrir"))</f>
        <v/>
      </c>
      <c r="AP949" s="6" t="n"/>
      <c r="AQ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3">
        <f>IF(tblOrdenes[[#This Row],[tipo_ot]]="","",_xlfn.XLOOKUP(tblOrdenes[[#This Row],[tipo_ot]],tblTiposOT[codigo],tblTiposOT[clasificacion],"sin_clasificar"))</f>
        <v/>
      </c>
      <c r="U950" s="3">
        <f>IF(tblOrdenes[[#This Row],[centro_costo]]="","",_xlfn.XLOOKUP(tblOrdenes[[#This Row],[centro_costo]],tblCECO[codigo],tblCECO[linea],"(sin catálogo)"))</f>
        <v/>
      </c>
      <c r="V950" s="3">
        <f>IF(tblOrdenes[[#This Row],[centro_costo]]="","",_xlfn.XLOOKUP(tblOrdenes[[#This Row],[centro_costo]],tblCECO[codigo],tblCECO[area],"(sin catálogo)"))</f>
        <v/>
      </c>
      <c r="W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3">
        <f>IF(tblOrdenes[[#This Row],[centro_costo]]="","",_xlfn.XLOOKUP(tblOrdenes[[#This Row],[centro_costo]],tblCECO[codigo],tblCECO[coordinador],"(sin catálogo)"))</f>
        <v/>
      </c>
      <c r="Y950" s="3">
        <f>IF(tblOrdenes[[#This Row],[puesto_trabajo]]="","",_xlfn.XLOOKUP(tblOrdenes[[#This Row],[puesto_trabajo]],tblPuestos[codigo],tblPuestos[especialidad],"(sin catálogo)"))</f>
        <v/>
      </c>
      <c r="Z950" s="3">
        <f>IF(tblOrdenes[[#This Row],[cod_actividad]]="","",_xlfn.XLOOKUP(tblOrdenes[[#This Row],[cod_actividad]],tblActividades[codigo],tblActividades[descripcion],"(sin catálogo)"))</f>
        <v/>
      </c>
      <c r="AA950" s="12">
        <f>IF(tblOrdenes[[#This Row],[fecha_inicio]]="","",TODAY()-tblOrdenes[[#This Row],[fecha_inicio]])</f>
        <v/>
      </c>
      <c r="AB9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3">
        <f>IF(tblOrdenes[[#This Row],[backlog_habiles]]="","",IF(tblOrdenes[[#This Row],[backlog_habiles]]&lt;0,"FUTURO",IF(tblOrdenes[[#This Row],[backlog_habiles]]&gt;p_dias_backlog_max,"BACKLOG","MES CORRIENTE")))</f>
        <v/>
      </c>
      <c r="AD950" s="3">
        <f>IF(tblOrdenes[[#This Row],[backlog_habiles]]="",FALSE,AND(tblOrdenes[[#This Row],[backlog_habiles]]&gt;p_dias_backlog_min,tblOrdenes[[#This Row],[backlog_habiles]]&lt;=p_dias_backlog_max))</f>
        <v/>
      </c>
      <c r="AE950" s="6" t="n"/>
      <c r="AF9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0">
        <f>IF(tblOrdenes[[#This Row],[orden]]="","",_xlfn.XLOOKUP(tblOrdenes[[#This Row],[id_operacion]],tblEjecucion[id_operacion],tblEjecucion[precio],0))</f>
        <v/>
      </c>
      <c r="AJ950" s="10">
        <f>IF(tblOrdenes[[#This Row],[orden]]="","",MAX(0,_xlfn.XLOOKUP(tblOrdenes[[#This Row],[id_operacion]],tblEjecucion[id_operacion],tblEjecucion[costo_plan_total],0)-tblOrdenes[[#This Row],[costo_servicio]]))</f>
        <v/>
      </c>
      <c r="AK950" s="10">
        <f>IF(tblOrdenes[[#This Row],[orden]]="","",tblOrdenes[[#This Row],[costo_servicio]]+tblOrdenes[[#This Row],[costo_materiales]])</f>
        <v/>
      </c>
      <c r="AL950" s="6" t="n"/>
      <c r="AM950" s="6" t="n"/>
      <c r="AN950" s="6" t="n"/>
      <c r="AO950" s="3">
        <f>IF(tblOrdenes[[#This Row],[link_checklist]]="","",HYPERLINK(p_ruta_base_checklists&amp;tblOrdenes[[#This Row],[link_checklist]],"abrir"))</f>
        <v/>
      </c>
      <c r="AP950" s="6" t="n"/>
      <c r="AQ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3">
        <f>IF(tblOrdenes[[#This Row],[tipo_ot]]="","",_xlfn.XLOOKUP(tblOrdenes[[#This Row],[tipo_ot]],tblTiposOT[codigo],tblTiposOT[clasificacion],"sin_clasificar"))</f>
        <v/>
      </c>
      <c r="U951" s="3">
        <f>IF(tblOrdenes[[#This Row],[centro_costo]]="","",_xlfn.XLOOKUP(tblOrdenes[[#This Row],[centro_costo]],tblCECO[codigo],tblCECO[linea],"(sin catálogo)"))</f>
        <v/>
      </c>
      <c r="V951" s="3">
        <f>IF(tblOrdenes[[#This Row],[centro_costo]]="","",_xlfn.XLOOKUP(tblOrdenes[[#This Row],[centro_costo]],tblCECO[codigo],tblCECO[area],"(sin catálogo)"))</f>
        <v/>
      </c>
      <c r="W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3">
        <f>IF(tblOrdenes[[#This Row],[centro_costo]]="","",_xlfn.XLOOKUP(tblOrdenes[[#This Row],[centro_costo]],tblCECO[codigo],tblCECO[coordinador],"(sin catálogo)"))</f>
        <v/>
      </c>
      <c r="Y951" s="3">
        <f>IF(tblOrdenes[[#This Row],[puesto_trabajo]]="","",_xlfn.XLOOKUP(tblOrdenes[[#This Row],[puesto_trabajo]],tblPuestos[codigo],tblPuestos[especialidad],"(sin catálogo)"))</f>
        <v/>
      </c>
      <c r="Z951" s="3">
        <f>IF(tblOrdenes[[#This Row],[cod_actividad]]="","",_xlfn.XLOOKUP(tblOrdenes[[#This Row],[cod_actividad]],tblActividades[codigo],tblActividades[descripcion],"(sin catálogo)"))</f>
        <v/>
      </c>
      <c r="AA951" s="12">
        <f>IF(tblOrdenes[[#This Row],[fecha_inicio]]="","",TODAY()-tblOrdenes[[#This Row],[fecha_inicio]])</f>
        <v/>
      </c>
      <c r="AB9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3">
        <f>IF(tblOrdenes[[#This Row],[backlog_habiles]]="","",IF(tblOrdenes[[#This Row],[backlog_habiles]]&lt;0,"FUTURO",IF(tblOrdenes[[#This Row],[backlog_habiles]]&gt;p_dias_backlog_max,"BACKLOG","MES CORRIENTE")))</f>
        <v/>
      </c>
      <c r="AD951" s="3">
        <f>IF(tblOrdenes[[#This Row],[backlog_habiles]]="",FALSE,AND(tblOrdenes[[#This Row],[backlog_habiles]]&gt;p_dias_backlog_min,tblOrdenes[[#This Row],[backlog_habiles]]&lt;=p_dias_backlog_max))</f>
        <v/>
      </c>
      <c r="AE951" s="6" t="n"/>
      <c r="AF9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0">
        <f>IF(tblOrdenes[[#This Row],[orden]]="","",_xlfn.XLOOKUP(tblOrdenes[[#This Row],[id_operacion]],tblEjecucion[id_operacion],tblEjecucion[precio],0))</f>
        <v/>
      </c>
      <c r="AJ951" s="10">
        <f>IF(tblOrdenes[[#This Row],[orden]]="","",MAX(0,_xlfn.XLOOKUP(tblOrdenes[[#This Row],[id_operacion]],tblEjecucion[id_operacion],tblEjecucion[costo_plan_total],0)-tblOrdenes[[#This Row],[costo_servicio]]))</f>
        <v/>
      </c>
      <c r="AK951" s="10">
        <f>IF(tblOrdenes[[#This Row],[orden]]="","",tblOrdenes[[#This Row],[costo_servicio]]+tblOrdenes[[#This Row],[costo_materiales]])</f>
        <v/>
      </c>
      <c r="AL951" s="6" t="n"/>
      <c r="AM951" s="6" t="n"/>
      <c r="AN951" s="6" t="n"/>
      <c r="AO951" s="3">
        <f>IF(tblOrdenes[[#This Row],[link_checklist]]="","",HYPERLINK(p_ruta_base_checklists&amp;tblOrdenes[[#This Row],[link_checklist]],"abrir"))</f>
        <v/>
      </c>
      <c r="AP951" s="6" t="n"/>
      <c r="AQ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3">
        <f>IF(tblOrdenes[[#This Row],[tipo_ot]]="","",_xlfn.XLOOKUP(tblOrdenes[[#This Row],[tipo_ot]],tblTiposOT[codigo],tblTiposOT[clasificacion],"sin_clasificar"))</f>
        <v/>
      </c>
      <c r="U952" s="3">
        <f>IF(tblOrdenes[[#This Row],[centro_costo]]="","",_xlfn.XLOOKUP(tblOrdenes[[#This Row],[centro_costo]],tblCECO[codigo],tblCECO[linea],"(sin catálogo)"))</f>
        <v/>
      </c>
      <c r="V952" s="3">
        <f>IF(tblOrdenes[[#This Row],[centro_costo]]="","",_xlfn.XLOOKUP(tblOrdenes[[#This Row],[centro_costo]],tblCECO[codigo],tblCECO[area],"(sin catálogo)"))</f>
        <v/>
      </c>
      <c r="W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3">
        <f>IF(tblOrdenes[[#This Row],[centro_costo]]="","",_xlfn.XLOOKUP(tblOrdenes[[#This Row],[centro_costo]],tblCECO[codigo],tblCECO[coordinador],"(sin catálogo)"))</f>
        <v/>
      </c>
      <c r="Y952" s="3">
        <f>IF(tblOrdenes[[#This Row],[puesto_trabajo]]="","",_xlfn.XLOOKUP(tblOrdenes[[#This Row],[puesto_trabajo]],tblPuestos[codigo],tblPuestos[especialidad],"(sin catálogo)"))</f>
        <v/>
      </c>
      <c r="Z952" s="3">
        <f>IF(tblOrdenes[[#This Row],[cod_actividad]]="","",_xlfn.XLOOKUP(tblOrdenes[[#This Row],[cod_actividad]],tblActividades[codigo],tblActividades[descripcion],"(sin catálogo)"))</f>
        <v/>
      </c>
      <c r="AA952" s="12">
        <f>IF(tblOrdenes[[#This Row],[fecha_inicio]]="","",TODAY()-tblOrdenes[[#This Row],[fecha_inicio]])</f>
        <v/>
      </c>
      <c r="AB9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3">
        <f>IF(tblOrdenes[[#This Row],[backlog_habiles]]="","",IF(tblOrdenes[[#This Row],[backlog_habiles]]&lt;0,"FUTURO",IF(tblOrdenes[[#This Row],[backlog_habiles]]&gt;p_dias_backlog_max,"BACKLOG","MES CORRIENTE")))</f>
        <v/>
      </c>
      <c r="AD952" s="3">
        <f>IF(tblOrdenes[[#This Row],[backlog_habiles]]="",FALSE,AND(tblOrdenes[[#This Row],[backlog_habiles]]&gt;p_dias_backlog_min,tblOrdenes[[#This Row],[backlog_habiles]]&lt;=p_dias_backlog_max))</f>
        <v/>
      </c>
      <c r="AE952" s="6" t="n"/>
      <c r="AF9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0">
        <f>IF(tblOrdenes[[#This Row],[orden]]="","",_xlfn.XLOOKUP(tblOrdenes[[#This Row],[id_operacion]],tblEjecucion[id_operacion],tblEjecucion[precio],0))</f>
        <v/>
      </c>
      <c r="AJ952" s="10">
        <f>IF(tblOrdenes[[#This Row],[orden]]="","",MAX(0,_xlfn.XLOOKUP(tblOrdenes[[#This Row],[id_operacion]],tblEjecucion[id_operacion],tblEjecucion[costo_plan_total],0)-tblOrdenes[[#This Row],[costo_servicio]]))</f>
        <v/>
      </c>
      <c r="AK952" s="10">
        <f>IF(tblOrdenes[[#This Row],[orden]]="","",tblOrdenes[[#This Row],[costo_servicio]]+tblOrdenes[[#This Row],[costo_materiales]])</f>
        <v/>
      </c>
      <c r="AL952" s="6" t="n"/>
      <c r="AM952" s="6" t="n"/>
      <c r="AN952" s="6" t="n"/>
      <c r="AO952" s="3">
        <f>IF(tblOrdenes[[#This Row],[link_checklist]]="","",HYPERLINK(p_ruta_base_checklists&amp;tblOrdenes[[#This Row],[link_checklist]],"abrir"))</f>
        <v/>
      </c>
      <c r="AP952" s="6" t="n"/>
      <c r="AQ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3">
        <f>IF(tblOrdenes[[#This Row],[tipo_ot]]="","",_xlfn.XLOOKUP(tblOrdenes[[#This Row],[tipo_ot]],tblTiposOT[codigo],tblTiposOT[clasificacion],"sin_clasificar"))</f>
        <v/>
      </c>
      <c r="U953" s="3">
        <f>IF(tblOrdenes[[#This Row],[centro_costo]]="","",_xlfn.XLOOKUP(tblOrdenes[[#This Row],[centro_costo]],tblCECO[codigo],tblCECO[linea],"(sin catálogo)"))</f>
        <v/>
      </c>
      <c r="V953" s="3">
        <f>IF(tblOrdenes[[#This Row],[centro_costo]]="","",_xlfn.XLOOKUP(tblOrdenes[[#This Row],[centro_costo]],tblCECO[codigo],tblCECO[area],"(sin catálogo)"))</f>
        <v/>
      </c>
      <c r="W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3">
        <f>IF(tblOrdenes[[#This Row],[centro_costo]]="","",_xlfn.XLOOKUP(tblOrdenes[[#This Row],[centro_costo]],tblCECO[codigo],tblCECO[coordinador],"(sin catálogo)"))</f>
        <v/>
      </c>
      <c r="Y953" s="3">
        <f>IF(tblOrdenes[[#This Row],[puesto_trabajo]]="","",_xlfn.XLOOKUP(tblOrdenes[[#This Row],[puesto_trabajo]],tblPuestos[codigo],tblPuestos[especialidad],"(sin catálogo)"))</f>
        <v/>
      </c>
      <c r="Z953" s="3">
        <f>IF(tblOrdenes[[#This Row],[cod_actividad]]="","",_xlfn.XLOOKUP(tblOrdenes[[#This Row],[cod_actividad]],tblActividades[codigo],tblActividades[descripcion],"(sin catálogo)"))</f>
        <v/>
      </c>
      <c r="AA953" s="12">
        <f>IF(tblOrdenes[[#This Row],[fecha_inicio]]="","",TODAY()-tblOrdenes[[#This Row],[fecha_inicio]])</f>
        <v/>
      </c>
      <c r="AB9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3">
        <f>IF(tblOrdenes[[#This Row],[backlog_habiles]]="","",IF(tblOrdenes[[#This Row],[backlog_habiles]]&lt;0,"FUTURO",IF(tblOrdenes[[#This Row],[backlog_habiles]]&gt;p_dias_backlog_max,"BACKLOG","MES CORRIENTE")))</f>
        <v/>
      </c>
      <c r="AD953" s="3">
        <f>IF(tblOrdenes[[#This Row],[backlog_habiles]]="",FALSE,AND(tblOrdenes[[#This Row],[backlog_habiles]]&gt;p_dias_backlog_min,tblOrdenes[[#This Row],[backlog_habiles]]&lt;=p_dias_backlog_max))</f>
        <v/>
      </c>
      <c r="AE953" s="6" t="n"/>
      <c r="AF9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0">
        <f>IF(tblOrdenes[[#This Row],[orden]]="","",_xlfn.XLOOKUP(tblOrdenes[[#This Row],[id_operacion]],tblEjecucion[id_operacion],tblEjecucion[precio],0))</f>
        <v/>
      </c>
      <c r="AJ953" s="10">
        <f>IF(tblOrdenes[[#This Row],[orden]]="","",MAX(0,_xlfn.XLOOKUP(tblOrdenes[[#This Row],[id_operacion]],tblEjecucion[id_operacion],tblEjecucion[costo_plan_total],0)-tblOrdenes[[#This Row],[costo_servicio]]))</f>
        <v/>
      </c>
      <c r="AK953" s="10">
        <f>IF(tblOrdenes[[#This Row],[orden]]="","",tblOrdenes[[#This Row],[costo_servicio]]+tblOrdenes[[#This Row],[costo_materiales]])</f>
        <v/>
      </c>
      <c r="AL953" s="6" t="n"/>
      <c r="AM953" s="6" t="n"/>
      <c r="AN953" s="6" t="n"/>
      <c r="AO953" s="3">
        <f>IF(tblOrdenes[[#This Row],[link_checklist]]="","",HYPERLINK(p_ruta_base_checklists&amp;tblOrdenes[[#This Row],[link_checklist]],"abrir"))</f>
        <v/>
      </c>
      <c r="AP953" s="6" t="n"/>
      <c r="AQ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3">
        <f>IF(tblOrdenes[[#This Row],[tipo_ot]]="","",_xlfn.XLOOKUP(tblOrdenes[[#This Row],[tipo_ot]],tblTiposOT[codigo],tblTiposOT[clasificacion],"sin_clasificar"))</f>
        <v/>
      </c>
      <c r="U954" s="3">
        <f>IF(tblOrdenes[[#This Row],[centro_costo]]="","",_xlfn.XLOOKUP(tblOrdenes[[#This Row],[centro_costo]],tblCECO[codigo],tblCECO[linea],"(sin catálogo)"))</f>
        <v/>
      </c>
      <c r="V954" s="3">
        <f>IF(tblOrdenes[[#This Row],[centro_costo]]="","",_xlfn.XLOOKUP(tblOrdenes[[#This Row],[centro_costo]],tblCECO[codigo],tblCECO[area],"(sin catálogo)"))</f>
        <v/>
      </c>
      <c r="W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3">
        <f>IF(tblOrdenes[[#This Row],[centro_costo]]="","",_xlfn.XLOOKUP(tblOrdenes[[#This Row],[centro_costo]],tblCECO[codigo],tblCECO[coordinador],"(sin catálogo)"))</f>
        <v/>
      </c>
      <c r="Y954" s="3">
        <f>IF(tblOrdenes[[#This Row],[puesto_trabajo]]="","",_xlfn.XLOOKUP(tblOrdenes[[#This Row],[puesto_trabajo]],tblPuestos[codigo],tblPuestos[especialidad],"(sin catálogo)"))</f>
        <v/>
      </c>
      <c r="Z954" s="3">
        <f>IF(tblOrdenes[[#This Row],[cod_actividad]]="","",_xlfn.XLOOKUP(tblOrdenes[[#This Row],[cod_actividad]],tblActividades[codigo],tblActividades[descripcion],"(sin catálogo)"))</f>
        <v/>
      </c>
      <c r="AA954" s="12">
        <f>IF(tblOrdenes[[#This Row],[fecha_inicio]]="","",TODAY()-tblOrdenes[[#This Row],[fecha_inicio]])</f>
        <v/>
      </c>
      <c r="AB9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3">
        <f>IF(tblOrdenes[[#This Row],[backlog_habiles]]="","",IF(tblOrdenes[[#This Row],[backlog_habiles]]&lt;0,"FUTURO",IF(tblOrdenes[[#This Row],[backlog_habiles]]&gt;p_dias_backlog_max,"BACKLOG","MES CORRIENTE")))</f>
        <v/>
      </c>
      <c r="AD954" s="3">
        <f>IF(tblOrdenes[[#This Row],[backlog_habiles]]="",FALSE,AND(tblOrdenes[[#This Row],[backlog_habiles]]&gt;p_dias_backlog_min,tblOrdenes[[#This Row],[backlog_habiles]]&lt;=p_dias_backlog_max))</f>
        <v/>
      </c>
      <c r="AE954" s="6" t="n"/>
      <c r="AF9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0">
        <f>IF(tblOrdenes[[#This Row],[orden]]="","",_xlfn.XLOOKUP(tblOrdenes[[#This Row],[id_operacion]],tblEjecucion[id_operacion],tblEjecucion[precio],0))</f>
        <v/>
      </c>
      <c r="AJ954" s="10">
        <f>IF(tblOrdenes[[#This Row],[orden]]="","",MAX(0,_xlfn.XLOOKUP(tblOrdenes[[#This Row],[id_operacion]],tblEjecucion[id_operacion],tblEjecucion[costo_plan_total],0)-tblOrdenes[[#This Row],[costo_servicio]]))</f>
        <v/>
      </c>
      <c r="AK954" s="10">
        <f>IF(tblOrdenes[[#This Row],[orden]]="","",tblOrdenes[[#This Row],[costo_servicio]]+tblOrdenes[[#This Row],[costo_materiales]])</f>
        <v/>
      </c>
      <c r="AL954" s="6" t="n"/>
      <c r="AM954" s="6" t="n"/>
      <c r="AN954" s="6" t="n"/>
      <c r="AO954" s="3">
        <f>IF(tblOrdenes[[#This Row],[link_checklist]]="","",HYPERLINK(p_ruta_base_checklists&amp;tblOrdenes[[#This Row],[link_checklist]],"abrir"))</f>
        <v/>
      </c>
      <c r="AP954" s="6" t="n"/>
      <c r="AQ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3">
        <f>IF(tblOrdenes[[#This Row],[tipo_ot]]="","",_xlfn.XLOOKUP(tblOrdenes[[#This Row],[tipo_ot]],tblTiposOT[codigo],tblTiposOT[clasificacion],"sin_clasificar"))</f>
        <v/>
      </c>
      <c r="U955" s="3">
        <f>IF(tblOrdenes[[#This Row],[centro_costo]]="","",_xlfn.XLOOKUP(tblOrdenes[[#This Row],[centro_costo]],tblCECO[codigo],tblCECO[linea],"(sin catálogo)"))</f>
        <v/>
      </c>
      <c r="V955" s="3">
        <f>IF(tblOrdenes[[#This Row],[centro_costo]]="","",_xlfn.XLOOKUP(tblOrdenes[[#This Row],[centro_costo]],tblCECO[codigo],tblCECO[area],"(sin catálogo)"))</f>
        <v/>
      </c>
      <c r="W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3">
        <f>IF(tblOrdenes[[#This Row],[centro_costo]]="","",_xlfn.XLOOKUP(tblOrdenes[[#This Row],[centro_costo]],tblCECO[codigo],tblCECO[coordinador],"(sin catálogo)"))</f>
        <v/>
      </c>
      <c r="Y955" s="3">
        <f>IF(tblOrdenes[[#This Row],[puesto_trabajo]]="","",_xlfn.XLOOKUP(tblOrdenes[[#This Row],[puesto_trabajo]],tblPuestos[codigo],tblPuestos[especialidad],"(sin catálogo)"))</f>
        <v/>
      </c>
      <c r="Z955" s="3">
        <f>IF(tblOrdenes[[#This Row],[cod_actividad]]="","",_xlfn.XLOOKUP(tblOrdenes[[#This Row],[cod_actividad]],tblActividades[codigo],tblActividades[descripcion],"(sin catálogo)"))</f>
        <v/>
      </c>
      <c r="AA955" s="12">
        <f>IF(tblOrdenes[[#This Row],[fecha_inicio]]="","",TODAY()-tblOrdenes[[#This Row],[fecha_inicio]])</f>
        <v/>
      </c>
      <c r="AB9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3">
        <f>IF(tblOrdenes[[#This Row],[backlog_habiles]]="","",IF(tblOrdenes[[#This Row],[backlog_habiles]]&lt;0,"FUTURO",IF(tblOrdenes[[#This Row],[backlog_habiles]]&gt;p_dias_backlog_max,"BACKLOG","MES CORRIENTE")))</f>
        <v/>
      </c>
      <c r="AD955" s="3">
        <f>IF(tblOrdenes[[#This Row],[backlog_habiles]]="",FALSE,AND(tblOrdenes[[#This Row],[backlog_habiles]]&gt;p_dias_backlog_min,tblOrdenes[[#This Row],[backlog_habiles]]&lt;=p_dias_backlog_max))</f>
        <v/>
      </c>
      <c r="AE955" s="6" t="n"/>
      <c r="AF9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0">
        <f>IF(tblOrdenes[[#This Row],[orden]]="","",_xlfn.XLOOKUP(tblOrdenes[[#This Row],[id_operacion]],tblEjecucion[id_operacion],tblEjecucion[precio],0))</f>
        <v/>
      </c>
      <c r="AJ955" s="10">
        <f>IF(tblOrdenes[[#This Row],[orden]]="","",MAX(0,_xlfn.XLOOKUP(tblOrdenes[[#This Row],[id_operacion]],tblEjecucion[id_operacion],tblEjecucion[costo_plan_total],0)-tblOrdenes[[#This Row],[costo_servicio]]))</f>
        <v/>
      </c>
      <c r="AK955" s="10">
        <f>IF(tblOrdenes[[#This Row],[orden]]="","",tblOrdenes[[#This Row],[costo_servicio]]+tblOrdenes[[#This Row],[costo_materiales]])</f>
        <v/>
      </c>
      <c r="AL955" s="6" t="n"/>
      <c r="AM955" s="6" t="n"/>
      <c r="AN955" s="6" t="n"/>
      <c r="AO955" s="3">
        <f>IF(tblOrdenes[[#This Row],[link_checklist]]="","",HYPERLINK(p_ruta_base_checklists&amp;tblOrdenes[[#This Row],[link_checklist]],"abrir"))</f>
        <v/>
      </c>
      <c r="AP955" s="6" t="n"/>
      <c r="AQ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3">
        <f>IF(tblOrdenes[[#This Row],[tipo_ot]]="","",_xlfn.XLOOKUP(tblOrdenes[[#This Row],[tipo_ot]],tblTiposOT[codigo],tblTiposOT[clasificacion],"sin_clasificar"))</f>
        <v/>
      </c>
      <c r="U956" s="3">
        <f>IF(tblOrdenes[[#This Row],[centro_costo]]="","",_xlfn.XLOOKUP(tblOrdenes[[#This Row],[centro_costo]],tblCECO[codigo],tblCECO[linea],"(sin catálogo)"))</f>
        <v/>
      </c>
      <c r="V956" s="3">
        <f>IF(tblOrdenes[[#This Row],[centro_costo]]="","",_xlfn.XLOOKUP(tblOrdenes[[#This Row],[centro_costo]],tblCECO[codigo],tblCECO[area],"(sin catálogo)"))</f>
        <v/>
      </c>
      <c r="W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3">
        <f>IF(tblOrdenes[[#This Row],[centro_costo]]="","",_xlfn.XLOOKUP(tblOrdenes[[#This Row],[centro_costo]],tblCECO[codigo],tblCECO[coordinador],"(sin catálogo)"))</f>
        <v/>
      </c>
      <c r="Y956" s="3">
        <f>IF(tblOrdenes[[#This Row],[puesto_trabajo]]="","",_xlfn.XLOOKUP(tblOrdenes[[#This Row],[puesto_trabajo]],tblPuestos[codigo],tblPuestos[especialidad],"(sin catálogo)"))</f>
        <v/>
      </c>
      <c r="Z956" s="3">
        <f>IF(tblOrdenes[[#This Row],[cod_actividad]]="","",_xlfn.XLOOKUP(tblOrdenes[[#This Row],[cod_actividad]],tblActividades[codigo],tblActividades[descripcion],"(sin catálogo)"))</f>
        <v/>
      </c>
      <c r="AA956" s="12">
        <f>IF(tblOrdenes[[#This Row],[fecha_inicio]]="","",TODAY()-tblOrdenes[[#This Row],[fecha_inicio]])</f>
        <v/>
      </c>
      <c r="AB9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3">
        <f>IF(tblOrdenes[[#This Row],[backlog_habiles]]="","",IF(tblOrdenes[[#This Row],[backlog_habiles]]&lt;0,"FUTURO",IF(tblOrdenes[[#This Row],[backlog_habiles]]&gt;p_dias_backlog_max,"BACKLOG","MES CORRIENTE")))</f>
        <v/>
      </c>
      <c r="AD956" s="3">
        <f>IF(tblOrdenes[[#This Row],[backlog_habiles]]="",FALSE,AND(tblOrdenes[[#This Row],[backlog_habiles]]&gt;p_dias_backlog_min,tblOrdenes[[#This Row],[backlog_habiles]]&lt;=p_dias_backlog_max))</f>
        <v/>
      </c>
      <c r="AE956" s="6" t="n"/>
      <c r="AF9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0">
        <f>IF(tblOrdenes[[#This Row],[orden]]="","",_xlfn.XLOOKUP(tblOrdenes[[#This Row],[id_operacion]],tblEjecucion[id_operacion],tblEjecucion[precio],0))</f>
        <v/>
      </c>
      <c r="AJ956" s="10">
        <f>IF(tblOrdenes[[#This Row],[orden]]="","",MAX(0,_xlfn.XLOOKUP(tblOrdenes[[#This Row],[id_operacion]],tblEjecucion[id_operacion],tblEjecucion[costo_plan_total],0)-tblOrdenes[[#This Row],[costo_servicio]]))</f>
        <v/>
      </c>
      <c r="AK956" s="10">
        <f>IF(tblOrdenes[[#This Row],[orden]]="","",tblOrdenes[[#This Row],[costo_servicio]]+tblOrdenes[[#This Row],[costo_materiales]])</f>
        <v/>
      </c>
      <c r="AL956" s="6" t="n"/>
      <c r="AM956" s="6" t="n"/>
      <c r="AN956" s="6" t="n"/>
      <c r="AO956" s="3">
        <f>IF(tblOrdenes[[#This Row],[link_checklist]]="","",HYPERLINK(p_ruta_base_checklists&amp;tblOrdenes[[#This Row],[link_checklist]],"abrir"))</f>
        <v/>
      </c>
      <c r="AP956" s="6" t="n"/>
      <c r="AQ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3">
        <f>IF(tblOrdenes[[#This Row],[tipo_ot]]="","",_xlfn.XLOOKUP(tblOrdenes[[#This Row],[tipo_ot]],tblTiposOT[codigo],tblTiposOT[clasificacion],"sin_clasificar"))</f>
        <v/>
      </c>
      <c r="U957" s="3">
        <f>IF(tblOrdenes[[#This Row],[centro_costo]]="","",_xlfn.XLOOKUP(tblOrdenes[[#This Row],[centro_costo]],tblCECO[codigo],tblCECO[linea],"(sin catálogo)"))</f>
        <v/>
      </c>
      <c r="V957" s="3">
        <f>IF(tblOrdenes[[#This Row],[centro_costo]]="","",_xlfn.XLOOKUP(tblOrdenes[[#This Row],[centro_costo]],tblCECO[codigo],tblCECO[area],"(sin catálogo)"))</f>
        <v/>
      </c>
      <c r="W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3">
        <f>IF(tblOrdenes[[#This Row],[centro_costo]]="","",_xlfn.XLOOKUP(tblOrdenes[[#This Row],[centro_costo]],tblCECO[codigo],tblCECO[coordinador],"(sin catálogo)"))</f>
        <v/>
      </c>
      <c r="Y957" s="3">
        <f>IF(tblOrdenes[[#This Row],[puesto_trabajo]]="","",_xlfn.XLOOKUP(tblOrdenes[[#This Row],[puesto_trabajo]],tblPuestos[codigo],tblPuestos[especialidad],"(sin catálogo)"))</f>
        <v/>
      </c>
      <c r="Z957" s="3">
        <f>IF(tblOrdenes[[#This Row],[cod_actividad]]="","",_xlfn.XLOOKUP(tblOrdenes[[#This Row],[cod_actividad]],tblActividades[codigo],tblActividades[descripcion],"(sin catálogo)"))</f>
        <v/>
      </c>
      <c r="AA957" s="12">
        <f>IF(tblOrdenes[[#This Row],[fecha_inicio]]="","",TODAY()-tblOrdenes[[#This Row],[fecha_inicio]])</f>
        <v/>
      </c>
      <c r="AB9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3">
        <f>IF(tblOrdenes[[#This Row],[backlog_habiles]]="","",IF(tblOrdenes[[#This Row],[backlog_habiles]]&lt;0,"FUTURO",IF(tblOrdenes[[#This Row],[backlog_habiles]]&gt;p_dias_backlog_max,"BACKLOG","MES CORRIENTE")))</f>
        <v/>
      </c>
      <c r="AD957" s="3">
        <f>IF(tblOrdenes[[#This Row],[backlog_habiles]]="",FALSE,AND(tblOrdenes[[#This Row],[backlog_habiles]]&gt;p_dias_backlog_min,tblOrdenes[[#This Row],[backlog_habiles]]&lt;=p_dias_backlog_max))</f>
        <v/>
      </c>
      <c r="AE957" s="6" t="n"/>
      <c r="AF9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0">
        <f>IF(tblOrdenes[[#This Row],[orden]]="","",_xlfn.XLOOKUP(tblOrdenes[[#This Row],[id_operacion]],tblEjecucion[id_operacion],tblEjecucion[precio],0))</f>
        <v/>
      </c>
      <c r="AJ957" s="10">
        <f>IF(tblOrdenes[[#This Row],[orden]]="","",MAX(0,_xlfn.XLOOKUP(tblOrdenes[[#This Row],[id_operacion]],tblEjecucion[id_operacion],tblEjecucion[costo_plan_total],0)-tblOrdenes[[#This Row],[costo_servicio]]))</f>
        <v/>
      </c>
      <c r="AK957" s="10">
        <f>IF(tblOrdenes[[#This Row],[orden]]="","",tblOrdenes[[#This Row],[costo_servicio]]+tblOrdenes[[#This Row],[costo_materiales]])</f>
        <v/>
      </c>
      <c r="AL957" s="6" t="n"/>
      <c r="AM957" s="6" t="n"/>
      <c r="AN957" s="6" t="n"/>
      <c r="AO957" s="3">
        <f>IF(tblOrdenes[[#This Row],[link_checklist]]="","",HYPERLINK(p_ruta_base_checklists&amp;tblOrdenes[[#This Row],[link_checklist]],"abrir"))</f>
        <v/>
      </c>
      <c r="AP957" s="6" t="n"/>
      <c r="AQ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3">
        <f>IF(tblOrdenes[[#This Row],[tipo_ot]]="","",_xlfn.XLOOKUP(tblOrdenes[[#This Row],[tipo_ot]],tblTiposOT[codigo],tblTiposOT[clasificacion],"sin_clasificar"))</f>
        <v/>
      </c>
      <c r="U958" s="3">
        <f>IF(tblOrdenes[[#This Row],[centro_costo]]="","",_xlfn.XLOOKUP(tblOrdenes[[#This Row],[centro_costo]],tblCECO[codigo],tblCECO[linea],"(sin catálogo)"))</f>
        <v/>
      </c>
      <c r="V958" s="3">
        <f>IF(tblOrdenes[[#This Row],[centro_costo]]="","",_xlfn.XLOOKUP(tblOrdenes[[#This Row],[centro_costo]],tblCECO[codigo],tblCECO[area],"(sin catálogo)"))</f>
        <v/>
      </c>
      <c r="W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3">
        <f>IF(tblOrdenes[[#This Row],[centro_costo]]="","",_xlfn.XLOOKUP(tblOrdenes[[#This Row],[centro_costo]],tblCECO[codigo],tblCECO[coordinador],"(sin catálogo)"))</f>
        <v/>
      </c>
      <c r="Y958" s="3">
        <f>IF(tblOrdenes[[#This Row],[puesto_trabajo]]="","",_xlfn.XLOOKUP(tblOrdenes[[#This Row],[puesto_trabajo]],tblPuestos[codigo],tblPuestos[especialidad],"(sin catálogo)"))</f>
        <v/>
      </c>
      <c r="Z958" s="3">
        <f>IF(tblOrdenes[[#This Row],[cod_actividad]]="","",_xlfn.XLOOKUP(tblOrdenes[[#This Row],[cod_actividad]],tblActividades[codigo],tblActividades[descripcion],"(sin catálogo)"))</f>
        <v/>
      </c>
      <c r="AA958" s="12">
        <f>IF(tblOrdenes[[#This Row],[fecha_inicio]]="","",TODAY()-tblOrdenes[[#This Row],[fecha_inicio]])</f>
        <v/>
      </c>
      <c r="AB9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3">
        <f>IF(tblOrdenes[[#This Row],[backlog_habiles]]="","",IF(tblOrdenes[[#This Row],[backlog_habiles]]&lt;0,"FUTURO",IF(tblOrdenes[[#This Row],[backlog_habiles]]&gt;p_dias_backlog_max,"BACKLOG","MES CORRIENTE")))</f>
        <v/>
      </c>
      <c r="AD958" s="3">
        <f>IF(tblOrdenes[[#This Row],[backlog_habiles]]="",FALSE,AND(tblOrdenes[[#This Row],[backlog_habiles]]&gt;p_dias_backlog_min,tblOrdenes[[#This Row],[backlog_habiles]]&lt;=p_dias_backlog_max))</f>
        <v/>
      </c>
      <c r="AE958" s="6" t="n"/>
      <c r="AF9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0">
        <f>IF(tblOrdenes[[#This Row],[orden]]="","",_xlfn.XLOOKUP(tblOrdenes[[#This Row],[id_operacion]],tblEjecucion[id_operacion],tblEjecucion[precio],0))</f>
        <v/>
      </c>
      <c r="AJ958" s="10">
        <f>IF(tblOrdenes[[#This Row],[orden]]="","",MAX(0,_xlfn.XLOOKUP(tblOrdenes[[#This Row],[id_operacion]],tblEjecucion[id_operacion],tblEjecucion[costo_plan_total],0)-tblOrdenes[[#This Row],[costo_servicio]]))</f>
        <v/>
      </c>
      <c r="AK958" s="10">
        <f>IF(tblOrdenes[[#This Row],[orden]]="","",tblOrdenes[[#This Row],[costo_servicio]]+tblOrdenes[[#This Row],[costo_materiales]])</f>
        <v/>
      </c>
      <c r="AL958" s="6" t="n"/>
      <c r="AM958" s="6" t="n"/>
      <c r="AN958" s="6" t="n"/>
      <c r="AO958" s="3">
        <f>IF(tblOrdenes[[#This Row],[link_checklist]]="","",HYPERLINK(p_ruta_base_checklists&amp;tblOrdenes[[#This Row],[link_checklist]],"abrir"))</f>
        <v/>
      </c>
      <c r="AP958" s="6" t="n"/>
      <c r="AQ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3">
        <f>IF(tblOrdenes[[#This Row],[tipo_ot]]="","",_xlfn.XLOOKUP(tblOrdenes[[#This Row],[tipo_ot]],tblTiposOT[codigo],tblTiposOT[clasificacion],"sin_clasificar"))</f>
        <v/>
      </c>
      <c r="U959" s="3">
        <f>IF(tblOrdenes[[#This Row],[centro_costo]]="","",_xlfn.XLOOKUP(tblOrdenes[[#This Row],[centro_costo]],tblCECO[codigo],tblCECO[linea],"(sin catálogo)"))</f>
        <v/>
      </c>
      <c r="V959" s="3">
        <f>IF(tblOrdenes[[#This Row],[centro_costo]]="","",_xlfn.XLOOKUP(tblOrdenes[[#This Row],[centro_costo]],tblCECO[codigo],tblCECO[area],"(sin catálogo)"))</f>
        <v/>
      </c>
      <c r="W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3">
        <f>IF(tblOrdenes[[#This Row],[centro_costo]]="","",_xlfn.XLOOKUP(tblOrdenes[[#This Row],[centro_costo]],tblCECO[codigo],tblCECO[coordinador],"(sin catálogo)"))</f>
        <v/>
      </c>
      <c r="Y959" s="3">
        <f>IF(tblOrdenes[[#This Row],[puesto_trabajo]]="","",_xlfn.XLOOKUP(tblOrdenes[[#This Row],[puesto_trabajo]],tblPuestos[codigo],tblPuestos[especialidad],"(sin catálogo)"))</f>
        <v/>
      </c>
      <c r="Z959" s="3">
        <f>IF(tblOrdenes[[#This Row],[cod_actividad]]="","",_xlfn.XLOOKUP(tblOrdenes[[#This Row],[cod_actividad]],tblActividades[codigo],tblActividades[descripcion],"(sin catálogo)"))</f>
        <v/>
      </c>
      <c r="AA959" s="12">
        <f>IF(tblOrdenes[[#This Row],[fecha_inicio]]="","",TODAY()-tblOrdenes[[#This Row],[fecha_inicio]])</f>
        <v/>
      </c>
      <c r="AB9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3">
        <f>IF(tblOrdenes[[#This Row],[backlog_habiles]]="","",IF(tblOrdenes[[#This Row],[backlog_habiles]]&lt;0,"FUTURO",IF(tblOrdenes[[#This Row],[backlog_habiles]]&gt;p_dias_backlog_max,"BACKLOG","MES CORRIENTE")))</f>
        <v/>
      </c>
      <c r="AD959" s="3">
        <f>IF(tblOrdenes[[#This Row],[backlog_habiles]]="",FALSE,AND(tblOrdenes[[#This Row],[backlog_habiles]]&gt;p_dias_backlog_min,tblOrdenes[[#This Row],[backlog_habiles]]&lt;=p_dias_backlog_max))</f>
        <v/>
      </c>
      <c r="AE959" s="6" t="n"/>
      <c r="AF9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0">
        <f>IF(tblOrdenes[[#This Row],[orden]]="","",_xlfn.XLOOKUP(tblOrdenes[[#This Row],[id_operacion]],tblEjecucion[id_operacion],tblEjecucion[precio],0))</f>
        <v/>
      </c>
      <c r="AJ959" s="10">
        <f>IF(tblOrdenes[[#This Row],[orden]]="","",MAX(0,_xlfn.XLOOKUP(tblOrdenes[[#This Row],[id_operacion]],tblEjecucion[id_operacion],tblEjecucion[costo_plan_total],0)-tblOrdenes[[#This Row],[costo_servicio]]))</f>
        <v/>
      </c>
      <c r="AK959" s="10">
        <f>IF(tblOrdenes[[#This Row],[orden]]="","",tblOrdenes[[#This Row],[costo_servicio]]+tblOrdenes[[#This Row],[costo_materiales]])</f>
        <v/>
      </c>
      <c r="AL959" s="6" t="n"/>
      <c r="AM959" s="6" t="n"/>
      <c r="AN959" s="6" t="n"/>
      <c r="AO959" s="3">
        <f>IF(tblOrdenes[[#This Row],[link_checklist]]="","",HYPERLINK(p_ruta_base_checklists&amp;tblOrdenes[[#This Row],[link_checklist]],"abrir"))</f>
        <v/>
      </c>
      <c r="AP959" s="6" t="n"/>
      <c r="AQ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3">
        <f>IF(tblOrdenes[[#This Row],[tipo_ot]]="","",_xlfn.XLOOKUP(tblOrdenes[[#This Row],[tipo_ot]],tblTiposOT[codigo],tblTiposOT[clasificacion],"sin_clasificar"))</f>
        <v/>
      </c>
      <c r="U960" s="3">
        <f>IF(tblOrdenes[[#This Row],[centro_costo]]="","",_xlfn.XLOOKUP(tblOrdenes[[#This Row],[centro_costo]],tblCECO[codigo],tblCECO[linea],"(sin catálogo)"))</f>
        <v/>
      </c>
      <c r="V960" s="3">
        <f>IF(tblOrdenes[[#This Row],[centro_costo]]="","",_xlfn.XLOOKUP(tblOrdenes[[#This Row],[centro_costo]],tblCECO[codigo],tblCECO[area],"(sin catálogo)"))</f>
        <v/>
      </c>
      <c r="W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3">
        <f>IF(tblOrdenes[[#This Row],[centro_costo]]="","",_xlfn.XLOOKUP(tblOrdenes[[#This Row],[centro_costo]],tblCECO[codigo],tblCECO[coordinador],"(sin catálogo)"))</f>
        <v/>
      </c>
      <c r="Y960" s="3">
        <f>IF(tblOrdenes[[#This Row],[puesto_trabajo]]="","",_xlfn.XLOOKUP(tblOrdenes[[#This Row],[puesto_trabajo]],tblPuestos[codigo],tblPuestos[especialidad],"(sin catálogo)"))</f>
        <v/>
      </c>
      <c r="Z960" s="3">
        <f>IF(tblOrdenes[[#This Row],[cod_actividad]]="","",_xlfn.XLOOKUP(tblOrdenes[[#This Row],[cod_actividad]],tblActividades[codigo],tblActividades[descripcion],"(sin catálogo)"))</f>
        <v/>
      </c>
      <c r="AA960" s="12">
        <f>IF(tblOrdenes[[#This Row],[fecha_inicio]]="","",TODAY()-tblOrdenes[[#This Row],[fecha_inicio]])</f>
        <v/>
      </c>
      <c r="AB9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3">
        <f>IF(tblOrdenes[[#This Row],[backlog_habiles]]="","",IF(tblOrdenes[[#This Row],[backlog_habiles]]&lt;0,"FUTURO",IF(tblOrdenes[[#This Row],[backlog_habiles]]&gt;p_dias_backlog_max,"BACKLOG","MES CORRIENTE")))</f>
        <v/>
      </c>
      <c r="AD960" s="3">
        <f>IF(tblOrdenes[[#This Row],[backlog_habiles]]="",FALSE,AND(tblOrdenes[[#This Row],[backlog_habiles]]&gt;p_dias_backlog_min,tblOrdenes[[#This Row],[backlog_habiles]]&lt;=p_dias_backlog_max))</f>
        <v/>
      </c>
      <c r="AE960" s="6" t="n"/>
      <c r="AF9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0">
        <f>IF(tblOrdenes[[#This Row],[orden]]="","",_xlfn.XLOOKUP(tblOrdenes[[#This Row],[id_operacion]],tblEjecucion[id_operacion],tblEjecucion[precio],0))</f>
        <v/>
      </c>
      <c r="AJ960" s="10">
        <f>IF(tblOrdenes[[#This Row],[orden]]="","",MAX(0,_xlfn.XLOOKUP(tblOrdenes[[#This Row],[id_operacion]],tblEjecucion[id_operacion],tblEjecucion[costo_plan_total],0)-tblOrdenes[[#This Row],[costo_servicio]]))</f>
        <v/>
      </c>
      <c r="AK960" s="10">
        <f>IF(tblOrdenes[[#This Row],[orden]]="","",tblOrdenes[[#This Row],[costo_servicio]]+tblOrdenes[[#This Row],[costo_materiales]])</f>
        <v/>
      </c>
      <c r="AL960" s="6" t="n"/>
      <c r="AM960" s="6" t="n"/>
      <c r="AN960" s="6" t="n"/>
      <c r="AO960" s="3">
        <f>IF(tblOrdenes[[#This Row],[link_checklist]]="","",HYPERLINK(p_ruta_base_checklists&amp;tblOrdenes[[#This Row],[link_checklist]],"abrir"))</f>
        <v/>
      </c>
      <c r="AP960" s="6" t="n"/>
      <c r="AQ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3">
        <f>IF(tblOrdenes[[#This Row],[tipo_ot]]="","",_xlfn.XLOOKUP(tblOrdenes[[#This Row],[tipo_ot]],tblTiposOT[codigo],tblTiposOT[clasificacion],"sin_clasificar"))</f>
        <v/>
      </c>
      <c r="U961" s="3">
        <f>IF(tblOrdenes[[#This Row],[centro_costo]]="","",_xlfn.XLOOKUP(tblOrdenes[[#This Row],[centro_costo]],tblCECO[codigo],tblCECO[linea],"(sin catálogo)"))</f>
        <v/>
      </c>
      <c r="V961" s="3">
        <f>IF(tblOrdenes[[#This Row],[centro_costo]]="","",_xlfn.XLOOKUP(tblOrdenes[[#This Row],[centro_costo]],tblCECO[codigo],tblCECO[area],"(sin catálogo)"))</f>
        <v/>
      </c>
      <c r="W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3">
        <f>IF(tblOrdenes[[#This Row],[centro_costo]]="","",_xlfn.XLOOKUP(tblOrdenes[[#This Row],[centro_costo]],tblCECO[codigo],tblCECO[coordinador],"(sin catálogo)"))</f>
        <v/>
      </c>
      <c r="Y961" s="3">
        <f>IF(tblOrdenes[[#This Row],[puesto_trabajo]]="","",_xlfn.XLOOKUP(tblOrdenes[[#This Row],[puesto_trabajo]],tblPuestos[codigo],tblPuestos[especialidad],"(sin catálogo)"))</f>
        <v/>
      </c>
      <c r="Z961" s="3">
        <f>IF(tblOrdenes[[#This Row],[cod_actividad]]="","",_xlfn.XLOOKUP(tblOrdenes[[#This Row],[cod_actividad]],tblActividades[codigo],tblActividades[descripcion],"(sin catálogo)"))</f>
        <v/>
      </c>
      <c r="AA961" s="12">
        <f>IF(tblOrdenes[[#This Row],[fecha_inicio]]="","",TODAY()-tblOrdenes[[#This Row],[fecha_inicio]])</f>
        <v/>
      </c>
      <c r="AB9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3">
        <f>IF(tblOrdenes[[#This Row],[backlog_habiles]]="","",IF(tblOrdenes[[#This Row],[backlog_habiles]]&lt;0,"FUTURO",IF(tblOrdenes[[#This Row],[backlog_habiles]]&gt;p_dias_backlog_max,"BACKLOG","MES CORRIENTE")))</f>
        <v/>
      </c>
      <c r="AD961" s="3">
        <f>IF(tblOrdenes[[#This Row],[backlog_habiles]]="",FALSE,AND(tblOrdenes[[#This Row],[backlog_habiles]]&gt;p_dias_backlog_min,tblOrdenes[[#This Row],[backlog_habiles]]&lt;=p_dias_backlog_max))</f>
        <v/>
      </c>
      <c r="AE961" s="6" t="n"/>
      <c r="AF9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0">
        <f>IF(tblOrdenes[[#This Row],[orden]]="","",_xlfn.XLOOKUP(tblOrdenes[[#This Row],[id_operacion]],tblEjecucion[id_operacion],tblEjecucion[precio],0))</f>
        <v/>
      </c>
      <c r="AJ961" s="10">
        <f>IF(tblOrdenes[[#This Row],[orden]]="","",MAX(0,_xlfn.XLOOKUP(tblOrdenes[[#This Row],[id_operacion]],tblEjecucion[id_operacion],tblEjecucion[costo_plan_total],0)-tblOrdenes[[#This Row],[costo_servicio]]))</f>
        <v/>
      </c>
      <c r="AK961" s="10">
        <f>IF(tblOrdenes[[#This Row],[orden]]="","",tblOrdenes[[#This Row],[costo_servicio]]+tblOrdenes[[#This Row],[costo_materiales]])</f>
        <v/>
      </c>
      <c r="AL961" s="6" t="n"/>
      <c r="AM961" s="6" t="n"/>
      <c r="AN961" s="6" t="n"/>
      <c r="AO961" s="3">
        <f>IF(tblOrdenes[[#This Row],[link_checklist]]="","",HYPERLINK(p_ruta_base_checklists&amp;tblOrdenes[[#This Row],[link_checklist]],"abrir"))</f>
        <v/>
      </c>
      <c r="AP961" s="6" t="n"/>
      <c r="AQ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3">
        <f>IF(tblOrdenes[[#This Row],[tipo_ot]]="","",_xlfn.XLOOKUP(tblOrdenes[[#This Row],[tipo_ot]],tblTiposOT[codigo],tblTiposOT[clasificacion],"sin_clasificar"))</f>
        <v/>
      </c>
      <c r="U962" s="3">
        <f>IF(tblOrdenes[[#This Row],[centro_costo]]="","",_xlfn.XLOOKUP(tblOrdenes[[#This Row],[centro_costo]],tblCECO[codigo],tblCECO[linea],"(sin catálogo)"))</f>
        <v/>
      </c>
      <c r="V962" s="3">
        <f>IF(tblOrdenes[[#This Row],[centro_costo]]="","",_xlfn.XLOOKUP(tblOrdenes[[#This Row],[centro_costo]],tblCECO[codigo],tblCECO[area],"(sin catálogo)"))</f>
        <v/>
      </c>
      <c r="W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3">
        <f>IF(tblOrdenes[[#This Row],[centro_costo]]="","",_xlfn.XLOOKUP(tblOrdenes[[#This Row],[centro_costo]],tblCECO[codigo],tblCECO[coordinador],"(sin catálogo)"))</f>
        <v/>
      </c>
      <c r="Y962" s="3">
        <f>IF(tblOrdenes[[#This Row],[puesto_trabajo]]="","",_xlfn.XLOOKUP(tblOrdenes[[#This Row],[puesto_trabajo]],tblPuestos[codigo],tblPuestos[especialidad],"(sin catálogo)"))</f>
        <v/>
      </c>
      <c r="Z962" s="3">
        <f>IF(tblOrdenes[[#This Row],[cod_actividad]]="","",_xlfn.XLOOKUP(tblOrdenes[[#This Row],[cod_actividad]],tblActividades[codigo],tblActividades[descripcion],"(sin catálogo)"))</f>
        <v/>
      </c>
      <c r="AA962" s="12">
        <f>IF(tblOrdenes[[#This Row],[fecha_inicio]]="","",TODAY()-tblOrdenes[[#This Row],[fecha_inicio]])</f>
        <v/>
      </c>
      <c r="AB9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3">
        <f>IF(tblOrdenes[[#This Row],[backlog_habiles]]="","",IF(tblOrdenes[[#This Row],[backlog_habiles]]&lt;0,"FUTURO",IF(tblOrdenes[[#This Row],[backlog_habiles]]&gt;p_dias_backlog_max,"BACKLOG","MES CORRIENTE")))</f>
        <v/>
      </c>
      <c r="AD962" s="3">
        <f>IF(tblOrdenes[[#This Row],[backlog_habiles]]="",FALSE,AND(tblOrdenes[[#This Row],[backlog_habiles]]&gt;p_dias_backlog_min,tblOrdenes[[#This Row],[backlog_habiles]]&lt;=p_dias_backlog_max))</f>
        <v/>
      </c>
      <c r="AE962" s="6" t="n"/>
      <c r="AF9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0">
        <f>IF(tblOrdenes[[#This Row],[orden]]="","",_xlfn.XLOOKUP(tblOrdenes[[#This Row],[id_operacion]],tblEjecucion[id_operacion],tblEjecucion[precio],0))</f>
        <v/>
      </c>
      <c r="AJ962" s="10">
        <f>IF(tblOrdenes[[#This Row],[orden]]="","",MAX(0,_xlfn.XLOOKUP(tblOrdenes[[#This Row],[id_operacion]],tblEjecucion[id_operacion],tblEjecucion[costo_plan_total],0)-tblOrdenes[[#This Row],[costo_servicio]]))</f>
        <v/>
      </c>
      <c r="AK962" s="10">
        <f>IF(tblOrdenes[[#This Row],[orden]]="","",tblOrdenes[[#This Row],[costo_servicio]]+tblOrdenes[[#This Row],[costo_materiales]])</f>
        <v/>
      </c>
      <c r="AL962" s="6" t="n"/>
      <c r="AM962" s="6" t="n"/>
      <c r="AN962" s="6" t="n"/>
      <c r="AO962" s="3">
        <f>IF(tblOrdenes[[#This Row],[link_checklist]]="","",HYPERLINK(p_ruta_base_checklists&amp;tblOrdenes[[#This Row],[link_checklist]],"abrir"))</f>
        <v/>
      </c>
      <c r="AP962" s="6" t="n"/>
      <c r="AQ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3">
        <f>IF(tblOrdenes[[#This Row],[tipo_ot]]="","",_xlfn.XLOOKUP(tblOrdenes[[#This Row],[tipo_ot]],tblTiposOT[codigo],tblTiposOT[clasificacion],"sin_clasificar"))</f>
        <v/>
      </c>
      <c r="U963" s="3">
        <f>IF(tblOrdenes[[#This Row],[centro_costo]]="","",_xlfn.XLOOKUP(tblOrdenes[[#This Row],[centro_costo]],tblCECO[codigo],tblCECO[linea],"(sin catálogo)"))</f>
        <v/>
      </c>
      <c r="V963" s="3">
        <f>IF(tblOrdenes[[#This Row],[centro_costo]]="","",_xlfn.XLOOKUP(tblOrdenes[[#This Row],[centro_costo]],tblCECO[codigo],tblCECO[area],"(sin catálogo)"))</f>
        <v/>
      </c>
      <c r="W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3">
        <f>IF(tblOrdenes[[#This Row],[centro_costo]]="","",_xlfn.XLOOKUP(tblOrdenes[[#This Row],[centro_costo]],tblCECO[codigo],tblCECO[coordinador],"(sin catálogo)"))</f>
        <v/>
      </c>
      <c r="Y963" s="3">
        <f>IF(tblOrdenes[[#This Row],[puesto_trabajo]]="","",_xlfn.XLOOKUP(tblOrdenes[[#This Row],[puesto_trabajo]],tblPuestos[codigo],tblPuestos[especialidad],"(sin catálogo)"))</f>
        <v/>
      </c>
      <c r="Z963" s="3">
        <f>IF(tblOrdenes[[#This Row],[cod_actividad]]="","",_xlfn.XLOOKUP(tblOrdenes[[#This Row],[cod_actividad]],tblActividades[codigo],tblActividades[descripcion],"(sin catálogo)"))</f>
        <v/>
      </c>
      <c r="AA963" s="12">
        <f>IF(tblOrdenes[[#This Row],[fecha_inicio]]="","",TODAY()-tblOrdenes[[#This Row],[fecha_inicio]])</f>
        <v/>
      </c>
      <c r="AB9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3">
        <f>IF(tblOrdenes[[#This Row],[backlog_habiles]]="","",IF(tblOrdenes[[#This Row],[backlog_habiles]]&lt;0,"FUTURO",IF(tblOrdenes[[#This Row],[backlog_habiles]]&gt;p_dias_backlog_max,"BACKLOG","MES CORRIENTE")))</f>
        <v/>
      </c>
      <c r="AD963" s="3">
        <f>IF(tblOrdenes[[#This Row],[backlog_habiles]]="",FALSE,AND(tblOrdenes[[#This Row],[backlog_habiles]]&gt;p_dias_backlog_min,tblOrdenes[[#This Row],[backlog_habiles]]&lt;=p_dias_backlog_max))</f>
        <v/>
      </c>
      <c r="AE963" s="6" t="n"/>
      <c r="AF9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0">
        <f>IF(tblOrdenes[[#This Row],[orden]]="","",_xlfn.XLOOKUP(tblOrdenes[[#This Row],[id_operacion]],tblEjecucion[id_operacion],tblEjecucion[precio],0))</f>
        <v/>
      </c>
      <c r="AJ963" s="10">
        <f>IF(tblOrdenes[[#This Row],[orden]]="","",MAX(0,_xlfn.XLOOKUP(tblOrdenes[[#This Row],[id_operacion]],tblEjecucion[id_operacion],tblEjecucion[costo_plan_total],0)-tblOrdenes[[#This Row],[costo_servicio]]))</f>
        <v/>
      </c>
      <c r="AK963" s="10">
        <f>IF(tblOrdenes[[#This Row],[orden]]="","",tblOrdenes[[#This Row],[costo_servicio]]+tblOrdenes[[#This Row],[costo_materiales]])</f>
        <v/>
      </c>
      <c r="AL963" s="6" t="n"/>
      <c r="AM963" s="6" t="n"/>
      <c r="AN963" s="6" t="n"/>
      <c r="AO963" s="3">
        <f>IF(tblOrdenes[[#This Row],[link_checklist]]="","",HYPERLINK(p_ruta_base_checklists&amp;tblOrdenes[[#This Row],[link_checklist]],"abrir"))</f>
        <v/>
      </c>
      <c r="AP963" s="6" t="n"/>
      <c r="AQ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3">
        <f>IF(tblOrdenes[[#This Row],[tipo_ot]]="","",_xlfn.XLOOKUP(tblOrdenes[[#This Row],[tipo_ot]],tblTiposOT[codigo],tblTiposOT[clasificacion],"sin_clasificar"))</f>
        <v/>
      </c>
      <c r="U964" s="3">
        <f>IF(tblOrdenes[[#This Row],[centro_costo]]="","",_xlfn.XLOOKUP(tblOrdenes[[#This Row],[centro_costo]],tblCECO[codigo],tblCECO[linea],"(sin catálogo)"))</f>
        <v/>
      </c>
      <c r="V964" s="3">
        <f>IF(tblOrdenes[[#This Row],[centro_costo]]="","",_xlfn.XLOOKUP(tblOrdenes[[#This Row],[centro_costo]],tblCECO[codigo],tblCECO[area],"(sin catálogo)"))</f>
        <v/>
      </c>
      <c r="W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3">
        <f>IF(tblOrdenes[[#This Row],[centro_costo]]="","",_xlfn.XLOOKUP(tblOrdenes[[#This Row],[centro_costo]],tblCECO[codigo],tblCECO[coordinador],"(sin catálogo)"))</f>
        <v/>
      </c>
      <c r="Y964" s="3">
        <f>IF(tblOrdenes[[#This Row],[puesto_trabajo]]="","",_xlfn.XLOOKUP(tblOrdenes[[#This Row],[puesto_trabajo]],tblPuestos[codigo],tblPuestos[especialidad],"(sin catálogo)"))</f>
        <v/>
      </c>
      <c r="Z964" s="3">
        <f>IF(tblOrdenes[[#This Row],[cod_actividad]]="","",_xlfn.XLOOKUP(tblOrdenes[[#This Row],[cod_actividad]],tblActividades[codigo],tblActividades[descripcion],"(sin catálogo)"))</f>
        <v/>
      </c>
      <c r="AA964" s="12">
        <f>IF(tblOrdenes[[#This Row],[fecha_inicio]]="","",TODAY()-tblOrdenes[[#This Row],[fecha_inicio]])</f>
        <v/>
      </c>
      <c r="AB9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3">
        <f>IF(tblOrdenes[[#This Row],[backlog_habiles]]="","",IF(tblOrdenes[[#This Row],[backlog_habiles]]&lt;0,"FUTURO",IF(tblOrdenes[[#This Row],[backlog_habiles]]&gt;p_dias_backlog_max,"BACKLOG","MES CORRIENTE")))</f>
        <v/>
      </c>
      <c r="AD964" s="3">
        <f>IF(tblOrdenes[[#This Row],[backlog_habiles]]="",FALSE,AND(tblOrdenes[[#This Row],[backlog_habiles]]&gt;p_dias_backlog_min,tblOrdenes[[#This Row],[backlog_habiles]]&lt;=p_dias_backlog_max))</f>
        <v/>
      </c>
      <c r="AE964" s="6" t="n"/>
      <c r="AF9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0">
        <f>IF(tblOrdenes[[#This Row],[orden]]="","",_xlfn.XLOOKUP(tblOrdenes[[#This Row],[id_operacion]],tblEjecucion[id_operacion],tblEjecucion[precio],0))</f>
        <v/>
      </c>
      <c r="AJ964" s="10">
        <f>IF(tblOrdenes[[#This Row],[orden]]="","",MAX(0,_xlfn.XLOOKUP(tblOrdenes[[#This Row],[id_operacion]],tblEjecucion[id_operacion],tblEjecucion[costo_plan_total],0)-tblOrdenes[[#This Row],[costo_servicio]]))</f>
        <v/>
      </c>
      <c r="AK964" s="10">
        <f>IF(tblOrdenes[[#This Row],[orden]]="","",tblOrdenes[[#This Row],[costo_servicio]]+tblOrdenes[[#This Row],[costo_materiales]])</f>
        <v/>
      </c>
      <c r="AL964" s="6" t="n"/>
      <c r="AM964" s="6" t="n"/>
      <c r="AN964" s="6" t="n"/>
      <c r="AO964" s="3">
        <f>IF(tblOrdenes[[#This Row],[link_checklist]]="","",HYPERLINK(p_ruta_base_checklists&amp;tblOrdenes[[#This Row],[link_checklist]],"abrir"))</f>
        <v/>
      </c>
      <c r="AP964" s="6" t="n"/>
      <c r="AQ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3">
        <f>IF(tblOrdenes[[#This Row],[tipo_ot]]="","",_xlfn.XLOOKUP(tblOrdenes[[#This Row],[tipo_ot]],tblTiposOT[codigo],tblTiposOT[clasificacion],"sin_clasificar"))</f>
        <v/>
      </c>
      <c r="U965" s="3">
        <f>IF(tblOrdenes[[#This Row],[centro_costo]]="","",_xlfn.XLOOKUP(tblOrdenes[[#This Row],[centro_costo]],tblCECO[codigo],tblCECO[linea],"(sin catálogo)"))</f>
        <v/>
      </c>
      <c r="V965" s="3">
        <f>IF(tblOrdenes[[#This Row],[centro_costo]]="","",_xlfn.XLOOKUP(tblOrdenes[[#This Row],[centro_costo]],tblCECO[codigo],tblCECO[area],"(sin catálogo)"))</f>
        <v/>
      </c>
      <c r="W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3">
        <f>IF(tblOrdenes[[#This Row],[centro_costo]]="","",_xlfn.XLOOKUP(tblOrdenes[[#This Row],[centro_costo]],tblCECO[codigo],tblCECO[coordinador],"(sin catálogo)"))</f>
        <v/>
      </c>
      <c r="Y965" s="3">
        <f>IF(tblOrdenes[[#This Row],[puesto_trabajo]]="","",_xlfn.XLOOKUP(tblOrdenes[[#This Row],[puesto_trabajo]],tblPuestos[codigo],tblPuestos[especialidad],"(sin catálogo)"))</f>
        <v/>
      </c>
      <c r="Z965" s="3">
        <f>IF(tblOrdenes[[#This Row],[cod_actividad]]="","",_xlfn.XLOOKUP(tblOrdenes[[#This Row],[cod_actividad]],tblActividades[codigo],tblActividades[descripcion],"(sin catálogo)"))</f>
        <v/>
      </c>
      <c r="AA965" s="12">
        <f>IF(tblOrdenes[[#This Row],[fecha_inicio]]="","",TODAY()-tblOrdenes[[#This Row],[fecha_inicio]])</f>
        <v/>
      </c>
      <c r="AB9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3">
        <f>IF(tblOrdenes[[#This Row],[backlog_habiles]]="","",IF(tblOrdenes[[#This Row],[backlog_habiles]]&lt;0,"FUTURO",IF(tblOrdenes[[#This Row],[backlog_habiles]]&gt;p_dias_backlog_max,"BACKLOG","MES CORRIENTE")))</f>
        <v/>
      </c>
      <c r="AD965" s="3">
        <f>IF(tblOrdenes[[#This Row],[backlog_habiles]]="",FALSE,AND(tblOrdenes[[#This Row],[backlog_habiles]]&gt;p_dias_backlog_min,tblOrdenes[[#This Row],[backlog_habiles]]&lt;=p_dias_backlog_max))</f>
        <v/>
      </c>
      <c r="AE965" s="6" t="n"/>
      <c r="AF9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0">
        <f>IF(tblOrdenes[[#This Row],[orden]]="","",_xlfn.XLOOKUP(tblOrdenes[[#This Row],[id_operacion]],tblEjecucion[id_operacion],tblEjecucion[precio],0))</f>
        <v/>
      </c>
      <c r="AJ965" s="10">
        <f>IF(tblOrdenes[[#This Row],[orden]]="","",MAX(0,_xlfn.XLOOKUP(tblOrdenes[[#This Row],[id_operacion]],tblEjecucion[id_operacion],tblEjecucion[costo_plan_total],0)-tblOrdenes[[#This Row],[costo_servicio]]))</f>
        <v/>
      </c>
      <c r="AK965" s="10">
        <f>IF(tblOrdenes[[#This Row],[orden]]="","",tblOrdenes[[#This Row],[costo_servicio]]+tblOrdenes[[#This Row],[costo_materiales]])</f>
        <v/>
      </c>
      <c r="AL965" s="6" t="n"/>
      <c r="AM965" s="6" t="n"/>
      <c r="AN965" s="6" t="n"/>
      <c r="AO965" s="3">
        <f>IF(tblOrdenes[[#This Row],[link_checklist]]="","",HYPERLINK(p_ruta_base_checklists&amp;tblOrdenes[[#This Row],[link_checklist]],"abrir"))</f>
        <v/>
      </c>
      <c r="AP965" s="6" t="n"/>
      <c r="AQ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3">
        <f>IF(tblOrdenes[[#This Row],[tipo_ot]]="","",_xlfn.XLOOKUP(tblOrdenes[[#This Row],[tipo_ot]],tblTiposOT[codigo],tblTiposOT[clasificacion],"sin_clasificar"))</f>
        <v/>
      </c>
      <c r="U966" s="3">
        <f>IF(tblOrdenes[[#This Row],[centro_costo]]="","",_xlfn.XLOOKUP(tblOrdenes[[#This Row],[centro_costo]],tblCECO[codigo],tblCECO[linea],"(sin catálogo)"))</f>
        <v/>
      </c>
      <c r="V966" s="3">
        <f>IF(tblOrdenes[[#This Row],[centro_costo]]="","",_xlfn.XLOOKUP(tblOrdenes[[#This Row],[centro_costo]],tblCECO[codigo],tblCECO[area],"(sin catálogo)"))</f>
        <v/>
      </c>
      <c r="W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3">
        <f>IF(tblOrdenes[[#This Row],[centro_costo]]="","",_xlfn.XLOOKUP(tblOrdenes[[#This Row],[centro_costo]],tblCECO[codigo],tblCECO[coordinador],"(sin catálogo)"))</f>
        <v/>
      </c>
      <c r="Y966" s="3">
        <f>IF(tblOrdenes[[#This Row],[puesto_trabajo]]="","",_xlfn.XLOOKUP(tblOrdenes[[#This Row],[puesto_trabajo]],tblPuestos[codigo],tblPuestos[especialidad],"(sin catálogo)"))</f>
        <v/>
      </c>
      <c r="Z966" s="3">
        <f>IF(tblOrdenes[[#This Row],[cod_actividad]]="","",_xlfn.XLOOKUP(tblOrdenes[[#This Row],[cod_actividad]],tblActividades[codigo],tblActividades[descripcion],"(sin catálogo)"))</f>
        <v/>
      </c>
      <c r="AA966" s="12">
        <f>IF(tblOrdenes[[#This Row],[fecha_inicio]]="","",TODAY()-tblOrdenes[[#This Row],[fecha_inicio]])</f>
        <v/>
      </c>
      <c r="AB9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3">
        <f>IF(tblOrdenes[[#This Row],[backlog_habiles]]="","",IF(tblOrdenes[[#This Row],[backlog_habiles]]&lt;0,"FUTURO",IF(tblOrdenes[[#This Row],[backlog_habiles]]&gt;p_dias_backlog_max,"BACKLOG","MES CORRIENTE")))</f>
        <v/>
      </c>
      <c r="AD966" s="3">
        <f>IF(tblOrdenes[[#This Row],[backlog_habiles]]="",FALSE,AND(tblOrdenes[[#This Row],[backlog_habiles]]&gt;p_dias_backlog_min,tblOrdenes[[#This Row],[backlog_habiles]]&lt;=p_dias_backlog_max))</f>
        <v/>
      </c>
      <c r="AE966" s="6" t="n"/>
      <c r="AF9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0">
        <f>IF(tblOrdenes[[#This Row],[orden]]="","",_xlfn.XLOOKUP(tblOrdenes[[#This Row],[id_operacion]],tblEjecucion[id_operacion],tblEjecucion[precio],0))</f>
        <v/>
      </c>
      <c r="AJ966" s="10">
        <f>IF(tblOrdenes[[#This Row],[orden]]="","",MAX(0,_xlfn.XLOOKUP(tblOrdenes[[#This Row],[id_operacion]],tblEjecucion[id_operacion],tblEjecucion[costo_plan_total],0)-tblOrdenes[[#This Row],[costo_servicio]]))</f>
        <v/>
      </c>
      <c r="AK966" s="10">
        <f>IF(tblOrdenes[[#This Row],[orden]]="","",tblOrdenes[[#This Row],[costo_servicio]]+tblOrdenes[[#This Row],[costo_materiales]])</f>
        <v/>
      </c>
      <c r="AL966" s="6" t="n"/>
      <c r="AM966" s="6" t="n"/>
      <c r="AN966" s="6" t="n"/>
      <c r="AO966" s="3">
        <f>IF(tblOrdenes[[#This Row],[link_checklist]]="","",HYPERLINK(p_ruta_base_checklists&amp;tblOrdenes[[#This Row],[link_checklist]],"abrir"))</f>
        <v/>
      </c>
      <c r="AP966" s="6" t="n"/>
      <c r="AQ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3">
        <f>IF(tblOrdenes[[#This Row],[tipo_ot]]="","",_xlfn.XLOOKUP(tblOrdenes[[#This Row],[tipo_ot]],tblTiposOT[codigo],tblTiposOT[clasificacion],"sin_clasificar"))</f>
        <v/>
      </c>
      <c r="U967" s="3">
        <f>IF(tblOrdenes[[#This Row],[centro_costo]]="","",_xlfn.XLOOKUP(tblOrdenes[[#This Row],[centro_costo]],tblCECO[codigo],tblCECO[linea],"(sin catálogo)"))</f>
        <v/>
      </c>
      <c r="V967" s="3">
        <f>IF(tblOrdenes[[#This Row],[centro_costo]]="","",_xlfn.XLOOKUP(tblOrdenes[[#This Row],[centro_costo]],tblCECO[codigo],tblCECO[area],"(sin catálogo)"))</f>
        <v/>
      </c>
      <c r="W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3">
        <f>IF(tblOrdenes[[#This Row],[centro_costo]]="","",_xlfn.XLOOKUP(tblOrdenes[[#This Row],[centro_costo]],tblCECO[codigo],tblCECO[coordinador],"(sin catálogo)"))</f>
        <v/>
      </c>
      <c r="Y967" s="3">
        <f>IF(tblOrdenes[[#This Row],[puesto_trabajo]]="","",_xlfn.XLOOKUP(tblOrdenes[[#This Row],[puesto_trabajo]],tblPuestos[codigo],tblPuestos[especialidad],"(sin catálogo)"))</f>
        <v/>
      </c>
      <c r="Z967" s="3">
        <f>IF(tblOrdenes[[#This Row],[cod_actividad]]="","",_xlfn.XLOOKUP(tblOrdenes[[#This Row],[cod_actividad]],tblActividades[codigo],tblActividades[descripcion],"(sin catálogo)"))</f>
        <v/>
      </c>
      <c r="AA967" s="12">
        <f>IF(tblOrdenes[[#This Row],[fecha_inicio]]="","",TODAY()-tblOrdenes[[#This Row],[fecha_inicio]])</f>
        <v/>
      </c>
      <c r="AB9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3">
        <f>IF(tblOrdenes[[#This Row],[backlog_habiles]]="","",IF(tblOrdenes[[#This Row],[backlog_habiles]]&lt;0,"FUTURO",IF(tblOrdenes[[#This Row],[backlog_habiles]]&gt;p_dias_backlog_max,"BACKLOG","MES CORRIENTE")))</f>
        <v/>
      </c>
      <c r="AD967" s="3">
        <f>IF(tblOrdenes[[#This Row],[backlog_habiles]]="",FALSE,AND(tblOrdenes[[#This Row],[backlog_habiles]]&gt;p_dias_backlog_min,tblOrdenes[[#This Row],[backlog_habiles]]&lt;=p_dias_backlog_max))</f>
        <v/>
      </c>
      <c r="AE967" s="6" t="n"/>
      <c r="AF9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0">
        <f>IF(tblOrdenes[[#This Row],[orden]]="","",_xlfn.XLOOKUP(tblOrdenes[[#This Row],[id_operacion]],tblEjecucion[id_operacion],tblEjecucion[precio],0))</f>
        <v/>
      </c>
      <c r="AJ967" s="10">
        <f>IF(tblOrdenes[[#This Row],[orden]]="","",MAX(0,_xlfn.XLOOKUP(tblOrdenes[[#This Row],[id_operacion]],tblEjecucion[id_operacion],tblEjecucion[costo_plan_total],0)-tblOrdenes[[#This Row],[costo_servicio]]))</f>
        <v/>
      </c>
      <c r="AK967" s="10">
        <f>IF(tblOrdenes[[#This Row],[orden]]="","",tblOrdenes[[#This Row],[costo_servicio]]+tblOrdenes[[#This Row],[costo_materiales]])</f>
        <v/>
      </c>
      <c r="AL967" s="6" t="n"/>
      <c r="AM967" s="6" t="n"/>
      <c r="AN967" s="6" t="n"/>
      <c r="AO967" s="3">
        <f>IF(tblOrdenes[[#This Row],[link_checklist]]="","",HYPERLINK(p_ruta_base_checklists&amp;tblOrdenes[[#This Row],[link_checklist]],"abrir"))</f>
        <v/>
      </c>
      <c r="AP967" s="6" t="n"/>
      <c r="AQ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3">
        <f>IF(tblOrdenes[[#This Row],[tipo_ot]]="","",_xlfn.XLOOKUP(tblOrdenes[[#This Row],[tipo_ot]],tblTiposOT[codigo],tblTiposOT[clasificacion],"sin_clasificar"))</f>
        <v/>
      </c>
      <c r="U968" s="3">
        <f>IF(tblOrdenes[[#This Row],[centro_costo]]="","",_xlfn.XLOOKUP(tblOrdenes[[#This Row],[centro_costo]],tblCECO[codigo],tblCECO[linea],"(sin catálogo)"))</f>
        <v/>
      </c>
      <c r="V968" s="3">
        <f>IF(tblOrdenes[[#This Row],[centro_costo]]="","",_xlfn.XLOOKUP(tblOrdenes[[#This Row],[centro_costo]],tblCECO[codigo],tblCECO[area],"(sin catálogo)"))</f>
        <v/>
      </c>
      <c r="W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3">
        <f>IF(tblOrdenes[[#This Row],[centro_costo]]="","",_xlfn.XLOOKUP(tblOrdenes[[#This Row],[centro_costo]],tblCECO[codigo],tblCECO[coordinador],"(sin catálogo)"))</f>
        <v/>
      </c>
      <c r="Y968" s="3">
        <f>IF(tblOrdenes[[#This Row],[puesto_trabajo]]="","",_xlfn.XLOOKUP(tblOrdenes[[#This Row],[puesto_trabajo]],tblPuestos[codigo],tblPuestos[especialidad],"(sin catálogo)"))</f>
        <v/>
      </c>
      <c r="Z968" s="3">
        <f>IF(tblOrdenes[[#This Row],[cod_actividad]]="","",_xlfn.XLOOKUP(tblOrdenes[[#This Row],[cod_actividad]],tblActividades[codigo],tblActividades[descripcion],"(sin catálogo)"))</f>
        <v/>
      </c>
      <c r="AA968" s="12">
        <f>IF(tblOrdenes[[#This Row],[fecha_inicio]]="","",TODAY()-tblOrdenes[[#This Row],[fecha_inicio]])</f>
        <v/>
      </c>
      <c r="AB9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3">
        <f>IF(tblOrdenes[[#This Row],[backlog_habiles]]="","",IF(tblOrdenes[[#This Row],[backlog_habiles]]&lt;0,"FUTURO",IF(tblOrdenes[[#This Row],[backlog_habiles]]&gt;p_dias_backlog_max,"BACKLOG","MES CORRIENTE")))</f>
        <v/>
      </c>
      <c r="AD968" s="3">
        <f>IF(tblOrdenes[[#This Row],[backlog_habiles]]="",FALSE,AND(tblOrdenes[[#This Row],[backlog_habiles]]&gt;p_dias_backlog_min,tblOrdenes[[#This Row],[backlog_habiles]]&lt;=p_dias_backlog_max))</f>
        <v/>
      </c>
      <c r="AE968" s="6" t="n"/>
      <c r="AF9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0">
        <f>IF(tblOrdenes[[#This Row],[orden]]="","",_xlfn.XLOOKUP(tblOrdenes[[#This Row],[id_operacion]],tblEjecucion[id_operacion],tblEjecucion[precio],0))</f>
        <v/>
      </c>
      <c r="AJ968" s="10">
        <f>IF(tblOrdenes[[#This Row],[orden]]="","",MAX(0,_xlfn.XLOOKUP(tblOrdenes[[#This Row],[id_operacion]],tblEjecucion[id_operacion],tblEjecucion[costo_plan_total],0)-tblOrdenes[[#This Row],[costo_servicio]]))</f>
        <v/>
      </c>
      <c r="AK968" s="10">
        <f>IF(tblOrdenes[[#This Row],[orden]]="","",tblOrdenes[[#This Row],[costo_servicio]]+tblOrdenes[[#This Row],[costo_materiales]])</f>
        <v/>
      </c>
      <c r="AL968" s="6" t="n"/>
      <c r="AM968" s="6" t="n"/>
      <c r="AN968" s="6" t="n"/>
      <c r="AO968" s="3">
        <f>IF(tblOrdenes[[#This Row],[link_checklist]]="","",HYPERLINK(p_ruta_base_checklists&amp;tblOrdenes[[#This Row],[link_checklist]],"abrir"))</f>
        <v/>
      </c>
      <c r="AP968" s="6" t="n"/>
      <c r="AQ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3">
        <f>IF(tblOrdenes[[#This Row],[tipo_ot]]="","",_xlfn.XLOOKUP(tblOrdenes[[#This Row],[tipo_ot]],tblTiposOT[codigo],tblTiposOT[clasificacion],"sin_clasificar"))</f>
        <v/>
      </c>
      <c r="U969" s="3">
        <f>IF(tblOrdenes[[#This Row],[centro_costo]]="","",_xlfn.XLOOKUP(tblOrdenes[[#This Row],[centro_costo]],tblCECO[codigo],tblCECO[linea],"(sin catálogo)"))</f>
        <v/>
      </c>
      <c r="V969" s="3">
        <f>IF(tblOrdenes[[#This Row],[centro_costo]]="","",_xlfn.XLOOKUP(tblOrdenes[[#This Row],[centro_costo]],tblCECO[codigo],tblCECO[area],"(sin catálogo)"))</f>
        <v/>
      </c>
      <c r="W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3">
        <f>IF(tblOrdenes[[#This Row],[centro_costo]]="","",_xlfn.XLOOKUP(tblOrdenes[[#This Row],[centro_costo]],tblCECO[codigo],tblCECO[coordinador],"(sin catálogo)"))</f>
        <v/>
      </c>
      <c r="Y969" s="3">
        <f>IF(tblOrdenes[[#This Row],[puesto_trabajo]]="","",_xlfn.XLOOKUP(tblOrdenes[[#This Row],[puesto_trabajo]],tblPuestos[codigo],tblPuestos[especialidad],"(sin catálogo)"))</f>
        <v/>
      </c>
      <c r="Z969" s="3">
        <f>IF(tblOrdenes[[#This Row],[cod_actividad]]="","",_xlfn.XLOOKUP(tblOrdenes[[#This Row],[cod_actividad]],tblActividades[codigo],tblActividades[descripcion],"(sin catálogo)"))</f>
        <v/>
      </c>
      <c r="AA969" s="12">
        <f>IF(tblOrdenes[[#This Row],[fecha_inicio]]="","",TODAY()-tblOrdenes[[#This Row],[fecha_inicio]])</f>
        <v/>
      </c>
      <c r="AB9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3">
        <f>IF(tblOrdenes[[#This Row],[backlog_habiles]]="","",IF(tblOrdenes[[#This Row],[backlog_habiles]]&lt;0,"FUTURO",IF(tblOrdenes[[#This Row],[backlog_habiles]]&gt;p_dias_backlog_max,"BACKLOG","MES CORRIENTE")))</f>
        <v/>
      </c>
      <c r="AD969" s="3">
        <f>IF(tblOrdenes[[#This Row],[backlog_habiles]]="",FALSE,AND(tblOrdenes[[#This Row],[backlog_habiles]]&gt;p_dias_backlog_min,tblOrdenes[[#This Row],[backlog_habiles]]&lt;=p_dias_backlog_max))</f>
        <v/>
      </c>
      <c r="AE969" s="6" t="n"/>
      <c r="AF9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0">
        <f>IF(tblOrdenes[[#This Row],[orden]]="","",_xlfn.XLOOKUP(tblOrdenes[[#This Row],[id_operacion]],tblEjecucion[id_operacion],tblEjecucion[precio],0))</f>
        <v/>
      </c>
      <c r="AJ969" s="10">
        <f>IF(tblOrdenes[[#This Row],[orden]]="","",MAX(0,_xlfn.XLOOKUP(tblOrdenes[[#This Row],[id_operacion]],tblEjecucion[id_operacion],tblEjecucion[costo_plan_total],0)-tblOrdenes[[#This Row],[costo_servicio]]))</f>
        <v/>
      </c>
      <c r="AK969" s="10">
        <f>IF(tblOrdenes[[#This Row],[orden]]="","",tblOrdenes[[#This Row],[costo_servicio]]+tblOrdenes[[#This Row],[costo_materiales]])</f>
        <v/>
      </c>
      <c r="AL969" s="6" t="n"/>
      <c r="AM969" s="6" t="n"/>
      <c r="AN969" s="6" t="n"/>
      <c r="AO969" s="3">
        <f>IF(tblOrdenes[[#This Row],[link_checklist]]="","",HYPERLINK(p_ruta_base_checklists&amp;tblOrdenes[[#This Row],[link_checklist]],"abrir"))</f>
        <v/>
      </c>
      <c r="AP969" s="6" t="n"/>
      <c r="AQ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3">
        <f>IF(tblOrdenes[[#This Row],[tipo_ot]]="","",_xlfn.XLOOKUP(tblOrdenes[[#This Row],[tipo_ot]],tblTiposOT[codigo],tblTiposOT[clasificacion],"sin_clasificar"))</f>
        <v/>
      </c>
      <c r="U970" s="3">
        <f>IF(tblOrdenes[[#This Row],[centro_costo]]="","",_xlfn.XLOOKUP(tblOrdenes[[#This Row],[centro_costo]],tblCECO[codigo],tblCECO[linea],"(sin catálogo)"))</f>
        <v/>
      </c>
      <c r="V970" s="3">
        <f>IF(tblOrdenes[[#This Row],[centro_costo]]="","",_xlfn.XLOOKUP(tblOrdenes[[#This Row],[centro_costo]],tblCECO[codigo],tblCECO[area],"(sin catálogo)"))</f>
        <v/>
      </c>
      <c r="W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3">
        <f>IF(tblOrdenes[[#This Row],[centro_costo]]="","",_xlfn.XLOOKUP(tblOrdenes[[#This Row],[centro_costo]],tblCECO[codigo],tblCECO[coordinador],"(sin catálogo)"))</f>
        <v/>
      </c>
      <c r="Y970" s="3">
        <f>IF(tblOrdenes[[#This Row],[puesto_trabajo]]="","",_xlfn.XLOOKUP(tblOrdenes[[#This Row],[puesto_trabajo]],tblPuestos[codigo],tblPuestos[especialidad],"(sin catálogo)"))</f>
        <v/>
      </c>
      <c r="Z970" s="3">
        <f>IF(tblOrdenes[[#This Row],[cod_actividad]]="","",_xlfn.XLOOKUP(tblOrdenes[[#This Row],[cod_actividad]],tblActividades[codigo],tblActividades[descripcion],"(sin catálogo)"))</f>
        <v/>
      </c>
      <c r="AA970" s="12">
        <f>IF(tblOrdenes[[#This Row],[fecha_inicio]]="","",TODAY()-tblOrdenes[[#This Row],[fecha_inicio]])</f>
        <v/>
      </c>
      <c r="AB9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3">
        <f>IF(tblOrdenes[[#This Row],[backlog_habiles]]="","",IF(tblOrdenes[[#This Row],[backlog_habiles]]&lt;0,"FUTURO",IF(tblOrdenes[[#This Row],[backlog_habiles]]&gt;p_dias_backlog_max,"BACKLOG","MES CORRIENTE")))</f>
        <v/>
      </c>
      <c r="AD970" s="3">
        <f>IF(tblOrdenes[[#This Row],[backlog_habiles]]="",FALSE,AND(tblOrdenes[[#This Row],[backlog_habiles]]&gt;p_dias_backlog_min,tblOrdenes[[#This Row],[backlog_habiles]]&lt;=p_dias_backlog_max))</f>
        <v/>
      </c>
      <c r="AE970" s="6" t="n"/>
      <c r="AF9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0">
        <f>IF(tblOrdenes[[#This Row],[orden]]="","",_xlfn.XLOOKUP(tblOrdenes[[#This Row],[id_operacion]],tblEjecucion[id_operacion],tblEjecucion[precio],0))</f>
        <v/>
      </c>
      <c r="AJ970" s="10">
        <f>IF(tblOrdenes[[#This Row],[orden]]="","",MAX(0,_xlfn.XLOOKUP(tblOrdenes[[#This Row],[id_operacion]],tblEjecucion[id_operacion],tblEjecucion[costo_plan_total],0)-tblOrdenes[[#This Row],[costo_servicio]]))</f>
        <v/>
      </c>
      <c r="AK970" s="10">
        <f>IF(tblOrdenes[[#This Row],[orden]]="","",tblOrdenes[[#This Row],[costo_servicio]]+tblOrdenes[[#This Row],[costo_materiales]])</f>
        <v/>
      </c>
      <c r="AL970" s="6" t="n"/>
      <c r="AM970" s="6" t="n"/>
      <c r="AN970" s="6" t="n"/>
      <c r="AO970" s="3">
        <f>IF(tblOrdenes[[#This Row],[link_checklist]]="","",HYPERLINK(p_ruta_base_checklists&amp;tblOrdenes[[#This Row],[link_checklist]],"abrir"))</f>
        <v/>
      </c>
      <c r="AP970" s="6" t="n"/>
      <c r="AQ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3">
        <f>IF(tblOrdenes[[#This Row],[tipo_ot]]="","",_xlfn.XLOOKUP(tblOrdenes[[#This Row],[tipo_ot]],tblTiposOT[codigo],tblTiposOT[clasificacion],"sin_clasificar"))</f>
        <v/>
      </c>
      <c r="U971" s="3">
        <f>IF(tblOrdenes[[#This Row],[centro_costo]]="","",_xlfn.XLOOKUP(tblOrdenes[[#This Row],[centro_costo]],tblCECO[codigo],tblCECO[linea],"(sin catálogo)"))</f>
        <v/>
      </c>
      <c r="V971" s="3">
        <f>IF(tblOrdenes[[#This Row],[centro_costo]]="","",_xlfn.XLOOKUP(tblOrdenes[[#This Row],[centro_costo]],tblCECO[codigo],tblCECO[area],"(sin catálogo)"))</f>
        <v/>
      </c>
      <c r="W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3">
        <f>IF(tblOrdenes[[#This Row],[centro_costo]]="","",_xlfn.XLOOKUP(tblOrdenes[[#This Row],[centro_costo]],tblCECO[codigo],tblCECO[coordinador],"(sin catálogo)"))</f>
        <v/>
      </c>
      <c r="Y971" s="3">
        <f>IF(tblOrdenes[[#This Row],[puesto_trabajo]]="","",_xlfn.XLOOKUP(tblOrdenes[[#This Row],[puesto_trabajo]],tblPuestos[codigo],tblPuestos[especialidad],"(sin catálogo)"))</f>
        <v/>
      </c>
      <c r="Z971" s="3">
        <f>IF(tblOrdenes[[#This Row],[cod_actividad]]="","",_xlfn.XLOOKUP(tblOrdenes[[#This Row],[cod_actividad]],tblActividades[codigo],tblActividades[descripcion],"(sin catálogo)"))</f>
        <v/>
      </c>
      <c r="AA971" s="12">
        <f>IF(tblOrdenes[[#This Row],[fecha_inicio]]="","",TODAY()-tblOrdenes[[#This Row],[fecha_inicio]])</f>
        <v/>
      </c>
      <c r="AB9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3">
        <f>IF(tblOrdenes[[#This Row],[backlog_habiles]]="","",IF(tblOrdenes[[#This Row],[backlog_habiles]]&lt;0,"FUTURO",IF(tblOrdenes[[#This Row],[backlog_habiles]]&gt;p_dias_backlog_max,"BACKLOG","MES CORRIENTE")))</f>
        <v/>
      </c>
      <c r="AD971" s="3">
        <f>IF(tblOrdenes[[#This Row],[backlog_habiles]]="",FALSE,AND(tblOrdenes[[#This Row],[backlog_habiles]]&gt;p_dias_backlog_min,tblOrdenes[[#This Row],[backlog_habiles]]&lt;=p_dias_backlog_max))</f>
        <v/>
      </c>
      <c r="AE971" s="6" t="n"/>
      <c r="AF9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0">
        <f>IF(tblOrdenes[[#This Row],[orden]]="","",_xlfn.XLOOKUP(tblOrdenes[[#This Row],[id_operacion]],tblEjecucion[id_operacion],tblEjecucion[precio],0))</f>
        <v/>
      </c>
      <c r="AJ971" s="10">
        <f>IF(tblOrdenes[[#This Row],[orden]]="","",MAX(0,_xlfn.XLOOKUP(tblOrdenes[[#This Row],[id_operacion]],tblEjecucion[id_operacion],tblEjecucion[costo_plan_total],0)-tblOrdenes[[#This Row],[costo_servicio]]))</f>
        <v/>
      </c>
      <c r="AK971" s="10">
        <f>IF(tblOrdenes[[#This Row],[orden]]="","",tblOrdenes[[#This Row],[costo_servicio]]+tblOrdenes[[#This Row],[costo_materiales]])</f>
        <v/>
      </c>
      <c r="AL971" s="6" t="n"/>
      <c r="AM971" s="6" t="n"/>
      <c r="AN971" s="6" t="n"/>
      <c r="AO971" s="3">
        <f>IF(tblOrdenes[[#This Row],[link_checklist]]="","",HYPERLINK(p_ruta_base_checklists&amp;tblOrdenes[[#This Row],[link_checklist]],"abrir"))</f>
        <v/>
      </c>
      <c r="AP971" s="6" t="n"/>
      <c r="AQ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3">
        <f>IF(tblOrdenes[[#This Row],[tipo_ot]]="","",_xlfn.XLOOKUP(tblOrdenes[[#This Row],[tipo_ot]],tblTiposOT[codigo],tblTiposOT[clasificacion],"sin_clasificar"))</f>
        <v/>
      </c>
      <c r="U972" s="3">
        <f>IF(tblOrdenes[[#This Row],[centro_costo]]="","",_xlfn.XLOOKUP(tblOrdenes[[#This Row],[centro_costo]],tblCECO[codigo],tblCECO[linea],"(sin catálogo)"))</f>
        <v/>
      </c>
      <c r="V972" s="3">
        <f>IF(tblOrdenes[[#This Row],[centro_costo]]="","",_xlfn.XLOOKUP(tblOrdenes[[#This Row],[centro_costo]],tblCECO[codigo],tblCECO[area],"(sin catálogo)"))</f>
        <v/>
      </c>
      <c r="W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3">
        <f>IF(tblOrdenes[[#This Row],[centro_costo]]="","",_xlfn.XLOOKUP(tblOrdenes[[#This Row],[centro_costo]],tblCECO[codigo],tblCECO[coordinador],"(sin catálogo)"))</f>
        <v/>
      </c>
      <c r="Y972" s="3">
        <f>IF(tblOrdenes[[#This Row],[puesto_trabajo]]="","",_xlfn.XLOOKUP(tblOrdenes[[#This Row],[puesto_trabajo]],tblPuestos[codigo],tblPuestos[especialidad],"(sin catálogo)"))</f>
        <v/>
      </c>
      <c r="Z972" s="3">
        <f>IF(tblOrdenes[[#This Row],[cod_actividad]]="","",_xlfn.XLOOKUP(tblOrdenes[[#This Row],[cod_actividad]],tblActividades[codigo],tblActividades[descripcion],"(sin catálogo)"))</f>
        <v/>
      </c>
      <c r="AA972" s="12">
        <f>IF(tblOrdenes[[#This Row],[fecha_inicio]]="","",TODAY()-tblOrdenes[[#This Row],[fecha_inicio]])</f>
        <v/>
      </c>
      <c r="AB9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3">
        <f>IF(tblOrdenes[[#This Row],[backlog_habiles]]="","",IF(tblOrdenes[[#This Row],[backlog_habiles]]&lt;0,"FUTURO",IF(tblOrdenes[[#This Row],[backlog_habiles]]&gt;p_dias_backlog_max,"BACKLOG","MES CORRIENTE")))</f>
        <v/>
      </c>
      <c r="AD972" s="3">
        <f>IF(tblOrdenes[[#This Row],[backlog_habiles]]="",FALSE,AND(tblOrdenes[[#This Row],[backlog_habiles]]&gt;p_dias_backlog_min,tblOrdenes[[#This Row],[backlog_habiles]]&lt;=p_dias_backlog_max))</f>
        <v/>
      </c>
      <c r="AE972" s="6" t="n"/>
      <c r="AF9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0">
        <f>IF(tblOrdenes[[#This Row],[orden]]="","",_xlfn.XLOOKUP(tblOrdenes[[#This Row],[id_operacion]],tblEjecucion[id_operacion],tblEjecucion[precio],0))</f>
        <v/>
      </c>
      <c r="AJ972" s="10">
        <f>IF(tblOrdenes[[#This Row],[orden]]="","",MAX(0,_xlfn.XLOOKUP(tblOrdenes[[#This Row],[id_operacion]],tblEjecucion[id_operacion],tblEjecucion[costo_plan_total],0)-tblOrdenes[[#This Row],[costo_servicio]]))</f>
        <v/>
      </c>
      <c r="AK972" s="10">
        <f>IF(tblOrdenes[[#This Row],[orden]]="","",tblOrdenes[[#This Row],[costo_servicio]]+tblOrdenes[[#This Row],[costo_materiales]])</f>
        <v/>
      </c>
      <c r="AL972" s="6" t="n"/>
      <c r="AM972" s="6" t="n"/>
      <c r="AN972" s="6" t="n"/>
      <c r="AO972" s="3">
        <f>IF(tblOrdenes[[#This Row],[link_checklist]]="","",HYPERLINK(p_ruta_base_checklists&amp;tblOrdenes[[#This Row],[link_checklist]],"abrir"))</f>
        <v/>
      </c>
      <c r="AP972" s="6" t="n"/>
      <c r="AQ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3">
        <f>IF(tblOrdenes[[#This Row],[tipo_ot]]="","",_xlfn.XLOOKUP(tblOrdenes[[#This Row],[tipo_ot]],tblTiposOT[codigo],tblTiposOT[clasificacion],"sin_clasificar"))</f>
        <v/>
      </c>
      <c r="U973" s="3">
        <f>IF(tblOrdenes[[#This Row],[centro_costo]]="","",_xlfn.XLOOKUP(tblOrdenes[[#This Row],[centro_costo]],tblCECO[codigo],tblCECO[linea],"(sin catálogo)"))</f>
        <v/>
      </c>
      <c r="V973" s="3">
        <f>IF(tblOrdenes[[#This Row],[centro_costo]]="","",_xlfn.XLOOKUP(tblOrdenes[[#This Row],[centro_costo]],tblCECO[codigo],tblCECO[area],"(sin catálogo)"))</f>
        <v/>
      </c>
      <c r="W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3">
        <f>IF(tblOrdenes[[#This Row],[centro_costo]]="","",_xlfn.XLOOKUP(tblOrdenes[[#This Row],[centro_costo]],tblCECO[codigo],tblCECO[coordinador],"(sin catálogo)"))</f>
        <v/>
      </c>
      <c r="Y973" s="3">
        <f>IF(tblOrdenes[[#This Row],[puesto_trabajo]]="","",_xlfn.XLOOKUP(tblOrdenes[[#This Row],[puesto_trabajo]],tblPuestos[codigo],tblPuestos[especialidad],"(sin catálogo)"))</f>
        <v/>
      </c>
      <c r="Z973" s="3">
        <f>IF(tblOrdenes[[#This Row],[cod_actividad]]="","",_xlfn.XLOOKUP(tblOrdenes[[#This Row],[cod_actividad]],tblActividades[codigo],tblActividades[descripcion],"(sin catálogo)"))</f>
        <v/>
      </c>
      <c r="AA973" s="12">
        <f>IF(tblOrdenes[[#This Row],[fecha_inicio]]="","",TODAY()-tblOrdenes[[#This Row],[fecha_inicio]])</f>
        <v/>
      </c>
      <c r="AB9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3">
        <f>IF(tblOrdenes[[#This Row],[backlog_habiles]]="","",IF(tblOrdenes[[#This Row],[backlog_habiles]]&lt;0,"FUTURO",IF(tblOrdenes[[#This Row],[backlog_habiles]]&gt;p_dias_backlog_max,"BACKLOG","MES CORRIENTE")))</f>
        <v/>
      </c>
      <c r="AD973" s="3">
        <f>IF(tblOrdenes[[#This Row],[backlog_habiles]]="",FALSE,AND(tblOrdenes[[#This Row],[backlog_habiles]]&gt;p_dias_backlog_min,tblOrdenes[[#This Row],[backlog_habiles]]&lt;=p_dias_backlog_max))</f>
        <v/>
      </c>
      <c r="AE973" s="6" t="n"/>
      <c r="AF9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0">
        <f>IF(tblOrdenes[[#This Row],[orden]]="","",_xlfn.XLOOKUP(tblOrdenes[[#This Row],[id_operacion]],tblEjecucion[id_operacion],tblEjecucion[precio],0))</f>
        <v/>
      </c>
      <c r="AJ973" s="10">
        <f>IF(tblOrdenes[[#This Row],[orden]]="","",MAX(0,_xlfn.XLOOKUP(tblOrdenes[[#This Row],[id_operacion]],tblEjecucion[id_operacion],tblEjecucion[costo_plan_total],0)-tblOrdenes[[#This Row],[costo_servicio]]))</f>
        <v/>
      </c>
      <c r="AK973" s="10">
        <f>IF(tblOrdenes[[#This Row],[orden]]="","",tblOrdenes[[#This Row],[costo_servicio]]+tblOrdenes[[#This Row],[costo_materiales]])</f>
        <v/>
      </c>
      <c r="AL973" s="6" t="n"/>
      <c r="AM973" s="6" t="n"/>
      <c r="AN973" s="6" t="n"/>
      <c r="AO973" s="3">
        <f>IF(tblOrdenes[[#This Row],[link_checklist]]="","",HYPERLINK(p_ruta_base_checklists&amp;tblOrdenes[[#This Row],[link_checklist]],"abrir"))</f>
        <v/>
      </c>
      <c r="AP973" s="6" t="n"/>
      <c r="AQ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3">
        <f>IF(tblOrdenes[[#This Row],[tipo_ot]]="","",_xlfn.XLOOKUP(tblOrdenes[[#This Row],[tipo_ot]],tblTiposOT[codigo],tblTiposOT[clasificacion],"sin_clasificar"))</f>
        <v/>
      </c>
      <c r="U974" s="3">
        <f>IF(tblOrdenes[[#This Row],[centro_costo]]="","",_xlfn.XLOOKUP(tblOrdenes[[#This Row],[centro_costo]],tblCECO[codigo],tblCECO[linea],"(sin catálogo)"))</f>
        <v/>
      </c>
      <c r="V974" s="3">
        <f>IF(tblOrdenes[[#This Row],[centro_costo]]="","",_xlfn.XLOOKUP(tblOrdenes[[#This Row],[centro_costo]],tblCECO[codigo],tblCECO[area],"(sin catálogo)"))</f>
        <v/>
      </c>
      <c r="W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3">
        <f>IF(tblOrdenes[[#This Row],[centro_costo]]="","",_xlfn.XLOOKUP(tblOrdenes[[#This Row],[centro_costo]],tblCECO[codigo],tblCECO[coordinador],"(sin catálogo)"))</f>
        <v/>
      </c>
      <c r="Y974" s="3">
        <f>IF(tblOrdenes[[#This Row],[puesto_trabajo]]="","",_xlfn.XLOOKUP(tblOrdenes[[#This Row],[puesto_trabajo]],tblPuestos[codigo],tblPuestos[especialidad],"(sin catálogo)"))</f>
        <v/>
      </c>
      <c r="Z974" s="3">
        <f>IF(tblOrdenes[[#This Row],[cod_actividad]]="","",_xlfn.XLOOKUP(tblOrdenes[[#This Row],[cod_actividad]],tblActividades[codigo],tblActividades[descripcion],"(sin catálogo)"))</f>
        <v/>
      </c>
      <c r="AA974" s="12">
        <f>IF(tblOrdenes[[#This Row],[fecha_inicio]]="","",TODAY()-tblOrdenes[[#This Row],[fecha_inicio]])</f>
        <v/>
      </c>
      <c r="AB9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3">
        <f>IF(tblOrdenes[[#This Row],[backlog_habiles]]="","",IF(tblOrdenes[[#This Row],[backlog_habiles]]&lt;0,"FUTURO",IF(tblOrdenes[[#This Row],[backlog_habiles]]&gt;p_dias_backlog_max,"BACKLOG","MES CORRIENTE")))</f>
        <v/>
      </c>
      <c r="AD974" s="3">
        <f>IF(tblOrdenes[[#This Row],[backlog_habiles]]="",FALSE,AND(tblOrdenes[[#This Row],[backlog_habiles]]&gt;p_dias_backlog_min,tblOrdenes[[#This Row],[backlog_habiles]]&lt;=p_dias_backlog_max))</f>
        <v/>
      </c>
      <c r="AE974" s="6" t="n"/>
      <c r="AF9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0">
        <f>IF(tblOrdenes[[#This Row],[orden]]="","",_xlfn.XLOOKUP(tblOrdenes[[#This Row],[id_operacion]],tblEjecucion[id_operacion],tblEjecucion[precio],0))</f>
        <v/>
      </c>
      <c r="AJ974" s="10">
        <f>IF(tblOrdenes[[#This Row],[orden]]="","",MAX(0,_xlfn.XLOOKUP(tblOrdenes[[#This Row],[id_operacion]],tblEjecucion[id_operacion],tblEjecucion[costo_plan_total],0)-tblOrdenes[[#This Row],[costo_servicio]]))</f>
        <v/>
      </c>
      <c r="AK974" s="10">
        <f>IF(tblOrdenes[[#This Row],[orden]]="","",tblOrdenes[[#This Row],[costo_servicio]]+tblOrdenes[[#This Row],[costo_materiales]])</f>
        <v/>
      </c>
      <c r="AL974" s="6" t="n"/>
      <c r="AM974" s="6" t="n"/>
      <c r="AN974" s="6" t="n"/>
      <c r="AO974" s="3">
        <f>IF(tblOrdenes[[#This Row],[link_checklist]]="","",HYPERLINK(p_ruta_base_checklists&amp;tblOrdenes[[#This Row],[link_checklist]],"abrir"))</f>
        <v/>
      </c>
      <c r="AP974" s="6" t="n"/>
      <c r="AQ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3">
        <f>IF(tblOrdenes[[#This Row],[tipo_ot]]="","",_xlfn.XLOOKUP(tblOrdenes[[#This Row],[tipo_ot]],tblTiposOT[codigo],tblTiposOT[clasificacion],"sin_clasificar"))</f>
        <v/>
      </c>
      <c r="U975" s="3">
        <f>IF(tblOrdenes[[#This Row],[centro_costo]]="","",_xlfn.XLOOKUP(tblOrdenes[[#This Row],[centro_costo]],tblCECO[codigo],tblCECO[linea],"(sin catálogo)"))</f>
        <v/>
      </c>
      <c r="V975" s="3">
        <f>IF(tblOrdenes[[#This Row],[centro_costo]]="","",_xlfn.XLOOKUP(tblOrdenes[[#This Row],[centro_costo]],tblCECO[codigo],tblCECO[area],"(sin catálogo)"))</f>
        <v/>
      </c>
      <c r="W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3">
        <f>IF(tblOrdenes[[#This Row],[centro_costo]]="","",_xlfn.XLOOKUP(tblOrdenes[[#This Row],[centro_costo]],tblCECO[codigo],tblCECO[coordinador],"(sin catálogo)"))</f>
        <v/>
      </c>
      <c r="Y975" s="3">
        <f>IF(tblOrdenes[[#This Row],[puesto_trabajo]]="","",_xlfn.XLOOKUP(tblOrdenes[[#This Row],[puesto_trabajo]],tblPuestos[codigo],tblPuestos[especialidad],"(sin catálogo)"))</f>
        <v/>
      </c>
      <c r="Z975" s="3">
        <f>IF(tblOrdenes[[#This Row],[cod_actividad]]="","",_xlfn.XLOOKUP(tblOrdenes[[#This Row],[cod_actividad]],tblActividades[codigo],tblActividades[descripcion],"(sin catálogo)"))</f>
        <v/>
      </c>
      <c r="AA975" s="12">
        <f>IF(tblOrdenes[[#This Row],[fecha_inicio]]="","",TODAY()-tblOrdenes[[#This Row],[fecha_inicio]])</f>
        <v/>
      </c>
      <c r="AB9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3">
        <f>IF(tblOrdenes[[#This Row],[backlog_habiles]]="","",IF(tblOrdenes[[#This Row],[backlog_habiles]]&lt;0,"FUTURO",IF(tblOrdenes[[#This Row],[backlog_habiles]]&gt;p_dias_backlog_max,"BACKLOG","MES CORRIENTE")))</f>
        <v/>
      </c>
      <c r="AD975" s="3">
        <f>IF(tblOrdenes[[#This Row],[backlog_habiles]]="",FALSE,AND(tblOrdenes[[#This Row],[backlog_habiles]]&gt;p_dias_backlog_min,tblOrdenes[[#This Row],[backlog_habiles]]&lt;=p_dias_backlog_max))</f>
        <v/>
      </c>
      <c r="AE975" s="6" t="n"/>
      <c r="AF9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0">
        <f>IF(tblOrdenes[[#This Row],[orden]]="","",_xlfn.XLOOKUP(tblOrdenes[[#This Row],[id_operacion]],tblEjecucion[id_operacion],tblEjecucion[precio],0))</f>
        <v/>
      </c>
      <c r="AJ975" s="10">
        <f>IF(tblOrdenes[[#This Row],[orden]]="","",MAX(0,_xlfn.XLOOKUP(tblOrdenes[[#This Row],[id_operacion]],tblEjecucion[id_operacion],tblEjecucion[costo_plan_total],0)-tblOrdenes[[#This Row],[costo_servicio]]))</f>
        <v/>
      </c>
      <c r="AK975" s="10">
        <f>IF(tblOrdenes[[#This Row],[orden]]="","",tblOrdenes[[#This Row],[costo_servicio]]+tblOrdenes[[#This Row],[costo_materiales]])</f>
        <v/>
      </c>
      <c r="AL975" s="6" t="n"/>
      <c r="AM975" s="6" t="n"/>
      <c r="AN975" s="6" t="n"/>
      <c r="AO975" s="3">
        <f>IF(tblOrdenes[[#This Row],[link_checklist]]="","",HYPERLINK(p_ruta_base_checklists&amp;tblOrdenes[[#This Row],[link_checklist]],"abrir"))</f>
        <v/>
      </c>
      <c r="AP975" s="6" t="n"/>
      <c r="AQ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3">
        <f>IF(tblOrdenes[[#This Row],[tipo_ot]]="","",_xlfn.XLOOKUP(tblOrdenes[[#This Row],[tipo_ot]],tblTiposOT[codigo],tblTiposOT[clasificacion],"sin_clasificar"))</f>
        <v/>
      </c>
      <c r="U976" s="3">
        <f>IF(tblOrdenes[[#This Row],[centro_costo]]="","",_xlfn.XLOOKUP(tblOrdenes[[#This Row],[centro_costo]],tblCECO[codigo],tblCECO[linea],"(sin catálogo)"))</f>
        <v/>
      </c>
      <c r="V976" s="3">
        <f>IF(tblOrdenes[[#This Row],[centro_costo]]="","",_xlfn.XLOOKUP(tblOrdenes[[#This Row],[centro_costo]],tblCECO[codigo],tblCECO[area],"(sin catálogo)"))</f>
        <v/>
      </c>
      <c r="W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3">
        <f>IF(tblOrdenes[[#This Row],[centro_costo]]="","",_xlfn.XLOOKUP(tblOrdenes[[#This Row],[centro_costo]],tblCECO[codigo],tblCECO[coordinador],"(sin catálogo)"))</f>
        <v/>
      </c>
      <c r="Y976" s="3">
        <f>IF(tblOrdenes[[#This Row],[puesto_trabajo]]="","",_xlfn.XLOOKUP(tblOrdenes[[#This Row],[puesto_trabajo]],tblPuestos[codigo],tblPuestos[especialidad],"(sin catálogo)"))</f>
        <v/>
      </c>
      <c r="Z976" s="3">
        <f>IF(tblOrdenes[[#This Row],[cod_actividad]]="","",_xlfn.XLOOKUP(tblOrdenes[[#This Row],[cod_actividad]],tblActividades[codigo],tblActividades[descripcion],"(sin catálogo)"))</f>
        <v/>
      </c>
      <c r="AA976" s="12">
        <f>IF(tblOrdenes[[#This Row],[fecha_inicio]]="","",TODAY()-tblOrdenes[[#This Row],[fecha_inicio]])</f>
        <v/>
      </c>
      <c r="AB9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3">
        <f>IF(tblOrdenes[[#This Row],[backlog_habiles]]="","",IF(tblOrdenes[[#This Row],[backlog_habiles]]&lt;0,"FUTURO",IF(tblOrdenes[[#This Row],[backlog_habiles]]&gt;p_dias_backlog_max,"BACKLOG","MES CORRIENTE")))</f>
        <v/>
      </c>
      <c r="AD976" s="3">
        <f>IF(tblOrdenes[[#This Row],[backlog_habiles]]="",FALSE,AND(tblOrdenes[[#This Row],[backlog_habiles]]&gt;p_dias_backlog_min,tblOrdenes[[#This Row],[backlog_habiles]]&lt;=p_dias_backlog_max))</f>
        <v/>
      </c>
      <c r="AE976" s="6" t="n"/>
      <c r="AF9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0">
        <f>IF(tblOrdenes[[#This Row],[orden]]="","",_xlfn.XLOOKUP(tblOrdenes[[#This Row],[id_operacion]],tblEjecucion[id_operacion],tblEjecucion[precio],0))</f>
        <v/>
      </c>
      <c r="AJ976" s="10">
        <f>IF(tblOrdenes[[#This Row],[orden]]="","",MAX(0,_xlfn.XLOOKUP(tblOrdenes[[#This Row],[id_operacion]],tblEjecucion[id_operacion],tblEjecucion[costo_plan_total],0)-tblOrdenes[[#This Row],[costo_servicio]]))</f>
        <v/>
      </c>
      <c r="AK976" s="10">
        <f>IF(tblOrdenes[[#This Row],[orden]]="","",tblOrdenes[[#This Row],[costo_servicio]]+tblOrdenes[[#This Row],[costo_materiales]])</f>
        <v/>
      </c>
      <c r="AL976" s="6" t="n"/>
      <c r="AM976" s="6" t="n"/>
      <c r="AN976" s="6" t="n"/>
      <c r="AO976" s="3">
        <f>IF(tblOrdenes[[#This Row],[link_checklist]]="","",HYPERLINK(p_ruta_base_checklists&amp;tblOrdenes[[#This Row],[link_checklist]],"abrir"))</f>
        <v/>
      </c>
      <c r="AP976" s="6" t="n"/>
      <c r="AQ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3">
        <f>IF(tblOrdenes[[#This Row],[tipo_ot]]="","",_xlfn.XLOOKUP(tblOrdenes[[#This Row],[tipo_ot]],tblTiposOT[codigo],tblTiposOT[clasificacion],"sin_clasificar"))</f>
        <v/>
      </c>
      <c r="U977" s="3">
        <f>IF(tblOrdenes[[#This Row],[centro_costo]]="","",_xlfn.XLOOKUP(tblOrdenes[[#This Row],[centro_costo]],tblCECO[codigo],tblCECO[linea],"(sin catálogo)"))</f>
        <v/>
      </c>
      <c r="V977" s="3">
        <f>IF(tblOrdenes[[#This Row],[centro_costo]]="","",_xlfn.XLOOKUP(tblOrdenes[[#This Row],[centro_costo]],tblCECO[codigo],tblCECO[area],"(sin catálogo)"))</f>
        <v/>
      </c>
      <c r="W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3">
        <f>IF(tblOrdenes[[#This Row],[centro_costo]]="","",_xlfn.XLOOKUP(tblOrdenes[[#This Row],[centro_costo]],tblCECO[codigo],tblCECO[coordinador],"(sin catálogo)"))</f>
        <v/>
      </c>
      <c r="Y977" s="3">
        <f>IF(tblOrdenes[[#This Row],[puesto_trabajo]]="","",_xlfn.XLOOKUP(tblOrdenes[[#This Row],[puesto_trabajo]],tblPuestos[codigo],tblPuestos[especialidad],"(sin catálogo)"))</f>
        <v/>
      </c>
      <c r="Z977" s="3">
        <f>IF(tblOrdenes[[#This Row],[cod_actividad]]="","",_xlfn.XLOOKUP(tblOrdenes[[#This Row],[cod_actividad]],tblActividades[codigo],tblActividades[descripcion],"(sin catálogo)"))</f>
        <v/>
      </c>
      <c r="AA977" s="12">
        <f>IF(tblOrdenes[[#This Row],[fecha_inicio]]="","",TODAY()-tblOrdenes[[#This Row],[fecha_inicio]])</f>
        <v/>
      </c>
      <c r="AB9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3">
        <f>IF(tblOrdenes[[#This Row],[backlog_habiles]]="","",IF(tblOrdenes[[#This Row],[backlog_habiles]]&lt;0,"FUTURO",IF(tblOrdenes[[#This Row],[backlog_habiles]]&gt;p_dias_backlog_max,"BACKLOG","MES CORRIENTE")))</f>
        <v/>
      </c>
      <c r="AD977" s="3">
        <f>IF(tblOrdenes[[#This Row],[backlog_habiles]]="",FALSE,AND(tblOrdenes[[#This Row],[backlog_habiles]]&gt;p_dias_backlog_min,tblOrdenes[[#This Row],[backlog_habiles]]&lt;=p_dias_backlog_max))</f>
        <v/>
      </c>
      <c r="AE977" s="6" t="n"/>
      <c r="AF9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0">
        <f>IF(tblOrdenes[[#This Row],[orden]]="","",_xlfn.XLOOKUP(tblOrdenes[[#This Row],[id_operacion]],tblEjecucion[id_operacion],tblEjecucion[precio],0))</f>
        <v/>
      </c>
      <c r="AJ977" s="10">
        <f>IF(tblOrdenes[[#This Row],[orden]]="","",MAX(0,_xlfn.XLOOKUP(tblOrdenes[[#This Row],[id_operacion]],tblEjecucion[id_operacion],tblEjecucion[costo_plan_total],0)-tblOrdenes[[#This Row],[costo_servicio]]))</f>
        <v/>
      </c>
      <c r="AK977" s="10">
        <f>IF(tblOrdenes[[#This Row],[orden]]="","",tblOrdenes[[#This Row],[costo_servicio]]+tblOrdenes[[#This Row],[costo_materiales]])</f>
        <v/>
      </c>
      <c r="AL977" s="6" t="n"/>
      <c r="AM977" s="6" t="n"/>
      <c r="AN977" s="6" t="n"/>
      <c r="AO977" s="3">
        <f>IF(tblOrdenes[[#This Row],[link_checklist]]="","",HYPERLINK(p_ruta_base_checklists&amp;tblOrdenes[[#This Row],[link_checklist]],"abrir"))</f>
        <v/>
      </c>
      <c r="AP977" s="6" t="n"/>
      <c r="AQ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3">
        <f>IF(tblOrdenes[[#This Row],[tipo_ot]]="","",_xlfn.XLOOKUP(tblOrdenes[[#This Row],[tipo_ot]],tblTiposOT[codigo],tblTiposOT[clasificacion],"sin_clasificar"))</f>
        <v/>
      </c>
      <c r="U978" s="3">
        <f>IF(tblOrdenes[[#This Row],[centro_costo]]="","",_xlfn.XLOOKUP(tblOrdenes[[#This Row],[centro_costo]],tblCECO[codigo],tblCECO[linea],"(sin catálogo)"))</f>
        <v/>
      </c>
      <c r="V978" s="3">
        <f>IF(tblOrdenes[[#This Row],[centro_costo]]="","",_xlfn.XLOOKUP(tblOrdenes[[#This Row],[centro_costo]],tblCECO[codigo],tblCECO[area],"(sin catálogo)"))</f>
        <v/>
      </c>
      <c r="W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3">
        <f>IF(tblOrdenes[[#This Row],[centro_costo]]="","",_xlfn.XLOOKUP(tblOrdenes[[#This Row],[centro_costo]],tblCECO[codigo],tblCECO[coordinador],"(sin catálogo)"))</f>
        <v/>
      </c>
      <c r="Y978" s="3">
        <f>IF(tblOrdenes[[#This Row],[puesto_trabajo]]="","",_xlfn.XLOOKUP(tblOrdenes[[#This Row],[puesto_trabajo]],tblPuestos[codigo],tblPuestos[especialidad],"(sin catálogo)"))</f>
        <v/>
      </c>
      <c r="Z978" s="3">
        <f>IF(tblOrdenes[[#This Row],[cod_actividad]]="","",_xlfn.XLOOKUP(tblOrdenes[[#This Row],[cod_actividad]],tblActividades[codigo],tblActividades[descripcion],"(sin catálogo)"))</f>
        <v/>
      </c>
      <c r="AA978" s="12">
        <f>IF(tblOrdenes[[#This Row],[fecha_inicio]]="","",TODAY()-tblOrdenes[[#This Row],[fecha_inicio]])</f>
        <v/>
      </c>
      <c r="AB9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3">
        <f>IF(tblOrdenes[[#This Row],[backlog_habiles]]="","",IF(tblOrdenes[[#This Row],[backlog_habiles]]&lt;0,"FUTURO",IF(tblOrdenes[[#This Row],[backlog_habiles]]&gt;p_dias_backlog_max,"BACKLOG","MES CORRIENTE")))</f>
        <v/>
      </c>
      <c r="AD978" s="3">
        <f>IF(tblOrdenes[[#This Row],[backlog_habiles]]="",FALSE,AND(tblOrdenes[[#This Row],[backlog_habiles]]&gt;p_dias_backlog_min,tblOrdenes[[#This Row],[backlog_habiles]]&lt;=p_dias_backlog_max))</f>
        <v/>
      </c>
      <c r="AE978" s="6" t="n"/>
      <c r="AF9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0">
        <f>IF(tblOrdenes[[#This Row],[orden]]="","",_xlfn.XLOOKUP(tblOrdenes[[#This Row],[id_operacion]],tblEjecucion[id_operacion],tblEjecucion[precio],0))</f>
        <v/>
      </c>
      <c r="AJ978" s="10">
        <f>IF(tblOrdenes[[#This Row],[orden]]="","",MAX(0,_xlfn.XLOOKUP(tblOrdenes[[#This Row],[id_operacion]],tblEjecucion[id_operacion],tblEjecucion[costo_plan_total],0)-tblOrdenes[[#This Row],[costo_servicio]]))</f>
        <v/>
      </c>
      <c r="AK978" s="10">
        <f>IF(tblOrdenes[[#This Row],[orden]]="","",tblOrdenes[[#This Row],[costo_servicio]]+tblOrdenes[[#This Row],[costo_materiales]])</f>
        <v/>
      </c>
      <c r="AL978" s="6" t="n"/>
      <c r="AM978" s="6" t="n"/>
      <c r="AN978" s="6" t="n"/>
      <c r="AO978" s="3">
        <f>IF(tblOrdenes[[#This Row],[link_checklist]]="","",HYPERLINK(p_ruta_base_checklists&amp;tblOrdenes[[#This Row],[link_checklist]],"abrir"))</f>
        <v/>
      </c>
      <c r="AP978" s="6" t="n"/>
      <c r="AQ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3">
        <f>IF(tblOrdenes[[#This Row],[tipo_ot]]="","",_xlfn.XLOOKUP(tblOrdenes[[#This Row],[tipo_ot]],tblTiposOT[codigo],tblTiposOT[clasificacion],"sin_clasificar"))</f>
        <v/>
      </c>
      <c r="U979" s="3">
        <f>IF(tblOrdenes[[#This Row],[centro_costo]]="","",_xlfn.XLOOKUP(tblOrdenes[[#This Row],[centro_costo]],tblCECO[codigo],tblCECO[linea],"(sin catálogo)"))</f>
        <v/>
      </c>
      <c r="V979" s="3">
        <f>IF(tblOrdenes[[#This Row],[centro_costo]]="","",_xlfn.XLOOKUP(tblOrdenes[[#This Row],[centro_costo]],tblCECO[codigo],tblCECO[area],"(sin catálogo)"))</f>
        <v/>
      </c>
      <c r="W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3">
        <f>IF(tblOrdenes[[#This Row],[centro_costo]]="","",_xlfn.XLOOKUP(tblOrdenes[[#This Row],[centro_costo]],tblCECO[codigo],tblCECO[coordinador],"(sin catálogo)"))</f>
        <v/>
      </c>
      <c r="Y979" s="3">
        <f>IF(tblOrdenes[[#This Row],[puesto_trabajo]]="","",_xlfn.XLOOKUP(tblOrdenes[[#This Row],[puesto_trabajo]],tblPuestos[codigo],tblPuestos[especialidad],"(sin catálogo)"))</f>
        <v/>
      </c>
      <c r="Z979" s="3">
        <f>IF(tblOrdenes[[#This Row],[cod_actividad]]="","",_xlfn.XLOOKUP(tblOrdenes[[#This Row],[cod_actividad]],tblActividades[codigo],tblActividades[descripcion],"(sin catálogo)"))</f>
        <v/>
      </c>
      <c r="AA979" s="12">
        <f>IF(tblOrdenes[[#This Row],[fecha_inicio]]="","",TODAY()-tblOrdenes[[#This Row],[fecha_inicio]])</f>
        <v/>
      </c>
      <c r="AB9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3">
        <f>IF(tblOrdenes[[#This Row],[backlog_habiles]]="","",IF(tblOrdenes[[#This Row],[backlog_habiles]]&lt;0,"FUTURO",IF(tblOrdenes[[#This Row],[backlog_habiles]]&gt;p_dias_backlog_max,"BACKLOG","MES CORRIENTE")))</f>
        <v/>
      </c>
      <c r="AD979" s="3">
        <f>IF(tblOrdenes[[#This Row],[backlog_habiles]]="",FALSE,AND(tblOrdenes[[#This Row],[backlog_habiles]]&gt;p_dias_backlog_min,tblOrdenes[[#This Row],[backlog_habiles]]&lt;=p_dias_backlog_max))</f>
        <v/>
      </c>
      <c r="AE979" s="6" t="n"/>
      <c r="AF9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0">
        <f>IF(tblOrdenes[[#This Row],[orden]]="","",_xlfn.XLOOKUP(tblOrdenes[[#This Row],[id_operacion]],tblEjecucion[id_operacion],tblEjecucion[precio],0))</f>
        <v/>
      </c>
      <c r="AJ979" s="10">
        <f>IF(tblOrdenes[[#This Row],[orden]]="","",MAX(0,_xlfn.XLOOKUP(tblOrdenes[[#This Row],[id_operacion]],tblEjecucion[id_operacion],tblEjecucion[costo_plan_total],0)-tblOrdenes[[#This Row],[costo_servicio]]))</f>
        <v/>
      </c>
      <c r="AK979" s="10">
        <f>IF(tblOrdenes[[#This Row],[orden]]="","",tblOrdenes[[#This Row],[costo_servicio]]+tblOrdenes[[#This Row],[costo_materiales]])</f>
        <v/>
      </c>
      <c r="AL979" s="6" t="n"/>
      <c r="AM979" s="6" t="n"/>
      <c r="AN979" s="6" t="n"/>
      <c r="AO979" s="3">
        <f>IF(tblOrdenes[[#This Row],[link_checklist]]="","",HYPERLINK(p_ruta_base_checklists&amp;tblOrdenes[[#This Row],[link_checklist]],"abrir"))</f>
        <v/>
      </c>
      <c r="AP979" s="6" t="n"/>
      <c r="AQ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3">
        <f>IF(tblOrdenes[[#This Row],[tipo_ot]]="","",_xlfn.XLOOKUP(tblOrdenes[[#This Row],[tipo_ot]],tblTiposOT[codigo],tblTiposOT[clasificacion],"sin_clasificar"))</f>
        <v/>
      </c>
      <c r="U980" s="3">
        <f>IF(tblOrdenes[[#This Row],[centro_costo]]="","",_xlfn.XLOOKUP(tblOrdenes[[#This Row],[centro_costo]],tblCECO[codigo],tblCECO[linea],"(sin catálogo)"))</f>
        <v/>
      </c>
      <c r="V980" s="3">
        <f>IF(tblOrdenes[[#This Row],[centro_costo]]="","",_xlfn.XLOOKUP(tblOrdenes[[#This Row],[centro_costo]],tblCECO[codigo],tblCECO[area],"(sin catálogo)"))</f>
        <v/>
      </c>
      <c r="W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3">
        <f>IF(tblOrdenes[[#This Row],[centro_costo]]="","",_xlfn.XLOOKUP(tblOrdenes[[#This Row],[centro_costo]],tblCECO[codigo],tblCECO[coordinador],"(sin catálogo)"))</f>
        <v/>
      </c>
      <c r="Y980" s="3">
        <f>IF(tblOrdenes[[#This Row],[puesto_trabajo]]="","",_xlfn.XLOOKUP(tblOrdenes[[#This Row],[puesto_trabajo]],tblPuestos[codigo],tblPuestos[especialidad],"(sin catálogo)"))</f>
        <v/>
      </c>
      <c r="Z980" s="3">
        <f>IF(tblOrdenes[[#This Row],[cod_actividad]]="","",_xlfn.XLOOKUP(tblOrdenes[[#This Row],[cod_actividad]],tblActividades[codigo],tblActividades[descripcion],"(sin catálogo)"))</f>
        <v/>
      </c>
      <c r="AA980" s="12">
        <f>IF(tblOrdenes[[#This Row],[fecha_inicio]]="","",TODAY()-tblOrdenes[[#This Row],[fecha_inicio]])</f>
        <v/>
      </c>
      <c r="AB9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3">
        <f>IF(tblOrdenes[[#This Row],[backlog_habiles]]="","",IF(tblOrdenes[[#This Row],[backlog_habiles]]&lt;0,"FUTURO",IF(tblOrdenes[[#This Row],[backlog_habiles]]&gt;p_dias_backlog_max,"BACKLOG","MES CORRIENTE")))</f>
        <v/>
      </c>
      <c r="AD980" s="3">
        <f>IF(tblOrdenes[[#This Row],[backlog_habiles]]="",FALSE,AND(tblOrdenes[[#This Row],[backlog_habiles]]&gt;p_dias_backlog_min,tblOrdenes[[#This Row],[backlog_habiles]]&lt;=p_dias_backlog_max))</f>
        <v/>
      </c>
      <c r="AE980" s="6" t="n"/>
      <c r="AF9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0">
        <f>IF(tblOrdenes[[#This Row],[orden]]="","",_xlfn.XLOOKUP(tblOrdenes[[#This Row],[id_operacion]],tblEjecucion[id_operacion],tblEjecucion[precio],0))</f>
        <v/>
      </c>
      <c r="AJ980" s="10">
        <f>IF(tblOrdenes[[#This Row],[orden]]="","",MAX(0,_xlfn.XLOOKUP(tblOrdenes[[#This Row],[id_operacion]],tblEjecucion[id_operacion],tblEjecucion[costo_plan_total],0)-tblOrdenes[[#This Row],[costo_servicio]]))</f>
        <v/>
      </c>
      <c r="AK980" s="10">
        <f>IF(tblOrdenes[[#This Row],[orden]]="","",tblOrdenes[[#This Row],[costo_servicio]]+tblOrdenes[[#This Row],[costo_materiales]])</f>
        <v/>
      </c>
      <c r="AL980" s="6" t="n"/>
      <c r="AM980" s="6" t="n"/>
      <c r="AN980" s="6" t="n"/>
      <c r="AO980" s="3">
        <f>IF(tblOrdenes[[#This Row],[link_checklist]]="","",HYPERLINK(p_ruta_base_checklists&amp;tblOrdenes[[#This Row],[link_checklist]],"abrir"))</f>
        <v/>
      </c>
      <c r="AP980" s="6" t="n"/>
      <c r="AQ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3">
        <f>IF(tblOrdenes[[#This Row],[tipo_ot]]="","",_xlfn.XLOOKUP(tblOrdenes[[#This Row],[tipo_ot]],tblTiposOT[codigo],tblTiposOT[clasificacion],"sin_clasificar"))</f>
        <v/>
      </c>
      <c r="U981" s="3">
        <f>IF(tblOrdenes[[#This Row],[centro_costo]]="","",_xlfn.XLOOKUP(tblOrdenes[[#This Row],[centro_costo]],tblCECO[codigo],tblCECO[linea],"(sin catálogo)"))</f>
        <v/>
      </c>
      <c r="V981" s="3">
        <f>IF(tblOrdenes[[#This Row],[centro_costo]]="","",_xlfn.XLOOKUP(tblOrdenes[[#This Row],[centro_costo]],tblCECO[codigo],tblCECO[area],"(sin catálogo)"))</f>
        <v/>
      </c>
      <c r="W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3">
        <f>IF(tblOrdenes[[#This Row],[centro_costo]]="","",_xlfn.XLOOKUP(tblOrdenes[[#This Row],[centro_costo]],tblCECO[codigo],tblCECO[coordinador],"(sin catálogo)"))</f>
        <v/>
      </c>
      <c r="Y981" s="3">
        <f>IF(tblOrdenes[[#This Row],[puesto_trabajo]]="","",_xlfn.XLOOKUP(tblOrdenes[[#This Row],[puesto_trabajo]],tblPuestos[codigo],tblPuestos[especialidad],"(sin catálogo)"))</f>
        <v/>
      </c>
      <c r="Z981" s="3">
        <f>IF(tblOrdenes[[#This Row],[cod_actividad]]="","",_xlfn.XLOOKUP(tblOrdenes[[#This Row],[cod_actividad]],tblActividades[codigo],tblActividades[descripcion],"(sin catálogo)"))</f>
        <v/>
      </c>
      <c r="AA981" s="12">
        <f>IF(tblOrdenes[[#This Row],[fecha_inicio]]="","",TODAY()-tblOrdenes[[#This Row],[fecha_inicio]])</f>
        <v/>
      </c>
      <c r="AB9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3">
        <f>IF(tblOrdenes[[#This Row],[backlog_habiles]]="","",IF(tblOrdenes[[#This Row],[backlog_habiles]]&lt;0,"FUTURO",IF(tblOrdenes[[#This Row],[backlog_habiles]]&gt;p_dias_backlog_max,"BACKLOG","MES CORRIENTE")))</f>
        <v/>
      </c>
      <c r="AD981" s="3">
        <f>IF(tblOrdenes[[#This Row],[backlog_habiles]]="",FALSE,AND(tblOrdenes[[#This Row],[backlog_habiles]]&gt;p_dias_backlog_min,tblOrdenes[[#This Row],[backlog_habiles]]&lt;=p_dias_backlog_max))</f>
        <v/>
      </c>
      <c r="AE981" s="6" t="n"/>
      <c r="AF9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0">
        <f>IF(tblOrdenes[[#This Row],[orden]]="","",_xlfn.XLOOKUP(tblOrdenes[[#This Row],[id_operacion]],tblEjecucion[id_operacion],tblEjecucion[precio],0))</f>
        <v/>
      </c>
      <c r="AJ981" s="10">
        <f>IF(tblOrdenes[[#This Row],[orden]]="","",MAX(0,_xlfn.XLOOKUP(tblOrdenes[[#This Row],[id_operacion]],tblEjecucion[id_operacion],tblEjecucion[costo_plan_total],0)-tblOrdenes[[#This Row],[costo_servicio]]))</f>
        <v/>
      </c>
      <c r="AK981" s="10">
        <f>IF(tblOrdenes[[#This Row],[orden]]="","",tblOrdenes[[#This Row],[costo_servicio]]+tblOrdenes[[#This Row],[costo_materiales]])</f>
        <v/>
      </c>
      <c r="AL981" s="6" t="n"/>
      <c r="AM981" s="6" t="n"/>
      <c r="AN981" s="6" t="n"/>
      <c r="AO981" s="3">
        <f>IF(tblOrdenes[[#This Row],[link_checklist]]="","",HYPERLINK(p_ruta_base_checklists&amp;tblOrdenes[[#This Row],[link_checklist]],"abrir"))</f>
        <v/>
      </c>
      <c r="AP981" s="6" t="n"/>
      <c r="AQ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3">
        <f>IF(tblOrdenes[[#This Row],[tipo_ot]]="","",_xlfn.XLOOKUP(tblOrdenes[[#This Row],[tipo_ot]],tblTiposOT[codigo],tblTiposOT[clasificacion],"sin_clasificar"))</f>
        <v/>
      </c>
      <c r="U982" s="3">
        <f>IF(tblOrdenes[[#This Row],[centro_costo]]="","",_xlfn.XLOOKUP(tblOrdenes[[#This Row],[centro_costo]],tblCECO[codigo],tblCECO[linea],"(sin catálogo)"))</f>
        <v/>
      </c>
      <c r="V982" s="3">
        <f>IF(tblOrdenes[[#This Row],[centro_costo]]="","",_xlfn.XLOOKUP(tblOrdenes[[#This Row],[centro_costo]],tblCECO[codigo],tblCECO[area],"(sin catálogo)"))</f>
        <v/>
      </c>
      <c r="W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3">
        <f>IF(tblOrdenes[[#This Row],[centro_costo]]="","",_xlfn.XLOOKUP(tblOrdenes[[#This Row],[centro_costo]],tblCECO[codigo],tblCECO[coordinador],"(sin catálogo)"))</f>
        <v/>
      </c>
      <c r="Y982" s="3">
        <f>IF(tblOrdenes[[#This Row],[puesto_trabajo]]="","",_xlfn.XLOOKUP(tblOrdenes[[#This Row],[puesto_trabajo]],tblPuestos[codigo],tblPuestos[especialidad],"(sin catálogo)"))</f>
        <v/>
      </c>
      <c r="Z982" s="3">
        <f>IF(tblOrdenes[[#This Row],[cod_actividad]]="","",_xlfn.XLOOKUP(tblOrdenes[[#This Row],[cod_actividad]],tblActividades[codigo],tblActividades[descripcion],"(sin catálogo)"))</f>
        <v/>
      </c>
      <c r="AA982" s="12">
        <f>IF(tblOrdenes[[#This Row],[fecha_inicio]]="","",TODAY()-tblOrdenes[[#This Row],[fecha_inicio]])</f>
        <v/>
      </c>
      <c r="AB9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3">
        <f>IF(tblOrdenes[[#This Row],[backlog_habiles]]="","",IF(tblOrdenes[[#This Row],[backlog_habiles]]&lt;0,"FUTURO",IF(tblOrdenes[[#This Row],[backlog_habiles]]&gt;p_dias_backlog_max,"BACKLOG","MES CORRIENTE")))</f>
        <v/>
      </c>
      <c r="AD982" s="3">
        <f>IF(tblOrdenes[[#This Row],[backlog_habiles]]="",FALSE,AND(tblOrdenes[[#This Row],[backlog_habiles]]&gt;p_dias_backlog_min,tblOrdenes[[#This Row],[backlog_habiles]]&lt;=p_dias_backlog_max))</f>
        <v/>
      </c>
      <c r="AE982" s="6" t="n"/>
      <c r="AF9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0">
        <f>IF(tblOrdenes[[#This Row],[orden]]="","",_xlfn.XLOOKUP(tblOrdenes[[#This Row],[id_operacion]],tblEjecucion[id_operacion],tblEjecucion[precio],0))</f>
        <v/>
      </c>
      <c r="AJ982" s="10">
        <f>IF(tblOrdenes[[#This Row],[orden]]="","",MAX(0,_xlfn.XLOOKUP(tblOrdenes[[#This Row],[id_operacion]],tblEjecucion[id_operacion],tblEjecucion[costo_plan_total],0)-tblOrdenes[[#This Row],[costo_servicio]]))</f>
        <v/>
      </c>
      <c r="AK982" s="10">
        <f>IF(tblOrdenes[[#This Row],[orden]]="","",tblOrdenes[[#This Row],[costo_servicio]]+tblOrdenes[[#This Row],[costo_materiales]])</f>
        <v/>
      </c>
      <c r="AL982" s="6" t="n"/>
      <c r="AM982" s="6" t="n"/>
      <c r="AN982" s="6" t="n"/>
      <c r="AO982" s="3">
        <f>IF(tblOrdenes[[#This Row],[link_checklist]]="","",HYPERLINK(p_ruta_base_checklists&amp;tblOrdenes[[#This Row],[link_checklist]],"abrir"))</f>
        <v/>
      </c>
      <c r="AP982" s="6" t="n"/>
      <c r="AQ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3">
        <f>IF(tblOrdenes[[#This Row],[tipo_ot]]="","",_xlfn.XLOOKUP(tblOrdenes[[#This Row],[tipo_ot]],tblTiposOT[codigo],tblTiposOT[clasificacion],"sin_clasificar"))</f>
        <v/>
      </c>
      <c r="U983" s="3">
        <f>IF(tblOrdenes[[#This Row],[centro_costo]]="","",_xlfn.XLOOKUP(tblOrdenes[[#This Row],[centro_costo]],tblCECO[codigo],tblCECO[linea],"(sin catálogo)"))</f>
        <v/>
      </c>
      <c r="V983" s="3">
        <f>IF(tblOrdenes[[#This Row],[centro_costo]]="","",_xlfn.XLOOKUP(tblOrdenes[[#This Row],[centro_costo]],tblCECO[codigo],tblCECO[area],"(sin catálogo)"))</f>
        <v/>
      </c>
      <c r="W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3">
        <f>IF(tblOrdenes[[#This Row],[centro_costo]]="","",_xlfn.XLOOKUP(tblOrdenes[[#This Row],[centro_costo]],tblCECO[codigo],tblCECO[coordinador],"(sin catálogo)"))</f>
        <v/>
      </c>
      <c r="Y983" s="3">
        <f>IF(tblOrdenes[[#This Row],[puesto_trabajo]]="","",_xlfn.XLOOKUP(tblOrdenes[[#This Row],[puesto_trabajo]],tblPuestos[codigo],tblPuestos[especialidad],"(sin catálogo)"))</f>
        <v/>
      </c>
      <c r="Z983" s="3">
        <f>IF(tblOrdenes[[#This Row],[cod_actividad]]="","",_xlfn.XLOOKUP(tblOrdenes[[#This Row],[cod_actividad]],tblActividades[codigo],tblActividades[descripcion],"(sin catálogo)"))</f>
        <v/>
      </c>
      <c r="AA983" s="12">
        <f>IF(tblOrdenes[[#This Row],[fecha_inicio]]="","",TODAY()-tblOrdenes[[#This Row],[fecha_inicio]])</f>
        <v/>
      </c>
      <c r="AB9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3">
        <f>IF(tblOrdenes[[#This Row],[backlog_habiles]]="","",IF(tblOrdenes[[#This Row],[backlog_habiles]]&lt;0,"FUTURO",IF(tblOrdenes[[#This Row],[backlog_habiles]]&gt;p_dias_backlog_max,"BACKLOG","MES CORRIENTE")))</f>
        <v/>
      </c>
      <c r="AD983" s="3">
        <f>IF(tblOrdenes[[#This Row],[backlog_habiles]]="",FALSE,AND(tblOrdenes[[#This Row],[backlog_habiles]]&gt;p_dias_backlog_min,tblOrdenes[[#This Row],[backlog_habiles]]&lt;=p_dias_backlog_max))</f>
        <v/>
      </c>
      <c r="AE983" s="6" t="n"/>
      <c r="AF9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0">
        <f>IF(tblOrdenes[[#This Row],[orden]]="","",_xlfn.XLOOKUP(tblOrdenes[[#This Row],[id_operacion]],tblEjecucion[id_operacion],tblEjecucion[precio],0))</f>
        <v/>
      </c>
      <c r="AJ983" s="10">
        <f>IF(tblOrdenes[[#This Row],[orden]]="","",MAX(0,_xlfn.XLOOKUP(tblOrdenes[[#This Row],[id_operacion]],tblEjecucion[id_operacion],tblEjecucion[costo_plan_total],0)-tblOrdenes[[#This Row],[costo_servicio]]))</f>
        <v/>
      </c>
      <c r="AK983" s="10">
        <f>IF(tblOrdenes[[#This Row],[orden]]="","",tblOrdenes[[#This Row],[costo_servicio]]+tblOrdenes[[#This Row],[costo_materiales]])</f>
        <v/>
      </c>
      <c r="AL983" s="6" t="n"/>
      <c r="AM983" s="6" t="n"/>
      <c r="AN983" s="6" t="n"/>
      <c r="AO983" s="3">
        <f>IF(tblOrdenes[[#This Row],[link_checklist]]="","",HYPERLINK(p_ruta_base_checklists&amp;tblOrdenes[[#This Row],[link_checklist]],"abrir"))</f>
        <v/>
      </c>
      <c r="AP983" s="6" t="n"/>
      <c r="AQ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3">
        <f>IF(tblOrdenes[[#This Row],[tipo_ot]]="","",_xlfn.XLOOKUP(tblOrdenes[[#This Row],[tipo_ot]],tblTiposOT[codigo],tblTiposOT[clasificacion],"sin_clasificar"))</f>
        <v/>
      </c>
      <c r="U984" s="3">
        <f>IF(tblOrdenes[[#This Row],[centro_costo]]="","",_xlfn.XLOOKUP(tblOrdenes[[#This Row],[centro_costo]],tblCECO[codigo],tblCECO[linea],"(sin catálogo)"))</f>
        <v/>
      </c>
      <c r="V984" s="3">
        <f>IF(tblOrdenes[[#This Row],[centro_costo]]="","",_xlfn.XLOOKUP(tblOrdenes[[#This Row],[centro_costo]],tblCECO[codigo],tblCECO[area],"(sin catálogo)"))</f>
        <v/>
      </c>
      <c r="W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3">
        <f>IF(tblOrdenes[[#This Row],[centro_costo]]="","",_xlfn.XLOOKUP(tblOrdenes[[#This Row],[centro_costo]],tblCECO[codigo],tblCECO[coordinador],"(sin catálogo)"))</f>
        <v/>
      </c>
      <c r="Y984" s="3">
        <f>IF(tblOrdenes[[#This Row],[puesto_trabajo]]="","",_xlfn.XLOOKUP(tblOrdenes[[#This Row],[puesto_trabajo]],tblPuestos[codigo],tblPuestos[especialidad],"(sin catálogo)"))</f>
        <v/>
      </c>
      <c r="Z984" s="3">
        <f>IF(tblOrdenes[[#This Row],[cod_actividad]]="","",_xlfn.XLOOKUP(tblOrdenes[[#This Row],[cod_actividad]],tblActividades[codigo],tblActividades[descripcion],"(sin catálogo)"))</f>
        <v/>
      </c>
      <c r="AA984" s="12">
        <f>IF(tblOrdenes[[#This Row],[fecha_inicio]]="","",TODAY()-tblOrdenes[[#This Row],[fecha_inicio]])</f>
        <v/>
      </c>
      <c r="AB9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3">
        <f>IF(tblOrdenes[[#This Row],[backlog_habiles]]="","",IF(tblOrdenes[[#This Row],[backlog_habiles]]&lt;0,"FUTURO",IF(tblOrdenes[[#This Row],[backlog_habiles]]&gt;p_dias_backlog_max,"BACKLOG","MES CORRIENTE")))</f>
        <v/>
      </c>
      <c r="AD984" s="3">
        <f>IF(tblOrdenes[[#This Row],[backlog_habiles]]="",FALSE,AND(tblOrdenes[[#This Row],[backlog_habiles]]&gt;p_dias_backlog_min,tblOrdenes[[#This Row],[backlog_habiles]]&lt;=p_dias_backlog_max))</f>
        <v/>
      </c>
      <c r="AE984" s="6" t="n"/>
      <c r="AF9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0">
        <f>IF(tblOrdenes[[#This Row],[orden]]="","",_xlfn.XLOOKUP(tblOrdenes[[#This Row],[id_operacion]],tblEjecucion[id_operacion],tblEjecucion[precio],0))</f>
        <v/>
      </c>
      <c r="AJ984" s="10">
        <f>IF(tblOrdenes[[#This Row],[orden]]="","",MAX(0,_xlfn.XLOOKUP(tblOrdenes[[#This Row],[id_operacion]],tblEjecucion[id_operacion],tblEjecucion[costo_plan_total],0)-tblOrdenes[[#This Row],[costo_servicio]]))</f>
        <v/>
      </c>
      <c r="AK984" s="10">
        <f>IF(tblOrdenes[[#This Row],[orden]]="","",tblOrdenes[[#This Row],[costo_servicio]]+tblOrdenes[[#This Row],[costo_materiales]])</f>
        <v/>
      </c>
      <c r="AL984" s="6" t="n"/>
      <c r="AM984" s="6" t="n"/>
      <c r="AN984" s="6" t="n"/>
      <c r="AO984" s="3">
        <f>IF(tblOrdenes[[#This Row],[link_checklist]]="","",HYPERLINK(p_ruta_base_checklists&amp;tblOrdenes[[#This Row],[link_checklist]],"abrir"))</f>
        <v/>
      </c>
      <c r="AP984" s="6" t="n"/>
      <c r="AQ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3">
        <f>IF(tblOrdenes[[#This Row],[tipo_ot]]="","",_xlfn.XLOOKUP(tblOrdenes[[#This Row],[tipo_ot]],tblTiposOT[codigo],tblTiposOT[clasificacion],"sin_clasificar"))</f>
        <v/>
      </c>
      <c r="U985" s="3">
        <f>IF(tblOrdenes[[#This Row],[centro_costo]]="","",_xlfn.XLOOKUP(tblOrdenes[[#This Row],[centro_costo]],tblCECO[codigo],tblCECO[linea],"(sin catálogo)"))</f>
        <v/>
      </c>
      <c r="V985" s="3">
        <f>IF(tblOrdenes[[#This Row],[centro_costo]]="","",_xlfn.XLOOKUP(tblOrdenes[[#This Row],[centro_costo]],tblCECO[codigo],tblCECO[area],"(sin catálogo)"))</f>
        <v/>
      </c>
      <c r="W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3">
        <f>IF(tblOrdenes[[#This Row],[centro_costo]]="","",_xlfn.XLOOKUP(tblOrdenes[[#This Row],[centro_costo]],tblCECO[codigo],tblCECO[coordinador],"(sin catálogo)"))</f>
        <v/>
      </c>
      <c r="Y985" s="3">
        <f>IF(tblOrdenes[[#This Row],[puesto_trabajo]]="","",_xlfn.XLOOKUP(tblOrdenes[[#This Row],[puesto_trabajo]],tblPuestos[codigo],tblPuestos[especialidad],"(sin catálogo)"))</f>
        <v/>
      </c>
      <c r="Z985" s="3">
        <f>IF(tblOrdenes[[#This Row],[cod_actividad]]="","",_xlfn.XLOOKUP(tblOrdenes[[#This Row],[cod_actividad]],tblActividades[codigo],tblActividades[descripcion],"(sin catálogo)"))</f>
        <v/>
      </c>
      <c r="AA985" s="12">
        <f>IF(tblOrdenes[[#This Row],[fecha_inicio]]="","",TODAY()-tblOrdenes[[#This Row],[fecha_inicio]])</f>
        <v/>
      </c>
      <c r="AB9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3">
        <f>IF(tblOrdenes[[#This Row],[backlog_habiles]]="","",IF(tblOrdenes[[#This Row],[backlog_habiles]]&lt;0,"FUTURO",IF(tblOrdenes[[#This Row],[backlog_habiles]]&gt;p_dias_backlog_max,"BACKLOG","MES CORRIENTE")))</f>
        <v/>
      </c>
      <c r="AD985" s="3">
        <f>IF(tblOrdenes[[#This Row],[backlog_habiles]]="",FALSE,AND(tblOrdenes[[#This Row],[backlog_habiles]]&gt;p_dias_backlog_min,tblOrdenes[[#This Row],[backlog_habiles]]&lt;=p_dias_backlog_max))</f>
        <v/>
      </c>
      <c r="AE985" s="6" t="n"/>
      <c r="AF9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0">
        <f>IF(tblOrdenes[[#This Row],[orden]]="","",_xlfn.XLOOKUP(tblOrdenes[[#This Row],[id_operacion]],tblEjecucion[id_operacion],tblEjecucion[precio],0))</f>
        <v/>
      </c>
      <c r="AJ985" s="10">
        <f>IF(tblOrdenes[[#This Row],[orden]]="","",MAX(0,_xlfn.XLOOKUP(tblOrdenes[[#This Row],[id_operacion]],tblEjecucion[id_operacion],tblEjecucion[costo_plan_total],0)-tblOrdenes[[#This Row],[costo_servicio]]))</f>
        <v/>
      </c>
      <c r="AK985" s="10">
        <f>IF(tblOrdenes[[#This Row],[orden]]="","",tblOrdenes[[#This Row],[costo_servicio]]+tblOrdenes[[#This Row],[costo_materiales]])</f>
        <v/>
      </c>
      <c r="AL985" s="6" t="n"/>
      <c r="AM985" s="6" t="n"/>
      <c r="AN985" s="6" t="n"/>
      <c r="AO985" s="3">
        <f>IF(tblOrdenes[[#This Row],[link_checklist]]="","",HYPERLINK(p_ruta_base_checklists&amp;tblOrdenes[[#This Row],[link_checklist]],"abrir"))</f>
        <v/>
      </c>
      <c r="AP985" s="6" t="n"/>
      <c r="AQ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3">
        <f>IF(tblOrdenes[[#This Row],[tipo_ot]]="","",_xlfn.XLOOKUP(tblOrdenes[[#This Row],[tipo_ot]],tblTiposOT[codigo],tblTiposOT[clasificacion],"sin_clasificar"))</f>
        <v/>
      </c>
      <c r="U986" s="3">
        <f>IF(tblOrdenes[[#This Row],[centro_costo]]="","",_xlfn.XLOOKUP(tblOrdenes[[#This Row],[centro_costo]],tblCECO[codigo],tblCECO[linea],"(sin catálogo)"))</f>
        <v/>
      </c>
      <c r="V986" s="3">
        <f>IF(tblOrdenes[[#This Row],[centro_costo]]="","",_xlfn.XLOOKUP(tblOrdenes[[#This Row],[centro_costo]],tblCECO[codigo],tblCECO[area],"(sin catálogo)"))</f>
        <v/>
      </c>
      <c r="W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3">
        <f>IF(tblOrdenes[[#This Row],[centro_costo]]="","",_xlfn.XLOOKUP(tblOrdenes[[#This Row],[centro_costo]],tblCECO[codigo],tblCECO[coordinador],"(sin catálogo)"))</f>
        <v/>
      </c>
      <c r="Y986" s="3">
        <f>IF(tblOrdenes[[#This Row],[puesto_trabajo]]="","",_xlfn.XLOOKUP(tblOrdenes[[#This Row],[puesto_trabajo]],tblPuestos[codigo],tblPuestos[especialidad],"(sin catálogo)"))</f>
        <v/>
      </c>
      <c r="Z986" s="3">
        <f>IF(tblOrdenes[[#This Row],[cod_actividad]]="","",_xlfn.XLOOKUP(tblOrdenes[[#This Row],[cod_actividad]],tblActividades[codigo],tblActividades[descripcion],"(sin catálogo)"))</f>
        <v/>
      </c>
      <c r="AA986" s="12">
        <f>IF(tblOrdenes[[#This Row],[fecha_inicio]]="","",TODAY()-tblOrdenes[[#This Row],[fecha_inicio]])</f>
        <v/>
      </c>
      <c r="AB9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3">
        <f>IF(tblOrdenes[[#This Row],[backlog_habiles]]="","",IF(tblOrdenes[[#This Row],[backlog_habiles]]&lt;0,"FUTURO",IF(tblOrdenes[[#This Row],[backlog_habiles]]&gt;p_dias_backlog_max,"BACKLOG","MES CORRIENTE")))</f>
        <v/>
      </c>
      <c r="AD986" s="3">
        <f>IF(tblOrdenes[[#This Row],[backlog_habiles]]="",FALSE,AND(tblOrdenes[[#This Row],[backlog_habiles]]&gt;p_dias_backlog_min,tblOrdenes[[#This Row],[backlog_habiles]]&lt;=p_dias_backlog_max))</f>
        <v/>
      </c>
      <c r="AE986" s="6" t="n"/>
      <c r="AF9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0">
        <f>IF(tblOrdenes[[#This Row],[orden]]="","",_xlfn.XLOOKUP(tblOrdenes[[#This Row],[id_operacion]],tblEjecucion[id_operacion],tblEjecucion[precio],0))</f>
        <v/>
      </c>
      <c r="AJ986" s="10">
        <f>IF(tblOrdenes[[#This Row],[orden]]="","",MAX(0,_xlfn.XLOOKUP(tblOrdenes[[#This Row],[id_operacion]],tblEjecucion[id_operacion],tblEjecucion[costo_plan_total],0)-tblOrdenes[[#This Row],[costo_servicio]]))</f>
        <v/>
      </c>
      <c r="AK986" s="10">
        <f>IF(tblOrdenes[[#This Row],[orden]]="","",tblOrdenes[[#This Row],[costo_servicio]]+tblOrdenes[[#This Row],[costo_materiales]])</f>
        <v/>
      </c>
      <c r="AL986" s="6" t="n"/>
      <c r="AM986" s="6" t="n"/>
      <c r="AN986" s="6" t="n"/>
      <c r="AO986" s="3">
        <f>IF(tblOrdenes[[#This Row],[link_checklist]]="","",HYPERLINK(p_ruta_base_checklists&amp;tblOrdenes[[#This Row],[link_checklist]],"abrir"))</f>
        <v/>
      </c>
      <c r="AP986" s="6" t="n"/>
      <c r="AQ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3">
        <f>IF(tblOrdenes[[#This Row],[tipo_ot]]="","",_xlfn.XLOOKUP(tblOrdenes[[#This Row],[tipo_ot]],tblTiposOT[codigo],tblTiposOT[clasificacion],"sin_clasificar"))</f>
        <v/>
      </c>
      <c r="U987" s="3">
        <f>IF(tblOrdenes[[#This Row],[centro_costo]]="","",_xlfn.XLOOKUP(tblOrdenes[[#This Row],[centro_costo]],tblCECO[codigo],tblCECO[linea],"(sin catálogo)"))</f>
        <v/>
      </c>
      <c r="V987" s="3">
        <f>IF(tblOrdenes[[#This Row],[centro_costo]]="","",_xlfn.XLOOKUP(tblOrdenes[[#This Row],[centro_costo]],tblCECO[codigo],tblCECO[area],"(sin catálogo)"))</f>
        <v/>
      </c>
      <c r="W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3">
        <f>IF(tblOrdenes[[#This Row],[centro_costo]]="","",_xlfn.XLOOKUP(tblOrdenes[[#This Row],[centro_costo]],tblCECO[codigo],tblCECO[coordinador],"(sin catálogo)"))</f>
        <v/>
      </c>
      <c r="Y987" s="3">
        <f>IF(tblOrdenes[[#This Row],[puesto_trabajo]]="","",_xlfn.XLOOKUP(tblOrdenes[[#This Row],[puesto_trabajo]],tblPuestos[codigo],tblPuestos[especialidad],"(sin catálogo)"))</f>
        <v/>
      </c>
      <c r="Z987" s="3">
        <f>IF(tblOrdenes[[#This Row],[cod_actividad]]="","",_xlfn.XLOOKUP(tblOrdenes[[#This Row],[cod_actividad]],tblActividades[codigo],tblActividades[descripcion],"(sin catálogo)"))</f>
        <v/>
      </c>
      <c r="AA987" s="12">
        <f>IF(tblOrdenes[[#This Row],[fecha_inicio]]="","",TODAY()-tblOrdenes[[#This Row],[fecha_inicio]])</f>
        <v/>
      </c>
      <c r="AB9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3">
        <f>IF(tblOrdenes[[#This Row],[backlog_habiles]]="","",IF(tblOrdenes[[#This Row],[backlog_habiles]]&lt;0,"FUTURO",IF(tblOrdenes[[#This Row],[backlog_habiles]]&gt;p_dias_backlog_max,"BACKLOG","MES CORRIENTE")))</f>
        <v/>
      </c>
      <c r="AD987" s="3">
        <f>IF(tblOrdenes[[#This Row],[backlog_habiles]]="",FALSE,AND(tblOrdenes[[#This Row],[backlog_habiles]]&gt;p_dias_backlog_min,tblOrdenes[[#This Row],[backlog_habiles]]&lt;=p_dias_backlog_max))</f>
        <v/>
      </c>
      <c r="AE987" s="6" t="n"/>
      <c r="AF9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0">
        <f>IF(tblOrdenes[[#This Row],[orden]]="","",_xlfn.XLOOKUP(tblOrdenes[[#This Row],[id_operacion]],tblEjecucion[id_operacion],tblEjecucion[precio],0))</f>
        <v/>
      </c>
      <c r="AJ987" s="10">
        <f>IF(tblOrdenes[[#This Row],[orden]]="","",MAX(0,_xlfn.XLOOKUP(tblOrdenes[[#This Row],[id_operacion]],tblEjecucion[id_operacion],tblEjecucion[costo_plan_total],0)-tblOrdenes[[#This Row],[costo_servicio]]))</f>
        <v/>
      </c>
      <c r="AK987" s="10">
        <f>IF(tblOrdenes[[#This Row],[orden]]="","",tblOrdenes[[#This Row],[costo_servicio]]+tblOrdenes[[#This Row],[costo_materiales]])</f>
        <v/>
      </c>
      <c r="AL987" s="6" t="n"/>
      <c r="AM987" s="6" t="n"/>
      <c r="AN987" s="6" t="n"/>
      <c r="AO987" s="3">
        <f>IF(tblOrdenes[[#This Row],[link_checklist]]="","",HYPERLINK(p_ruta_base_checklists&amp;tblOrdenes[[#This Row],[link_checklist]],"abrir"))</f>
        <v/>
      </c>
      <c r="AP987" s="6" t="n"/>
      <c r="AQ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3">
        <f>IF(tblOrdenes[[#This Row],[tipo_ot]]="","",_xlfn.XLOOKUP(tblOrdenes[[#This Row],[tipo_ot]],tblTiposOT[codigo],tblTiposOT[clasificacion],"sin_clasificar"))</f>
        <v/>
      </c>
      <c r="U988" s="3">
        <f>IF(tblOrdenes[[#This Row],[centro_costo]]="","",_xlfn.XLOOKUP(tblOrdenes[[#This Row],[centro_costo]],tblCECO[codigo],tblCECO[linea],"(sin catálogo)"))</f>
        <v/>
      </c>
      <c r="V988" s="3">
        <f>IF(tblOrdenes[[#This Row],[centro_costo]]="","",_xlfn.XLOOKUP(tblOrdenes[[#This Row],[centro_costo]],tblCECO[codigo],tblCECO[area],"(sin catálogo)"))</f>
        <v/>
      </c>
      <c r="W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3">
        <f>IF(tblOrdenes[[#This Row],[centro_costo]]="","",_xlfn.XLOOKUP(tblOrdenes[[#This Row],[centro_costo]],tblCECO[codigo],tblCECO[coordinador],"(sin catálogo)"))</f>
        <v/>
      </c>
      <c r="Y988" s="3">
        <f>IF(tblOrdenes[[#This Row],[puesto_trabajo]]="","",_xlfn.XLOOKUP(tblOrdenes[[#This Row],[puesto_trabajo]],tblPuestos[codigo],tblPuestos[especialidad],"(sin catálogo)"))</f>
        <v/>
      </c>
      <c r="Z988" s="3">
        <f>IF(tblOrdenes[[#This Row],[cod_actividad]]="","",_xlfn.XLOOKUP(tblOrdenes[[#This Row],[cod_actividad]],tblActividades[codigo],tblActividades[descripcion],"(sin catálogo)"))</f>
        <v/>
      </c>
      <c r="AA988" s="12">
        <f>IF(tblOrdenes[[#This Row],[fecha_inicio]]="","",TODAY()-tblOrdenes[[#This Row],[fecha_inicio]])</f>
        <v/>
      </c>
      <c r="AB9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3">
        <f>IF(tblOrdenes[[#This Row],[backlog_habiles]]="","",IF(tblOrdenes[[#This Row],[backlog_habiles]]&lt;0,"FUTURO",IF(tblOrdenes[[#This Row],[backlog_habiles]]&gt;p_dias_backlog_max,"BACKLOG","MES CORRIENTE")))</f>
        <v/>
      </c>
      <c r="AD988" s="3">
        <f>IF(tblOrdenes[[#This Row],[backlog_habiles]]="",FALSE,AND(tblOrdenes[[#This Row],[backlog_habiles]]&gt;p_dias_backlog_min,tblOrdenes[[#This Row],[backlog_habiles]]&lt;=p_dias_backlog_max))</f>
        <v/>
      </c>
      <c r="AE988" s="6" t="n"/>
      <c r="AF9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0">
        <f>IF(tblOrdenes[[#This Row],[orden]]="","",_xlfn.XLOOKUP(tblOrdenes[[#This Row],[id_operacion]],tblEjecucion[id_operacion],tblEjecucion[precio],0))</f>
        <v/>
      </c>
      <c r="AJ988" s="10">
        <f>IF(tblOrdenes[[#This Row],[orden]]="","",MAX(0,_xlfn.XLOOKUP(tblOrdenes[[#This Row],[id_operacion]],tblEjecucion[id_operacion],tblEjecucion[costo_plan_total],0)-tblOrdenes[[#This Row],[costo_servicio]]))</f>
        <v/>
      </c>
      <c r="AK988" s="10">
        <f>IF(tblOrdenes[[#This Row],[orden]]="","",tblOrdenes[[#This Row],[costo_servicio]]+tblOrdenes[[#This Row],[costo_materiales]])</f>
        <v/>
      </c>
      <c r="AL988" s="6" t="n"/>
      <c r="AM988" s="6" t="n"/>
      <c r="AN988" s="6" t="n"/>
      <c r="AO988" s="3">
        <f>IF(tblOrdenes[[#This Row],[link_checklist]]="","",HYPERLINK(p_ruta_base_checklists&amp;tblOrdenes[[#This Row],[link_checklist]],"abrir"))</f>
        <v/>
      </c>
      <c r="AP988" s="6" t="n"/>
      <c r="AQ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3">
        <f>IF(tblOrdenes[[#This Row],[tipo_ot]]="","",_xlfn.XLOOKUP(tblOrdenes[[#This Row],[tipo_ot]],tblTiposOT[codigo],tblTiposOT[clasificacion],"sin_clasificar"))</f>
        <v/>
      </c>
      <c r="U989" s="3">
        <f>IF(tblOrdenes[[#This Row],[centro_costo]]="","",_xlfn.XLOOKUP(tblOrdenes[[#This Row],[centro_costo]],tblCECO[codigo],tblCECO[linea],"(sin catálogo)"))</f>
        <v/>
      </c>
      <c r="V989" s="3">
        <f>IF(tblOrdenes[[#This Row],[centro_costo]]="","",_xlfn.XLOOKUP(tblOrdenes[[#This Row],[centro_costo]],tblCECO[codigo],tblCECO[area],"(sin catálogo)"))</f>
        <v/>
      </c>
      <c r="W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3">
        <f>IF(tblOrdenes[[#This Row],[centro_costo]]="","",_xlfn.XLOOKUP(tblOrdenes[[#This Row],[centro_costo]],tblCECO[codigo],tblCECO[coordinador],"(sin catálogo)"))</f>
        <v/>
      </c>
      <c r="Y989" s="3">
        <f>IF(tblOrdenes[[#This Row],[puesto_trabajo]]="","",_xlfn.XLOOKUP(tblOrdenes[[#This Row],[puesto_trabajo]],tblPuestos[codigo],tblPuestos[especialidad],"(sin catálogo)"))</f>
        <v/>
      </c>
      <c r="Z989" s="3">
        <f>IF(tblOrdenes[[#This Row],[cod_actividad]]="","",_xlfn.XLOOKUP(tblOrdenes[[#This Row],[cod_actividad]],tblActividades[codigo],tblActividades[descripcion],"(sin catálogo)"))</f>
        <v/>
      </c>
      <c r="AA989" s="12">
        <f>IF(tblOrdenes[[#This Row],[fecha_inicio]]="","",TODAY()-tblOrdenes[[#This Row],[fecha_inicio]])</f>
        <v/>
      </c>
      <c r="AB9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3">
        <f>IF(tblOrdenes[[#This Row],[backlog_habiles]]="","",IF(tblOrdenes[[#This Row],[backlog_habiles]]&lt;0,"FUTURO",IF(tblOrdenes[[#This Row],[backlog_habiles]]&gt;p_dias_backlog_max,"BACKLOG","MES CORRIENTE")))</f>
        <v/>
      </c>
      <c r="AD989" s="3">
        <f>IF(tblOrdenes[[#This Row],[backlog_habiles]]="",FALSE,AND(tblOrdenes[[#This Row],[backlog_habiles]]&gt;p_dias_backlog_min,tblOrdenes[[#This Row],[backlog_habiles]]&lt;=p_dias_backlog_max))</f>
        <v/>
      </c>
      <c r="AE989" s="6" t="n"/>
      <c r="AF9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0">
        <f>IF(tblOrdenes[[#This Row],[orden]]="","",_xlfn.XLOOKUP(tblOrdenes[[#This Row],[id_operacion]],tblEjecucion[id_operacion],tblEjecucion[precio],0))</f>
        <v/>
      </c>
      <c r="AJ989" s="10">
        <f>IF(tblOrdenes[[#This Row],[orden]]="","",MAX(0,_xlfn.XLOOKUP(tblOrdenes[[#This Row],[id_operacion]],tblEjecucion[id_operacion],tblEjecucion[costo_plan_total],0)-tblOrdenes[[#This Row],[costo_servicio]]))</f>
        <v/>
      </c>
      <c r="AK989" s="10">
        <f>IF(tblOrdenes[[#This Row],[orden]]="","",tblOrdenes[[#This Row],[costo_servicio]]+tblOrdenes[[#This Row],[costo_materiales]])</f>
        <v/>
      </c>
      <c r="AL989" s="6" t="n"/>
      <c r="AM989" s="6" t="n"/>
      <c r="AN989" s="6" t="n"/>
      <c r="AO989" s="3">
        <f>IF(tblOrdenes[[#This Row],[link_checklist]]="","",HYPERLINK(p_ruta_base_checklists&amp;tblOrdenes[[#This Row],[link_checklist]],"abrir"))</f>
        <v/>
      </c>
      <c r="AP989" s="6" t="n"/>
      <c r="AQ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3">
        <f>IF(tblOrdenes[[#This Row],[tipo_ot]]="","",_xlfn.XLOOKUP(tblOrdenes[[#This Row],[tipo_ot]],tblTiposOT[codigo],tblTiposOT[clasificacion],"sin_clasificar"))</f>
        <v/>
      </c>
      <c r="U990" s="3">
        <f>IF(tblOrdenes[[#This Row],[centro_costo]]="","",_xlfn.XLOOKUP(tblOrdenes[[#This Row],[centro_costo]],tblCECO[codigo],tblCECO[linea],"(sin catálogo)"))</f>
        <v/>
      </c>
      <c r="V990" s="3">
        <f>IF(tblOrdenes[[#This Row],[centro_costo]]="","",_xlfn.XLOOKUP(tblOrdenes[[#This Row],[centro_costo]],tblCECO[codigo],tblCECO[area],"(sin catálogo)"))</f>
        <v/>
      </c>
      <c r="W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3">
        <f>IF(tblOrdenes[[#This Row],[centro_costo]]="","",_xlfn.XLOOKUP(tblOrdenes[[#This Row],[centro_costo]],tblCECO[codigo],tblCECO[coordinador],"(sin catálogo)"))</f>
        <v/>
      </c>
      <c r="Y990" s="3">
        <f>IF(tblOrdenes[[#This Row],[puesto_trabajo]]="","",_xlfn.XLOOKUP(tblOrdenes[[#This Row],[puesto_trabajo]],tblPuestos[codigo],tblPuestos[especialidad],"(sin catálogo)"))</f>
        <v/>
      </c>
      <c r="Z990" s="3">
        <f>IF(tblOrdenes[[#This Row],[cod_actividad]]="","",_xlfn.XLOOKUP(tblOrdenes[[#This Row],[cod_actividad]],tblActividades[codigo],tblActividades[descripcion],"(sin catálogo)"))</f>
        <v/>
      </c>
      <c r="AA990" s="12">
        <f>IF(tblOrdenes[[#This Row],[fecha_inicio]]="","",TODAY()-tblOrdenes[[#This Row],[fecha_inicio]])</f>
        <v/>
      </c>
      <c r="AB9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3">
        <f>IF(tblOrdenes[[#This Row],[backlog_habiles]]="","",IF(tblOrdenes[[#This Row],[backlog_habiles]]&lt;0,"FUTURO",IF(tblOrdenes[[#This Row],[backlog_habiles]]&gt;p_dias_backlog_max,"BACKLOG","MES CORRIENTE")))</f>
        <v/>
      </c>
      <c r="AD990" s="3">
        <f>IF(tblOrdenes[[#This Row],[backlog_habiles]]="",FALSE,AND(tblOrdenes[[#This Row],[backlog_habiles]]&gt;p_dias_backlog_min,tblOrdenes[[#This Row],[backlog_habiles]]&lt;=p_dias_backlog_max))</f>
        <v/>
      </c>
      <c r="AE990" s="6" t="n"/>
      <c r="AF9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0">
        <f>IF(tblOrdenes[[#This Row],[orden]]="","",_xlfn.XLOOKUP(tblOrdenes[[#This Row],[id_operacion]],tblEjecucion[id_operacion],tblEjecucion[precio],0))</f>
        <v/>
      </c>
      <c r="AJ990" s="10">
        <f>IF(tblOrdenes[[#This Row],[orden]]="","",MAX(0,_xlfn.XLOOKUP(tblOrdenes[[#This Row],[id_operacion]],tblEjecucion[id_operacion],tblEjecucion[costo_plan_total],0)-tblOrdenes[[#This Row],[costo_servicio]]))</f>
        <v/>
      </c>
      <c r="AK990" s="10">
        <f>IF(tblOrdenes[[#This Row],[orden]]="","",tblOrdenes[[#This Row],[costo_servicio]]+tblOrdenes[[#This Row],[costo_materiales]])</f>
        <v/>
      </c>
      <c r="AL990" s="6" t="n"/>
      <c r="AM990" s="6" t="n"/>
      <c r="AN990" s="6" t="n"/>
      <c r="AO990" s="3">
        <f>IF(tblOrdenes[[#This Row],[link_checklist]]="","",HYPERLINK(p_ruta_base_checklists&amp;tblOrdenes[[#This Row],[link_checklist]],"abrir"))</f>
        <v/>
      </c>
      <c r="AP990" s="6" t="n"/>
      <c r="AQ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3">
        <f>IF(tblOrdenes[[#This Row],[tipo_ot]]="","",_xlfn.XLOOKUP(tblOrdenes[[#This Row],[tipo_ot]],tblTiposOT[codigo],tblTiposOT[clasificacion],"sin_clasificar"))</f>
        <v/>
      </c>
      <c r="U991" s="3">
        <f>IF(tblOrdenes[[#This Row],[centro_costo]]="","",_xlfn.XLOOKUP(tblOrdenes[[#This Row],[centro_costo]],tblCECO[codigo],tblCECO[linea],"(sin catálogo)"))</f>
        <v/>
      </c>
      <c r="V991" s="3">
        <f>IF(tblOrdenes[[#This Row],[centro_costo]]="","",_xlfn.XLOOKUP(tblOrdenes[[#This Row],[centro_costo]],tblCECO[codigo],tblCECO[area],"(sin catálogo)"))</f>
        <v/>
      </c>
      <c r="W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3">
        <f>IF(tblOrdenes[[#This Row],[centro_costo]]="","",_xlfn.XLOOKUP(tblOrdenes[[#This Row],[centro_costo]],tblCECO[codigo],tblCECO[coordinador],"(sin catálogo)"))</f>
        <v/>
      </c>
      <c r="Y991" s="3">
        <f>IF(tblOrdenes[[#This Row],[puesto_trabajo]]="","",_xlfn.XLOOKUP(tblOrdenes[[#This Row],[puesto_trabajo]],tblPuestos[codigo],tblPuestos[especialidad],"(sin catálogo)"))</f>
        <v/>
      </c>
      <c r="Z991" s="3">
        <f>IF(tblOrdenes[[#This Row],[cod_actividad]]="","",_xlfn.XLOOKUP(tblOrdenes[[#This Row],[cod_actividad]],tblActividades[codigo],tblActividades[descripcion],"(sin catálogo)"))</f>
        <v/>
      </c>
      <c r="AA991" s="12">
        <f>IF(tblOrdenes[[#This Row],[fecha_inicio]]="","",TODAY()-tblOrdenes[[#This Row],[fecha_inicio]])</f>
        <v/>
      </c>
      <c r="AB9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3">
        <f>IF(tblOrdenes[[#This Row],[backlog_habiles]]="","",IF(tblOrdenes[[#This Row],[backlog_habiles]]&lt;0,"FUTURO",IF(tblOrdenes[[#This Row],[backlog_habiles]]&gt;p_dias_backlog_max,"BACKLOG","MES CORRIENTE")))</f>
        <v/>
      </c>
      <c r="AD991" s="3">
        <f>IF(tblOrdenes[[#This Row],[backlog_habiles]]="",FALSE,AND(tblOrdenes[[#This Row],[backlog_habiles]]&gt;p_dias_backlog_min,tblOrdenes[[#This Row],[backlog_habiles]]&lt;=p_dias_backlog_max))</f>
        <v/>
      </c>
      <c r="AE991" s="6" t="n"/>
      <c r="AF9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0">
        <f>IF(tblOrdenes[[#This Row],[orden]]="","",_xlfn.XLOOKUP(tblOrdenes[[#This Row],[id_operacion]],tblEjecucion[id_operacion],tblEjecucion[precio],0))</f>
        <v/>
      </c>
      <c r="AJ991" s="10">
        <f>IF(tblOrdenes[[#This Row],[orden]]="","",MAX(0,_xlfn.XLOOKUP(tblOrdenes[[#This Row],[id_operacion]],tblEjecucion[id_operacion],tblEjecucion[costo_plan_total],0)-tblOrdenes[[#This Row],[costo_servicio]]))</f>
        <v/>
      </c>
      <c r="AK991" s="10">
        <f>IF(tblOrdenes[[#This Row],[orden]]="","",tblOrdenes[[#This Row],[costo_servicio]]+tblOrdenes[[#This Row],[costo_materiales]])</f>
        <v/>
      </c>
      <c r="AL991" s="6" t="n"/>
      <c r="AM991" s="6" t="n"/>
      <c r="AN991" s="6" t="n"/>
      <c r="AO991" s="3">
        <f>IF(tblOrdenes[[#This Row],[link_checklist]]="","",HYPERLINK(p_ruta_base_checklists&amp;tblOrdenes[[#This Row],[link_checklist]],"abrir"))</f>
        <v/>
      </c>
      <c r="AP991" s="6" t="n"/>
      <c r="AQ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3">
        <f>IF(tblOrdenes[[#This Row],[tipo_ot]]="","",_xlfn.XLOOKUP(tblOrdenes[[#This Row],[tipo_ot]],tblTiposOT[codigo],tblTiposOT[clasificacion],"sin_clasificar"))</f>
        <v/>
      </c>
      <c r="U992" s="3">
        <f>IF(tblOrdenes[[#This Row],[centro_costo]]="","",_xlfn.XLOOKUP(tblOrdenes[[#This Row],[centro_costo]],tblCECO[codigo],tblCECO[linea],"(sin catálogo)"))</f>
        <v/>
      </c>
      <c r="V992" s="3">
        <f>IF(tblOrdenes[[#This Row],[centro_costo]]="","",_xlfn.XLOOKUP(tblOrdenes[[#This Row],[centro_costo]],tblCECO[codigo],tblCECO[area],"(sin catálogo)"))</f>
        <v/>
      </c>
      <c r="W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3">
        <f>IF(tblOrdenes[[#This Row],[centro_costo]]="","",_xlfn.XLOOKUP(tblOrdenes[[#This Row],[centro_costo]],tblCECO[codigo],tblCECO[coordinador],"(sin catálogo)"))</f>
        <v/>
      </c>
      <c r="Y992" s="3">
        <f>IF(tblOrdenes[[#This Row],[puesto_trabajo]]="","",_xlfn.XLOOKUP(tblOrdenes[[#This Row],[puesto_trabajo]],tblPuestos[codigo],tblPuestos[especialidad],"(sin catálogo)"))</f>
        <v/>
      </c>
      <c r="Z992" s="3">
        <f>IF(tblOrdenes[[#This Row],[cod_actividad]]="","",_xlfn.XLOOKUP(tblOrdenes[[#This Row],[cod_actividad]],tblActividades[codigo],tblActividades[descripcion],"(sin catálogo)"))</f>
        <v/>
      </c>
      <c r="AA992" s="12">
        <f>IF(tblOrdenes[[#This Row],[fecha_inicio]]="","",TODAY()-tblOrdenes[[#This Row],[fecha_inicio]])</f>
        <v/>
      </c>
      <c r="AB9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3">
        <f>IF(tblOrdenes[[#This Row],[backlog_habiles]]="","",IF(tblOrdenes[[#This Row],[backlog_habiles]]&lt;0,"FUTURO",IF(tblOrdenes[[#This Row],[backlog_habiles]]&gt;p_dias_backlog_max,"BACKLOG","MES CORRIENTE")))</f>
        <v/>
      </c>
      <c r="AD992" s="3">
        <f>IF(tblOrdenes[[#This Row],[backlog_habiles]]="",FALSE,AND(tblOrdenes[[#This Row],[backlog_habiles]]&gt;p_dias_backlog_min,tblOrdenes[[#This Row],[backlog_habiles]]&lt;=p_dias_backlog_max))</f>
        <v/>
      </c>
      <c r="AE992" s="6" t="n"/>
      <c r="AF9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0">
        <f>IF(tblOrdenes[[#This Row],[orden]]="","",_xlfn.XLOOKUP(tblOrdenes[[#This Row],[id_operacion]],tblEjecucion[id_operacion],tblEjecucion[precio],0))</f>
        <v/>
      </c>
      <c r="AJ992" s="10">
        <f>IF(tblOrdenes[[#This Row],[orden]]="","",MAX(0,_xlfn.XLOOKUP(tblOrdenes[[#This Row],[id_operacion]],tblEjecucion[id_operacion],tblEjecucion[costo_plan_total],0)-tblOrdenes[[#This Row],[costo_servicio]]))</f>
        <v/>
      </c>
      <c r="AK992" s="10">
        <f>IF(tblOrdenes[[#This Row],[orden]]="","",tblOrdenes[[#This Row],[costo_servicio]]+tblOrdenes[[#This Row],[costo_materiales]])</f>
        <v/>
      </c>
      <c r="AL992" s="6" t="n"/>
      <c r="AM992" s="6" t="n"/>
      <c r="AN992" s="6" t="n"/>
      <c r="AO992" s="3">
        <f>IF(tblOrdenes[[#This Row],[link_checklist]]="","",HYPERLINK(p_ruta_base_checklists&amp;tblOrdenes[[#This Row],[link_checklist]],"abrir"))</f>
        <v/>
      </c>
      <c r="AP992" s="6" t="n"/>
      <c r="AQ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3">
        <f>IF(tblOrdenes[[#This Row],[tipo_ot]]="","",_xlfn.XLOOKUP(tblOrdenes[[#This Row],[tipo_ot]],tblTiposOT[codigo],tblTiposOT[clasificacion],"sin_clasificar"))</f>
        <v/>
      </c>
      <c r="U993" s="3">
        <f>IF(tblOrdenes[[#This Row],[centro_costo]]="","",_xlfn.XLOOKUP(tblOrdenes[[#This Row],[centro_costo]],tblCECO[codigo],tblCECO[linea],"(sin catálogo)"))</f>
        <v/>
      </c>
      <c r="V993" s="3">
        <f>IF(tblOrdenes[[#This Row],[centro_costo]]="","",_xlfn.XLOOKUP(tblOrdenes[[#This Row],[centro_costo]],tblCECO[codigo],tblCECO[area],"(sin catálogo)"))</f>
        <v/>
      </c>
      <c r="W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3">
        <f>IF(tblOrdenes[[#This Row],[centro_costo]]="","",_xlfn.XLOOKUP(tblOrdenes[[#This Row],[centro_costo]],tblCECO[codigo],tblCECO[coordinador],"(sin catálogo)"))</f>
        <v/>
      </c>
      <c r="Y993" s="3">
        <f>IF(tblOrdenes[[#This Row],[puesto_trabajo]]="","",_xlfn.XLOOKUP(tblOrdenes[[#This Row],[puesto_trabajo]],tblPuestos[codigo],tblPuestos[especialidad],"(sin catálogo)"))</f>
        <v/>
      </c>
      <c r="Z993" s="3">
        <f>IF(tblOrdenes[[#This Row],[cod_actividad]]="","",_xlfn.XLOOKUP(tblOrdenes[[#This Row],[cod_actividad]],tblActividades[codigo],tblActividades[descripcion],"(sin catálogo)"))</f>
        <v/>
      </c>
      <c r="AA993" s="12">
        <f>IF(tblOrdenes[[#This Row],[fecha_inicio]]="","",TODAY()-tblOrdenes[[#This Row],[fecha_inicio]])</f>
        <v/>
      </c>
      <c r="AB9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3">
        <f>IF(tblOrdenes[[#This Row],[backlog_habiles]]="","",IF(tblOrdenes[[#This Row],[backlog_habiles]]&lt;0,"FUTURO",IF(tblOrdenes[[#This Row],[backlog_habiles]]&gt;p_dias_backlog_max,"BACKLOG","MES CORRIENTE")))</f>
        <v/>
      </c>
      <c r="AD993" s="3">
        <f>IF(tblOrdenes[[#This Row],[backlog_habiles]]="",FALSE,AND(tblOrdenes[[#This Row],[backlog_habiles]]&gt;p_dias_backlog_min,tblOrdenes[[#This Row],[backlog_habiles]]&lt;=p_dias_backlog_max))</f>
        <v/>
      </c>
      <c r="AE993" s="6" t="n"/>
      <c r="AF9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0">
        <f>IF(tblOrdenes[[#This Row],[orden]]="","",_xlfn.XLOOKUP(tblOrdenes[[#This Row],[id_operacion]],tblEjecucion[id_operacion],tblEjecucion[precio],0))</f>
        <v/>
      </c>
      <c r="AJ993" s="10">
        <f>IF(tblOrdenes[[#This Row],[orden]]="","",MAX(0,_xlfn.XLOOKUP(tblOrdenes[[#This Row],[id_operacion]],tblEjecucion[id_operacion],tblEjecucion[costo_plan_total],0)-tblOrdenes[[#This Row],[costo_servicio]]))</f>
        <v/>
      </c>
      <c r="AK993" s="10">
        <f>IF(tblOrdenes[[#This Row],[orden]]="","",tblOrdenes[[#This Row],[costo_servicio]]+tblOrdenes[[#This Row],[costo_materiales]])</f>
        <v/>
      </c>
      <c r="AL993" s="6" t="n"/>
      <c r="AM993" s="6" t="n"/>
      <c r="AN993" s="6" t="n"/>
      <c r="AO993" s="3">
        <f>IF(tblOrdenes[[#This Row],[link_checklist]]="","",HYPERLINK(p_ruta_base_checklists&amp;tblOrdenes[[#This Row],[link_checklist]],"abrir"))</f>
        <v/>
      </c>
      <c r="AP993" s="6" t="n"/>
      <c r="AQ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3">
        <f>IF(tblOrdenes[[#This Row],[tipo_ot]]="","",_xlfn.XLOOKUP(tblOrdenes[[#This Row],[tipo_ot]],tblTiposOT[codigo],tblTiposOT[clasificacion],"sin_clasificar"))</f>
        <v/>
      </c>
      <c r="U994" s="3">
        <f>IF(tblOrdenes[[#This Row],[centro_costo]]="","",_xlfn.XLOOKUP(tblOrdenes[[#This Row],[centro_costo]],tblCECO[codigo],tblCECO[linea],"(sin catálogo)"))</f>
        <v/>
      </c>
      <c r="V994" s="3">
        <f>IF(tblOrdenes[[#This Row],[centro_costo]]="","",_xlfn.XLOOKUP(tblOrdenes[[#This Row],[centro_costo]],tblCECO[codigo],tblCECO[area],"(sin catálogo)"))</f>
        <v/>
      </c>
      <c r="W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3">
        <f>IF(tblOrdenes[[#This Row],[centro_costo]]="","",_xlfn.XLOOKUP(tblOrdenes[[#This Row],[centro_costo]],tblCECO[codigo],tblCECO[coordinador],"(sin catálogo)"))</f>
        <v/>
      </c>
      <c r="Y994" s="3">
        <f>IF(tblOrdenes[[#This Row],[puesto_trabajo]]="","",_xlfn.XLOOKUP(tblOrdenes[[#This Row],[puesto_trabajo]],tblPuestos[codigo],tblPuestos[especialidad],"(sin catálogo)"))</f>
        <v/>
      </c>
      <c r="Z994" s="3">
        <f>IF(tblOrdenes[[#This Row],[cod_actividad]]="","",_xlfn.XLOOKUP(tblOrdenes[[#This Row],[cod_actividad]],tblActividades[codigo],tblActividades[descripcion],"(sin catálogo)"))</f>
        <v/>
      </c>
      <c r="AA994" s="12">
        <f>IF(tblOrdenes[[#This Row],[fecha_inicio]]="","",TODAY()-tblOrdenes[[#This Row],[fecha_inicio]])</f>
        <v/>
      </c>
      <c r="AB9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3">
        <f>IF(tblOrdenes[[#This Row],[backlog_habiles]]="","",IF(tblOrdenes[[#This Row],[backlog_habiles]]&lt;0,"FUTURO",IF(tblOrdenes[[#This Row],[backlog_habiles]]&gt;p_dias_backlog_max,"BACKLOG","MES CORRIENTE")))</f>
        <v/>
      </c>
      <c r="AD994" s="3">
        <f>IF(tblOrdenes[[#This Row],[backlog_habiles]]="",FALSE,AND(tblOrdenes[[#This Row],[backlog_habiles]]&gt;p_dias_backlog_min,tblOrdenes[[#This Row],[backlog_habiles]]&lt;=p_dias_backlog_max))</f>
        <v/>
      </c>
      <c r="AE994" s="6" t="n"/>
      <c r="AF9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0">
        <f>IF(tblOrdenes[[#This Row],[orden]]="","",_xlfn.XLOOKUP(tblOrdenes[[#This Row],[id_operacion]],tblEjecucion[id_operacion],tblEjecucion[precio],0))</f>
        <v/>
      </c>
      <c r="AJ994" s="10">
        <f>IF(tblOrdenes[[#This Row],[orden]]="","",MAX(0,_xlfn.XLOOKUP(tblOrdenes[[#This Row],[id_operacion]],tblEjecucion[id_operacion],tblEjecucion[costo_plan_total],0)-tblOrdenes[[#This Row],[costo_servicio]]))</f>
        <v/>
      </c>
      <c r="AK994" s="10">
        <f>IF(tblOrdenes[[#This Row],[orden]]="","",tblOrdenes[[#This Row],[costo_servicio]]+tblOrdenes[[#This Row],[costo_materiales]])</f>
        <v/>
      </c>
      <c r="AL994" s="6" t="n"/>
      <c r="AM994" s="6" t="n"/>
      <c r="AN994" s="6" t="n"/>
      <c r="AO994" s="3">
        <f>IF(tblOrdenes[[#This Row],[link_checklist]]="","",HYPERLINK(p_ruta_base_checklists&amp;tblOrdenes[[#This Row],[link_checklist]],"abrir"))</f>
        <v/>
      </c>
      <c r="AP994" s="6" t="n"/>
      <c r="AQ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3">
        <f>IF(tblOrdenes[[#This Row],[tipo_ot]]="","",_xlfn.XLOOKUP(tblOrdenes[[#This Row],[tipo_ot]],tblTiposOT[codigo],tblTiposOT[clasificacion],"sin_clasificar"))</f>
        <v/>
      </c>
      <c r="U995" s="3">
        <f>IF(tblOrdenes[[#This Row],[centro_costo]]="","",_xlfn.XLOOKUP(tblOrdenes[[#This Row],[centro_costo]],tblCECO[codigo],tblCECO[linea],"(sin catálogo)"))</f>
        <v/>
      </c>
      <c r="V995" s="3">
        <f>IF(tblOrdenes[[#This Row],[centro_costo]]="","",_xlfn.XLOOKUP(tblOrdenes[[#This Row],[centro_costo]],tblCECO[codigo],tblCECO[area],"(sin catálogo)"))</f>
        <v/>
      </c>
      <c r="W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3">
        <f>IF(tblOrdenes[[#This Row],[centro_costo]]="","",_xlfn.XLOOKUP(tblOrdenes[[#This Row],[centro_costo]],tblCECO[codigo],tblCECO[coordinador],"(sin catálogo)"))</f>
        <v/>
      </c>
      <c r="Y995" s="3">
        <f>IF(tblOrdenes[[#This Row],[puesto_trabajo]]="","",_xlfn.XLOOKUP(tblOrdenes[[#This Row],[puesto_trabajo]],tblPuestos[codigo],tblPuestos[especialidad],"(sin catálogo)"))</f>
        <v/>
      </c>
      <c r="Z995" s="3">
        <f>IF(tblOrdenes[[#This Row],[cod_actividad]]="","",_xlfn.XLOOKUP(tblOrdenes[[#This Row],[cod_actividad]],tblActividades[codigo],tblActividades[descripcion],"(sin catálogo)"))</f>
        <v/>
      </c>
      <c r="AA995" s="12">
        <f>IF(tblOrdenes[[#This Row],[fecha_inicio]]="","",TODAY()-tblOrdenes[[#This Row],[fecha_inicio]])</f>
        <v/>
      </c>
      <c r="AB9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3">
        <f>IF(tblOrdenes[[#This Row],[backlog_habiles]]="","",IF(tblOrdenes[[#This Row],[backlog_habiles]]&lt;0,"FUTURO",IF(tblOrdenes[[#This Row],[backlog_habiles]]&gt;p_dias_backlog_max,"BACKLOG","MES CORRIENTE")))</f>
        <v/>
      </c>
      <c r="AD995" s="3">
        <f>IF(tblOrdenes[[#This Row],[backlog_habiles]]="",FALSE,AND(tblOrdenes[[#This Row],[backlog_habiles]]&gt;p_dias_backlog_min,tblOrdenes[[#This Row],[backlog_habiles]]&lt;=p_dias_backlog_max))</f>
        <v/>
      </c>
      <c r="AE995" s="6" t="n"/>
      <c r="AF9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0">
        <f>IF(tblOrdenes[[#This Row],[orden]]="","",_xlfn.XLOOKUP(tblOrdenes[[#This Row],[id_operacion]],tblEjecucion[id_operacion],tblEjecucion[precio],0))</f>
        <v/>
      </c>
      <c r="AJ995" s="10">
        <f>IF(tblOrdenes[[#This Row],[orden]]="","",MAX(0,_xlfn.XLOOKUP(tblOrdenes[[#This Row],[id_operacion]],tblEjecucion[id_operacion],tblEjecucion[costo_plan_total],0)-tblOrdenes[[#This Row],[costo_servicio]]))</f>
        <v/>
      </c>
      <c r="AK995" s="10">
        <f>IF(tblOrdenes[[#This Row],[orden]]="","",tblOrdenes[[#This Row],[costo_servicio]]+tblOrdenes[[#This Row],[costo_materiales]])</f>
        <v/>
      </c>
      <c r="AL995" s="6" t="n"/>
      <c r="AM995" s="6" t="n"/>
      <c r="AN995" s="6" t="n"/>
      <c r="AO995" s="3">
        <f>IF(tblOrdenes[[#This Row],[link_checklist]]="","",HYPERLINK(p_ruta_base_checklists&amp;tblOrdenes[[#This Row],[link_checklist]],"abrir"))</f>
        <v/>
      </c>
      <c r="AP995" s="6" t="n"/>
      <c r="AQ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3">
        <f>IF(tblOrdenes[[#This Row],[tipo_ot]]="","",_xlfn.XLOOKUP(tblOrdenes[[#This Row],[tipo_ot]],tblTiposOT[codigo],tblTiposOT[clasificacion],"sin_clasificar"))</f>
        <v/>
      </c>
      <c r="U996" s="3">
        <f>IF(tblOrdenes[[#This Row],[centro_costo]]="","",_xlfn.XLOOKUP(tblOrdenes[[#This Row],[centro_costo]],tblCECO[codigo],tblCECO[linea],"(sin catálogo)"))</f>
        <v/>
      </c>
      <c r="V996" s="3">
        <f>IF(tblOrdenes[[#This Row],[centro_costo]]="","",_xlfn.XLOOKUP(tblOrdenes[[#This Row],[centro_costo]],tblCECO[codigo],tblCECO[area],"(sin catálogo)"))</f>
        <v/>
      </c>
      <c r="W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3">
        <f>IF(tblOrdenes[[#This Row],[centro_costo]]="","",_xlfn.XLOOKUP(tblOrdenes[[#This Row],[centro_costo]],tblCECO[codigo],tblCECO[coordinador],"(sin catálogo)"))</f>
        <v/>
      </c>
      <c r="Y996" s="3">
        <f>IF(tblOrdenes[[#This Row],[puesto_trabajo]]="","",_xlfn.XLOOKUP(tblOrdenes[[#This Row],[puesto_trabajo]],tblPuestos[codigo],tblPuestos[especialidad],"(sin catálogo)"))</f>
        <v/>
      </c>
      <c r="Z996" s="3">
        <f>IF(tblOrdenes[[#This Row],[cod_actividad]]="","",_xlfn.XLOOKUP(tblOrdenes[[#This Row],[cod_actividad]],tblActividades[codigo],tblActividades[descripcion],"(sin catálogo)"))</f>
        <v/>
      </c>
      <c r="AA996" s="12">
        <f>IF(tblOrdenes[[#This Row],[fecha_inicio]]="","",TODAY()-tblOrdenes[[#This Row],[fecha_inicio]])</f>
        <v/>
      </c>
      <c r="AB9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3">
        <f>IF(tblOrdenes[[#This Row],[backlog_habiles]]="","",IF(tblOrdenes[[#This Row],[backlog_habiles]]&lt;0,"FUTURO",IF(tblOrdenes[[#This Row],[backlog_habiles]]&gt;p_dias_backlog_max,"BACKLOG","MES CORRIENTE")))</f>
        <v/>
      </c>
      <c r="AD996" s="3">
        <f>IF(tblOrdenes[[#This Row],[backlog_habiles]]="",FALSE,AND(tblOrdenes[[#This Row],[backlog_habiles]]&gt;p_dias_backlog_min,tblOrdenes[[#This Row],[backlog_habiles]]&lt;=p_dias_backlog_max))</f>
        <v/>
      </c>
      <c r="AE996" s="6" t="n"/>
      <c r="AF9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0">
        <f>IF(tblOrdenes[[#This Row],[orden]]="","",_xlfn.XLOOKUP(tblOrdenes[[#This Row],[id_operacion]],tblEjecucion[id_operacion],tblEjecucion[precio],0))</f>
        <v/>
      </c>
      <c r="AJ996" s="10">
        <f>IF(tblOrdenes[[#This Row],[orden]]="","",MAX(0,_xlfn.XLOOKUP(tblOrdenes[[#This Row],[id_operacion]],tblEjecucion[id_operacion],tblEjecucion[costo_plan_total],0)-tblOrdenes[[#This Row],[costo_servicio]]))</f>
        <v/>
      </c>
      <c r="AK996" s="10">
        <f>IF(tblOrdenes[[#This Row],[orden]]="","",tblOrdenes[[#This Row],[costo_servicio]]+tblOrdenes[[#This Row],[costo_materiales]])</f>
        <v/>
      </c>
      <c r="AL996" s="6" t="n"/>
      <c r="AM996" s="6" t="n"/>
      <c r="AN996" s="6" t="n"/>
      <c r="AO996" s="3">
        <f>IF(tblOrdenes[[#This Row],[link_checklist]]="","",HYPERLINK(p_ruta_base_checklists&amp;tblOrdenes[[#This Row],[link_checklist]],"abrir"))</f>
        <v/>
      </c>
      <c r="AP996" s="6" t="n"/>
      <c r="AQ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3">
        <f>IF(tblOrdenes[[#This Row],[tipo_ot]]="","",_xlfn.XLOOKUP(tblOrdenes[[#This Row],[tipo_ot]],tblTiposOT[codigo],tblTiposOT[clasificacion],"sin_clasificar"))</f>
        <v/>
      </c>
      <c r="U997" s="3">
        <f>IF(tblOrdenes[[#This Row],[centro_costo]]="","",_xlfn.XLOOKUP(tblOrdenes[[#This Row],[centro_costo]],tblCECO[codigo],tblCECO[linea],"(sin catálogo)"))</f>
        <v/>
      </c>
      <c r="V997" s="3">
        <f>IF(tblOrdenes[[#This Row],[centro_costo]]="","",_xlfn.XLOOKUP(tblOrdenes[[#This Row],[centro_costo]],tblCECO[codigo],tblCECO[area],"(sin catálogo)"))</f>
        <v/>
      </c>
      <c r="W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3">
        <f>IF(tblOrdenes[[#This Row],[centro_costo]]="","",_xlfn.XLOOKUP(tblOrdenes[[#This Row],[centro_costo]],tblCECO[codigo],tblCECO[coordinador],"(sin catálogo)"))</f>
        <v/>
      </c>
      <c r="Y997" s="3">
        <f>IF(tblOrdenes[[#This Row],[puesto_trabajo]]="","",_xlfn.XLOOKUP(tblOrdenes[[#This Row],[puesto_trabajo]],tblPuestos[codigo],tblPuestos[especialidad],"(sin catálogo)"))</f>
        <v/>
      </c>
      <c r="Z997" s="3">
        <f>IF(tblOrdenes[[#This Row],[cod_actividad]]="","",_xlfn.XLOOKUP(tblOrdenes[[#This Row],[cod_actividad]],tblActividades[codigo],tblActividades[descripcion],"(sin catálogo)"))</f>
        <v/>
      </c>
      <c r="AA997" s="12">
        <f>IF(tblOrdenes[[#This Row],[fecha_inicio]]="","",TODAY()-tblOrdenes[[#This Row],[fecha_inicio]])</f>
        <v/>
      </c>
      <c r="AB9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3">
        <f>IF(tblOrdenes[[#This Row],[backlog_habiles]]="","",IF(tblOrdenes[[#This Row],[backlog_habiles]]&lt;0,"FUTURO",IF(tblOrdenes[[#This Row],[backlog_habiles]]&gt;p_dias_backlog_max,"BACKLOG","MES CORRIENTE")))</f>
        <v/>
      </c>
      <c r="AD997" s="3">
        <f>IF(tblOrdenes[[#This Row],[backlog_habiles]]="",FALSE,AND(tblOrdenes[[#This Row],[backlog_habiles]]&gt;p_dias_backlog_min,tblOrdenes[[#This Row],[backlog_habiles]]&lt;=p_dias_backlog_max))</f>
        <v/>
      </c>
      <c r="AE997" s="6" t="n"/>
      <c r="AF9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0">
        <f>IF(tblOrdenes[[#This Row],[orden]]="","",_xlfn.XLOOKUP(tblOrdenes[[#This Row],[id_operacion]],tblEjecucion[id_operacion],tblEjecucion[precio],0))</f>
        <v/>
      </c>
      <c r="AJ997" s="10">
        <f>IF(tblOrdenes[[#This Row],[orden]]="","",MAX(0,_xlfn.XLOOKUP(tblOrdenes[[#This Row],[id_operacion]],tblEjecucion[id_operacion],tblEjecucion[costo_plan_total],0)-tblOrdenes[[#This Row],[costo_servicio]]))</f>
        <v/>
      </c>
      <c r="AK997" s="10">
        <f>IF(tblOrdenes[[#This Row],[orden]]="","",tblOrdenes[[#This Row],[costo_servicio]]+tblOrdenes[[#This Row],[costo_materiales]])</f>
        <v/>
      </c>
      <c r="AL997" s="6" t="n"/>
      <c r="AM997" s="6" t="n"/>
      <c r="AN997" s="6" t="n"/>
      <c r="AO997" s="3">
        <f>IF(tblOrdenes[[#This Row],[link_checklist]]="","",HYPERLINK(p_ruta_base_checklists&amp;tblOrdenes[[#This Row],[link_checklist]],"abrir"))</f>
        <v/>
      </c>
      <c r="AP997" s="6" t="n"/>
      <c r="AQ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3">
        <f>IF(tblOrdenes[[#This Row],[tipo_ot]]="","",_xlfn.XLOOKUP(tblOrdenes[[#This Row],[tipo_ot]],tblTiposOT[codigo],tblTiposOT[clasificacion],"sin_clasificar"))</f>
        <v/>
      </c>
      <c r="U998" s="3">
        <f>IF(tblOrdenes[[#This Row],[centro_costo]]="","",_xlfn.XLOOKUP(tblOrdenes[[#This Row],[centro_costo]],tblCECO[codigo],tblCECO[linea],"(sin catálogo)"))</f>
        <v/>
      </c>
      <c r="V998" s="3">
        <f>IF(tblOrdenes[[#This Row],[centro_costo]]="","",_xlfn.XLOOKUP(tblOrdenes[[#This Row],[centro_costo]],tblCECO[codigo],tblCECO[area],"(sin catálogo)"))</f>
        <v/>
      </c>
      <c r="W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3">
        <f>IF(tblOrdenes[[#This Row],[centro_costo]]="","",_xlfn.XLOOKUP(tblOrdenes[[#This Row],[centro_costo]],tblCECO[codigo],tblCECO[coordinador],"(sin catálogo)"))</f>
        <v/>
      </c>
      <c r="Y998" s="3">
        <f>IF(tblOrdenes[[#This Row],[puesto_trabajo]]="","",_xlfn.XLOOKUP(tblOrdenes[[#This Row],[puesto_trabajo]],tblPuestos[codigo],tblPuestos[especialidad],"(sin catálogo)"))</f>
        <v/>
      </c>
      <c r="Z998" s="3">
        <f>IF(tblOrdenes[[#This Row],[cod_actividad]]="","",_xlfn.XLOOKUP(tblOrdenes[[#This Row],[cod_actividad]],tblActividades[codigo],tblActividades[descripcion],"(sin catálogo)"))</f>
        <v/>
      </c>
      <c r="AA998" s="12">
        <f>IF(tblOrdenes[[#This Row],[fecha_inicio]]="","",TODAY()-tblOrdenes[[#This Row],[fecha_inicio]])</f>
        <v/>
      </c>
      <c r="AB9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3">
        <f>IF(tblOrdenes[[#This Row],[backlog_habiles]]="","",IF(tblOrdenes[[#This Row],[backlog_habiles]]&lt;0,"FUTURO",IF(tblOrdenes[[#This Row],[backlog_habiles]]&gt;p_dias_backlog_max,"BACKLOG","MES CORRIENTE")))</f>
        <v/>
      </c>
      <c r="AD998" s="3">
        <f>IF(tblOrdenes[[#This Row],[backlog_habiles]]="",FALSE,AND(tblOrdenes[[#This Row],[backlog_habiles]]&gt;p_dias_backlog_min,tblOrdenes[[#This Row],[backlog_habiles]]&lt;=p_dias_backlog_max))</f>
        <v/>
      </c>
      <c r="AE998" s="6" t="n"/>
      <c r="AF9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0">
        <f>IF(tblOrdenes[[#This Row],[orden]]="","",_xlfn.XLOOKUP(tblOrdenes[[#This Row],[id_operacion]],tblEjecucion[id_operacion],tblEjecucion[precio],0))</f>
        <v/>
      </c>
      <c r="AJ998" s="10">
        <f>IF(tblOrdenes[[#This Row],[orden]]="","",MAX(0,_xlfn.XLOOKUP(tblOrdenes[[#This Row],[id_operacion]],tblEjecucion[id_operacion],tblEjecucion[costo_plan_total],0)-tblOrdenes[[#This Row],[costo_servicio]]))</f>
        <v/>
      </c>
      <c r="AK998" s="10">
        <f>IF(tblOrdenes[[#This Row],[orden]]="","",tblOrdenes[[#This Row],[costo_servicio]]+tblOrdenes[[#This Row],[costo_materiales]])</f>
        <v/>
      </c>
      <c r="AL998" s="6" t="n"/>
      <c r="AM998" s="6" t="n"/>
      <c r="AN998" s="6" t="n"/>
      <c r="AO998" s="3">
        <f>IF(tblOrdenes[[#This Row],[link_checklist]]="","",HYPERLINK(p_ruta_base_checklists&amp;tblOrdenes[[#This Row],[link_checklist]],"abrir"))</f>
        <v/>
      </c>
      <c r="AP998" s="6" t="n"/>
      <c r="AQ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3">
        <f>IF(tblOrdenes[[#This Row],[tipo_ot]]="","",_xlfn.XLOOKUP(tblOrdenes[[#This Row],[tipo_ot]],tblTiposOT[codigo],tblTiposOT[clasificacion],"sin_clasificar"))</f>
        <v/>
      </c>
      <c r="U999" s="3">
        <f>IF(tblOrdenes[[#This Row],[centro_costo]]="","",_xlfn.XLOOKUP(tblOrdenes[[#This Row],[centro_costo]],tblCECO[codigo],tblCECO[linea],"(sin catálogo)"))</f>
        <v/>
      </c>
      <c r="V999" s="3">
        <f>IF(tblOrdenes[[#This Row],[centro_costo]]="","",_xlfn.XLOOKUP(tblOrdenes[[#This Row],[centro_costo]],tblCECO[codigo],tblCECO[area],"(sin catálogo)"))</f>
        <v/>
      </c>
      <c r="W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3">
        <f>IF(tblOrdenes[[#This Row],[centro_costo]]="","",_xlfn.XLOOKUP(tblOrdenes[[#This Row],[centro_costo]],tblCECO[codigo],tblCECO[coordinador],"(sin catálogo)"))</f>
        <v/>
      </c>
      <c r="Y999" s="3">
        <f>IF(tblOrdenes[[#This Row],[puesto_trabajo]]="","",_xlfn.XLOOKUP(tblOrdenes[[#This Row],[puesto_trabajo]],tblPuestos[codigo],tblPuestos[especialidad],"(sin catálogo)"))</f>
        <v/>
      </c>
      <c r="Z999" s="3">
        <f>IF(tblOrdenes[[#This Row],[cod_actividad]]="","",_xlfn.XLOOKUP(tblOrdenes[[#This Row],[cod_actividad]],tblActividades[codigo],tblActividades[descripcion],"(sin catálogo)"))</f>
        <v/>
      </c>
      <c r="AA999" s="12">
        <f>IF(tblOrdenes[[#This Row],[fecha_inicio]]="","",TODAY()-tblOrdenes[[#This Row],[fecha_inicio]])</f>
        <v/>
      </c>
      <c r="AB9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3">
        <f>IF(tblOrdenes[[#This Row],[backlog_habiles]]="","",IF(tblOrdenes[[#This Row],[backlog_habiles]]&lt;0,"FUTURO",IF(tblOrdenes[[#This Row],[backlog_habiles]]&gt;p_dias_backlog_max,"BACKLOG","MES CORRIENTE")))</f>
        <v/>
      </c>
      <c r="AD999" s="3">
        <f>IF(tblOrdenes[[#This Row],[backlog_habiles]]="",FALSE,AND(tblOrdenes[[#This Row],[backlog_habiles]]&gt;p_dias_backlog_min,tblOrdenes[[#This Row],[backlog_habiles]]&lt;=p_dias_backlog_max))</f>
        <v/>
      </c>
      <c r="AE999" s="6" t="n"/>
      <c r="AF9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0">
        <f>IF(tblOrdenes[[#This Row],[orden]]="","",_xlfn.XLOOKUP(tblOrdenes[[#This Row],[id_operacion]],tblEjecucion[id_operacion],tblEjecucion[precio],0))</f>
        <v/>
      </c>
      <c r="AJ999" s="10">
        <f>IF(tblOrdenes[[#This Row],[orden]]="","",MAX(0,_xlfn.XLOOKUP(tblOrdenes[[#This Row],[id_operacion]],tblEjecucion[id_operacion],tblEjecucion[costo_plan_total],0)-tblOrdenes[[#This Row],[costo_servicio]]))</f>
        <v/>
      </c>
      <c r="AK999" s="10">
        <f>IF(tblOrdenes[[#This Row],[orden]]="","",tblOrdenes[[#This Row],[costo_servicio]]+tblOrdenes[[#This Row],[costo_materiales]])</f>
        <v/>
      </c>
      <c r="AL999" s="6" t="n"/>
      <c r="AM999" s="6" t="n"/>
      <c r="AN999" s="6" t="n"/>
      <c r="AO999" s="3">
        <f>IF(tblOrdenes[[#This Row],[link_checklist]]="","",HYPERLINK(p_ruta_base_checklists&amp;tblOrdenes[[#This Row],[link_checklist]],"abrir"))</f>
        <v/>
      </c>
      <c r="AP999" s="6" t="n"/>
      <c r="AQ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3">
        <f>IF(tblOrdenes[[#This Row],[tipo_ot]]="","",_xlfn.XLOOKUP(tblOrdenes[[#This Row],[tipo_ot]],tblTiposOT[codigo],tblTiposOT[clasificacion],"sin_clasificar"))</f>
        <v/>
      </c>
      <c r="U1000" s="3">
        <f>IF(tblOrdenes[[#This Row],[centro_costo]]="","",_xlfn.XLOOKUP(tblOrdenes[[#This Row],[centro_costo]],tblCECO[codigo],tblCECO[linea],"(sin catálogo)"))</f>
        <v/>
      </c>
      <c r="V1000" s="3">
        <f>IF(tblOrdenes[[#This Row],[centro_costo]]="","",_xlfn.XLOOKUP(tblOrdenes[[#This Row],[centro_costo]],tblCECO[codigo],tblCECO[area],"(sin catálogo)"))</f>
        <v/>
      </c>
      <c r="W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3">
        <f>IF(tblOrdenes[[#This Row],[centro_costo]]="","",_xlfn.XLOOKUP(tblOrdenes[[#This Row],[centro_costo]],tblCECO[codigo],tblCECO[coordinador],"(sin catálogo)"))</f>
        <v/>
      </c>
      <c r="Y1000" s="3">
        <f>IF(tblOrdenes[[#This Row],[puesto_trabajo]]="","",_xlfn.XLOOKUP(tblOrdenes[[#This Row],[puesto_trabajo]],tblPuestos[codigo],tblPuestos[especialidad],"(sin catálogo)"))</f>
        <v/>
      </c>
      <c r="Z1000" s="3">
        <f>IF(tblOrdenes[[#This Row],[cod_actividad]]="","",_xlfn.XLOOKUP(tblOrdenes[[#This Row],[cod_actividad]],tblActividades[codigo],tblActividades[descripcion],"(sin catálogo)"))</f>
        <v/>
      </c>
      <c r="AA1000" s="12">
        <f>IF(tblOrdenes[[#This Row],[fecha_inicio]]="","",TODAY()-tblOrdenes[[#This Row],[fecha_inicio]])</f>
        <v/>
      </c>
      <c r="AB10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3">
        <f>IF(tblOrdenes[[#This Row],[backlog_habiles]]="","",IF(tblOrdenes[[#This Row],[backlog_habiles]]&lt;0,"FUTURO",IF(tblOrdenes[[#This Row],[backlog_habiles]]&gt;p_dias_backlog_max,"BACKLOG","MES CORRIENTE")))</f>
        <v/>
      </c>
      <c r="AD1000" s="3">
        <f>IF(tblOrdenes[[#This Row],[backlog_habiles]]="",FALSE,AND(tblOrdenes[[#This Row],[backlog_habiles]]&gt;p_dias_backlog_min,tblOrdenes[[#This Row],[backlog_habiles]]&lt;=p_dias_backlog_max))</f>
        <v/>
      </c>
      <c r="AE1000" s="6" t="n"/>
      <c r="AF10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0">
        <f>IF(tblOrdenes[[#This Row],[orden]]="","",_xlfn.XLOOKUP(tblOrdenes[[#This Row],[id_operacion]],tblEjecucion[id_operacion],tblEjecucion[precio],0))</f>
        <v/>
      </c>
      <c r="AJ1000" s="10">
        <f>IF(tblOrdenes[[#This Row],[orden]]="","",MAX(0,_xlfn.XLOOKUP(tblOrdenes[[#This Row],[id_operacion]],tblEjecucion[id_operacion],tblEjecucion[costo_plan_total],0)-tblOrdenes[[#This Row],[costo_servicio]]))</f>
        <v/>
      </c>
      <c r="AK1000" s="10">
        <f>IF(tblOrdenes[[#This Row],[orden]]="","",tblOrdenes[[#This Row],[costo_servicio]]+tblOrdenes[[#This Row],[costo_materiales]])</f>
        <v/>
      </c>
      <c r="AL1000" s="6" t="n"/>
      <c r="AM1000" s="6" t="n"/>
      <c r="AN1000" s="6" t="n"/>
      <c r="AO1000" s="3">
        <f>IF(tblOrdenes[[#This Row],[link_checklist]]="","",HYPERLINK(p_ruta_base_checklists&amp;tblOrdenes[[#This Row],[link_checklist]],"abrir"))</f>
        <v/>
      </c>
      <c r="AP1000" s="6" t="n"/>
      <c r="AQ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3">
        <f>IF(tblOrdenes[[#This Row],[tipo_ot]]="","",_xlfn.XLOOKUP(tblOrdenes[[#This Row],[tipo_ot]],tblTiposOT[codigo],tblTiposOT[clasificacion],"sin_clasificar"))</f>
        <v/>
      </c>
      <c r="U1001" s="3">
        <f>IF(tblOrdenes[[#This Row],[centro_costo]]="","",_xlfn.XLOOKUP(tblOrdenes[[#This Row],[centro_costo]],tblCECO[codigo],tblCECO[linea],"(sin catálogo)"))</f>
        <v/>
      </c>
      <c r="V1001" s="3">
        <f>IF(tblOrdenes[[#This Row],[centro_costo]]="","",_xlfn.XLOOKUP(tblOrdenes[[#This Row],[centro_costo]],tblCECO[codigo],tblCECO[area],"(sin catálogo)"))</f>
        <v/>
      </c>
      <c r="W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3">
        <f>IF(tblOrdenes[[#This Row],[centro_costo]]="","",_xlfn.XLOOKUP(tblOrdenes[[#This Row],[centro_costo]],tblCECO[codigo],tblCECO[coordinador],"(sin catálogo)"))</f>
        <v/>
      </c>
      <c r="Y1001" s="3">
        <f>IF(tblOrdenes[[#This Row],[puesto_trabajo]]="","",_xlfn.XLOOKUP(tblOrdenes[[#This Row],[puesto_trabajo]],tblPuestos[codigo],tblPuestos[especialidad],"(sin catálogo)"))</f>
        <v/>
      </c>
      <c r="Z1001" s="3">
        <f>IF(tblOrdenes[[#This Row],[cod_actividad]]="","",_xlfn.XLOOKUP(tblOrdenes[[#This Row],[cod_actividad]],tblActividades[codigo],tblActividades[descripcion],"(sin catálogo)"))</f>
        <v/>
      </c>
      <c r="AA1001" s="12">
        <f>IF(tblOrdenes[[#This Row],[fecha_inicio]]="","",TODAY()-tblOrdenes[[#This Row],[fecha_inicio]])</f>
        <v/>
      </c>
      <c r="AB10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3">
        <f>IF(tblOrdenes[[#This Row],[backlog_habiles]]="","",IF(tblOrdenes[[#This Row],[backlog_habiles]]&lt;0,"FUTURO",IF(tblOrdenes[[#This Row],[backlog_habiles]]&gt;p_dias_backlog_max,"BACKLOG","MES CORRIENTE")))</f>
        <v/>
      </c>
      <c r="AD1001" s="3">
        <f>IF(tblOrdenes[[#This Row],[backlog_habiles]]="",FALSE,AND(tblOrdenes[[#This Row],[backlog_habiles]]&gt;p_dias_backlog_min,tblOrdenes[[#This Row],[backlog_habiles]]&lt;=p_dias_backlog_max))</f>
        <v/>
      </c>
      <c r="AE1001" s="6" t="n"/>
      <c r="AF10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0">
        <f>IF(tblOrdenes[[#This Row],[orden]]="","",_xlfn.XLOOKUP(tblOrdenes[[#This Row],[id_operacion]],tblEjecucion[id_operacion],tblEjecucion[precio],0))</f>
        <v/>
      </c>
      <c r="AJ1001" s="10">
        <f>IF(tblOrdenes[[#This Row],[orden]]="","",MAX(0,_xlfn.XLOOKUP(tblOrdenes[[#This Row],[id_operacion]],tblEjecucion[id_operacion],tblEjecucion[costo_plan_total],0)-tblOrdenes[[#This Row],[costo_servicio]]))</f>
        <v/>
      </c>
      <c r="AK1001" s="10">
        <f>IF(tblOrdenes[[#This Row],[orden]]="","",tblOrdenes[[#This Row],[costo_servicio]]+tblOrdenes[[#This Row],[costo_materiales]])</f>
        <v/>
      </c>
      <c r="AL1001" s="6" t="n"/>
      <c r="AM1001" s="6" t="n"/>
      <c r="AN1001" s="6" t="n"/>
      <c r="AO1001" s="3">
        <f>IF(tblOrdenes[[#This Row],[link_checklist]]="","",HYPERLINK(p_ruta_base_checklists&amp;tblOrdenes[[#This Row],[link_checklist]],"abrir"))</f>
        <v/>
      </c>
      <c r="AP1001" s="6" t="n"/>
      <c r="AQ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3">
        <f>IF(tblOrdenes[[#This Row],[tipo_ot]]="","",_xlfn.XLOOKUP(tblOrdenes[[#This Row],[tipo_ot]],tblTiposOT[codigo],tblTiposOT[clasificacion],"sin_clasificar"))</f>
        <v/>
      </c>
      <c r="U1002" s="3">
        <f>IF(tblOrdenes[[#This Row],[centro_costo]]="","",_xlfn.XLOOKUP(tblOrdenes[[#This Row],[centro_costo]],tblCECO[codigo],tblCECO[linea],"(sin catálogo)"))</f>
        <v/>
      </c>
      <c r="V1002" s="3">
        <f>IF(tblOrdenes[[#This Row],[centro_costo]]="","",_xlfn.XLOOKUP(tblOrdenes[[#This Row],[centro_costo]],tblCECO[codigo],tblCECO[area],"(sin catálogo)"))</f>
        <v/>
      </c>
      <c r="W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3">
        <f>IF(tblOrdenes[[#This Row],[centro_costo]]="","",_xlfn.XLOOKUP(tblOrdenes[[#This Row],[centro_costo]],tblCECO[codigo],tblCECO[coordinador],"(sin catálogo)"))</f>
        <v/>
      </c>
      <c r="Y1002" s="3">
        <f>IF(tblOrdenes[[#This Row],[puesto_trabajo]]="","",_xlfn.XLOOKUP(tblOrdenes[[#This Row],[puesto_trabajo]],tblPuestos[codigo],tblPuestos[especialidad],"(sin catálogo)"))</f>
        <v/>
      </c>
      <c r="Z1002" s="3">
        <f>IF(tblOrdenes[[#This Row],[cod_actividad]]="","",_xlfn.XLOOKUP(tblOrdenes[[#This Row],[cod_actividad]],tblActividades[codigo],tblActividades[descripcion],"(sin catálogo)"))</f>
        <v/>
      </c>
      <c r="AA1002" s="12">
        <f>IF(tblOrdenes[[#This Row],[fecha_inicio]]="","",TODAY()-tblOrdenes[[#This Row],[fecha_inicio]])</f>
        <v/>
      </c>
      <c r="AB10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3">
        <f>IF(tblOrdenes[[#This Row],[backlog_habiles]]="","",IF(tblOrdenes[[#This Row],[backlog_habiles]]&lt;0,"FUTURO",IF(tblOrdenes[[#This Row],[backlog_habiles]]&gt;p_dias_backlog_max,"BACKLOG","MES CORRIENTE")))</f>
        <v/>
      </c>
      <c r="AD1002" s="3">
        <f>IF(tblOrdenes[[#This Row],[backlog_habiles]]="",FALSE,AND(tblOrdenes[[#This Row],[backlog_habiles]]&gt;p_dias_backlog_min,tblOrdenes[[#This Row],[backlog_habiles]]&lt;=p_dias_backlog_max))</f>
        <v/>
      </c>
      <c r="AE1002" s="6" t="n"/>
      <c r="AF10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0">
        <f>IF(tblOrdenes[[#This Row],[orden]]="","",_xlfn.XLOOKUP(tblOrdenes[[#This Row],[id_operacion]],tblEjecucion[id_operacion],tblEjecucion[precio],0))</f>
        <v/>
      </c>
      <c r="AJ1002" s="10">
        <f>IF(tblOrdenes[[#This Row],[orden]]="","",MAX(0,_xlfn.XLOOKUP(tblOrdenes[[#This Row],[id_operacion]],tblEjecucion[id_operacion],tblEjecucion[costo_plan_total],0)-tblOrdenes[[#This Row],[costo_servicio]]))</f>
        <v/>
      </c>
      <c r="AK1002" s="10">
        <f>IF(tblOrdenes[[#This Row],[orden]]="","",tblOrdenes[[#This Row],[costo_servicio]]+tblOrdenes[[#This Row],[costo_materiales]])</f>
        <v/>
      </c>
      <c r="AL1002" s="6" t="n"/>
      <c r="AM1002" s="6" t="n"/>
      <c r="AN1002" s="6" t="n"/>
      <c r="AO1002" s="3">
        <f>IF(tblOrdenes[[#This Row],[link_checklist]]="","",HYPERLINK(p_ruta_base_checklists&amp;tblOrdenes[[#This Row],[link_checklist]],"abrir"))</f>
        <v/>
      </c>
      <c r="AP1002" s="6" t="n"/>
      <c r="AQ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3">
        <f>IF(tblOrdenes[[#This Row],[tipo_ot]]="","",_xlfn.XLOOKUP(tblOrdenes[[#This Row],[tipo_ot]],tblTiposOT[codigo],tblTiposOT[clasificacion],"sin_clasificar"))</f>
        <v/>
      </c>
      <c r="U1003" s="3">
        <f>IF(tblOrdenes[[#This Row],[centro_costo]]="","",_xlfn.XLOOKUP(tblOrdenes[[#This Row],[centro_costo]],tblCECO[codigo],tblCECO[linea],"(sin catálogo)"))</f>
        <v/>
      </c>
      <c r="V1003" s="3">
        <f>IF(tblOrdenes[[#This Row],[centro_costo]]="","",_xlfn.XLOOKUP(tblOrdenes[[#This Row],[centro_costo]],tblCECO[codigo],tblCECO[area],"(sin catálogo)"))</f>
        <v/>
      </c>
      <c r="W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3">
        <f>IF(tblOrdenes[[#This Row],[centro_costo]]="","",_xlfn.XLOOKUP(tblOrdenes[[#This Row],[centro_costo]],tblCECO[codigo],tblCECO[coordinador],"(sin catálogo)"))</f>
        <v/>
      </c>
      <c r="Y1003" s="3">
        <f>IF(tblOrdenes[[#This Row],[puesto_trabajo]]="","",_xlfn.XLOOKUP(tblOrdenes[[#This Row],[puesto_trabajo]],tblPuestos[codigo],tblPuestos[especialidad],"(sin catálogo)"))</f>
        <v/>
      </c>
      <c r="Z1003" s="3">
        <f>IF(tblOrdenes[[#This Row],[cod_actividad]]="","",_xlfn.XLOOKUP(tblOrdenes[[#This Row],[cod_actividad]],tblActividades[codigo],tblActividades[descripcion],"(sin catálogo)"))</f>
        <v/>
      </c>
      <c r="AA1003" s="12">
        <f>IF(tblOrdenes[[#This Row],[fecha_inicio]]="","",TODAY()-tblOrdenes[[#This Row],[fecha_inicio]])</f>
        <v/>
      </c>
      <c r="AB10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3">
        <f>IF(tblOrdenes[[#This Row],[backlog_habiles]]="","",IF(tblOrdenes[[#This Row],[backlog_habiles]]&lt;0,"FUTURO",IF(tblOrdenes[[#This Row],[backlog_habiles]]&gt;p_dias_backlog_max,"BACKLOG","MES CORRIENTE")))</f>
        <v/>
      </c>
      <c r="AD1003" s="3">
        <f>IF(tblOrdenes[[#This Row],[backlog_habiles]]="",FALSE,AND(tblOrdenes[[#This Row],[backlog_habiles]]&gt;p_dias_backlog_min,tblOrdenes[[#This Row],[backlog_habiles]]&lt;=p_dias_backlog_max))</f>
        <v/>
      </c>
      <c r="AE1003" s="6" t="n"/>
      <c r="AF10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0">
        <f>IF(tblOrdenes[[#This Row],[orden]]="","",_xlfn.XLOOKUP(tblOrdenes[[#This Row],[id_operacion]],tblEjecucion[id_operacion],tblEjecucion[precio],0))</f>
        <v/>
      </c>
      <c r="AJ1003" s="10">
        <f>IF(tblOrdenes[[#This Row],[orden]]="","",MAX(0,_xlfn.XLOOKUP(tblOrdenes[[#This Row],[id_operacion]],tblEjecucion[id_operacion],tblEjecucion[costo_plan_total],0)-tblOrdenes[[#This Row],[costo_servicio]]))</f>
        <v/>
      </c>
      <c r="AK1003" s="10">
        <f>IF(tblOrdenes[[#This Row],[orden]]="","",tblOrdenes[[#This Row],[costo_servicio]]+tblOrdenes[[#This Row],[costo_materiales]])</f>
        <v/>
      </c>
      <c r="AL1003" s="6" t="n"/>
      <c r="AM1003" s="6" t="n"/>
      <c r="AN1003" s="6" t="n"/>
      <c r="AO1003" s="3">
        <f>IF(tblOrdenes[[#This Row],[link_checklist]]="","",HYPERLINK(p_ruta_base_checklists&amp;tblOrdenes[[#This Row],[link_checklist]],"abrir"))</f>
        <v/>
      </c>
      <c r="AP1003" s="6" t="n"/>
      <c r="AQ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3">
        <f>IF(tblOrdenes[[#This Row],[tipo_ot]]="","",_xlfn.XLOOKUP(tblOrdenes[[#This Row],[tipo_ot]],tblTiposOT[codigo],tblTiposOT[clasificacion],"sin_clasificar"))</f>
        <v/>
      </c>
      <c r="U1004" s="3">
        <f>IF(tblOrdenes[[#This Row],[centro_costo]]="","",_xlfn.XLOOKUP(tblOrdenes[[#This Row],[centro_costo]],tblCECO[codigo],tblCECO[linea],"(sin catálogo)"))</f>
        <v/>
      </c>
      <c r="V1004" s="3">
        <f>IF(tblOrdenes[[#This Row],[centro_costo]]="","",_xlfn.XLOOKUP(tblOrdenes[[#This Row],[centro_costo]],tblCECO[codigo],tblCECO[area],"(sin catálogo)"))</f>
        <v/>
      </c>
      <c r="W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3">
        <f>IF(tblOrdenes[[#This Row],[centro_costo]]="","",_xlfn.XLOOKUP(tblOrdenes[[#This Row],[centro_costo]],tblCECO[codigo],tblCECO[coordinador],"(sin catálogo)"))</f>
        <v/>
      </c>
      <c r="Y1004" s="3">
        <f>IF(tblOrdenes[[#This Row],[puesto_trabajo]]="","",_xlfn.XLOOKUP(tblOrdenes[[#This Row],[puesto_trabajo]],tblPuestos[codigo],tblPuestos[especialidad],"(sin catálogo)"))</f>
        <v/>
      </c>
      <c r="Z1004" s="3">
        <f>IF(tblOrdenes[[#This Row],[cod_actividad]]="","",_xlfn.XLOOKUP(tblOrdenes[[#This Row],[cod_actividad]],tblActividades[codigo],tblActividades[descripcion],"(sin catálogo)"))</f>
        <v/>
      </c>
      <c r="AA1004" s="12">
        <f>IF(tblOrdenes[[#This Row],[fecha_inicio]]="","",TODAY()-tblOrdenes[[#This Row],[fecha_inicio]])</f>
        <v/>
      </c>
      <c r="AB10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3">
        <f>IF(tblOrdenes[[#This Row],[backlog_habiles]]="","",IF(tblOrdenes[[#This Row],[backlog_habiles]]&lt;0,"FUTURO",IF(tblOrdenes[[#This Row],[backlog_habiles]]&gt;p_dias_backlog_max,"BACKLOG","MES CORRIENTE")))</f>
        <v/>
      </c>
      <c r="AD1004" s="3">
        <f>IF(tblOrdenes[[#This Row],[backlog_habiles]]="",FALSE,AND(tblOrdenes[[#This Row],[backlog_habiles]]&gt;p_dias_backlog_min,tblOrdenes[[#This Row],[backlog_habiles]]&lt;=p_dias_backlog_max))</f>
        <v/>
      </c>
      <c r="AE1004" s="6" t="n"/>
      <c r="AF10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0">
        <f>IF(tblOrdenes[[#This Row],[orden]]="","",_xlfn.XLOOKUP(tblOrdenes[[#This Row],[id_operacion]],tblEjecucion[id_operacion],tblEjecucion[precio],0))</f>
        <v/>
      </c>
      <c r="AJ1004" s="10">
        <f>IF(tblOrdenes[[#This Row],[orden]]="","",MAX(0,_xlfn.XLOOKUP(tblOrdenes[[#This Row],[id_operacion]],tblEjecucion[id_operacion],tblEjecucion[costo_plan_total],0)-tblOrdenes[[#This Row],[costo_servicio]]))</f>
        <v/>
      </c>
      <c r="AK1004" s="10">
        <f>IF(tblOrdenes[[#This Row],[orden]]="","",tblOrdenes[[#This Row],[costo_servicio]]+tblOrdenes[[#This Row],[costo_materiales]])</f>
        <v/>
      </c>
      <c r="AL1004" s="6" t="n"/>
      <c r="AM1004" s="6" t="n"/>
      <c r="AN1004" s="6" t="n"/>
      <c r="AO1004" s="3">
        <f>IF(tblOrdenes[[#This Row],[link_checklist]]="","",HYPERLINK(p_ruta_base_checklists&amp;tblOrdenes[[#This Row],[link_checklist]],"abrir"))</f>
        <v/>
      </c>
      <c r="AP1004" s="6" t="n"/>
      <c r="AQ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3">
        <f>IF(tblOrdenes[[#This Row],[tipo_ot]]="","",_xlfn.XLOOKUP(tblOrdenes[[#This Row],[tipo_ot]],tblTiposOT[codigo],tblTiposOT[clasificacion],"sin_clasificar"))</f>
        <v/>
      </c>
      <c r="U1005" s="3">
        <f>IF(tblOrdenes[[#This Row],[centro_costo]]="","",_xlfn.XLOOKUP(tblOrdenes[[#This Row],[centro_costo]],tblCECO[codigo],tblCECO[linea],"(sin catálogo)"))</f>
        <v/>
      </c>
      <c r="V1005" s="3">
        <f>IF(tblOrdenes[[#This Row],[centro_costo]]="","",_xlfn.XLOOKUP(tblOrdenes[[#This Row],[centro_costo]],tblCECO[codigo],tblCECO[area],"(sin catálogo)"))</f>
        <v/>
      </c>
      <c r="W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3">
        <f>IF(tblOrdenes[[#This Row],[centro_costo]]="","",_xlfn.XLOOKUP(tblOrdenes[[#This Row],[centro_costo]],tblCECO[codigo],tblCECO[coordinador],"(sin catálogo)"))</f>
        <v/>
      </c>
      <c r="Y1005" s="3">
        <f>IF(tblOrdenes[[#This Row],[puesto_trabajo]]="","",_xlfn.XLOOKUP(tblOrdenes[[#This Row],[puesto_trabajo]],tblPuestos[codigo],tblPuestos[especialidad],"(sin catálogo)"))</f>
        <v/>
      </c>
      <c r="Z1005" s="3">
        <f>IF(tblOrdenes[[#This Row],[cod_actividad]]="","",_xlfn.XLOOKUP(tblOrdenes[[#This Row],[cod_actividad]],tblActividades[codigo],tblActividades[descripcion],"(sin catálogo)"))</f>
        <v/>
      </c>
      <c r="AA1005" s="12">
        <f>IF(tblOrdenes[[#This Row],[fecha_inicio]]="","",TODAY()-tblOrdenes[[#This Row],[fecha_inicio]])</f>
        <v/>
      </c>
      <c r="AB10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3">
        <f>IF(tblOrdenes[[#This Row],[backlog_habiles]]="","",IF(tblOrdenes[[#This Row],[backlog_habiles]]&lt;0,"FUTURO",IF(tblOrdenes[[#This Row],[backlog_habiles]]&gt;p_dias_backlog_max,"BACKLOG","MES CORRIENTE")))</f>
        <v/>
      </c>
      <c r="AD1005" s="3">
        <f>IF(tblOrdenes[[#This Row],[backlog_habiles]]="",FALSE,AND(tblOrdenes[[#This Row],[backlog_habiles]]&gt;p_dias_backlog_min,tblOrdenes[[#This Row],[backlog_habiles]]&lt;=p_dias_backlog_max))</f>
        <v/>
      </c>
      <c r="AE1005" s="6" t="n"/>
      <c r="AF10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0">
        <f>IF(tblOrdenes[[#This Row],[orden]]="","",_xlfn.XLOOKUP(tblOrdenes[[#This Row],[id_operacion]],tblEjecucion[id_operacion],tblEjecucion[precio],0))</f>
        <v/>
      </c>
      <c r="AJ1005" s="10">
        <f>IF(tblOrdenes[[#This Row],[orden]]="","",MAX(0,_xlfn.XLOOKUP(tblOrdenes[[#This Row],[id_operacion]],tblEjecucion[id_operacion],tblEjecucion[costo_plan_total],0)-tblOrdenes[[#This Row],[costo_servicio]]))</f>
        <v/>
      </c>
      <c r="AK1005" s="10">
        <f>IF(tblOrdenes[[#This Row],[orden]]="","",tblOrdenes[[#This Row],[costo_servicio]]+tblOrdenes[[#This Row],[costo_materiales]])</f>
        <v/>
      </c>
      <c r="AL1005" s="6" t="n"/>
      <c r="AM1005" s="6" t="n"/>
      <c r="AN1005" s="6" t="n"/>
      <c r="AO1005" s="3">
        <f>IF(tblOrdenes[[#This Row],[link_checklist]]="","",HYPERLINK(p_ruta_base_checklists&amp;tblOrdenes[[#This Row],[link_checklist]],"abrir"))</f>
        <v/>
      </c>
      <c r="AP1005" s="6" t="n"/>
      <c r="AQ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3">
        <f>IF(tblOrdenes[[#This Row],[tipo_ot]]="","",_xlfn.XLOOKUP(tblOrdenes[[#This Row],[tipo_ot]],tblTiposOT[codigo],tblTiposOT[clasificacion],"sin_clasificar"))</f>
        <v/>
      </c>
      <c r="U1006" s="3">
        <f>IF(tblOrdenes[[#This Row],[centro_costo]]="","",_xlfn.XLOOKUP(tblOrdenes[[#This Row],[centro_costo]],tblCECO[codigo],tblCECO[linea],"(sin catálogo)"))</f>
        <v/>
      </c>
      <c r="V1006" s="3">
        <f>IF(tblOrdenes[[#This Row],[centro_costo]]="","",_xlfn.XLOOKUP(tblOrdenes[[#This Row],[centro_costo]],tblCECO[codigo],tblCECO[area],"(sin catálogo)"))</f>
        <v/>
      </c>
      <c r="W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3">
        <f>IF(tblOrdenes[[#This Row],[centro_costo]]="","",_xlfn.XLOOKUP(tblOrdenes[[#This Row],[centro_costo]],tblCECO[codigo],tblCECO[coordinador],"(sin catálogo)"))</f>
        <v/>
      </c>
      <c r="Y1006" s="3">
        <f>IF(tblOrdenes[[#This Row],[puesto_trabajo]]="","",_xlfn.XLOOKUP(tblOrdenes[[#This Row],[puesto_trabajo]],tblPuestos[codigo],tblPuestos[especialidad],"(sin catálogo)"))</f>
        <v/>
      </c>
      <c r="Z1006" s="3">
        <f>IF(tblOrdenes[[#This Row],[cod_actividad]]="","",_xlfn.XLOOKUP(tblOrdenes[[#This Row],[cod_actividad]],tblActividades[codigo],tblActividades[descripcion],"(sin catálogo)"))</f>
        <v/>
      </c>
      <c r="AA1006" s="12">
        <f>IF(tblOrdenes[[#This Row],[fecha_inicio]]="","",TODAY()-tblOrdenes[[#This Row],[fecha_inicio]])</f>
        <v/>
      </c>
      <c r="AB10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3">
        <f>IF(tblOrdenes[[#This Row],[backlog_habiles]]="","",IF(tblOrdenes[[#This Row],[backlog_habiles]]&lt;0,"FUTURO",IF(tblOrdenes[[#This Row],[backlog_habiles]]&gt;p_dias_backlog_max,"BACKLOG","MES CORRIENTE")))</f>
        <v/>
      </c>
      <c r="AD1006" s="3">
        <f>IF(tblOrdenes[[#This Row],[backlog_habiles]]="",FALSE,AND(tblOrdenes[[#This Row],[backlog_habiles]]&gt;p_dias_backlog_min,tblOrdenes[[#This Row],[backlog_habiles]]&lt;=p_dias_backlog_max))</f>
        <v/>
      </c>
      <c r="AE1006" s="6" t="n"/>
      <c r="AF10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0">
        <f>IF(tblOrdenes[[#This Row],[orden]]="","",_xlfn.XLOOKUP(tblOrdenes[[#This Row],[id_operacion]],tblEjecucion[id_operacion],tblEjecucion[precio],0))</f>
        <v/>
      </c>
      <c r="AJ1006" s="10">
        <f>IF(tblOrdenes[[#This Row],[orden]]="","",MAX(0,_xlfn.XLOOKUP(tblOrdenes[[#This Row],[id_operacion]],tblEjecucion[id_operacion],tblEjecucion[costo_plan_total],0)-tblOrdenes[[#This Row],[costo_servicio]]))</f>
        <v/>
      </c>
      <c r="AK1006" s="10">
        <f>IF(tblOrdenes[[#This Row],[orden]]="","",tblOrdenes[[#This Row],[costo_servicio]]+tblOrdenes[[#This Row],[costo_materiales]])</f>
        <v/>
      </c>
      <c r="AL1006" s="6" t="n"/>
      <c r="AM1006" s="6" t="n"/>
      <c r="AN1006" s="6" t="n"/>
      <c r="AO1006" s="3">
        <f>IF(tblOrdenes[[#This Row],[link_checklist]]="","",HYPERLINK(p_ruta_base_checklists&amp;tblOrdenes[[#This Row],[link_checklist]],"abrir"))</f>
        <v/>
      </c>
      <c r="AP1006" s="6" t="n"/>
      <c r="AQ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3">
        <f>IF(tblOrdenes[[#This Row],[tipo_ot]]="","",_xlfn.XLOOKUP(tblOrdenes[[#This Row],[tipo_ot]],tblTiposOT[codigo],tblTiposOT[clasificacion],"sin_clasificar"))</f>
        <v/>
      </c>
      <c r="U1007" s="3">
        <f>IF(tblOrdenes[[#This Row],[centro_costo]]="","",_xlfn.XLOOKUP(tblOrdenes[[#This Row],[centro_costo]],tblCECO[codigo],tblCECO[linea],"(sin catálogo)"))</f>
        <v/>
      </c>
      <c r="V1007" s="3">
        <f>IF(tblOrdenes[[#This Row],[centro_costo]]="","",_xlfn.XLOOKUP(tblOrdenes[[#This Row],[centro_costo]],tblCECO[codigo],tblCECO[area],"(sin catálogo)"))</f>
        <v/>
      </c>
      <c r="W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3">
        <f>IF(tblOrdenes[[#This Row],[centro_costo]]="","",_xlfn.XLOOKUP(tblOrdenes[[#This Row],[centro_costo]],tblCECO[codigo],tblCECO[coordinador],"(sin catálogo)"))</f>
        <v/>
      </c>
      <c r="Y1007" s="3">
        <f>IF(tblOrdenes[[#This Row],[puesto_trabajo]]="","",_xlfn.XLOOKUP(tblOrdenes[[#This Row],[puesto_trabajo]],tblPuestos[codigo],tblPuestos[especialidad],"(sin catálogo)"))</f>
        <v/>
      </c>
      <c r="Z1007" s="3">
        <f>IF(tblOrdenes[[#This Row],[cod_actividad]]="","",_xlfn.XLOOKUP(tblOrdenes[[#This Row],[cod_actividad]],tblActividades[codigo],tblActividades[descripcion],"(sin catálogo)"))</f>
        <v/>
      </c>
      <c r="AA1007" s="12">
        <f>IF(tblOrdenes[[#This Row],[fecha_inicio]]="","",TODAY()-tblOrdenes[[#This Row],[fecha_inicio]])</f>
        <v/>
      </c>
      <c r="AB10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3">
        <f>IF(tblOrdenes[[#This Row],[backlog_habiles]]="","",IF(tblOrdenes[[#This Row],[backlog_habiles]]&lt;0,"FUTURO",IF(tblOrdenes[[#This Row],[backlog_habiles]]&gt;p_dias_backlog_max,"BACKLOG","MES CORRIENTE")))</f>
        <v/>
      </c>
      <c r="AD1007" s="3">
        <f>IF(tblOrdenes[[#This Row],[backlog_habiles]]="",FALSE,AND(tblOrdenes[[#This Row],[backlog_habiles]]&gt;p_dias_backlog_min,tblOrdenes[[#This Row],[backlog_habiles]]&lt;=p_dias_backlog_max))</f>
        <v/>
      </c>
      <c r="AE1007" s="6" t="n"/>
      <c r="AF10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0">
        <f>IF(tblOrdenes[[#This Row],[orden]]="","",_xlfn.XLOOKUP(tblOrdenes[[#This Row],[id_operacion]],tblEjecucion[id_operacion],tblEjecucion[precio],0))</f>
        <v/>
      </c>
      <c r="AJ1007" s="10">
        <f>IF(tblOrdenes[[#This Row],[orden]]="","",MAX(0,_xlfn.XLOOKUP(tblOrdenes[[#This Row],[id_operacion]],tblEjecucion[id_operacion],tblEjecucion[costo_plan_total],0)-tblOrdenes[[#This Row],[costo_servicio]]))</f>
        <v/>
      </c>
      <c r="AK1007" s="10">
        <f>IF(tblOrdenes[[#This Row],[orden]]="","",tblOrdenes[[#This Row],[costo_servicio]]+tblOrdenes[[#This Row],[costo_materiales]])</f>
        <v/>
      </c>
      <c r="AL1007" s="6" t="n"/>
      <c r="AM1007" s="6" t="n"/>
      <c r="AN1007" s="6" t="n"/>
      <c r="AO1007" s="3">
        <f>IF(tblOrdenes[[#This Row],[link_checklist]]="","",HYPERLINK(p_ruta_base_checklists&amp;tblOrdenes[[#This Row],[link_checklist]],"abrir"))</f>
        <v/>
      </c>
      <c r="AP1007" s="6" t="n"/>
      <c r="AQ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3">
        <f>IF(tblOrdenes[[#This Row],[tipo_ot]]="","",_xlfn.XLOOKUP(tblOrdenes[[#This Row],[tipo_ot]],tblTiposOT[codigo],tblTiposOT[clasificacion],"sin_clasificar"))</f>
        <v/>
      </c>
      <c r="U1008" s="3">
        <f>IF(tblOrdenes[[#This Row],[centro_costo]]="","",_xlfn.XLOOKUP(tblOrdenes[[#This Row],[centro_costo]],tblCECO[codigo],tblCECO[linea],"(sin catálogo)"))</f>
        <v/>
      </c>
      <c r="V1008" s="3">
        <f>IF(tblOrdenes[[#This Row],[centro_costo]]="","",_xlfn.XLOOKUP(tblOrdenes[[#This Row],[centro_costo]],tblCECO[codigo],tblCECO[area],"(sin catálogo)"))</f>
        <v/>
      </c>
      <c r="W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3">
        <f>IF(tblOrdenes[[#This Row],[centro_costo]]="","",_xlfn.XLOOKUP(tblOrdenes[[#This Row],[centro_costo]],tblCECO[codigo],tblCECO[coordinador],"(sin catálogo)"))</f>
        <v/>
      </c>
      <c r="Y1008" s="3">
        <f>IF(tblOrdenes[[#This Row],[puesto_trabajo]]="","",_xlfn.XLOOKUP(tblOrdenes[[#This Row],[puesto_trabajo]],tblPuestos[codigo],tblPuestos[especialidad],"(sin catálogo)"))</f>
        <v/>
      </c>
      <c r="Z1008" s="3">
        <f>IF(tblOrdenes[[#This Row],[cod_actividad]]="","",_xlfn.XLOOKUP(tblOrdenes[[#This Row],[cod_actividad]],tblActividades[codigo],tblActividades[descripcion],"(sin catálogo)"))</f>
        <v/>
      </c>
      <c r="AA1008" s="12">
        <f>IF(tblOrdenes[[#This Row],[fecha_inicio]]="","",TODAY()-tblOrdenes[[#This Row],[fecha_inicio]])</f>
        <v/>
      </c>
      <c r="AB10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3">
        <f>IF(tblOrdenes[[#This Row],[backlog_habiles]]="","",IF(tblOrdenes[[#This Row],[backlog_habiles]]&lt;0,"FUTURO",IF(tblOrdenes[[#This Row],[backlog_habiles]]&gt;p_dias_backlog_max,"BACKLOG","MES CORRIENTE")))</f>
        <v/>
      </c>
      <c r="AD1008" s="3">
        <f>IF(tblOrdenes[[#This Row],[backlog_habiles]]="",FALSE,AND(tblOrdenes[[#This Row],[backlog_habiles]]&gt;p_dias_backlog_min,tblOrdenes[[#This Row],[backlog_habiles]]&lt;=p_dias_backlog_max))</f>
        <v/>
      </c>
      <c r="AE1008" s="6" t="n"/>
      <c r="AF10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0">
        <f>IF(tblOrdenes[[#This Row],[orden]]="","",_xlfn.XLOOKUP(tblOrdenes[[#This Row],[id_operacion]],tblEjecucion[id_operacion],tblEjecucion[precio],0))</f>
        <v/>
      </c>
      <c r="AJ1008" s="10">
        <f>IF(tblOrdenes[[#This Row],[orden]]="","",MAX(0,_xlfn.XLOOKUP(tblOrdenes[[#This Row],[id_operacion]],tblEjecucion[id_operacion],tblEjecucion[costo_plan_total],0)-tblOrdenes[[#This Row],[costo_servicio]]))</f>
        <v/>
      </c>
      <c r="AK1008" s="10">
        <f>IF(tblOrdenes[[#This Row],[orden]]="","",tblOrdenes[[#This Row],[costo_servicio]]+tblOrdenes[[#This Row],[costo_materiales]])</f>
        <v/>
      </c>
      <c r="AL1008" s="6" t="n"/>
      <c r="AM1008" s="6" t="n"/>
      <c r="AN1008" s="6" t="n"/>
      <c r="AO1008" s="3">
        <f>IF(tblOrdenes[[#This Row],[link_checklist]]="","",HYPERLINK(p_ruta_base_checklists&amp;tblOrdenes[[#This Row],[link_checklist]],"abrir"))</f>
        <v/>
      </c>
      <c r="AP1008" s="6" t="n"/>
      <c r="AQ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3">
        <f>IF(tblOrdenes[[#This Row],[tipo_ot]]="","",_xlfn.XLOOKUP(tblOrdenes[[#This Row],[tipo_ot]],tblTiposOT[codigo],tblTiposOT[clasificacion],"sin_clasificar"))</f>
        <v/>
      </c>
      <c r="U1009" s="3">
        <f>IF(tblOrdenes[[#This Row],[centro_costo]]="","",_xlfn.XLOOKUP(tblOrdenes[[#This Row],[centro_costo]],tblCECO[codigo],tblCECO[linea],"(sin catálogo)"))</f>
        <v/>
      </c>
      <c r="V1009" s="3">
        <f>IF(tblOrdenes[[#This Row],[centro_costo]]="","",_xlfn.XLOOKUP(tblOrdenes[[#This Row],[centro_costo]],tblCECO[codigo],tblCECO[area],"(sin catálogo)"))</f>
        <v/>
      </c>
      <c r="W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3">
        <f>IF(tblOrdenes[[#This Row],[centro_costo]]="","",_xlfn.XLOOKUP(tblOrdenes[[#This Row],[centro_costo]],tblCECO[codigo],tblCECO[coordinador],"(sin catálogo)"))</f>
        <v/>
      </c>
      <c r="Y1009" s="3">
        <f>IF(tblOrdenes[[#This Row],[puesto_trabajo]]="","",_xlfn.XLOOKUP(tblOrdenes[[#This Row],[puesto_trabajo]],tblPuestos[codigo],tblPuestos[especialidad],"(sin catálogo)"))</f>
        <v/>
      </c>
      <c r="Z1009" s="3">
        <f>IF(tblOrdenes[[#This Row],[cod_actividad]]="","",_xlfn.XLOOKUP(tblOrdenes[[#This Row],[cod_actividad]],tblActividades[codigo],tblActividades[descripcion],"(sin catálogo)"))</f>
        <v/>
      </c>
      <c r="AA1009" s="12">
        <f>IF(tblOrdenes[[#This Row],[fecha_inicio]]="","",TODAY()-tblOrdenes[[#This Row],[fecha_inicio]])</f>
        <v/>
      </c>
      <c r="AB10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3">
        <f>IF(tblOrdenes[[#This Row],[backlog_habiles]]="","",IF(tblOrdenes[[#This Row],[backlog_habiles]]&lt;0,"FUTURO",IF(tblOrdenes[[#This Row],[backlog_habiles]]&gt;p_dias_backlog_max,"BACKLOG","MES CORRIENTE")))</f>
        <v/>
      </c>
      <c r="AD1009" s="3">
        <f>IF(tblOrdenes[[#This Row],[backlog_habiles]]="",FALSE,AND(tblOrdenes[[#This Row],[backlog_habiles]]&gt;p_dias_backlog_min,tblOrdenes[[#This Row],[backlog_habiles]]&lt;=p_dias_backlog_max))</f>
        <v/>
      </c>
      <c r="AE1009" s="6" t="n"/>
      <c r="AF10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0">
        <f>IF(tblOrdenes[[#This Row],[orden]]="","",_xlfn.XLOOKUP(tblOrdenes[[#This Row],[id_operacion]],tblEjecucion[id_operacion],tblEjecucion[precio],0))</f>
        <v/>
      </c>
      <c r="AJ1009" s="10">
        <f>IF(tblOrdenes[[#This Row],[orden]]="","",MAX(0,_xlfn.XLOOKUP(tblOrdenes[[#This Row],[id_operacion]],tblEjecucion[id_operacion],tblEjecucion[costo_plan_total],0)-tblOrdenes[[#This Row],[costo_servicio]]))</f>
        <v/>
      </c>
      <c r="AK1009" s="10">
        <f>IF(tblOrdenes[[#This Row],[orden]]="","",tblOrdenes[[#This Row],[costo_servicio]]+tblOrdenes[[#This Row],[costo_materiales]])</f>
        <v/>
      </c>
      <c r="AL1009" s="6" t="n"/>
      <c r="AM1009" s="6" t="n"/>
      <c r="AN1009" s="6" t="n"/>
      <c r="AO1009" s="3">
        <f>IF(tblOrdenes[[#This Row],[link_checklist]]="","",HYPERLINK(p_ruta_base_checklists&amp;tblOrdenes[[#This Row],[link_checklist]],"abrir"))</f>
        <v/>
      </c>
      <c r="AP1009" s="6" t="n"/>
      <c r="AQ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3">
        <f>IF(tblOrdenes[[#This Row],[tipo_ot]]="","",_xlfn.XLOOKUP(tblOrdenes[[#This Row],[tipo_ot]],tblTiposOT[codigo],tblTiposOT[clasificacion],"sin_clasificar"))</f>
        <v/>
      </c>
      <c r="U1010" s="3">
        <f>IF(tblOrdenes[[#This Row],[centro_costo]]="","",_xlfn.XLOOKUP(tblOrdenes[[#This Row],[centro_costo]],tblCECO[codigo],tblCECO[linea],"(sin catálogo)"))</f>
        <v/>
      </c>
      <c r="V1010" s="3">
        <f>IF(tblOrdenes[[#This Row],[centro_costo]]="","",_xlfn.XLOOKUP(tblOrdenes[[#This Row],[centro_costo]],tblCECO[codigo],tblCECO[area],"(sin catálogo)"))</f>
        <v/>
      </c>
      <c r="W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3">
        <f>IF(tblOrdenes[[#This Row],[centro_costo]]="","",_xlfn.XLOOKUP(tblOrdenes[[#This Row],[centro_costo]],tblCECO[codigo],tblCECO[coordinador],"(sin catálogo)"))</f>
        <v/>
      </c>
      <c r="Y1010" s="3">
        <f>IF(tblOrdenes[[#This Row],[puesto_trabajo]]="","",_xlfn.XLOOKUP(tblOrdenes[[#This Row],[puesto_trabajo]],tblPuestos[codigo],tblPuestos[especialidad],"(sin catálogo)"))</f>
        <v/>
      </c>
      <c r="Z1010" s="3">
        <f>IF(tblOrdenes[[#This Row],[cod_actividad]]="","",_xlfn.XLOOKUP(tblOrdenes[[#This Row],[cod_actividad]],tblActividades[codigo],tblActividades[descripcion],"(sin catálogo)"))</f>
        <v/>
      </c>
      <c r="AA1010" s="12">
        <f>IF(tblOrdenes[[#This Row],[fecha_inicio]]="","",TODAY()-tblOrdenes[[#This Row],[fecha_inicio]])</f>
        <v/>
      </c>
      <c r="AB10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3">
        <f>IF(tblOrdenes[[#This Row],[backlog_habiles]]="","",IF(tblOrdenes[[#This Row],[backlog_habiles]]&lt;0,"FUTURO",IF(tblOrdenes[[#This Row],[backlog_habiles]]&gt;p_dias_backlog_max,"BACKLOG","MES CORRIENTE")))</f>
        <v/>
      </c>
      <c r="AD1010" s="3">
        <f>IF(tblOrdenes[[#This Row],[backlog_habiles]]="",FALSE,AND(tblOrdenes[[#This Row],[backlog_habiles]]&gt;p_dias_backlog_min,tblOrdenes[[#This Row],[backlog_habiles]]&lt;=p_dias_backlog_max))</f>
        <v/>
      </c>
      <c r="AE1010" s="6" t="n"/>
      <c r="AF10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0">
        <f>IF(tblOrdenes[[#This Row],[orden]]="","",_xlfn.XLOOKUP(tblOrdenes[[#This Row],[id_operacion]],tblEjecucion[id_operacion],tblEjecucion[precio],0))</f>
        <v/>
      </c>
      <c r="AJ1010" s="10">
        <f>IF(tblOrdenes[[#This Row],[orden]]="","",MAX(0,_xlfn.XLOOKUP(tblOrdenes[[#This Row],[id_operacion]],tblEjecucion[id_operacion],tblEjecucion[costo_plan_total],0)-tblOrdenes[[#This Row],[costo_servicio]]))</f>
        <v/>
      </c>
      <c r="AK1010" s="10">
        <f>IF(tblOrdenes[[#This Row],[orden]]="","",tblOrdenes[[#This Row],[costo_servicio]]+tblOrdenes[[#This Row],[costo_materiales]])</f>
        <v/>
      </c>
      <c r="AL1010" s="6" t="n"/>
      <c r="AM1010" s="6" t="n"/>
      <c r="AN1010" s="6" t="n"/>
      <c r="AO1010" s="3">
        <f>IF(tblOrdenes[[#This Row],[link_checklist]]="","",HYPERLINK(p_ruta_base_checklists&amp;tblOrdenes[[#This Row],[link_checklist]],"abrir"))</f>
        <v/>
      </c>
      <c r="AP1010" s="6" t="n"/>
      <c r="AQ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3">
        <f>IF(tblOrdenes[[#This Row],[tipo_ot]]="","",_xlfn.XLOOKUP(tblOrdenes[[#This Row],[tipo_ot]],tblTiposOT[codigo],tblTiposOT[clasificacion],"sin_clasificar"))</f>
        <v/>
      </c>
      <c r="U1011" s="3">
        <f>IF(tblOrdenes[[#This Row],[centro_costo]]="","",_xlfn.XLOOKUP(tblOrdenes[[#This Row],[centro_costo]],tblCECO[codigo],tblCECO[linea],"(sin catálogo)"))</f>
        <v/>
      </c>
      <c r="V1011" s="3">
        <f>IF(tblOrdenes[[#This Row],[centro_costo]]="","",_xlfn.XLOOKUP(tblOrdenes[[#This Row],[centro_costo]],tblCECO[codigo],tblCECO[area],"(sin catálogo)"))</f>
        <v/>
      </c>
      <c r="W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3">
        <f>IF(tblOrdenes[[#This Row],[centro_costo]]="","",_xlfn.XLOOKUP(tblOrdenes[[#This Row],[centro_costo]],tblCECO[codigo],tblCECO[coordinador],"(sin catálogo)"))</f>
        <v/>
      </c>
      <c r="Y1011" s="3">
        <f>IF(tblOrdenes[[#This Row],[puesto_trabajo]]="","",_xlfn.XLOOKUP(tblOrdenes[[#This Row],[puesto_trabajo]],tblPuestos[codigo],tblPuestos[especialidad],"(sin catálogo)"))</f>
        <v/>
      </c>
      <c r="Z1011" s="3">
        <f>IF(tblOrdenes[[#This Row],[cod_actividad]]="","",_xlfn.XLOOKUP(tblOrdenes[[#This Row],[cod_actividad]],tblActividades[codigo],tblActividades[descripcion],"(sin catálogo)"))</f>
        <v/>
      </c>
      <c r="AA1011" s="12">
        <f>IF(tblOrdenes[[#This Row],[fecha_inicio]]="","",TODAY()-tblOrdenes[[#This Row],[fecha_inicio]])</f>
        <v/>
      </c>
      <c r="AB10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3">
        <f>IF(tblOrdenes[[#This Row],[backlog_habiles]]="","",IF(tblOrdenes[[#This Row],[backlog_habiles]]&lt;0,"FUTURO",IF(tblOrdenes[[#This Row],[backlog_habiles]]&gt;p_dias_backlog_max,"BACKLOG","MES CORRIENTE")))</f>
        <v/>
      </c>
      <c r="AD1011" s="3">
        <f>IF(tblOrdenes[[#This Row],[backlog_habiles]]="",FALSE,AND(tblOrdenes[[#This Row],[backlog_habiles]]&gt;p_dias_backlog_min,tblOrdenes[[#This Row],[backlog_habiles]]&lt;=p_dias_backlog_max))</f>
        <v/>
      </c>
      <c r="AE1011" s="6" t="n"/>
      <c r="AF10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0">
        <f>IF(tblOrdenes[[#This Row],[orden]]="","",_xlfn.XLOOKUP(tblOrdenes[[#This Row],[id_operacion]],tblEjecucion[id_operacion],tblEjecucion[precio],0))</f>
        <v/>
      </c>
      <c r="AJ1011" s="10">
        <f>IF(tblOrdenes[[#This Row],[orden]]="","",MAX(0,_xlfn.XLOOKUP(tblOrdenes[[#This Row],[id_operacion]],tblEjecucion[id_operacion],tblEjecucion[costo_plan_total],0)-tblOrdenes[[#This Row],[costo_servicio]]))</f>
        <v/>
      </c>
      <c r="AK1011" s="10">
        <f>IF(tblOrdenes[[#This Row],[orden]]="","",tblOrdenes[[#This Row],[costo_servicio]]+tblOrdenes[[#This Row],[costo_materiales]])</f>
        <v/>
      </c>
      <c r="AL1011" s="6" t="n"/>
      <c r="AM1011" s="6" t="n"/>
      <c r="AN1011" s="6" t="n"/>
      <c r="AO1011" s="3">
        <f>IF(tblOrdenes[[#This Row],[link_checklist]]="","",HYPERLINK(p_ruta_base_checklists&amp;tblOrdenes[[#This Row],[link_checklist]],"abrir"))</f>
        <v/>
      </c>
      <c r="AP1011" s="6" t="n"/>
      <c r="AQ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3">
        <f>IF(tblOrdenes[[#This Row],[tipo_ot]]="","",_xlfn.XLOOKUP(tblOrdenes[[#This Row],[tipo_ot]],tblTiposOT[codigo],tblTiposOT[clasificacion],"sin_clasificar"))</f>
        <v/>
      </c>
      <c r="U1012" s="3">
        <f>IF(tblOrdenes[[#This Row],[centro_costo]]="","",_xlfn.XLOOKUP(tblOrdenes[[#This Row],[centro_costo]],tblCECO[codigo],tblCECO[linea],"(sin catálogo)"))</f>
        <v/>
      </c>
      <c r="V1012" s="3">
        <f>IF(tblOrdenes[[#This Row],[centro_costo]]="","",_xlfn.XLOOKUP(tblOrdenes[[#This Row],[centro_costo]],tblCECO[codigo],tblCECO[area],"(sin catálogo)"))</f>
        <v/>
      </c>
      <c r="W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3">
        <f>IF(tblOrdenes[[#This Row],[centro_costo]]="","",_xlfn.XLOOKUP(tblOrdenes[[#This Row],[centro_costo]],tblCECO[codigo],tblCECO[coordinador],"(sin catálogo)"))</f>
        <v/>
      </c>
      <c r="Y1012" s="3">
        <f>IF(tblOrdenes[[#This Row],[puesto_trabajo]]="","",_xlfn.XLOOKUP(tblOrdenes[[#This Row],[puesto_trabajo]],tblPuestos[codigo],tblPuestos[especialidad],"(sin catálogo)"))</f>
        <v/>
      </c>
      <c r="Z1012" s="3">
        <f>IF(tblOrdenes[[#This Row],[cod_actividad]]="","",_xlfn.XLOOKUP(tblOrdenes[[#This Row],[cod_actividad]],tblActividades[codigo],tblActividades[descripcion],"(sin catálogo)"))</f>
        <v/>
      </c>
      <c r="AA1012" s="12">
        <f>IF(tblOrdenes[[#This Row],[fecha_inicio]]="","",TODAY()-tblOrdenes[[#This Row],[fecha_inicio]])</f>
        <v/>
      </c>
      <c r="AB10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3">
        <f>IF(tblOrdenes[[#This Row],[backlog_habiles]]="","",IF(tblOrdenes[[#This Row],[backlog_habiles]]&lt;0,"FUTURO",IF(tblOrdenes[[#This Row],[backlog_habiles]]&gt;p_dias_backlog_max,"BACKLOG","MES CORRIENTE")))</f>
        <v/>
      </c>
      <c r="AD1012" s="3">
        <f>IF(tblOrdenes[[#This Row],[backlog_habiles]]="",FALSE,AND(tblOrdenes[[#This Row],[backlog_habiles]]&gt;p_dias_backlog_min,tblOrdenes[[#This Row],[backlog_habiles]]&lt;=p_dias_backlog_max))</f>
        <v/>
      </c>
      <c r="AE1012" s="6" t="n"/>
      <c r="AF10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0">
        <f>IF(tblOrdenes[[#This Row],[orden]]="","",_xlfn.XLOOKUP(tblOrdenes[[#This Row],[id_operacion]],tblEjecucion[id_operacion],tblEjecucion[precio],0))</f>
        <v/>
      </c>
      <c r="AJ1012" s="10">
        <f>IF(tblOrdenes[[#This Row],[orden]]="","",MAX(0,_xlfn.XLOOKUP(tblOrdenes[[#This Row],[id_operacion]],tblEjecucion[id_operacion],tblEjecucion[costo_plan_total],0)-tblOrdenes[[#This Row],[costo_servicio]]))</f>
        <v/>
      </c>
      <c r="AK1012" s="10">
        <f>IF(tblOrdenes[[#This Row],[orden]]="","",tblOrdenes[[#This Row],[costo_servicio]]+tblOrdenes[[#This Row],[costo_materiales]])</f>
        <v/>
      </c>
      <c r="AL1012" s="6" t="n"/>
      <c r="AM1012" s="6" t="n"/>
      <c r="AN1012" s="6" t="n"/>
      <c r="AO1012" s="3">
        <f>IF(tblOrdenes[[#This Row],[link_checklist]]="","",HYPERLINK(p_ruta_base_checklists&amp;tblOrdenes[[#This Row],[link_checklist]],"abrir"))</f>
        <v/>
      </c>
      <c r="AP1012" s="6" t="n"/>
      <c r="AQ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3">
        <f>IF(tblOrdenes[[#This Row],[tipo_ot]]="","",_xlfn.XLOOKUP(tblOrdenes[[#This Row],[tipo_ot]],tblTiposOT[codigo],tblTiposOT[clasificacion],"sin_clasificar"))</f>
        <v/>
      </c>
      <c r="U1013" s="3">
        <f>IF(tblOrdenes[[#This Row],[centro_costo]]="","",_xlfn.XLOOKUP(tblOrdenes[[#This Row],[centro_costo]],tblCECO[codigo],tblCECO[linea],"(sin catálogo)"))</f>
        <v/>
      </c>
      <c r="V1013" s="3">
        <f>IF(tblOrdenes[[#This Row],[centro_costo]]="","",_xlfn.XLOOKUP(tblOrdenes[[#This Row],[centro_costo]],tblCECO[codigo],tblCECO[area],"(sin catálogo)"))</f>
        <v/>
      </c>
      <c r="W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3">
        <f>IF(tblOrdenes[[#This Row],[centro_costo]]="","",_xlfn.XLOOKUP(tblOrdenes[[#This Row],[centro_costo]],tblCECO[codigo],tblCECO[coordinador],"(sin catálogo)"))</f>
        <v/>
      </c>
      <c r="Y1013" s="3">
        <f>IF(tblOrdenes[[#This Row],[puesto_trabajo]]="","",_xlfn.XLOOKUP(tblOrdenes[[#This Row],[puesto_trabajo]],tblPuestos[codigo],tblPuestos[especialidad],"(sin catálogo)"))</f>
        <v/>
      </c>
      <c r="Z1013" s="3">
        <f>IF(tblOrdenes[[#This Row],[cod_actividad]]="","",_xlfn.XLOOKUP(tblOrdenes[[#This Row],[cod_actividad]],tblActividades[codigo],tblActividades[descripcion],"(sin catálogo)"))</f>
        <v/>
      </c>
      <c r="AA1013" s="12">
        <f>IF(tblOrdenes[[#This Row],[fecha_inicio]]="","",TODAY()-tblOrdenes[[#This Row],[fecha_inicio]])</f>
        <v/>
      </c>
      <c r="AB10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3">
        <f>IF(tblOrdenes[[#This Row],[backlog_habiles]]="","",IF(tblOrdenes[[#This Row],[backlog_habiles]]&lt;0,"FUTURO",IF(tblOrdenes[[#This Row],[backlog_habiles]]&gt;p_dias_backlog_max,"BACKLOG","MES CORRIENTE")))</f>
        <v/>
      </c>
      <c r="AD1013" s="3">
        <f>IF(tblOrdenes[[#This Row],[backlog_habiles]]="",FALSE,AND(tblOrdenes[[#This Row],[backlog_habiles]]&gt;p_dias_backlog_min,tblOrdenes[[#This Row],[backlog_habiles]]&lt;=p_dias_backlog_max))</f>
        <v/>
      </c>
      <c r="AE1013" s="6" t="n"/>
      <c r="AF10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0">
        <f>IF(tblOrdenes[[#This Row],[orden]]="","",_xlfn.XLOOKUP(tblOrdenes[[#This Row],[id_operacion]],tblEjecucion[id_operacion],tblEjecucion[precio],0))</f>
        <v/>
      </c>
      <c r="AJ1013" s="10">
        <f>IF(tblOrdenes[[#This Row],[orden]]="","",MAX(0,_xlfn.XLOOKUP(tblOrdenes[[#This Row],[id_operacion]],tblEjecucion[id_operacion],tblEjecucion[costo_plan_total],0)-tblOrdenes[[#This Row],[costo_servicio]]))</f>
        <v/>
      </c>
      <c r="AK1013" s="10">
        <f>IF(tblOrdenes[[#This Row],[orden]]="","",tblOrdenes[[#This Row],[costo_servicio]]+tblOrdenes[[#This Row],[costo_materiales]])</f>
        <v/>
      </c>
      <c r="AL1013" s="6" t="n"/>
      <c r="AM1013" s="6" t="n"/>
      <c r="AN1013" s="6" t="n"/>
      <c r="AO1013" s="3">
        <f>IF(tblOrdenes[[#This Row],[link_checklist]]="","",HYPERLINK(p_ruta_base_checklists&amp;tblOrdenes[[#This Row],[link_checklist]],"abrir"))</f>
        <v/>
      </c>
      <c r="AP1013" s="6" t="n"/>
      <c r="AQ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3">
        <f>IF(tblOrdenes[[#This Row],[tipo_ot]]="","",_xlfn.XLOOKUP(tblOrdenes[[#This Row],[tipo_ot]],tblTiposOT[codigo],tblTiposOT[clasificacion],"sin_clasificar"))</f>
        <v/>
      </c>
      <c r="U1014" s="3">
        <f>IF(tblOrdenes[[#This Row],[centro_costo]]="","",_xlfn.XLOOKUP(tblOrdenes[[#This Row],[centro_costo]],tblCECO[codigo],tblCECO[linea],"(sin catálogo)"))</f>
        <v/>
      </c>
      <c r="V1014" s="3">
        <f>IF(tblOrdenes[[#This Row],[centro_costo]]="","",_xlfn.XLOOKUP(tblOrdenes[[#This Row],[centro_costo]],tblCECO[codigo],tblCECO[area],"(sin catálogo)"))</f>
        <v/>
      </c>
      <c r="W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3">
        <f>IF(tblOrdenes[[#This Row],[centro_costo]]="","",_xlfn.XLOOKUP(tblOrdenes[[#This Row],[centro_costo]],tblCECO[codigo],tblCECO[coordinador],"(sin catálogo)"))</f>
        <v/>
      </c>
      <c r="Y1014" s="3">
        <f>IF(tblOrdenes[[#This Row],[puesto_trabajo]]="","",_xlfn.XLOOKUP(tblOrdenes[[#This Row],[puesto_trabajo]],tblPuestos[codigo],tblPuestos[especialidad],"(sin catálogo)"))</f>
        <v/>
      </c>
      <c r="Z1014" s="3">
        <f>IF(tblOrdenes[[#This Row],[cod_actividad]]="","",_xlfn.XLOOKUP(tblOrdenes[[#This Row],[cod_actividad]],tblActividades[codigo],tblActividades[descripcion],"(sin catálogo)"))</f>
        <v/>
      </c>
      <c r="AA1014" s="12">
        <f>IF(tblOrdenes[[#This Row],[fecha_inicio]]="","",TODAY()-tblOrdenes[[#This Row],[fecha_inicio]])</f>
        <v/>
      </c>
      <c r="AB10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3">
        <f>IF(tblOrdenes[[#This Row],[backlog_habiles]]="","",IF(tblOrdenes[[#This Row],[backlog_habiles]]&lt;0,"FUTURO",IF(tblOrdenes[[#This Row],[backlog_habiles]]&gt;p_dias_backlog_max,"BACKLOG","MES CORRIENTE")))</f>
        <v/>
      </c>
      <c r="AD1014" s="3">
        <f>IF(tblOrdenes[[#This Row],[backlog_habiles]]="",FALSE,AND(tblOrdenes[[#This Row],[backlog_habiles]]&gt;p_dias_backlog_min,tblOrdenes[[#This Row],[backlog_habiles]]&lt;=p_dias_backlog_max))</f>
        <v/>
      </c>
      <c r="AE1014" s="6" t="n"/>
      <c r="AF10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0">
        <f>IF(tblOrdenes[[#This Row],[orden]]="","",_xlfn.XLOOKUP(tblOrdenes[[#This Row],[id_operacion]],tblEjecucion[id_operacion],tblEjecucion[precio],0))</f>
        <v/>
      </c>
      <c r="AJ1014" s="10">
        <f>IF(tblOrdenes[[#This Row],[orden]]="","",MAX(0,_xlfn.XLOOKUP(tblOrdenes[[#This Row],[id_operacion]],tblEjecucion[id_operacion],tblEjecucion[costo_plan_total],0)-tblOrdenes[[#This Row],[costo_servicio]]))</f>
        <v/>
      </c>
      <c r="AK1014" s="10">
        <f>IF(tblOrdenes[[#This Row],[orden]]="","",tblOrdenes[[#This Row],[costo_servicio]]+tblOrdenes[[#This Row],[costo_materiales]])</f>
        <v/>
      </c>
      <c r="AL1014" s="6" t="n"/>
      <c r="AM1014" s="6" t="n"/>
      <c r="AN1014" s="6" t="n"/>
      <c r="AO1014" s="3">
        <f>IF(tblOrdenes[[#This Row],[link_checklist]]="","",HYPERLINK(p_ruta_base_checklists&amp;tblOrdenes[[#This Row],[link_checklist]],"abrir"))</f>
        <v/>
      </c>
      <c r="AP1014" s="6" t="n"/>
      <c r="AQ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3">
        <f>IF(tblOrdenes[[#This Row],[tipo_ot]]="","",_xlfn.XLOOKUP(tblOrdenes[[#This Row],[tipo_ot]],tblTiposOT[codigo],tblTiposOT[clasificacion],"sin_clasificar"))</f>
        <v/>
      </c>
      <c r="U1015" s="3">
        <f>IF(tblOrdenes[[#This Row],[centro_costo]]="","",_xlfn.XLOOKUP(tblOrdenes[[#This Row],[centro_costo]],tblCECO[codigo],tblCECO[linea],"(sin catálogo)"))</f>
        <v/>
      </c>
      <c r="V1015" s="3">
        <f>IF(tblOrdenes[[#This Row],[centro_costo]]="","",_xlfn.XLOOKUP(tblOrdenes[[#This Row],[centro_costo]],tblCECO[codigo],tblCECO[area],"(sin catálogo)"))</f>
        <v/>
      </c>
      <c r="W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3">
        <f>IF(tblOrdenes[[#This Row],[centro_costo]]="","",_xlfn.XLOOKUP(tblOrdenes[[#This Row],[centro_costo]],tblCECO[codigo],tblCECO[coordinador],"(sin catálogo)"))</f>
        <v/>
      </c>
      <c r="Y1015" s="3">
        <f>IF(tblOrdenes[[#This Row],[puesto_trabajo]]="","",_xlfn.XLOOKUP(tblOrdenes[[#This Row],[puesto_trabajo]],tblPuestos[codigo],tblPuestos[especialidad],"(sin catálogo)"))</f>
        <v/>
      </c>
      <c r="Z1015" s="3">
        <f>IF(tblOrdenes[[#This Row],[cod_actividad]]="","",_xlfn.XLOOKUP(tblOrdenes[[#This Row],[cod_actividad]],tblActividades[codigo],tblActividades[descripcion],"(sin catálogo)"))</f>
        <v/>
      </c>
      <c r="AA1015" s="12">
        <f>IF(tblOrdenes[[#This Row],[fecha_inicio]]="","",TODAY()-tblOrdenes[[#This Row],[fecha_inicio]])</f>
        <v/>
      </c>
      <c r="AB10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3">
        <f>IF(tblOrdenes[[#This Row],[backlog_habiles]]="","",IF(tblOrdenes[[#This Row],[backlog_habiles]]&lt;0,"FUTURO",IF(tblOrdenes[[#This Row],[backlog_habiles]]&gt;p_dias_backlog_max,"BACKLOG","MES CORRIENTE")))</f>
        <v/>
      </c>
      <c r="AD1015" s="3">
        <f>IF(tblOrdenes[[#This Row],[backlog_habiles]]="",FALSE,AND(tblOrdenes[[#This Row],[backlog_habiles]]&gt;p_dias_backlog_min,tblOrdenes[[#This Row],[backlog_habiles]]&lt;=p_dias_backlog_max))</f>
        <v/>
      </c>
      <c r="AE1015" s="6" t="n"/>
      <c r="AF10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0">
        <f>IF(tblOrdenes[[#This Row],[orden]]="","",_xlfn.XLOOKUP(tblOrdenes[[#This Row],[id_operacion]],tblEjecucion[id_operacion],tblEjecucion[precio],0))</f>
        <v/>
      </c>
      <c r="AJ1015" s="10">
        <f>IF(tblOrdenes[[#This Row],[orden]]="","",MAX(0,_xlfn.XLOOKUP(tblOrdenes[[#This Row],[id_operacion]],tblEjecucion[id_operacion],tblEjecucion[costo_plan_total],0)-tblOrdenes[[#This Row],[costo_servicio]]))</f>
        <v/>
      </c>
      <c r="AK1015" s="10">
        <f>IF(tblOrdenes[[#This Row],[orden]]="","",tblOrdenes[[#This Row],[costo_servicio]]+tblOrdenes[[#This Row],[costo_materiales]])</f>
        <v/>
      </c>
      <c r="AL1015" s="6" t="n"/>
      <c r="AM1015" s="6" t="n"/>
      <c r="AN1015" s="6" t="n"/>
      <c r="AO1015" s="3">
        <f>IF(tblOrdenes[[#This Row],[link_checklist]]="","",HYPERLINK(p_ruta_base_checklists&amp;tblOrdenes[[#This Row],[link_checklist]],"abrir"))</f>
        <v/>
      </c>
      <c r="AP1015" s="6" t="n"/>
      <c r="AQ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3">
        <f>IF(tblOrdenes[[#This Row],[tipo_ot]]="","",_xlfn.XLOOKUP(tblOrdenes[[#This Row],[tipo_ot]],tblTiposOT[codigo],tblTiposOT[clasificacion],"sin_clasificar"))</f>
        <v/>
      </c>
      <c r="U1016" s="3">
        <f>IF(tblOrdenes[[#This Row],[centro_costo]]="","",_xlfn.XLOOKUP(tblOrdenes[[#This Row],[centro_costo]],tblCECO[codigo],tblCECO[linea],"(sin catálogo)"))</f>
        <v/>
      </c>
      <c r="V1016" s="3">
        <f>IF(tblOrdenes[[#This Row],[centro_costo]]="","",_xlfn.XLOOKUP(tblOrdenes[[#This Row],[centro_costo]],tblCECO[codigo],tblCECO[area],"(sin catálogo)"))</f>
        <v/>
      </c>
      <c r="W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3">
        <f>IF(tblOrdenes[[#This Row],[centro_costo]]="","",_xlfn.XLOOKUP(tblOrdenes[[#This Row],[centro_costo]],tblCECO[codigo],tblCECO[coordinador],"(sin catálogo)"))</f>
        <v/>
      </c>
      <c r="Y1016" s="3">
        <f>IF(tblOrdenes[[#This Row],[puesto_trabajo]]="","",_xlfn.XLOOKUP(tblOrdenes[[#This Row],[puesto_trabajo]],tblPuestos[codigo],tblPuestos[especialidad],"(sin catálogo)"))</f>
        <v/>
      </c>
      <c r="Z1016" s="3">
        <f>IF(tblOrdenes[[#This Row],[cod_actividad]]="","",_xlfn.XLOOKUP(tblOrdenes[[#This Row],[cod_actividad]],tblActividades[codigo],tblActividades[descripcion],"(sin catálogo)"))</f>
        <v/>
      </c>
      <c r="AA1016" s="12">
        <f>IF(tblOrdenes[[#This Row],[fecha_inicio]]="","",TODAY()-tblOrdenes[[#This Row],[fecha_inicio]])</f>
        <v/>
      </c>
      <c r="AB10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3">
        <f>IF(tblOrdenes[[#This Row],[backlog_habiles]]="","",IF(tblOrdenes[[#This Row],[backlog_habiles]]&lt;0,"FUTURO",IF(tblOrdenes[[#This Row],[backlog_habiles]]&gt;p_dias_backlog_max,"BACKLOG","MES CORRIENTE")))</f>
        <v/>
      </c>
      <c r="AD1016" s="3">
        <f>IF(tblOrdenes[[#This Row],[backlog_habiles]]="",FALSE,AND(tblOrdenes[[#This Row],[backlog_habiles]]&gt;p_dias_backlog_min,tblOrdenes[[#This Row],[backlog_habiles]]&lt;=p_dias_backlog_max))</f>
        <v/>
      </c>
      <c r="AE1016" s="6" t="n"/>
      <c r="AF10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0">
        <f>IF(tblOrdenes[[#This Row],[orden]]="","",_xlfn.XLOOKUP(tblOrdenes[[#This Row],[id_operacion]],tblEjecucion[id_operacion],tblEjecucion[precio],0))</f>
        <v/>
      </c>
      <c r="AJ1016" s="10">
        <f>IF(tblOrdenes[[#This Row],[orden]]="","",MAX(0,_xlfn.XLOOKUP(tblOrdenes[[#This Row],[id_operacion]],tblEjecucion[id_operacion],tblEjecucion[costo_plan_total],0)-tblOrdenes[[#This Row],[costo_servicio]]))</f>
        <v/>
      </c>
      <c r="AK1016" s="10">
        <f>IF(tblOrdenes[[#This Row],[orden]]="","",tblOrdenes[[#This Row],[costo_servicio]]+tblOrdenes[[#This Row],[costo_materiales]])</f>
        <v/>
      </c>
      <c r="AL1016" s="6" t="n"/>
      <c r="AM1016" s="6" t="n"/>
      <c r="AN1016" s="6" t="n"/>
      <c r="AO1016" s="3">
        <f>IF(tblOrdenes[[#This Row],[link_checklist]]="","",HYPERLINK(p_ruta_base_checklists&amp;tblOrdenes[[#This Row],[link_checklist]],"abrir"))</f>
        <v/>
      </c>
      <c r="AP1016" s="6" t="n"/>
      <c r="AQ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3">
        <f>IF(tblOrdenes[[#This Row],[tipo_ot]]="","",_xlfn.XLOOKUP(tblOrdenes[[#This Row],[tipo_ot]],tblTiposOT[codigo],tblTiposOT[clasificacion],"sin_clasificar"))</f>
        <v/>
      </c>
      <c r="U1017" s="3">
        <f>IF(tblOrdenes[[#This Row],[centro_costo]]="","",_xlfn.XLOOKUP(tblOrdenes[[#This Row],[centro_costo]],tblCECO[codigo],tblCECO[linea],"(sin catálogo)"))</f>
        <v/>
      </c>
      <c r="V1017" s="3">
        <f>IF(tblOrdenes[[#This Row],[centro_costo]]="","",_xlfn.XLOOKUP(tblOrdenes[[#This Row],[centro_costo]],tblCECO[codigo],tblCECO[area],"(sin catálogo)"))</f>
        <v/>
      </c>
      <c r="W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3">
        <f>IF(tblOrdenes[[#This Row],[centro_costo]]="","",_xlfn.XLOOKUP(tblOrdenes[[#This Row],[centro_costo]],tblCECO[codigo],tblCECO[coordinador],"(sin catálogo)"))</f>
        <v/>
      </c>
      <c r="Y1017" s="3">
        <f>IF(tblOrdenes[[#This Row],[puesto_trabajo]]="","",_xlfn.XLOOKUP(tblOrdenes[[#This Row],[puesto_trabajo]],tblPuestos[codigo],tblPuestos[especialidad],"(sin catálogo)"))</f>
        <v/>
      </c>
      <c r="Z1017" s="3">
        <f>IF(tblOrdenes[[#This Row],[cod_actividad]]="","",_xlfn.XLOOKUP(tblOrdenes[[#This Row],[cod_actividad]],tblActividades[codigo],tblActividades[descripcion],"(sin catálogo)"))</f>
        <v/>
      </c>
      <c r="AA1017" s="12">
        <f>IF(tblOrdenes[[#This Row],[fecha_inicio]]="","",TODAY()-tblOrdenes[[#This Row],[fecha_inicio]])</f>
        <v/>
      </c>
      <c r="AB10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3">
        <f>IF(tblOrdenes[[#This Row],[backlog_habiles]]="","",IF(tblOrdenes[[#This Row],[backlog_habiles]]&lt;0,"FUTURO",IF(tblOrdenes[[#This Row],[backlog_habiles]]&gt;p_dias_backlog_max,"BACKLOG","MES CORRIENTE")))</f>
        <v/>
      </c>
      <c r="AD1017" s="3">
        <f>IF(tblOrdenes[[#This Row],[backlog_habiles]]="",FALSE,AND(tblOrdenes[[#This Row],[backlog_habiles]]&gt;p_dias_backlog_min,tblOrdenes[[#This Row],[backlog_habiles]]&lt;=p_dias_backlog_max))</f>
        <v/>
      </c>
      <c r="AE1017" s="6" t="n"/>
      <c r="AF10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0">
        <f>IF(tblOrdenes[[#This Row],[orden]]="","",_xlfn.XLOOKUP(tblOrdenes[[#This Row],[id_operacion]],tblEjecucion[id_operacion],tblEjecucion[precio],0))</f>
        <v/>
      </c>
      <c r="AJ1017" s="10">
        <f>IF(tblOrdenes[[#This Row],[orden]]="","",MAX(0,_xlfn.XLOOKUP(tblOrdenes[[#This Row],[id_operacion]],tblEjecucion[id_operacion],tblEjecucion[costo_plan_total],0)-tblOrdenes[[#This Row],[costo_servicio]]))</f>
        <v/>
      </c>
      <c r="AK1017" s="10">
        <f>IF(tblOrdenes[[#This Row],[orden]]="","",tblOrdenes[[#This Row],[costo_servicio]]+tblOrdenes[[#This Row],[costo_materiales]])</f>
        <v/>
      </c>
      <c r="AL1017" s="6" t="n"/>
      <c r="AM1017" s="6" t="n"/>
      <c r="AN1017" s="6" t="n"/>
      <c r="AO1017" s="3">
        <f>IF(tblOrdenes[[#This Row],[link_checklist]]="","",HYPERLINK(p_ruta_base_checklists&amp;tblOrdenes[[#This Row],[link_checklist]],"abrir"))</f>
        <v/>
      </c>
      <c r="AP1017" s="6" t="n"/>
      <c r="AQ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3">
        <f>IF(tblOrdenes[[#This Row],[tipo_ot]]="","",_xlfn.XLOOKUP(tblOrdenes[[#This Row],[tipo_ot]],tblTiposOT[codigo],tblTiposOT[clasificacion],"sin_clasificar"))</f>
        <v/>
      </c>
      <c r="U1018" s="3">
        <f>IF(tblOrdenes[[#This Row],[centro_costo]]="","",_xlfn.XLOOKUP(tblOrdenes[[#This Row],[centro_costo]],tblCECO[codigo],tblCECO[linea],"(sin catálogo)"))</f>
        <v/>
      </c>
      <c r="V1018" s="3">
        <f>IF(tblOrdenes[[#This Row],[centro_costo]]="","",_xlfn.XLOOKUP(tblOrdenes[[#This Row],[centro_costo]],tblCECO[codigo],tblCECO[area],"(sin catálogo)"))</f>
        <v/>
      </c>
      <c r="W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3">
        <f>IF(tblOrdenes[[#This Row],[centro_costo]]="","",_xlfn.XLOOKUP(tblOrdenes[[#This Row],[centro_costo]],tblCECO[codigo],tblCECO[coordinador],"(sin catálogo)"))</f>
        <v/>
      </c>
      <c r="Y1018" s="3">
        <f>IF(tblOrdenes[[#This Row],[puesto_trabajo]]="","",_xlfn.XLOOKUP(tblOrdenes[[#This Row],[puesto_trabajo]],tblPuestos[codigo],tblPuestos[especialidad],"(sin catálogo)"))</f>
        <v/>
      </c>
      <c r="Z1018" s="3">
        <f>IF(tblOrdenes[[#This Row],[cod_actividad]]="","",_xlfn.XLOOKUP(tblOrdenes[[#This Row],[cod_actividad]],tblActividades[codigo],tblActividades[descripcion],"(sin catálogo)"))</f>
        <v/>
      </c>
      <c r="AA1018" s="12">
        <f>IF(tblOrdenes[[#This Row],[fecha_inicio]]="","",TODAY()-tblOrdenes[[#This Row],[fecha_inicio]])</f>
        <v/>
      </c>
      <c r="AB10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3">
        <f>IF(tblOrdenes[[#This Row],[backlog_habiles]]="","",IF(tblOrdenes[[#This Row],[backlog_habiles]]&lt;0,"FUTURO",IF(tblOrdenes[[#This Row],[backlog_habiles]]&gt;p_dias_backlog_max,"BACKLOG","MES CORRIENTE")))</f>
        <v/>
      </c>
      <c r="AD1018" s="3">
        <f>IF(tblOrdenes[[#This Row],[backlog_habiles]]="",FALSE,AND(tblOrdenes[[#This Row],[backlog_habiles]]&gt;p_dias_backlog_min,tblOrdenes[[#This Row],[backlog_habiles]]&lt;=p_dias_backlog_max))</f>
        <v/>
      </c>
      <c r="AE1018" s="6" t="n"/>
      <c r="AF10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0">
        <f>IF(tblOrdenes[[#This Row],[orden]]="","",_xlfn.XLOOKUP(tblOrdenes[[#This Row],[id_operacion]],tblEjecucion[id_operacion],tblEjecucion[precio],0))</f>
        <v/>
      </c>
      <c r="AJ1018" s="10">
        <f>IF(tblOrdenes[[#This Row],[orden]]="","",MAX(0,_xlfn.XLOOKUP(tblOrdenes[[#This Row],[id_operacion]],tblEjecucion[id_operacion],tblEjecucion[costo_plan_total],0)-tblOrdenes[[#This Row],[costo_servicio]]))</f>
        <v/>
      </c>
      <c r="AK1018" s="10">
        <f>IF(tblOrdenes[[#This Row],[orden]]="","",tblOrdenes[[#This Row],[costo_servicio]]+tblOrdenes[[#This Row],[costo_materiales]])</f>
        <v/>
      </c>
      <c r="AL1018" s="6" t="n"/>
      <c r="AM1018" s="6" t="n"/>
      <c r="AN1018" s="6" t="n"/>
      <c r="AO1018" s="3">
        <f>IF(tblOrdenes[[#This Row],[link_checklist]]="","",HYPERLINK(p_ruta_base_checklists&amp;tblOrdenes[[#This Row],[link_checklist]],"abrir"))</f>
        <v/>
      </c>
      <c r="AP1018" s="6" t="n"/>
      <c r="AQ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3">
        <f>IF(tblOrdenes[[#This Row],[tipo_ot]]="","",_xlfn.XLOOKUP(tblOrdenes[[#This Row],[tipo_ot]],tblTiposOT[codigo],tblTiposOT[clasificacion],"sin_clasificar"))</f>
        <v/>
      </c>
      <c r="U1019" s="3">
        <f>IF(tblOrdenes[[#This Row],[centro_costo]]="","",_xlfn.XLOOKUP(tblOrdenes[[#This Row],[centro_costo]],tblCECO[codigo],tblCECO[linea],"(sin catálogo)"))</f>
        <v/>
      </c>
      <c r="V1019" s="3">
        <f>IF(tblOrdenes[[#This Row],[centro_costo]]="","",_xlfn.XLOOKUP(tblOrdenes[[#This Row],[centro_costo]],tblCECO[codigo],tblCECO[area],"(sin catálogo)"))</f>
        <v/>
      </c>
      <c r="W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3">
        <f>IF(tblOrdenes[[#This Row],[centro_costo]]="","",_xlfn.XLOOKUP(tblOrdenes[[#This Row],[centro_costo]],tblCECO[codigo],tblCECO[coordinador],"(sin catálogo)"))</f>
        <v/>
      </c>
      <c r="Y1019" s="3">
        <f>IF(tblOrdenes[[#This Row],[puesto_trabajo]]="","",_xlfn.XLOOKUP(tblOrdenes[[#This Row],[puesto_trabajo]],tblPuestos[codigo],tblPuestos[especialidad],"(sin catálogo)"))</f>
        <v/>
      </c>
      <c r="Z1019" s="3">
        <f>IF(tblOrdenes[[#This Row],[cod_actividad]]="","",_xlfn.XLOOKUP(tblOrdenes[[#This Row],[cod_actividad]],tblActividades[codigo],tblActividades[descripcion],"(sin catálogo)"))</f>
        <v/>
      </c>
      <c r="AA1019" s="12">
        <f>IF(tblOrdenes[[#This Row],[fecha_inicio]]="","",TODAY()-tblOrdenes[[#This Row],[fecha_inicio]])</f>
        <v/>
      </c>
      <c r="AB10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3">
        <f>IF(tblOrdenes[[#This Row],[backlog_habiles]]="","",IF(tblOrdenes[[#This Row],[backlog_habiles]]&lt;0,"FUTURO",IF(tblOrdenes[[#This Row],[backlog_habiles]]&gt;p_dias_backlog_max,"BACKLOG","MES CORRIENTE")))</f>
        <v/>
      </c>
      <c r="AD1019" s="3">
        <f>IF(tblOrdenes[[#This Row],[backlog_habiles]]="",FALSE,AND(tblOrdenes[[#This Row],[backlog_habiles]]&gt;p_dias_backlog_min,tblOrdenes[[#This Row],[backlog_habiles]]&lt;=p_dias_backlog_max))</f>
        <v/>
      </c>
      <c r="AE1019" s="6" t="n"/>
      <c r="AF10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0">
        <f>IF(tblOrdenes[[#This Row],[orden]]="","",_xlfn.XLOOKUP(tblOrdenes[[#This Row],[id_operacion]],tblEjecucion[id_operacion],tblEjecucion[precio],0))</f>
        <v/>
      </c>
      <c r="AJ1019" s="10">
        <f>IF(tblOrdenes[[#This Row],[orden]]="","",MAX(0,_xlfn.XLOOKUP(tblOrdenes[[#This Row],[id_operacion]],tblEjecucion[id_operacion],tblEjecucion[costo_plan_total],0)-tblOrdenes[[#This Row],[costo_servicio]]))</f>
        <v/>
      </c>
      <c r="AK1019" s="10">
        <f>IF(tblOrdenes[[#This Row],[orden]]="","",tblOrdenes[[#This Row],[costo_servicio]]+tblOrdenes[[#This Row],[costo_materiales]])</f>
        <v/>
      </c>
      <c r="AL1019" s="6" t="n"/>
      <c r="AM1019" s="6" t="n"/>
      <c r="AN1019" s="6" t="n"/>
      <c r="AO1019" s="3">
        <f>IF(tblOrdenes[[#This Row],[link_checklist]]="","",HYPERLINK(p_ruta_base_checklists&amp;tblOrdenes[[#This Row],[link_checklist]],"abrir"))</f>
        <v/>
      </c>
      <c r="AP1019" s="6" t="n"/>
      <c r="AQ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3">
        <f>IF(tblOrdenes[[#This Row],[tipo_ot]]="","",_xlfn.XLOOKUP(tblOrdenes[[#This Row],[tipo_ot]],tblTiposOT[codigo],tblTiposOT[clasificacion],"sin_clasificar"))</f>
        <v/>
      </c>
      <c r="U1020" s="3">
        <f>IF(tblOrdenes[[#This Row],[centro_costo]]="","",_xlfn.XLOOKUP(tblOrdenes[[#This Row],[centro_costo]],tblCECO[codigo],tblCECO[linea],"(sin catálogo)"))</f>
        <v/>
      </c>
      <c r="V1020" s="3">
        <f>IF(tblOrdenes[[#This Row],[centro_costo]]="","",_xlfn.XLOOKUP(tblOrdenes[[#This Row],[centro_costo]],tblCECO[codigo],tblCECO[area],"(sin catálogo)"))</f>
        <v/>
      </c>
      <c r="W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3">
        <f>IF(tblOrdenes[[#This Row],[centro_costo]]="","",_xlfn.XLOOKUP(tblOrdenes[[#This Row],[centro_costo]],tblCECO[codigo],tblCECO[coordinador],"(sin catálogo)"))</f>
        <v/>
      </c>
      <c r="Y1020" s="3">
        <f>IF(tblOrdenes[[#This Row],[puesto_trabajo]]="","",_xlfn.XLOOKUP(tblOrdenes[[#This Row],[puesto_trabajo]],tblPuestos[codigo],tblPuestos[especialidad],"(sin catálogo)"))</f>
        <v/>
      </c>
      <c r="Z1020" s="3">
        <f>IF(tblOrdenes[[#This Row],[cod_actividad]]="","",_xlfn.XLOOKUP(tblOrdenes[[#This Row],[cod_actividad]],tblActividades[codigo],tblActividades[descripcion],"(sin catálogo)"))</f>
        <v/>
      </c>
      <c r="AA1020" s="12">
        <f>IF(tblOrdenes[[#This Row],[fecha_inicio]]="","",TODAY()-tblOrdenes[[#This Row],[fecha_inicio]])</f>
        <v/>
      </c>
      <c r="AB10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3">
        <f>IF(tblOrdenes[[#This Row],[backlog_habiles]]="","",IF(tblOrdenes[[#This Row],[backlog_habiles]]&lt;0,"FUTURO",IF(tblOrdenes[[#This Row],[backlog_habiles]]&gt;p_dias_backlog_max,"BACKLOG","MES CORRIENTE")))</f>
        <v/>
      </c>
      <c r="AD1020" s="3">
        <f>IF(tblOrdenes[[#This Row],[backlog_habiles]]="",FALSE,AND(tblOrdenes[[#This Row],[backlog_habiles]]&gt;p_dias_backlog_min,tblOrdenes[[#This Row],[backlog_habiles]]&lt;=p_dias_backlog_max))</f>
        <v/>
      </c>
      <c r="AE1020" s="6" t="n"/>
      <c r="AF10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0">
        <f>IF(tblOrdenes[[#This Row],[orden]]="","",_xlfn.XLOOKUP(tblOrdenes[[#This Row],[id_operacion]],tblEjecucion[id_operacion],tblEjecucion[precio],0))</f>
        <v/>
      </c>
      <c r="AJ1020" s="10">
        <f>IF(tblOrdenes[[#This Row],[orden]]="","",MAX(0,_xlfn.XLOOKUP(tblOrdenes[[#This Row],[id_operacion]],tblEjecucion[id_operacion],tblEjecucion[costo_plan_total],0)-tblOrdenes[[#This Row],[costo_servicio]]))</f>
        <v/>
      </c>
      <c r="AK1020" s="10">
        <f>IF(tblOrdenes[[#This Row],[orden]]="","",tblOrdenes[[#This Row],[costo_servicio]]+tblOrdenes[[#This Row],[costo_materiales]])</f>
        <v/>
      </c>
      <c r="AL1020" s="6" t="n"/>
      <c r="AM1020" s="6" t="n"/>
      <c r="AN1020" s="6" t="n"/>
      <c r="AO1020" s="3">
        <f>IF(tblOrdenes[[#This Row],[link_checklist]]="","",HYPERLINK(p_ruta_base_checklists&amp;tblOrdenes[[#This Row],[link_checklist]],"abrir"))</f>
        <v/>
      </c>
      <c r="AP1020" s="6" t="n"/>
      <c r="AQ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3">
        <f>IF(tblOrdenes[[#This Row],[tipo_ot]]="","",_xlfn.XLOOKUP(tblOrdenes[[#This Row],[tipo_ot]],tblTiposOT[codigo],tblTiposOT[clasificacion],"sin_clasificar"))</f>
        <v/>
      </c>
      <c r="U1021" s="3">
        <f>IF(tblOrdenes[[#This Row],[centro_costo]]="","",_xlfn.XLOOKUP(tblOrdenes[[#This Row],[centro_costo]],tblCECO[codigo],tblCECO[linea],"(sin catálogo)"))</f>
        <v/>
      </c>
      <c r="V1021" s="3">
        <f>IF(tblOrdenes[[#This Row],[centro_costo]]="","",_xlfn.XLOOKUP(tblOrdenes[[#This Row],[centro_costo]],tblCECO[codigo],tblCECO[area],"(sin catálogo)"))</f>
        <v/>
      </c>
      <c r="W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3">
        <f>IF(tblOrdenes[[#This Row],[centro_costo]]="","",_xlfn.XLOOKUP(tblOrdenes[[#This Row],[centro_costo]],tblCECO[codigo],tblCECO[coordinador],"(sin catálogo)"))</f>
        <v/>
      </c>
      <c r="Y1021" s="3">
        <f>IF(tblOrdenes[[#This Row],[puesto_trabajo]]="","",_xlfn.XLOOKUP(tblOrdenes[[#This Row],[puesto_trabajo]],tblPuestos[codigo],tblPuestos[especialidad],"(sin catálogo)"))</f>
        <v/>
      </c>
      <c r="Z1021" s="3">
        <f>IF(tblOrdenes[[#This Row],[cod_actividad]]="","",_xlfn.XLOOKUP(tblOrdenes[[#This Row],[cod_actividad]],tblActividades[codigo],tblActividades[descripcion],"(sin catálogo)"))</f>
        <v/>
      </c>
      <c r="AA1021" s="12">
        <f>IF(tblOrdenes[[#This Row],[fecha_inicio]]="","",TODAY()-tblOrdenes[[#This Row],[fecha_inicio]])</f>
        <v/>
      </c>
      <c r="AB10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3">
        <f>IF(tblOrdenes[[#This Row],[backlog_habiles]]="","",IF(tblOrdenes[[#This Row],[backlog_habiles]]&lt;0,"FUTURO",IF(tblOrdenes[[#This Row],[backlog_habiles]]&gt;p_dias_backlog_max,"BACKLOG","MES CORRIENTE")))</f>
        <v/>
      </c>
      <c r="AD1021" s="3">
        <f>IF(tblOrdenes[[#This Row],[backlog_habiles]]="",FALSE,AND(tblOrdenes[[#This Row],[backlog_habiles]]&gt;p_dias_backlog_min,tblOrdenes[[#This Row],[backlog_habiles]]&lt;=p_dias_backlog_max))</f>
        <v/>
      </c>
      <c r="AE1021" s="6" t="n"/>
      <c r="AF10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0">
        <f>IF(tblOrdenes[[#This Row],[orden]]="","",_xlfn.XLOOKUP(tblOrdenes[[#This Row],[id_operacion]],tblEjecucion[id_operacion],tblEjecucion[precio],0))</f>
        <v/>
      </c>
      <c r="AJ1021" s="10">
        <f>IF(tblOrdenes[[#This Row],[orden]]="","",MAX(0,_xlfn.XLOOKUP(tblOrdenes[[#This Row],[id_operacion]],tblEjecucion[id_operacion],tblEjecucion[costo_plan_total],0)-tblOrdenes[[#This Row],[costo_servicio]]))</f>
        <v/>
      </c>
      <c r="AK1021" s="10">
        <f>IF(tblOrdenes[[#This Row],[orden]]="","",tblOrdenes[[#This Row],[costo_servicio]]+tblOrdenes[[#This Row],[costo_materiales]])</f>
        <v/>
      </c>
      <c r="AL1021" s="6" t="n"/>
      <c r="AM1021" s="6" t="n"/>
      <c r="AN1021" s="6" t="n"/>
      <c r="AO1021" s="3">
        <f>IF(tblOrdenes[[#This Row],[link_checklist]]="","",HYPERLINK(p_ruta_base_checklists&amp;tblOrdenes[[#This Row],[link_checklist]],"abrir"))</f>
        <v/>
      </c>
      <c r="AP1021" s="6" t="n"/>
      <c r="AQ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3">
        <f>IF(tblOrdenes[[#This Row],[tipo_ot]]="","",_xlfn.XLOOKUP(tblOrdenes[[#This Row],[tipo_ot]],tblTiposOT[codigo],tblTiposOT[clasificacion],"sin_clasificar"))</f>
        <v/>
      </c>
      <c r="U1022" s="3">
        <f>IF(tblOrdenes[[#This Row],[centro_costo]]="","",_xlfn.XLOOKUP(tblOrdenes[[#This Row],[centro_costo]],tblCECO[codigo],tblCECO[linea],"(sin catálogo)"))</f>
        <v/>
      </c>
      <c r="V1022" s="3">
        <f>IF(tblOrdenes[[#This Row],[centro_costo]]="","",_xlfn.XLOOKUP(tblOrdenes[[#This Row],[centro_costo]],tblCECO[codigo],tblCECO[area],"(sin catálogo)"))</f>
        <v/>
      </c>
      <c r="W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3">
        <f>IF(tblOrdenes[[#This Row],[centro_costo]]="","",_xlfn.XLOOKUP(tblOrdenes[[#This Row],[centro_costo]],tblCECO[codigo],tblCECO[coordinador],"(sin catálogo)"))</f>
        <v/>
      </c>
      <c r="Y1022" s="3">
        <f>IF(tblOrdenes[[#This Row],[puesto_trabajo]]="","",_xlfn.XLOOKUP(tblOrdenes[[#This Row],[puesto_trabajo]],tblPuestos[codigo],tblPuestos[especialidad],"(sin catálogo)"))</f>
        <v/>
      </c>
      <c r="Z1022" s="3">
        <f>IF(tblOrdenes[[#This Row],[cod_actividad]]="","",_xlfn.XLOOKUP(tblOrdenes[[#This Row],[cod_actividad]],tblActividades[codigo],tblActividades[descripcion],"(sin catálogo)"))</f>
        <v/>
      </c>
      <c r="AA1022" s="12">
        <f>IF(tblOrdenes[[#This Row],[fecha_inicio]]="","",TODAY()-tblOrdenes[[#This Row],[fecha_inicio]])</f>
        <v/>
      </c>
      <c r="AB10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3">
        <f>IF(tblOrdenes[[#This Row],[backlog_habiles]]="","",IF(tblOrdenes[[#This Row],[backlog_habiles]]&lt;0,"FUTURO",IF(tblOrdenes[[#This Row],[backlog_habiles]]&gt;p_dias_backlog_max,"BACKLOG","MES CORRIENTE")))</f>
        <v/>
      </c>
      <c r="AD1022" s="3">
        <f>IF(tblOrdenes[[#This Row],[backlog_habiles]]="",FALSE,AND(tblOrdenes[[#This Row],[backlog_habiles]]&gt;p_dias_backlog_min,tblOrdenes[[#This Row],[backlog_habiles]]&lt;=p_dias_backlog_max))</f>
        <v/>
      </c>
      <c r="AE1022" s="6" t="n"/>
      <c r="AF10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0">
        <f>IF(tblOrdenes[[#This Row],[orden]]="","",_xlfn.XLOOKUP(tblOrdenes[[#This Row],[id_operacion]],tblEjecucion[id_operacion],tblEjecucion[precio],0))</f>
        <v/>
      </c>
      <c r="AJ1022" s="10">
        <f>IF(tblOrdenes[[#This Row],[orden]]="","",MAX(0,_xlfn.XLOOKUP(tblOrdenes[[#This Row],[id_operacion]],tblEjecucion[id_operacion],tblEjecucion[costo_plan_total],0)-tblOrdenes[[#This Row],[costo_servicio]]))</f>
        <v/>
      </c>
      <c r="AK1022" s="10">
        <f>IF(tblOrdenes[[#This Row],[orden]]="","",tblOrdenes[[#This Row],[costo_servicio]]+tblOrdenes[[#This Row],[costo_materiales]])</f>
        <v/>
      </c>
      <c r="AL1022" s="6" t="n"/>
      <c r="AM1022" s="6" t="n"/>
      <c r="AN1022" s="6" t="n"/>
      <c r="AO1022" s="3">
        <f>IF(tblOrdenes[[#This Row],[link_checklist]]="","",HYPERLINK(p_ruta_base_checklists&amp;tblOrdenes[[#This Row],[link_checklist]],"abrir"))</f>
        <v/>
      </c>
      <c r="AP1022" s="6" t="n"/>
      <c r="AQ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3">
        <f>IF(tblOrdenes[[#This Row],[tipo_ot]]="","",_xlfn.XLOOKUP(tblOrdenes[[#This Row],[tipo_ot]],tblTiposOT[codigo],tblTiposOT[clasificacion],"sin_clasificar"))</f>
        <v/>
      </c>
      <c r="U1023" s="3">
        <f>IF(tblOrdenes[[#This Row],[centro_costo]]="","",_xlfn.XLOOKUP(tblOrdenes[[#This Row],[centro_costo]],tblCECO[codigo],tblCECO[linea],"(sin catálogo)"))</f>
        <v/>
      </c>
      <c r="V1023" s="3">
        <f>IF(tblOrdenes[[#This Row],[centro_costo]]="","",_xlfn.XLOOKUP(tblOrdenes[[#This Row],[centro_costo]],tblCECO[codigo],tblCECO[area],"(sin catálogo)"))</f>
        <v/>
      </c>
      <c r="W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3">
        <f>IF(tblOrdenes[[#This Row],[centro_costo]]="","",_xlfn.XLOOKUP(tblOrdenes[[#This Row],[centro_costo]],tblCECO[codigo],tblCECO[coordinador],"(sin catálogo)"))</f>
        <v/>
      </c>
      <c r="Y1023" s="3">
        <f>IF(tblOrdenes[[#This Row],[puesto_trabajo]]="","",_xlfn.XLOOKUP(tblOrdenes[[#This Row],[puesto_trabajo]],tblPuestos[codigo],tblPuestos[especialidad],"(sin catálogo)"))</f>
        <v/>
      </c>
      <c r="Z1023" s="3">
        <f>IF(tblOrdenes[[#This Row],[cod_actividad]]="","",_xlfn.XLOOKUP(tblOrdenes[[#This Row],[cod_actividad]],tblActividades[codigo],tblActividades[descripcion],"(sin catálogo)"))</f>
        <v/>
      </c>
      <c r="AA1023" s="12">
        <f>IF(tblOrdenes[[#This Row],[fecha_inicio]]="","",TODAY()-tblOrdenes[[#This Row],[fecha_inicio]])</f>
        <v/>
      </c>
      <c r="AB10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3">
        <f>IF(tblOrdenes[[#This Row],[backlog_habiles]]="","",IF(tblOrdenes[[#This Row],[backlog_habiles]]&lt;0,"FUTURO",IF(tblOrdenes[[#This Row],[backlog_habiles]]&gt;p_dias_backlog_max,"BACKLOG","MES CORRIENTE")))</f>
        <v/>
      </c>
      <c r="AD1023" s="3">
        <f>IF(tblOrdenes[[#This Row],[backlog_habiles]]="",FALSE,AND(tblOrdenes[[#This Row],[backlog_habiles]]&gt;p_dias_backlog_min,tblOrdenes[[#This Row],[backlog_habiles]]&lt;=p_dias_backlog_max))</f>
        <v/>
      </c>
      <c r="AE1023" s="6" t="n"/>
      <c r="AF10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0">
        <f>IF(tblOrdenes[[#This Row],[orden]]="","",_xlfn.XLOOKUP(tblOrdenes[[#This Row],[id_operacion]],tblEjecucion[id_operacion],tblEjecucion[precio],0))</f>
        <v/>
      </c>
      <c r="AJ1023" s="10">
        <f>IF(tblOrdenes[[#This Row],[orden]]="","",MAX(0,_xlfn.XLOOKUP(tblOrdenes[[#This Row],[id_operacion]],tblEjecucion[id_operacion],tblEjecucion[costo_plan_total],0)-tblOrdenes[[#This Row],[costo_servicio]]))</f>
        <v/>
      </c>
      <c r="AK1023" s="10">
        <f>IF(tblOrdenes[[#This Row],[orden]]="","",tblOrdenes[[#This Row],[costo_servicio]]+tblOrdenes[[#This Row],[costo_materiales]])</f>
        <v/>
      </c>
      <c r="AL1023" s="6" t="n"/>
      <c r="AM1023" s="6" t="n"/>
      <c r="AN1023" s="6" t="n"/>
      <c r="AO1023" s="3">
        <f>IF(tblOrdenes[[#This Row],[link_checklist]]="","",HYPERLINK(p_ruta_base_checklists&amp;tblOrdenes[[#This Row],[link_checklist]],"abrir"))</f>
        <v/>
      </c>
      <c r="AP1023" s="6" t="n"/>
      <c r="AQ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3">
        <f>IF(tblOrdenes[[#This Row],[tipo_ot]]="","",_xlfn.XLOOKUP(tblOrdenes[[#This Row],[tipo_ot]],tblTiposOT[codigo],tblTiposOT[clasificacion],"sin_clasificar"))</f>
        <v/>
      </c>
      <c r="U1024" s="3">
        <f>IF(tblOrdenes[[#This Row],[centro_costo]]="","",_xlfn.XLOOKUP(tblOrdenes[[#This Row],[centro_costo]],tblCECO[codigo],tblCECO[linea],"(sin catálogo)"))</f>
        <v/>
      </c>
      <c r="V1024" s="3">
        <f>IF(tblOrdenes[[#This Row],[centro_costo]]="","",_xlfn.XLOOKUP(tblOrdenes[[#This Row],[centro_costo]],tblCECO[codigo],tblCECO[area],"(sin catálogo)"))</f>
        <v/>
      </c>
      <c r="W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3">
        <f>IF(tblOrdenes[[#This Row],[centro_costo]]="","",_xlfn.XLOOKUP(tblOrdenes[[#This Row],[centro_costo]],tblCECO[codigo],tblCECO[coordinador],"(sin catálogo)"))</f>
        <v/>
      </c>
      <c r="Y1024" s="3">
        <f>IF(tblOrdenes[[#This Row],[puesto_trabajo]]="","",_xlfn.XLOOKUP(tblOrdenes[[#This Row],[puesto_trabajo]],tblPuestos[codigo],tblPuestos[especialidad],"(sin catálogo)"))</f>
        <v/>
      </c>
      <c r="Z1024" s="3">
        <f>IF(tblOrdenes[[#This Row],[cod_actividad]]="","",_xlfn.XLOOKUP(tblOrdenes[[#This Row],[cod_actividad]],tblActividades[codigo],tblActividades[descripcion],"(sin catálogo)"))</f>
        <v/>
      </c>
      <c r="AA1024" s="12">
        <f>IF(tblOrdenes[[#This Row],[fecha_inicio]]="","",TODAY()-tblOrdenes[[#This Row],[fecha_inicio]])</f>
        <v/>
      </c>
      <c r="AB10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3">
        <f>IF(tblOrdenes[[#This Row],[backlog_habiles]]="","",IF(tblOrdenes[[#This Row],[backlog_habiles]]&lt;0,"FUTURO",IF(tblOrdenes[[#This Row],[backlog_habiles]]&gt;p_dias_backlog_max,"BACKLOG","MES CORRIENTE")))</f>
        <v/>
      </c>
      <c r="AD1024" s="3">
        <f>IF(tblOrdenes[[#This Row],[backlog_habiles]]="",FALSE,AND(tblOrdenes[[#This Row],[backlog_habiles]]&gt;p_dias_backlog_min,tblOrdenes[[#This Row],[backlog_habiles]]&lt;=p_dias_backlog_max))</f>
        <v/>
      </c>
      <c r="AE1024" s="6" t="n"/>
      <c r="AF10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0">
        <f>IF(tblOrdenes[[#This Row],[orden]]="","",_xlfn.XLOOKUP(tblOrdenes[[#This Row],[id_operacion]],tblEjecucion[id_operacion],tblEjecucion[precio],0))</f>
        <v/>
      </c>
      <c r="AJ1024" s="10">
        <f>IF(tblOrdenes[[#This Row],[orden]]="","",MAX(0,_xlfn.XLOOKUP(tblOrdenes[[#This Row],[id_operacion]],tblEjecucion[id_operacion],tblEjecucion[costo_plan_total],0)-tblOrdenes[[#This Row],[costo_servicio]]))</f>
        <v/>
      </c>
      <c r="AK1024" s="10">
        <f>IF(tblOrdenes[[#This Row],[orden]]="","",tblOrdenes[[#This Row],[costo_servicio]]+tblOrdenes[[#This Row],[costo_materiales]])</f>
        <v/>
      </c>
      <c r="AL1024" s="6" t="n"/>
      <c r="AM1024" s="6" t="n"/>
      <c r="AN1024" s="6" t="n"/>
      <c r="AO1024" s="3">
        <f>IF(tblOrdenes[[#This Row],[link_checklist]]="","",HYPERLINK(p_ruta_base_checklists&amp;tblOrdenes[[#This Row],[link_checklist]],"abrir"))</f>
        <v/>
      </c>
      <c r="AP1024" s="6" t="n"/>
      <c r="AQ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3">
        <f>IF(tblOrdenes[[#This Row],[tipo_ot]]="","",_xlfn.XLOOKUP(tblOrdenes[[#This Row],[tipo_ot]],tblTiposOT[codigo],tblTiposOT[clasificacion],"sin_clasificar"))</f>
        <v/>
      </c>
      <c r="U1025" s="3">
        <f>IF(tblOrdenes[[#This Row],[centro_costo]]="","",_xlfn.XLOOKUP(tblOrdenes[[#This Row],[centro_costo]],tblCECO[codigo],tblCECO[linea],"(sin catálogo)"))</f>
        <v/>
      </c>
      <c r="V1025" s="3">
        <f>IF(tblOrdenes[[#This Row],[centro_costo]]="","",_xlfn.XLOOKUP(tblOrdenes[[#This Row],[centro_costo]],tblCECO[codigo],tblCECO[area],"(sin catálogo)"))</f>
        <v/>
      </c>
      <c r="W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3">
        <f>IF(tblOrdenes[[#This Row],[centro_costo]]="","",_xlfn.XLOOKUP(tblOrdenes[[#This Row],[centro_costo]],tblCECO[codigo],tblCECO[coordinador],"(sin catálogo)"))</f>
        <v/>
      </c>
      <c r="Y1025" s="3">
        <f>IF(tblOrdenes[[#This Row],[puesto_trabajo]]="","",_xlfn.XLOOKUP(tblOrdenes[[#This Row],[puesto_trabajo]],tblPuestos[codigo],tblPuestos[especialidad],"(sin catálogo)"))</f>
        <v/>
      </c>
      <c r="Z1025" s="3">
        <f>IF(tblOrdenes[[#This Row],[cod_actividad]]="","",_xlfn.XLOOKUP(tblOrdenes[[#This Row],[cod_actividad]],tblActividades[codigo],tblActividades[descripcion],"(sin catálogo)"))</f>
        <v/>
      </c>
      <c r="AA1025" s="12">
        <f>IF(tblOrdenes[[#This Row],[fecha_inicio]]="","",TODAY()-tblOrdenes[[#This Row],[fecha_inicio]])</f>
        <v/>
      </c>
      <c r="AB10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3">
        <f>IF(tblOrdenes[[#This Row],[backlog_habiles]]="","",IF(tblOrdenes[[#This Row],[backlog_habiles]]&lt;0,"FUTURO",IF(tblOrdenes[[#This Row],[backlog_habiles]]&gt;p_dias_backlog_max,"BACKLOG","MES CORRIENTE")))</f>
        <v/>
      </c>
      <c r="AD1025" s="3">
        <f>IF(tblOrdenes[[#This Row],[backlog_habiles]]="",FALSE,AND(tblOrdenes[[#This Row],[backlog_habiles]]&gt;p_dias_backlog_min,tblOrdenes[[#This Row],[backlog_habiles]]&lt;=p_dias_backlog_max))</f>
        <v/>
      </c>
      <c r="AE1025" s="6" t="n"/>
      <c r="AF10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0">
        <f>IF(tblOrdenes[[#This Row],[orden]]="","",_xlfn.XLOOKUP(tblOrdenes[[#This Row],[id_operacion]],tblEjecucion[id_operacion],tblEjecucion[precio],0))</f>
        <v/>
      </c>
      <c r="AJ1025" s="10">
        <f>IF(tblOrdenes[[#This Row],[orden]]="","",MAX(0,_xlfn.XLOOKUP(tblOrdenes[[#This Row],[id_operacion]],tblEjecucion[id_operacion],tblEjecucion[costo_plan_total],0)-tblOrdenes[[#This Row],[costo_servicio]]))</f>
        <v/>
      </c>
      <c r="AK1025" s="10">
        <f>IF(tblOrdenes[[#This Row],[orden]]="","",tblOrdenes[[#This Row],[costo_servicio]]+tblOrdenes[[#This Row],[costo_materiales]])</f>
        <v/>
      </c>
      <c r="AL1025" s="6" t="n"/>
      <c r="AM1025" s="6" t="n"/>
      <c r="AN1025" s="6" t="n"/>
      <c r="AO1025" s="3">
        <f>IF(tblOrdenes[[#This Row],[link_checklist]]="","",HYPERLINK(p_ruta_base_checklists&amp;tblOrdenes[[#This Row],[link_checklist]],"abrir"))</f>
        <v/>
      </c>
      <c r="AP1025" s="6" t="n"/>
      <c r="AQ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3">
        <f>IF(tblOrdenes[[#This Row],[tipo_ot]]="","",_xlfn.XLOOKUP(tblOrdenes[[#This Row],[tipo_ot]],tblTiposOT[codigo],tblTiposOT[clasificacion],"sin_clasificar"))</f>
        <v/>
      </c>
      <c r="U1026" s="3">
        <f>IF(tblOrdenes[[#This Row],[centro_costo]]="","",_xlfn.XLOOKUP(tblOrdenes[[#This Row],[centro_costo]],tblCECO[codigo],tblCECO[linea],"(sin catálogo)"))</f>
        <v/>
      </c>
      <c r="V1026" s="3">
        <f>IF(tblOrdenes[[#This Row],[centro_costo]]="","",_xlfn.XLOOKUP(tblOrdenes[[#This Row],[centro_costo]],tblCECO[codigo],tblCECO[area],"(sin catálogo)"))</f>
        <v/>
      </c>
      <c r="W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3">
        <f>IF(tblOrdenes[[#This Row],[centro_costo]]="","",_xlfn.XLOOKUP(tblOrdenes[[#This Row],[centro_costo]],tblCECO[codigo],tblCECO[coordinador],"(sin catálogo)"))</f>
        <v/>
      </c>
      <c r="Y1026" s="3">
        <f>IF(tblOrdenes[[#This Row],[puesto_trabajo]]="","",_xlfn.XLOOKUP(tblOrdenes[[#This Row],[puesto_trabajo]],tblPuestos[codigo],tblPuestos[especialidad],"(sin catálogo)"))</f>
        <v/>
      </c>
      <c r="Z1026" s="3">
        <f>IF(tblOrdenes[[#This Row],[cod_actividad]]="","",_xlfn.XLOOKUP(tblOrdenes[[#This Row],[cod_actividad]],tblActividades[codigo],tblActividades[descripcion],"(sin catálogo)"))</f>
        <v/>
      </c>
      <c r="AA1026" s="12">
        <f>IF(tblOrdenes[[#This Row],[fecha_inicio]]="","",TODAY()-tblOrdenes[[#This Row],[fecha_inicio]])</f>
        <v/>
      </c>
      <c r="AB10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3">
        <f>IF(tblOrdenes[[#This Row],[backlog_habiles]]="","",IF(tblOrdenes[[#This Row],[backlog_habiles]]&lt;0,"FUTURO",IF(tblOrdenes[[#This Row],[backlog_habiles]]&gt;p_dias_backlog_max,"BACKLOG","MES CORRIENTE")))</f>
        <v/>
      </c>
      <c r="AD1026" s="3">
        <f>IF(tblOrdenes[[#This Row],[backlog_habiles]]="",FALSE,AND(tblOrdenes[[#This Row],[backlog_habiles]]&gt;p_dias_backlog_min,tblOrdenes[[#This Row],[backlog_habiles]]&lt;=p_dias_backlog_max))</f>
        <v/>
      </c>
      <c r="AE1026" s="6" t="n"/>
      <c r="AF10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0">
        <f>IF(tblOrdenes[[#This Row],[orden]]="","",_xlfn.XLOOKUP(tblOrdenes[[#This Row],[id_operacion]],tblEjecucion[id_operacion],tblEjecucion[precio],0))</f>
        <v/>
      </c>
      <c r="AJ1026" s="10">
        <f>IF(tblOrdenes[[#This Row],[orden]]="","",MAX(0,_xlfn.XLOOKUP(tblOrdenes[[#This Row],[id_operacion]],tblEjecucion[id_operacion],tblEjecucion[costo_plan_total],0)-tblOrdenes[[#This Row],[costo_servicio]]))</f>
        <v/>
      </c>
      <c r="AK1026" s="10">
        <f>IF(tblOrdenes[[#This Row],[orden]]="","",tblOrdenes[[#This Row],[costo_servicio]]+tblOrdenes[[#This Row],[costo_materiales]])</f>
        <v/>
      </c>
      <c r="AL1026" s="6" t="n"/>
      <c r="AM1026" s="6" t="n"/>
      <c r="AN1026" s="6" t="n"/>
      <c r="AO1026" s="3">
        <f>IF(tblOrdenes[[#This Row],[link_checklist]]="","",HYPERLINK(p_ruta_base_checklists&amp;tblOrdenes[[#This Row],[link_checklist]],"abrir"))</f>
        <v/>
      </c>
      <c r="AP1026" s="6" t="n"/>
      <c r="AQ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3">
        <f>IF(tblOrdenes[[#This Row],[tipo_ot]]="","",_xlfn.XLOOKUP(tblOrdenes[[#This Row],[tipo_ot]],tblTiposOT[codigo],tblTiposOT[clasificacion],"sin_clasificar"))</f>
        <v/>
      </c>
      <c r="U1027" s="3">
        <f>IF(tblOrdenes[[#This Row],[centro_costo]]="","",_xlfn.XLOOKUP(tblOrdenes[[#This Row],[centro_costo]],tblCECO[codigo],tblCECO[linea],"(sin catálogo)"))</f>
        <v/>
      </c>
      <c r="V1027" s="3">
        <f>IF(tblOrdenes[[#This Row],[centro_costo]]="","",_xlfn.XLOOKUP(tblOrdenes[[#This Row],[centro_costo]],tblCECO[codigo],tblCECO[area],"(sin catálogo)"))</f>
        <v/>
      </c>
      <c r="W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3">
        <f>IF(tblOrdenes[[#This Row],[centro_costo]]="","",_xlfn.XLOOKUP(tblOrdenes[[#This Row],[centro_costo]],tblCECO[codigo],tblCECO[coordinador],"(sin catálogo)"))</f>
        <v/>
      </c>
      <c r="Y1027" s="3">
        <f>IF(tblOrdenes[[#This Row],[puesto_trabajo]]="","",_xlfn.XLOOKUP(tblOrdenes[[#This Row],[puesto_trabajo]],tblPuestos[codigo],tblPuestos[especialidad],"(sin catálogo)"))</f>
        <v/>
      </c>
      <c r="Z1027" s="3">
        <f>IF(tblOrdenes[[#This Row],[cod_actividad]]="","",_xlfn.XLOOKUP(tblOrdenes[[#This Row],[cod_actividad]],tblActividades[codigo],tblActividades[descripcion],"(sin catálogo)"))</f>
        <v/>
      </c>
      <c r="AA1027" s="12">
        <f>IF(tblOrdenes[[#This Row],[fecha_inicio]]="","",TODAY()-tblOrdenes[[#This Row],[fecha_inicio]])</f>
        <v/>
      </c>
      <c r="AB10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3">
        <f>IF(tblOrdenes[[#This Row],[backlog_habiles]]="","",IF(tblOrdenes[[#This Row],[backlog_habiles]]&lt;0,"FUTURO",IF(tblOrdenes[[#This Row],[backlog_habiles]]&gt;p_dias_backlog_max,"BACKLOG","MES CORRIENTE")))</f>
        <v/>
      </c>
      <c r="AD1027" s="3">
        <f>IF(tblOrdenes[[#This Row],[backlog_habiles]]="",FALSE,AND(tblOrdenes[[#This Row],[backlog_habiles]]&gt;p_dias_backlog_min,tblOrdenes[[#This Row],[backlog_habiles]]&lt;=p_dias_backlog_max))</f>
        <v/>
      </c>
      <c r="AE1027" s="6" t="n"/>
      <c r="AF10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0">
        <f>IF(tblOrdenes[[#This Row],[orden]]="","",_xlfn.XLOOKUP(tblOrdenes[[#This Row],[id_operacion]],tblEjecucion[id_operacion],tblEjecucion[precio],0))</f>
        <v/>
      </c>
      <c r="AJ1027" s="10">
        <f>IF(tblOrdenes[[#This Row],[orden]]="","",MAX(0,_xlfn.XLOOKUP(tblOrdenes[[#This Row],[id_operacion]],tblEjecucion[id_operacion],tblEjecucion[costo_plan_total],0)-tblOrdenes[[#This Row],[costo_servicio]]))</f>
        <v/>
      </c>
      <c r="AK1027" s="10">
        <f>IF(tblOrdenes[[#This Row],[orden]]="","",tblOrdenes[[#This Row],[costo_servicio]]+tblOrdenes[[#This Row],[costo_materiales]])</f>
        <v/>
      </c>
      <c r="AL1027" s="6" t="n"/>
      <c r="AM1027" s="6" t="n"/>
      <c r="AN1027" s="6" t="n"/>
      <c r="AO1027" s="3">
        <f>IF(tblOrdenes[[#This Row],[link_checklist]]="","",HYPERLINK(p_ruta_base_checklists&amp;tblOrdenes[[#This Row],[link_checklist]],"abrir"))</f>
        <v/>
      </c>
      <c r="AP1027" s="6" t="n"/>
      <c r="AQ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3">
        <f>IF(tblOrdenes[[#This Row],[tipo_ot]]="","",_xlfn.XLOOKUP(tblOrdenes[[#This Row],[tipo_ot]],tblTiposOT[codigo],tblTiposOT[clasificacion],"sin_clasificar"))</f>
        <v/>
      </c>
      <c r="U1028" s="3">
        <f>IF(tblOrdenes[[#This Row],[centro_costo]]="","",_xlfn.XLOOKUP(tblOrdenes[[#This Row],[centro_costo]],tblCECO[codigo],tblCECO[linea],"(sin catálogo)"))</f>
        <v/>
      </c>
      <c r="V1028" s="3">
        <f>IF(tblOrdenes[[#This Row],[centro_costo]]="","",_xlfn.XLOOKUP(tblOrdenes[[#This Row],[centro_costo]],tblCECO[codigo],tblCECO[area],"(sin catálogo)"))</f>
        <v/>
      </c>
      <c r="W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3">
        <f>IF(tblOrdenes[[#This Row],[centro_costo]]="","",_xlfn.XLOOKUP(tblOrdenes[[#This Row],[centro_costo]],tblCECO[codigo],tblCECO[coordinador],"(sin catálogo)"))</f>
        <v/>
      </c>
      <c r="Y1028" s="3">
        <f>IF(tblOrdenes[[#This Row],[puesto_trabajo]]="","",_xlfn.XLOOKUP(tblOrdenes[[#This Row],[puesto_trabajo]],tblPuestos[codigo],tblPuestos[especialidad],"(sin catálogo)"))</f>
        <v/>
      </c>
      <c r="Z1028" s="3">
        <f>IF(tblOrdenes[[#This Row],[cod_actividad]]="","",_xlfn.XLOOKUP(tblOrdenes[[#This Row],[cod_actividad]],tblActividades[codigo],tblActividades[descripcion],"(sin catálogo)"))</f>
        <v/>
      </c>
      <c r="AA1028" s="12">
        <f>IF(tblOrdenes[[#This Row],[fecha_inicio]]="","",TODAY()-tblOrdenes[[#This Row],[fecha_inicio]])</f>
        <v/>
      </c>
      <c r="AB10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3">
        <f>IF(tblOrdenes[[#This Row],[backlog_habiles]]="","",IF(tblOrdenes[[#This Row],[backlog_habiles]]&lt;0,"FUTURO",IF(tblOrdenes[[#This Row],[backlog_habiles]]&gt;p_dias_backlog_max,"BACKLOG","MES CORRIENTE")))</f>
        <v/>
      </c>
      <c r="AD1028" s="3">
        <f>IF(tblOrdenes[[#This Row],[backlog_habiles]]="",FALSE,AND(tblOrdenes[[#This Row],[backlog_habiles]]&gt;p_dias_backlog_min,tblOrdenes[[#This Row],[backlog_habiles]]&lt;=p_dias_backlog_max))</f>
        <v/>
      </c>
      <c r="AE1028" s="6" t="n"/>
      <c r="AF10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0">
        <f>IF(tblOrdenes[[#This Row],[orden]]="","",_xlfn.XLOOKUP(tblOrdenes[[#This Row],[id_operacion]],tblEjecucion[id_operacion],tblEjecucion[precio],0))</f>
        <v/>
      </c>
      <c r="AJ1028" s="10">
        <f>IF(tblOrdenes[[#This Row],[orden]]="","",MAX(0,_xlfn.XLOOKUP(tblOrdenes[[#This Row],[id_operacion]],tblEjecucion[id_operacion],tblEjecucion[costo_plan_total],0)-tblOrdenes[[#This Row],[costo_servicio]]))</f>
        <v/>
      </c>
      <c r="AK1028" s="10">
        <f>IF(tblOrdenes[[#This Row],[orden]]="","",tblOrdenes[[#This Row],[costo_servicio]]+tblOrdenes[[#This Row],[costo_materiales]])</f>
        <v/>
      </c>
      <c r="AL1028" s="6" t="n"/>
      <c r="AM1028" s="6" t="n"/>
      <c r="AN1028" s="6" t="n"/>
      <c r="AO1028" s="3">
        <f>IF(tblOrdenes[[#This Row],[link_checklist]]="","",HYPERLINK(p_ruta_base_checklists&amp;tblOrdenes[[#This Row],[link_checklist]],"abrir"))</f>
        <v/>
      </c>
      <c r="AP1028" s="6" t="n"/>
      <c r="AQ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3">
        <f>IF(tblOrdenes[[#This Row],[tipo_ot]]="","",_xlfn.XLOOKUP(tblOrdenes[[#This Row],[tipo_ot]],tblTiposOT[codigo],tblTiposOT[clasificacion],"sin_clasificar"))</f>
        <v/>
      </c>
      <c r="U1029" s="3">
        <f>IF(tblOrdenes[[#This Row],[centro_costo]]="","",_xlfn.XLOOKUP(tblOrdenes[[#This Row],[centro_costo]],tblCECO[codigo],tblCECO[linea],"(sin catálogo)"))</f>
        <v/>
      </c>
      <c r="V1029" s="3">
        <f>IF(tblOrdenes[[#This Row],[centro_costo]]="","",_xlfn.XLOOKUP(tblOrdenes[[#This Row],[centro_costo]],tblCECO[codigo],tblCECO[area],"(sin catálogo)"))</f>
        <v/>
      </c>
      <c r="W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3">
        <f>IF(tblOrdenes[[#This Row],[centro_costo]]="","",_xlfn.XLOOKUP(tblOrdenes[[#This Row],[centro_costo]],tblCECO[codigo],tblCECO[coordinador],"(sin catálogo)"))</f>
        <v/>
      </c>
      <c r="Y1029" s="3">
        <f>IF(tblOrdenes[[#This Row],[puesto_trabajo]]="","",_xlfn.XLOOKUP(tblOrdenes[[#This Row],[puesto_trabajo]],tblPuestos[codigo],tblPuestos[especialidad],"(sin catálogo)"))</f>
        <v/>
      </c>
      <c r="Z1029" s="3">
        <f>IF(tblOrdenes[[#This Row],[cod_actividad]]="","",_xlfn.XLOOKUP(tblOrdenes[[#This Row],[cod_actividad]],tblActividades[codigo],tblActividades[descripcion],"(sin catálogo)"))</f>
        <v/>
      </c>
      <c r="AA1029" s="12">
        <f>IF(tblOrdenes[[#This Row],[fecha_inicio]]="","",TODAY()-tblOrdenes[[#This Row],[fecha_inicio]])</f>
        <v/>
      </c>
      <c r="AB10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3">
        <f>IF(tblOrdenes[[#This Row],[backlog_habiles]]="","",IF(tblOrdenes[[#This Row],[backlog_habiles]]&lt;0,"FUTURO",IF(tblOrdenes[[#This Row],[backlog_habiles]]&gt;p_dias_backlog_max,"BACKLOG","MES CORRIENTE")))</f>
        <v/>
      </c>
      <c r="AD1029" s="3">
        <f>IF(tblOrdenes[[#This Row],[backlog_habiles]]="",FALSE,AND(tblOrdenes[[#This Row],[backlog_habiles]]&gt;p_dias_backlog_min,tblOrdenes[[#This Row],[backlog_habiles]]&lt;=p_dias_backlog_max))</f>
        <v/>
      </c>
      <c r="AE1029" s="6" t="n"/>
      <c r="AF10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0">
        <f>IF(tblOrdenes[[#This Row],[orden]]="","",_xlfn.XLOOKUP(tblOrdenes[[#This Row],[id_operacion]],tblEjecucion[id_operacion],tblEjecucion[precio],0))</f>
        <v/>
      </c>
      <c r="AJ1029" s="10">
        <f>IF(tblOrdenes[[#This Row],[orden]]="","",MAX(0,_xlfn.XLOOKUP(tblOrdenes[[#This Row],[id_operacion]],tblEjecucion[id_operacion],tblEjecucion[costo_plan_total],0)-tblOrdenes[[#This Row],[costo_servicio]]))</f>
        <v/>
      </c>
      <c r="AK1029" s="10">
        <f>IF(tblOrdenes[[#This Row],[orden]]="","",tblOrdenes[[#This Row],[costo_servicio]]+tblOrdenes[[#This Row],[costo_materiales]])</f>
        <v/>
      </c>
      <c r="AL1029" s="6" t="n"/>
      <c r="AM1029" s="6" t="n"/>
      <c r="AN1029" s="6" t="n"/>
      <c r="AO1029" s="3">
        <f>IF(tblOrdenes[[#This Row],[link_checklist]]="","",HYPERLINK(p_ruta_base_checklists&amp;tblOrdenes[[#This Row],[link_checklist]],"abrir"))</f>
        <v/>
      </c>
      <c r="AP1029" s="6" t="n"/>
      <c r="AQ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3">
        <f>IF(tblOrdenes[[#This Row],[tipo_ot]]="","",_xlfn.XLOOKUP(tblOrdenes[[#This Row],[tipo_ot]],tblTiposOT[codigo],tblTiposOT[clasificacion],"sin_clasificar"))</f>
        <v/>
      </c>
      <c r="U1030" s="3">
        <f>IF(tblOrdenes[[#This Row],[centro_costo]]="","",_xlfn.XLOOKUP(tblOrdenes[[#This Row],[centro_costo]],tblCECO[codigo],tblCECO[linea],"(sin catálogo)"))</f>
        <v/>
      </c>
      <c r="V1030" s="3">
        <f>IF(tblOrdenes[[#This Row],[centro_costo]]="","",_xlfn.XLOOKUP(tblOrdenes[[#This Row],[centro_costo]],tblCECO[codigo],tblCECO[area],"(sin catálogo)"))</f>
        <v/>
      </c>
      <c r="W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3">
        <f>IF(tblOrdenes[[#This Row],[centro_costo]]="","",_xlfn.XLOOKUP(tblOrdenes[[#This Row],[centro_costo]],tblCECO[codigo],tblCECO[coordinador],"(sin catálogo)"))</f>
        <v/>
      </c>
      <c r="Y1030" s="3">
        <f>IF(tblOrdenes[[#This Row],[puesto_trabajo]]="","",_xlfn.XLOOKUP(tblOrdenes[[#This Row],[puesto_trabajo]],tblPuestos[codigo],tblPuestos[especialidad],"(sin catálogo)"))</f>
        <v/>
      </c>
      <c r="Z1030" s="3">
        <f>IF(tblOrdenes[[#This Row],[cod_actividad]]="","",_xlfn.XLOOKUP(tblOrdenes[[#This Row],[cod_actividad]],tblActividades[codigo],tblActividades[descripcion],"(sin catálogo)"))</f>
        <v/>
      </c>
      <c r="AA1030" s="12">
        <f>IF(tblOrdenes[[#This Row],[fecha_inicio]]="","",TODAY()-tblOrdenes[[#This Row],[fecha_inicio]])</f>
        <v/>
      </c>
      <c r="AB10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3">
        <f>IF(tblOrdenes[[#This Row],[backlog_habiles]]="","",IF(tblOrdenes[[#This Row],[backlog_habiles]]&lt;0,"FUTURO",IF(tblOrdenes[[#This Row],[backlog_habiles]]&gt;p_dias_backlog_max,"BACKLOG","MES CORRIENTE")))</f>
        <v/>
      </c>
      <c r="AD1030" s="3">
        <f>IF(tblOrdenes[[#This Row],[backlog_habiles]]="",FALSE,AND(tblOrdenes[[#This Row],[backlog_habiles]]&gt;p_dias_backlog_min,tblOrdenes[[#This Row],[backlog_habiles]]&lt;=p_dias_backlog_max))</f>
        <v/>
      </c>
      <c r="AE1030" s="6" t="n"/>
      <c r="AF10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0">
        <f>IF(tblOrdenes[[#This Row],[orden]]="","",_xlfn.XLOOKUP(tblOrdenes[[#This Row],[id_operacion]],tblEjecucion[id_operacion],tblEjecucion[precio],0))</f>
        <v/>
      </c>
      <c r="AJ1030" s="10">
        <f>IF(tblOrdenes[[#This Row],[orden]]="","",MAX(0,_xlfn.XLOOKUP(tblOrdenes[[#This Row],[id_operacion]],tblEjecucion[id_operacion],tblEjecucion[costo_plan_total],0)-tblOrdenes[[#This Row],[costo_servicio]]))</f>
        <v/>
      </c>
      <c r="AK1030" s="10">
        <f>IF(tblOrdenes[[#This Row],[orden]]="","",tblOrdenes[[#This Row],[costo_servicio]]+tblOrdenes[[#This Row],[costo_materiales]])</f>
        <v/>
      </c>
      <c r="AL1030" s="6" t="n"/>
      <c r="AM1030" s="6" t="n"/>
      <c r="AN1030" s="6" t="n"/>
      <c r="AO1030" s="3">
        <f>IF(tblOrdenes[[#This Row],[link_checklist]]="","",HYPERLINK(p_ruta_base_checklists&amp;tblOrdenes[[#This Row],[link_checklist]],"abrir"))</f>
        <v/>
      </c>
      <c r="AP1030" s="6" t="n"/>
      <c r="AQ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3">
        <f>IF(tblOrdenes[[#This Row],[tipo_ot]]="","",_xlfn.XLOOKUP(tblOrdenes[[#This Row],[tipo_ot]],tblTiposOT[codigo],tblTiposOT[clasificacion],"sin_clasificar"))</f>
        <v/>
      </c>
      <c r="U1031" s="3">
        <f>IF(tblOrdenes[[#This Row],[centro_costo]]="","",_xlfn.XLOOKUP(tblOrdenes[[#This Row],[centro_costo]],tblCECO[codigo],tblCECO[linea],"(sin catálogo)"))</f>
        <v/>
      </c>
      <c r="V1031" s="3">
        <f>IF(tblOrdenes[[#This Row],[centro_costo]]="","",_xlfn.XLOOKUP(tblOrdenes[[#This Row],[centro_costo]],tblCECO[codigo],tblCECO[area],"(sin catálogo)"))</f>
        <v/>
      </c>
      <c r="W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3">
        <f>IF(tblOrdenes[[#This Row],[centro_costo]]="","",_xlfn.XLOOKUP(tblOrdenes[[#This Row],[centro_costo]],tblCECO[codigo],tblCECO[coordinador],"(sin catálogo)"))</f>
        <v/>
      </c>
      <c r="Y1031" s="3">
        <f>IF(tblOrdenes[[#This Row],[puesto_trabajo]]="","",_xlfn.XLOOKUP(tblOrdenes[[#This Row],[puesto_trabajo]],tblPuestos[codigo],tblPuestos[especialidad],"(sin catálogo)"))</f>
        <v/>
      </c>
      <c r="Z1031" s="3">
        <f>IF(tblOrdenes[[#This Row],[cod_actividad]]="","",_xlfn.XLOOKUP(tblOrdenes[[#This Row],[cod_actividad]],tblActividades[codigo],tblActividades[descripcion],"(sin catálogo)"))</f>
        <v/>
      </c>
      <c r="AA1031" s="12">
        <f>IF(tblOrdenes[[#This Row],[fecha_inicio]]="","",TODAY()-tblOrdenes[[#This Row],[fecha_inicio]])</f>
        <v/>
      </c>
      <c r="AB10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3">
        <f>IF(tblOrdenes[[#This Row],[backlog_habiles]]="","",IF(tblOrdenes[[#This Row],[backlog_habiles]]&lt;0,"FUTURO",IF(tblOrdenes[[#This Row],[backlog_habiles]]&gt;p_dias_backlog_max,"BACKLOG","MES CORRIENTE")))</f>
        <v/>
      </c>
      <c r="AD1031" s="3">
        <f>IF(tblOrdenes[[#This Row],[backlog_habiles]]="",FALSE,AND(tblOrdenes[[#This Row],[backlog_habiles]]&gt;p_dias_backlog_min,tblOrdenes[[#This Row],[backlog_habiles]]&lt;=p_dias_backlog_max))</f>
        <v/>
      </c>
      <c r="AE1031" s="6" t="n"/>
      <c r="AF10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0">
        <f>IF(tblOrdenes[[#This Row],[orden]]="","",_xlfn.XLOOKUP(tblOrdenes[[#This Row],[id_operacion]],tblEjecucion[id_operacion],tblEjecucion[precio],0))</f>
        <v/>
      </c>
      <c r="AJ1031" s="10">
        <f>IF(tblOrdenes[[#This Row],[orden]]="","",MAX(0,_xlfn.XLOOKUP(tblOrdenes[[#This Row],[id_operacion]],tblEjecucion[id_operacion],tblEjecucion[costo_plan_total],0)-tblOrdenes[[#This Row],[costo_servicio]]))</f>
        <v/>
      </c>
      <c r="AK1031" s="10">
        <f>IF(tblOrdenes[[#This Row],[orden]]="","",tblOrdenes[[#This Row],[costo_servicio]]+tblOrdenes[[#This Row],[costo_materiales]])</f>
        <v/>
      </c>
      <c r="AL1031" s="6" t="n"/>
      <c r="AM1031" s="6" t="n"/>
      <c r="AN1031" s="6" t="n"/>
      <c r="AO1031" s="3">
        <f>IF(tblOrdenes[[#This Row],[link_checklist]]="","",HYPERLINK(p_ruta_base_checklists&amp;tblOrdenes[[#This Row],[link_checklist]],"abrir"))</f>
        <v/>
      </c>
      <c r="AP1031" s="6" t="n"/>
      <c r="AQ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3">
        <f>IF(tblOrdenes[[#This Row],[tipo_ot]]="","",_xlfn.XLOOKUP(tblOrdenes[[#This Row],[tipo_ot]],tblTiposOT[codigo],tblTiposOT[clasificacion],"sin_clasificar"))</f>
        <v/>
      </c>
      <c r="U1032" s="3">
        <f>IF(tblOrdenes[[#This Row],[centro_costo]]="","",_xlfn.XLOOKUP(tblOrdenes[[#This Row],[centro_costo]],tblCECO[codigo],tblCECO[linea],"(sin catálogo)"))</f>
        <v/>
      </c>
      <c r="V1032" s="3">
        <f>IF(tblOrdenes[[#This Row],[centro_costo]]="","",_xlfn.XLOOKUP(tblOrdenes[[#This Row],[centro_costo]],tblCECO[codigo],tblCECO[area],"(sin catálogo)"))</f>
        <v/>
      </c>
      <c r="W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3">
        <f>IF(tblOrdenes[[#This Row],[centro_costo]]="","",_xlfn.XLOOKUP(tblOrdenes[[#This Row],[centro_costo]],tblCECO[codigo],tblCECO[coordinador],"(sin catálogo)"))</f>
        <v/>
      </c>
      <c r="Y1032" s="3">
        <f>IF(tblOrdenes[[#This Row],[puesto_trabajo]]="","",_xlfn.XLOOKUP(tblOrdenes[[#This Row],[puesto_trabajo]],tblPuestos[codigo],tblPuestos[especialidad],"(sin catálogo)"))</f>
        <v/>
      </c>
      <c r="Z1032" s="3">
        <f>IF(tblOrdenes[[#This Row],[cod_actividad]]="","",_xlfn.XLOOKUP(tblOrdenes[[#This Row],[cod_actividad]],tblActividades[codigo],tblActividades[descripcion],"(sin catálogo)"))</f>
        <v/>
      </c>
      <c r="AA1032" s="12">
        <f>IF(tblOrdenes[[#This Row],[fecha_inicio]]="","",TODAY()-tblOrdenes[[#This Row],[fecha_inicio]])</f>
        <v/>
      </c>
      <c r="AB10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3">
        <f>IF(tblOrdenes[[#This Row],[backlog_habiles]]="","",IF(tblOrdenes[[#This Row],[backlog_habiles]]&lt;0,"FUTURO",IF(tblOrdenes[[#This Row],[backlog_habiles]]&gt;p_dias_backlog_max,"BACKLOG","MES CORRIENTE")))</f>
        <v/>
      </c>
      <c r="AD1032" s="3">
        <f>IF(tblOrdenes[[#This Row],[backlog_habiles]]="",FALSE,AND(tblOrdenes[[#This Row],[backlog_habiles]]&gt;p_dias_backlog_min,tblOrdenes[[#This Row],[backlog_habiles]]&lt;=p_dias_backlog_max))</f>
        <v/>
      </c>
      <c r="AE1032" s="6" t="n"/>
      <c r="AF10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0">
        <f>IF(tblOrdenes[[#This Row],[orden]]="","",_xlfn.XLOOKUP(tblOrdenes[[#This Row],[id_operacion]],tblEjecucion[id_operacion],tblEjecucion[precio],0))</f>
        <v/>
      </c>
      <c r="AJ1032" s="10">
        <f>IF(tblOrdenes[[#This Row],[orden]]="","",MAX(0,_xlfn.XLOOKUP(tblOrdenes[[#This Row],[id_operacion]],tblEjecucion[id_operacion],tblEjecucion[costo_plan_total],0)-tblOrdenes[[#This Row],[costo_servicio]]))</f>
        <v/>
      </c>
      <c r="AK1032" s="10">
        <f>IF(tblOrdenes[[#This Row],[orden]]="","",tblOrdenes[[#This Row],[costo_servicio]]+tblOrdenes[[#This Row],[costo_materiales]])</f>
        <v/>
      </c>
      <c r="AL1032" s="6" t="n"/>
      <c r="AM1032" s="6" t="n"/>
      <c r="AN1032" s="6" t="n"/>
      <c r="AO1032" s="3">
        <f>IF(tblOrdenes[[#This Row],[link_checklist]]="","",HYPERLINK(p_ruta_base_checklists&amp;tblOrdenes[[#This Row],[link_checklist]],"abrir"))</f>
        <v/>
      </c>
      <c r="AP1032" s="6" t="n"/>
      <c r="AQ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3">
        <f>IF(tblOrdenes[[#This Row],[tipo_ot]]="","",_xlfn.XLOOKUP(tblOrdenes[[#This Row],[tipo_ot]],tblTiposOT[codigo],tblTiposOT[clasificacion],"sin_clasificar"))</f>
        <v/>
      </c>
      <c r="U1033" s="3">
        <f>IF(tblOrdenes[[#This Row],[centro_costo]]="","",_xlfn.XLOOKUP(tblOrdenes[[#This Row],[centro_costo]],tblCECO[codigo],tblCECO[linea],"(sin catálogo)"))</f>
        <v/>
      </c>
      <c r="V1033" s="3">
        <f>IF(tblOrdenes[[#This Row],[centro_costo]]="","",_xlfn.XLOOKUP(tblOrdenes[[#This Row],[centro_costo]],tblCECO[codigo],tblCECO[area],"(sin catálogo)"))</f>
        <v/>
      </c>
      <c r="W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3">
        <f>IF(tblOrdenes[[#This Row],[centro_costo]]="","",_xlfn.XLOOKUP(tblOrdenes[[#This Row],[centro_costo]],tblCECO[codigo],tblCECO[coordinador],"(sin catálogo)"))</f>
        <v/>
      </c>
      <c r="Y1033" s="3">
        <f>IF(tblOrdenes[[#This Row],[puesto_trabajo]]="","",_xlfn.XLOOKUP(tblOrdenes[[#This Row],[puesto_trabajo]],tblPuestos[codigo],tblPuestos[especialidad],"(sin catálogo)"))</f>
        <v/>
      </c>
      <c r="Z1033" s="3">
        <f>IF(tblOrdenes[[#This Row],[cod_actividad]]="","",_xlfn.XLOOKUP(tblOrdenes[[#This Row],[cod_actividad]],tblActividades[codigo],tblActividades[descripcion],"(sin catálogo)"))</f>
        <v/>
      </c>
      <c r="AA1033" s="12">
        <f>IF(tblOrdenes[[#This Row],[fecha_inicio]]="","",TODAY()-tblOrdenes[[#This Row],[fecha_inicio]])</f>
        <v/>
      </c>
      <c r="AB10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3">
        <f>IF(tblOrdenes[[#This Row],[backlog_habiles]]="","",IF(tblOrdenes[[#This Row],[backlog_habiles]]&lt;0,"FUTURO",IF(tblOrdenes[[#This Row],[backlog_habiles]]&gt;p_dias_backlog_max,"BACKLOG","MES CORRIENTE")))</f>
        <v/>
      </c>
      <c r="AD1033" s="3">
        <f>IF(tblOrdenes[[#This Row],[backlog_habiles]]="",FALSE,AND(tblOrdenes[[#This Row],[backlog_habiles]]&gt;p_dias_backlog_min,tblOrdenes[[#This Row],[backlog_habiles]]&lt;=p_dias_backlog_max))</f>
        <v/>
      </c>
      <c r="AE1033" s="6" t="n"/>
      <c r="AF10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0">
        <f>IF(tblOrdenes[[#This Row],[orden]]="","",_xlfn.XLOOKUP(tblOrdenes[[#This Row],[id_operacion]],tblEjecucion[id_operacion],tblEjecucion[precio],0))</f>
        <v/>
      </c>
      <c r="AJ1033" s="10">
        <f>IF(tblOrdenes[[#This Row],[orden]]="","",MAX(0,_xlfn.XLOOKUP(tblOrdenes[[#This Row],[id_operacion]],tblEjecucion[id_operacion],tblEjecucion[costo_plan_total],0)-tblOrdenes[[#This Row],[costo_servicio]]))</f>
        <v/>
      </c>
      <c r="AK1033" s="10">
        <f>IF(tblOrdenes[[#This Row],[orden]]="","",tblOrdenes[[#This Row],[costo_servicio]]+tblOrdenes[[#This Row],[costo_materiales]])</f>
        <v/>
      </c>
      <c r="AL1033" s="6" t="n"/>
      <c r="AM1033" s="6" t="n"/>
      <c r="AN1033" s="6" t="n"/>
      <c r="AO1033" s="3">
        <f>IF(tblOrdenes[[#This Row],[link_checklist]]="","",HYPERLINK(p_ruta_base_checklists&amp;tblOrdenes[[#This Row],[link_checklist]],"abrir"))</f>
        <v/>
      </c>
      <c r="AP1033" s="6" t="n"/>
      <c r="AQ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3">
        <f>IF(tblOrdenes[[#This Row],[tipo_ot]]="","",_xlfn.XLOOKUP(tblOrdenes[[#This Row],[tipo_ot]],tblTiposOT[codigo],tblTiposOT[clasificacion],"sin_clasificar"))</f>
        <v/>
      </c>
      <c r="U1034" s="3">
        <f>IF(tblOrdenes[[#This Row],[centro_costo]]="","",_xlfn.XLOOKUP(tblOrdenes[[#This Row],[centro_costo]],tblCECO[codigo],tblCECO[linea],"(sin catálogo)"))</f>
        <v/>
      </c>
      <c r="V1034" s="3">
        <f>IF(tblOrdenes[[#This Row],[centro_costo]]="","",_xlfn.XLOOKUP(tblOrdenes[[#This Row],[centro_costo]],tblCECO[codigo],tblCECO[area],"(sin catálogo)"))</f>
        <v/>
      </c>
      <c r="W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3">
        <f>IF(tblOrdenes[[#This Row],[centro_costo]]="","",_xlfn.XLOOKUP(tblOrdenes[[#This Row],[centro_costo]],tblCECO[codigo],tblCECO[coordinador],"(sin catálogo)"))</f>
        <v/>
      </c>
      <c r="Y1034" s="3">
        <f>IF(tblOrdenes[[#This Row],[puesto_trabajo]]="","",_xlfn.XLOOKUP(tblOrdenes[[#This Row],[puesto_trabajo]],tblPuestos[codigo],tblPuestos[especialidad],"(sin catálogo)"))</f>
        <v/>
      </c>
      <c r="Z1034" s="3">
        <f>IF(tblOrdenes[[#This Row],[cod_actividad]]="","",_xlfn.XLOOKUP(tblOrdenes[[#This Row],[cod_actividad]],tblActividades[codigo],tblActividades[descripcion],"(sin catálogo)"))</f>
        <v/>
      </c>
      <c r="AA1034" s="12">
        <f>IF(tblOrdenes[[#This Row],[fecha_inicio]]="","",TODAY()-tblOrdenes[[#This Row],[fecha_inicio]])</f>
        <v/>
      </c>
      <c r="AB10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3">
        <f>IF(tblOrdenes[[#This Row],[backlog_habiles]]="","",IF(tblOrdenes[[#This Row],[backlog_habiles]]&lt;0,"FUTURO",IF(tblOrdenes[[#This Row],[backlog_habiles]]&gt;p_dias_backlog_max,"BACKLOG","MES CORRIENTE")))</f>
        <v/>
      </c>
      <c r="AD1034" s="3">
        <f>IF(tblOrdenes[[#This Row],[backlog_habiles]]="",FALSE,AND(tblOrdenes[[#This Row],[backlog_habiles]]&gt;p_dias_backlog_min,tblOrdenes[[#This Row],[backlog_habiles]]&lt;=p_dias_backlog_max))</f>
        <v/>
      </c>
      <c r="AE1034" s="6" t="n"/>
      <c r="AF10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0">
        <f>IF(tblOrdenes[[#This Row],[orden]]="","",_xlfn.XLOOKUP(tblOrdenes[[#This Row],[id_operacion]],tblEjecucion[id_operacion],tblEjecucion[precio],0))</f>
        <v/>
      </c>
      <c r="AJ1034" s="10">
        <f>IF(tblOrdenes[[#This Row],[orden]]="","",MAX(0,_xlfn.XLOOKUP(tblOrdenes[[#This Row],[id_operacion]],tblEjecucion[id_operacion],tblEjecucion[costo_plan_total],0)-tblOrdenes[[#This Row],[costo_servicio]]))</f>
        <v/>
      </c>
      <c r="AK1034" s="10">
        <f>IF(tblOrdenes[[#This Row],[orden]]="","",tblOrdenes[[#This Row],[costo_servicio]]+tblOrdenes[[#This Row],[costo_materiales]])</f>
        <v/>
      </c>
      <c r="AL1034" s="6" t="n"/>
      <c r="AM1034" s="6" t="n"/>
      <c r="AN1034" s="6" t="n"/>
      <c r="AO1034" s="3">
        <f>IF(tblOrdenes[[#This Row],[link_checklist]]="","",HYPERLINK(p_ruta_base_checklists&amp;tblOrdenes[[#This Row],[link_checklist]],"abrir"))</f>
        <v/>
      </c>
      <c r="AP1034" s="6" t="n"/>
      <c r="AQ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3">
        <f>IF(tblOrdenes[[#This Row],[tipo_ot]]="","",_xlfn.XLOOKUP(tblOrdenes[[#This Row],[tipo_ot]],tblTiposOT[codigo],tblTiposOT[clasificacion],"sin_clasificar"))</f>
        <v/>
      </c>
      <c r="U1035" s="3">
        <f>IF(tblOrdenes[[#This Row],[centro_costo]]="","",_xlfn.XLOOKUP(tblOrdenes[[#This Row],[centro_costo]],tblCECO[codigo],tblCECO[linea],"(sin catálogo)"))</f>
        <v/>
      </c>
      <c r="V1035" s="3">
        <f>IF(tblOrdenes[[#This Row],[centro_costo]]="","",_xlfn.XLOOKUP(tblOrdenes[[#This Row],[centro_costo]],tblCECO[codigo],tblCECO[area],"(sin catálogo)"))</f>
        <v/>
      </c>
      <c r="W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3">
        <f>IF(tblOrdenes[[#This Row],[centro_costo]]="","",_xlfn.XLOOKUP(tblOrdenes[[#This Row],[centro_costo]],tblCECO[codigo],tblCECO[coordinador],"(sin catálogo)"))</f>
        <v/>
      </c>
      <c r="Y1035" s="3">
        <f>IF(tblOrdenes[[#This Row],[puesto_trabajo]]="","",_xlfn.XLOOKUP(tblOrdenes[[#This Row],[puesto_trabajo]],tblPuestos[codigo],tblPuestos[especialidad],"(sin catálogo)"))</f>
        <v/>
      </c>
      <c r="Z1035" s="3">
        <f>IF(tblOrdenes[[#This Row],[cod_actividad]]="","",_xlfn.XLOOKUP(tblOrdenes[[#This Row],[cod_actividad]],tblActividades[codigo],tblActividades[descripcion],"(sin catálogo)"))</f>
        <v/>
      </c>
      <c r="AA1035" s="12">
        <f>IF(tblOrdenes[[#This Row],[fecha_inicio]]="","",TODAY()-tblOrdenes[[#This Row],[fecha_inicio]])</f>
        <v/>
      </c>
      <c r="AB10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3">
        <f>IF(tblOrdenes[[#This Row],[backlog_habiles]]="","",IF(tblOrdenes[[#This Row],[backlog_habiles]]&lt;0,"FUTURO",IF(tblOrdenes[[#This Row],[backlog_habiles]]&gt;p_dias_backlog_max,"BACKLOG","MES CORRIENTE")))</f>
        <v/>
      </c>
      <c r="AD1035" s="3">
        <f>IF(tblOrdenes[[#This Row],[backlog_habiles]]="",FALSE,AND(tblOrdenes[[#This Row],[backlog_habiles]]&gt;p_dias_backlog_min,tblOrdenes[[#This Row],[backlog_habiles]]&lt;=p_dias_backlog_max))</f>
        <v/>
      </c>
      <c r="AE1035" s="6" t="n"/>
      <c r="AF10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0">
        <f>IF(tblOrdenes[[#This Row],[orden]]="","",_xlfn.XLOOKUP(tblOrdenes[[#This Row],[id_operacion]],tblEjecucion[id_operacion],tblEjecucion[precio],0))</f>
        <v/>
      </c>
      <c r="AJ1035" s="10">
        <f>IF(tblOrdenes[[#This Row],[orden]]="","",MAX(0,_xlfn.XLOOKUP(tblOrdenes[[#This Row],[id_operacion]],tblEjecucion[id_operacion],tblEjecucion[costo_plan_total],0)-tblOrdenes[[#This Row],[costo_servicio]]))</f>
        <v/>
      </c>
      <c r="AK1035" s="10">
        <f>IF(tblOrdenes[[#This Row],[orden]]="","",tblOrdenes[[#This Row],[costo_servicio]]+tblOrdenes[[#This Row],[costo_materiales]])</f>
        <v/>
      </c>
      <c r="AL1035" s="6" t="n"/>
      <c r="AM1035" s="6" t="n"/>
      <c r="AN1035" s="6" t="n"/>
      <c r="AO1035" s="3">
        <f>IF(tblOrdenes[[#This Row],[link_checklist]]="","",HYPERLINK(p_ruta_base_checklists&amp;tblOrdenes[[#This Row],[link_checklist]],"abrir"))</f>
        <v/>
      </c>
      <c r="AP1035" s="6" t="n"/>
      <c r="AQ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3">
        <f>IF(tblOrdenes[[#This Row],[tipo_ot]]="","",_xlfn.XLOOKUP(tblOrdenes[[#This Row],[tipo_ot]],tblTiposOT[codigo],tblTiposOT[clasificacion],"sin_clasificar"))</f>
        <v/>
      </c>
      <c r="U1036" s="3">
        <f>IF(tblOrdenes[[#This Row],[centro_costo]]="","",_xlfn.XLOOKUP(tblOrdenes[[#This Row],[centro_costo]],tblCECO[codigo],tblCECO[linea],"(sin catálogo)"))</f>
        <v/>
      </c>
      <c r="V1036" s="3">
        <f>IF(tblOrdenes[[#This Row],[centro_costo]]="","",_xlfn.XLOOKUP(tblOrdenes[[#This Row],[centro_costo]],tblCECO[codigo],tblCECO[area],"(sin catálogo)"))</f>
        <v/>
      </c>
      <c r="W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3">
        <f>IF(tblOrdenes[[#This Row],[centro_costo]]="","",_xlfn.XLOOKUP(tblOrdenes[[#This Row],[centro_costo]],tblCECO[codigo],tblCECO[coordinador],"(sin catálogo)"))</f>
        <v/>
      </c>
      <c r="Y1036" s="3">
        <f>IF(tblOrdenes[[#This Row],[puesto_trabajo]]="","",_xlfn.XLOOKUP(tblOrdenes[[#This Row],[puesto_trabajo]],tblPuestos[codigo],tblPuestos[especialidad],"(sin catálogo)"))</f>
        <v/>
      </c>
      <c r="Z1036" s="3">
        <f>IF(tblOrdenes[[#This Row],[cod_actividad]]="","",_xlfn.XLOOKUP(tblOrdenes[[#This Row],[cod_actividad]],tblActividades[codigo],tblActividades[descripcion],"(sin catálogo)"))</f>
        <v/>
      </c>
      <c r="AA1036" s="12">
        <f>IF(tblOrdenes[[#This Row],[fecha_inicio]]="","",TODAY()-tblOrdenes[[#This Row],[fecha_inicio]])</f>
        <v/>
      </c>
      <c r="AB10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3">
        <f>IF(tblOrdenes[[#This Row],[backlog_habiles]]="","",IF(tblOrdenes[[#This Row],[backlog_habiles]]&lt;0,"FUTURO",IF(tblOrdenes[[#This Row],[backlog_habiles]]&gt;p_dias_backlog_max,"BACKLOG","MES CORRIENTE")))</f>
        <v/>
      </c>
      <c r="AD1036" s="3">
        <f>IF(tblOrdenes[[#This Row],[backlog_habiles]]="",FALSE,AND(tblOrdenes[[#This Row],[backlog_habiles]]&gt;p_dias_backlog_min,tblOrdenes[[#This Row],[backlog_habiles]]&lt;=p_dias_backlog_max))</f>
        <v/>
      </c>
      <c r="AE1036" s="6" t="n"/>
      <c r="AF10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0">
        <f>IF(tblOrdenes[[#This Row],[orden]]="","",_xlfn.XLOOKUP(tblOrdenes[[#This Row],[id_operacion]],tblEjecucion[id_operacion],tblEjecucion[precio],0))</f>
        <v/>
      </c>
      <c r="AJ1036" s="10">
        <f>IF(tblOrdenes[[#This Row],[orden]]="","",MAX(0,_xlfn.XLOOKUP(tblOrdenes[[#This Row],[id_operacion]],tblEjecucion[id_operacion],tblEjecucion[costo_plan_total],0)-tblOrdenes[[#This Row],[costo_servicio]]))</f>
        <v/>
      </c>
      <c r="AK1036" s="10">
        <f>IF(tblOrdenes[[#This Row],[orden]]="","",tblOrdenes[[#This Row],[costo_servicio]]+tblOrdenes[[#This Row],[costo_materiales]])</f>
        <v/>
      </c>
      <c r="AL1036" s="6" t="n"/>
      <c r="AM1036" s="6" t="n"/>
      <c r="AN1036" s="6" t="n"/>
      <c r="AO1036" s="3">
        <f>IF(tblOrdenes[[#This Row],[link_checklist]]="","",HYPERLINK(p_ruta_base_checklists&amp;tblOrdenes[[#This Row],[link_checklist]],"abrir"))</f>
        <v/>
      </c>
      <c r="AP1036" s="6" t="n"/>
      <c r="AQ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3">
        <f>IF(tblOrdenes[[#This Row],[tipo_ot]]="","",_xlfn.XLOOKUP(tblOrdenes[[#This Row],[tipo_ot]],tblTiposOT[codigo],tblTiposOT[clasificacion],"sin_clasificar"))</f>
        <v/>
      </c>
      <c r="U1037" s="3">
        <f>IF(tblOrdenes[[#This Row],[centro_costo]]="","",_xlfn.XLOOKUP(tblOrdenes[[#This Row],[centro_costo]],tblCECO[codigo],tblCECO[linea],"(sin catálogo)"))</f>
        <v/>
      </c>
      <c r="V1037" s="3">
        <f>IF(tblOrdenes[[#This Row],[centro_costo]]="","",_xlfn.XLOOKUP(tblOrdenes[[#This Row],[centro_costo]],tblCECO[codigo],tblCECO[area],"(sin catálogo)"))</f>
        <v/>
      </c>
      <c r="W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3">
        <f>IF(tblOrdenes[[#This Row],[centro_costo]]="","",_xlfn.XLOOKUP(tblOrdenes[[#This Row],[centro_costo]],tblCECO[codigo],tblCECO[coordinador],"(sin catálogo)"))</f>
        <v/>
      </c>
      <c r="Y1037" s="3">
        <f>IF(tblOrdenes[[#This Row],[puesto_trabajo]]="","",_xlfn.XLOOKUP(tblOrdenes[[#This Row],[puesto_trabajo]],tblPuestos[codigo],tblPuestos[especialidad],"(sin catálogo)"))</f>
        <v/>
      </c>
      <c r="Z1037" s="3">
        <f>IF(tblOrdenes[[#This Row],[cod_actividad]]="","",_xlfn.XLOOKUP(tblOrdenes[[#This Row],[cod_actividad]],tblActividades[codigo],tblActividades[descripcion],"(sin catálogo)"))</f>
        <v/>
      </c>
      <c r="AA1037" s="12">
        <f>IF(tblOrdenes[[#This Row],[fecha_inicio]]="","",TODAY()-tblOrdenes[[#This Row],[fecha_inicio]])</f>
        <v/>
      </c>
      <c r="AB10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3">
        <f>IF(tblOrdenes[[#This Row],[backlog_habiles]]="","",IF(tblOrdenes[[#This Row],[backlog_habiles]]&lt;0,"FUTURO",IF(tblOrdenes[[#This Row],[backlog_habiles]]&gt;p_dias_backlog_max,"BACKLOG","MES CORRIENTE")))</f>
        <v/>
      </c>
      <c r="AD1037" s="3">
        <f>IF(tblOrdenes[[#This Row],[backlog_habiles]]="",FALSE,AND(tblOrdenes[[#This Row],[backlog_habiles]]&gt;p_dias_backlog_min,tblOrdenes[[#This Row],[backlog_habiles]]&lt;=p_dias_backlog_max))</f>
        <v/>
      </c>
      <c r="AE1037" s="6" t="n"/>
      <c r="AF10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0">
        <f>IF(tblOrdenes[[#This Row],[orden]]="","",_xlfn.XLOOKUP(tblOrdenes[[#This Row],[id_operacion]],tblEjecucion[id_operacion],tblEjecucion[precio],0))</f>
        <v/>
      </c>
      <c r="AJ1037" s="10">
        <f>IF(tblOrdenes[[#This Row],[orden]]="","",MAX(0,_xlfn.XLOOKUP(tblOrdenes[[#This Row],[id_operacion]],tblEjecucion[id_operacion],tblEjecucion[costo_plan_total],0)-tblOrdenes[[#This Row],[costo_servicio]]))</f>
        <v/>
      </c>
      <c r="AK1037" s="10">
        <f>IF(tblOrdenes[[#This Row],[orden]]="","",tblOrdenes[[#This Row],[costo_servicio]]+tblOrdenes[[#This Row],[costo_materiales]])</f>
        <v/>
      </c>
      <c r="AL1037" s="6" t="n"/>
      <c r="AM1037" s="6" t="n"/>
      <c r="AN1037" s="6" t="n"/>
      <c r="AO1037" s="3">
        <f>IF(tblOrdenes[[#This Row],[link_checklist]]="","",HYPERLINK(p_ruta_base_checklists&amp;tblOrdenes[[#This Row],[link_checklist]],"abrir"))</f>
        <v/>
      </c>
      <c r="AP1037" s="6" t="n"/>
      <c r="AQ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3">
        <f>IF(tblOrdenes[[#This Row],[tipo_ot]]="","",_xlfn.XLOOKUP(tblOrdenes[[#This Row],[tipo_ot]],tblTiposOT[codigo],tblTiposOT[clasificacion],"sin_clasificar"))</f>
        <v/>
      </c>
      <c r="U1038" s="3">
        <f>IF(tblOrdenes[[#This Row],[centro_costo]]="","",_xlfn.XLOOKUP(tblOrdenes[[#This Row],[centro_costo]],tblCECO[codigo],tblCECO[linea],"(sin catálogo)"))</f>
        <v/>
      </c>
      <c r="V1038" s="3">
        <f>IF(tblOrdenes[[#This Row],[centro_costo]]="","",_xlfn.XLOOKUP(tblOrdenes[[#This Row],[centro_costo]],tblCECO[codigo],tblCECO[area],"(sin catálogo)"))</f>
        <v/>
      </c>
      <c r="W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3">
        <f>IF(tblOrdenes[[#This Row],[centro_costo]]="","",_xlfn.XLOOKUP(tblOrdenes[[#This Row],[centro_costo]],tblCECO[codigo],tblCECO[coordinador],"(sin catálogo)"))</f>
        <v/>
      </c>
      <c r="Y1038" s="3">
        <f>IF(tblOrdenes[[#This Row],[puesto_trabajo]]="","",_xlfn.XLOOKUP(tblOrdenes[[#This Row],[puesto_trabajo]],tblPuestos[codigo],tblPuestos[especialidad],"(sin catálogo)"))</f>
        <v/>
      </c>
      <c r="Z1038" s="3">
        <f>IF(tblOrdenes[[#This Row],[cod_actividad]]="","",_xlfn.XLOOKUP(tblOrdenes[[#This Row],[cod_actividad]],tblActividades[codigo],tblActividades[descripcion],"(sin catálogo)"))</f>
        <v/>
      </c>
      <c r="AA1038" s="12">
        <f>IF(tblOrdenes[[#This Row],[fecha_inicio]]="","",TODAY()-tblOrdenes[[#This Row],[fecha_inicio]])</f>
        <v/>
      </c>
      <c r="AB10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3">
        <f>IF(tblOrdenes[[#This Row],[backlog_habiles]]="","",IF(tblOrdenes[[#This Row],[backlog_habiles]]&lt;0,"FUTURO",IF(tblOrdenes[[#This Row],[backlog_habiles]]&gt;p_dias_backlog_max,"BACKLOG","MES CORRIENTE")))</f>
        <v/>
      </c>
      <c r="AD1038" s="3">
        <f>IF(tblOrdenes[[#This Row],[backlog_habiles]]="",FALSE,AND(tblOrdenes[[#This Row],[backlog_habiles]]&gt;p_dias_backlog_min,tblOrdenes[[#This Row],[backlog_habiles]]&lt;=p_dias_backlog_max))</f>
        <v/>
      </c>
      <c r="AE1038" s="6" t="n"/>
      <c r="AF10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0">
        <f>IF(tblOrdenes[[#This Row],[orden]]="","",_xlfn.XLOOKUP(tblOrdenes[[#This Row],[id_operacion]],tblEjecucion[id_operacion],tblEjecucion[precio],0))</f>
        <v/>
      </c>
      <c r="AJ1038" s="10">
        <f>IF(tblOrdenes[[#This Row],[orden]]="","",MAX(0,_xlfn.XLOOKUP(tblOrdenes[[#This Row],[id_operacion]],tblEjecucion[id_operacion],tblEjecucion[costo_plan_total],0)-tblOrdenes[[#This Row],[costo_servicio]]))</f>
        <v/>
      </c>
      <c r="AK1038" s="10">
        <f>IF(tblOrdenes[[#This Row],[orden]]="","",tblOrdenes[[#This Row],[costo_servicio]]+tblOrdenes[[#This Row],[costo_materiales]])</f>
        <v/>
      </c>
      <c r="AL1038" s="6" t="n"/>
      <c r="AM1038" s="6" t="n"/>
      <c r="AN1038" s="6" t="n"/>
      <c r="AO1038" s="3">
        <f>IF(tblOrdenes[[#This Row],[link_checklist]]="","",HYPERLINK(p_ruta_base_checklists&amp;tblOrdenes[[#This Row],[link_checklist]],"abrir"))</f>
        <v/>
      </c>
      <c r="AP1038" s="6" t="n"/>
      <c r="AQ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3">
        <f>IF(tblOrdenes[[#This Row],[tipo_ot]]="","",_xlfn.XLOOKUP(tblOrdenes[[#This Row],[tipo_ot]],tblTiposOT[codigo],tblTiposOT[clasificacion],"sin_clasificar"))</f>
        <v/>
      </c>
      <c r="U1039" s="3">
        <f>IF(tblOrdenes[[#This Row],[centro_costo]]="","",_xlfn.XLOOKUP(tblOrdenes[[#This Row],[centro_costo]],tblCECO[codigo],tblCECO[linea],"(sin catálogo)"))</f>
        <v/>
      </c>
      <c r="V1039" s="3">
        <f>IF(tblOrdenes[[#This Row],[centro_costo]]="","",_xlfn.XLOOKUP(tblOrdenes[[#This Row],[centro_costo]],tblCECO[codigo],tblCECO[area],"(sin catálogo)"))</f>
        <v/>
      </c>
      <c r="W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3">
        <f>IF(tblOrdenes[[#This Row],[centro_costo]]="","",_xlfn.XLOOKUP(tblOrdenes[[#This Row],[centro_costo]],tblCECO[codigo],tblCECO[coordinador],"(sin catálogo)"))</f>
        <v/>
      </c>
      <c r="Y1039" s="3">
        <f>IF(tblOrdenes[[#This Row],[puesto_trabajo]]="","",_xlfn.XLOOKUP(tblOrdenes[[#This Row],[puesto_trabajo]],tblPuestos[codigo],tblPuestos[especialidad],"(sin catálogo)"))</f>
        <v/>
      </c>
      <c r="Z1039" s="3">
        <f>IF(tblOrdenes[[#This Row],[cod_actividad]]="","",_xlfn.XLOOKUP(tblOrdenes[[#This Row],[cod_actividad]],tblActividades[codigo],tblActividades[descripcion],"(sin catálogo)"))</f>
        <v/>
      </c>
      <c r="AA1039" s="12">
        <f>IF(tblOrdenes[[#This Row],[fecha_inicio]]="","",TODAY()-tblOrdenes[[#This Row],[fecha_inicio]])</f>
        <v/>
      </c>
      <c r="AB10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3">
        <f>IF(tblOrdenes[[#This Row],[backlog_habiles]]="","",IF(tblOrdenes[[#This Row],[backlog_habiles]]&lt;0,"FUTURO",IF(tblOrdenes[[#This Row],[backlog_habiles]]&gt;p_dias_backlog_max,"BACKLOG","MES CORRIENTE")))</f>
        <v/>
      </c>
      <c r="AD1039" s="3">
        <f>IF(tblOrdenes[[#This Row],[backlog_habiles]]="",FALSE,AND(tblOrdenes[[#This Row],[backlog_habiles]]&gt;p_dias_backlog_min,tblOrdenes[[#This Row],[backlog_habiles]]&lt;=p_dias_backlog_max))</f>
        <v/>
      </c>
      <c r="AE1039" s="6" t="n"/>
      <c r="AF10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0">
        <f>IF(tblOrdenes[[#This Row],[orden]]="","",_xlfn.XLOOKUP(tblOrdenes[[#This Row],[id_operacion]],tblEjecucion[id_operacion],tblEjecucion[precio],0))</f>
        <v/>
      </c>
      <c r="AJ1039" s="10">
        <f>IF(tblOrdenes[[#This Row],[orden]]="","",MAX(0,_xlfn.XLOOKUP(tblOrdenes[[#This Row],[id_operacion]],tblEjecucion[id_operacion],tblEjecucion[costo_plan_total],0)-tblOrdenes[[#This Row],[costo_servicio]]))</f>
        <v/>
      </c>
      <c r="AK1039" s="10">
        <f>IF(tblOrdenes[[#This Row],[orden]]="","",tblOrdenes[[#This Row],[costo_servicio]]+tblOrdenes[[#This Row],[costo_materiales]])</f>
        <v/>
      </c>
      <c r="AL1039" s="6" t="n"/>
      <c r="AM1039" s="6" t="n"/>
      <c r="AN1039" s="6" t="n"/>
      <c r="AO1039" s="3">
        <f>IF(tblOrdenes[[#This Row],[link_checklist]]="","",HYPERLINK(p_ruta_base_checklists&amp;tblOrdenes[[#This Row],[link_checklist]],"abrir"))</f>
        <v/>
      </c>
      <c r="AP1039" s="6" t="n"/>
      <c r="AQ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3">
        <f>IF(tblOrdenes[[#This Row],[tipo_ot]]="","",_xlfn.XLOOKUP(tblOrdenes[[#This Row],[tipo_ot]],tblTiposOT[codigo],tblTiposOT[clasificacion],"sin_clasificar"))</f>
        <v/>
      </c>
      <c r="U1040" s="3">
        <f>IF(tblOrdenes[[#This Row],[centro_costo]]="","",_xlfn.XLOOKUP(tblOrdenes[[#This Row],[centro_costo]],tblCECO[codigo],tblCECO[linea],"(sin catálogo)"))</f>
        <v/>
      </c>
      <c r="V1040" s="3">
        <f>IF(tblOrdenes[[#This Row],[centro_costo]]="","",_xlfn.XLOOKUP(tblOrdenes[[#This Row],[centro_costo]],tblCECO[codigo],tblCECO[area],"(sin catálogo)"))</f>
        <v/>
      </c>
      <c r="W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3">
        <f>IF(tblOrdenes[[#This Row],[centro_costo]]="","",_xlfn.XLOOKUP(tblOrdenes[[#This Row],[centro_costo]],tblCECO[codigo],tblCECO[coordinador],"(sin catálogo)"))</f>
        <v/>
      </c>
      <c r="Y1040" s="3">
        <f>IF(tblOrdenes[[#This Row],[puesto_trabajo]]="","",_xlfn.XLOOKUP(tblOrdenes[[#This Row],[puesto_trabajo]],tblPuestos[codigo],tblPuestos[especialidad],"(sin catálogo)"))</f>
        <v/>
      </c>
      <c r="Z1040" s="3">
        <f>IF(tblOrdenes[[#This Row],[cod_actividad]]="","",_xlfn.XLOOKUP(tblOrdenes[[#This Row],[cod_actividad]],tblActividades[codigo],tblActividades[descripcion],"(sin catálogo)"))</f>
        <v/>
      </c>
      <c r="AA1040" s="12">
        <f>IF(tblOrdenes[[#This Row],[fecha_inicio]]="","",TODAY()-tblOrdenes[[#This Row],[fecha_inicio]])</f>
        <v/>
      </c>
      <c r="AB10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3">
        <f>IF(tblOrdenes[[#This Row],[backlog_habiles]]="","",IF(tblOrdenes[[#This Row],[backlog_habiles]]&lt;0,"FUTURO",IF(tblOrdenes[[#This Row],[backlog_habiles]]&gt;p_dias_backlog_max,"BACKLOG","MES CORRIENTE")))</f>
        <v/>
      </c>
      <c r="AD1040" s="3">
        <f>IF(tblOrdenes[[#This Row],[backlog_habiles]]="",FALSE,AND(tblOrdenes[[#This Row],[backlog_habiles]]&gt;p_dias_backlog_min,tblOrdenes[[#This Row],[backlog_habiles]]&lt;=p_dias_backlog_max))</f>
        <v/>
      </c>
      <c r="AE1040" s="6" t="n"/>
      <c r="AF10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0">
        <f>IF(tblOrdenes[[#This Row],[orden]]="","",_xlfn.XLOOKUP(tblOrdenes[[#This Row],[id_operacion]],tblEjecucion[id_operacion],tblEjecucion[precio],0))</f>
        <v/>
      </c>
      <c r="AJ1040" s="10">
        <f>IF(tblOrdenes[[#This Row],[orden]]="","",MAX(0,_xlfn.XLOOKUP(tblOrdenes[[#This Row],[id_operacion]],tblEjecucion[id_operacion],tblEjecucion[costo_plan_total],0)-tblOrdenes[[#This Row],[costo_servicio]]))</f>
        <v/>
      </c>
      <c r="AK1040" s="10">
        <f>IF(tblOrdenes[[#This Row],[orden]]="","",tblOrdenes[[#This Row],[costo_servicio]]+tblOrdenes[[#This Row],[costo_materiales]])</f>
        <v/>
      </c>
      <c r="AL1040" s="6" t="n"/>
      <c r="AM1040" s="6" t="n"/>
      <c r="AN1040" s="6" t="n"/>
      <c r="AO1040" s="3">
        <f>IF(tblOrdenes[[#This Row],[link_checklist]]="","",HYPERLINK(p_ruta_base_checklists&amp;tblOrdenes[[#This Row],[link_checklist]],"abrir"))</f>
        <v/>
      </c>
      <c r="AP1040" s="6" t="n"/>
      <c r="AQ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3">
        <f>IF(tblOrdenes[[#This Row],[tipo_ot]]="","",_xlfn.XLOOKUP(tblOrdenes[[#This Row],[tipo_ot]],tblTiposOT[codigo],tblTiposOT[clasificacion],"sin_clasificar"))</f>
        <v/>
      </c>
      <c r="U1041" s="3">
        <f>IF(tblOrdenes[[#This Row],[centro_costo]]="","",_xlfn.XLOOKUP(tblOrdenes[[#This Row],[centro_costo]],tblCECO[codigo],tblCECO[linea],"(sin catálogo)"))</f>
        <v/>
      </c>
      <c r="V1041" s="3">
        <f>IF(tblOrdenes[[#This Row],[centro_costo]]="","",_xlfn.XLOOKUP(tblOrdenes[[#This Row],[centro_costo]],tblCECO[codigo],tblCECO[area],"(sin catálogo)"))</f>
        <v/>
      </c>
      <c r="W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3">
        <f>IF(tblOrdenes[[#This Row],[centro_costo]]="","",_xlfn.XLOOKUP(tblOrdenes[[#This Row],[centro_costo]],tblCECO[codigo],tblCECO[coordinador],"(sin catálogo)"))</f>
        <v/>
      </c>
      <c r="Y1041" s="3">
        <f>IF(tblOrdenes[[#This Row],[puesto_trabajo]]="","",_xlfn.XLOOKUP(tblOrdenes[[#This Row],[puesto_trabajo]],tblPuestos[codigo],tblPuestos[especialidad],"(sin catálogo)"))</f>
        <v/>
      </c>
      <c r="Z1041" s="3">
        <f>IF(tblOrdenes[[#This Row],[cod_actividad]]="","",_xlfn.XLOOKUP(tblOrdenes[[#This Row],[cod_actividad]],tblActividades[codigo],tblActividades[descripcion],"(sin catálogo)"))</f>
        <v/>
      </c>
      <c r="AA1041" s="12">
        <f>IF(tblOrdenes[[#This Row],[fecha_inicio]]="","",TODAY()-tblOrdenes[[#This Row],[fecha_inicio]])</f>
        <v/>
      </c>
      <c r="AB10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3">
        <f>IF(tblOrdenes[[#This Row],[backlog_habiles]]="","",IF(tblOrdenes[[#This Row],[backlog_habiles]]&lt;0,"FUTURO",IF(tblOrdenes[[#This Row],[backlog_habiles]]&gt;p_dias_backlog_max,"BACKLOG","MES CORRIENTE")))</f>
        <v/>
      </c>
      <c r="AD1041" s="3">
        <f>IF(tblOrdenes[[#This Row],[backlog_habiles]]="",FALSE,AND(tblOrdenes[[#This Row],[backlog_habiles]]&gt;p_dias_backlog_min,tblOrdenes[[#This Row],[backlog_habiles]]&lt;=p_dias_backlog_max))</f>
        <v/>
      </c>
      <c r="AE1041" s="6" t="n"/>
      <c r="AF10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0">
        <f>IF(tblOrdenes[[#This Row],[orden]]="","",_xlfn.XLOOKUP(tblOrdenes[[#This Row],[id_operacion]],tblEjecucion[id_operacion],tblEjecucion[precio],0))</f>
        <v/>
      </c>
      <c r="AJ1041" s="10">
        <f>IF(tblOrdenes[[#This Row],[orden]]="","",MAX(0,_xlfn.XLOOKUP(tblOrdenes[[#This Row],[id_operacion]],tblEjecucion[id_operacion],tblEjecucion[costo_plan_total],0)-tblOrdenes[[#This Row],[costo_servicio]]))</f>
        <v/>
      </c>
      <c r="AK1041" s="10">
        <f>IF(tblOrdenes[[#This Row],[orden]]="","",tblOrdenes[[#This Row],[costo_servicio]]+tblOrdenes[[#This Row],[costo_materiales]])</f>
        <v/>
      </c>
      <c r="AL1041" s="6" t="n"/>
      <c r="AM1041" s="6" t="n"/>
      <c r="AN1041" s="6" t="n"/>
      <c r="AO1041" s="3">
        <f>IF(tblOrdenes[[#This Row],[link_checklist]]="","",HYPERLINK(p_ruta_base_checklists&amp;tblOrdenes[[#This Row],[link_checklist]],"abrir"))</f>
        <v/>
      </c>
      <c r="AP1041" s="6" t="n"/>
      <c r="AQ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3">
        <f>IF(tblOrdenes[[#This Row],[tipo_ot]]="","",_xlfn.XLOOKUP(tblOrdenes[[#This Row],[tipo_ot]],tblTiposOT[codigo],tblTiposOT[clasificacion],"sin_clasificar"))</f>
        <v/>
      </c>
      <c r="U1042" s="3">
        <f>IF(tblOrdenes[[#This Row],[centro_costo]]="","",_xlfn.XLOOKUP(tblOrdenes[[#This Row],[centro_costo]],tblCECO[codigo],tblCECO[linea],"(sin catálogo)"))</f>
        <v/>
      </c>
      <c r="V1042" s="3">
        <f>IF(tblOrdenes[[#This Row],[centro_costo]]="","",_xlfn.XLOOKUP(tblOrdenes[[#This Row],[centro_costo]],tblCECO[codigo],tblCECO[area],"(sin catálogo)"))</f>
        <v/>
      </c>
      <c r="W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3">
        <f>IF(tblOrdenes[[#This Row],[centro_costo]]="","",_xlfn.XLOOKUP(tblOrdenes[[#This Row],[centro_costo]],tblCECO[codigo],tblCECO[coordinador],"(sin catálogo)"))</f>
        <v/>
      </c>
      <c r="Y1042" s="3">
        <f>IF(tblOrdenes[[#This Row],[puesto_trabajo]]="","",_xlfn.XLOOKUP(tblOrdenes[[#This Row],[puesto_trabajo]],tblPuestos[codigo],tblPuestos[especialidad],"(sin catálogo)"))</f>
        <v/>
      </c>
      <c r="Z1042" s="3">
        <f>IF(tblOrdenes[[#This Row],[cod_actividad]]="","",_xlfn.XLOOKUP(tblOrdenes[[#This Row],[cod_actividad]],tblActividades[codigo],tblActividades[descripcion],"(sin catálogo)"))</f>
        <v/>
      </c>
      <c r="AA1042" s="12">
        <f>IF(tblOrdenes[[#This Row],[fecha_inicio]]="","",TODAY()-tblOrdenes[[#This Row],[fecha_inicio]])</f>
        <v/>
      </c>
      <c r="AB10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3">
        <f>IF(tblOrdenes[[#This Row],[backlog_habiles]]="","",IF(tblOrdenes[[#This Row],[backlog_habiles]]&lt;0,"FUTURO",IF(tblOrdenes[[#This Row],[backlog_habiles]]&gt;p_dias_backlog_max,"BACKLOG","MES CORRIENTE")))</f>
        <v/>
      </c>
      <c r="AD1042" s="3">
        <f>IF(tblOrdenes[[#This Row],[backlog_habiles]]="",FALSE,AND(tblOrdenes[[#This Row],[backlog_habiles]]&gt;p_dias_backlog_min,tblOrdenes[[#This Row],[backlog_habiles]]&lt;=p_dias_backlog_max))</f>
        <v/>
      </c>
      <c r="AE1042" s="6" t="n"/>
      <c r="AF10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0">
        <f>IF(tblOrdenes[[#This Row],[orden]]="","",_xlfn.XLOOKUP(tblOrdenes[[#This Row],[id_operacion]],tblEjecucion[id_operacion],tblEjecucion[precio],0))</f>
        <v/>
      </c>
      <c r="AJ1042" s="10">
        <f>IF(tblOrdenes[[#This Row],[orden]]="","",MAX(0,_xlfn.XLOOKUP(tblOrdenes[[#This Row],[id_operacion]],tblEjecucion[id_operacion],tblEjecucion[costo_plan_total],0)-tblOrdenes[[#This Row],[costo_servicio]]))</f>
        <v/>
      </c>
      <c r="AK1042" s="10">
        <f>IF(tblOrdenes[[#This Row],[orden]]="","",tblOrdenes[[#This Row],[costo_servicio]]+tblOrdenes[[#This Row],[costo_materiales]])</f>
        <v/>
      </c>
      <c r="AL1042" s="6" t="n"/>
      <c r="AM1042" s="6" t="n"/>
      <c r="AN1042" s="6" t="n"/>
      <c r="AO1042" s="3">
        <f>IF(tblOrdenes[[#This Row],[link_checklist]]="","",HYPERLINK(p_ruta_base_checklists&amp;tblOrdenes[[#This Row],[link_checklist]],"abrir"))</f>
        <v/>
      </c>
      <c r="AP1042" s="6" t="n"/>
      <c r="AQ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3">
        <f>IF(tblOrdenes[[#This Row],[tipo_ot]]="","",_xlfn.XLOOKUP(tblOrdenes[[#This Row],[tipo_ot]],tblTiposOT[codigo],tblTiposOT[clasificacion],"sin_clasificar"))</f>
        <v/>
      </c>
      <c r="U1043" s="3">
        <f>IF(tblOrdenes[[#This Row],[centro_costo]]="","",_xlfn.XLOOKUP(tblOrdenes[[#This Row],[centro_costo]],tblCECO[codigo],tblCECO[linea],"(sin catálogo)"))</f>
        <v/>
      </c>
      <c r="V1043" s="3">
        <f>IF(tblOrdenes[[#This Row],[centro_costo]]="","",_xlfn.XLOOKUP(tblOrdenes[[#This Row],[centro_costo]],tblCECO[codigo],tblCECO[area],"(sin catálogo)"))</f>
        <v/>
      </c>
      <c r="W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3">
        <f>IF(tblOrdenes[[#This Row],[centro_costo]]="","",_xlfn.XLOOKUP(tblOrdenes[[#This Row],[centro_costo]],tblCECO[codigo],tblCECO[coordinador],"(sin catálogo)"))</f>
        <v/>
      </c>
      <c r="Y1043" s="3">
        <f>IF(tblOrdenes[[#This Row],[puesto_trabajo]]="","",_xlfn.XLOOKUP(tblOrdenes[[#This Row],[puesto_trabajo]],tblPuestos[codigo],tblPuestos[especialidad],"(sin catálogo)"))</f>
        <v/>
      </c>
      <c r="Z1043" s="3">
        <f>IF(tblOrdenes[[#This Row],[cod_actividad]]="","",_xlfn.XLOOKUP(tblOrdenes[[#This Row],[cod_actividad]],tblActividades[codigo],tblActividades[descripcion],"(sin catálogo)"))</f>
        <v/>
      </c>
      <c r="AA1043" s="12">
        <f>IF(tblOrdenes[[#This Row],[fecha_inicio]]="","",TODAY()-tblOrdenes[[#This Row],[fecha_inicio]])</f>
        <v/>
      </c>
      <c r="AB10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3">
        <f>IF(tblOrdenes[[#This Row],[backlog_habiles]]="","",IF(tblOrdenes[[#This Row],[backlog_habiles]]&lt;0,"FUTURO",IF(tblOrdenes[[#This Row],[backlog_habiles]]&gt;p_dias_backlog_max,"BACKLOG","MES CORRIENTE")))</f>
        <v/>
      </c>
      <c r="AD1043" s="3">
        <f>IF(tblOrdenes[[#This Row],[backlog_habiles]]="",FALSE,AND(tblOrdenes[[#This Row],[backlog_habiles]]&gt;p_dias_backlog_min,tblOrdenes[[#This Row],[backlog_habiles]]&lt;=p_dias_backlog_max))</f>
        <v/>
      </c>
      <c r="AE1043" s="6" t="n"/>
      <c r="AF10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0">
        <f>IF(tblOrdenes[[#This Row],[orden]]="","",_xlfn.XLOOKUP(tblOrdenes[[#This Row],[id_operacion]],tblEjecucion[id_operacion],tblEjecucion[precio],0))</f>
        <v/>
      </c>
      <c r="AJ1043" s="10">
        <f>IF(tblOrdenes[[#This Row],[orden]]="","",MAX(0,_xlfn.XLOOKUP(tblOrdenes[[#This Row],[id_operacion]],tblEjecucion[id_operacion],tblEjecucion[costo_plan_total],0)-tblOrdenes[[#This Row],[costo_servicio]]))</f>
        <v/>
      </c>
      <c r="AK1043" s="10">
        <f>IF(tblOrdenes[[#This Row],[orden]]="","",tblOrdenes[[#This Row],[costo_servicio]]+tblOrdenes[[#This Row],[costo_materiales]])</f>
        <v/>
      </c>
      <c r="AL1043" s="6" t="n"/>
      <c r="AM1043" s="6" t="n"/>
      <c r="AN1043" s="6" t="n"/>
      <c r="AO1043" s="3">
        <f>IF(tblOrdenes[[#This Row],[link_checklist]]="","",HYPERLINK(p_ruta_base_checklists&amp;tblOrdenes[[#This Row],[link_checklist]],"abrir"))</f>
        <v/>
      </c>
      <c r="AP1043" s="6" t="n"/>
      <c r="AQ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3">
        <f>IF(tblOrdenes[[#This Row],[tipo_ot]]="","",_xlfn.XLOOKUP(tblOrdenes[[#This Row],[tipo_ot]],tblTiposOT[codigo],tblTiposOT[clasificacion],"sin_clasificar"))</f>
        <v/>
      </c>
      <c r="U1044" s="3">
        <f>IF(tblOrdenes[[#This Row],[centro_costo]]="","",_xlfn.XLOOKUP(tblOrdenes[[#This Row],[centro_costo]],tblCECO[codigo],tblCECO[linea],"(sin catálogo)"))</f>
        <v/>
      </c>
      <c r="V1044" s="3">
        <f>IF(tblOrdenes[[#This Row],[centro_costo]]="","",_xlfn.XLOOKUP(tblOrdenes[[#This Row],[centro_costo]],tblCECO[codigo],tblCECO[area],"(sin catálogo)"))</f>
        <v/>
      </c>
      <c r="W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3">
        <f>IF(tblOrdenes[[#This Row],[centro_costo]]="","",_xlfn.XLOOKUP(tblOrdenes[[#This Row],[centro_costo]],tblCECO[codigo],tblCECO[coordinador],"(sin catálogo)"))</f>
        <v/>
      </c>
      <c r="Y1044" s="3">
        <f>IF(tblOrdenes[[#This Row],[puesto_trabajo]]="","",_xlfn.XLOOKUP(tblOrdenes[[#This Row],[puesto_trabajo]],tblPuestos[codigo],tblPuestos[especialidad],"(sin catálogo)"))</f>
        <v/>
      </c>
      <c r="Z1044" s="3">
        <f>IF(tblOrdenes[[#This Row],[cod_actividad]]="","",_xlfn.XLOOKUP(tblOrdenes[[#This Row],[cod_actividad]],tblActividades[codigo],tblActividades[descripcion],"(sin catálogo)"))</f>
        <v/>
      </c>
      <c r="AA1044" s="12">
        <f>IF(tblOrdenes[[#This Row],[fecha_inicio]]="","",TODAY()-tblOrdenes[[#This Row],[fecha_inicio]])</f>
        <v/>
      </c>
      <c r="AB10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3">
        <f>IF(tblOrdenes[[#This Row],[backlog_habiles]]="","",IF(tblOrdenes[[#This Row],[backlog_habiles]]&lt;0,"FUTURO",IF(tblOrdenes[[#This Row],[backlog_habiles]]&gt;p_dias_backlog_max,"BACKLOG","MES CORRIENTE")))</f>
        <v/>
      </c>
      <c r="AD1044" s="3">
        <f>IF(tblOrdenes[[#This Row],[backlog_habiles]]="",FALSE,AND(tblOrdenes[[#This Row],[backlog_habiles]]&gt;p_dias_backlog_min,tblOrdenes[[#This Row],[backlog_habiles]]&lt;=p_dias_backlog_max))</f>
        <v/>
      </c>
      <c r="AE1044" s="6" t="n"/>
      <c r="AF10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0">
        <f>IF(tblOrdenes[[#This Row],[orden]]="","",_xlfn.XLOOKUP(tblOrdenes[[#This Row],[id_operacion]],tblEjecucion[id_operacion],tblEjecucion[precio],0))</f>
        <v/>
      </c>
      <c r="AJ1044" s="10">
        <f>IF(tblOrdenes[[#This Row],[orden]]="","",MAX(0,_xlfn.XLOOKUP(tblOrdenes[[#This Row],[id_operacion]],tblEjecucion[id_operacion],tblEjecucion[costo_plan_total],0)-tblOrdenes[[#This Row],[costo_servicio]]))</f>
        <v/>
      </c>
      <c r="AK1044" s="10">
        <f>IF(tblOrdenes[[#This Row],[orden]]="","",tblOrdenes[[#This Row],[costo_servicio]]+tblOrdenes[[#This Row],[costo_materiales]])</f>
        <v/>
      </c>
      <c r="AL1044" s="6" t="n"/>
      <c r="AM1044" s="6" t="n"/>
      <c r="AN1044" s="6" t="n"/>
      <c r="AO1044" s="3">
        <f>IF(tblOrdenes[[#This Row],[link_checklist]]="","",HYPERLINK(p_ruta_base_checklists&amp;tblOrdenes[[#This Row],[link_checklist]],"abrir"))</f>
        <v/>
      </c>
      <c r="AP1044" s="6" t="n"/>
      <c r="AQ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3">
        <f>IF(tblOrdenes[[#This Row],[tipo_ot]]="","",_xlfn.XLOOKUP(tblOrdenes[[#This Row],[tipo_ot]],tblTiposOT[codigo],tblTiposOT[clasificacion],"sin_clasificar"))</f>
        <v/>
      </c>
      <c r="U1045" s="3">
        <f>IF(tblOrdenes[[#This Row],[centro_costo]]="","",_xlfn.XLOOKUP(tblOrdenes[[#This Row],[centro_costo]],tblCECO[codigo],tblCECO[linea],"(sin catálogo)"))</f>
        <v/>
      </c>
      <c r="V1045" s="3">
        <f>IF(tblOrdenes[[#This Row],[centro_costo]]="","",_xlfn.XLOOKUP(tblOrdenes[[#This Row],[centro_costo]],tblCECO[codigo],tblCECO[area],"(sin catálogo)"))</f>
        <v/>
      </c>
      <c r="W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3">
        <f>IF(tblOrdenes[[#This Row],[centro_costo]]="","",_xlfn.XLOOKUP(tblOrdenes[[#This Row],[centro_costo]],tblCECO[codigo],tblCECO[coordinador],"(sin catálogo)"))</f>
        <v/>
      </c>
      <c r="Y1045" s="3">
        <f>IF(tblOrdenes[[#This Row],[puesto_trabajo]]="","",_xlfn.XLOOKUP(tblOrdenes[[#This Row],[puesto_trabajo]],tblPuestos[codigo],tblPuestos[especialidad],"(sin catálogo)"))</f>
        <v/>
      </c>
      <c r="Z1045" s="3">
        <f>IF(tblOrdenes[[#This Row],[cod_actividad]]="","",_xlfn.XLOOKUP(tblOrdenes[[#This Row],[cod_actividad]],tblActividades[codigo],tblActividades[descripcion],"(sin catálogo)"))</f>
        <v/>
      </c>
      <c r="AA1045" s="12">
        <f>IF(tblOrdenes[[#This Row],[fecha_inicio]]="","",TODAY()-tblOrdenes[[#This Row],[fecha_inicio]])</f>
        <v/>
      </c>
      <c r="AB10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3">
        <f>IF(tblOrdenes[[#This Row],[backlog_habiles]]="","",IF(tblOrdenes[[#This Row],[backlog_habiles]]&lt;0,"FUTURO",IF(tblOrdenes[[#This Row],[backlog_habiles]]&gt;p_dias_backlog_max,"BACKLOG","MES CORRIENTE")))</f>
        <v/>
      </c>
      <c r="AD1045" s="3">
        <f>IF(tblOrdenes[[#This Row],[backlog_habiles]]="",FALSE,AND(tblOrdenes[[#This Row],[backlog_habiles]]&gt;p_dias_backlog_min,tblOrdenes[[#This Row],[backlog_habiles]]&lt;=p_dias_backlog_max))</f>
        <v/>
      </c>
      <c r="AE1045" s="6" t="n"/>
      <c r="AF10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0">
        <f>IF(tblOrdenes[[#This Row],[orden]]="","",_xlfn.XLOOKUP(tblOrdenes[[#This Row],[id_operacion]],tblEjecucion[id_operacion],tblEjecucion[precio],0))</f>
        <v/>
      </c>
      <c r="AJ1045" s="10">
        <f>IF(tblOrdenes[[#This Row],[orden]]="","",MAX(0,_xlfn.XLOOKUP(tblOrdenes[[#This Row],[id_operacion]],tblEjecucion[id_operacion],tblEjecucion[costo_plan_total],0)-tblOrdenes[[#This Row],[costo_servicio]]))</f>
        <v/>
      </c>
      <c r="AK1045" s="10">
        <f>IF(tblOrdenes[[#This Row],[orden]]="","",tblOrdenes[[#This Row],[costo_servicio]]+tblOrdenes[[#This Row],[costo_materiales]])</f>
        <v/>
      </c>
      <c r="AL1045" s="6" t="n"/>
      <c r="AM1045" s="6" t="n"/>
      <c r="AN1045" s="6" t="n"/>
      <c r="AO1045" s="3">
        <f>IF(tblOrdenes[[#This Row],[link_checklist]]="","",HYPERLINK(p_ruta_base_checklists&amp;tblOrdenes[[#This Row],[link_checklist]],"abrir"))</f>
        <v/>
      </c>
      <c r="AP1045" s="6" t="n"/>
      <c r="AQ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3">
        <f>IF(tblOrdenes[[#This Row],[tipo_ot]]="","",_xlfn.XLOOKUP(tblOrdenes[[#This Row],[tipo_ot]],tblTiposOT[codigo],tblTiposOT[clasificacion],"sin_clasificar"))</f>
        <v/>
      </c>
      <c r="U1046" s="3">
        <f>IF(tblOrdenes[[#This Row],[centro_costo]]="","",_xlfn.XLOOKUP(tblOrdenes[[#This Row],[centro_costo]],tblCECO[codigo],tblCECO[linea],"(sin catálogo)"))</f>
        <v/>
      </c>
      <c r="V1046" s="3">
        <f>IF(tblOrdenes[[#This Row],[centro_costo]]="","",_xlfn.XLOOKUP(tblOrdenes[[#This Row],[centro_costo]],tblCECO[codigo],tblCECO[area],"(sin catálogo)"))</f>
        <v/>
      </c>
      <c r="W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3">
        <f>IF(tblOrdenes[[#This Row],[centro_costo]]="","",_xlfn.XLOOKUP(tblOrdenes[[#This Row],[centro_costo]],tblCECO[codigo],tblCECO[coordinador],"(sin catálogo)"))</f>
        <v/>
      </c>
      <c r="Y1046" s="3">
        <f>IF(tblOrdenes[[#This Row],[puesto_trabajo]]="","",_xlfn.XLOOKUP(tblOrdenes[[#This Row],[puesto_trabajo]],tblPuestos[codigo],tblPuestos[especialidad],"(sin catálogo)"))</f>
        <v/>
      </c>
      <c r="Z1046" s="3">
        <f>IF(tblOrdenes[[#This Row],[cod_actividad]]="","",_xlfn.XLOOKUP(tblOrdenes[[#This Row],[cod_actividad]],tblActividades[codigo],tblActividades[descripcion],"(sin catálogo)"))</f>
        <v/>
      </c>
      <c r="AA1046" s="12">
        <f>IF(tblOrdenes[[#This Row],[fecha_inicio]]="","",TODAY()-tblOrdenes[[#This Row],[fecha_inicio]])</f>
        <v/>
      </c>
      <c r="AB10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3">
        <f>IF(tblOrdenes[[#This Row],[backlog_habiles]]="","",IF(tblOrdenes[[#This Row],[backlog_habiles]]&lt;0,"FUTURO",IF(tblOrdenes[[#This Row],[backlog_habiles]]&gt;p_dias_backlog_max,"BACKLOG","MES CORRIENTE")))</f>
        <v/>
      </c>
      <c r="AD1046" s="3">
        <f>IF(tblOrdenes[[#This Row],[backlog_habiles]]="",FALSE,AND(tblOrdenes[[#This Row],[backlog_habiles]]&gt;p_dias_backlog_min,tblOrdenes[[#This Row],[backlog_habiles]]&lt;=p_dias_backlog_max))</f>
        <v/>
      </c>
      <c r="AE1046" s="6" t="n"/>
      <c r="AF10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0">
        <f>IF(tblOrdenes[[#This Row],[orden]]="","",_xlfn.XLOOKUP(tblOrdenes[[#This Row],[id_operacion]],tblEjecucion[id_operacion],tblEjecucion[precio],0))</f>
        <v/>
      </c>
      <c r="AJ1046" s="10">
        <f>IF(tblOrdenes[[#This Row],[orden]]="","",MAX(0,_xlfn.XLOOKUP(tblOrdenes[[#This Row],[id_operacion]],tblEjecucion[id_operacion],tblEjecucion[costo_plan_total],0)-tblOrdenes[[#This Row],[costo_servicio]]))</f>
        <v/>
      </c>
      <c r="AK1046" s="10">
        <f>IF(tblOrdenes[[#This Row],[orden]]="","",tblOrdenes[[#This Row],[costo_servicio]]+tblOrdenes[[#This Row],[costo_materiales]])</f>
        <v/>
      </c>
      <c r="AL1046" s="6" t="n"/>
      <c r="AM1046" s="6" t="n"/>
      <c r="AN1046" s="6" t="n"/>
      <c r="AO1046" s="3">
        <f>IF(tblOrdenes[[#This Row],[link_checklist]]="","",HYPERLINK(p_ruta_base_checklists&amp;tblOrdenes[[#This Row],[link_checklist]],"abrir"))</f>
        <v/>
      </c>
      <c r="AP1046" s="6" t="n"/>
      <c r="AQ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3">
        <f>IF(tblOrdenes[[#This Row],[tipo_ot]]="","",_xlfn.XLOOKUP(tblOrdenes[[#This Row],[tipo_ot]],tblTiposOT[codigo],tblTiposOT[clasificacion],"sin_clasificar"))</f>
        <v/>
      </c>
      <c r="U1047" s="3">
        <f>IF(tblOrdenes[[#This Row],[centro_costo]]="","",_xlfn.XLOOKUP(tblOrdenes[[#This Row],[centro_costo]],tblCECO[codigo],tblCECO[linea],"(sin catálogo)"))</f>
        <v/>
      </c>
      <c r="V1047" s="3">
        <f>IF(tblOrdenes[[#This Row],[centro_costo]]="","",_xlfn.XLOOKUP(tblOrdenes[[#This Row],[centro_costo]],tblCECO[codigo],tblCECO[area],"(sin catálogo)"))</f>
        <v/>
      </c>
      <c r="W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3">
        <f>IF(tblOrdenes[[#This Row],[centro_costo]]="","",_xlfn.XLOOKUP(tblOrdenes[[#This Row],[centro_costo]],tblCECO[codigo],tblCECO[coordinador],"(sin catálogo)"))</f>
        <v/>
      </c>
      <c r="Y1047" s="3">
        <f>IF(tblOrdenes[[#This Row],[puesto_trabajo]]="","",_xlfn.XLOOKUP(tblOrdenes[[#This Row],[puesto_trabajo]],tblPuestos[codigo],tblPuestos[especialidad],"(sin catálogo)"))</f>
        <v/>
      </c>
      <c r="Z1047" s="3">
        <f>IF(tblOrdenes[[#This Row],[cod_actividad]]="","",_xlfn.XLOOKUP(tblOrdenes[[#This Row],[cod_actividad]],tblActividades[codigo],tblActividades[descripcion],"(sin catálogo)"))</f>
        <v/>
      </c>
      <c r="AA1047" s="12">
        <f>IF(tblOrdenes[[#This Row],[fecha_inicio]]="","",TODAY()-tblOrdenes[[#This Row],[fecha_inicio]])</f>
        <v/>
      </c>
      <c r="AB10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3">
        <f>IF(tblOrdenes[[#This Row],[backlog_habiles]]="","",IF(tblOrdenes[[#This Row],[backlog_habiles]]&lt;0,"FUTURO",IF(tblOrdenes[[#This Row],[backlog_habiles]]&gt;p_dias_backlog_max,"BACKLOG","MES CORRIENTE")))</f>
        <v/>
      </c>
      <c r="AD1047" s="3">
        <f>IF(tblOrdenes[[#This Row],[backlog_habiles]]="",FALSE,AND(tblOrdenes[[#This Row],[backlog_habiles]]&gt;p_dias_backlog_min,tblOrdenes[[#This Row],[backlog_habiles]]&lt;=p_dias_backlog_max))</f>
        <v/>
      </c>
      <c r="AE1047" s="6" t="n"/>
      <c r="AF10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0">
        <f>IF(tblOrdenes[[#This Row],[orden]]="","",_xlfn.XLOOKUP(tblOrdenes[[#This Row],[id_operacion]],tblEjecucion[id_operacion],tblEjecucion[precio],0))</f>
        <v/>
      </c>
      <c r="AJ1047" s="10">
        <f>IF(tblOrdenes[[#This Row],[orden]]="","",MAX(0,_xlfn.XLOOKUP(tblOrdenes[[#This Row],[id_operacion]],tblEjecucion[id_operacion],tblEjecucion[costo_plan_total],0)-tblOrdenes[[#This Row],[costo_servicio]]))</f>
        <v/>
      </c>
      <c r="AK1047" s="10">
        <f>IF(tblOrdenes[[#This Row],[orden]]="","",tblOrdenes[[#This Row],[costo_servicio]]+tblOrdenes[[#This Row],[costo_materiales]])</f>
        <v/>
      </c>
      <c r="AL1047" s="6" t="n"/>
      <c r="AM1047" s="6" t="n"/>
      <c r="AN1047" s="6" t="n"/>
      <c r="AO1047" s="3">
        <f>IF(tblOrdenes[[#This Row],[link_checklist]]="","",HYPERLINK(p_ruta_base_checklists&amp;tblOrdenes[[#This Row],[link_checklist]],"abrir"))</f>
        <v/>
      </c>
      <c r="AP1047" s="6" t="n"/>
      <c r="AQ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3">
        <f>IF(tblOrdenes[[#This Row],[tipo_ot]]="","",_xlfn.XLOOKUP(tblOrdenes[[#This Row],[tipo_ot]],tblTiposOT[codigo],tblTiposOT[clasificacion],"sin_clasificar"))</f>
        <v/>
      </c>
      <c r="U1048" s="3">
        <f>IF(tblOrdenes[[#This Row],[centro_costo]]="","",_xlfn.XLOOKUP(tblOrdenes[[#This Row],[centro_costo]],tblCECO[codigo],tblCECO[linea],"(sin catálogo)"))</f>
        <v/>
      </c>
      <c r="V1048" s="3">
        <f>IF(tblOrdenes[[#This Row],[centro_costo]]="","",_xlfn.XLOOKUP(tblOrdenes[[#This Row],[centro_costo]],tblCECO[codigo],tblCECO[area],"(sin catálogo)"))</f>
        <v/>
      </c>
      <c r="W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3">
        <f>IF(tblOrdenes[[#This Row],[centro_costo]]="","",_xlfn.XLOOKUP(tblOrdenes[[#This Row],[centro_costo]],tblCECO[codigo],tblCECO[coordinador],"(sin catálogo)"))</f>
        <v/>
      </c>
      <c r="Y1048" s="3">
        <f>IF(tblOrdenes[[#This Row],[puesto_trabajo]]="","",_xlfn.XLOOKUP(tblOrdenes[[#This Row],[puesto_trabajo]],tblPuestos[codigo],tblPuestos[especialidad],"(sin catálogo)"))</f>
        <v/>
      </c>
      <c r="Z1048" s="3">
        <f>IF(tblOrdenes[[#This Row],[cod_actividad]]="","",_xlfn.XLOOKUP(tblOrdenes[[#This Row],[cod_actividad]],tblActividades[codigo],tblActividades[descripcion],"(sin catálogo)"))</f>
        <v/>
      </c>
      <c r="AA1048" s="12">
        <f>IF(tblOrdenes[[#This Row],[fecha_inicio]]="","",TODAY()-tblOrdenes[[#This Row],[fecha_inicio]])</f>
        <v/>
      </c>
      <c r="AB10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3">
        <f>IF(tblOrdenes[[#This Row],[backlog_habiles]]="","",IF(tblOrdenes[[#This Row],[backlog_habiles]]&lt;0,"FUTURO",IF(tblOrdenes[[#This Row],[backlog_habiles]]&gt;p_dias_backlog_max,"BACKLOG","MES CORRIENTE")))</f>
        <v/>
      </c>
      <c r="AD1048" s="3">
        <f>IF(tblOrdenes[[#This Row],[backlog_habiles]]="",FALSE,AND(tblOrdenes[[#This Row],[backlog_habiles]]&gt;p_dias_backlog_min,tblOrdenes[[#This Row],[backlog_habiles]]&lt;=p_dias_backlog_max))</f>
        <v/>
      </c>
      <c r="AE1048" s="6" t="n"/>
      <c r="AF10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0">
        <f>IF(tblOrdenes[[#This Row],[orden]]="","",_xlfn.XLOOKUP(tblOrdenes[[#This Row],[id_operacion]],tblEjecucion[id_operacion],tblEjecucion[precio],0))</f>
        <v/>
      </c>
      <c r="AJ1048" s="10">
        <f>IF(tblOrdenes[[#This Row],[orden]]="","",MAX(0,_xlfn.XLOOKUP(tblOrdenes[[#This Row],[id_operacion]],tblEjecucion[id_operacion],tblEjecucion[costo_plan_total],0)-tblOrdenes[[#This Row],[costo_servicio]]))</f>
        <v/>
      </c>
      <c r="AK1048" s="10">
        <f>IF(tblOrdenes[[#This Row],[orden]]="","",tblOrdenes[[#This Row],[costo_servicio]]+tblOrdenes[[#This Row],[costo_materiales]])</f>
        <v/>
      </c>
      <c r="AL1048" s="6" t="n"/>
      <c r="AM1048" s="6" t="n"/>
      <c r="AN1048" s="6" t="n"/>
      <c r="AO1048" s="3">
        <f>IF(tblOrdenes[[#This Row],[link_checklist]]="","",HYPERLINK(p_ruta_base_checklists&amp;tblOrdenes[[#This Row],[link_checklist]],"abrir"))</f>
        <v/>
      </c>
      <c r="AP1048" s="6" t="n"/>
      <c r="AQ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3">
        <f>IF(tblOrdenes[[#This Row],[tipo_ot]]="","",_xlfn.XLOOKUP(tblOrdenes[[#This Row],[tipo_ot]],tblTiposOT[codigo],tblTiposOT[clasificacion],"sin_clasificar"))</f>
        <v/>
      </c>
      <c r="U1049" s="3">
        <f>IF(tblOrdenes[[#This Row],[centro_costo]]="","",_xlfn.XLOOKUP(tblOrdenes[[#This Row],[centro_costo]],tblCECO[codigo],tblCECO[linea],"(sin catálogo)"))</f>
        <v/>
      </c>
      <c r="V1049" s="3">
        <f>IF(tblOrdenes[[#This Row],[centro_costo]]="","",_xlfn.XLOOKUP(tblOrdenes[[#This Row],[centro_costo]],tblCECO[codigo],tblCECO[area],"(sin catálogo)"))</f>
        <v/>
      </c>
      <c r="W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3">
        <f>IF(tblOrdenes[[#This Row],[centro_costo]]="","",_xlfn.XLOOKUP(tblOrdenes[[#This Row],[centro_costo]],tblCECO[codigo],tblCECO[coordinador],"(sin catálogo)"))</f>
        <v/>
      </c>
      <c r="Y1049" s="3">
        <f>IF(tblOrdenes[[#This Row],[puesto_trabajo]]="","",_xlfn.XLOOKUP(tblOrdenes[[#This Row],[puesto_trabajo]],tblPuestos[codigo],tblPuestos[especialidad],"(sin catálogo)"))</f>
        <v/>
      </c>
      <c r="Z1049" s="3">
        <f>IF(tblOrdenes[[#This Row],[cod_actividad]]="","",_xlfn.XLOOKUP(tblOrdenes[[#This Row],[cod_actividad]],tblActividades[codigo],tblActividades[descripcion],"(sin catálogo)"))</f>
        <v/>
      </c>
      <c r="AA1049" s="12">
        <f>IF(tblOrdenes[[#This Row],[fecha_inicio]]="","",TODAY()-tblOrdenes[[#This Row],[fecha_inicio]])</f>
        <v/>
      </c>
      <c r="AB10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3">
        <f>IF(tblOrdenes[[#This Row],[backlog_habiles]]="","",IF(tblOrdenes[[#This Row],[backlog_habiles]]&lt;0,"FUTURO",IF(tblOrdenes[[#This Row],[backlog_habiles]]&gt;p_dias_backlog_max,"BACKLOG","MES CORRIENTE")))</f>
        <v/>
      </c>
      <c r="AD1049" s="3">
        <f>IF(tblOrdenes[[#This Row],[backlog_habiles]]="",FALSE,AND(tblOrdenes[[#This Row],[backlog_habiles]]&gt;p_dias_backlog_min,tblOrdenes[[#This Row],[backlog_habiles]]&lt;=p_dias_backlog_max))</f>
        <v/>
      </c>
      <c r="AE1049" s="6" t="n"/>
      <c r="AF10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0">
        <f>IF(tblOrdenes[[#This Row],[orden]]="","",_xlfn.XLOOKUP(tblOrdenes[[#This Row],[id_operacion]],tblEjecucion[id_operacion],tblEjecucion[precio],0))</f>
        <v/>
      </c>
      <c r="AJ1049" s="10">
        <f>IF(tblOrdenes[[#This Row],[orden]]="","",MAX(0,_xlfn.XLOOKUP(tblOrdenes[[#This Row],[id_operacion]],tblEjecucion[id_operacion],tblEjecucion[costo_plan_total],0)-tblOrdenes[[#This Row],[costo_servicio]]))</f>
        <v/>
      </c>
      <c r="AK1049" s="10">
        <f>IF(tblOrdenes[[#This Row],[orden]]="","",tblOrdenes[[#This Row],[costo_servicio]]+tblOrdenes[[#This Row],[costo_materiales]])</f>
        <v/>
      </c>
      <c r="AL1049" s="6" t="n"/>
      <c r="AM1049" s="6" t="n"/>
      <c r="AN1049" s="6" t="n"/>
      <c r="AO1049" s="3">
        <f>IF(tblOrdenes[[#This Row],[link_checklist]]="","",HYPERLINK(p_ruta_base_checklists&amp;tblOrdenes[[#This Row],[link_checklist]],"abrir"))</f>
        <v/>
      </c>
      <c r="AP1049" s="6" t="n"/>
      <c r="AQ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3">
        <f>IF(tblOrdenes[[#This Row],[tipo_ot]]="","",_xlfn.XLOOKUP(tblOrdenes[[#This Row],[tipo_ot]],tblTiposOT[codigo],tblTiposOT[clasificacion],"sin_clasificar"))</f>
        <v/>
      </c>
      <c r="U1050" s="3">
        <f>IF(tblOrdenes[[#This Row],[centro_costo]]="","",_xlfn.XLOOKUP(tblOrdenes[[#This Row],[centro_costo]],tblCECO[codigo],tblCECO[linea],"(sin catálogo)"))</f>
        <v/>
      </c>
      <c r="V1050" s="3">
        <f>IF(tblOrdenes[[#This Row],[centro_costo]]="","",_xlfn.XLOOKUP(tblOrdenes[[#This Row],[centro_costo]],tblCECO[codigo],tblCECO[area],"(sin catálogo)"))</f>
        <v/>
      </c>
      <c r="W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3">
        <f>IF(tblOrdenes[[#This Row],[centro_costo]]="","",_xlfn.XLOOKUP(tblOrdenes[[#This Row],[centro_costo]],tblCECO[codigo],tblCECO[coordinador],"(sin catálogo)"))</f>
        <v/>
      </c>
      <c r="Y1050" s="3">
        <f>IF(tblOrdenes[[#This Row],[puesto_trabajo]]="","",_xlfn.XLOOKUP(tblOrdenes[[#This Row],[puesto_trabajo]],tblPuestos[codigo],tblPuestos[especialidad],"(sin catálogo)"))</f>
        <v/>
      </c>
      <c r="Z1050" s="3">
        <f>IF(tblOrdenes[[#This Row],[cod_actividad]]="","",_xlfn.XLOOKUP(tblOrdenes[[#This Row],[cod_actividad]],tblActividades[codigo],tblActividades[descripcion],"(sin catálogo)"))</f>
        <v/>
      </c>
      <c r="AA1050" s="12">
        <f>IF(tblOrdenes[[#This Row],[fecha_inicio]]="","",TODAY()-tblOrdenes[[#This Row],[fecha_inicio]])</f>
        <v/>
      </c>
      <c r="AB10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3">
        <f>IF(tblOrdenes[[#This Row],[backlog_habiles]]="","",IF(tblOrdenes[[#This Row],[backlog_habiles]]&lt;0,"FUTURO",IF(tblOrdenes[[#This Row],[backlog_habiles]]&gt;p_dias_backlog_max,"BACKLOG","MES CORRIENTE")))</f>
        <v/>
      </c>
      <c r="AD1050" s="3">
        <f>IF(tblOrdenes[[#This Row],[backlog_habiles]]="",FALSE,AND(tblOrdenes[[#This Row],[backlog_habiles]]&gt;p_dias_backlog_min,tblOrdenes[[#This Row],[backlog_habiles]]&lt;=p_dias_backlog_max))</f>
        <v/>
      </c>
      <c r="AE1050" s="6" t="n"/>
      <c r="AF10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0">
        <f>IF(tblOrdenes[[#This Row],[orden]]="","",_xlfn.XLOOKUP(tblOrdenes[[#This Row],[id_operacion]],tblEjecucion[id_operacion],tblEjecucion[precio],0))</f>
        <v/>
      </c>
      <c r="AJ1050" s="10">
        <f>IF(tblOrdenes[[#This Row],[orden]]="","",MAX(0,_xlfn.XLOOKUP(tblOrdenes[[#This Row],[id_operacion]],tblEjecucion[id_operacion],tblEjecucion[costo_plan_total],0)-tblOrdenes[[#This Row],[costo_servicio]]))</f>
        <v/>
      </c>
      <c r="AK1050" s="10">
        <f>IF(tblOrdenes[[#This Row],[orden]]="","",tblOrdenes[[#This Row],[costo_servicio]]+tblOrdenes[[#This Row],[costo_materiales]])</f>
        <v/>
      </c>
      <c r="AL1050" s="6" t="n"/>
      <c r="AM1050" s="6" t="n"/>
      <c r="AN1050" s="6" t="n"/>
      <c r="AO1050" s="3">
        <f>IF(tblOrdenes[[#This Row],[link_checklist]]="","",HYPERLINK(p_ruta_base_checklists&amp;tblOrdenes[[#This Row],[link_checklist]],"abrir"))</f>
        <v/>
      </c>
      <c r="AP1050" s="6" t="n"/>
      <c r="AQ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3">
        <f>IF(tblOrdenes[[#This Row],[tipo_ot]]="","",_xlfn.XLOOKUP(tblOrdenes[[#This Row],[tipo_ot]],tblTiposOT[codigo],tblTiposOT[clasificacion],"sin_clasificar"))</f>
        <v/>
      </c>
      <c r="U1051" s="3">
        <f>IF(tblOrdenes[[#This Row],[centro_costo]]="","",_xlfn.XLOOKUP(tblOrdenes[[#This Row],[centro_costo]],tblCECO[codigo],tblCECO[linea],"(sin catálogo)"))</f>
        <v/>
      </c>
      <c r="V1051" s="3">
        <f>IF(tblOrdenes[[#This Row],[centro_costo]]="","",_xlfn.XLOOKUP(tblOrdenes[[#This Row],[centro_costo]],tblCECO[codigo],tblCECO[area],"(sin catálogo)"))</f>
        <v/>
      </c>
      <c r="W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3">
        <f>IF(tblOrdenes[[#This Row],[centro_costo]]="","",_xlfn.XLOOKUP(tblOrdenes[[#This Row],[centro_costo]],tblCECO[codigo],tblCECO[coordinador],"(sin catálogo)"))</f>
        <v/>
      </c>
      <c r="Y1051" s="3">
        <f>IF(tblOrdenes[[#This Row],[puesto_trabajo]]="","",_xlfn.XLOOKUP(tblOrdenes[[#This Row],[puesto_trabajo]],tblPuestos[codigo],tblPuestos[especialidad],"(sin catálogo)"))</f>
        <v/>
      </c>
      <c r="Z1051" s="3">
        <f>IF(tblOrdenes[[#This Row],[cod_actividad]]="","",_xlfn.XLOOKUP(tblOrdenes[[#This Row],[cod_actividad]],tblActividades[codigo],tblActividades[descripcion],"(sin catálogo)"))</f>
        <v/>
      </c>
      <c r="AA1051" s="12">
        <f>IF(tblOrdenes[[#This Row],[fecha_inicio]]="","",TODAY()-tblOrdenes[[#This Row],[fecha_inicio]])</f>
        <v/>
      </c>
      <c r="AB10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3">
        <f>IF(tblOrdenes[[#This Row],[backlog_habiles]]="","",IF(tblOrdenes[[#This Row],[backlog_habiles]]&lt;0,"FUTURO",IF(tblOrdenes[[#This Row],[backlog_habiles]]&gt;p_dias_backlog_max,"BACKLOG","MES CORRIENTE")))</f>
        <v/>
      </c>
      <c r="AD1051" s="3">
        <f>IF(tblOrdenes[[#This Row],[backlog_habiles]]="",FALSE,AND(tblOrdenes[[#This Row],[backlog_habiles]]&gt;p_dias_backlog_min,tblOrdenes[[#This Row],[backlog_habiles]]&lt;=p_dias_backlog_max))</f>
        <v/>
      </c>
      <c r="AE1051" s="6" t="n"/>
      <c r="AF10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0">
        <f>IF(tblOrdenes[[#This Row],[orden]]="","",_xlfn.XLOOKUP(tblOrdenes[[#This Row],[id_operacion]],tblEjecucion[id_operacion],tblEjecucion[precio],0))</f>
        <v/>
      </c>
      <c r="AJ1051" s="10">
        <f>IF(tblOrdenes[[#This Row],[orden]]="","",MAX(0,_xlfn.XLOOKUP(tblOrdenes[[#This Row],[id_operacion]],tblEjecucion[id_operacion],tblEjecucion[costo_plan_total],0)-tblOrdenes[[#This Row],[costo_servicio]]))</f>
        <v/>
      </c>
      <c r="AK1051" s="10">
        <f>IF(tblOrdenes[[#This Row],[orden]]="","",tblOrdenes[[#This Row],[costo_servicio]]+tblOrdenes[[#This Row],[costo_materiales]])</f>
        <v/>
      </c>
      <c r="AL1051" s="6" t="n"/>
      <c r="AM1051" s="6" t="n"/>
      <c r="AN1051" s="6" t="n"/>
      <c r="AO1051" s="3">
        <f>IF(tblOrdenes[[#This Row],[link_checklist]]="","",HYPERLINK(p_ruta_base_checklists&amp;tblOrdenes[[#This Row],[link_checklist]],"abrir"))</f>
        <v/>
      </c>
      <c r="AP1051" s="6" t="n"/>
      <c r="AQ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3">
        <f>IF(tblOrdenes[[#This Row],[tipo_ot]]="","",_xlfn.XLOOKUP(tblOrdenes[[#This Row],[tipo_ot]],tblTiposOT[codigo],tblTiposOT[clasificacion],"sin_clasificar"))</f>
        <v/>
      </c>
      <c r="U1052" s="3">
        <f>IF(tblOrdenes[[#This Row],[centro_costo]]="","",_xlfn.XLOOKUP(tblOrdenes[[#This Row],[centro_costo]],tblCECO[codigo],tblCECO[linea],"(sin catálogo)"))</f>
        <v/>
      </c>
      <c r="V1052" s="3">
        <f>IF(tblOrdenes[[#This Row],[centro_costo]]="","",_xlfn.XLOOKUP(tblOrdenes[[#This Row],[centro_costo]],tblCECO[codigo],tblCECO[area],"(sin catálogo)"))</f>
        <v/>
      </c>
      <c r="W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3">
        <f>IF(tblOrdenes[[#This Row],[centro_costo]]="","",_xlfn.XLOOKUP(tblOrdenes[[#This Row],[centro_costo]],tblCECO[codigo],tblCECO[coordinador],"(sin catálogo)"))</f>
        <v/>
      </c>
      <c r="Y1052" s="3">
        <f>IF(tblOrdenes[[#This Row],[puesto_trabajo]]="","",_xlfn.XLOOKUP(tblOrdenes[[#This Row],[puesto_trabajo]],tblPuestos[codigo],tblPuestos[especialidad],"(sin catálogo)"))</f>
        <v/>
      </c>
      <c r="Z1052" s="3">
        <f>IF(tblOrdenes[[#This Row],[cod_actividad]]="","",_xlfn.XLOOKUP(tblOrdenes[[#This Row],[cod_actividad]],tblActividades[codigo],tblActividades[descripcion],"(sin catálogo)"))</f>
        <v/>
      </c>
      <c r="AA1052" s="12">
        <f>IF(tblOrdenes[[#This Row],[fecha_inicio]]="","",TODAY()-tblOrdenes[[#This Row],[fecha_inicio]])</f>
        <v/>
      </c>
      <c r="AB10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3">
        <f>IF(tblOrdenes[[#This Row],[backlog_habiles]]="","",IF(tblOrdenes[[#This Row],[backlog_habiles]]&lt;0,"FUTURO",IF(tblOrdenes[[#This Row],[backlog_habiles]]&gt;p_dias_backlog_max,"BACKLOG","MES CORRIENTE")))</f>
        <v/>
      </c>
      <c r="AD1052" s="3">
        <f>IF(tblOrdenes[[#This Row],[backlog_habiles]]="",FALSE,AND(tblOrdenes[[#This Row],[backlog_habiles]]&gt;p_dias_backlog_min,tblOrdenes[[#This Row],[backlog_habiles]]&lt;=p_dias_backlog_max))</f>
        <v/>
      </c>
      <c r="AE1052" s="6" t="n"/>
      <c r="AF10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0">
        <f>IF(tblOrdenes[[#This Row],[orden]]="","",_xlfn.XLOOKUP(tblOrdenes[[#This Row],[id_operacion]],tblEjecucion[id_operacion],tblEjecucion[precio],0))</f>
        <v/>
      </c>
      <c r="AJ1052" s="10">
        <f>IF(tblOrdenes[[#This Row],[orden]]="","",MAX(0,_xlfn.XLOOKUP(tblOrdenes[[#This Row],[id_operacion]],tblEjecucion[id_operacion],tblEjecucion[costo_plan_total],0)-tblOrdenes[[#This Row],[costo_servicio]]))</f>
        <v/>
      </c>
      <c r="AK1052" s="10">
        <f>IF(tblOrdenes[[#This Row],[orden]]="","",tblOrdenes[[#This Row],[costo_servicio]]+tblOrdenes[[#This Row],[costo_materiales]])</f>
        <v/>
      </c>
      <c r="AL1052" s="6" t="n"/>
      <c r="AM1052" s="6" t="n"/>
      <c r="AN1052" s="6" t="n"/>
      <c r="AO1052" s="3">
        <f>IF(tblOrdenes[[#This Row],[link_checklist]]="","",HYPERLINK(p_ruta_base_checklists&amp;tblOrdenes[[#This Row],[link_checklist]],"abrir"))</f>
        <v/>
      </c>
      <c r="AP1052" s="6" t="n"/>
      <c r="AQ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3">
        <f>IF(tblOrdenes[[#This Row],[tipo_ot]]="","",_xlfn.XLOOKUP(tblOrdenes[[#This Row],[tipo_ot]],tblTiposOT[codigo],tblTiposOT[clasificacion],"sin_clasificar"))</f>
        <v/>
      </c>
      <c r="U1053" s="3">
        <f>IF(tblOrdenes[[#This Row],[centro_costo]]="","",_xlfn.XLOOKUP(tblOrdenes[[#This Row],[centro_costo]],tblCECO[codigo],tblCECO[linea],"(sin catálogo)"))</f>
        <v/>
      </c>
      <c r="V1053" s="3">
        <f>IF(tblOrdenes[[#This Row],[centro_costo]]="","",_xlfn.XLOOKUP(tblOrdenes[[#This Row],[centro_costo]],tblCECO[codigo],tblCECO[area],"(sin catálogo)"))</f>
        <v/>
      </c>
      <c r="W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3">
        <f>IF(tblOrdenes[[#This Row],[centro_costo]]="","",_xlfn.XLOOKUP(tblOrdenes[[#This Row],[centro_costo]],tblCECO[codigo],tblCECO[coordinador],"(sin catálogo)"))</f>
        <v/>
      </c>
      <c r="Y1053" s="3">
        <f>IF(tblOrdenes[[#This Row],[puesto_trabajo]]="","",_xlfn.XLOOKUP(tblOrdenes[[#This Row],[puesto_trabajo]],tblPuestos[codigo],tblPuestos[especialidad],"(sin catálogo)"))</f>
        <v/>
      </c>
      <c r="Z1053" s="3">
        <f>IF(tblOrdenes[[#This Row],[cod_actividad]]="","",_xlfn.XLOOKUP(tblOrdenes[[#This Row],[cod_actividad]],tblActividades[codigo],tblActividades[descripcion],"(sin catálogo)"))</f>
        <v/>
      </c>
      <c r="AA1053" s="12">
        <f>IF(tblOrdenes[[#This Row],[fecha_inicio]]="","",TODAY()-tblOrdenes[[#This Row],[fecha_inicio]])</f>
        <v/>
      </c>
      <c r="AB10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3">
        <f>IF(tblOrdenes[[#This Row],[backlog_habiles]]="","",IF(tblOrdenes[[#This Row],[backlog_habiles]]&lt;0,"FUTURO",IF(tblOrdenes[[#This Row],[backlog_habiles]]&gt;p_dias_backlog_max,"BACKLOG","MES CORRIENTE")))</f>
        <v/>
      </c>
      <c r="AD1053" s="3">
        <f>IF(tblOrdenes[[#This Row],[backlog_habiles]]="",FALSE,AND(tblOrdenes[[#This Row],[backlog_habiles]]&gt;p_dias_backlog_min,tblOrdenes[[#This Row],[backlog_habiles]]&lt;=p_dias_backlog_max))</f>
        <v/>
      </c>
      <c r="AE1053" s="6" t="n"/>
      <c r="AF10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0">
        <f>IF(tblOrdenes[[#This Row],[orden]]="","",_xlfn.XLOOKUP(tblOrdenes[[#This Row],[id_operacion]],tblEjecucion[id_operacion],tblEjecucion[precio],0))</f>
        <v/>
      </c>
      <c r="AJ1053" s="10">
        <f>IF(tblOrdenes[[#This Row],[orden]]="","",MAX(0,_xlfn.XLOOKUP(tblOrdenes[[#This Row],[id_operacion]],tblEjecucion[id_operacion],tblEjecucion[costo_plan_total],0)-tblOrdenes[[#This Row],[costo_servicio]]))</f>
        <v/>
      </c>
      <c r="AK1053" s="10">
        <f>IF(tblOrdenes[[#This Row],[orden]]="","",tblOrdenes[[#This Row],[costo_servicio]]+tblOrdenes[[#This Row],[costo_materiales]])</f>
        <v/>
      </c>
      <c r="AL1053" s="6" t="n"/>
      <c r="AM1053" s="6" t="n"/>
      <c r="AN1053" s="6" t="n"/>
      <c r="AO1053" s="3">
        <f>IF(tblOrdenes[[#This Row],[link_checklist]]="","",HYPERLINK(p_ruta_base_checklists&amp;tblOrdenes[[#This Row],[link_checklist]],"abrir"))</f>
        <v/>
      </c>
      <c r="AP1053" s="6" t="n"/>
      <c r="AQ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3">
        <f>IF(tblOrdenes[[#This Row],[tipo_ot]]="","",_xlfn.XLOOKUP(tblOrdenes[[#This Row],[tipo_ot]],tblTiposOT[codigo],tblTiposOT[clasificacion],"sin_clasificar"))</f>
        <v/>
      </c>
      <c r="U1054" s="3">
        <f>IF(tblOrdenes[[#This Row],[centro_costo]]="","",_xlfn.XLOOKUP(tblOrdenes[[#This Row],[centro_costo]],tblCECO[codigo],tblCECO[linea],"(sin catálogo)"))</f>
        <v/>
      </c>
      <c r="V1054" s="3">
        <f>IF(tblOrdenes[[#This Row],[centro_costo]]="","",_xlfn.XLOOKUP(tblOrdenes[[#This Row],[centro_costo]],tblCECO[codigo],tblCECO[area],"(sin catálogo)"))</f>
        <v/>
      </c>
      <c r="W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3">
        <f>IF(tblOrdenes[[#This Row],[centro_costo]]="","",_xlfn.XLOOKUP(tblOrdenes[[#This Row],[centro_costo]],tblCECO[codigo],tblCECO[coordinador],"(sin catálogo)"))</f>
        <v/>
      </c>
      <c r="Y1054" s="3">
        <f>IF(tblOrdenes[[#This Row],[puesto_trabajo]]="","",_xlfn.XLOOKUP(tblOrdenes[[#This Row],[puesto_trabajo]],tblPuestos[codigo],tblPuestos[especialidad],"(sin catálogo)"))</f>
        <v/>
      </c>
      <c r="Z1054" s="3">
        <f>IF(tblOrdenes[[#This Row],[cod_actividad]]="","",_xlfn.XLOOKUP(tblOrdenes[[#This Row],[cod_actividad]],tblActividades[codigo],tblActividades[descripcion],"(sin catálogo)"))</f>
        <v/>
      </c>
      <c r="AA1054" s="12">
        <f>IF(tblOrdenes[[#This Row],[fecha_inicio]]="","",TODAY()-tblOrdenes[[#This Row],[fecha_inicio]])</f>
        <v/>
      </c>
      <c r="AB10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3">
        <f>IF(tblOrdenes[[#This Row],[backlog_habiles]]="","",IF(tblOrdenes[[#This Row],[backlog_habiles]]&lt;0,"FUTURO",IF(tblOrdenes[[#This Row],[backlog_habiles]]&gt;p_dias_backlog_max,"BACKLOG","MES CORRIENTE")))</f>
        <v/>
      </c>
      <c r="AD1054" s="3">
        <f>IF(tblOrdenes[[#This Row],[backlog_habiles]]="",FALSE,AND(tblOrdenes[[#This Row],[backlog_habiles]]&gt;p_dias_backlog_min,tblOrdenes[[#This Row],[backlog_habiles]]&lt;=p_dias_backlog_max))</f>
        <v/>
      </c>
      <c r="AE1054" s="6" t="n"/>
      <c r="AF10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0">
        <f>IF(tblOrdenes[[#This Row],[orden]]="","",_xlfn.XLOOKUP(tblOrdenes[[#This Row],[id_operacion]],tblEjecucion[id_operacion],tblEjecucion[precio],0))</f>
        <v/>
      </c>
      <c r="AJ1054" s="10">
        <f>IF(tblOrdenes[[#This Row],[orden]]="","",MAX(0,_xlfn.XLOOKUP(tblOrdenes[[#This Row],[id_operacion]],tblEjecucion[id_operacion],tblEjecucion[costo_plan_total],0)-tblOrdenes[[#This Row],[costo_servicio]]))</f>
        <v/>
      </c>
      <c r="AK1054" s="10">
        <f>IF(tblOrdenes[[#This Row],[orden]]="","",tblOrdenes[[#This Row],[costo_servicio]]+tblOrdenes[[#This Row],[costo_materiales]])</f>
        <v/>
      </c>
      <c r="AL1054" s="6" t="n"/>
      <c r="AM1054" s="6" t="n"/>
      <c r="AN1054" s="6" t="n"/>
      <c r="AO1054" s="3">
        <f>IF(tblOrdenes[[#This Row],[link_checklist]]="","",HYPERLINK(p_ruta_base_checklists&amp;tblOrdenes[[#This Row],[link_checklist]],"abrir"))</f>
        <v/>
      </c>
      <c r="AP1054" s="6" t="n"/>
      <c r="AQ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3">
        <f>IF(tblOrdenes[[#This Row],[tipo_ot]]="","",_xlfn.XLOOKUP(tblOrdenes[[#This Row],[tipo_ot]],tblTiposOT[codigo],tblTiposOT[clasificacion],"sin_clasificar"))</f>
        <v/>
      </c>
      <c r="U1055" s="3">
        <f>IF(tblOrdenes[[#This Row],[centro_costo]]="","",_xlfn.XLOOKUP(tblOrdenes[[#This Row],[centro_costo]],tblCECO[codigo],tblCECO[linea],"(sin catálogo)"))</f>
        <v/>
      </c>
      <c r="V1055" s="3">
        <f>IF(tblOrdenes[[#This Row],[centro_costo]]="","",_xlfn.XLOOKUP(tblOrdenes[[#This Row],[centro_costo]],tblCECO[codigo],tblCECO[area],"(sin catálogo)"))</f>
        <v/>
      </c>
      <c r="W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3">
        <f>IF(tblOrdenes[[#This Row],[centro_costo]]="","",_xlfn.XLOOKUP(tblOrdenes[[#This Row],[centro_costo]],tblCECO[codigo],tblCECO[coordinador],"(sin catálogo)"))</f>
        <v/>
      </c>
      <c r="Y1055" s="3">
        <f>IF(tblOrdenes[[#This Row],[puesto_trabajo]]="","",_xlfn.XLOOKUP(tblOrdenes[[#This Row],[puesto_trabajo]],tblPuestos[codigo],tblPuestos[especialidad],"(sin catálogo)"))</f>
        <v/>
      </c>
      <c r="Z1055" s="3">
        <f>IF(tblOrdenes[[#This Row],[cod_actividad]]="","",_xlfn.XLOOKUP(tblOrdenes[[#This Row],[cod_actividad]],tblActividades[codigo],tblActividades[descripcion],"(sin catálogo)"))</f>
        <v/>
      </c>
      <c r="AA1055" s="12">
        <f>IF(tblOrdenes[[#This Row],[fecha_inicio]]="","",TODAY()-tblOrdenes[[#This Row],[fecha_inicio]])</f>
        <v/>
      </c>
      <c r="AB10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3">
        <f>IF(tblOrdenes[[#This Row],[backlog_habiles]]="","",IF(tblOrdenes[[#This Row],[backlog_habiles]]&lt;0,"FUTURO",IF(tblOrdenes[[#This Row],[backlog_habiles]]&gt;p_dias_backlog_max,"BACKLOG","MES CORRIENTE")))</f>
        <v/>
      </c>
      <c r="AD1055" s="3">
        <f>IF(tblOrdenes[[#This Row],[backlog_habiles]]="",FALSE,AND(tblOrdenes[[#This Row],[backlog_habiles]]&gt;p_dias_backlog_min,tblOrdenes[[#This Row],[backlog_habiles]]&lt;=p_dias_backlog_max))</f>
        <v/>
      </c>
      <c r="AE1055" s="6" t="n"/>
      <c r="AF10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0">
        <f>IF(tblOrdenes[[#This Row],[orden]]="","",_xlfn.XLOOKUP(tblOrdenes[[#This Row],[id_operacion]],tblEjecucion[id_operacion],tblEjecucion[precio],0))</f>
        <v/>
      </c>
      <c r="AJ1055" s="10">
        <f>IF(tblOrdenes[[#This Row],[orden]]="","",MAX(0,_xlfn.XLOOKUP(tblOrdenes[[#This Row],[id_operacion]],tblEjecucion[id_operacion],tblEjecucion[costo_plan_total],0)-tblOrdenes[[#This Row],[costo_servicio]]))</f>
        <v/>
      </c>
      <c r="AK1055" s="10">
        <f>IF(tblOrdenes[[#This Row],[orden]]="","",tblOrdenes[[#This Row],[costo_servicio]]+tblOrdenes[[#This Row],[costo_materiales]])</f>
        <v/>
      </c>
      <c r="AL1055" s="6" t="n"/>
      <c r="AM1055" s="6" t="n"/>
      <c r="AN1055" s="6" t="n"/>
      <c r="AO1055" s="3">
        <f>IF(tblOrdenes[[#This Row],[link_checklist]]="","",HYPERLINK(p_ruta_base_checklists&amp;tblOrdenes[[#This Row],[link_checklist]],"abrir"))</f>
        <v/>
      </c>
      <c r="AP1055" s="6" t="n"/>
      <c r="AQ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3">
        <f>IF(tblOrdenes[[#This Row],[tipo_ot]]="","",_xlfn.XLOOKUP(tblOrdenes[[#This Row],[tipo_ot]],tblTiposOT[codigo],tblTiposOT[clasificacion],"sin_clasificar"))</f>
        <v/>
      </c>
      <c r="U1056" s="3">
        <f>IF(tblOrdenes[[#This Row],[centro_costo]]="","",_xlfn.XLOOKUP(tblOrdenes[[#This Row],[centro_costo]],tblCECO[codigo],tblCECO[linea],"(sin catálogo)"))</f>
        <v/>
      </c>
      <c r="V1056" s="3">
        <f>IF(tblOrdenes[[#This Row],[centro_costo]]="","",_xlfn.XLOOKUP(tblOrdenes[[#This Row],[centro_costo]],tblCECO[codigo],tblCECO[area],"(sin catálogo)"))</f>
        <v/>
      </c>
      <c r="W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3">
        <f>IF(tblOrdenes[[#This Row],[centro_costo]]="","",_xlfn.XLOOKUP(tblOrdenes[[#This Row],[centro_costo]],tblCECO[codigo],tblCECO[coordinador],"(sin catálogo)"))</f>
        <v/>
      </c>
      <c r="Y1056" s="3">
        <f>IF(tblOrdenes[[#This Row],[puesto_trabajo]]="","",_xlfn.XLOOKUP(tblOrdenes[[#This Row],[puesto_trabajo]],tblPuestos[codigo],tblPuestos[especialidad],"(sin catálogo)"))</f>
        <v/>
      </c>
      <c r="Z1056" s="3">
        <f>IF(tblOrdenes[[#This Row],[cod_actividad]]="","",_xlfn.XLOOKUP(tblOrdenes[[#This Row],[cod_actividad]],tblActividades[codigo],tblActividades[descripcion],"(sin catálogo)"))</f>
        <v/>
      </c>
      <c r="AA1056" s="12">
        <f>IF(tblOrdenes[[#This Row],[fecha_inicio]]="","",TODAY()-tblOrdenes[[#This Row],[fecha_inicio]])</f>
        <v/>
      </c>
      <c r="AB10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3">
        <f>IF(tblOrdenes[[#This Row],[backlog_habiles]]="","",IF(tblOrdenes[[#This Row],[backlog_habiles]]&lt;0,"FUTURO",IF(tblOrdenes[[#This Row],[backlog_habiles]]&gt;p_dias_backlog_max,"BACKLOG","MES CORRIENTE")))</f>
        <v/>
      </c>
      <c r="AD1056" s="3">
        <f>IF(tblOrdenes[[#This Row],[backlog_habiles]]="",FALSE,AND(tblOrdenes[[#This Row],[backlog_habiles]]&gt;p_dias_backlog_min,tblOrdenes[[#This Row],[backlog_habiles]]&lt;=p_dias_backlog_max))</f>
        <v/>
      </c>
      <c r="AE1056" s="6" t="n"/>
      <c r="AF10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0">
        <f>IF(tblOrdenes[[#This Row],[orden]]="","",_xlfn.XLOOKUP(tblOrdenes[[#This Row],[id_operacion]],tblEjecucion[id_operacion],tblEjecucion[precio],0))</f>
        <v/>
      </c>
      <c r="AJ1056" s="10">
        <f>IF(tblOrdenes[[#This Row],[orden]]="","",MAX(0,_xlfn.XLOOKUP(tblOrdenes[[#This Row],[id_operacion]],tblEjecucion[id_operacion],tblEjecucion[costo_plan_total],0)-tblOrdenes[[#This Row],[costo_servicio]]))</f>
        <v/>
      </c>
      <c r="AK1056" s="10">
        <f>IF(tblOrdenes[[#This Row],[orden]]="","",tblOrdenes[[#This Row],[costo_servicio]]+tblOrdenes[[#This Row],[costo_materiales]])</f>
        <v/>
      </c>
      <c r="AL1056" s="6" t="n"/>
      <c r="AM1056" s="6" t="n"/>
      <c r="AN1056" s="6" t="n"/>
      <c r="AO1056" s="3">
        <f>IF(tblOrdenes[[#This Row],[link_checklist]]="","",HYPERLINK(p_ruta_base_checklists&amp;tblOrdenes[[#This Row],[link_checklist]],"abrir"))</f>
        <v/>
      </c>
      <c r="AP1056" s="6" t="n"/>
      <c r="AQ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3">
        <f>IF(tblOrdenes[[#This Row],[tipo_ot]]="","",_xlfn.XLOOKUP(tblOrdenes[[#This Row],[tipo_ot]],tblTiposOT[codigo],tblTiposOT[clasificacion],"sin_clasificar"))</f>
        <v/>
      </c>
      <c r="U1057" s="3">
        <f>IF(tblOrdenes[[#This Row],[centro_costo]]="","",_xlfn.XLOOKUP(tblOrdenes[[#This Row],[centro_costo]],tblCECO[codigo],tblCECO[linea],"(sin catálogo)"))</f>
        <v/>
      </c>
      <c r="V1057" s="3">
        <f>IF(tblOrdenes[[#This Row],[centro_costo]]="","",_xlfn.XLOOKUP(tblOrdenes[[#This Row],[centro_costo]],tblCECO[codigo],tblCECO[area],"(sin catálogo)"))</f>
        <v/>
      </c>
      <c r="W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3">
        <f>IF(tblOrdenes[[#This Row],[centro_costo]]="","",_xlfn.XLOOKUP(tblOrdenes[[#This Row],[centro_costo]],tblCECO[codigo],tblCECO[coordinador],"(sin catálogo)"))</f>
        <v/>
      </c>
      <c r="Y1057" s="3">
        <f>IF(tblOrdenes[[#This Row],[puesto_trabajo]]="","",_xlfn.XLOOKUP(tblOrdenes[[#This Row],[puesto_trabajo]],tblPuestos[codigo],tblPuestos[especialidad],"(sin catálogo)"))</f>
        <v/>
      </c>
      <c r="Z1057" s="3">
        <f>IF(tblOrdenes[[#This Row],[cod_actividad]]="","",_xlfn.XLOOKUP(tblOrdenes[[#This Row],[cod_actividad]],tblActividades[codigo],tblActividades[descripcion],"(sin catálogo)"))</f>
        <v/>
      </c>
      <c r="AA1057" s="12">
        <f>IF(tblOrdenes[[#This Row],[fecha_inicio]]="","",TODAY()-tblOrdenes[[#This Row],[fecha_inicio]])</f>
        <v/>
      </c>
      <c r="AB10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3">
        <f>IF(tblOrdenes[[#This Row],[backlog_habiles]]="","",IF(tblOrdenes[[#This Row],[backlog_habiles]]&lt;0,"FUTURO",IF(tblOrdenes[[#This Row],[backlog_habiles]]&gt;p_dias_backlog_max,"BACKLOG","MES CORRIENTE")))</f>
        <v/>
      </c>
      <c r="AD1057" s="3">
        <f>IF(tblOrdenes[[#This Row],[backlog_habiles]]="",FALSE,AND(tblOrdenes[[#This Row],[backlog_habiles]]&gt;p_dias_backlog_min,tblOrdenes[[#This Row],[backlog_habiles]]&lt;=p_dias_backlog_max))</f>
        <v/>
      </c>
      <c r="AE1057" s="6" t="n"/>
      <c r="AF10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0">
        <f>IF(tblOrdenes[[#This Row],[orden]]="","",_xlfn.XLOOKUP(tblOrdenes[[#This Row],[id_operacion]],tblEjecucion[id_operacion],tblEjecucion[precio],0))</f>
        <v/>
      </c>
      <c r="AJ1057" s="10">
        <f>IF(tblOrdenes[[#This Row],[orden]]="","",MAX(0,_xlfn.XLOOKUP(tblOrdenes[[#This Row],[id_operacion]],tblEjecucion[id_operacion],tblEjecucion[costo_plan_total],0)-tblOrdenes[[#This Row],[costo_servicio]]))</f>
        <v/>
      </c>
      <c r="AK1057" s="10">
        <f>IF(tblOrdenes[[#This Row],[orden]]="","",tblOrdenes[[#This Row],[costo_servicio]]+tblOrdenes[[#This Row],[costo_materiales]])</f>
        <v/>
      </c>
      <c r="AL1057" s="6" t="n"/>
      <c r="AM1057" s="6" t="n"/>
      <c r="AN1057" s="6" t="n"/>
      <c r="AO1057" s="3">
        <f>IF(tblOrdenes[[#This Row],[link_checklist]]="","",HYPERLINK(p_ruta_base_checklists&amp;tblOrdenes[[#This Row],[link_checklist]],"abrir"))</f>
        <v/>
      </c>
      <c r="AP1057" s="6" t="n"/>
      <c r="AQ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3">
        <f>IF(tblOrdenes[[#This Row],[tipo_ot]]="","",_xlfn.XLOOKUP(tblOrdenes[[#This Row],[tipo_ot]],tblTiposOT[codigo],tblTiposOT[clasificacion],"sin_clasificar"))</f>
        <v/>
      </c>
      <c r="U1058" s="3">
        <f>IF(tblOrdenes[[#This Row],[centro_costo]]="","",_xlfn.XLOOKUP(tblOrdenes[[#This Row],[centro_costo]],tblCECO[codigo],tblCECO[linea],"(sin catálogo)"))</f>
        <v/>
      </c>
      <c r="V1058" s="3">
        <f>IF(tblOrdenes[[#This Row],[centro_costo]]="","",_xlfn.XLOOKUP(tblOrdenes[[#This Row],[centro_costo]],tblCECO[codigo],tblCECO[area],"(sin catálogo)"))</f>
        <v/>
      </c>
      <c r="W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3">
        <f>IF(tblOrdenes[[#This Row],[centro_costo]]="","",_xlfn.XLOOKUP(tblOrdenes[[#This Row],[centro_costo]],tblCECO[codigo],tblCECO[coordinador],"(sin catálogo)"))</f>
        <v/>
      </c>
      <c r="Y1058" s="3">
        <f>IF(tblOrdenes[[#This Row],[puesto_trabajo]]="","",_xlfn.XLOOKUP(tblOrdenes[[#This Row],[puesto_trabajo]],tblPuestos[codigo],tblPuestos[especialidad],"(sin catálogo)"))</f>
        <v/>
      </c>
      <c r="Z1058" s="3">
        <f>IF(tblOrdenes[[#This Row],[cod_actividad]]="","",_xlfn.XLOOKUP(tblOrdenes[[#This Row],[cod_actividad]],tblActividades[codigo],tblActividades[descripcion],"(sin catálogo)"))</f>
        <v/>
      </c>
      <c r="AA1058" s="12">
        <f>IF(tblOrdenes[[#This Row],[fecha_inicio]]="","",TODAY()-tblOrdenes[[#This Row],[fecha_inicio]])</f>
        <v/>
      </c>
      <c r="AB10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3">
        <f>IF(tblOrdenes[[#This Row],[backlog_habiles]]="","",IF(tblOrdenes[[#This Row],[backlog_habiles]]&lt;0,"FUTURO",IF(tblOrdenes[[#This Row],[backlog_habiles]]&gt;p_dias_backlog_max,"BACKLOG","MES CORRIENTE")))</f>
        <v/>
      </c>
      <c r="AD1058" s="3">
        <f>IF(tblOrdenes[[#This Row],[backlog_habiles]]="",FALSE,AND(tblOrdenes[[#This Row],[backlog_habiles]]&gt;p_dias_backlog_min,tblOrdenes[[#This Row],[backlog_habiles]]&lt;=p_dias_backlog_max))</f>
        <v/>
      </c>
      <c r="AE1058" s="6" t="n"/>
      <c r="AF10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0">
        <f>IF(tblOrdenes[[#This Row],[orden]]="","",_xlfn.XLOOKUP(tblOrdenes[[#This Row],[id_operacion]],tblEjecucion[id_operacion],tblEjecucion[precio],0))</f>
        <v/>
      </c>
      <c r="AJ1058" s="10">
        <f>IF(tblOrdenes[[#This Row],[orden]]="","",MAX(0,_xlfn.XLOOKUP(tblOrdenes[[#This Row],[id_operacion]],tblEjecucion[id_operacion],tblEjecucion[costo_plan_total],0)-tblOrdenes[[#This Row],[costo_servicio]]))</f>
        <v/>
      </c>
      <c r="AK1058" s="10">
        <f>IF(tblOrdenes[[#This Row],[orden]]="","",tblOrdenes[[#This Row],[costo_servicio]]+tblOrdenes[[#This Row],[costo_materiales]])</f>
        <v/>
      </c>
      <c r="AL1058" s="6" t="n"/>
      <c r="AM1058" s="6" t="n"/>
      <c r="AN1058" s="6" t="n"/>
      <c r="AO1058" s="3">
        <f>IF(tblOrdenes[[#This Row],[link_checklist]]="","",HYPERLINK(p_ruta_base_checklists&amp;tblOrdenes[[#This Row],[link_checklist]],"abrir"))</f>
        <v/>
      </c>
      <c r="AP1058" s="6" t="n"/>
      <c r="AQ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3">
        <f>IF(tblOrdenes[[#This Row],[tipo_ot]]="","",_xlfn.XLOOKUP(tblOrdenes[[#This Row],[tipo_ot]],tblTiposOT[codigo],tblTiposOT[clasificacion],"sin_clasificar"))</f>
        <v/>
      </c>
      <c r="U1059" s="3">
        <f>IF(tblOrdenes[[#This Row],[centro_costo]]="","",_xlfn.XLOOKUP(tblOrdenes[[#This Row],[centro_costo]],tblCECO[codigo],tblCECO[linea],"(sin catálogo)"))</f>
        <v/>
      </c>
      <c r="V1059" s="3">
        <f>IF(tblOrdenes[[#This Row],[centro_costo]]="","",_xlfn.XLOOKUP(tblOrdenes[[#This Row],[centro_costo]],tblCECO[codigo],tblCECO[area],"(sin catálogo)"))</f>
        <v/>
      </c>
      <c r="W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3">
        <f>IF(tblOrdenes[[#This Row],[centro_costo]]="","",_xlfn.XLOOKUP(tblOrdenes[[#This Row],[centro_costo]],tblCECO[codigo],tblCECO[coordinador],"(sin catálogo)"))</f>
        <v/>
      </c>
      <c r="Y1059" s="3">
        <f>IF(tblOrdenes[[#This Row],[puesto_trabajo]]="","",_xlfn.XLOOKUP(tblOrdenes[[#This Row],[puesto_trabajo]],tblPuestos[codigo],tblPuestos[especialidad],"(sin catálogo)"))</f>
        <v/>
      </c>
      <c r="Z1059" s="3">
        <f>IF(tblOrdenes[[#This Row],[cod_actividad]]="","",_xlfn.XLOOKUP(tblOrdenes[[#This Row],[cod_actividad]],tblActividades[codigo],tblActividades[descripcion],"(sin catálogo)"))</f>
        <v/>
      </c>
      <c r="AA1059" s="12">
        <f>IF(tblOrdenes[[#This Row],[fecha_inicio]]="","",TODAY()-tblOrdenes[[#This Row],[fecha_inicio]])</f>
        <v/>
      </c>
      <c r="AB10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3">
        <f>IF(tblOrdenes[[#This Row],[backlog_habiles]]="","",IF(tblOrdenes[[#This Row],[backlog_habiles]]&lt;0,"FUTURO",IF(tblOrdenes[[#This Row],[backlog_habiles]]&gt;p_dias_backlog_max,"BACKLOG","MES CORRIENTE")))</f>
        <v/>
      </c>
      <c r="AD1059" s="3">
        <f>IF(tblOrdenes[[#This Row],[backlog_habiles]]="",FALSE,AND(tblOrdenes[[#This Row],[backlog_habiles]]&gt;p_dias_backlog_min,tblOrdenes[[#This Row],[backlog_habiles]]&lt;=p_dias_backlog_max))</f>
        <v/>
      </c>
      <c r="AE1059" s="6" t="n"/>
      <c r="AF10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0">
        <f>IF(tblOrdenes[[#This Row],[orden]]="","",_xlfn.XLOOKUP(tblOrdenes[[#This Row],[id_operacion]],tblEjecucion[id_operacion],tblEjecucion[precio],0))</f>
        <v/>
      </c>
      <c r="AJ1059" s="10">
        <f>IF(tblOrdenes[[#This Row],[orden]]="","",MAX(0,_xlfn.XLOOKUP(tblOrdenes[[#This Row],[id_operacion]],tblEjecucion[id_operacion],tblEjecucion[costo_plan_total],0)-tblOrdenes[[#This Row],[costo_servicio]]))</f>
        <v/>
      </c>
      <c r="AK1059" s="10">
        <f>IF(tblOrdenes[[#This Row],[orden]]="","",tblOrdenes[[#This Row],[costo_servicio]]+tblOrdenes[[#This Row],[costo_materiales]])</f>
        <v/>
      </c>
      <c r="AL1059" s="6" t="n"/>
      <c r="AM1059" s="6" t="n"/>
      <c r="AN1059" s="6" t="n"/>
      <c r="AO1059" s="3">
        <f>IF(tblOrdenes[[#This Row],[link_checklist]]="","",HYPERLINK(p_ruta_base_checklists&amp;tblOrdenes[[#This Row],[link_checklist]],"abrir"))</f>
        <v/>
      </c>
      <c r="AP1059" s="6" t="n"/>
      <c r="AQ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3">
        <f>IF(tblOrdenes[[#This Row],[tipo_ot]]="","",_xlfn.XLOOKUP(tblOrdenes[[#This Row],[tipo_ot]],tblTiposOT[codigo],tblTiposOT[clasificacion],"sin_clasificar"))</f>
        <v/>
      </c>
      <c r="U1060" s="3">
        <f>IF(tblOrdenes[[#This Row],[centro_costo]]="","",_xlfn.XLOOKUP(tblOrdenes[[#This Row],[centro_costo]],tblCECO[codigo],tblCECO[linea],"(sin catálogo)"))</f>
        <v/>
      </c>
      <c r="V1060" s="3">
        <f>IF(tblOrdenes[[#This Row],[centro_costo]]="","",_xlfn.XLOOKUP(tblOrdenes[[#This Row],[centro_costo]],tblCECO[codigo],tblCECO[area],"(sin catálogo)"))</f>
        <v/>
      </c>
      <c r="W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3">
        <f>IF(tblOrdenes[[#This Row],[centro_costo]]="","",_xlfn.XLOOKUP(tblOrdenes[[#This Row],[centro_costo]],tblCECO[codigo],tblCECO[coordinador],"(sin catálogo)"))</f>
        <v/>
      </c>
      <c r="Y1060" s="3">
        <f>IF(tblOrdenes[[#This Row],[puesto_trabajo]]="","",_xlfn.XLOOKUP(tblOrdenes[[#This Row],[puesto_trabajo]],tblPuestos[codigo],tblPuestos[especialidad],"(sin catálogo)"))</f>
        <v/>
      </c>
      <c r="Z1060" s="3">
        <f>IF(tblOrdenes[[#This Row],[cod_actividad]]="","",_xlfn.XLOOKUP(tblOrdenes[[#This Row],[cod_actividad]],tblActividades[codigo],tblActividades[descripcion],"(sin catálogo)"))</f>
        <v/>
      </c>
      <c r="AA1060" s="12">
        <f>IF(tblOrdenes[[#This Row],[fecha_inicio]]="","",TODAY()-tblOrdenes[[#This Row],[fecha_inicio]])</f>
        <v/>
      </c>
      <c r="AB10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3">
        <f>IF(tblOrdenes[[#This Row],[backlog_habiles]]="","",IF(tblOrdenes[[#This Row],[backlog_habiles]]&lt;0,"FUTURO",IF(tblOrdenes[[#This Row],[backlog_habiles]]&gt;p_dias_backlog_max,"BACKLOG","MES CORRIENTE")))</f>
        <v/>
      </c>
      <c r="AD1060" s="3">
        <f>IF(tblOrdenes[[#This Row],[backlog_habiles]]="",FALSE,AND(tblOrdenes[[#This Row],[backlog_habiles]]&gt;p_dias_backlog_min,tblOrdenes[[#This Row],[backlog_habiles]]&lt;=p_dias_backlog_max))</f>
        <v/>
      </c>
      <c r="AE1060" s="6" t="n"/>
      <c r="AF10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0">
        <f>IF(tblOrdenes[[#This Row],[orden]]="","",_xlfn.XLOOKUP(tblOrdenes[[#This Row],[id_operacion]],tblEjecucion[id_operacion],tblEjecucion[precio],0))</f>
        <v/>
      </c>
      <c r="AJ1060" s="10">
        <f>IF(tblOrdenes[[#This Row],[orden]]="","",MAX(0,_xlfn.XLOOKUP(tblOrdenes[[#This Row],[id_operacion]],tblEjecucion[id_operacion],tblEjecucion[costo_plan_total],0)-tblOrdenes[[#This Row],[costo_servicio]]))</f>
        <v/>
      </c>
      <c r="AK1060" s="10">
        <f>IF(tblOrdenes[[#This Row],[orden]]="","",tblOrdenes[[#This Row],[costo_servicio]]+tblOrdenes[[#This Row],[costo_materiales]])</f>
        <v/>
      </c>
      <c r="AL1060" s="6" t="n"/>
      <c r="AM1060" s="6" t="n"/>
      <c r="AN1060" s="6" t="n"/>
      <c r="AO1060" s="3">
        <f>IF(tblOrdenes[[#This Row],[link_checklist]]="","",HYPERLINK(p_ruta_base_checklists&amp;tblOrdenes[[#This Row],[link_checklist]],"abrir"))</f>
        <v/>
      </c>
      <c r="AP1060" s="6" t="n"/>
      <c r="AQ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3">
        <f>IF(tblOrdenes[[#This Row],[tipo_ot]]="","",_xlfn.XLOOKUP(tblOrdenes[[#This Row],[tipo_ot]],tblTiposOT[codigo],tblTiposOT[clasificacion],"sin_clasificar"))</f>
        <v/>
      </c>
      <c r="U1061" s="3">
        <f>IF(tblOrdenes[[#This Row],[centro_costo]]="","",_xlfn.XLOOKUP(tblOrdenes[[#This Row],[centro_costo]],tblCECO[codigo],tblCECO[linea],"(sin catálogo)"))</f>
        <v/>
      </c>
      <c r="V1061" s="3">
        <f>IF(tblOrdenes[[#This Row],[centro_costo]]="","",_xlfn.XLOOKUP(tblOrdenes[[#This Row],[centro_costo]],tblCECO[codigo],tblCECO[area],"(sin catálogo)"))</f>
        <v/>
      </c>
      <c r="W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3">
        <f>IF(tblOrdenes[[#This Row],[centro_costo]]="","",_xlfn.XLOOKUP(tblOrdenes[[#This Row],[centro_costo]],tblCECO[codigo],tblCECO[coordinador],"(sin catálogo)"))</f>
        <v/>
      </c>
      <c r="Y1061" s="3">
        <f>IF(tblOrdenes[[#This Row],[puesto_trabajo]]="","",_xlfn.XLOOKUP(tblOrdenes[[#This Row],[puesto_trabajo]],tblPuestos[codigo],tblPuestos[especialidad],"(sin catálogo)"))</f>
        <v/>
      </c>
      <c r="Z1061" s="3">
        <f>IF(tblOrdenes[[#This Row],[cod_actividad]]="","",_xlfn.XLOOKUP(tblOrdenes[[#This Row],[cod_actividad]],tblActividades[codigo],tblActividades[descripcion],"(sin catálogo)"))</f>
        <v/>
      </c>
      <c r="AA1061" s="12">
        <f>IF(tblOrdenes[[#This Row],[fecha_inicio]]="","",TODAY()-tblOrdenes[[#This Row],[fecha_inicio]])</f>
        <v/>
      </c>
      <c r="AB10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3">
        <f>IF(tblOrdenes[[#This Row],[backlog_habiles]]="","",IF(tblOrdenes[[#This Row],[backlog_habiles]]&lt;0,"FUTURO",IF(tblOrdenes[[#This Row],[backlog_habiles]]&gt;p_dias_backlog_max,"BACKLOG","MES CORRIENTE")))</f>
        <v/>
      </c>
      <c r="AD1061" s="3">
        <f>IF(tblOrdenes[[#This Row],[backlog_habiles]]="",FALSE,AND(tblOrdenes[[#This Row],[backlog_habiles]]&gt;p_dias_backlog_min,tblOrdenes[[#This Row],[backlog_habiles]]&lt;=p_dias_backlog_max))</f>
        <v/>
      </c>
      <c r="AE1061" s="6" t="n"/>
      <c r="AF10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0">
        <f>IF(tblOrdenes[[#This Row],[orden]]="","",_xlfn.XLOOKUP(tblOrdenes[[#This Row],[id_operacion]],tblEjecucion[id_operacion],tblEjecucion[precio],0))</f>
        <v/>
      </c>
      <c r="AJ1061" s="10">
        <f>IF(tblOrdenes[[#This Row],[orden]]="","",MAX(0,_xlfn.XLOOKUP(tblOrdenes[[#This Row],[id_operacion]],tblEjecucion[id_operacion],tblEjecucion[costo_plan_total],0)-tblOrdenes[[#This Row],[costo_servicio]]))</f>
        <v/>
      </c>
      <c r="AK1061" s="10">
        <f>IF(tblOrdenes[[#This Row],[orden]]="","",tblOrdenes[[#This Row],[costo_servicio]]+tblOrdenes[[#This Row],[costo_materiales]])</f>
        <v/>
      </c>
      <c r="AL1061" s="6" t="n"/>
      <c r="AM1061" s="6" t="n"/>
      <c r="AN1061" s="6" t="n"/>
      <c r="AO1061" s="3">
        <f>IF(tblOrdenes[[#This Row],[link_checklist]]="","",HYPERLINK(p_ruta_base_checklists&amp;tblOrdenes[[#This Row],[link_checklist]],"abrir"))</f>
        <v/>
      </c>
      <c r="AP1061" s="6" t="n"/>
      <c r="AQ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3">
        <f>IF(tblOrdenes[[#This Row],[tipo_ot]]="","",_xlfn.XLOOKUP(tblOrdenes[[#This Row],[tipo_ot]],tblTiposOT[codigo],tblTiposOT[clasificacion],"sin_clasificar"))</f>
        <v/>
      </c>
      <c r="U1062" s="3">
        <f>IF(tblOrdenes[[#This Row],[centro_costo]]="","",_xlfn.XLOOKUP(tblOrdenes[[#This Row],[centro_costo]],tblCECO[codigo],tblCECO[linea],"(sin catálogo)"))</f>
        <v/>
      </c>
      <c r="V1062" s="3">
        <f>IF(tblOrdenes[[#This Row],[centro_costo]]="","",_xlfn.XLOOKUP(tblOrdenes[[#This Row],[centro_costo]],tblCECO[codigo],tblCECO[area],"(sin catálogo)"))</f>
        <v/>
      </c>
      <c r="W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3">
        <f>IF(tblOrdenes[[#This Row],[centro_costo]]="","",_xlfn.XLOOKUP(tblOrdenes[[#This Row],[centro_costo]],tblCECO[codigo],tblCECO[coordinador],"(sin catálogo)"))</f>
        <v/>
      </c>
      <c r="Y1062" s="3">
        <f>IF(tblOrdenes[[#This Row],[puesto_trabajo]]="","",_xlfn.XLOOKUP(tblOrdenes[[#This Row],[puesto_trabajo]],tblPuestos[codigo],tblPuestos[especialidad],"(sin catálogo)"))</f>
        <v/>
      </c>
      <c r="Z1062" s="3">
        <f>IF(tblOrdenes[[#This Row],[cod_actividad]]="","",_xlfn.XLOOKUP(tblOrdenes[[#This Row],[cod_actividad]],tblActividades[codigo],tblActividades[descripcion],"(sin catálogo)"))</f>
        <v/>
      </c>
      <c r="AA1062" s="12">
        <f>IF(tblOrdenes[[#This Row],[fecha_inicio]]="","",TODAY()-tblOrdenes[[#This Row],[fecha_inicio]])</f>
        <v/>
      </c>
      <c r="AB10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3">
        <f>IF(tblOrdenes[[#This Row],[backlog_habiles]]="","",IF(tblOrdenes[[#This Row],[backlog_habiles]]&lt;0,"FUTURO",IF(tblOrdenes[[#This Row],[backlog_habiles]]&gt;p_dias_backlog_max,"BACKLOG","MES CORRIENTE")))</f>
        <v/>
      </c>
      <c r="AD1062" s="3">
        <f>IF(tblOrdenes[[#This Row],[backlog_habiles]]="",FALSE,AND(tblOrdenes[[#This Row],[backlog_habiles]]&gt;p_dias_backlog_min,tblOrdenes[[#This Row],[backlog_habiles]]&lt;=p_dias_backlog_max))</f>
        <v/>
      </c>
      <c r="AE1062" s="6" t="n"/>
      <c r="AF10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0">
        <f>IF(tblOrdenes[[#This Row],[orden]]="","",_xlfn.XLOOKUP(tblOrdenes[[#This Row],[id_operacion]],tblEjecucion[id_operacion],tblEjecucion[precio],0))</f>
        <v/>
      </c>
      <c r="AJ1062" s="10">
        <f>IF(tblOrdenes[[#This Row],[orden]]="","",MAX(0,_xlfn.XLOOKUP(tblOrdenes[[#This Row],[id_operacion]],tblEjecucion[id_operacion],tblEjecucion[costo_plan_total],0)-tblOrdenes[[#This Row],[costo_servicio]]))</f>
        <v/>
      </c>
      <c r="AK1062" s="10">
        <f>IF(tblOrdenes[[#This Row],[orden]]="","",tblOrdenes[[#This Row],[costo_servicio]]+tblOrdenes[[#This Row],[costo_materiales]])</f>
        <v/>
      </c>
      <c r="AL1062" s="6" t="n"/>
      <c r="AM1062" s="6" t="n"/>
      <c r="AN1062" s="6" t="n"/>
      <c r="AO1062" s="3">
        <f>IF(tblOrdenes[[#This Row],[link_checklist]]="","",HYPERLINK(p_ruta_base_checklists&amp;tblOrdenes[[#This Row],[link_checklist]],"abrir"))</f>
        <v/>
      </c>
      <c r="AP1062" s="6" t="n"/>
      <c r="AQ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3">
        <f>IF(tblOrdenes[[#This Row],[tipo_ot]]="","",_xlfn.XLOOKUP(tblOrdenes[[#This Row],[tipo_ot]],tblTiposOT[codigo],tblTiposOT[clasificacion],"sin_clasificar"))</f>
        <v/>
      </c>
      <c r="U1063" s="3">
        <f>IF(tblOrdenes[[#This Row],[centro_costo]]="","",_xlfn.XLOOKUP(tblOrdenes[[#This Row],[centro_costo]],tblCECO[codigo],tblCECO[linea],"(sin catálogo)"))</f>
        <v/>
      </c>
      <c r="V1063" s="3">
        <f>IF(tblOrdenes[[#This Row],[centro_costo]]="","",_xlfn.XLOOKUP(tblOrdenes[[#This Row],[centro_costo]],tblCECO[codigo],tblCECO[area],"(sin catálogo)"))</f>
        <v/>
      </c>
      <c r="W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3">
        <f>IF(tblOrdenes[[#This Row],[centro_costo]]="","",_xlfn.XLOOKUP(tblOrdenes[[#This Row],[centro_costo]],tblCECO[codigo],tblCECO[coordinador],"(sin catálogo)"))</f>
        <v/>
      </c>
      <c r="Y1063" s="3">
        <f>IF(tblOrdenes[[#This Row],[puesto_trabajo]]="","",_xlfn.XLOOKUP(tblOrdenes[[#This Row],[puesto_trabajo]],tblPuestos[codigo],tblPuestos[especialidad],"(sin catálogo)"))</f>
        <v/>
      </c>
      <c r="Z1063" s="3">
        <f>IF(tblOrdenes[[#This Row],[cod_actividad]]="","",_xlfn.XLOOKUP(tblOrdenes[[#This Row],[cod_actividad]],tblActividades[codigo],tblActividades[descripcion],"(sin catálogo)"))</f>
        <v/>
      </c>
      <c r="AA1063" s="12">
        <f>IF(tblOrdenes[[#This Row],[fecha_inicio]]="","",TODAY()-tblOrdenes[[#This Row],[fecha_inicio]])</f>
        <v/>
      </c>
      <c r="AB10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3">
        <f>IF(tblOrdenes[[#This Row],[backlog_habiles]]="","",IF(tblOrdenes[[#This Row],[backlog_habiles]]&lt;0,"FUTURO",IF(tblOrdenes[[#This Row],[backlog_habiles]]&gt;p_dias_backlog_max,"BACKLOG","MES CORRIENTE")))</f>
        <v/>
      </c>
      <c r="AD1063" s="3">
        <f>IF(tblOrdenes[[#This Row],[backlog_habiles]]="",FALSE,AND(tblOrdenes[[#This Row],[backlog_habiles]]&gt;p_dias_backlog_min,tblOrdenes[[#This Row],[backlog_habiles]]&lt;=p_dias_backlog_max))</f>
        <v/>
      </c>
      <c r="AE1063" s="6" t="n"/>
      <c r="AF10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0">
        <f>IF(tblOrdenes[[#This Row],[orden]]="","",_xlfn.XLOOKUP(tblOrdenes[[#This Row],[id_operacion]],tblEjecucion[id_operacion],tblEjecucion[precio],0))</f>
        <v/>
      </c>
      <c r="AJ1063" s="10">
        <f>IF(tblOrdenes[[#This Row],[orden]]="","",MAX(0,_xlfn.XLOOKUP(tblOrdenes[[#This Row],[id_operacion]],tblEjecucion[id_operacion],tblEjecucion[costo_plan_total],0)-tblOrdenes[[#This Row],[costo_servicio]]))</f>
        <v/>
      </c>
      <c r="AK1063" s="10">
        <f>IF(tblOrdenes[[#This Row],[orden]]="","",tblOrdenes[[#This Row],[costo_servicio]]+tblOrdenes[[#This Row],[costo_materiales]])</f>
        <v/>
      </c>
      <c r="AL1063" s="6" t="n"/>
      <c r="AM1063" s="6" t="n"/>
      <c r="AN1063" s="6" t="n"/>
      <c r="AO1063" s="3">
        <f>IF(tblOrdenes[[#This Row],[link_checklist]]="","",HYPERLINK(p_ruta_base_checklists&amp;tblOrdenes[[#This Row],[link_checklist]],"abrir"))</f>
        <v/>
      </c>
      <c r="AP1063" s="6" t="n"/>
      <c r="AQ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3">
        <f>IF(tblOrdenes[[#This Row],[tipo_ot]]="","",_xlfn.XLOOKUP(tblOrdenes[[#This Row],[tipo_ot]],tblTiposOT[codigo],tblTiposOT[clasificacion],"sin_clasificar"))</f>
        <v/>
      </c>
      <c r="U1064" s="3">
        <f>IF(tblOrdenes[[#This Row],[centro_costo]]="","",_xlfn.XLOOKUP(tblOrdenes[[#This Row],[centro_costo]],tblCECO[codigo],tblCECO[linea],"(sin catálogo)"))</f>
        <v/>
      </c>
      <c r="V1064" s="3">
        <f>IF(tblOrdenes[[#This Row],[centro_costo]]="","",_xlfn.XLOOKUP(tblOrdenes[[#This Row],[centro_costo]],tblCECO[codigo],tblCECO[area],"(sin catálogo)"))</f>
        <v/>
      </c>
      <c r="W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3">
        <f>IF(tblOrdenes[[#This Row],[centro_costo]]="","",_xlfn.XLOOKUP(tblOrdenes[[#This Row],[centro_costo]],tblCECO[codigo],tblCECO[coordinador],"(sin catálogo)"))</f>
        <v/>
      </c>
      <c r="Y1064" s="3">
        <f>IF(tblOrdenes[[#This Row],[puesto_trabajo]]="","",_xlfn.XLOOKUP(tblOrdenes[[#This Row],[puesto_trabajo]],tblPuestos[codigo],tblPuestos[especialidad],"(sin catálogo)"))</f>
        <v/>
      </c>
      <c r="Z1064" s="3">
        <f>IF(tblOrdenes[[#This Row],[cod_actividad]]="","",_xlfn.XLOOKUP(tblOrdenes[[#This Row],[cod_actividad]],tblActividades[codigo],tblActividades[descripcion],"(sin catálogo)"))</f>
        <v/>
      </c>
      <c r="AA1064" s="12">
        <f>IF(tblOrdenes[[#This Row],[fecha_inicio]]="","",TODAY()-tblOrdenes[[#This Row],[fecha_inicio]])</f>
        <v/>
      </c>
      <c r="AB10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3">
        <f>IF(tblOrdenes[[#This Row],[backlog_habiles]]="","",IF(tblOrdenes[[#This Row],[backlog_habiles]]&lt;0,"FUTURO",IF(tblOrdenes[[#This Row],[backlog_habiles]]&gt;p_dias_backlog_max,"BACKLOG","MES CORRIENTE")))</f>
        <v/>
      </c>
      <c r="AD1064" s="3">
        <f>IF(tblOrdenes[[#This Row],[backlog_habiles]]="",FALSE,AND(tblOrdenes[[#This Row],[backlog_habiles]]&gt;p_dias_backlog_min,tblOrdenes[[#This Row],[backlog_habiles]]&lt;=p_dias_backlog_max))</f>
        <v/>
      </c>
      <c r="AE1064" s="6" t="n"/>
      <c r="AF10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0">
        <f>IF(tblOrdenes[[#This Row],[orden]]="","",_xlfn.XLOOKUP(tblOrdenes[[#This Row],[id_operacion]],tblEjecucion[id_operacion],tblEjecucion[precio],0))</f>
        <v/>
      </c>
      <c r="AJ1064" s="10">
        <f>IF(tblOrdenes[[#This Row],[orden]]="","",MAX(0,_xlfn.XLOOKUP(tblOrdenes[[#This Row],[id_operacion]],tblEjecucion[id_operacion],tblEjecucion[costo_plan_total],0)-tblOrdenes[[#This Row],[costo_servicio]]))</f>
        <v/>
      </c>
      <c r="AK1064" s="10">
        <f>IF(tblOrdenes[[#This Row],[orden]]="","",tblOrdenes[[#This Row],[costo_servicio]]+tblOrdenes[[#This Row],[costo_materiales]])</f>
        <v/>
      </c>
      <c r="AL1064" s="6" t="n"/>
      <c r="AM1064" s="6" t="n"/>
      <c r="AN1064" s="6" t="n"/>
      <c r="AO1064" s="3">
        <f>IF(tblOrdenes[[#This Row],[link_checklist]]="","",HYPERLINK(p_ruta_base_checklists&amp;tblOrdenes[[#This Row],[link_checklist]],"abrir"))</f>
        <v/>
      </c>
      <c r="AP1064" s="6" t="n"/>
      <c r="AQ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3">
        <f>IF(tblOrdenes[[#This Row],[tipo_ot]]="","",_xlfn.XLOOKUP(tblOrdenes[[#This Row],[tipo_ot]],tblTiposOT[codigo],tblTiposOT[clasificacion],"sin_clasificar"))</f>
        <v/>
      </c>
      <c r="U1065" s="3">
        <f>IF(tblOrdenes[[#This Row],[centro_costo]]="","",_xlfn.XLOOKUP(tblOrdenes[[#This Row],[centro_costo]],tblCECO[codigo],tblCECO[linea],"(sin catálogo)"))</f>
        <v/>
      </c>
      <c r="V1065" s="3">
        <f>IF(tblOrdenes[[#This Row],[centro_costo]]="","",_xlfn.XLOOKUP(tblOrdenes[[#This Row],[centro_costo]],tblCECO[codigo],tblCECO[area],"(sin catálogo)"))</f>
        <v/>
      </c>
      <c r="W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3">
        <f>IF(tblOrdenes[[#This Row],[centro_costo]]="","",_xlfn.XLOOKUP(tblOrdenes[[#This Row],[centro_costo]],tblCECO[codigo],tblCECO[coordinador],"(sin catálogo)"))</f>
        <v/>
      </c>
      <c r="Y1065" s="3">
        <f>IF(tblOrdenes[[#This Row],[puesto_trabajo]]="","",_xlfn.XLOOKUP(tblOrdenes[[#This Row],[puesto_trabajo]],tblPuestos[codigo],tblPuestos[especialidad],"(sin catálogo)"))</f>
        <v/>
      </c>
      <c r="Z1065" s="3">
        <f>IF(tblOrdenes[[#This Row],[cod_actividad]]="","",_xlfn.XLOOKUP(tblOrdenes[[#This Row],[cod_actividad]],tblActividades[codigo],tblActividades[descripcion],"(sin catálogo)"))</f>
        <v/>
      </c>
      <c r="AA1065" s="12">
        <f>IF(tblOrdenes[[#This Row],[fecha_inicio]]="","",TODAY()-tblOrdenes[[#This Row],[fecha_inicio]])</f>
        <v/>
      </c>
      <c r="AB10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3">
        <f>IF(tblOrdenes[[#This Row],[backlog_habiles]]="","",IF(tblOrdenes[[#This Row],[backlog_habiles]]&lt;0,"FUTURO",IF(tblOrdenes[[#This Row],[backlog_habiles]]&gt;p_dias_backlog_max,"BACKLOG","MES CORRIENTE")))</f>
        <v/>
      </c>
      <c r="AD1065" s="3">
        <f>IF(tblOrdenes[[#This Row],[backlog_habiles]]="",FALSE,AND(tblOrdenes[[#This Row],[backlog_habiles]]&gt;p_dias_backlog_min,tblOrdenes[[#This Row],[backlog_habiles]]&lt;=p_dias_backlog_max))</f>
        <v/>
      </c>
      <c r="AE1065" s="6" t="n"/>
      <c r="AF10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0">
        <f>IF(tblOrdenes[[#This Row],[orden]]="","",_xlfn.XLOOKUP(tblOrdenes[[#This Row],[id_operacion]],tblEjecucion[id_operacion],tblEjecucion[precio],0))</f>
        <v/>
      </c>
      <c r="AJ1065" s="10">
        <f>IF(tblOrdenes[[#This Row],[orden]]="","",MAX(0,_xlfn.XLOOKUP(tblOrdenes[[#This Row],[id_operacion]],tblEjecucion[id_operacion],tblEjecucion[costo_plan_total],0)-tblOrdenes[[#This Row],[costo_servicio]]))</f>
        <v/>
      </c>
      <c r="AK1065" s="10">
        <f>IF(tblOrdenes[[#This Row],[orden]]="","",tblOrdenes[[#This Row],[costo_servicio]]+tblOrdenes[[#This Row],[costo_materiales]])</f>
        <v/>
      </c>
      <c r="AL1065" s="6" t="n"/>
      <c r="AM1065" s="6" t="n"/>
      <c r="AN1065" s="6" t="n"/>
      <c r="AO1065" s="3">
        <f>IF(tblOrdenes[[#This Row],[link_checklist]]="","",HYPERLINK(p_ruta_base_checklists&amp;tblOrdenes[[#This Row],[link_checklist]],"abrir"))</f>
        <v/>
      </c>
      <c r="AP1065" s="6" t="n"/>
      <c r="AQ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3">
        <f>IF(tblOrdenes[[#This Row],[tipo_ot]]="","",_xlfn.XLOOKUP(tblOrdenes[[#This Row],[tipo_ot]],tblTiposOT[codigo],tblTiposOT[clasificacion],"sin_clasificar"))</f>
        <v/>
      </c>
      <c r="U1066" s="3">
        <f>IF(tblOrdenes[[#This Row],[centro_costo]]="","",_xlfn.XLOOKUP(tblOrdenes[[#This Row],[centro_costo]],tblCECO[codigo],tblCECO[linea],"(sin catálogo)"))</f>
        <v/>
      </c>
      <c r="V1066" s="3">
        <f>IF(tblOrdenes[[#This Row],[centro_costo]]="","",_xlfn.XLOOKUP(tblOrdenes[[#This Row],[centro_costo]],tblCECO[codigo],tblCECO[area],"(sin catálogo)"))</f>
        <v/>
      </c>
      <c r="W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3">
        <f>IF(tblOrdenes[[#This Row],[centro_costo]]="","",_xlfn.XLOOKUP(tblOrdenes[[#This Row],[centro_costo]],tblCECO[codigo],tblCECO[coordinador],"(sin catálogo)"))</f>
        <v/>
      </c>
      <c r="Y1066" s="3">
        <f>IF(tblOrdenes[[#This Row],[puesto_trabajo]]="","",_xlfn.XLOOKUP(tblOrdenes[[#This Row],[puesto_trabajo]],tblPuestos[codigo],tblPuestos[especialidad],"(sin catálogo)"))</f>
        <v/>
      </c>
      <c r="Z1066" s="3">
        <f>IF(tblOrdenes[[#This Row],[cod_actividad]]="","",_xlfn.XLOOKUP(tblOrdenes[[#This Row],[cod_actividad]],tblActividades[codigo],tblActividades[descripcion],"(sin catálogo)"))</f>
        <v/>
      </c>
      <c r="AA1066" s="12">
        <f>IF(tblOrdenes[[#This Row],[fecha_inicio]]="","",TODAY()-tblOrdenes[[#This Row],[fecha_inicio]])</f>
        <v/>
      </c>
      <c r="AB10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3">
        <f>IF(tblOrdenes[[#This Row],[backlog_habiles]]="","",IF(tblOrdenes[[#This Row],[backlog_habiles]]&lt;0,"FUTURO",IF(tblOrdenes[[#This Row],[backlog_habiles]]&gt;p_dias_backlog_max,"BACKLOG","MES CORRIENTE")))</f>
        <v/>
      </c>
      <c r="AD1066" s="3">
        <f>IF(tblOrdenes[[#This Row],[backlog_habiles]]="",FALSE,AND(tblOrdenes[[#This Row],[backlog_habiles]]&gt;p_dias_backlog_min,tblOrdenes[[#This Row],[backlog_habiles]]&lt;=p_dias_backlog_max))</f>
        <v/>
      </c>
      <c r="AE1066" s="6" t="n"/>
      <c r="AF10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0">
        <f>IF(tblOrdenes[[#This Row],[orden]]="","",_xlfn.XLOOKUP(tblOrdenes[[#This Row],[id_operacion]],tblEjecucion[id_operacion],tblEjecucion[precio],0))</f>
        <v/>
      </c>
      <c r="AJ1066" s="10">
        <f>IF(tblOrdenes[[#This Row],[orden]]="","",MAX(0,_xlfn.XLOOKUP(tblOrdenes[[#This Row],[id_operacion]],tblEjecucion[id_operacion],tblEjecucion[costo_plan_total],0)-tblOrdenes[[#This Row],[costo_servicio]]))</f>
        <v/>
      </c>
      <c r="AK1066" s="10">
        <f>IF(tblOrdenes[[#This Row],[orden]]="","",tblOrdenes[[#This Row],[costo_servicio]]+tblOrdenes[[#This Row],[costo_materiales]])</f>
        <v/>
      </c>
      <c r="AL1066" s="6" t="n"/>
      <c r="AM1066" s="6" t="n"/>
      <c r="AN1066" s="6" t="n"/>
      <c r="AO1066" s="3">
        <f>IF(tblOrdenes[[#This Row],[link_checklist]]="","",HYPERLINK(p_ruta_base_checklists&amp;tblOrdenes[[#This Row],[link_checklist]],"abrir"))</f>
        <v/>
      </c>
      <c r="AP1066" s="6" t="n"/>
      <c r="AQ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3">
        <f>IF(tblOrdenes[[#This Row],[tipo_ot]]="","",_xlfn.XLOOKUP(tblOrdenes[[#This Row],[tipo_ot]],tblTiposOT[codigo],tblTiposOT[clasificacion],"sin_clasificar"))</f>
        <v/>
      </c>
      <c r="U1067" s="3">
        <f>IF(tblOrdenes[[#This Row],[centro_costo]]="","",_xlfn.XLOOKUP(tblOrdenes[[#This Row],[centro_costo]],tblCECO[codigo],tblCECO[linea],"(sin catálogo)"))</f>
        <v/>
      </c>
      <c r="V1067" s="3">
        <f>IF(tblOrdenes[[#This Row],[centro_costo]]="","",_xlfn.XLOOKUP(tblOrdenes[[#This Row],[centro_costo]],tblCECO[codigo],tblCECO[area],"(sin catálogo)"))</f>
        <v/>
      </c>
      <c r="W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3">
        <f>IF(tblOrdenes[[#This Row],[centro_costo]]="","",_xlfn.XLOOKUP(tblOrdenes[[#This Row],[centro_costo]],tblCECO[codigo],tblCECO[coordinador],"(sin catálogo)"))</f>
        <v/>
      </c>
      <c r="Y1067" s="3">
        <f>IF(tblOrdenes[[#This Row],[puesto_trabajo]]="","",_xlfn.XLOOKUP(tblOrdenes[[#This Row],[puesto_trabajo]],tblPuestos[codigo],tblPuestos[especialidad],"(sin catálogo)"))</f>
        <v/>
      </c>
      <c r="Z1067" s="3">
        <f>IF(tblOrdenes[[#This Row],[cod_actividad]]="","",_xlfn.XLOOKUP(tblOrdenes[[#This Row],[cod_actividad]],tblActividades[codigo],tblActividades[descripcion],"(sin catálogo)"))</f>
        <v/>
      </c>
      <c r="AA1067" s="12">
        <f>IF(tblOrdenes[[#This Row],[fecha_inicio]]="","",TODAY()-tblOrdenes[[#This Row],[fecha_inicio]])</f>
        <v/>
      </c>
      <c r="AB10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3">
        <f>IF(tblOrdenes[[#This Row],[backlog_habiles]]="","",IF(tblOrdenes[[#This Row],[backlog_habiles]]&lt;0,"FUTURO",IF(tblOrdenes[[#This Row],[backlog_habiles]]&gt;p_dias_backlog_max,"BACKLOG","MES CORRIENTE")))</f>
        <v/>
      </c>
      <c r="AD1067" s="3">
        <f>IF(tblOrdenes[[#This Row],[backlog_habiles]]="",FALSE,AND(tblOrdenes[[#This Row],[backlog_habiles]]&gt;p_dias_backlog_min,tblOrdenes[[#This Row],[backlog_habiles]]&lt;=p_dias_backlog_max))</f>
        <v/>
      </c>
      <c r="AE1067" s="6" t="n"/>
      <c r="AF10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0">
        <f>IF(tblOrdenes[[#This Row],[orden]]="","",_xlfn.XLOOKUP(tblOrdenes[[#This Row],[id_operacion]],tblEjecucion[id_operacion],tblEjecucion[precio],0))</f>
        <v/>
      </c>
      <c r="AJ1067" s="10">
        <f>IF(tblOrdenes[[#This Row],[orden]]="","",MAX(0,_xlfn.XLOOKUP(tblOrdenes[[#This Row],[id_operacion]],tblEjecucion[id_operacion],tblEjecucion[costo_plan_total],0)-tblOrdenes[[#This Row],[costo_servicio]]))</f>
        <v/>
      </c>
      <c r="AK1067" s="10">
        <f>IF(tblOrdenes[[#This Row],[orden]]="","",tblOrdenes[[#This Row],[costo_servicio]]+tblOrdenes[[#This Row],[costo_materiales]])</f>
        <v/>
      </c>
      <c r="AL1067" s="6" t="n"/>
      <c r="AM1067" s="6" t="n"/>
      <c r="AN1067" s="6" t="n"/>
      <c r="AO1067" s="3">
        <f>IF(tblOrdenes[[#This Row],[link_checklist]]="","",HYPERLINK(p_ruta_base_checklists&amp;tblOrdenes[[#This Row],[link_checklist]],"abrir"))</f>
        <v/>
      </c>
      <c r="AP1067" s="6" t="n"/>
      <c r="AQ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3">
        <f>IF(tblOrdenes[[#This Row],[tipo_ot]]="","",_xlfn.XLOOKUP(tblOrdenes[[#This Row],[tipo_ot]],tblTiposOT[codigo],tblTiposOT[clasificacion],"sin_clasificar"))</f>
        <v/>
      </c>
      <c r="U1068" s="3">
        <f>IF(tblOrdenes[[#This Row],[centro_costo]]="","",_xlfn.XLOOKUP(tblOrdenes[[#This Row],[centro_costo]],tblCECO[codigo],tblCECO[linea],"(sin catálogo)"))</f>
        <v/>
      </c>
      <c r="V1068" s="3">
        <f>IF(tblOrdenes[[#This Row],[centro_costo]]="","",_xlfn.XLOOKUP(tblOrdenes[[#This Row],[centro_costo]],tblCECO[codigo],tblCECO[area],"(sin catálogo)"))</f>
        <v/>
      </c>
      <c r="W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3">
        <f>IF(tblOrdenes[[#This Row],[centro_costo]]="","",_xlfn.XLOOKUP(tblOrdenes[[#This Row],[centro_costo]],tblCECO[codigo],tblCECO[coordinador],"(sin catálogo)"))</f>
        <v/>
      </c>
      <c r="Y1068" s="3">
        <f>IF(tblOrdenes[[#This Row],[puesto_trabajo]]="","",_xlfn.XLOOKUP(tblOrdenes[[#This Row],[puesto_trabajo]],tblPuestos[codigo],tblPuestos[especialidad],"(sin catálogo)"))</f>
        <v/>
      </c>
      <c r="Z1068" s="3">
        <f>IF(tblOrdenes[[#This Row],[cod_actividad]]="","",_xlfn.XLOOKUP(tblOrdenes[[#This Row],[cod_actividad]],tblActividades[codigo],tblActividades[descripcion],"(sin catálogo)"))</f>
        <v/>
      </c>
      <c r="AA1068" s="12">
        <f>IF(tblOrdenes[[#This Row],[fecha_inicio]]="","",TODAY()-tblOrdenes[[#This Row],[fecha_inicio]])</f>
        <v/>
      </c>
      <c r="AB10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3">
        <f>IF(tblOrdenes[[#This Row],[backlog_habiles]]="","",IF(tblOrdenes[[#This Row],[backlog_habiles]]&lt;0,"FUTURO",IF(tblOrdenes[[#This Row],[backlog_habiles]]&gt;p_dias_backlog_max,"BACKLOG","MES CORRIENTE")))</f>
        <v/>
      </c>
      <c r="AD1068" s="3">
        <f>IF(tblOrdenes[[#This Row],[backlog_habiles]]="",FALSE,AND(tblOrdenes[[#This Row],[backlog_habiles]]&gt;p_dias_backlog_min,tblOrdenes[[#This Row],[backlog_habiles]]&lt;=p_dias_backlog_max))</f>
        <v/>
      </c>
      <c r="AE1068" s="6" t="n"/>
      <c r="AF10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0">
        <f>IF(tblOrdenes[[#This Row],[orden]]="","",_xlfn.XLOOKUP(tblOrdenes[[#This Row],[id_operacion]],tblEjecucion[id_operacion],tblEjecucion[precio],0))</f>
        <v/>
      </c>
      <c r="AJ1068" s="10">
        <f>IF(tblOrdenes[[#This Row],[orden]]="","",MAX(0,_xlfn.XLOOKUP(tblOrdenes[[#This Row],[id_operacion]],tblEjecucion[id_operacion],tblEjecucion[costo_plan_total],0)-tblOrdenes[[#This Row],[costo_servicio]]))</f>
        <v/>
      </c>
      <c r="AK1068" s="10">
        <f>IF(tblOrdenes[[#This Row],[orden]]="","",tblOrdenes[[#This Row],[costo_servicio]]+tblOrdenes[[#This Row],[costo_materiales]])</f>
        <v/>
      </c>
      <c r="AL1068" s="6" t="n"/>
      <c r="AM1068" s="6" t="n"/>
      <c r="AN1068" s="6" t="n"/>
      <c r="AO1068" s="3">
        <f>IF(tblOrdenes[[#This Row],[link_checklist]]="","",HYPERLINK(p_ruta_base_checklists&amp;tblOrdenes[[#This Row],[link_checklist]],"abrir"))</f>
        <v/>
      </c>
      <c r="AP1068" s="6" t="n"/>
      <c r="AQ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3">
        <f>IF(tblOrdenes[[#This Row],[tipo_ot]]="","",_xlfn.XLOOKUP(tblOrdenes[[#This Row],[tipo_ot]],tblTiposOT[codigo],tblTiposOT[clasificacion],"sin_clasificar"))</f>
        <v/>
      </c>
      <c r="U1069" s="3">
        <f>IF(tblOrdenes[[#This Row],[centro_costo]]="","",_xlfn.XLOOKUP(tblOrdenes[[#This Row],[centro_costo]],tblCECO[codigo],tblCECO[linea],"(sin catálogo)"))</f>
        <v/>
      </c>
      <c r="V1069" s="3">
        <f>IF(tblOrdenes[[#This Row],[centro_costo]]="","",_xlfn.XLOOKUP(tblOrdenes[[#This Row],[centro_costo]],tblCECO[codigo],tblCECO[area],"(sin catálogo)"))</f>
        <v/>
      </c>
      <c r="W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3">
        <f>IF(tblOrdenes[[#This Row],[centro_costo]]="","",_xlfn.XLOOKUP(tblOrdenes[[#This Row],[centro_costo]],tblCECO[codigo],tblCECO[coordinador],"(sin catálogo)"))</f>
        <v/>
      </c>
      <c r="Y1069" s="3">
        <f>IF(tblOrdenes[[#This Row],[puesto_trabajo]]="","",_xlfn.XLOOKUP(tblOrdenes[[#This Row],[puesto_trabajo]],tblPuestos[codigo],tblPuestos[especialidad],"(sin catálogo)"))</f>
        <v/>
      </c>
      <c r="Z1069" s="3">
        <f>IF(tblOrdenes[[#This Row],[cod_actividad]]="","",_xlfn.XLOOKUP(tblOrdenes[[#This Row],[cod_actividad]],tblActividades[codigo],tblActividades[descripcion],"(sin catálogo)"))</f>
        <v/>
      </c>
      <c r="AA1069" s="12">
        <f>IF(tblOrdenes[[#This Row],[fecha_inicio]]="","",TODAY()-tblOrdenes[[#This Row],[fecha_inicio]])</f>
        <v/>
      </c>
      <c r="AB10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3">
        <f>IF(tblOrdenes[[#This Row],[backlog_habiles]]="","",IF(tblOrdenes[[#This Row],[backlog_habiles]]&lt;0,"FUTURO",IF(tblOrdenes[[#This Row],[backlog_habiles]]&gt;p_dias_backlog_max,"BACKLOG","MES CORRIENTE")))</f>
        <v/>
      </c>
      <c r="AD1069" s="3">
        <f>IF(tblOrdenes[[#This Row],[backlog_habiles]]="",FALSE,AND(tblOrdenes[[#This Row],[backlog_habiles]]&gt;p_dias_backlog_min,tblOrdenes[[#This Row],[backlog_habiles]]&lt;=p_dias_backlog_max))</f>
        <v/>
      </c>
      <c r="AE1069" s="6" t="n"/>
      <c r="AF10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0">
        <f>IF(tblOrdenes[[#This Row],[orden]]="","",_xlfn.XLOOKUP(tblOrdenes[[#This Row],[id_operacion]],tblEjecucion[id_operacion],tblEjecucion[precio],0))</f>
        <v/>
      </c>
      <c r="AJ1069" s="10">
        <f>IF(tblOrdenes[[#This Row],[orden]]="","",MAX(0,_xlfn.XLOOKUP(tblOrdenes[[#This Row],[id_operacion]],tblEjecucion[id_operacion],tblEjecucion[costo_plan_total],0)-tblOrdenes[[#This Row],[costo_servicio]]))</f>
        <v/>
      </c>
      <c r="AK1069" s="10">
        <f>IF(tblOrdenes[[#This Row],[orden]]="","",tblOrdenes[[#This Row],[costo_servicio]]+tblOrdenes[[#This Row],[costo_materiales]])</f>
        <v/>
      </c>
      <c r="AL1069" s="6" t="n"/>
      <c r="AM1069" s="6" t="n"/>
      <c r="AN1069" s="6" t="n"/>
      <c r="AO1069" s="3">
        <f>IF(tblOrdenes[[#This Row],[link_checklist]]="","",HYPERLINK(p_ruta_base_checklists&amp;tblOrdenes[[#This Row],[link_checklist]],"abrir"))</f>
        <v/>
      </c>
      <c r="AP1069" s="6" t="n"/>
      <c r="AQ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3">
        <f>IF(tblOrdenes[[#This Row],[tipo_ot]]="","",_xlfn.XLOOKUP(tblOrdenes[[#This Row],[tipo_ot]],tblTiposOT[codigo],tblTiposOT[clasificacion],"sin_clasificar"))</f>
        <v/>
      </c>
      <c r="U1070" s="3">
        <f>IF(tblOrdenes[[#This Row],[centro_costo]]="","",_xlfn.XLOOKUP(tblOrdenes[[#This Row],[centro_costo]],tblCECO[codigo],tblCECO[linea],"(sin catálogo)"))</f>
        <v/>
      </c>
      <c r="V1070" s="3">
        <f>IF(tblOrdenes[[#This Row],[centro_costo]]="","",_xlfn.XLOOKUP(tblOrdenes[[#This Row],[centro_costo]],tblCECO[codigo],tblCECO[area],"(sin catálogo)"))</f>
        <v/>
      </c>
      <c r="W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3">
        <f>IF(tblOrdenes[[#This Row],[centro_costo]]="","",_xlfn.XLOOKUP(tblOrdenes[[#This Row],[centro_costo]],tblCECO[codigo],tblCECO[coordinador],"(sin catálogo)"))</f>
        <v/>
      </c>
      <c r="Y1070" s="3">
        <f>IF(tblOrdenes[[#This Row],[puesto_trabajo]]="","",_xlfn.XLOOKUP(tblOrdenes[[#This Row],[puesto_trabajo]],tblPuestos[codigo],tblPuestos[especialidad],"(sin catálogo)"))</f>
        <v/>
      </c>
      <c r="Z1070" s="3">
        <f>IF(tblOrdenes[[#This Row],[cod_actividad]]="","",_xlfn.XLOOKUP(tblOrdenes[[#This Row],[cod_actividad]],tblActividades[codigo],tblActividades[descripcion],"(sin catálogo)"))</f>
        <v/>
      </c>
      <c r="AA1070" s="12">
        <f>IF(tblOrdenes[[#This Row],[fecha_inicio]]="","",TODAY()-tblOrdenes[[#This Row],[fecha_inicio]])</f>
        <v/>
      </c>
      <c r="AB10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3">
        <f>IF(tblOrdenes[[#This Row],[backlog_habiles]]="","",IF(tblOrdenes[[#This Row],[backlog_habiles]]&lt;0,"FUTURO",IF(tblOrdenes[[#This Row],[backlog_habiles]]&gt;p_dias_backlog_max,"BACKLOG","MES CORRIENTE")))</f>
        <v/>
      </c>
      <c r="AD1070" s="3">
        <f>IF(tblOrdenes[[#This Row],[backlog_habiles]]="",FALSE,AND(tblOrdenes[[#This Row],[backlog_habiles]]&gt;p_dias_backlog_min,tblOrdenes[[#This Row],[backlog_habiles]]&lt;=p_dias_backlog_max))</f>
        <v/>
      </c>
      <c r="AE1070" s="6" t="n"/>
      <c r="AF10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0">
        <f>IF(tblOrdenes[[#This Row],[orden]]="","",_xlfn.XLOOKUP(tblOrdenes[[#This Row],[id_operacion]],tblEjecucion[id_operacion],tblEjecucion[precio],0))</f>
        <v/>
      </c>
      <c r="AJ1070" s="10">
        <f>IF(tblOrdenes[[#This Row],[orden]]="","",MAX(0,_xlfn.XLOOKUP(tblOrdenes[[#This Row],[id_operacion]],tblEjecucion[id_operacion],tblEjecucion[costo_plan_total],0)-tblOrdenes[[#This Row],[costo_servicio]]))</f>
        <v/>
      </c>
      <c r="AK1070" s="10">
        <f>IF(tblOrdenes[[#This Row],[orden]]="","",tblOrdenes[[#This Row],[costo_servicio]]+tblOrdenes[[#This Row],[costo_materiales]])</f>
        <v/>
      </c>
      <c r="AL1070" s="6" t="n"/>
      <c r="AM1070" s="6" t="n"/>
      <c r="AN1070" s="6" t="n"/>
      <c r="AO1070" s="3">
        <f>IF(tblOrdenes[[#This Row],[link_checklist]]="","",HYPERLINK(p_ruta_base_checklists&amp;tblOrdenes[[#This Row],[link_checklist]],"abrir"))</f>
        <v/>
      </c>
      <c r="AP1070" s="6" t="n"/>
      <c r="AQ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3">
        <f>IF(tblOrdenes[[#This Row],[tipo_ot]]="","",_xlfn.XLOOKUP(tblOrdenes[[#This Row],[tipo_ot]],tblTiposOT[codigo],tblTiposOT[clasificacion],"sin_clasificar"))</f>
        <v/>
      </c>
      <c r="U1071" s="3">
        <f>IF(tblOrdenes[[#This Row],[centro_costo]]="","",_xlfn.XLOOKUP(tblOrdenes[[#This Row],[centro_costo]],tblCECO[codigo],tblCECO[linea],"(sin catálogo)"))</f>
        <v/>
      </c>
      <c r="V1071" s="3">
        <f>IF(tblOrdenes[[#This Row],[centro_costo]]="","",_xlfn.XLOOKUP(tblOrdenes[[#This Row],[centro_costo]],tblCECO[codigo],tblCECO[area],"(sin catálogo)"))</f>
        <v/>
      </c>
      <c r="W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3">
        <f>IF(tblOrdenes[[#This Row],[centro_costo]]="","",_xlfn.XLOOKUP(tblOrdenes[[#This Row],[centro_costo]],tblCECO[codigo],tblCECO[coordinador],"(sin catálogo)"))</f>
        <v/>
      </c>
      <c r="Y1071" s="3">
        <f>IF(tblOrdenes[[#This Row],[puesto_trabajo]]="","",_xlfn.XLOOKUP(tblOrdenes[[#This Row],[puesto_trabajo]],tblPuestos[codigo],tblPuestos[especialidad],"(sin catálogo)"))</f>
        <v/>
      </c>
      <c r="Z1071" s="3">
        <f>IF(tblOrdenes[[#This Row],[cod_actividad]]="","",_xlfn.XLOOKUP(tblOrdenes[[#This Row],[cod_actividad]],tblActividades[codigo],tblActividades[descripcion],"(sin catálogo)"))</f>
        <v/>
      </c>
      <c r="AA1071" s="12">
        <f>IF(tblOrdenes[[#This Row],[fecha_inicio]]="","",TODAY()-tblOrdenes[[#This Row],[fecha_inicio]])</f>
        <v/>
      </c>
      <c r="AB10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3">
        <f>IF(tblOrdenes[[#This Row],[backlog_habiles]]="","",IF(tblOrdenes[[#This Row],[backlog_habiles]]&lt;0,"FUTURO",IF(tblOrdenes[[#This Row],[backlog_habiles]]&gt;p_dias_backlog_max,"BACKLOG","MES CORRIENTE")))</f>
        <v/>
      </c>
      <c r="AD1071" s="3">
        <f>IF(tblOrdenes[[#This Row],[backlog_habiles]]="",FALSE,AND(tblOrdenes[[#This Row],[backlog_habiles]]&gt;p_dias_backlog_min,tblOrdenes[[#This Row],[backlog_habiles]]&lt;=p_dias_backlog_max))</f>
        <v/>
      </c>
      <c r="AE1071" s="6" t="n"/>
      <c r="AF10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0">
        <f>IF(tblOrdenes[[#This Row],[orden]]="","",_xlfn.XLOOKUP(tblOrdenes[[#This Row],[id_operacion]],tblEjecucion[id_operacion],tblEjecucion[precio],0))</f>
        <v/>
      </c>
      <c r="AJ1071" s="10">
        <f>IF(tblOrdenes[[#This Row],[orden]]="","",MAX(0,_xlfn.XLOOKUP(tblOrdenes[[#This Row],[id_operacion]],tblEjecucion[id_operacion],tblEjecucion[costo_plan_total],0)-tblOrdenes[[#This Row],[costo_servicio]]))</f>
        <v/>
      </c>
      <c r="AK1071" s="10">
        <f>IF(tblOrdenes[[#This Row],[orden]]="","",tblOrdenes[[#This Row],[costo_servicio]]+tblOrdenes[[#This Row],[costo_materiales]])</f>
        <v/>
      </c>
      <c r="AL1071" s="6" t="n"/>
      <c r="AM1071" s="6" t="n"/>
      <c r="AN1071" s="6" t="n"/>
      <c r="AO1071" s="3">
        <f>IF(tblOrdenes[[#This Row],[link_checklist]]="","",HYPERLINK(p_ruta_base_checklists&amp;tblOrdenes[[#This Row],[link_checklist]],"abrir"))</f>
        <v/>
      </c>
      <c r="AP1071" s="6" t="n"/>
      <c r="AQ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3">
        <f>IF(tblOrdenes[[#This Row],[tipo_ot]]="","",_xlfn.XLOOKUP(tblOrdenes[[#This Row],[tipo_ot]],tblTiposOT[codigo],tblTiposOT[clasificacion],"sin_clasificar"))</f>
        <v/>
      </c>
      <c r="U1072" s="3">
        <f>IF(tblOrdenes[[#This Row],[centro_costo]]="","",_xlfn.XLOOKUP(tblOrdenes[[#This Row],[centro_costo]],tblCECO[codigo],tblCECO[linea],"(sin catálogo)"))</f>
        <v/>
      </c>
      <c r="V1072" s="3">
        <f>IF(tblOrdenes[[#This Row],[centro_costo]]="","",_xlfn.XLOOKUP(tblOrdenes[[#This Row],[centro_costo]],tblCECO[codigo],tblCECO[area],"(sin catálogo)"))</f>
        <v/>
      </c>
      <c r="W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3">
        <f>IF(tblOrdenes[[#This Row],[centro_costo]]="","",_xlfn.XLOOKUP(tblOrdenes[[#This Row],[centro_costo]],tblCECO[codigo],tblCECO[coordinador],"(sin catálogo)"))</f>
        <v/>
      </c>
      <c r="Y1072" s="3">
        <f>IF(tblOrdenes[[#This Row],[puesto_trabajo]]="","",_xlfn.XLOOKUP(tblOrdenes[[#This Row],[puesto_trabajo]],tblPuestos[codigo],tblPuestos[especialidad],"(sin catálogo)"))</f>
        <v/>
      </c>
      <c r="Z1072" s="3">
        <f>IF(tblOrdenes[[#This Row],[cod_actividad]]="","",_xlfn.XLOOKUP(tblOrdenes[[#This Row],[cod_actividad]],tblActividades[codigo],tblActividades[descripcion],"(sin catálogo)"))</f>
        <v/>
      </c>
      <c r="AA1072" s="12">
        <f>IF(tblOrdenes[[#This Row],[fecha_inicio]]="","",TODAY()-tblOrdenes[[#This Row],[fecha_inicio]])</f>
        <v/>
      </c>
      <c r="AB10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3">
        <f>IF(tblOrdenes[[#This Row],[backlog_habiles]]="","",IF(tblOrdenes[[#This Row],[backlog_habiles]]&lt;0,"FUTURO",IF(tblOrdenes[[#This Row],[backlog_habiles]]&gt;p_dias_backlog_max,"BACKLOG","MES CORRIENTE")))</f>
        <v/>
      </c>
      <c r="AD1072" s="3">
        <f>IF(tblOrdenes[[#This Row],[backlog_habiles]]="",FALSE,AND(tblOrdenes[[#This Row],[backlog_habiles]]&gt;p_dias_backlog_min,tblOrdenes[[#This Row],[backlog_habiles]]&lt;=p_dias_backlog_max))</f>
        <v/>
      </c>
      <c r="AE1072" s="6" t="n"/>
      <c r="AF10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0">
        <f>IF(tblOrdenes[[#This Row],[orden]]="","",_xlfn.XLOOKUP(tblOrdenes[[#This Row],[id_operacion]],tblEjecucion[id_operacion],tblEjecucion[precio],0))</f>
        <v/>
      </c>
      <c r="AJ1072" s="10">
        <f>IF(tblOrdenes[[#This Row],[orden]]="","",MAX(0,_xlfn.XLOOKUP(tblOrdenes[[#This Row],[id_operacion]],tblEjecucion[id_operacion],tblEjecucion[costo_plan_total],0)-tblOrdenes[[#This Row],[costo_servicio]]))</f>
        <v/>
      </c>
      <c r="AK1072" s="10">
        <f>IF(tblOrdenes[[#This Row],[orden]]="","",tblOrdenes[[#This Row],[costo_servicio]]+tblOrdenes[[#This Row],[costo_materiales]])</f>
        <v/>
      </c>
      <c r="AL1072" s="6" t="n"/>
      <c r="AM1072" s="6" t="n"/>
      <c r="AN1072" s="6" t="n"/>
      <c r="AO1072" s="3">
        <f>IF(tblOrdenes[[#This Row],[link_checklist]]="","",HYPERLINK(p_ruta_base_checklists&amp;tblOrdenes[[#This Row],[link_checklist]],"abrir"))</f>
        <v/>
      </c>
      <c r="AP1072" s="6" t="n"/>
      <c r="AQ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3">
        <f>IF(tblOrdenes[[#This Row],[tipo_ot]]="","",_xlfn.XLOOKUP(tblOrdenes[[#This Row],[tipo_ot]],tblTiposOT[codigo],tblTiposOT[clasificacion],"sin_clasificar"))</f>
        <v/>
      </c>
      <c r="U1073" s="3">
        <f>IF(tblOrdenes[[#This Row],[centro_costo]]="","",_xlfn.XLOOKUP(tblOrdenes[[#This Row],[centro_costo]],tblCECO[codigo],tblCECO[linea],"(sin catálogo)"))</f>
        <v/>
      </c>
      <c r="V1073" s="3">
        <f>IF(tblOrdenes[[#This Row],[centro_costo]]="","",_xlfn.XLOOKUP(tblOrdenes[[#This Row],[centro_costo]],tblCECO[codigo],tblCECO[area],"(sin catálogo)"))</f>
        <v/>
      </c>
      <c r="W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3">
        <f>IF(tblOrdenes[[#This Row],[centro_costo]]="","",_xlfn.XLOOKUP(tblOrdenes[[#This Row],[centro_costo]],tblCECO[codigo],tblCECO[coordinador],"(sin catálogo)"))</f>
        <v/>
      </c>
      <c r="Y1073" s="3">
        <f>IF(tblOrdenes[[#This Row],[puesto_trabajo]]="","",_xlfn.XLOOKUP(tblOrdenes[[#This Row],[puesto_trabajo]],tblPuestos[codigo],tblPuestos[especialidad],"(sin catálogo)"))</f>
        <v/>
      </c>
      <c r="Z1073" s="3">
        <f>IF(tblOrdenes[[#This Row],[cod_actividad]]="","",_xlfn.XLOOKUP(tblOrdenes[[#This Row],[cod_actividad]],tblActividades[codigo],tblActividades[descripcion],"(sin catálogo)"))</f>
        <v/>
      </c>
      <c r="AA1073" s="12">
        <f>IF(tblOrdenes[[#This Row],[fecha_inicio]]="","",TODAY()-tblOrdenes[[#This Row],[fecha_inicio]])</f>
        <v/>
      </c>
      <c r="AB10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3">
        <f>IF(tblOrdenes[[#This Row],[backlog_habiles]]="","",IF(tblOrdenes[[#This Row],[backlog_habiles]]&lt;0,"FUTURO",IF(tblOrdenes[[#This Row],[backlog_habiles]]&gt;p_dias_backlog_max,"BACKLOG","MES CORRIENTE")))</f>
        <v/>
      </c>
      <c r="AD1073" s="3">
        <f>IF(tblOrdenes[[#This Row],[backlog_habiles]]="",FALSE,AND(tblOrdenes[[#This Row],[backlog_habiles]]&gt;p_dias_backlog_min,tblOrdenes[[#This Row],[backlog_habiles]]&lt;=p_dias_backlog_max))</f>
        <v/>
      </c>
      <c r="AE1073" s="6" t="n"/>
      <c r="AF10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0">
        <f>IF(tblOrdenes[[#This Row],[orden]]="","",_xlfn.XLOOKUP(tblOrdenes[[#This Row],[id_operacion]],tblEjecucion[id_operacion],tblEjecucion[precio],0))</f>
        <v/>
      </c>
      <c r="AJ1073" s="10">
        <f>IF(tblOrdenes[[#This Row],[orden]]="","",MAX(0,_xlfn.XLOOKUP(tblOrdenes[[#This Row],[id_operacion]],tblEjecucion[id_operacion],tblEjecucion[costo_plan_total],0)-tblOrdenes[[#This Row],[costo_servicio]]))</f>
        <v/>
      </c>
      <c r="AK1073" s="10">
        <f>IF(tblOrdenes[[#This Row],[orden]]="","",tblOrdenes[[#This Row],[costo_servicio]]+tblOrdenes[[#This Row],[costo_materiales]])</f>
        <v/>
      </c>
      <c r="AL1073" s="6" t="n"/>
      <c r="AM1073" s="6" t="n"/>
      <c r="AN1073" s="6" t="n"/>
      <c r="AO1073" s="3">
        <f>IF(tblOrdenes[[#This Row],[link_checklist]]="","",HYPERLINK(p_ruta_base_checklists&amp;tblOrdenes[[#This Row],[link_checklist]],"abrir"))</f>
        <v/>
      </c>
      <c r="AP1073" s="6" t="n"/>
      <c r="AQ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3">
        <f>IF(tblOrdenes[[#This Row],[tipo_ot]]="","",_xlfn.XLOOKUP(tblOrdenes[[#This Row],[tipo_ot]],tblTiposOT[codigo],tblTiposOT[clasificacion],"sin_clasificar"))</f>
        <v/>
      </c>
      <c r="U1074" s="3">
        <f>IF(tblOrdenes[[#This Row],[centro_costo]]="","",_xlfn.XLOOKUP(tblOrdenes[[#This Row],[centro_costo]],tblCECO[codigo],tblCECO[linea],"(sin catálogo)"))</f>
        <v/>
      </c>
      <c r="V1074" s="3">
        <f>IF(tblOrdenes[[#This Row],[centro_costo]]="","",_xlfn.XLOOKUP(tblOrdenes[[#This Row],[centro_costo]],tblCECO[codigo],tblCECO[area],"(sin catálogo)"))</f>
        <v/>
      </c>
      <c r="W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3">
        <f>IF(tblOrdenes[[#This Row],[centro_costo]]="","",_xlfn.XLOOKUP(tblOrdenes[[#This Row],[centro_costo]],tblCECO[codigo],tblCECO[coordinador],"(sin catálogo)"))</f>
        <v/>
      </c>
      <c r="Y1074" s="3">
        <f>IF(tblOrdenes[[#This Row],[puesto_trabajo]]="","",_xlfn.XLOOKUP(tblOrdenes[[#This Row],[puesto_trabajo]],tblPuestos[codigo],tblPuestos[especialidad],"(sin catálogo)"))</f>
        <v/>
      </c>
      <c r="Z1074" s="3">
        <f>IF(tblOrdenes[[#This Row],[cod_actividad]]="","",_xlfn.XLOOKUP(tblOrdenes[[#This Row],[cod_actividad]],tblActividades[codigo],tblActividades[descripcion],"(sin catálogo)"))</f>
        <v/>
      </c>
      <c r="AA1074" s="12">
        <f>IF(tblOrdenes[[#This Row],[fecha_inicio]]="","",TODAY()-tblOrdenes[[#This Row],[fecha_inicio]])</f>
        <v/>
      </c>
      <c r="AB10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3">
        <f>IF(tblOrdenes[[#This Row],[backlog_habiles]]="","",IF(tblOrdenes[[#This Row],[backlog_habiles]]&lt;0,"FUTURO",IF(tblOrdenes[[#This Row],[backlog_habiles]]&gt;p_dias_backlog_max,"BACKLOG","MES CORRIENTE")))</f>
        <v/>
      </c>
      <c r="AD1074" s="3">
        <f>IF(tblOrdenes[[#This Row],[backlog_habiles]]="",FALSE,AND(tblOrdenes[[#This Row],[backlog_habiles]]&gt;p_dias_backlog_min,tblOrdenes[[#This Row],[backlog_habiles]]&lt;=p_dias_backlog_max))</f>
        <v/>
      </c>
      <c r="AE1074" s="6" t="n"/>
      <c r="AF10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0">
        <f>IF(tblOrdenes[[#This Row],[orden]]="","",_xlfn.XLOOKUP(tblOrdenes[[#This Row],[id_operacion]],tblEjecucion[id_operacion],tblEjecucion[precio],0))</f>
        <v/>
      </c>
      <c r="AJ1074" s="10">
        <f>IF(tblOrdenes[[#This Row],[orden]]="","",MAX(0,_xlfn.XLOOKUP(tblOrdenes[[#This Row],[id_operacion]],tblEjecucion[id_operacion],tblEjecucion[costo_plan_total],0)-tblOrdenes[[#This Row],[costo_servicio]]))</f>
        <v/>
      </c>
      <c r="AK1074" s="10">
        <f>IF(tblOrdenes[[#This Row],[orden]]="","",tblOrdenes[[#This Row],[costo_servicio]]+tblOrdenes[[#This Row],[costo_materiales]])</f>
        <v/>
      </c>
      <c r="AL1074" s="6" t="n"/>
      <c r="AM1074" s="6" t="n"/>
      <c r="AN1074" s="6" t="n"/>
      <c r="AO1074" s="3">
        <f>IF(tblOrdenes[[#This Row],[link_checklist]]="","",HYPERLINK(p_ruta_base_checklists&amp;tblOrdenes[[#This Row],[link_checklist]],"abrir"))</f>
        <v/>
      </c>
      <c r="AP1074" s="6" t="n"/>
      <c r="AQ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3">
        <f>IF(tblOrdenes[[#This Row],[tipo_ot]]="","",_xlfn.XLOOKUP(tblOrdenes[[#This Row],[tipo_ot]],tblTiposOT[codigo],tblTiposOT[clasificacion],"sin_clasificar"))</f>
        <v/>
      </c>
      <c r="U1075" s="3">
        <f>IF(tblOrdenes[[#This Row],[centro_costo]]="","",_xlfn.XLOOKUP(tblOrdenes[[#This Row],[centro_costo]],tblCECO[codigo],tblCECO[linea],"(sin catálogo)"))</f>
        <v/>
      </c>
      <c r="V1075" s="3">
        <f>IF(tblOrdenes[[#This Row],[centro_costo]]="","",_xlfn.XLOOKUP(tblOrdenes[[#This Row],[centro_costo]],tblCECO[codigo],tblCECO[area],"(sin catálogo)"))</f>
        <v/>
      </c>
      <c r="W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3">
        <f>IF(tblOrdenes[[#This Row],[centro_costo]]="","",_xlfn.XLOOKUP(tblOrdenes[[#This Row],[centro_costo]],tblCECO[codigo],tblCECO[coordinador],"(sin catálogo)"))</f>
        <v/>
      </c>
      <c r="Y1075" s="3">
        <f>IF(tblOrdenes[[#This Row],[puesto_trabajo]]="","",_xlfn.XLOOKUP(tblOrdenes[[#This Row],[puesto_trabajo]],tblPuestos[codigo],tblPuestos[especialidad],"(sin catálogo)"))</f>
        <v/>
      </c>
      <c r="Z1075" s="3">
        <f>IF(tblOrdenes[[#This Row],[cod_actividad]]="","",_xlfn.XLOOKUP(tblOrdenes[[#This Row],[cod_actividad]],tblActividades[codigo],tblActividades[descripcion],"(sin catálogo)"))</f>
        <v/>
      </c>
      <c r="AA1075" s="12">
        <f>IF(tblOrdenes[[#This Row],[fecha_inicio]]="","",TODAY()-tblOrdenes[[#This Row],[fecha_inicio]])</f>
        <v/>
      </c>
      <c r="AB10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3">
        <f>IF(tblOrdenes[[#This Row],[backlog_habiles]]="","",IF(tblOrdenes[[#This Row],[backlog_habiles]]&lt;0,"FUTURO",IF(tblOrdenes[[#This Row],[backlog_habiles]]&gt;p_dias_backlog_max,"BACKLOG","MES CORRIENTE")))</f>
        <v/>
      </c>
      <c r="AD1075" s="3">
        <f>IF(tblOrdenes[[#This Row],[backlog_habiles]]="",FALSE,AND(tblOrdenes[[#This Row],[backlog_habiles]]&gt;p_dias_backlog_min,tblOrdenes[[#This Row],[backlog_habiles]]&lt;=p_dias_backlog_max))</f>
        <v/>
      </c>
      <c r="AE1075" s="6" t="n"/>
      <c r="AF10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0">
        <f>IF(tblOrdenes[[#This Row],[orden]]="","",_xlfn.XLOOKUP(tblOrdenes[[#This Row],[id_operacion]],tblEjecucion[id_operacion],tblEjecucion[precio],0))</f>
        <v/>
      </c>
      <c r="AJ1075" s="10">
        <f>IF(tblOrdenes[[#This Row],[orden]]="","",MAX(0,_xlfn.XLOOKUP(tblOrdenes[[#This Row],[id_operacion]],tblEjecucion[id_operacion],tblEjecucion[costo_plan_total],0)-tblOrdenes[[#This Row],[costo_servicio]]))</f>
        <v/>
      </c>
      <c r="AK1075" s="10">
        <f>IF(tblOrdenes[[#This Row],[orden]]="","",tblOrdenes[[#This Row],[costo_servicio]]+tblOrdenes[[#This Row],[costo_materiales]])</f>
        <v/>
      </c>
      <c r="AL1075" s="6" t="n"/>
      <c r="AM1075" s="6" t="n"/>
      <c r="AN1075" s="6" t="n"/>
      <c r="AO1075" s="3">
        <f>IF(tblOrdenes[[#This Row],[link_checklist]]="","",HYPERLINK(p_ruta_base_checklists&amp;tblOrdenes[[#This Row],[link_checklist]],"abrir"))</f>
        <v/>
      </c>
      <c r="AP1075" s="6" t="n"/>
      <c r="AQ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3">
        <f>IF(tblOrdenes[[#This Row],[tipo_ot]]="","",_xlfn.XLOOKUP(tblOrdenes[[#This Row],[tipo_ot]],tblTiposOT[codigo],tblTiposOT[clasificacion],"sin_clasificar"))</f>
        <v/>
      </c>
      <c r="U1076" s="3">
        <f>IF(tblOrdenes[[#This Row],[centro_costo]]="","",_xlfn.XLOOKUP(tblOrdenes[[#This Row],[centro_costo]],tblCECO[codigo],tblCECO[linea],"(sin catálogo)"))</f>
        <v/>
      </c>
      <c r="V1076" s="3">
        <f>IF(tblOrdenes[[#This Row],[centro_costo]]="","",_xlfn.XLOOKUP(tblOrdenes[[#This Row],[centro_costo]],tblCECO[codigo],tblCECO[area],"(sin catálogo)"))</f>
        <v/>
      </c>
      <c r="W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3">
        <f>IF(tblOrdenes[[#This Row],[centro_costo]]="","",_xlfn.XLOOKUP(tblOrdenes[[#This Row],[centro_costo]],tblCECO[codigo],tblCECO[coordinador],"(sin catálogo)"))</f>
        <v/>
      </c>
      <c r="Y1076" s="3">
        <f>IF(tblOrdenes[[#This Row],[puesto_trabajo]]="","",_xlfn.XLOOKUP(tblOrdenes[[#This Row],[puesto_trabajo]],tblPuestos[codigo],tblPuestos[especialidad],"(sin catálogo)"))</f>
        <v/>
      </c>
      <c r="Z1076" s="3">
        <f>IF(tblOrdenes[[#This Row],[cod_actividad]]="","",_xlfn.XLOOKUP(tblOrdenes[[#This Row],[cod_actividad]],tblActividades[codigo],tblActividades[descripcion],"(sin catálogo)"))</f>
        <v/>
      </c>
      <c r="AA1076" s="12">
        <f>IF(tblOrdenes[[#This Row],[fecha_inicio]]="","",TODAY()-tblOrdenes[[#This Row],[fecha_inicio]])</f>
        <v/>
      </c>
      <c r="AB10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3">
        <f>IF(tblOrdenes[[#This Row],[backlog_habiles]]="","",IF(tblOrdenes[[#This Row],[backlog_habiles]]&lt;0,"FUTURO",IF(tblOrdenes[[#This Row],[backlog_habiles]]&gt;p_dias_backlog_max,"BACKLOG","MES CORRIENTE")))</f>
        <v/>
      </c>
      <c r="AD1076" s="3">
        <f>IF(tblOrdenes[[#This Row],[backlog_habiles]]="",FALSE,AND(tblOrdenes[[#This Row],[backlog_habiles]]&gt;p_dias_backlog_min,tblOrdenes[[#This Row],[backlog_habiles]]&lt;=p_dias_backlog_max))</f>
        <v/>
      </c>
      <c r="AE1076" s="6" t="n"/>
      <c r="AF10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0">
        <f>IF(tblOrdenes[[#This Row],[orden]]="","",_xlfn.XLOOKUP(tblOrdenes[[#This Row],[id_operacion]],tblEjecucion[id_operacion],tblEjecucion[precio],0))</f>
        <v/>
      </c>
      <c r="AJ1076" s="10">
        <f>IF(tblOrdenes[[#This Row],[orden]]="","",MAX(0,_xlfn.XLOOKUP(tblOrdenes[[#This Row],[id_operacion]],tblEjecucion[id_operacion],tblEjecucion[costo_plan_total],0)-tblOrdenes[[#This Row],[costo_servicio]]))</f>
        <v/>
      </c>
      <c r="AK1076" s="10">
        <f>IF(tblOrdenes[[#This Row],[orden]]="","",tblOrdenes[[#This Row],[costo_servicio]]+tblOrdenes[[#This Row],[costo_materiales]])</f>
        <v/>
      </c>
      <c r="AL1076" s="6" t="n"/>
      <c r="AM1076" s="6" t="n"/>
      <c r="AN1076" s="6" t="n"/>
      <c r="AO1076" s="3">
        <f>IF(tblOrdenes[[#This Row],[link_checklist]]="","",HYPERLINK(p_ruta_base_checklists&amp;tblOrdenes[[#This Row],[link_checklist]],"abrir"))</f>
        <v/>
      </c>
      <c r="AP1076" s="6" t="n"/>
      <c r="AQ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3">
        <f>IF(tblOrdenes[[#This Row],[tipo_ot]]="","",_xlfn.XLOOKUP(tblOrdenes[[#This Row],[tipo_ot]],tblTiposOT[codigo],tblTiposOT[clasificacion],"sin_clasificar"))</f>
        <v/>
      </c>
      <c r="U1077" s="3">
        <f>IF(tblOrdenes[[#This Row],[centro_costo]]="","",_xlfn.XLOOKUP(tblOrdenes[[#This Row],[centro_costo]],tblCECO[codigo],tblCECO[linea],"(sin catálogo)"))</f>
        <v/>
      </c>
      <c r="V1077" s="3">
        <f>IF(tblOrdenes[[#This Row],[centro_costo]]="","",_xlfn.XLOOKUP(tblOrdenes[[#This Row],[centro_costo]],tblCECO[codigo],tblCECO[area],"(sin catálogo)"))</f>
        <v/>
      </c>
      <c r="W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3">
        <f>IF(tblOrdenes[[#This Row],[centro_costo]]="","",_xlfn.XLOOKUP(tblOrdenes[[#This Row],[centro_costo]],tblCECO[codigo],tblCECO[coordinador],"(sin catálogo)"))</f>
        <v/>
      </c>
      <c r="Y1077" s="3">
        <f>IF(tblOrdenes[[#This Row],[puesto_trabajo]]="","",_xlfn.XLOOKUP(tblOrdenes[[#This Row],[puesto_trabajo]],tblPuestos[codigo],tblPuestos[especialidad],"(sin catálogo)"))</f>
        <v/>
      </c>
      <c r="Z1077" s="3">
        <f>IF(tblOrdenes[[#This Row],[cod_actividad]]="","",_xlfn.XLOOKUP(tblOrdenes[[#This Row],[cod_actividad]],tblActividades[codigo],tblActividades[descripcion],"(sin catálogo)"))</f>
        <v/>
      </c>
      <c r="AA1077" s="12">
        <f>IF(tblOrdenes[[#This Row],[fecha_inicio]]="","",TODAY()-tblOrdenes[[#This Row],[fecha_inicio]])</f>
        <v/>
      </c>
      <c r="AB10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3">
        <f>IF(tblOrdenes[[#This Row],[backlog_habiles]]="","",IF(tblOrdenes[[#This Row],[backlog_habiles]]&lt;0,"FUTURO",IF(tblOrdenes[[#This Row],[backlog_habiles]]&gt;p_dias_backlog_max,"BACKLOG","MES CORRIENTE")))</f>
        <v/>
      </c>
      <c r="AD1077" s="3">
        <f>IF(tblOrdenes[[#This Row],[backlog_habiles]]="",FALSE,AND(tblOrdenes[[#This Row],[backlog_habiles]]&gt;p_dias_backlog_min,tblOrdenes[[#This Row],[backlog_habiles]]&lt;=p_dias_backlog_max))</f>
        <v/>
      </c>
      <c r="AE1077" s="6" t="n"/>
      <c r="AF10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0">
        <f>IF(tblOrdenes[[#This Row],[orden]]="","",_xlfn.XLOOKUP(tblOrdenes[[#This Row],[id_operacion]],tblEjecucion[id_operacion],tblEjecucion[precio],0))</f>
        <v/>
      </c>
      <c r="AJ1077" s="10">
        <f>IF(tblOrdenes[[#This Row],[orden]]="","",MAX(0,_xlfn.XLOOKUP(tblOrdenes[[#This Row],[id_operacion]],tblEjecucion[id_operacion],tblEjecucion[costo_plan_total],0)-tblOrdenes[[#This Row],[costo_servicio]]))</f>
        <v/>
      </c>
      <c r="AK1077" s="10">
        <f>IF(tblOrdenes[[#This Row],[orden]]="","",tblOrdenes[[#This Row],[costo_servicio]]+tblOrdenes[[#This Row],[costo_materiales]])</f>
        <v/>
      </c>
      <c r="AL1077" s="6" t="n"/>
      <c r="AM1077" s="6" t="n"/>
      <c r="AN1077" s="6" t="n"/>
      <c r="AO1077" s="3">
        <f>IF(tblOrdenes[[#This Row],[link_checklist]]="","",HYPERLINK(p_ruta_base_checklists&amp;tblOrdenes[[#This Row],[link_checklist]],"abrir"))</f>
        <v/>
      </c>
      <c r="AP1077" s="6" t="n"/>
      <c r="AQ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3">
        <f>IF(tblOrdenes[[#This Row],[tipo_ot]]="","",_xlfn.XLOOKUP(tblOrdenes[[#This Row],[tipo_ot]],tblTiposOT[codigo],tblTiposOT[clasificacion],"sin_clasificar"))</f>
        <v/>
      </c>
      <c r="U1078" s="3">
        <f>IF(tblOrdenes[[#This Row],[centro_costo]]="","",_xlfn.XLOOKUP(tblOrdenes[[#This Row],[centro_costo]],tblCECO[codigo],tblCECO[linea],"(sin catálogo)"))</f>
        <v/>
      </c>
      <c r="V1078" s="3">
        <f>IF(tblOrdenes[[#This Row],[centro_costo]]="","",_xlfn.XLOOKUP(tblOrdenes[[#This Row],[centro_costo]],tblCECO[codigo],tblCECO[area],"(sin catálogo)"))</f>
        <v/>
      </c>
      <c r="W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3">
        <f>IF(tblOrdenes[[#This Row],[centro_costo]]="","",_xlfn.XLOOKUP(tblOrdenes[[#This Row],[centro_costo]],tblCECO[codigo],tblCECO[coordinador],"(sin catálogo)"))</f>
        <v/>
      </c>
      <c r="Y1078" s="3">
        <f>IF(tblOrdenes[[#This Row],[puesto_trabajo]]="","",_xlfn.XLOOKUP(tblOrdenes[[#This Row],[puesto_trabajo]],tblPuestos[codigo],tblPuestos[especialidad],"(sin catálogo)"))</f>
        <v/>
      </c>
      <c r="Z1078" s="3">
        <f>IF(tblOrdenes[[#This Row],[cod_actividad]]="","",_xlfn.XLOOKUP(tblOrdenes[[#This Row],[cod_actividad]],tblActividades[codigo],tblActividades[descripcion],"(sin catálogo)"))</f>
        <v/>
      </c>
      <c r="AA1078" s="12">
        <f>IF(tblOrdenes[[#This Row],[fecha_inicio]]="","",TODAY()-tblOrdenes[[#This Row],[fecha_inicio]])</f>
        <v/>
      </c>
      <c r="AB10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3">
        <f>IF(tblOrdenes[[#This Row],[backlog_habiles]]="","",IF(tblOrdenes[[#This Row],[backlog_habiles]]&lt;0,"FUTURO",IF(tblOrdenes[[#This Row],[backlog_habiles]]&gt;p_dias_backlog_max,"BACKLOG","MES CORRIENTE")))</f>
        <v/>
      </c>
      <c r="AD1078" s="3">
        <f>IF(tblOrdenes[[#This Row],[backlog_habiles]]="",FALSE,AND(tblOrdenes[[#This Row],[backlog_habiles]]&gt;p_dias_backlog_min,tblOrdenes[[#This Row],[backlog_habiles]]&lt;=p_dias_backlog_max))</f>
        <v/>
      </c>
      <c r="AE1078" s="6" t="n"/>
      <c r="AF10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0">
        <f>IF(tblOrdenes[[#This Row],[orden]]="","",_xlfn.XLOOKUP(tblOrdenes[[#This Row],[id_operacion]],tblEjecucion[id_operacion],tblEjecucion[precio],0))</f>
        <v/>
      </c>
      <c r="AJ1078" s="10">
        <f>IF(tblOrdenes[[#This Row],[orden]]="","",MAX(0,_xlfn.XLOOKUP(tblOrdenes[[#This Row],[id_operacion]],tblEjecucion[id_operacion],tblEjecucion[costo_plan_total],0)-tblOrdenes[[#This Row],[costo_servicio]]))</f>
        <v/>
      </c>
      <c r="AK1078" s="10">
        <f>IF(tblOrdenes[[#This Row],[orden]]="","",tblOrdenes[[#This Row],[costo_servicio]]+tblOrdenes[[#This Row],[costo_materiales]])</f>
        <v/>
      </c>
      <c r="AL1078" s="6" t="n"/>
      <c r="AM1078" s="6" t="n"/>
      <c r="AN1078" s="6" t="n"/>
      <c r="AO1078" s="3">
        <f>IF(tblOrdenes[[#This Row],[link_checklist]]="","",HYPERLINK(p_ruta_base_checklists&amp;tblOrdenes[[#This Row],[link_checklist]],"abrir"))</f>
        <v/>
      </c>
      <c r="AP1078" s="6" t="n"/>
      <c r="AQ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3">
        <f>IF(tblOrdenes[[#This Row],[tipo_ot]]="","",_xlfn.XLOOKUP(tblOrdenes[[#This Row],[tipo_ot]],tblTiposOT[codigo],tblTiposOT[clasificacion],"sin_clasificar"))</f>
        <v/>
      </c>
      <c r="U1079" s="3">
        <f>IF(tblOrdenes[[#This Row],[centro_costo]]="","",_xlfn.XLOOKUP(tblOrdenes[[#This Row],[centro_costo]],tblCECO[codigo],tblCECO[linea],"(sin catálogo)"))</f>
        <v/>
      </c>
      <c r="V1079" s="3">
        <f>IF(tblOrdenes[[#This Row],[centro_costo]]="","",_xlfn.XLOOKUP(tblOrdenes[[#This Row],[centro_costo]],tblCECO[codigo],tblCECO[area],"(sin catálogo)"))</f>
        <v/>
      </c>
      <c r="W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3">
        <f>IF(tblOrdenes[[#This Row],[centro_costo]]="","",_xlfn.XLOOKUP(tblOrdenes[[#This Row],[centro_costo]],tblCECO[codigo],tblCECO[coordinador],"(sin catálogo)"))</f>
        <v/>
      </c>
      <c r="Y1079" s="3">
        <f>IF(tblOrdenes[[#This Row],[puesto_trabajo]]="","",_xlfn.XLOOKUP(tblOrdenes[[#This Row],[puesto_trabajo]],tblPuestos[codigo],tblPuestos[especialidad],"(sin catálogo)"))</f>
        <v/>
      </c>
      <c r="Z1079" s="3">
        <f>IF(tblOrdenes[[#This Row],[cod_actividad]]="","",_xlfn.XLOOKUP(tblOrdenes[[#This Row],[cod_actividad]],tblActividades[codigo],tblActividades[descripcion],"(sin catálogo)"))</f>
        <v/>
      </c>
      <c r="AA1079" s="12">
        <f>IF(tblOrdenes[[#This Row],[fecha_inicio]]="","",TODAY()-tblOrdenes[[#This Row],[fecha_inicio]])</f>
        <v/>
      </c>
      <c r="AB10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3">
        <f>IF(tblOrdenes[[#This Row],[backlog_habiles]]="","",IF(tblOrdenes[[#This Row],[backlog_habiles]]&lt;0,"FUTURO",IF(tblOrdenes[[#This Row],[backlog_habiles]]&gt;p_dias_backlog_max,"BACKLOG","MES CORRIENTE")))</f>
        <v/>
      </c>
      <c r="AD1079" s="3">
        <f>IF(tblOrdenes[[#This Row],[backlog_habiles]]="",FALSE,AND(tblOrdenes[[#This Row],[backlog_habiles]]&gt;p_dias_backlog_min,tblOrdenes[[#This Row],[backlog_habiles]]&lt;=p_dias_backlog_max))</f>
        <v/>
      </c>
      <c r="AE1079" s="6" t="n"/>
      <c r="AF10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0">
        <f>IF(tblOrdenes[[#This Row],[orden]]="","",_xlfn.XLOOKUP(tblOrdenes[[#This Row],[id_operacion]],tblEjecucion[id_operacion],tblEjecucion[precio],0))</f>
        <v/>
      </c>
      <c r="AJ1079" s="10">
        <f>IF(tblOrdenes[[#This Row],[orden]]="","",MAX(0,_xlfn.XLOOKUP(tblOrdenes[[#This Row],[id_operacion]],tblEjecucion[id_operacion],tblEjecucion[costo_plan_total],0)-tblOrdenes[[#This Row],[costo_servicio]]))</f>
        <v/>
      </c>
      <c r="AK1079" s="10">
        <f>IF(tblOrdenes[[#This Row],[orden]]="","",tblOrdenes[[#This Row],[costo_servicio]]+tblOrdenes[[#This Row],[costo_materiales]])</f>
        <v/>
      </c>
      <c r="AL1079" s="6" t="n"/>
      <c r="AM1079" s="6" t="n"/>
      <c r="AN1079" s="6" t="n"/>
      <c r="AO1079" s="3">
        <f>IF(tblOrdenes[[#This Row],[link_checklist]]="","",HYPERLINK(p_ruta_base_checklists&amp;tblOrdenes[[#This Row],[link_checklist]],"abrir"))</f>
        <v/>
      </c>
      <c r="AP1079" s="6" t="n"/>
      <c r="AQ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3">
        <f>IF(tblOrdenes[[#This Row],[tipo_ot]]="","",_xlfn.XLOOKUP(tblOrdenes[[#This Row],[tipo_ot]],tblTiposOT[codigo],tblTiposOT[clasificacion],"sin_clasificar"))</f>
        <v/>
      </c>
      <c r="U1080" s="3">
        <f>IF(tblOrdenes[[#This Row],[centro_costo]]="","",_xlfn.XLOOKUP(tblOrdenes[[#This Row],[centro_costo]],tblCECO[codigo],tblCECO[linea],"(sin catálogo)"))</f>
        <v/>
      </c>
      <c r="V1080" s="3">
        <f>IF(tblOrdenes[[#This Row],[centro_costo]]="","",_xlfn.XLOOKUP(tblOrdenes[[#This Row],[centro_costo]],tblCECO[codigo],tblCECO[area],"(sin catálogo)"))</f>
        <v/>
      </c>
      <c r="W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3">
        <f>IF(tblOrdenes[[#This Row],[centro_costo]]="","",_xlfn.XLOOKUP(tblOrdenes[[#This Row],[centro_costo]],tblCECO[codigo],tblCECO[coordinador],"(sin catálogo)"))</f>
        <v/>
      </c>
      <c r="Y1080" s="3">
        <f>IF(tblOrdenes[[#This Row],[puesto_trabajo]]="","",_xlfn.XLOOKUP(tblOrdenes[[#This Row],[puesto_trabajo]],tblPuestos[codigo],tblPuestos[especialidad],"(sin catálogo)"))</f>
        <v/>
      </c>
      <c r="Z1080" s="3">
        <f>IF(tblOrdenes[[#This Row],[cod_actividad]]="","",_xlfn.XLOOKUP(tblOrdenes[[#This Row],[cod_actividad]],tblActividades[codigo],tblActividades[descripcion],"(sin catálogo)"))</f>
        <v/>
      </c>
      <c r="AA1080" s="12">
        <f>IF(tblOrdenes[[#This Row],[fecha_inicio]]="","",TODAY()-tblOrdenes[[#This Row],[fecha_inicio]])</f>
        <v/>
      </c>
      <c r="AB10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3">
        <f>IF(tblOrdenes[[#This Row],[backlog_habiles]]="","",IF(tblOrdenes[[#This Row],[backlog_habiles]]&lt;0,"FUTURO",IF(tblOrdenes[[#This Row],[backlog_habiles]]&gt;p_dias_backlog_max,"BACKLOG","MES CORRIENTE")))</f>
        <v/>
      </c>
      <c r="AD1080" s="3">
        <f>IF(tblOrdenes[[#This Row],[backlog_habiles]]="",FALSE,AND(tblOrdenes[[#This Row],[backlog_habiles]]&gt;p_dias_backlog_min,tblOrdenes[[#This Row],[backlog_habiles]]&lt;=p_dias_backlog_max))</f>
        <v/>
      </c>
      <c r="AE1080" s="6" t="n"/>
      <c r="AF10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0">
        <f>IF(tblOrdenes[[#This Row],[orden]]="","",_xlfn.XLOOKUP(tblOrdenes[[#This Row],[id_operacion]],tblEjecucion[id_operacion],tblEjecucion[precio],0))</f>
        <v/>
      </c>
      <c r="AJ1080" s="10">
        <f>IF(tblOrdenes[[#This Row],[orden]]="","",MAX(0,_xlfn.XLOOKUP(tblOrdenes[[#This Row],[id_operacion]],tblEjecucion[id_operacion],tblEjecucion[costo_plan_total],0)-tblOrdenes[[#This Row],[costo_servicio]]))</f>
        <v/>
      </c>
      <c r="AK1080" s="10">
        <f>IF(tblOrdenes[[#This Row],[orden]]="","",tblOrdenes[[#This Row],[costo_servicio]]+tblOrdenes[[#This Row],[costo_materiales]])</f>
        <v/>
      </c>
      <c r="AL1080" s="6" t="n"/>
      <c r="AM1080" s="6" t="n"/>
      <c r="AN1080" s="6" t="n"/>
      <c r="AO1080" s="3">
        <f>IF(tblOrdenes[[#This Row],[link_checklist]]="","",HYPERLINK(p_ruta_base_checklists&amp;tblOrdenes[[#This Row],[link_checklist]],"abrir"))</f>
        <v/>
      </c>
      <c r="AP1080" s="6" t="n"/>
      <c r="AQ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3">
        <f>IF(tblOrdenes[[#This Row],[tipo_ot]]="","",_xlfn.XLOOKUP(tblOrdenes[[#This Row],[tipo_ot]],tblTiposOT[codigo],tblTiposOT[clasificacion],"sin_clasificar"))</f>
        <v/>
      </c>
      <c r="U1081" s="3">
        <f>IF(tblOrdenes[[#This Row],[centro_costo]]="","",_xlfn.XLOOKUP(tblOrdenes[[#This Row],[centro_costo]],tblCECO[codigo],tblCECO[linea],"(sin catálogo)"))</f>
        <v/>
      </c>
      <c r="V1081" s="3">
        <f>IF(tblOrdenes[[#This Row],[centro_costo]]="","",_xlfn.XLOOKUP(tblOrdenes[[#This Row],[centro_costo]],tblCECO[codigo],tblCECO[area],"(sin catálogo)"))</f>
        <v/>
      </c>
      <c r="W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3">
        <f>IF(tblOrdenes[[#This Row],[centro_costo]]="","",_xlfn.XLOOKUP(tblOrdenes[[#This Row],[centro_costo]],tblCECO[codigo],tblCECO[coordinador],"(sin catálogo)"))</f>
        <v/>
      </c>
      <c r="Y1081" s="3">
        <f>IF(tblOrdenes[[#This Row],[puesto_trabajo]]="","",_xlfn.XLOOKUP(tblOrdenes[[#This Row],[puesto_trabajo]],tblPuestos[codigo],tblPuestos[especialidad],"(sin catálogo)"))</f>
        <v/>
      </c>
      <c r="Z1081" s="3">
        <f>IF(tblOrdenes[[#This Row],[cod_actividad]]="","",_xlfn.XLOOKUP(tblOrdenes[[#This Row],[cod_actividad]],tblActividades[codigo],tblActividades[descripcion],"(sin catálogo)"))</f>
        <v/>
      </c>
      <c r="AA1081" s="12">
        <f>IF(tblOrdenes[[#This Row],[fecha_inicio]]="","",TODAY()-tblOrdenes[[#This Row],[fecha_inicio]])</f>
        <v/>
      </c>
      <c r="AB10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3">
        <f>IF(tblOrdenes[[#This Row],[backlog_habiles]]="","",IF(tblOrdenes[[#This Row],[backlog_habiles]]&lt;0,"FUTURO",IF(tblOrdenes[[#This Row],[backlog_habiles]]&gt;p_dias_backlog_max,"BACKLOG","MES CORRIENTE")))</f>
        <v/>
      </c>
      <c r="AD1081" s="3">
        <f>IF(tblOrdenes[[#This Row],[backlog_habiles]]="",FALSE,AND(tblOrdenes[[#This Row],[backlog_habiles]]&gt;p_dias_backlog_min,tblOrdenes[[#This Row],[backlog_habiles]]&lt;=p_dias_backlog_max))</f>
        <v/>
      </c>
      <c r="AE1081" s="6" t="n"/>
      <c r="AF10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0">
        <f>IF(tblOrdenes[[#This Row],[orden]]="","",_xlfn.XLOOKUP(tblOrdenes[[#This Row],[id_operacion]],tblEjecucion[id_operacion],tblEjecucion[precio],0))</f>
        <v/>
      </c>
      <c r="AJ1081" s="10">
        <f>IF(tblOrdenes[[#This Row],[orden]]="","",MAX(0,_xlfn.XLOOKUP(tblOrdenes[[#This Row],[id_operacion]],tblEjecucion[id_operacion],tblEjecucion[costo_plan_total],0)-tblOrdenes[[#This Row],[costo_servicio]]))</f>
        <v/>
      </c>
      <c r="AK1081" s="10">
        <f>IF(tblOrdenes[[#This Row],[orden]]="","",tblOrdenes[[#This Row],[costo_servicio]]+tblOrdenes[[#This Row],[costo_materiales]])</f>
        <v/>
      </c>
      <c r="AL1081" s="6" t="n"/>
      <c r="AM1081" s="6" t="n"/>
      <c r="AN1081" s="6" t="n"/>
      <c r="AO1081" s="3">
        <f>IF(tblOrdenes[[#This Row],[link_checklist]]="","",HYPERLINK(p_ruta_base_checklists&amp;tblOrdenes[[#This Row],[link_checklist]],"abrir"))</f>
        <v/>
      </c>
      <c r="AP1081" s="6" t="n"/>
      <c r="AQ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3">
        <f>IF(tblOrdenes[[#This Row],[tipo_ot]]="","",_xlfn.XLOOKUP(tblOrdenes[[#This Row],[tipo_ot]],tblTiposOT[codigo],tblTiposOT[clasificacion],"sin_clasificar"))</f>
        <v/>
      </c>
      <c r="U1082" s="3">
        <f>IF(tblOrdenes[[#This Row],[centro_costo]]="","",_xlfn.XLOOKUP(tblOrdenes[[#This Row],[centro_costo]],tblCECO[codigo],tblCECO[linea],"(sin catálogo)"))</f>
        <v/>
      </c>
      <c r="V1082" s="3">
        <f>IF(tblOrdenes[[#This Row],[centro_costo]]="","",_xlfn.XLOOKUP(tblOrdenes[[#This Row],[centro_costo]],tblCECO[codigo],tblCECO[area],"(sin catálogo)"))</f>
        <v/>
      </c>
      <c r="W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3">
        <f>IF(tblOrdenes[[#This Row],[centro_costo]]="","",_xlfn.XLOOKUP(tblOrdenes[[#This Row],[centro_costo]],tblCECO[codigo],tblCECO[coordinador],"(sin catálogo)"))</f>
        <v/>
      </c>
      <c r="Y1082" s="3">
        <f>IF(tblOrdenes[[#This Row],[puesto_trabajo]]="","",_xlfn.XLOOKUP(tblOrdenes[[#This Row],[puesto_trabajo]],tblPuestos[codigo],tblPuestos[especialidad],"(sin catálogo)"))</f>
        <v/>
      </c>
      <c r="Z1082" s="3">
        <f>IF(tblOrdenes[[#This Row],[cod_actividad]]="","",_xlfn.XLOOKUP(tblOrdenes[[#This Row],[cod_actividad]],tblActividades[codigo],tblActividades[descripcion],"(sin catálogo)"))</f>
        <v/>
      </c>
      <c r="AA1082" s="12">
        <f>IF(tblOrdenes[[#This Row],[fecha_inicio]]="","",TODAY()-tblOrdenes[[#This Row],[fecha_inicio]])</f>
        <v/>
      </c>
      <c r="AB10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3">
        <f>IF(tblOrdenes[[#This Row],[backlog_habiles]]="","",IF(tblOrdenes[[#This Row],[backlog_habiles]]&lt;0,"FUTURO",IF(tblOrdenes[[#This Row],[backlog_habiles]]&gt;p_dias_backlog_max,"BACKLOG","MES CORRIENTE")))</f>
        <v/>
      </c>
      <c r="AD1082" s="3">
        <f>IF(tblOrdenes[[#This Row],[backlog_habiles]]="",FALSE,AND(tblOrdenes[[#This Row],[backlog_habiles]]&gt;p_dias_backlog_min,tblOrdenes[[#This Row],[backlog_habiles]]&lt;=p_dias_backlog_max))</f>
        <v/>
      </c>
      <c r="AE1082" s="6" t="n"/>
      <c r="AF10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0">
        <f>IF(tblOrdenes[[#This Row],[orden]]="","",_xlfn.XLOOKUP(tblOrdenes[[#This Row],[id_operacion]],tblEjecucion[id_operacion],tblEjecucion[precio],0))</f>
        <v/>
      </c>
      <c r="AJ1082" s="10">
        <f>IF(tblOrdenes[[#This Row],[orden]]="","",MAX(0,_xlfn.XLOOKUP(tblOrdenes[[#This Row],[id_operacion]],tblEjecucion[id_operacion],tblEjecucion[costo_plan_total],0)-tblOrdenes[[#This Row],[costo_servicio]]))</f>
        <v/>
      </c>
      <c r="AK1082" s="10">
        <f>IF(tblOrdenes[[#This Row],[orden]]="","",tblOrdenes[[#This Row],[costo_servicio]]+tblOrdenes[[#This Row],[costo_materiales]])</f>
        <v/>
      </c>
      <c r="AL1082" s="6" t="n"/>
      <c r="AM1082" s="6" t="n"/>
      <c r="AN1082" s="6" t="n"/>
      <c r="AO1082" s="3">
        <f>IF(tblOrdenes[[#This Row],[link_checklist]]="","",HYPERLINK(p_ruta_base_checklists&amp;tblOrdenes[[#This Row],[link_checklist]],"abrir"))</f>
        <v/>
      </c>
      <c r="AP1082" s="6" t="n"/>
      <c r="AQ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3">
        <f>IF(tblOrdenes[[#This Row],[tipo_ot]]="","",_xlfn.XLOOKUP(tblOrdenes[[#This Row],[tipo_ot]],tblTiposOT[codigo],tblTiposOT[clasificacion],"sin_clasificar"))</f>
        <v/>
      </c>
      <c r="U1083" s="3">
        <f>IF(tblOrdenes[[#This Row],[centro_costo]]="","",_xlfn.XLOOKUP(tblOrdenes[[#This Row],[centro_costo]],tblCECO[codigo],tblCECO[linea],"(sin catálogo)"))</f>
        <v/>
      </c>
      <c r="V1083" s="3">
        <f>IF(tblOrdenes[[#This Row],[centro_costo]]="","",_xlfn.XLOOKUP(tblOrdenes[[#This Row],[centro_costo]],tblCECO[codigo],tblCECO[area],"(sin catálogo)"))</f>
        <v/>
      </c>
      <c r="W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3">
        <f>IF(tblOrdenes[[#This Row],[centro_costo]]="","",_xlfn.XLOOKUP(tblOrdenes[[#This Row],[centro_costo]],tblCECO[codigo],tblCECO[coordinador],"(sin catálogo)"))</f>
        <v/>
      </c>
      <c r="Y1083" s="3">
        <f>IF(tblOrdenes[[#This Row],[puesto_trabajo]]="","",_xlfn.XLOOKUP(tblOrdenes[[#This Row],[puesto_trabajo]],tblPuestos[codigo],tblPuestos[especialidad],"(sin catálogo)"))</f>
        <v/>
      </c>
      <c r="Z1083" s="3">
        <f>IF(tblOrdenes[[#This Row],[cod_actividad]]="","",_xlfn.XLOOKUP(tblOrdenes[[#This Row],[cod_actividad]],tblActividades[codigo],tblActividades[descripcion],"(sin catálogo)"))</f>
        <v/>
      </c>
      <c r="AA1083" s="12">
        <f>IF(tblOrdenes[[#This Row],[fecha_inicio]]="","",TODAY()-tblOrdenes[[#This Row],[fecha_inicio]])</f>
        <v/>
      </c>
      <c r="AB10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3">
        <f>IF(tblOrdenes[[#This Row],[backlog_habiles]]="","",IF(tblOrdenes[[#This Row],[backlog_habiles]]&lt;0,"FUTURO",IF(tblOrdenes[[#This Row],[backlog_habiles]]&gt;p_dias_backlog_max,"BACKLOG","MES CORRIENTE")))</f>
        <v/>
      </c>
      <c r="AD1083" s="3">
        <f>IF(tblOrdenes[[#This Row],[backlog_habiles]]="",FALSE,AND(tblOrdenes[[#This Row],[backlog_habiles]]&gt;p_dias_backlog_min,tblOrdenes[[#This Row],[backlog_habiles]]&lt;=p_dias_backlog_max))</f>
        <v/>
      </c>
      <c r="AE1083" s="6" t="n"/>
      <c r="AF10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0">
        <f>IF(tblOrdenes[[#This Row],[orden]]="","",_xlfn.XLOOKUP(tblOrdenes[[#This Row],[id_operacion]],tblEjecucion[id_operacion],tblEjecucion[precio],0))</f>
        <v/>
      </c>
      <c r="AJ1083" s="10">
        <f>IF(tblOrdenes[[#This Row],[orden]]="","",MAX(0,_xlfn.XLOOKUP(tblOrdenes[[#This Row],[id_operacion]],tblEjecucion[id_operacion],tblEjecucion[costo_plan_total],0)-tblOrdenes[[#This Row],[costo_servicio]]))</f>
        <v/>
      </c>
      <c r="AK1083" s="10">
        <f>IF(tblOrdenes[[#This Row],[orden]]="","",tblOrdenes[[#This Row],[costo_servicio]]+tblOrdenes[[#This Row],[costo_materiales]])</f>
        <v/>
      </c>
      <c r="AL1083" s="6" t="n"/>
      <c r="AM1083" s="6" t="n"/>
      <c r="AN1083" s="6" t="n"/>
      <c r="AO1083" s="3">
        <f>IF(tblOrdenes[[#This Row],[link_checklist]]="","",HYPERLINK(p_ruta_base_checklists&amp;tblOrdenes[[#This Row],[link_checklist]],"abrir"))</f>
        <v/>
      </c>
      <c r="AP1083" s="6" t="n"/>
      <c r="AQ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3">
        <f>IF(tblOrdenes[[#This Row],[tipo_ot]]="","",_xlfn.XLOOKUP(tblOrdenes[[#This Row],[tipo_ot]],tblTiposOT[codigo],tblTiposOT[clasificacion],"sin_clasificar"))</f>
        <v/>
      </c>
      <c r="U1084" s="3">
        <f>IF(tblOrdenes[[#This Row],[centro_costo]]="","",_xlfn.XLOOKUP(tblOrdenes[[#This Row],[centro_costo]],tblCECO[codigo],tblCECO[linea],"(sin catálogo)"))</f>
        <v/>
      </c>
      <c r="V1084" s="3">
        <f>IF(tblOrdenes[[#This Row],[centro_costo]]="","",_xlfn.XLOOKUP(tblOrdenes[[#This Row],[centro_costo]],tblCECO[codigo],tblCECO[area],"(sin catálogo)"))</f>
        <v/>
      </c>
      <c r="W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3">
        <f>IF(tblOrdenes[[#This Row],[centro_costo]]="","",_xlfn.XLOOKUP(tblOrdenes[[#This Row],[centro_costo]],tblCECO[codigo],tblCECO[coordinador],"(sin catálogo)"))</f>
        <v/>
      </c>
      <c r="Y1084" s="3">
        <f>IF(tblOrdenes[[#This Row],[puesto_trabajo]]="","",_xlfn.XLOOKUP(tblOrdenes[[#This Row],[puesto_trabajo]],tblPuestos[codigo],tblPuestos[especialidad],"(sin catálogo)"))</f>
        <v/>
      </c>
      <c r="Z1084" s="3">
        <f>IF(tblOrdenes[[#This Row],[cod_actividad]]="","",_xlfn.XLOOKUP(tblOrdenes[[#This Row],[cod_actividad]],tblActividades[codigo],tblActividades[descripcion],"(sin catálogo)"))</f>
        <v/>
      </c>
      <c r="AA1084" s="12">
        <f>IF(tblOrdenes[[#This Row],[fecha_inicio]]="","",TODAY()-tblOrdenes[[#This Row],[fecha_inicio]])</f>
        <v/>
      </c>
      <c r="AB10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3">
        <f>IF(tblOrdenes[[#This Row],[backlog_habiles]]="","",IF(tblOrdenes[[#This Row],[backlog_habiles]]&lt;0,"FUTURO",IF(tblOrdenes[[#This Row],[backlog_habiles]]&gt;p_dias_backlog_max,"BACKLOG","MES CORRIENTE")))</f>
        <v/>
      </c>
      <c r="AD1084" s="3">
        <f>IF(tblOrdenes[[#This Row],[backlog_habiles]]="",FALSE,AND(tblOrdenes[[#This Row],[backlog_habiles]]&gt;p_dias_backlog_min,tblOrdenes[[#This Row],[backlog_habiles]]&lt;=p_dias_backlog_max))</f>
        <v/>
      </c>
      <c r="AE1084" s="6" t="n"/>
      <c r="AF10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0">
        <f>IF(tblOrdenes[[#This Row],[orden]]="","",_xlfn.XLOOKUP(tblOrdenes[[#This Row],[id_operacion]],tblEjecucion[id_operacion],tblEjecucion[precio],0))</f>
        <v/>
      </c>
      <c r="AJ1084" s="10">
        <f>IF(tblOrdenes[[#This Row],[orden]]="","",MAX(0,_xlfn.XLOOKUP(tblOrdenes[[#This Row],[id_operacion]],tblEjecucion[id_operacion],tblEjecucion[costo_plan_total],0)-tblOrdenes[[#This Row],[costo_servicio]]))</f>
        <v/>
      </c>
      <c r="AK1084" s="10">
        <f>IF(tblOrdenes[[#This Row],[orden]]="","",tblOrdenes[[#This Row],[costo_servicio]]+tblOrdenes[[#This Row],[costo_materiales]])</f>
        <v/>
      </c>
      <c r="AL1084" s="6" t="n"/>
      <c r="AM1084" s="6" t="n"/>
      <c r="AN1084" s="6" t="n"/>
      <c r="AO1084" s="3">
        <f>IF(tblOrdenes[[#This Row],[link_checklist]]="","",HYPERLINK(p_ruta_base_checklists&amp;tblOrdenes[[#This Row],[link_checklist]],"abrir"))</f>
        <v/>
      </c>
      <c r="AP1084" s="6" t="n"/>
      <c r="AQ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3">
        <f>IF(tblOrdenes[[#This Row],[tipo_ot]]="","",_xlfn.XLOOKUP(tblOrdenes[[#This Row],[tipo_ot]],tblTiposOT[codigo],tblTiposOT[clasificacion],"sin_clasificar"))</f>
        <v/>
      </c>
      <c r="U1085" s="3">
        <f>IF(tblOrdenes[[#This Row],[centro_costo]]="","",_xlfn.XLOOKUP(tblOrdenes[[#This Row],[centro_costo]],tblCECO[codigo],tblCECO[linea],"(sin catálogo)"))</f>
        <v/>
      </c>
      <c r="V1085" s="3">
        <f>IF(tblOrdenes[[#This Row],[centro_costo]]="","",_xlfn.XLOOKUP(tblOrdenes[[#This Row],[centro_costo]],tblCECO[codigo],tblCECO[area],"(sin catálogo)"))</f>
        <v/>
      </c>
      <c r="W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3">
        <f>IF(tblOrdenes[[#This Row],[centro_costo]]="","",_xlfn.XLOOKUP(tblOrdenes[[#This Row],[centro_costo]],tblCECO[codigo],tblCECO[coordinador],"(sin catálogo)"))</f>
        <v/>
      </c>
      <c r="Y1085" s="3">
        <f>IF(tblOrdenes[[#This Row],[puesto_trabajo]]="","",_xlfn.XLOOKUP(tblOrdenes[[#This Row],[puesto_trabajo]],tblPuestos[codigo],tblPuestos[especialidad],"(sin catálogo)"))</f>
        <v/>
      </c>
      <c r="Z1085" s="3">
        <f>IF(tblOrdenes[[#This Row],[cod_actividad]]="","",_xlfn.XLOOKUP(tblOrdenes[[#This Row],[cod_actividad]],tblActividades[codigo],tblActividades[descripcion],"(sin catálogo)"))</f>
        <v/>
      </c>
      <c r="AA1085" s="12">
        <f>IF(tblOrdenes[[#This Row],[fecha_inicio]]="","",TODAY()-tblOrdenes[[#This Row],[fecha_inicio]])</f>
        <v/>
      </c>
      <c r="AB10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3">
        <f>IF(tblOrdenes[[#This Row],[backlog_habiles]]="","",IF(tblOrdenes[[#This Row],[backlog_habiles]]&lt;0,"FUTURO",IF(tblOrdenes[[#This Row],[backlog_habiles]]&gt;p_dias_backlog_max,"BACKLOG","MES CORRIENTE")))</f>
        <v/>
      </c>
      <c r="AD1085" s="3">
        <f>IF(tblOrdenes[[#This Row],[backlog_habiles]]="",FALSE,AND(tblOrdenes[[#This Row],[backlog_habiles]]&gt;p_dias_backlog_min,tblOrdenes[[#This Row],[backlog_habiles]]&lt;=p_dias_backlog_max))</f>
        <v/>
      </c>
      <c r="AE1085" s="6" t="n"/>
      <c r="AF10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0">
        <f>IF(tblOrdenes[[#This Row],[orden]]="","",_xlfn.XLOOKUP(tblOrdenes[[#This Row],[id_operacion]],tblEjecucion[id_operacion],tblEjecucion[precio],0))</f>
        <v/>
      </c>
      <c r="AJ1085" s="10">
        <f>IF(tblOrdenes[[#This Row],[orden]]="","",MAX(0,_xlfn.XLOOKUP(tblOrdenes[[#This Row],[id_operacion]],tblEjecucion[id_operacion],tblEjecucion[costo_plan_total],0)-tblOrdenes[[#This Row],[costo_servicio]]))</f>
        <v/>
      </c>
      <c r="AK1085" s="10">
        <f>IF(tblOrdenes[[#This Row],[orden]]="","",tblOrdenes[[#This Row],[costo_servicio]]+tblOrdenes[[#This Row],[costo_materiales]])</f>
        <v/>
      </c>
      <c r="AL1085" s="6" t="n"/>
      <c r="AM1085" s="6" t="n"/>
      <c r="AN1085" s="6" t="n"/>
      <c r="AO1085" s="3">
        <f>IF(tblOrdenes[[#This Row],[link_checklist]]="","",HYPERLINK(p_ruta_base_checklists&amp;tblOrdenes[[#This Row],[link_checklist]],"abrir"))</f>
        <v/>
      </c>
      <c r="AP1085" s="6" t="n"/>
      <c r="AQ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3">
        <f>IF(tblOrdenes[[#This Row],[tipo_ot]]="","",_xlfn.XLOOKUP(tblOrdenes[[#This Row],[tipo_ot]],tblTiposOT[codigo],tblTiposOT[clasificacion],"sin_clasificar"))</f>
        <v/>
      </c>
      <c r="U1086" s="3">
        <f>IF(tblOrdenes[[#This Row],[centro_costo]]="","",_xlfn.XLOOKUP(tblOrdenes[[#This Row],[centro_costo]],tblCECO[codigo],tblCECO[linea],"(sin catálogo)"))</f>
        <v/>
      </c>
      <c r="V1086" s="3">
        <f>IF(tblOrdenes[[#This Row],[centro_costo]]="","",_xlfn.XLOOKUP(tblOrdenes[[#This Row],[centro_costo]],tblCECO[codigo],tblCECO[area],"(sin catálogo)"))</f>
        <v/>
      </c>
      <c r="W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3">
        <f>IF(tblOrdenes[[#This Row],[centro_costo]]="","",_xlfn.XLOOKUP(tblOrdenes[[#This Row],[centro_costo]],tblCECO[codigo],tblCECO[coordinador],"(sin catálogo)"))</f>
        <v/>
      </c>
      <c r="Y1086" s="3">
        <f>IF(tblOrdenes[[#This Row],[puesto_trabajo]]="","",_xlfn.XLOOKUP(tblOrdenes[[#This Row],[puesto_trabajo]],tblPuestos[codigo],tblPuestos[especialidad],"(sin catálogo)"))</f>
        <v/>
      </c>
      <c r="Z1086" s="3">
        <f>IF(tblOrdenes[[#This Row],[cod_actividad]]="","",_xlfn.XLOOKUP(tblOrdenes[[#This Row],[cod_actividad]],tblActividades[codigo],tblActividades[descripcion],"(sin catálogo)"))</f>
        <v/>
      </c>
      <c r="AA1086" s="12">
        <f>IF(tblOrdenes[[#This Row],[fecha_inicio]]="","",TODAY()-tblOrdenes[[#This Row],[fecha_inicio]])</f>
        <v/>
      </c>
      <c r="AB10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3">
        <f>IF(tblOrdenes[[#This Row],[backlog_habiles]]="","",IF(tblOrdenes[[#This Row],[backlog_habiles]]&lt;0,"FUTURO",IF(tblOrdenes[[#This Row],[backlog_habiles]]&gt;p_dias_backlog_max,"BACKLOG","MES CORRIENTE")))</f>
        <v/>
      </c>
      <c r="AD1086" s="3">
        <f>IF(tblOrdenes[[#This Row],[backlog_habiles]]="",FALSE,AND(tblOrdenes[[#This Row],[backlog_habiles]]&gt;p_dias_backlog_min,tblOrdenes[[#This Row],[backlog_habiles]]&lt;=p_dias_backlog_max))</f>
        <v/>
      </c>
      <c r="AE1086" s="6" t="n"/>
      <c r="AF10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0">
        <f>IF(tblOrdenes[[#This Row],[orden]]="","",_xlfn.XLOOKUP(tblOrdenes[[#This Row],[id_operacion]],tblEjecucion[id_operacion],tblEjecucion[precio],0))</f>
        <v/>
      </c>
      <c r="AJ1086" s="10">
        <f>IF(tblOrdenes[[#This Row],[orden]]="","",MAX(0,_xlfn.XLOOKUP(tblOrdenes[[#This Row],[id_operacion]],tblEjecucion[id_operacion],tblEjecucion[costo_plan_total],0)-tblOrdenes[[#This Row],[costo_servicio]]))</f>
        <v/>
      </c>
      <c r="AK1086" s="10">
        <f>IF(tblOrdenes[[#This Row],[orden]]="","",tblOrdenes[[#This Row],[costo_servicio]]+tblOrdenes[[#This Row],[costo_materiales]])</f>
        <v/>
      </c>
      <c r="AL1086" s="6" t="n"/>
      <c r="AM1086" s="6" t="n"/>
      <c r="AN1086" s="6" t="n"/>
      <c r="AO1086" s="3">
        <f>IF(tblOrdenes[[#This Row],[link_checklist]]="","",HYPERLINK(p_ruta_base_checklists&amp;tblOrdenes[[#This Row],[link_checklist]],"abrir"))</f>
        <v/>
      </c>
      <c r="AP1086" s="6" t="n"/>
      <c r="AQ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3">
        <f>IF(tblOrdenes[[#This Row],[tipo_ot]]="","",_xlfn.XLOOKUP(tblOrdenes[[#This Row],[tipo_ot]],tblTiposOT[codigo],tblTiposOT[clasificacion],"sin_clasificar"))</f>
        <v/>
      </c>
      <c r="U1087" s="3">
        <f>IF(tblOrdenes[[#This Row],[centro_costo]]="","",_xlfn.XLOOKUP(tblOrdenes[[#This Row],[centro_costo]],tblCECO[codigo],tblCECO[linea],"(sin catálogo)"))</f>
        <v/>
      </c>
      <c r="V1087" s="3">
        <f>IF(tblOrdenes[[#This Row],[centro_costo]]="","",_xlfn.XLOOKUP(tblOrdenes[[#This Row],[centro_costo]],tblCECO[codigo],tblCECO[area],"(sin catálogo)"))</f>
        <v/>
      </c>
      <c r="W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3">
        <f>IF(tblOrdenes[[#This Row],[centro_costo]]="","",_xlfn.XLOOKUP(tblOrdenes[[#This Row],[centro_costo]],tblCECO[codigo],tblCECO[coordinador],"(sin catálogo)"))</f>
        <v/>
      </c>
      <c r="Y1087" s="3">
        <f>IF(tblOrdenes[[#This Row],[puesto_trabajo]]="","",_xlfn.XLOOKUP(tblOrdenes[[#This Row],[puesto_trabajo]],tblPuestos[codigo],tblPuestos[especialidad],"(sin catálogo)"))</f>
        <v/>
      </c>
      <c r="Z1087" s="3">
        <f>IF(tblOrdenes[[#This Row],[cod_actividad]]="","",_xlfn.XLOOKUP(tblOrdenes[[#This Row],[cod_actividad]],tblActividades[codigo],tblActividades[descripcion],"(sin catálogo)"))</f>
        <v/>
      </c>
      <c r="AA1087" s="12">
        <f>IF(tblOrdenes[[#This Row],[fecha_inicio]]="","",TODAY()-tblOrdenes[[#This Row],[fecha_inicio]])</f>
        <v/>
      </c>
      <c r="AB10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3">
        <f>IF(tblOrdenes[[#This Row],[backlog_habiles]]="","",IF(tblOrdenes[[#This Row],[backlog_habiles]]&lt;0,"FUTURO",IF(tblOrdenes[[#This Row],[backlog_habiles]]&gt;p_dias_backlog_max,"BACKLOG","MES CORRIENTE")))</f>
        <v/>
      </c>
      <c r="AD1087" s="3">
        <f>IF(tblOrdenes[[#This Row],[backlog_habiles]]="",FALSE,AND(tblOrdenes[[#This Row],[backlog_habiles]]&gt;p_dias_backlog_min,tblOrdenes[[#This Row],[backlog_habiles]]&lt;=p_dias_backlog_max))</f>
        <v/>
      </c>
      <c r="AE1087" s="6" t="n"/>
      <c r="AF10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0">
        <f>IF(tblOrdenes[[#This Row],[orden]]="","",_xlfn.XLOOKUP(tblOrdenes[[#This Row],[id_operacion]],tblEjecucion[id_operacion],tblEjecucion[precio],0))</f>
        <v/>
      </c>
      <c r="AJ1087" s="10">
        <f>IF(tblOrdenes[[#This Row],[orden]]="","",MAX(0,_xlfn.XLOOKUP(tblOrdenes[[#This Row],[id_operacion]],tblEjecucion[id_operacion],tblEjecucion[costo_plan_total],0)-tblOrdenes[[#This Row],[costo_servicio]]))</f>
        <v/>
      </c>
      <c r="AK1087" s="10">
        <f>IF(tblOrdenes[[#This Row],[orden]]="","",tblOrdenes[[#This Row],[costo_servicio]]+tblOrdenes[[#This Row],[costo_materiales]])</f>
        <v/>
      </c>
      <c r="AL1087" s="6" t="n"/>
      <c r="AM1087" s="6" t="n"/>
      <c r="AN1087" s="6" t="n"/>
      <c r="AO1087" s="3">
        <f>IF(tblOrdenes[[#This Row],[link_checklist]]="","",HYPERLINK(p_ruta_base_checklists&amp;tblOrdenes[[#This Row],[link_checklist]],"abrir"))</f>
        <v/>
      </c>
      <c r="AP1087" s="6" t="n"/>
      <c r="AQ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3">
        <f>IF(tblOrdenes[[#This Row],[tipo_ot]]="","",_xlfn.XLOOKUP(tblOrdenes[[#This Row],[tipo_ot]],tblTiposOT[codigo],tblTiposOT[clasificacion],"sin_clasificar"))</f>
        <v/>
      </c>
      <c r="U1088" s="3">
        <f>IF(tblOrdenes[[#This Row],[centro_costo]]="","",_xlfn.XLOOKUP(tblOrdenes[[#This Row],[centro_costo]],tblCECO[codigo],tblCECO[linea],"(sin catálogo)"))</f>
        <v/>
      </c>
      <c r="V1088" s="3">
        <f>IF(tblOrdenes[[#This Row],[centro_costo]]="","",_xlfn.XLOOKUP(tblOrdenes[[#This Row],[centro_costo]],tblCECO[codigo],tblCECO[area],"(sin catálogo)"))</f>
        <v/>
      </c>
      <c r="W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3">
        <f>IF(tblOrdenes[[#This Row],[centro_costo]]="","",_xlfn.XLOOKUP(tblOrdenes[[#This Row],[centro_costo]],tblCECO[codigo],tblCECO[coordinador],"(sin catálogo)"))</f>
        <v/>
      </c>
      <c r="Y1088" s="3">
        <f>IF(tblOrdenes[[#This Row],[puesto_trabajo]]="","",_xlfn.XLOOKUP(tblOrdenes[[#This Row],[puesto_trabajo]],tblPuestos[codigo],tblPuestos[especialidad],"(sin catálogo)"))</f>
        <v/>
      </c>
      <c r="Z1088" s="3">
        <f>IF(tblOrdenes[[#This Row],[cod_actividad]]="","",_xlfn.XLOOKUP(tblOrdenes[[#This Row],[cod_actividad]],tblActividades[codigo],tblActividades[descripcion],"(sin catálogo)"))</f>
        <v/>
      </c>
      <c r="AA1088" s="12">
        <f>IF(tblOrdenes[[#This Row],[fecha_inicio]]="","",TODAY()-tblOrdenes[[#This Row],[fecha_inicio]])</f>
        <v/>
      </c>
      <c r="AB10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3">
        <f>IF(tblOrdenes[[#This Row],[backlog_habiles]]="","",IF(tblOrdenes[[#This Row],[backlog_habiles]]&lt;0,"FUTURO",IF(tblOrdenes[[#This Row],[backlog_habiles]]&gt;p_dias_backlog_max,"BACKLOG","MES CORRIENTE")))</f>
        <v/>
      </c>
      <c r="AD1088" s="3">
        <f>IF(tblOrdenes[[#This Row],[backlog_habiles]]="",FALSE,AND(tblOrdenes[[#This Row],[backlog_habiles]]&gt;p_dias_backlog_min,tblOrdenes[[#This Row],[backlog_habiles]]&lt;=p_dias_backlog_max))</f>
        <v/>
      </c>
      <c r="AE1088" s="6" t="n"/>
      <c r="AF10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0">
        <f>IF(tblOrdenes[[#This Row],[orden]]="","",_xlfn.XLOOKUP(tblOrdenes[[#This Row],[id_operacion]],tblEjecucion[id_operacion],tblEjecucion[precio],0))</f>
        <v/>
      </c>
      <c r="AJ1088" s="10">
        <f>IF(tblOrdenes[[#This Row],[orden]]="","",MAX(0,_xlfn.XLOOKUP(tblOrdenes[[#This Row],[id_operacion]],tblEjecucion[id_operacion],tblEjecucion[costo_plan_total],0)-tblOrdenes[[#This Row],[costo_servicio]]))</f>
        <v/>
      </c>
      <c r="AK1088" s="10">
        <f>IF(tblOrdenes[[#This Row],[orden]]="","",tblOrdenes[[#This Row],[costo_servicio]]+tblOrdenes[[#This Row],[costo_materiales]])</f>
        <v/>
      </c>
      <c r="AL1088" s="6" t="n"/>
      <c r="AM1088" s="6" t="n"/>
      <c r="AN1088" s="6" t="n"/>
      <c r="AO1088" s="3">
        <f>IF(tblOrdenes[[#This Row],[link_checklist]]="","",HYPERLINK(p_ruta_base_checklists&amp;tblOrdenes[[#This Row],[link_checklist]],"abrir"))</f>
        <v/>
      </c>
      <c r="AP1088" s="6" t="n"/>
      <c r="AQ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3">
        <f>IF(tblOrdenes[[#This Row],[tipo_ot]]="","",_xlfn.XLOOKUP(tblOrdenes[[#This Row],[tipo_ot]],tblTiposOT[codigo],tblTiposOT[clasificacion],"sin_clasificar"))</f>
        <v/>
      </c>
      <c r="U1089" s="3">
        <f>IF(tblOrdenes[[#This Row],[centro_costo]]="","",_xlfn.XLOOKUP(tblOrdenes[[#This Row],[centro_costo]],tblCECO[codigo],tblCECO[linea],"(sin catálogo)"))</f>
        <v/>
      </c>
      <c r="V1089" s="3">
        <f>IF(tblOrdenes[[#This Row],[centro_costo]]="","",_xlfn.XLOOKUP(tblOrdenes[[#This Row],[centro_costo]],tblCECO[codigo],tblCECO[area],"(sin catálogo)"))</f>
        <v/>
      </c>
      <c r="W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3">
        <f>IF(tblOrdenes[[#This Row],[centro_costo]]="","",_xlfn.XLOOKUP(tblOrdenes[[#This Row],[centro_costo]],tblCECO[codigo],tblCECO[coordinador],"(sin catálogo)"))</f>
        <v/>
      </c>
      <c r="Y1089" s="3">
        <f>IF(tblOrdenes[[#This Row],[puesto_trabajo]]="","",_xlfn.XLOOKUP(tblOrdenes[[#This Row],[puesto_trabajo]],tblPuestos[codigo],tblPuestos[especialidad],"(sin catálogo)"))</f>
        <v/>
      </c>
      <c r="Z1089" s="3">
        <f>IF(tblOrdenes[[#This Row],[cod_actividad]]="","",_xlfn.XLOOKUP(tblOrdenes[[#This Row],[cod_actividad]],tblActividades[codigo],tblActividades[descripcion],"(sin catálogo)"))</f>
        <v/>
      </c>
      <c r="AA1089" s="12">
        <f>IF(tblOrdenes[[#This Row],[fecha_inicio]]="","",TODAY()-tblOrdenes[[#This Row],[fecha_inicio]])</f>
        <v/>
      </c>
      <c r="AB10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3">
        <f>IF(tblOrdenes[[#This Row],[backlog_habiles]]="","",IF(tblOrdenes[[#This Row],[backlog_habiles]]&lt;0,"FUTURO",IF(tblOrdenes[[#This Row],[backlog_habiles]]&gt;p_dias_backlog_max,"BACKLOG","MES CORRIENTE")))</f>
        <v/>
      </c>
      <c r="AD1089" s="3">
        <f>IF(tblOrdenes[[#This Row],[backlog_habiles]]="",FALSE,AND(tblOrdenes[[#This Row],[backlog_habiles]]&gt;p_dias_backlog_min,tblOrdenes[[#This Row],[backlog_habiles]]&lt;=p_dias_backlog_max))</f>
        <v/>
      </c>
      <c r="AE1089" s="6" t="n"/>
      <c r="AF10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0">
        <f>IF(tblOrdenes[[#This Row],[orden]]="","",_xlfn.XLOOKUP(tblOrdenes[[#This Row],[id_operacion]],tblEjecucion[id_operacion],tblEjecucion[precio],0))</f>
        <v/>
      </c>
      <c r="AJ1089" s="10">
        <f>IF(tblOrdenes[[#This Row],[orden]]="","",MAX(0,_xlfn.XLOOKUP(tblOrdenes[[#This Row],[id_operacion]],tblEjecucion[id_operacion],tblEjecucion[costo_plan_total],0)-tblOrdenes[[#This Row],[costo_servicio]]))</f>
        <v/>
      </c>
      <c r="AK1089" s="10">
        <f>IF(tblOrdenes[[#This Row],[orden]]="","",tblOrdenes[[#This Row],[costo_servicio]]+tblOrdenes[[#This Row],[costo_materiales]])</f>
        <v/>
      </c>
      <c r="AL1089" s="6" t="n"/>
      <c r="AM1089" s="6" t="n"/>
      <c r="AN1089" s="6" t="n"/>
      <c r="AO1089" s="3">
        <f>IF(tblOrdenes[[#This Row],[link_checklist]]="","",HYPERLINK(p_ruta_base_checklists&amp;tblOrdenes[[#This Row],[link_checklist]],"abrir"))</f>
        <v/>
      </c>
      <c r="AP1089" s="6" t="n"/>
      <c r="AQ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3">
        <f>IF(tblOrdenes[[#This Row],[tipo_ot]]="","",_xlfn.XLOOKUP(tblOrdenes[[#This Row],[tipo_ot]],tblTiposOT[codigo],tblTiposOT[clasificacion],"sin_clasificar"))</f>
        <v/>
      </c>
      <c r="U1090" s="3">
        <f>IF(tblOrdenes[[#This Row],[centro_costo]]="","",_xlfn.XLOOKUP(tblOrdenes[[#This Row],[centro_costo]],tblCECO[codigo],tblCECO[linea],"(sin catálogo)"))</f>
        <v/>
      </c>
      <c r="V1090" s="3">
        <f>IF(tblOrdenes[[#This Row],[centro_costo]]="","",_xlfn.XLOOKUP(tblOrdenes[[#This Row],[centro_costo]],tblCECO[codigo],tblCECO[area],"(sin catálogo)"))</f>
        <v/>
      </c>
      <c r="W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3">
        <f>IF(tblOrdenes[[#This Row],[centro_costo]]="","",_xlfn.XLOOKUP(tblOrdenes[[#This Row],[centro_costo]],tblCECO[codigo],tblCECO[coordinador],"(sin catálogo)"))</f>
        <v/>
      </c>
      <c r="Y1090" s="3">
        <f>IF(tblOrdenes[[#This Row],[puesto_trabajo]]="","",_xlfn.XLOOKUP(tblOrdenes[[#This Row],[puesto_trabajo]],tblPuestos[codigo],tblPuestos[especialidad],"(sin catálogo)"))</f>
        <v/>
      </c>
      <c r="Z1090" s="3">
        <f>IF(tblOrdenes[[#This Row],[cod_actividad]]="","",_xlfn.XLOOKUP(tblOrdenes[[#This Row],[cod_actividad]],tblActividades[codigo],tblActividades[descripcion],"(sin catálogo)"))</f>
        <v/>
      </c>
      <c r="AA1090" s="12">
        <f>IF(tblOrdenes[[#This Row],[fecha_inicio]]="","",TODAY()-tblOrdenes[[#This Row],[fecha_inicio]])</f>
        <v/>
      </c>
      <c r="AB10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3">
        <f>IF(tblOrdenes[[#This Row],[backlog_habiles]]="","",IF(tblOrdenes[[#This Row],[backlog_habiles]]&lt;0,"FUTURO",IF(tblOrdenes[[#This Row],[backlog_habiles]]&gt;p_dias_backlog_max,"BACKLOG","MES CORRIENTE")))</f>
        <v/>
      </c>
      <c r="AD1090" s="3">
        <f>IF(tblOrdenes[[#This Row],[backlog_habiles]]="",FALSE,AND(tblOrdenes[[#This Row],[backlog_habiles]]&gt;p_dias_backlog_min,tblOrdenes[[#This Row],[backlog_habiles]]&lt;=p_dias_backlog_max))</f>
        <v/>
      </c>
      <c r="AE1090" s="6" t="n"/>
      <c r="AF10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0">
        <f>IF(tblOrdenes[[#This Row],[orden]]="","",_xlfn.XLOOKUP(tblOrdenes[[#This Row],[id_operacion]],tblEjecucion[id_operacion],tblEjecucion[precio],0))</f>
        <v/>
      </c>
      <c r="AJ1090" s="10">
        <f>IF(tblOrdenes[[#This Row],[orden]]="","",MAX(0,_xlfn.XLOOKUP(tblOrdenes[[#This Row],[id_operacion]],tblEjecucion[id_operacion],tblEjecucion[costo_plan_total],0)-tblOrdenes[[#This Row],[costo_servicio]]))</f>
        <v/>
      </c>
      <c r="AK1090" s="10">
        <f>IF(tblOrdenes[[#This Row],[orden]]="","",tblOrdenes[[#This Row],[costo_servicio]]+tblOrdenes[[#This Row],[costo_materiales]])</f>
        <v/>
      </c>
      <c r="AL1090" s="6" t="n"/>
      <c r="AM1090" s="6" t="n"/>
      <c r="AN1090" s="6" t="n"/>
      <c r="AO1090" s="3">
        <f>IF(tblOrdenes[[#This Row],[link_checklist]]="","",HYPERLINK(p_ruta_base_checklists&amp;tblOrdenes[[#This Row],[link_checklist]],"abrir"))</f>
        <v/>
      </c>
      <c r="AP1090" s="6" t="n"/>
      <c r="AQ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3">
        <f>IF(tblOrdenes[[#This Row],[tipo_ot]]="","",_xlfn.XLOOKUP(tblOrdenes[[#This Row],[tipo_ot]],tblTiposOT[codigo],tblTiposOT[clasificacion],"sin_clasificar"))</f>
        <v/>
      </c>
      <c r="U1091" s="3">
        <f>IF(tblOrdenes[[#This Row],[centro_costo]]="","",_xlfn.XLOOKUP(tblOrdenes[[#This Row],[centro_costo]],tblCECO[codigo],tblCECO[linea],"(sin catálogo)"))</f>
        <v/>
      </c>
      <c r="V1091" s="3">
        <f>IF(tblOrdenes[[#This Row],[centro_costo]]="","",_xlfn.XLOOKUP(tblOrdenes[[#This Row],[centro_costo]],tblCECO[codigo],tblCECO[area],"(sin catálogo)"))</f>
        <v/>
      </c>
      <c r="W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3">
        <f>IF(tblOrdenes[[#This Row],[centro_costo]]="","",_xlfn.XLOOKUP(tblOrdenes[[#This Row],[centro_costo]],tblCECO[codigo],tblCECO[coordinador],"(sin catálogo)"))</f>
        <v/>
      </c>
      <c r="Y1091" s="3">
        <f>IF(tblOrdenes[[#This Row],[puesto_trabajo]]="","",_xlfn.XLOOKUP(tblOrdenes[[#This Row],[puesto_trabajo]],tblPuestos[codigo],tblPuestos[especialidad],"(sin catálogo)"))</f>
        <v/>
      </c>
      <c r="Z1091" s="3">
        <f>IF(tblOrdenes[[#This Row],[cod_actividad]]="","",_xlfn.XLOOKUP(tblOrdenes[[#This Row],[cod_actividad]],tblActividades[codigo],tblActividades[descripcion],"(sin catálogo)"))</f>
        <v/>
      </c>
      <c r="AA1091" s="12">
        <f>IF(tblOrdenes[[#This Row],[fecha_inicio]]="","",TODAY()-tblOrdenes[[#This Row],[fecha_inicio]])</f>
        <v/>
      </c>
      <c r="AB10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3">
        <f>IF(tblOrdenes[[#This Row],[backlog_habiles]]="","",IF(tblOrdenes[[#This Row],[backlog_habiles]]&lt;0,"FUTURO",IF(tblOrdenes[[#This Row],[backlog_habiles]]&gt;p_dias_backlog_max,"BACKLOG","MES CORRIENTE")))</f>
        <v/>
      </c>
      <c r="AD1091" s="3">
        <f>IF(tblOrdenes[[#This Row],[backlog_habiles]]="",FALSE,AND(tblOrdenes[[#This Row],[backlog_habiles]]&gt;p_dias_backlog_min,tblOrdenes[[#This Row],[backlog_habiles]]&lt;=p_dias_backlog_max))</f>
        <v/>
      </c>
      <c r="AE1091" s="6" t="n"/>
      <c r="AF10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0">
        <f>IF(tblOrdenes[[#This Row],[orden]]="","",_xlfn.XLOOKUP(tblOrdenes[[#This Row],[id_operacion]],tblEjecucion[id_operacion],tblEjecucion[precio],0))</f>
        <v/>
      </c>
      <c r="AJ1091" s="10">
        <f>IF(tblOrdenes[[#This Row],[orden]]="","",MAX(0,_xlfn.XLOOKUP(tblOrdenes[[#This Row],[id_operacion]],tblEjecucion[id_operacion],tblEjecucion[costo_plan_total],0)-tblOrdenes[[#This Row],[costo_servicio]]))</f>
        <v/>
      </c>
      <c r="AK1091" s="10">
        <f>IF(tblOrdenes[[#This Row],[orden]]="","",tblOrdenes[[#This Row],[costo_servicio]]+tblOrdenes[[#This Row],[costo_materiales]])</f>
        <v/>
      </c>
      <c r="AL1091" s="6" t="n"/>
      <c r="AM1091" s="6" t="n"/>
      <c r="AN1091" s="6" t="n"/>
      <c r="AO1091" s="3">
        <f>IF(tblOrdenes[[#This Row],[link_checklist]]="","",HYPERLINK(p_ruta_base_checklists&amp;tblOrdenes[[#This Row],[link_checklist]],"abrir"))</f>
        <v/>
      </c>
      <c r="AP1091" s="6" t="n"/>
      <c r="AQ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3">
        <f>IF(tblOrdenes[[#This Row],[tipo_ot]]="","",_xlfn.XLOOKUP(tblOrdenes[[#This Row],[tipo_ot]],tblTiposOT[codigo],tblTiposOT[clasificacion],"sin_clasificar"))</f>
        <v/>
      </c>
      <c r="U1092" s="3">
        <f>IF(tblOrdenes[[#This Row],[centro_costo]]="","",_xlfn.XLOOKUP(tblOrdenes[[#This Row],[centro_costo]],tblCECO[codigo],tblCECO[linea],"(sin catálogo)"))</f>
        <v/>
      </c>
      <c r="V1092" s="3">
        <f>IF(tblOrdenes[[#This Row],[centro_costo]]="","",_xlfn.XLOOKUP(tblOrdenes[[#This Row],[centro_costo]],tblCECO[codigo],tblCECO[area],"(sin catálogo)"))</f>
        <v/>
      </c>
      <c r="W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3">
        <f>IF(tblOrdenes[[#This Row],[centro_costo]]="","",_xlfn.XLOOKUP(tblOrdenes[[#This Row],[centro_costo]],tblCECO[codigo],tblCECO[coordinador],"(sin catálogo)"))</f>
        <v/>
      </c>
      <c r="Y1092" s="3">
        <f>IF(tblOrdenes[[#This Row],[puesto_trabajo]]="","",_xlfn.XLOOKUP(tblOrdenes[[#This Row],[puesto_trabajo]],tblPuestos[codigo],tblPuestos[especialidad],"(sin catálogo)"))</f>
        <v/>
      </c>
      <c r="Z1092" s="3">
        <f>IF(tblOrdenes[[#This Row],[cod_actividad]]="","",_xlfn.XLOOKUP(tblOrdenes[[#This Row],[cod_actividad]],tblActividades[codigo],tblActividades[descripcion],"(sin catálogo)"))</f>
        <v/>
      </c>
      <c r="AA1092" s="12">
        <f>IF(tblOrdenes[[#This Row],[fecha_inicio]]="","",TODAY()-tblOrdenes[[#This Row],[fecha_inicio]])</f>
        <v/>
      </c>
      <c r="AB10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3">
        <f>IF(tblOrdenes[[#This Row],[backlog_habiles]]="","",IF(tblOrdenes[[#This Row],[backlog_habiles]]&lt;0,"FUTURO",IF(tblOrdenes[[#This Row],[backlog_habiles]]&gt;p_dias_backlog_max,"BACKLOG","MES CORRIENTE")))</f>
        <v/>
      </c>
      <c r="AD1092" s="3">
        <f>IF(tblOrdenes[[#This Row],[backlog_habiles]]="",FALSE,AND(tblOrdenes[[#This Row],[backlog_habiles]]&gt;p_dias_backlog_min,tblOrdenes[[#This Row],[backlog_habiles]]&lt;=p_dias_backlog_max))</f>
        <v/>
      </c>
      <c r="AE1092" s="6" t="n"/>
      <c r="AF10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0">
        <f>IF(tblOrdenes[[#This Row],[orden]]="","",_xlfn.XLOOKUP(tblOrdenes[[#This Row],[id_operacion]],tblEjecucion[id_operacion],tblEjecucion[precio],0))</f>
        <v/>
      </c>
      <c r="AJ1092" s="10">
        <f>IF(tblOrdenes[[#This Row],[orden]]="","",MAX(0,_xlfn.XLOOKUP(tblOrdenes[[#This Row],[id_operacion]],tblEjecucion[id_operacion],tblEjecucion[costo_plan_total],0)-tblOrdenes[[#This Row],[costo_servicio]]))</f>
        <v/>
      </c>
      <c r="AK1092" s="10">
        <f>IF(tblOrdenes[[#This Row],[orden]]="","",tblOrdenes[[#This Row],[costo_servicio]]+tblOrdenes[[#This Row],[costo_materiales]])</f>
        <v/>
      </c>
      <c r="AL1092" s="6" t="n"/>
      <c r="AM1092" s="6" t="n"/>
      <c r="AN1092" s="6" t="n"/>
      <c r="AO1092" s="3">
        <f>IF(tblOrdenes[[#This Row],[link_checklist]]="","",HYPERLINK(p_ruta_base_checklists&amp;tblOrdenes[[#This Row],[link_checklist]],"abrir"))</f>
        <v/>
      </c>
      <c r="AP1092" s="6" t="n"/>
      <c r="AQ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3">
        <f>IF(tblOrdenes[[#This Row],[tipo_ot]]="","",_xlfn.XLOOKUP(tblOrdenes[[#This Row],[tipo_ot]],tblTiposOT[codigo],tblTiposOT[clasificacion],"sin_clasificar"))</f>
        <v/>
      </c>
      <c r="U1093" s="3">
        <f>IF(tblOrdenes[[#This Row],[centro_costo]]="","",_xlfn.XLOOKUP(tblOrdenes[[#This Row],[centro_costo]],tblCECO[codigo],tblCECO[linea],"(sin catálogo)"))</f>
        <v/>
      </c>
      <c r="V1093" s="3">
        <f>IF(tblOrdenes[[#This Row],[centro_costo]]="","",_xlfn.XLOOKUP(tblOrdenes[[#This Row],[centro_costo]],tblCECO[codigo],tblCECO[area],"(sin catálogo)"))</f>
        <v/>
      </c>
      <c r="W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3">
        <f>IF(tblOrdenes[[#This Row],[centro_costo]]="","",_xlfn.XLOOKUP(tblOrdenes[[#This Row],[centro_costo]],tblCECO[codigo],tblCECO[coordinador],"(sin catálogo)"))</f>
        <v/>
      </c>
      <c r="Y1093" s="3">
        <f>IF(tblOrdenes[[#This Row],[puesto_trabajo]]="","",_xlfn.XLOOKUP(tblOrdenes[[#This Row],[puesto_trabajo]],tblPuestos[codigo],tblPuestos[especialidad],"(sin catálogo)"))</f>
        <v/>
      </c>
      <c r="Z1093" s="3">
        <f>IF(tblOrdenes[[#This Row],[cod_actividad]]="","",_xlfn.XLOOKUP(tblOrdenes[[#This Row],[cod_actividad]],tblActividades[codigo],tblActividades[descripcion],"(sin catálogo)"))</f>
        <v/>
      </c>
      <c r="AA1093" s="12">
        <f>IF(tblOrdenes[[#This Row],[fecha_inicio]]="","",TODAY()-tblOrdenes[[#This Row],[fecha_inicio]])</f>
        <v/>
      </c>
      <c r="AB10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3">
        <f>IF(tblOrdenes[[#This Row],[backlog_habiles]]="","",IF(tblOrdenes[[#This Row],[backlog_habiles]]&lt;0,"FUTURO",IF(tblOrdenes[[#This Row],[backlog_habiles]]&gt;p_dias_backlog_max,"BACKLOG","MES CORRIENTE")))</f>
        <v/>
      </c>
      <c r="AD1093" s="3">
        <f>IF(tblOrdenes[[#This Row],[backlog_habiles]]="",FALSE,AND(tblOrdenes[[#This Row],[backlog_habiles]]&gt;p_dias_backlog_min,tblOrdenes[[#This Row],[backlog_habiles]]&lt;=p_dias_backlog_max))</f>
        <v/>
      </c>
      <c r="AE1093" s="6" t="n"/>
      <c r="AF10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0">
        <f>IF(tblOrdenes[[#This Row],[orden]]="","",_xlfn.XLOOKUP(tblOrdenes[[#This Row],[id_operacion]],tblEjecucion[id_operacion],tblEjecucion[precio],0))</f>
        <v/>
      </c>
      <c r="AJ1093" s="10">
        <f>IF(tblOrdenes[[#This Row],[orden]]="","",MAX(0,_xlfn.XLOOKUP(tblOrdenes[[#This Row],[id_operacion]],tblEjecucion[id_operacion],tblEjecucion[costo_plan_total],0)-tblOrdenes[[#This Row],[costo_servicio]]))</f>
        <v/>
      </c>
      <c r="AK1093" s="10">
        <f>IF(tblOrdenes[[#This Row],[orden]]="","",tblOrdenes[[#This Row],[costo_servicio]]+tblOrdenes[[#This Row],[costo_materiales]])</f>
        <v/>
      </c>
      <c r="AL1093" s="6" t="n"/>
      <c r="AM1093" s="6" t="n"/>
      <c r="AN1093" s="6" t="n"/>
      <c r="AO1093" s="3">
        <f>IF(tblOrdenes[[#This Row],[link_checklist]]="","",HYPERLINK(p_ruta_base_checklists&amp;tblOrdenes[[#This Row],[link_checklist]],"abrir"))</f>
        <v/>
      </c>
      <c r="AP1093" s="6" t="n"/>
      <c r="AQ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3">
        <f>IF(tblOrdenes[[#This Row],[tipo_ot]]="","",_xlfn.XLOOKUP(tblOrdenes[[#This Row],[tipo_ot]],tblTiposOT[codigo],tblTiposOT[clasificacion],"sin_clasificar"))</f>
        <v/>
      </c>
      <c r="U1094" s="3">
        <f>IF(tblOrdenes[[#This Row],[centro_costo]]="","",_xlfn.XLOOKUP(tblOrdenes[[#This Row],[centro_costo]],tblCECO[codigo],tblCECO[linea],"(sin catálogo)"))</f>
        <v/>
      </c>
      <c r="V1094" s="3">
        <f>IF(tblOrdenes[[#This Row],[centro_costo]]="","",_xlfn.XLOOKUP(tblOrdenes[[#This Row],[centro_costo]],tblCECO[codigo],tblCECO[area],"(sin catálogo)"))</f>
        <v/>
      </c>
      <c r="W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3">
        <f>IF(tblOrdenes[[#This Row],[centro_costo]]="","",_xlfn.XLOOKUP(tblOrdenes[[#This Row],[centro_costo]],tblCECO[codigo],tblCECO[coordinador],"(sin catálogo)"))</f>
        <v/>
      </c>
      <c r="Y1094" s="3">
        <f>IF(tblOrdenes[[#This Row],[puesto_trabajo]]="","",_xlfn.XLOOKUP(tblOrdenes[[#This Row],[puesto_trabajo]],tblPuestos[codigo],tblPuestos[especialidad],"(sin catálogo)"))</f>
        <v/>
      </c>
      <c r="Z1094" s="3">
        <f>IF(tblOrdenes[[#This Row],[cod_actividad]]="","",_xlfn.XLOOKUP(tblOrdenes[[#This Row],[cod_actividad]],tblActividades[codigo],tblActividades[descripcion],"(sin catálogo)"))</f>
        <v/>
      </c>
      <c r="AA1094" s="12">
        <f>IF(tblOrdenes[[#This Row],[fecha_inicio]]="","",TODAY()-tblOrdenes[[#This Row],[fecha_inicio]])</f>
        <v/>
      </c>
      <c r="AB10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3">
        <f>IF(tblOrdenes[[#This Row],[backlog_habiles]]="","",IF(tblOrdenes[[#This Row],[backlog_habiles]]&lt;0,"FUTURO",IF(tblOrdenes[[#This Row],[backlog_habiles]]&gt;p_dias_backlog_max,"BACKLOG","MES CORRIENTE")))</f>
        <v/>
      </c>
      <c r="AD1094" s="3">
        <f>IF(tblOrdenes[[#This Row],[backlog_habiles]]="",FALSE,AND(tblOrdenes[[#This Row],[backlog_habiles]]&gt;p_dias_backlog_min,tblOrdenes[[#This Row],[backlog_habiles]]&lt;=p_dias_backlog_max))</f>
        <v/>
      </c>
      <c r="AE1094" s="6" t="n"/>
      <c r="AF10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0">
        <f>IF(tblOrdenes[[#This Row],[orden]]="","",_xlfn.XLOOKUP(tblOrdenes[[#This Row],[id_operacion]],tblEjecucion[id_operacion],tblEjecucion[precio],0))</f>
        <v/>
      </c>
      <c r="AJ1094" s="10">
        <f>IF(tblOrdenes[[#This Row],[orden]]="","",MAX(0,_xlfn.XLOOKUP(tblOrdenes[[#This Row],[id_operacion]],tblEjecucion[id_operacion],tblEjecucion[costo_plan_total],0)-tblOrdenes[[#This Row],[costo_servicio]]))</f>
        <v/>
      </c>
      <c r="AK1094" s="10">
        <f>IF(tblOrdenes[[#This Row],[orden]]="","",tblOrdenes[[#This Row],[costo_servicio]]+tblOrdenes[[#This Row],[costo_materiales]])</f>
        <v/>
      </c>
      <c r="AL1094" s="6" t="n"/>
      <c r="AM1094" s="6" t="n"/>
      <c r="AN1094" s="6" t="n"/>
      <c r="AO1094" s="3">
        <f>IF(tblOrdenes[[#This Row],[link_checklist]]="","",HYPERLINK(p_ruta_base_checklists&amp;tblOrdenes[[#This Row],[link_checklist]],"abrir"))</f>
        <v/>
      </c>
      <c r="AP1094" s="6" t="n"/>
      <c r="AQ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3">
        <f>IF(tblOrdenes[[#This Row],[tipo_ot]]="","",_xlfn.XLOOKUP(tblOrdenes[[#This Row],[tipo_ot]],tblTiposOT[codigo],tblTiposOT[clasificacion],"sin_clasificar"))</f>
        <v/>
      </c>
      <c r="U1095" s="3">
        <f>IF(tblOrdenes[[#This Row],[centro_costo]]="","",_xlfn.XLOOKUP(tblOrdenes[[#This Row],[centro_costo]],tblCECO[codigo],tblCECO[linea],"(sin catálogo)"))</f>
        <v/>
      </c>
      <c r="V1095" s="3">
        <f>IF(tblOrdenes[[#This Row],[centro_costo]]="","",_xlfn.XLOOKUP(tblOrdenes[[#This Row],[centro_costo]],tblCECO[codigo],tblCECO[area],"(sin catálogo)"))</f>
        <v/>
      </c>
      <c r="W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3">
        <f>IF(tblOrdenes[[#This Row],[centro_costo]]="","",_xlfn.XLOOKUP(tblOrdenes[[#This Row],[centro_costo]],tblCECO[codigo],tblCECO[coordinador],"(sin catálogo)"))</f>
        <v/>
      </c>
      <c r="Y1095" s="3">
        <f>IF(tblOrdenes[[#This Row],[puesto_trabajo]]="","",_xlfn.XLOOKUP(tblOrdenes[[#This Row],[puesto_trabajo]],tblPuestos[codigo],tblPuestos[especialidad],"(sin catálogo)"))</f>
        <v/>
      </c>
      <c r="Z1095" s="3">
        <f>IF(tblOrdenes[[#This Row],[cod_actividad]]="","",_xlfn.XLOOKUP(tblOrdenes[[#This Row],[cod_actividad]],tblActividades[codigo],tblActividades[descripcion],"(sin catálogo)"))</f>
        <v/>
      </c>
      <c r="AA1095" s="12">
        <f>IF(tblOrdenes[[#This Row],[fecha_inicio]]="","",TODAY()-tblOrdenes[[#This Row],[fecha_inicio]])</f>
        <v/>
      </c>
      <c r="AB10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3">
        <f>IF(tblOrdenes[[#This Row],[backlog_habiles]]="","",IF(tblOrdenes[[#This Row],[backlog_habiles]]&lt;0,"FUTURO",IF(tblOrdenes[[#This Row],[backlog_habiles]]&gt;p_dias_backlog_max,"BACKLOG","MES CORRIENTE")))</f>
        <v/>
      </c>
      <c r="AD1095" s="3">
        <f>IF(tblOrdenes[[#This Row],[backlog_habiles]]="",FALSE,AND(tblOrdenes[[#This Row],[backlog_habiles]]&gt;p_dias_backlog_min,tblOrdenes[[#This Row],[backlog_habiles]]&lt;=p_dias_backlog_max))</f>
        <v/>
      </c>
      <c r="AE1095" s="6" t="n"/>
      <c r="AF10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0">
        <f>IF(tblOrdenes[[#This Row],[orden]]="","",_xlfn.XLOOKUP(tblOrdenes[[#This Row],[id_operacion]],tblEjecucion[id_operacion],tblEjecucion[precio],0))</f>
        <v/>
      </c>
      <c r="AJ1095" s="10">
        <f>IF(tblOrdenes[[#This Row],[orden]]="","",MAX(0,_xlfn.XLOOKUP(tblOrdenes[[#This Row],[id_operacion]],tblEjecucion[id_operacion],tblEjecucion[costo_plan_total],0)-tblOrdenes[[#This Row],[costo_servicio]]))</f>
        <v/>
      </c>
      <c r="AK1095" s="10">
        <f>IF(tblOrdenes[[#This Row],[orden]]="","",tblOrdenes[[#This Row],[costo_servicio]]+tblOrdenes[[#This Row],[costo_materiales]])</f>
        <v/>
      </c>
      <c r="AL1095" s="6" t="n"/>
      <c r="AM1095" s="6" t="n"/>
      <c r="AN1095" s="6" t="n"/>
      <c r="AO1095" s="3">
        <f>IF(tblOrdenes[[#This Row],[link_checklist]]="","",HYPERLINK(p_ruta_base_checklists&amp;tblOrdenes[[#This Row],[link_checklist]],"abrir"))</f>
        <v/>
      </c>
      <c r="AP1095" s="6" t="n"/>
      <c r="AQ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3">
        <f>IF(tblOrdenes[[#This Row],[tipo_ot]]="","",_xlfn.XLOOKUP(tblOrdenes[[#This Row],[tipo_ot]],tblTiposOT[codigo],tblTiposOT[clasificacion],"sin_clasificar"))</f>
        <v/>
      </c>
      <c r="U1096" s="3">
        <f>IF(tblOrdenes[[#This Row],[centro_costo]]="","",_xlfn.XLOOKUP(tblOrdenes[[#This Row],[centro_costo]],tblCECO[codigo],tblCECO[linea],"(sin catálogo)"))</f>
        <v/>
      </c>
      <c r="V1096" s="3">
        <f>IF(tblOrdenes[[#This Row],[centro_costo]]="","",_xlfn.XLOOKUP(tblOrdenes[[#This Row],[centro_costo]],tblCECO[codigo],tblCECO[area],"(sin catálogo)"))</f>
        <v/>
      </c>
      <c r="W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3">
        <f>IF(tblOrdenes[[#This Row],[centro_costo]]="","",_xlfn.XLOOKUP(tblOrdenes[[#This Row],[centro_costo]],tblCECO[codigo],tblCECO[coordinador],"(sin catálogo)"))</f>
        <v/>
      </c>
      <c r="Y1096" s="3">
        <f>IF(tblOrdenes[[#This Row],[puesto_trabajo]]="","",_xlfn.XLOOKUP(tblOrdenes[[#This Row],[puesto_trabajo]],tblPuestos[codigo],tblPuestos[especialidad],"(sin catálogo)"))</f>
        <v/>
      </c>
      <c r="Z1096" s="3">
        <f>IF(tblOrdenes[[#This Row],[cod_actividad]]="","",_xlfn.XLOOKUP(tblOrdenes[[#This Row],[cod_actividad]],tblActividades[codigo],tblActividades[descripcion],"(sin catálogo)"))</f>
        <v/>
      </c>
      <c r="AA1096" s="12">
        <f>IF(tblOrdenes[[#This Row],[fecha_inicio]]="","",TODAY()-tblOrdenes[[#This Row],[fecha_inicio]])</f>
        <v/>
      </c>
      <c r="AB10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3">
        <f>IF(tblOrdenes[[#This Row],[backlog_habiles]]="","",IF(tblOrdenes[[#This Row],[backlog_habiles]]&lt;0,"FUTURO",IF(tblOrdenes[[#This Row],[backlog_habiles]]&gt;p_dias_backlog_max,"BACKLOG","MES CORRIENTE")))</f>
        <v/>
      </c>
      <c r="AD1096" s="3">
        <f>IF(tblOrdenes[[#This Row],[backlog_habiles]]="",FALSE,AND(tblOrdenes[[#This Row],[backlog_habiles]]&gt;p_dias_backlog_min,tblOrdenes[[#This Row],[backlog_habiles]]&lt;=p_dias_backlog_max))</f>
        <v/>
      </c>
      <c r="AE1096" s="6" t="n"/>
      <c r="AF10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0">
        <f>IF(tblOrdenes[[#This Row],[orden]]="","",_xlfn.XLOOKUP(tblOrdenes[[#This Row],[id_operacion]],tblEjecucion[id_operacion],tblEjecucion[precio],0))</f>
        <v/>
      </c>
      <c r="AJ1096" s="10">
        <f>IF(tblOrdenes[[#This Row],[orden]]="","",MAX(0,_xlfn.XLOOKUP(tblOrdenes[[#This Row],[id_operacion]],tblEjecucion[id_operacion],tblEjecucion[costo_plan_total],0)-tblOrdenes[[#This Row],[costo_servicio]]))</f>
        <v/>
      </c>
      <c r="AK1096" s="10">
        <f>IF(tblOrdenes[[#This Row],[orden]]="","",tblOrdenes[[#This Row],[costo_servicio]]+tblOrdenes[[#This Row],[costo_materiales]])</f>
        <v/>
      </c>
      <c r="AL1096" s="6" t="n"/>
      <c r="AM1096" s="6" t="n"/>
      <c r="AN1096" s="6" t="n"/>
      <c r="AO1096" s="3">
        <f>IF(tblOrdenes[[#This Row],[link_checklist]]="","",HYPERLINK(p_ruta_base_checklists&amp;tblOrdenes[[#This Row],[link_checklist]],"abrir"))</f>
        <v/>
      </c>
      <c r="AP1096" s="6" t="n"/>
      <c r="AQ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3">
        <f>IF(tblOrdenes[[#This Row],[tipo_ot]]="","",_xlfn.XLOOKUP(tblOrdenes[[#This Row],[tipo_ot]],tblTiposOT[codigo],tblTiposOT[clasificacion],"sin_clasificar"))</f>
        <v/>
      </c>
      <c r="U1097" s="3">
        <f>IF(tblOrdenes[[#This Row],[centro_costo]]="","",_xlfn.XLOOKUP(tblOrdenes[[#This Row],[centro_costo]],tblCECO[codigo],tblCECO[linea],"(sin catálogo)"))</f>
        <v/>
      </c>
      <c r="V1097" s="3">
        <f>IF(tblOrdenes[[#This Row],[centro_costo]]="","",_xlfn.XLOOKUP(tblOrdenes[[#This Row],[centro_costo]],tblCECO[codigo],tblCECO[area],"(sin catálogo)"))</f>
        <v/>
      </c>
      <c r="W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3">
        <f>IF(tblOrdenes[[#This Row],[centro_costo]]="","",_xlfn.XLOOKUP(tblOrdenes[[#This Row],[centro_costo]],tblCECO[codigo],tblCECO[coordinador],"(sin catálogo)"))</f>
        <v/>
      </c>
      <c r="Y1097" s="3">
        <f>IF(tblOrdenes[[#This Row],[puesto_trabajo]]="","",_xlfn.XLOOKUP(tblOrdenes[[#This Row],[puesto_trabajo]],tblPuestos[codigo],tblPuestos[especialidad],"(sin catálogo)"))</f>
        <v/>
      </c>
      <c r="Z1097" s="3">
        <f>IF(tblOrdenes[[#This Row],[cod_actividad]]="","",_xlfn.XLOOKUP(tblOrdenes[[#This Row],[cod_actividad]],tblActividades[codigo],tblActividades[descripcion],"(sin catálogo)"))</f>
        <v/>
      </c>
      <c r="AA1097" s="12">
        <f>IF(tblOrdenes[[#This Row],[fecha_inicio]]="","",TODAY()-tblOrdenes[[#This Row],[fecha_inicio]])</f>
        <v/>
      </c>
      <c r="AB10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3">
        <f>IF(tblOrdenes[[#This Row],[backlog_habiles]]="","",IF(tblOrdenes[[#This Row],[backlog_habiles]]&lt;0,"FUTURO",IF(tblOrdenes[[#This Row],[backlog_habiles]]&gt;p_dias_backlog_max,"BACKLOG","MES CORRIENTE")))</f>
        <v/>
      </c>
      <c r="AD1097" s="3">
        <f>IF(tblOrdenes[[#This Row],[backlog_habiles]]="",FALSE,AND(tblOrdenes[[#This Row],[backlog_habiles]]&gt;p_dias_backlog_min,tblOrdenes[[#This Row],[backlog_habiles]]&lt;=p_dias_backlog_max))</f>
        <v/>
      </c>
      <c r="AE1097" s="6" t="n"/>
      <c r="AF10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0">
        <f>IF(tblOrdenes[[#This Row],[orden]]="","",_xlfn.XLOOKUP(tblOrdenes[[#This Row],[id_operacion]],tblEjecucion[id_operacion],tblEjecucion[precio],0))</f>
        <v/>
      </c>
      <c r="AJ1097" s="10">
        <f>IF(tblOrdenes[[#This Row],[orden]]="","",MAX(0,_xlfn.XLOOKUP(tblOrdenes[[#This Row],[id_operacion]],tblEjecucion[id_operacion],tblEjecucion[costo_plan_total],0)-tblOrdenes[[#This Row],[costo_servicio]]))</f>
        <v/>
      </c>
      <c r="AK1097" s="10">
        <f>IF(tblOrdenes[[#This Row],[orden]]="","",tblOrdenes[[#This Row],[costo_servicio]]+tblOrdenes[[#This Row],[costo_materiales]])</f>
        <v/>
      </c>
      <c r="AL1097" s="6" t="n"/>
      <c r="AM1097" s="6" t="n"/>
      <c r="AN1097" s="6" t="n"/>
      <c r="AO1097" s="3">
        <f>IF(tblOrdenes[[#This Row],[link_checklist]]="","",HYPERLINK(p_ruta_base_checklists&amp;tblOrdenes[[#This Row],[link_checklist]],"abrir"))</f>
        <v/>
      </c>
      <c r="AP1097" s="6" t="n"/>
      <c r="AQ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3">
        <f>IF(tblOrdenes[[#This Row],[tipo_ot]]="","",_xlfn.XLOOKUP(tblOrdenes[[#This Row],[tipo_ot]],tblTiposOT[codigo],tblTiposOT[clasificacion],"sin_clasificar"))</f>
        <v/>
      </c>
      <c r="U1098" s="3">
        <f>IF(tblOrdenes[[#This Row],[centro_costo]]="","",_xlfn.XLOOKUP(tblOrdenes[[#This Row],[centro_costo]],tblCECO[codigo],tblCECO[linea],"(sin catálogo)"))</f>
        <v/>
      </c>
      <c r="V1098" s="3">
        <f>IF(tblOrdenes[[#This Row],[centro_costo]]="","",_xlfn.XLOOKUP(tblOrdenes[[#This Row],[centro_costo]],tblCECO[codigo],tblCECO[area],"(sin catálogo)"))</f>
        <v/>
      </c>
      <c r="W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3">
        <f>IF(tblOrdenes[[#This Row],[centro_costo]]="","",_xlfn.XLOOKUP(tblOrdenes[[#This Row],[centro_costo]],tblCECO[codigo],tblCECO[coordinador],"(sin catálogo)"))</f>
        <v/>
      </c>
      <c r="Y1098" s="3">
        <f>IF(tblOrdenes[[#This Row],[puesto_trabajo]]="","",_xlfn.XLOOKUP(tblOrdenes[[#This Row],[puesto_trabajo]],tblPuestos[codigo],tblPuestos[especialidad],"(sin catálogo)"))</f>
        <v/>
      </c>
      <c r="Z1098" s="3">
        <f>IF(tblOrdenes[[#This Row],[cod_actividad]]="","",_xlfn.XLOOKUP(tblOrdenes[[#This Row],[cod_actividad]],tblActividades[codigo],tblActividades[descripcion],"(sin catálogo)"))</f>
        <v/>
      </c>
      <c r="AA1098" s="12">
        <f>IF(tblOrdenes[[#This Row],[fecha_inicio]]="","",TODAY()-tblOrdenes[[#This Row],[fecha_inicio]])</f>
        <v/>
      </c>
      <c r="AB10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3">
        <f>IF(tblOrdenes[[#This Row],[backlog_habiles]]="","",IF(tblOrdenes[[#This Row],[backlog_habiles]]&lt;0,"FUTURO",IF(tblOrdenes[[#This Row],[backlog_habiles]]&gt;p_dias_backlog_max,"BACKLOG","MES CORRIENTE")))</f>
        <v/>
      </c>
      <c r="AD1098" s="3">
        <f>IF(tblOrdenes[[#This Row],[backlog_habiles]]="",FALSE,AND(tblOrdenes[[#This Row],[backlog_habiles]]&gt;p_dias_backlog_min,tblOrdenes[[#This Row],[backlog_habiles]]&lt;=p_dias_backlog_max))</f>
        <v/>
      </c>
      <c r="AE1098" s="6" t="n"/>
      <c r="AF10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0">
        <f>IF(tblOrdenes[[#This Row],[orden]]="","",_xlfn.XLOOKUP(tblOrdenes[[#This Row],[id_operacion]],tblEjecucion[id_operacion],tblEjecucion[precio],0))</f>
        <v/>
      </c>
      <c r="AJ1098" s="10">
        <f>IF(tblOrdenes[[#This Row],[orden]]="","",MAX(0,_xlfn.XLOOKUP(tblOrdenes[[#This Row],[id_operacion]],tblEjecucion[id_operacion],tblEjecucion[costo_plan_total],0)-tblOrdenes[[#This Row],[costo_servicio]]))</f>
        <v/>
      </c>
      <c r="AK1098" s="10">
        <f>IF(tblOrdenes[[#This Row],[orden]]="","",tblOrdenes[[#This Row],[costo_servicio]]+tblOrdenes[[#This Row],[costo_materiales]])</f>
        <v/>
      </c>
      <c r="AL1098" s="6" t="n"/>
      <c r="AM1098" s="6" t="n"/>
      <c r="AN1098" s="6" t="n"/>
      <c r="AO1098" s="3">
        <f>IF(tblOrdenes[[#This Row],[link_checklist]]="","",HYPERLINK(p_ruta_base_checklists&amp;tblOrdenes[[#This Row],[link_checklist]],"abrir"))</f>
        <v/>
      </c>
      <c r="AP1098" s="6" t="n"/>
      <c r="AQ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3">
        <f>IF(tblOrdenes[[#This Row],[tipo_ot]]="","",_xlfn.XLOOKUP(tblOrdenes[[#This Row],[tipo_ot]],tblTiposOT[codigo],tblTiposOT[clasificacion],"sin_clasificar"))</f>
        <v/>
      </c>
      <c r="U1099" s="3">
        <f>IF(tblOrdenes[[#This Row],[centro_costo]]="","",_xlfn.XLOOKUP(tblOrdenes[[#This Row],[centro_costo]],tblCECO[codigo],tblCECO[linea],"(sin catálogo)"))</f>
        <v/>
      </c>
      <c r="V1099" s="3">
        <f>IF(tblOrdenes[[#This Row],[centro_costo]]="","",_xlfn.XLOOKUP(tblOrdenes[[#This Row],[centro_costo]],tblCECO[codigo],tblCECO[area],"(sin catálogo)"))</f>
        <v/>
      </c>
      <c r="W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3">
        <f>IF(tblOrdenes[[#This Row],[centro_costo]]="","",_xlfn.XLOOKUP(tblOrdenes[[#This Row],[centro_costo]],tblCECO[codigo],tblCECO[coordinador],"(sin catálogo)"))</f>
        <v/>
      </c>
      <c r="Y1099" s="3">
        <f>IF(tblOrdenes[[#This Row],[puesto_trabajo]]="","",_xlfn.XLOOKUP(tblOrdenes[[#This Row],[puesto_trabajo]],tblPuestos[codigo],tblPuestos[especialidad],"(sin catálogo)"))</f>
        <v/>
      </c>
      <c r="Z1099" s="3">
        <f>IF(tblOrdenes[[#This Row],[cod_actividad]]="","",_xlfn.XLOOKUP(tblOrdenes[[#This Row],[cod_actividad]],tblActividades[codigo],tblActividades[descripcion],"(sin catálogo)"))</f>
        <v/>
      </c>
      <c r="AA1099" s="12">
        <f>IF(tblOrdenes[[#This Row],[fecha_inicio]]="","",TODAY()-tblOrdenes[[#This Row],[fecha_inicio]])</f>
        <v/>
      </c>
      <c r="AB10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3">
        <f>IF(tblOrdenes[[#This Row],[backlog_habiles]]="","",IF(tblOrdenes[[#This Row],[backlog_habiles]]&lt;0,"FUTURO",IF(tblOrdenes[[#This Row],[backlog_habiles]]&gt;p_dias_backlog_max,"BACKLOG","MES CORRIENTE")))</f>
        <v/>
      </c>
      <c r="AD1099" s="3">
        <f>IF(tblOrdenes[[#This Row],[backlog_habiles]]="",FALSE,AND(tblOrdenes[[#This Row],[backlog_habiles]]&gt;p_dias_backlog_min,tblOrdenes[[#This Row],[backlog_habiles]]&lt;=p_dias_backlog_max))</f>
        <v/>
      </c>
      <c r="AE1099" s="6" t="n"/>
      <c r="AF10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0">
        <f>IF(tblOrdenes[[#This Row],[orden]]="","",_xlfn.XLOOKUP(tblOrdenes[[#This Row],[id_operacion]],tblEjecucion[id_operacion],tblEjecucion[precio],0))</f>
        <v/>
      </c>
      <c r="AJ1099" s="10">
        <f>IF(tblOrdenes[[#This Row],[orden]]="","",MAX(0,_xlfn.XLOOKUP(tblOrdenes[[#This Row],[id_operacion]],tblEjecucion[id_operacion],tblEjecucion[costo_plan_total],0)-tblOrdenes[[#This Row],[costo_servicio]]))</f>
        <v/>
      </c>
      <c r="AK1099" s="10">
        <f>IF(tblOrdenes[[#This Row],[orden]]="","",tblOrdenes[[#This Row],[costo_servicio]]+tblOrdenes[[#This Row],[costo_materiales]])</f>
        <v/>
      </c>
      <c r="AL1099" s="6" t="n"/>
      <c r="AM1099" s="6" t="n"/>
      <c r="AN1099" s="6" t="n"/>
      <c r="AO1099" s="3">
        <f>IF(tblOrdenes[[#This Row],[link_checklist]]="","",HYPERLINK(p_ruta_base_checklists&amp;tblOrdenes[[#This Row],[link_checklist]],"abrir"))</f>
        <v/>
      </c>
      <c r="AP1099" s="6" t="n"/>
      <c r="AQ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3">
        <f>IF(tblOrdenes[[#This Row],[tipo_ot]]="","",_xlfn.XLOOKUP(tblOrdenes[[#This Row],[tipo_ot]],tblTiposOT[codigo],tblTiposOT[clasificacion],"sin_clasificar"))</f>
        <v/>
      </c>
      <c r="U1100" s="3">
        <f>IF(tblOrdenes[[#This Row],[centro_costo]]="","",_xlfn.XLOOKUP(tblOrdenes[[#This Row],[centro_costo]],tblCECO[codigo],tblCECO[linea],"(sin catálogo)"))</f>
        <v/>
      </c>
      <c r="V1100" s="3">
        <f>IF(tblOrdenes[[#This Row],[centro_costo]]="","",_xlfn.XLOOKUP(tblOrdenes[[#This Row],[centro_costo]],tblCECO[codigo],tblCECO[area],"(sin catálogo)"))</f>
        <v/>
      </c>
      <c r="W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3">
        <f>IF(tblOrdenes[[#This Row],[centro_costo]]="","",_xlfn.XLOOKUP(tblOrdenes[[#This Row],[centro_costo]],tblCECO[codigo],tblCECO[coordinador],"(sin catálogo)"))</f>
        <v/>
      </c>
      <c r="Y1100" s="3">
        <f>IF(tblOrdenes[[#This Row],[puesto_trabajo]]="","",_xlfn.XLOOKUP(tblOrdenes[[#This Row],[puesto_trabajo]],tblPuestos[codigo],tblPuestos[especialidad],"(sin catálogo)"))</f>
        <v/>
      </c>
      <c r="Z1100" s="3">
        <f>IF(tblOrdenes[[#This Row],[cod_actividad]]="","",_xlfn.XLOOKUP(tblOrdenes[[#This Row],[cod_actividad]],tblActividades[codigo],tblActividades[descripcion],"(sin catálogo)"))</f>
        <v/>
      </c>
      <c r="AA1100" s="12">
        <f>IF(tblOrdenes[[#This Row],[fecha_inicio]]="","",TODAY()-tblOrdenes[[#This Row],[fecha_inicio]])</f>
        <v/>
      </c>
      <c r="AB11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3">
        <f>IF(tblOrdenes[[#This Row],[backlog_habiles]]="","",IF(tblOrdenes[[#This Row],[backlog_habiles]]&lt;0,"FUTURO",IF(tblOrdenes[[#This Row],[backlog_habiles]]&gt;p_dias_backlog_max,"BACKLOG","MES CORRIENTE")))</f>
        <v/>
      </c>
      <c r="AD1100" s="3">
        <f>IF(tblOrdenes[[#This Row],[backlog_habiles]]="",FALSE,AND(tblOrdenes[[#This Row],[backlog_habiles]]&gt;p_dias_backlog_min,tblOrdenes[[#This Row],[backlog_habiles]]&lt;=p_dias_backlog_max))</f>
        <v/>
      </c>
      <c r="AE1100" s="6" t="n"/>
      <c r="AF1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0">
        <f>IF(tblOrdenes[[#This Row],[orden]]="","",_xlfn.XLOOKUP(tblOrdenes[[#This Row],[id_operacion]],tblEjecucion[id_operacion],tblEjecucion[precio],0))</f>
        <v/>
      </c>
      <c r="AJ1100" s="10">
        <f>IF(tblOrdenes[[#This Row],[orden]]="","",MAX(0,_xlfn.XLOOKUP(tblOrdenes[[#This Row],[id_operacion]],tblEjecucion[id_operacion],tblEjecucion[costo_plan_total],0)-tblOrdenes[[#This Row],[costo_servicio]]))</f>
        <v/>
      </c>
      <c r="AK1100" s="10">
        <f>IF(tblOrdenes[[#This Row],[orden]]="","",tblOrdenes[[#This Row],[costo_servicio]]+tblOrdenes[[#This Row],[costo_materiales]])</f>
        <v/>
      </c>
      <c r="AL1100" s="6" t="n"/>
      <c r="AM1100" s="6" t="n"/>
      <c r="AN1100" s="6" t="n"/>
      <c r="AO1100" s="3">
        <f>IF(tblOrdenes[[#This Row],[link_checklist]]="","",HYPERLINK(p_ruta_base_checklists&amp;tblOrdenes[[#This Row],[link_checklist]],"abrir"))</f>
        <v/>
      </c>
      <c r="AP1100" s="6" t="n"/>
      <c r="AQ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3">
        <f>IF(tblOrdenes[[#This Row],[tipo_ot]]="","",_xlfn.XLOOKUP(tblOrdenes[[#This Row],[tipo_ot]],tblTiposOT[codigo],tblTiposOT[clasificacion],"sin_clasificar"))</f>
        <v/>
      </c>
      <c r="U1101" s="3">
        <f>IF(tblOrdenes[[#This Row],[centro_costo]]="","",_xlfn.XLOOKUP(tblOrdenes[[#This Row],[centro_costo]],tblCECO[codigo],tblCECO[linea],"(sin catálogo)"))</f>
        <v/>
      </c>
      <c r="V1101" s="3">
        <f>IF(tblOrdenes[[#This Row],[centro_costo]]="","",_xlfn.XLOOKUP(tblOrdenes[[#This Row],[centro_costo]],tblCECO[codigo],tblCECO[area],"(sin catálogo)"))</f>
        <v/>
      </c>
      <c r="W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3">
        <f>IF(tblOrdenes[[#This Row],[centro_costo]]="","",_xlfn.XLOOKUP(tblOrdenes[[#This Row],[centro_costo]],tblCECO[codigo],tblCECO[coordinador],"(sin catálogo)"))</f>
        <v/>
      </c>
      <c r="Y1101" s="3">
        <f>IF(tblOrdenes[[#This Row],[puesto_trabajo]]="","",_xlfn.XLOOKUP(tblOrdenes[[#This Row],[puesto_trabajo]],tblPuestos[codigo],tblPuestos[especialidad],"(sin catálogo)"))</f>
        <v/>
      </c>
      <c r="Z1101" s="3">
        <f>IF(tblOrdenes[[#This Row],[cod_actividad]]="","",_xlfn.XLOOKUP(tblOrdenes[[#This Row],[cod_actividad]],tblActividades[codigo],tblActividades[descripcion],"(sin catálogo)"))</f>
        <v/>
      </c>
      <c r="AA1101" s="12">
        <f>IF(tblOrdenes[[#This Row],[fecha_inicio]]="","",TODAY()-tblOrdenes[[#This Row],[fecha_inicio]])</f>
        <v/>
      </c>
      <c r="AB11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3">
        <f>IF(tblOrdenes[[#This Row],[backlog_habiles]]="","",IF(tblOrdenes[[#This Row],[backlog_habiles]]&lt;0,"FUTURO",IF(tblOrdenes[[#This Row],[backlog_habiles]]&gt;p_dias_backlog_max,"BACKLOG","MES CORRIENTE")))</f>
        <v/>
      </c>
      <c r="AD1101" s="3">
        <f>IF(tblOrdenes[[#This Row],[backlog_habiles]]="",FALSE,AND(tblOrdenes[[#This Row],[backlog_habiles]]&gt;p_dias_backlog_min,tblOrdenes[[#This Row],[backlog_habiles]]&lt;=p_dias_backlog_max))</f>
        <v/>
      </c>
      <c r="AE1101" s="6" t="n"/>
      <c r="AF1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0">
        <f>IF(tblOrdenes[[#This Row],[orden]]="","",_xlfn.XLOOKUP(tblOrdenes[[#This Row],[id_operacion]],tblEjecucion[id_operacion],tblEjecucion[precio],0))</f>
        <v/>
      </c>
      <c r="AJ1101" s="10">
        <f>IF(tblOrdenes[[#This Row],[orden]]="","",MAX(0,_xlfn.XLOOKUP(tblOrdenes[[#This Row],[id_operacion]],tblEjecucion[id_operacion],tblEjecucion[costo_plan_total],0)-tblOrdenes[[#This Row],[costo_servicio]]))</f>
        <v/>
      </c>
      <c r="AK1101" s="10">
        <f>IF(tblOrdenes[[#This Row],[orden]]="","",tblOrdenes[[#This Row],[costo_servicio]]+tblOrdenes[[#This Row],[costo_materiales]])</f>
        <v/>
      </c>
      <c r="AL1101" s="6" t="n"/>
      <c r="AM1101" s="6" t="n"/>
      <c r="AN1101" s="6" t="n"/>
      <c r="AO1101" s="3">
        <f>IF(tblOrdenes[[#This Row],[link_checklist]]="","",HYPERLINK(p_ruta_base_checklists&amp;tblOrdenes[[#This Row],[link_checklist]],"abrir"))</f>
        <v/>
      </c>
      <c r="AP1101" s="6" t="n"/>
      <c r="AQ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3">
        <f>IF(tblOrdenes[[#This Row],[tipo_ot]]="","",_xlfn.XLOOKUP(tblOrdenes[[#This Row],[tipo_ot]],tblTiposOT[codigo],tblTiposOT[clasificacion],"sin_clasificar"))</f>
        <v/>
      </c>
      <c r="U1102" s="3">
        <f>IF(tblOrdenes[[#This Row],[centro_costo]]="","",_xlfn.XLOOKUP(tblOrdenes[[#This Row],[centro_costo]],tblCECO[codigo],tblCECO[linea],"(sin catálogo)"))</f>
        <v/>
      </c>
      <c r="V1102" s="3">
        <f>IF(tblOrdenes[[#This Row],[centro_costo]]="","",_xlfn.XLOOKUP(tblOrdenes[[#This Row],[centro_costo]],tblCECO[codigo],tblCECO[area],"(sin catálogo)"))</f>
        <v/>
      </c>
      <c r="W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3">
        <f>IF(tblOrdenes[[#This Row],[centro_costo]]="","",_xlfn.XLOOKUP(tblOrdenes[[#This Row],[centro_costo]],tblCECO[codigo],tblCECO[coordinador],"(sin catálogo)"))</f>
        <v/>
      </c>
      <c r="Y1102" s="3">
        <f>IF(tblOrdenes[[#This Row],[puesto_trabajo]]="","",_xlfn.XLOOKUP(tblOrdenes[[#This Row],[puesto_trabajo]],tblPuestos[codigo],tblPuestos[especialidad],"(sin catálogo)"))</f>
        <v/>
      </c>
      <c r="Z1102" s="3">
        <f>IF(tblOrdenes[[#This Row],[cod_actividad]]="","",_xlfn.XLOOKUP(tblOrdenes[[#This Row],[cod_actividad]],tblActividades[codigo],tblActividades[descripcion],"(sin catálogo)"))</f>
        <v/>
      </c>
      <c r="AA1102" s="12">
        <f>IF(tblOrdenes[[#This Row],[fecha_inicio]]="","",TODAY()-tblOrdenes[[#This Row],[fecha_inicio]])</f>
        <v/>
      </c>
      <c r="AB11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3">
        <f>IF(tblOrdenes[[#This Row],[backlog_habiles]]="","",IF(tblOrdenes[[#This Row],[backlog_habiles]]&lt;0,"FUTURO",IF(tblOrdenes[[#This Row],[backlog_habiles]]&gt;p_dias_backlog_max,"BACKLOG","MES CORRIENTE")))</f>
        <v/>
      </c>
      <c r="AD1102" s="3">
        <f>IF(tblOrdenes[[#This Row],[backlog_habiles]]="",FALSE,AND(tblOrdenes[[#This Row],[backlog_habiles]]&gt;p_dias_backlog_min,tblOrdenes[[#This Row],[backlog_habiles]]&lt;=p_dias_backlog_max))</f>
        <v/>
      </c>
      <c r="AE1102" s="6" t="n"/>
      <c r="AF1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0">
        <f>IF(tblOrdenes[[#This Row],[orden]]="","",_xlfn.XLOOKUP(tblOrdenes[[#This Row],[id_operacion]],tblEjecucion[id_operacion],tblEjecucion[precio],0))</f>
        <v/>
      </c>
      <c r="AJ1102" s="10">
        <f>IF(tblOrdenes[[#This Row],[orden]]="","",MAX(0,_xlfn.XLOOKUP(tblOrdenes[[#This Row],[id_operacion]],tblEjecucion[id_operacion],tblEjecucion[costo_plan_total],0)-tblOrdenes[[#This Row],[costo_servicio]]))</f>
        <v/>
      </c>
      <c r="AK1102" s="10">
        <f>IF(tblOrdenes[[#This Row],[orden]]="","",tblOrdenes[[#This Row],[costo_servicio]]+tblOrdenes[[#This Row],[costo_materiales]])</f>
        <v/>
      </c>
      <c r="AL1102" s="6" t="n"/>
      <c r="AM1102" s="6" t="n"/>
      <c r="AN1102" s="6" t="n"/>
      <c r="AO1102" s="3">
        <f>IF(tblOrdenes[[#This Row],[link_checklist]]="","",HYPERLINK(p_ruta_base_checklists&amp;tblOrdenes[[#This Row],[link_checklist]],"abrir"))</f>
        <v/>
      </c>
      <c r="AP1102" s="6" t="n"/>
      <c r="AQ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3">
        <f>IF(tblOrdenes[[#This Row],[tipo_ot]]="","",_xlfn.XLOOKUP(tblOrdenes[[#This Row],[tipo_ot]],tblTiposOT[codigo],tblTiposOT[clasificacion],"sin_clasificar"))</f>
        <v/>
      </c>
      <c r="U1103" s="3">
        <f>IF(tblOrdenes[[#This Row],[centro_costo]]="","",_xlfn.XLOOKUP(tblOrdenes[[#This Row],[centro_costo]],tblCECO[codigo],tblCECO[linea],"(sin catálogo)"))</f>
        <v/>
      </c>
      <c r="V1103" s="3">
        <f>IF(tblOrdenes[[#This Row],[centro_costo]]="","",_xlfn.XLOOKUP(tblOrdenes[[#This Row],[centro_costo]],tblCECO[codigo],tblCECO[area],"(sin catálogo)"))</f>
        <v/>
      </c>
      <c r="W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3">
        <f>IF(tblOrdenes[[#This Row],[centro_costo]]="","",_xlfn.XLOOKUP(tblOrdenes[[#This Row],[centro_costo]],tblCECO[codigo],tblCECO[coordinador],"(sin catálogo)"))</f>
        <v/>
      </c>
      <c r="Y1103" s="3">
        <f>IF(tblOrdenes[[#This Row],[puesto_trabajo]]="","",_xlfn.XLOOKUP(tblOrdenes[[#This Row],[puesto_trabajo]],tblPuestos[codigo],tblPuestos[especialidad],"(sin catálogo)"))</f>
        <v/>
      </c>
      <c r="Z1103" s="3">
        <f>IF(tblOrdenes[[#This Row],[cod_actividad]]="","",_xlfn.XLOOKUP(tblOrdenes[[#This Row],[cod_actividad]],tblActividades[codigo],tblActividades[descripcion],"(sin catálogo)"))</f>
        <v/>
      </c>
      <c r="AA1103" s="12">
        <f>IF(tblOrdenes[[#This Row],[fecha_inicio]]="","",TODAY()-tblOrdenes[[#This Row],[fecha_inicio]])</f>
        <v/>
      </c>
      <c r="AB11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3">
        <f>IF(tblOrdenes[[#This Row],[backlog_habiles]]="","",IF(tblOrdenes[[#This Row],[backlog_habiles]]&lt;0,"FUTURO",IF(tblOrdenes[[#This Row],[backlog_habiles]]&gt;p_dias_backlog_max,"BACKLOG","MES CORRIENTE")))</f>
        <v/>
      </c>
      <c r="AD1103" s="3">
        <f>IF(tblOrdenes[[#This Row],[backlog_habiles]]="",FALSE,AND(tblOrdenes[[#This Row],[backlog_habiles]]&gt;p_dias_backlog_min,tblOrdenes[[#This Row],[backlog_habiles]]&lt;=p_dias_backlog_max))</f>
        <v/>
      </c>
      <c r="AE1103" s="6" t="n"/>
      <c r="AF1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0">
        <f>IF(tblOrdenes[[#This Row],[orden]]="","",_xlfn.XLOOKUP(tblOrdenes[[#This Row],[id_operacion]],tblEjecucion[id_operacion],tblEjecucion[precio],0))</f>
        <v/>
      </c>
      <c r="AJ1103" s="10">
        <f>IF(tblOrdenes[[#This Row],[orden]]="","",MAX(0,_xlfn.XLOOKUP(tblOrdenes[[#This Row],[id_operacion]],tblEjecucion[id_operacion],tblEjecucion[costo_plan_total],0)-tblOrdenes[[#This Row],[costo_servicio]]))</f>
        <v/>
      </c>
      <c r="AK1103" s="10">
        <f>IF(tblOrdenes[[#This Row],[orden]]="","",tblOrdenes[[#This Row],[costo_servicio]]+tblOrdenes[[#This Row],[costo_materiales]])</f>
        <v/>
      </c>
      <c r="AL1103" s="6" t="n"/>
      <c r="AM1103" s="6" t="n"/>
      <c r="AN1103" s="6" t="n"/>
      <c r="AO1103" s="3">
        <f>IF(tblOrdenes[[#This Row],[link_checklist]]="","",HYPERLINK(p_ruta_base_checklists&amp;tblOrdenes[[#This Row],[link_checklist]],"abrir"))</f>
        <v/>
      </c>
      <c r="AP1103" s="6" t="n"/>
      <c r="AQ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3">
        <f>IF(tblOrdenes[[#This Row],[tipo_ot]]="","",_xlfn.XLOOKUP(tblOrdenes[[#This Row],[tipo_ot]],tblTiposOT[codigo],tblTiposOT[clasificacion],"sin_clasificar"))</f>
        <v/>
      </c>
      <c r="U1104" s="3">
        <f>IF(tblOrdenes[[#This Row],[centro_costo]]="","",_xlfn.XLOOKUP(tblOrdenes[[#This Row],[centro_costo]],tblCECO[codigo],tblCECO[linea],"(sin catálogo)"))</f>
        <v/>
      </c>
      <c r="V1104" s="3">
        <f>IF(tblOrdenes[[#This Row],[centro_costo]]="","",_xlfn.XLOOKUP(tblOrdenes[[#This Row],[centro_costo]],tblCECO[codigo],tblCECO[area],"(sin catálogo)"))</f>
        <v/>
      </c>
      <c r="W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3">
        <f>IF(tblOrdenes[[#This Row],[centro_costo]]="","",_xlfn.XLOOKUP(tblOrdenes[[#This Row],[centro_costo]],tblCECO[codigo],tblCECO[coordinador],"(sin catálogo)"))</f>
        <v/>
      </c>
      <c r="Y1104" s="3">
        <f>IF(tblOrdenes[[#This Row],[puesto_trabajo]]="","",_xlfn.XLOOKUP(tblOrdenes[[#This Row],[puesto_trabajo]],tblPuestos[codigo],tblPuestos[especialidad],"(sin catálogo)"))</f>
        <v/>
      </c>
      <c r="Z1104" s="3">
        <f>IF(tblOrdenes[[#This Row],[cod_actividad]]="","",_xlfn.XLOOKUP(tblOrdenes[[#This Row],[cod_actividad]],tblActividades[codigo],tblActividades[descripcion],"(sin catálogo)"))</f>
        <v/>
      </c>
      <c r="AA1104" s="12">
        <f>IF(tblOrdenes[[#This Row],[fecha_inicio]]="","",TODAY()-tblOrdenes[[#This Row],[fecha_inicio]])</f>
        <v/>
      </c>
      <c r="AB110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3">
        <f>IF(tblOrdenes[[#This Row],[backlog_habiles]]="","",IF(tblOrdenes[[#This Row],[backlog_habiles]]&lt;0,"FUTURO",IF(tblOrdenes[[#This Row],[backlog_habiles]]&gt;p_dias_backlog_max,"BACKLOG","MES CORRIENTE")))</f>
        <v/>
      </c>
      <c r="AD1104" s="3">
        <f>IF(tblOrdenes[[#This Row],[backlog_habiles]]="",FALSE,AND(tblOrdenes[[#This Row],[backlog_habiles]]&gt;p_dias_backlog_min,tblOrdenes[[#This Row],[backlog_habiles]]&lt;=p_dias_backlog_max))</f>
        <v/>
      </c>
      <c r="AE1104" s="6" t="n"/>
      <c r="AF1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0">
        <f>IF(tblOrdenes[[#This Row],[orden]]="","",_xlfn.XLOOKUP(tblOrdenes[[#This Row],[id_operacion]],tblEjecucion[id_operacion],tblEjecucion[precio],0))</f>
        <v/>
      </c>
      <c r="AJ1104" s="10">
        <f>IF(tblOrdenes[[#This Row],[orden]]="","",MAX(0,_xlfn.XLOOKUP(tblOrdenes[[#This Row],[id_operacion]],tblEjecucion[id_operacion],tblEjecucion[costo_plan_total],0)-tblOrdenes[[#This Row],[costo_servicio]]))</f>
        <v/>
      </c>
      <c r="AK1104" s="10">
        <f>IF(tblOrdenes[[#This Row],[orden]]="","",tblOrdenes[[#This Row],[costo_servicio]]+tblOrdenes[[#This Row],[costo_materiales]])</f>
        <v/>
      </c>
      <c r="AL1104" s="6" t="n"/>
      <c r="AM1104" s="6" t="n"/>
      <c r="AN1104" s="6" t="n"/>
      <c r="AO1104" s="3">
        <f>IF(tblOrdenes[[#This Row],[link_checklist]]="","",HYPERLINK(p_ruta_base_checklists&amp;tblOrdenes[[#This Row],[link_checklist]],"abrir"))</f>
        <v/>
      </c>
      <c r="AP1104" s="6" t="n"/>
      <c r="AQ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3">
        <f>IF(tblOrdenes[[#This Row],[tipo_ot]]="","",_xlfn.XLOOKUP(tblOrdenes[[#This Row],[tipo_ot]],tblTiposOT[codigo],tblTiposOT[clasificacion],"sin_clasificar"))</f>
        <v/>
      </c>
      <c r="U1105" s="3">
        <f>IF(tblOrdenes[[#This Row],[centro_costo]]="","",_xlfn.XLOOKUP(tblOrdenes[[#This Row],[centro_costo]],tblCECO[codigo],tblCECO[linea],"(sin catálogo)"))</f>
        <v/>
      </c>
      <c r="V1105" s="3">
        <f>IF(tblOrdenes[[#This Row],[centro_costo]]="","",_xlfn.XLOOKUP(tblOrdenes[[#This Row],[centro_costo]],tblCECO[codigo],tblCECO[area],"(sin catálogo)"))</f>
        <v/>
      </c>
      <c r="W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3">
        <f>IF(tblOrdenes[[#This Row],[centro_costo]]="","",_xlfn.XLOOKUP(tblOrdenes[[#This Row],[centro_costo]],tblCECO[codigo],tblCECO[coordinador],"(sin catálogo)"))</f>
        <v/>
      </c>
      <c r="Y1105" s="3">
        <f>IF(tblOrdenes[[#This Row],[puesto_trabajo]]="","",_xlfn.XLOOKUP(tblOrdenes[[#This Row],[puesto_trabajo]],tblPuestos[codigo],tblPuestos[especialidad],"(sin catálogo)"))</f>
        <v/>
      </c>
      <c r="Z1105" s="3">
        <f>IF(tblOrdenes[[#This Row],[cod_actividad]]="","",_xlfn.XLOOKUP(tblOrdenes[[#This Row],[cod_actividad]],tblActividades[codigo],tblActividades[descripcion],"(sin catálogo)"))</f>
        <v/>
      </c>
      <c r="AA1105" s="12">
        <f>IF(tblOrdenes[[#This Row],[fecha_inicio]]="","",TODAY()-tblOrdenes[[#This Row],[fecha_inicio]])</f>
        <v/>
      </c>
      <c r="AB110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3">
        <f>IF(tblOrdenes[[#This Row],[backlog_habiles]]="","",IF(tblOrdenes[[#This Row],[backlog_habiles]]&lt;0,"FUTURO",IF(tblOrdenes[[#This Row],[backlog_habiles]]&gt;p_dias_backlog_max,"BACKLOG","MES CORRIENTE")))</f>
        <v/>
      </c>
      <c r="AD1105" s="3">
        <f>IF(tblOrdenes[[#This Row],[backlog_habiles]]="",FALSE,AND(tblOrdenes[[#This Row],[backlog_habiles]]&gt;p_dias_backlog_min,tblOrdenes[[#This Row],[backlog_habiles]]&lt;=p_dias_backlog_max))</f>
        <v/>
      </c>
      <c r="AE1105" s="6" t="n"/>
      <c r="AF1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0">
        <f>IF(tblOrdenes[[#This Row],[orden]]="","",_xlfn.XLOOKUP(tblOrdenes[[#This Row],[id_operacion]],tblEjecucion[id_operacion],tblEjecucion[precio],0))</f>
        <v/>
      </c>
      <c r="AJ1105" s="10">
        <f>IF(tblOrdenes[[#This Row],[orden]]="","",MAX(0,_xlfn.XLOOKUP(tblOrdenes[[#This Row],[id_operacion]],tblEjecucion[id_operacion],tblEjecucion[costo_plan_total],0)-tblOrdenes[[#This Row],[costo_servicio]]))</f>
        <v/>
      </c>
      <c r="AK1105" s="10">
        <f>IF(tblOrdenes[[#This Row],[orden]]="","",tblOrdenes[[#This Row],[costo_servicio]]+tblOrdenes[[#This Row],[costo_materiales]])</f>
        <v/>
      </c>
      <c r="AL1105" s="6" t="n"/>
      <c r="AM1105" s="6" t="n"/>
      <c r="AN1105" s="6" t="n"/>
      <c r="AO1105" s="3">
        <f>IF(tblOrdenes[[#This Row],[link_checklist]]="","",HYPERLINK(p_ruta_base_checklists&amp;tblOrdenes[[#This Row],[link_checklist]],"abrir"))</f>
        <v/>
      </c>
      <c r="AP1105" s="6" t="n"/>
      <c r="AQ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3">
        <f>IF(tblOrdenes[[#This Row],[tipo_ot]]="","",_xlfn.XLOOKUP(tblOrdenes[[#This Row],[tipo_ot]],tblTiposOT[codigo],tblTiposOT[clasificacion],"sin_clasificar"))</f>
        <v/>
      </c>
      <c r="U1106" s="3">
        <f>IF(tblOrdenes[[#This Row],[centro_costo]]="","",_xlfn.XLOOKUP(tblOrdenes[[#This Row],[centro_costo]],tblCECO[codigo],tblCECO[linea],"(sin catálogo)"))</f>
        <v/>
      </c>
      <c r="V1106" s="3">
        <f>IF(tblOrdenes[[#This Row],[centro_costo]]="","",_xlfn.XLOOKUP(tblOrdenes[[#This Row],[centro_costo]],tblCECO[codigo],tblCECO[area],"(sin catálogo)"))</f>
        <v/>
      </c>
      <c r="W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3">
        <f>IF(tblOrdenes[[#This Row],[centro_costo]]="","",_xlfn.XLOOKUP(tblOrdenes[[#This Row],[centro_costo]],tblCECO[codigo],tblCECO[coordinador],"(sin catálogo)"))</f>
        <v/>
      </c>
      <c r="Y1106" s="3">
        <f>IF(tblOrdenes[[#This Row],[puesto_trabajo]]="","",_xlfn.XLOOKUP(tblOrdenes[[#This Row],[puesto_trabajo]],tblPuestos[codigo],tblPuestos[especialidad],"(sin catálogo)"))</f>
        <v/>
      </c>
      <c r="Z1106" s="3">
        <f>IF(tblOrdenes[[#This Row],[cod_actividad]]="","",_xlfn.XLOOKUP(tblOrdenes[[#This Row],[cod_actividad]],tblActividades[codigo],tblActividades[descripcion],"(sin catálogo)"))</f>
        <v/>
      </c>
      <c r="AA1106" s="12">
        <f>IF(tblOrdenes[[#This Row],[fecha_inicio]]="","",TODAY()-tblOrdenes[[#This Row],[fecha_inicio]])</f>
        <v/>
      </c>
      <c r="AB110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3">
        <f>IF(tblOrdenes[[#This Row],[backlog_habiles]]="","",IF(tblOrdenes[[#This Row],[backlog_habiles]]&lt;0,"FUTURO",IF(tblOrdenes[[#This Row],[backlog_habiles]]&gt;p_dias_backlog_max,"BACKLOG","MES CORRIENTE")))</f>
        <v/>
      </c>
      <c r="AD1106" s="3">
        <f>IF(tblOrdenes[[#This Row],[backlog_habiles]]="",FALSE,AND(tblOrdenes[[#This Row],[backlog_habiles]]&gt;p_dias_backlog_min,tblOrdenes[[#This Row],[backlog_habiles]]&lt;=p_dias_backlog_max))</f>
        <v/>
      </c>
      <c r="AE1106" s="6" t="n"/>
      <c r="AF1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0">
        <f>IF(tblOrdenes[[#This Row],[orden]]="","",_xlfn.XLOOKUP(tblOrdenes[[#This Row],[id_operacion]],tblEjecucion[id_operacion],tblEjecucion[precio],0))</f>
        <v/>
      </c>
      <c r="AJ1106" s="10">
        <f>IF(tblOrdenes[[#This Row],[orden]]="","",MAX(0,_xlfn.XLOOKUP(tblOrdenes[[#This Row],[id_operacion]],tblEjecucion[id_operacion],tblEjecucion[costo_plan_total],0)-tblOrdenes[[#This Row],[costo_servicio]]))</f>
        <v/>
      </c>
      <c r="AK1106" s="10">
        <f>IF(tblOrdenes[[#This Row],[orden]]="","",tblOrdenes[[#This Row],[costo_servicio]]+tblOrdenes[[#This Row],[costo_materiales]])</f>
        <v/>
      </c>
      <c r="AL1106" s="6" t="n"/>
      <c r="AM1106" s="6" t="n"/>
      <c r="AN1106" s="6" t="n"/>
      <c r="AO1106" s="3">
        <f>IF(tblOrdenes[[#This Row],[link_checklist]]="","",HYPERLINK(p_ruta_base_checklists&amp;tblOrdenes[[#This Row],[link_checklist]],"abrir"))</f>
        <v/>
      </c>
      <c r="AP1106" s="6" t="n"/>
      <c r="AQ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3">
        <f>IF(tblOrdenes[[#This Row],[tipo_ot]]="","",_xlfn.XLOOKUP(tblOrdenes[[#This Row],[tipo_ot]],tblTiposOT[codigo],tblTiposOT[clasificacion],"sin_clasificar"))</f>
        <v/>
      </c>
      <c r="U1107" s="3">
        <f>IF(tblOrdenes[[#This Row],[centro_costo]]="","",_xlfn.XLOOKUP(tblOrdenes[[#This Row],[centro_costo]],tblCECO[codigo],tblCECO[linea],"(sin catálogo)"))</f>
        <v/>
      </c>
      <c r="V1107" s="3">
        <f>IF(tblOrdenes[[#This Row],[centro_costo]]="","",_xlfn.XLOOKUP(tblOrdenes[[#This Row],[centro_costo]],tblCECO[codigo],tblCECO[area],"(sin catálogo)"))</f>
        <v/>
      </c>
      <c r="W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3">
        <f>IF(tblOrdenes[[#This Row],[centro_costo]]="","",_xlfn.XLOOKUP(tblOrdenes[[#This Row],[centro_costo]],tblCECO[codigo],tblCECO[coordinador],"(sin catálogo)"))</f>
        <v/>
      </c>
      <c r="Y1107" s="3">
        <f>IF(tblOrdenes[[#This Row],[puesto_trabajo]]="","",_xlfn.XLOOKUP(tblOrdenes[[#This Row],[puesto_trabajo]],tblPuestos[codigo],tblPuestos[especialidad],"(sin catálogo)"))</f>
        <v/>
      </c>
      <c r="Z1107" s="3">
        <f>IF(tblOrdenes[[#This Row],[cod_actividad]]="","",_xlfn.XLOOKUP(tblOrdenes[[#This Row],[cod_actividad]],tblActividades[codigo],tblActividades[descripcion],"(sin catálogo)"))</f>
        <v/>
      </c>
      <c r="AA1107" s="12">
        <f>IF(tblOrdenes[[#This Row],[fecha_inicio]]="","",TODAY()-tblOrdenes[[#This Row],[fecha_inicio]])</f>
        <v/>
      </c>
      <c r="AB110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3">
        <f>IF(tblOrdenes[[#This Row],[backlog_habiles]]="","",IF(tblOrdenes[[#This Row],[backlog_habiles]]&lt;0,"FUTURO",IF(tblOrdenes[[#This Row],[backlog_habiles]]&gt;p_dias_backlog_max,"BACKLOG","MES CORRIENTE")))</f>
        <v/>
      </c>
      <c r="AD1107" s="3">
        <f>IF(tblOrdenes[[#This Row],[backlog_habiles]]="",FALSE,AND(tblOrdenes[[#This Row],[backlog_habiles]]&gt;p_dias_backlog_min,tblOrdenes[[#This Row],[backlog_habiles]]&lt;=p_dias_backlog_max))</f>
        <v/>
      </c>
      <c r="AE1107" s="6" t="n"/>
      <c r="AF1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0">
        <f>IF(tblOrdenes[[#This Row],[orden]]="","",_xlfn.XLOOKUP(tblOrdenes[[#This Row],[id_operacion]],tblEjecucion[id_operacion],tblEjecucion[precio],0))</f>
        <v/>
      </c>
      <c r="AJ1107" s="10">
        <f>IF(tblOrdenes[[#This Row],[orden]]="","",MAX(0,_xlfn.XLOOKUP(tblOrdenes[[#This Row],[id_operacion]],tblEjecucion[id_operacion],tblEjecucion[costo_plan_total],0)-tblOrdenes[[#This Row],[costo_servicio]]))</f>
        <v/>
      </c>
      <c r="AK1107" s="10">
        <f>IF(tblOrdenes[[#This Row],[orden]]="","",tblOrdenes[[#This Row],[costo_servicio]]+tblOrdenes[[#This Row],[costo_materiales]])</f>
        <v/>
      </c>
      <c r="AL1107" s="6" t="n"/>
      <c r="AM1107" s="6" t="n"/>
      <c r="AN1107" s="6" t="n"/>
      <c r="AO1107" s="3">
        <f>IF(tblOrdenes[[#This Row],[link_checklist]]="","",HYPERLINK(p_ruta_base_checklists&amp;tblOrdenes[[#This Row],[link_checklist]],"abrir"))</f>
        <v/>
      </c>
      <c r="AP1107" s="6" t="n"/>
      <c r="AQ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3">
        <f>IF(tblOrdenes[[#This Row],[tipo_ot]]="","",_xlfn.XLOOKUP(tblOrdenes[[#This Row],[tipo_ot]],tblTiposOT[codigo],tblTiposOT[clasificacion],"sin_clasificar"))</f>
        <v/>
      </c>
      <c r="U1108" s="3">
        <f>IF(tblOrdenes[[#This Row],[centro_costo]]="","",_xlfn.XLOOKUP(tblOrdenes[[#This Row],[centro_costo]],tblCECO[codigo],tblCECO[linea],"(sin catálogo)"))</f>
        <v/>
      </c>
      <c r="V1108" s="3">
        <f>IF(tblOrdenes[[#This Row],[centro_costo]]="","",_xlfn.XLOOKUP(tblOrdenes[[#This Row],[centro_costo]],tblCECO[codigo],tblCECO[area],"(sin catálogo)"))</f>
        <v/>
      </c>
      <c r="W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3">
        <f>IF(tblOrdenes[[#This Row],[centro_costo]]="","",_xlfn.XLOOKUP(tblOrdenes[[#This Row],[centro_costo]],tblCECO[codigo],tblCECO[coordinador],"(sin catálogo)"))</f>
        <v/>
      </c>
      <c r="Y1108" s="3">
        <f>IF(tblOrdenes[[#This Row],[puesto_trabajo]]="","",_xlfn.XLOOKUP(tblOrdenes[[#This Row],[puesto_trabajo]],tblPuestos[codigo],tblPuestos[especialidad],"(sin catálogo)"))</f>
        <v/>
      </c>
      <c r="Z1108" s="3">
        <f>IF(tblOrdenes[[#This Row],[cod_actividad]]="","",_xlfn.XLOOKUP(tblOrdenes[[#This Row],[cod_actividad]],tblActividades[codigo],tblActividades[descripcion],"(sin catálogo)"))</f>
        <v/>
      </c>
      <c r="AA1108" s="12">
        <f>IF(tblOrdenes[[#This Row],[fecha_inicio]]="","",TODAY()-tblOrdenes[[#This Row],[fecha_inicio]])</f>
        <v/>
      </c>
      <c r="AB110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3">
        <f>IF(tblOrdenes[[#This Row],[backlog_habiles]]="","",IF(tblOrdenes[[#This Row],[backlog_habiles]]&lt;0,"FUTURO",IF(tblOrdenes[[#This Row],[backlog_habiles]]&gt;p_dias_backlog_max,"BACKLOG","MES CORRIENTE")))</f>
        <v/>
      </c>
      <c r="AD1108" s="3">
        <f>IF(tblOrdenes[[#This Row],[backlog_habiles]]="",FALSE,AND(tblOrdenes[[#This Row],[backlog_habiles]]&gt;p_dias_backlog_min,tblOrdenes[[#This Row],[backlog_habiles]]&lt;=p_dias_backlog_max))</f>
        <v/>
      </c>
      <c r="AE1108" s="6" t="n"/>
      <c r="AF1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0">
        <f>IF(tblOrdenes[[#This Row],[orden]]="","",_xlfn.XLOOKUP(tblOrdenes[[#This Row],[id_operacion]],tblEjecucion[id_operacion],tblEjecucion[precio],0))</f>
        <v/>
      </c>
      <c r="AJ1108" s="10">
        <f>IF(tblOrdenes[[#This Row],[orden]]="","",MAX(0,_xlfn.XLOOKUP(tblOrdenes[[#This Row],[id_operacion]],tblEjecucion[id_operacion],tblEjecucion[costo_plan_total],0)-tblOrdenes[[#This Row],[costo_servicio]]))</f>
        <v/>
      </c>
      <c r="AK1108" s="10">
        <f>IF(tblOrdenes[[#This Row],[orden]]="","",tblOrdenes[[#This Row],[costo_servicio]]+tblOrdenes[[#This Row],[costo_materiales]])</f>
        <v/>
      </c>
      <c r="AL1108" s="6" t="n"/>
      <c r="AM1108" s="6" t="n"/>
      <c r="AN1108" s="6" t="n"/>
      <c r="AO1108" s="3">
        <f>IF(tblOrdenes[[#This Row],[link_checklist]]="","",HYPERLINK(p_ruta_base_checklists&amp;tblOrdenes[[#This Row],[link_checklist]],"abrir"))</f>
        <v/>
      </c>
      <c r="AP1108" s="6" t="n"/>
      <c r="AQ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3">
        <f>IF(tblOrdenes[[#This Row],[tipo_ot]]="","",_xlfn.XLOOKUP(tblOrdenes[[#This Row],[tipo_ot]],tblTiposOT[codigo],tblTiposOT[clasificacion],"sin_clasificar"))</f>
        <v/>
      </c>
      <c r="U1109" s="3">
        <f>IF(tblOrdenes[[#This Row],[centro_costo]]="","",_xlfn.XLOOKUP(tblOrdenes[[#This Row],[centro_costo]],tblCECO[codigo],tblCECO[linea],"(sin catálogo)"))</f>
        <v/>
      </c>
      <c r="V1109" s="3">
        <f>IF(tblOrdenes[[#This Row],[centro_costo]]="","",_xlfn.XLOOKUP(tblOrdenes[[#This Row],[centro_costo]],tblCECO[codigo],tblCECO[area],"(sin catálogo)"))</f>
        <v/>
      </c>
      <c r="W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3">
        <f>IF(tblOrdenes[[#This Row],[centro_costo]]="","",_xlfn.XLOOKUP(tblOrdenes[[#This Row],[centro_costo]],tblCECO[codigo],tblCECO[coordinador],"(sin catálogo)"))</f>
        <v/>
      </c>
      <c r="Y1109" s="3">
        <f>IF(tblOrdenes[[#This Row],[puesto_trabajo]]="","",_xlfn.XLOOKUP(tblOrdenes[[#This Row],[puesto_trabajo]],tblPuestos[codigo],tblPuestos[especialidad],"(sin catálogo)"))</f>
        <v/>
      </c>
      <c r="Z1109" s="3">
        <f>IF(tblOrdenes[[#This Row],[cod_actividad]]="","",_xlfn.XLOOKUP(tblOrdenes[[#This Row],[cod_actividad]],tblActividades[codigo],tblActividades[descripcion],"(sin catálogo)"))</f>
        <v/>
      </c>
      <c r="AA1109" s="12">
        <f>IF(tblOrdenes[[#This Row],[fecha_inicio]]="","",TODAY()-tblOrdenes[[#This Row],[fecha_inicio]])</f>
        <v/>
      </c>
      <c r="AB110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3">
        <f>IF(tblOrdenes[[#This Row],[backlog_habiles]]="","",IF(tblOrdenes[[#This Row],[backlog_habiles]]&lt;0,"FUTURO",IF(tblOrdenes[[#This Row],[backlog_habiles]]&gt;p_dias_backlog_max,"BACKLOG","MES CORRIENTE")))</f>
        <v/>
      </c>
      <c r="AD1109" s="3">
        <f>IF(tblOrdenes[[#This Row],[backlog_habiles]]="",FALSE,AND(tblOrdenes[[#This Row],[backlog_habiles]]&gt;p_dias_backlog_min,tblOrdenes[[#This Row],[backlog_habiles]]&lt;=p_dias_backlog_max))</f>
        <v/>
      </c>
      <c r="AE1109" s="6" t="n"/>
      <c r="AF1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0">
        <f>IF(tblOrdenes[[#This Row],[orden]]="","",_xlfn.XLOOKUP(tblOrdenes[[#This Row],[id_operacion]],tblEjecucion[id_operacion],tblEjecucion[precio],0))</f>
        <v/>
      </c>
      <c r="AJ1109" s="10">
        <f>IF(tblOrdenes[[#This Row],[orden]]="","",MAX(0,_xlfn.XLOOKUP(tblOrdenes[[#This Row],[id_operacion]],tblEjecucion[id_operacion],tblEjecucion[costo_plan_total],0)-tblOrdenes[[#This Row],[costo_servicio]]))</f>
        <v/>
      </c>
      <c r="AK1109" s="10">
        <f>IF(tblOrdenes[[#This Row],[orden]]="","",tblOrdenes[[#This Row],[costo_servicio]]+tblOrdenes[[#This Row],[costo_materiales]])</f>
        <v/>
      </c>
      <c r="AL1109" s="6" t="n"/>
      <c r="AM1109" s="6" t="n"/>
      <c r="AN1109" s="6" t="n"/>
      <c r="AO1109" s="3">
        <f>IF(tblOrdenes[[#This Row],[link_checklist]]="","",HYPERLINK(p_ruta_base_checklists&amp;tblOrdenes[[#This Row],[link_checklist]],"abrir"))</f>
        <v/>
      </c>
      <c r="AP1109" s="6" t="n"/>
      <c r="AQ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3">
        <f>IF(tblOrdenes[[#This Row],[tipo_ot]]="","",_xlfn.XLOOKUP(tblOrdenes[[#This Row],[tipo_ot]],tblTiposOT[codigo],tblTiposOT[clasificacion],"sin_clasificar"))</f>
        <v/>
      </c>
      <c r="U1110" s="3">
        <f>IF(tblOrdenes[[#This Row],[centro_costo]]="","",_xlfn.XLOOKUP(tblOrdenes[[#This Row],[centro_costo]],tblCECO[codigo],tblCECO[linea],"(sin catálogo)"))</f>
        <v/>
      </c>
      <c r="V1110" s="3">
        <f>IF(tblOrdenes[[#This Row],[centro_costo]]="","",_xlfn.XLOOKUP(tblOrdenes[[#This Row],[centro_costo]],tblCECO[codigo],tblCECO[area],"(sin catálogo)"))</f>
        <v/>
      </c>
      <c r="W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3">
        <f>IF(tblOrdenes[[#This Row],[centro_costo]]="","",_xlfn.XLOOKUP(tblOrdenes[[#This Row],[centro_costo]],tblCECO[codigo],tblCECO[coordinador],"(sin catálogo)"))</f>
        <v/>
      </c>
      <c r="Y1110" s="3">
        <f>IF(tblOrdenes[[#This Row],[puesto_trabajo]]="","",_xlfn.XLOOKUP(tblOrdenes[[#This Row],[puesto_trabajo]],tblPuestos[codigo],tblPuestos[especialidad],"(sin catálogo)"))</f>
        <v/>
      </c>
      <c r="Z1110" s="3">
        <f>IF(tblOrdenes[[#This Row],[cod_actividad]]="","",_xlfn.XLOOKUP(tblOrdenes[[#This Row],[cod_actividad]],tblActividades[codigo],tblActividades[descripcion],"(sin catálogo)"))</f>
        <v/>
      </c>
      <c r="AA1110" s="12">
        <f>IF(tblOrdenes[[#This Row],[fecha_inicio]]="","",TODAY()-tblOrdenes[[#This Row],[fecha_inicio]])</f>
        <v/>
      </c>
      <c r="AB111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3">
        <f>IF(tblOrdenes[[#This Row],[backlog_habiles]]="","",IF(tblOrdenes[[#This Row],[backlog_habiles]]&lt;0,"FUTURO",IF(tblOrdenes[[#This Row],[backlog_habiles]]&gt;p_dias_backlog_max,"BACKLOG","MES CORRIENTE")))</f>
        <v/>
      </c>
      <c r="AD1110" s="3">
        <f>IF(tblOrdenes[[#This Row],[backlog_habiles]]="",FALSE,AND(tblOrdenes[[#This Row],[backlog_habiles]]&gt;p_dias_backlog_min,tblOrdenes[[#This Row],[backlog_habiles]]&lt;=p_dias_backlog_max))</f>
        <v/>
      </c>
      <c r="AE1110" s="6" t="n"/>
      <c r="AF1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0">
        <f>IF(tblOrdenes[[#This Row],[orden]]="","",_xlfn.XLOOKUP(tblOrdenes[[#This Row],[id_operacion]],tblEjecucion[id_operacion],tblEjecucion[precio],0))</f>
        <v/>
      </c>
      <c r="AJ1110" s="10">
        <f>IF(tblOrdenes[[#This Row],[orden]]="","",MAX(0,_xlfn.XLOOKUP(tblOrdenes[[#This Row],[id_operacion]],tblEjecucion[id_operacion],tblEjecucion[costo_plan_total],0)-tblOrdenes[[#This Row],[costo_servicio]]))</f>
        <v/>
      </c>
      <c r="AK1110" s="10">
        <f>IF(tblOrdenes[[#This Row],[orden]]="","",tblOrdenes[[#This Row],[costo_servicio]]+tblOrdenes[[#This Row],[costo_materiales]])</f>
        <v/>
      </c>
      <c r="AL1110" s="6" t="n"/>
      <c r="AM1110" s="6" t="n"/>
      <c r="AN1110" s="6" t="n"/>
      <c r="AO1110" s="3">
        <f>IF(tblOrdenes[[#This Row],[link_checklist]]="","",HYPERLINK(p_ruta_base_checklists&amp;tblOrdenes[[#This Row],[link_checklist]],"abrir"))</f>
        <v/>
      </c>
      <c r="AP1110" s="6" t="n"/>
      <c r="AQ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3">
        <f>IF(tblOrdenes[[#This Row],[tipo_ot]]="","",_xlfn.XLOOKUP(tblOrdenes[[#This Row],[tipo_ot]],tblTiposOT[codigo],tblTiposOT[clasificacion],"sin_clasificar"))</f>
        <v/>
      </c>
      <c r="U1111" s="3">
        <f>IF(tblOrdenes[[#This Row],[centro_costo]]="","",_xlfn.XLOOKUP(tblOrdenes[[#This Row],[centro_costo]],tblCECO[codigo],tblCECO[linea],"(sin catálogo)"))</f>
        <v/>
      </c>
      <c r="V1111" s="3">
        <f>IF(tblOrdenes[[#This Row],[centro_costo]]="","",_xlfn.XLOOKUP(tblOrdenes[[#This Row],[centro_costo]],tblCECO[codigo],tblCECO[area],"(sin catálogo)"))</f>
        <v/>
      </c>
      <c r="W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3">
        <f>IF(tblOrdenes[[#This Row],[centro_costo]]="","",_xlfn.XLOOKUP(tblOrdenes[[#This Row],[centro_costo]],tblCECO[codigo],tblCECO[coordinador],"(sin catálogo)"))</f>
        <v/>
      </c>
      <c r="Y1111" s="3">
        <f>IF(tblOrdenes[[#This Row],[puesto_trabajo]]="","",_xlfn.XLOOKUP(tblOrdenes[[#This Row],[puesto_trabajo]],tblPuestos[codigo],tblPuestos[especialidad],"(sin catálogo)"))</f>
        <v/>
      </c>
      <c r="Z1111" s="3">
        <f>IF(tblOrdenes[[#This Row],[cod_actividad]]="","",_xlfn.XLOOKUP(tblOrdenes[[#This Row],[cod_actividad]],tblActividades[codigo],tblActividades[descripcion],"(sin catálogo)"))</f>
        <v/>
      </c>
      <c r="AA1111" s="12">
        <f>IF(tblOrdenes[[#This Row],[fecha_inicio]]="","",TODAY()-tblOrdenes[[#This Row],[fecha_inicio]])</f>
        <v/>
      </c>
      <c r="AB111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3">
        <f>IF(tblOrdenes[[#This Row],[backlog_habiles]]="","",IF(tblOrdenes[[#This Row],[backlog_habiles]]&lt;0,"FUTURO",IF(tblOrdenes[[#This Row],[backlog_habiles]]&gt;p_dias_backlog_max,"BACKLOG","MES CORRIENTE")))</f>
        <v/>
      </c>
      <c r="AD1111" s="3">
        <f>IF(tblOrdenes[[#This Row],[backlog_habiles]]="",FALSE,AND(tblOrdenes[[#This Row],[backlog_habiles]]&gt;p_dias_backlog_min,tblOrdenes[[#This Row],[backlog_habiles]]&lt;=p_dias_backlog_max))</f>
        <v/>
      </c>
      <c r="AE1111" s="6" t="n"/>
      <c r="AF1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0">
        <f>IF(tblOrdenes[[#This Row],[orden]]="","",_xlfn.XLOOKUP(tblOrdenes[[#This Row],[id_operacion]],tblEjecucion[id_operacion],tblEjecucion[precio],0))</f>
        <v/>
      </c>
      <c r="AJ1111" s="10">
        <f>IF(tblOrdenes[[#This Row],[orden]]="","",MAX(0,_xlfn.XLOOKUP(tblOrdenes[[#This Row],[id_operacion]],tblEjecucion[id_operacion],tblEjecucion[costo_plan_total],0)-tblOrdenes[[#This Row],[costo_servicio]]))</f>
        <v/>
      </c>
      <c r="AK1111" s="10">
        <f>IF(tblOrdenes[[#This Row],[orden]]="","",tblOrdenes[[#This Row],[costo_servicio]]+tblOrdenes[[#This Row],[costo_materiales]])</f>
        <v/>
      </c>
      <c r="AL1111" s="6" t="n"/>
      <c r="AM1111" s="6" t="n"/>
      <c r="AN1111" s="6" t="n"/>
      <c r="AO1111" s="3">
        <f>IF(tblOrdenes[[#This Row],[link_checklist]]="","",HYPERLINK(p_ruta_base_checklists&amp;tblOrdenes[[#This Row],[link_checklist]],"abrir"))</f>
        <v/>
      </c>
      <c r="AP1111" s="6" t="n"/>
      <c r="AQ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3">
        <f>IF(tblOrdenes[[#This Row],[tipo_ot]]="","",_xlfn.XLOOKUP(tblOrdenes[[#This Row],[tipo_ot]],tblTiposOT[codigo],tblTiposOT[clasificacion],"sin_clasificar"))</f>
        <v/>
      </c>
      <c r="U1112" s="3">
        <f>IF(tblOrdenes[[#This Row],[centro_costo]]="","",_xlfn.XLOOKUP(tblOrdenes[[#This Row],[centro_costo]],tblCECO[codigo],tblCECO[linea],"(sin catálogo)"))</f>
        <v/>
      </c>
      <c r="V1112" s="3">
        <f>IF(tblOrdenes[[#This Row],[centro_costo]]="","",_xlfn.XLOOKUP(tblOrdenes[[#This Row],[centro_costo]],tblCECO[codigo],tblCECO[area],"(sin catálogo)"))</f>
        <v/>
      </c>
      <c r="W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3">
        <f>IF(tblOrdenes[[#This Row],[centro_costo]]="","",_xlfn.XLOOKUP(tblOrdenes[[#This Row],[centro_costo]],tblCECO[codigo],tblCECO[coordinador],"(sin catálogo)"))</f>
        <v/>
      </c>
      <c r="Y1112" s="3">
        <f>IF(tblOrdenes[[#This Row],[puesto_trabajo]]="","",_xlfn.XLOOKUP(tblOrdenes[[#This Row],[puesto_trabajo]],tblPuestos[codigo],tblPuestos[especialidad],"(sin catálogo)"))</f>
        <v/>
      </c>
      <c r="Z1112" s="3">
        <f>IF(tblOrdenes[[#This Row],[cod_actividad]]="","",_xlfn.XLOOKUP(tblOrdenes[[#This Row],[cod_actividad]],tblActividades[codigo],tblActividades[descripcion],"(sin catálogo)"))</f>
        <v/>
      </c>
      <c r="AA1112" s="12">
        <f>IF(tblOrdenes[[#This Row],[fecha_inicio]]="","",TODAY()-tblOrdenes[[#This Row],[fecha_inicio]])</f>
        <v/>
      </c>
      <c r="AB111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3">
        <f>IF(tblOrdenes[[#This Row],[backlog_habiles]]="","",IF(tblOrdenes[[#This Row],[backlog_habiles]]&lt;0,"FUTURO",IF(tblOrdenes[[#This Row],[backlog_habiles]]&gt;p_dias_backlog_max,"BACKLOG","MES CORRIENTE")))</f>
        <v/>
      </c>
      <c r="AD1112" s="3">
        <f>IF(tblOrdenes[[#This Row],[backlog_habiles]]="",FALSE,AND(tblOrdenes[[#This Row],[backlog_habiles]]&gt;p_dias_backlog_min,tblOrdenes[[#This Row],[backlog_habiles]]&lt;=p_dias_backlog_max))</f>
        <v/>
      </c>
      <c r="AE1112" s="6" t="n"/>
      <c r="AF1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0">
        <f>IF(tblOrdenes[[#This Row],[orden]]="","",_xlfn.XLOOKUP(tblOrdenes[[#This Row],[id_operacion]],tblEjecucion[id_operacion],tblEjecucion[precio],0))</f>
        <v/>
      </c>
      <c r="AJ1112" s="10">
        <f>IF(tblOrdenes[[#This Row],[orden]]="","",MAX(0,_xlfn.XLOOKUP(tblOrdenes[[#This Row],[id_operacion]],tblEjecucion[id_operacion],tblEjecucion[costo_plan_total],0)-tblOrdenes[[#This Row],[costo_servicio]]))</f>
        <v/>
      </c>
      <c r="AK1112" s="10">
        <f>IF(tblOrdenes[[#This Row],[orden]]="","",tblOrdenes[[#This Row],[costo_servicio]]+tblOrdenes[[#This Row],[costo_materiales]])</f>
        <v/>
      </c>
      <c r="AL1112" s="6" t="n"/>
      <c r="AM1112" s="6" t="n"/>
      <c r="AN1112" s="6" t="n"/>
      <c r="AO1112" s="3">
        <f>IF(tblOrdenes[[#This Row],[link_checklist]]="","",HYPERLINK(p_ruta_base_checklists&amp;tblOrdenes[[#This Row],[link_checklist]],"abrir"))</f>
        <v/>
      </c>
      <c r="AP1112" s="6" t="n"/>
      <c r="AQ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3">
        <f>IF(tblOrdenes[[#This Row],[tipo_ot]]="","",_xlfn.XLOOKUP(tblOrdenes[[#This Row],[tipo_ot]],tblTiposOT[codigo],tblTiposOT[clasificacion],"sin_clasificar"))</f>
        <v/>
      </c>
      <c r="U1113" s="3">
        <f>IF(tblOrdenes[[#This Row],[centro_costo]]="","",_xlfn.XLOOKUP(tblOrdenes[[#This Row],[centro_costo]],tblCECO[codigo],tblCECO[linea],"(sin catálogo)"))</f>
        <v/>
      </c>
      <c r="V1113" s="3">
        <f>IF(tblOrdenes[[#This Row],[centro_costo]]="","",_xlfn.XLOOKUP(tblOrdenes[[#This Row],[centro_costo]],tblCECO[codigo],tblCECO[area],"(sin catálogo)"))</f>
        <v/>
      </c>
      <c r="W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3">
        <f>IF(tblOrdenes[[#This Row],[centro_costo]]="","",_xlfn.XLOOKUP(tblOrdenes[[#This Row],[centro_costo]],tblCECO[codigo],tblCECO[coordinador],"(sin catálogo)"))</f>
        <v/>
      </c>
      <c r="Y1113" s="3">
        <f>IF(tblOrdenes[[#This Row],[puesto_trabajo]]="","",_xlfn.XLOOKUP(tblOrdenes[[#This Row],[puesto_trabajo]],tblPuestos[codigo],tblPuestos[especialidad],"(sin catálogo)"))</f>
        <v/>
      </c>
      <c r="Z1113" s="3">
        <f>IF(tblOrdenes[[#This Row],[cod_actividad]]="","",_xlfn.XLOOKUP(tblOrdenes[[#This Row],[cod_actividad]],tblActividades[codigo],tblActividades[descripcion],"(sin catálogo)"))</f>
        <v/>
      </c>
      <c r="AA1113" s="12">
        <f>IF(tblOrdenes[[#This Row],[fecha_inicio]]="","",TODAY()-tblOrdenes[[#This Row],[fecha_inicio]])</f>
        <v/>
      </c>
      <c r="AB111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3">
        <f>IF(tblOrdenes[[#This Row],[backlog_habiles]]="","",IF(tblOrdenes[[#This Row],[backlog_habiles]]&lt;0,"FUTURO",IF(tblOrdenes[[#This Row],[backlog_habiles]]&gt;p_dias_backlog_max,"BACKLOG","MES CORRIENTE")))</f>
        <v/>
      </c>
      <c r="AD1113" s="3">
        <f>IF(tblOrdenes[[#This Row],[backlog_habiles]]="",FALSE,AND(tblOrdenes[[#This Row],[backlog_habiles]]&gt;p_dias_backlog_min,tblOrdenes[[#This Row],[backlog_habiles]]&lt;=p_dias_backlog_max))</f>
        <v/>
      </c>
      <c r="AE1113" s="6" t="n"/>
      <c r="AF1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0">
        <f>IF(tblOrdenes[[#This Row],[orden]]="","",_xlfn.XLOOKUP(tblOrdenes[[#This Row],[id_operacion]],tblEjecucion[id_operacion],tblEjecucion[precio],0))</f>
        <v/>
      </c>
      <c r="AJ1113" s="10">
        <f>IF(tblOrdenes[[#This Row],[orden]]="","",MAX(0,_xlfn.XLOOKUP(tblOrdenes[[#This Row],[id_operacion]],tblEjecucion[id_operacion],tblEjecucion[costo_plan_total],0)-tblOrdenes[[#This Row],[costo_servicio]]))</f>
        <v/>
      </c>
      <c r="AK1113" s="10">
        <f>IF(tblOrdenes[[#This Row],[orden]]="","",tblOrdenes[[#This Row],[costo_servicio]]+tblOrdenes[[#This Row],[costo_materiales]])</f>
        <v/>
      </c>
      <c r="AL1113" s="6" t="n"/>
      <c r="AM1113" s="6" t="n"/>
      <c r="AN1113" s="6" t="n"/>
      <c r="AO1113" s="3">
        <f>IF(tblOrdenes[[#This Row],[link_checklist]]="","",HYPERLINK(p_ruta_base_checklists&amp;tblOrdenes[[#This Row],[link_checklist]],"abrir"))</f>
        <v/>
      </c>
      <c r="AP1113" s="6" t="n"/>
      <c r="AQ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3">
        <f>IF(tblOrdenes[[#This Row],[tipo_ot]]="","",_xlfn.XLOOKUP(tblOrdenes[[#This Row],[tipo_ot]],tblTiposOT[codigo],tblTiposOT[clasificacion],"sin_clasificar"))</f>
        <v/>
      </c>
      <c r="U1114" s="3">
        <f>IF(tblOrdenes[[#This Row],[centro_costo]]="","",_xlfn.XLOOKUP(tblOrdenes[[#This Row],[centro_costo]],tblCECO[codigo],tblCECO[linea],"(sin catálogo)"))</f>
        <v/>
      </c>
      <c r="V1114" s="3">
        <f>IF(tblOrdenes[[#This Row],[centro_costo]]="","",_xlfn.XLOOKUP(tblOrdenes[[#This Row],[centro_costo]],tblCECO[codigo],tblCECO[area],"(sin catálogo)"))</f>
        <v/>
      </c>
      <c r="W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3">
        <f>IF(tblOrdenes[[#This Row],[centro_costo]]="","",_xlfn.XLOOKUP(tblOrdenes[[#This Row],[centro_costo]],tblCECO[codigo],tblCECO[coordinador],"(sin catálogo)"))</f>
        <v/>
      </c>
      <c r="Y1114" s="3">
        <f>IF(tblOrdenes[[#This Row],[puesto_trabajo]]="","",_xlfn.XLOOKUP(tblOrdenes[[#This Row],[puesto_trabajo]],tblPuestos[codigo],tblPuestos[especialidad],"(sin catálogo)"))</f>
        <v/>
      </c>
      <c r="Z1114" s="3">
        <f>IF(tblOrdenes[[#This Row],[cod_actividad]]="","",_xlfn.XLOOKUP(tblOrdenes[[#This Row],[cod_actividad]],tblActividades[codigo],tblActividades[descripcion],"(sin catálogo)"))</f>
        <v/>
      </c>
      <c r="AA1114" s="12">
        <f>IF(tblOrdenes[[#This Row],[fecha_inicio]]="","",TODAY()-tblOrdenes[[#This Row],[fecha_inicio]])</f>
        <v/>
      </c>
      <c r="AB111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3">
        <f>IF(tblOrdenes[[#This Row],[backlog_habiles]]="","",IF(tblOrdenes[[#This Row],[backlog_habiles]]&lt;0,"FUTURO",IF(tblOrdenes[[#This Row],[backlog_habiles]]&gt;p_dias_backlog_max,"BACKLOG","MES CORRIENTE")))</f>
        <v/>
      </c>
      <c r="AD1114" s="3">
        <f>IF(tblOrdenes[[#This Row],[backlog_habiles]]="",FALSE,AND(tblOrdenes[[#This Row],[backlog_habiles]]&gt;p_dias_backlog_min,tblOrdenes[[#This Row],[backlog_habiles]]&lt;=p_dias_backlog_max))</f>
        <v/>
      </c>
      <c r="AE1114" s="6" t="n"/>
      <c r="AF1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0">
        <f>IF(tblOrdenes[[#This Row],[orden]]="","",_xlfn.XLOOKUP(tblOrdenes[[#This Row],[id_operacion]],tblEjecucion[id_operacion],tblEjecucion[precio],0))</f>
        <v/>
      </c>
      <c r="AJ1114" s="10">
        <f>IF(tblOrdenes[[#This Row],[orden]]="","",MAX(0,_xlfn.XLOOKUP(tblOrdenes[[#This Row],[id_operacion]],tblEjecucion[id_operacion],tblEjecucion[costo_plan_total],0)-tblOrdenes[[#This Row],[costo_servicio]]))</f>
        <v/>
      </c>
      <c r="AK1114" s="10">
        <f>IF(tblOrdenes[[#This Row],[orden]]="","",tblOrdenes[[#This Row],[costo_servicio]]+tblOrdenes[[#This Row],[costo_materiales]])</f>
        <v/>
      </c>
      <c r="AL1114" s="6" t="n"/>
      <c r="AM1114" s="6" t="n"/>
      <c r="AN1114" s="6" t="n"/>
      <c r="AO1114" s="3">
        <f>IF(tblOrdenes[[#This Row],[link_checklist]]="","",HYPERLINK(p_ruta_base_checklists&amp;tblOrdenes[[#This Row],[link_checklist]],"abrir"))</f>
        <v/>
      </c>
      <c r="AP1114" s="6" t="n"/>
      <c r="AQ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3">
        <f>IF(tblOrdenes[[#This Row],[tipo_ot]]="","",_xlfn.XLOOKUP(tblOrdenes[[#This Row],[tipo_ot]],tblTiposOT[codigo],tblTiposOT[clasificacion],"sin_clasificar"))</f>
        <v/>
      </c>
      <c r="U1115" s="3">
        <f>IF(tblOrdenes[[#This Row],[centro_costo]]="","",_xlfn.XLOOKUP(tblOrdenes[[#This Row],[centro_costo]],tblCECO[codigo],tblCECO[linea],"(sin catálogo)"))</f>
        <v/>
      </c>
      <c r="V1115" s="3">
        <f>IF(tblOrdenes[[#This Row],[centro_costo]]="","",_xlfn.XLOOKUP(tblOrdenes[[#This Row],[centro_costo]],tblCECO[codigo],tblCECO[area],"(sin catálogo)"))</f>
        <v/>
      </c>
      <c r="W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3">
        <f>IF(tblOrdenes[[#This Row],[centro_costo]]="","",_xlfn.XLOOKUP(tblOrdenes[[#This Row],[centro_costo]],tblCECO[codigo],tblCECO[coordinador],"(sin catálogo)"))</f>
        <v/>
      </c>
      <c r="Y1115" s="3">
        <f>IF(tblOrdenes[[#This Row],[puesto_trabajo]]="","",_xlfn.XLOOKUP(tblOrdenes[[#This Row],[puesto_trabajo]],tblPuestos[codigo],tblPuestos[especialidad],"(sin catálogo)"))</f>
        <v/>
      </c>
      <c r="Z1115" s="3">
        <f>IF(tblOrdenes[[#This Row],[cod_actividad]]="","",_xlfn.XLOOKUP(tblOrdenes[[#This Row],[cod_actividad]],tblActividades[codigo],tblActividades[descripcion],"(sin catálogo)"))</f>
        <v/>
      </c>
      <c r="AA1115" s="12">
        <f>IF(tblOrdenes[[#This Row],[fecha_inicio]]="","",TODAY()-tblOrdenes[[#This Row],[fecha_inicio]])</f>
        <v/>
      </c>
      <c r="AB111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3">
        <f>IF(tblOrdenes[[#This Row],[backlog_habiles]]="","",IF(tblOrdenes[[#This Row],[backlog_habiles]]&lt;0,"FUTURO",IF(tblOrdenes[[#This Row],[backlog_habiles]]&gt;p_dias_backlog_max,"BACKLOG","MES CORRIENTE")))</f>
        <v/>
      </c>
      <c r="AD1115" s="3">
        <f>IF(tblOrdenes[[#This Row],[backlog_habiles]]="",FALSE,AND(tblOrdenes[[#This Row],[backlog_habiles]]&gt;p_dias_backlog_min,tblOrdenes[[#This Row],[backlog_habiles]]&lt;=p_dias_backlog_max))</f>
        <v/>
      </c>
      <c r="AE1115" s="6" t="n"/>
      <c r="AF1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0">
        <f>IF(tblOrdenes[[#This Row],[orden]]="","",_xlfn.XLOOKUP(tblOrdenes[[#This Row],[id_operacion]],tblEjecucion[id_operacion],tblEjecucion[precio],0))</f>
        <v/>
      </c>
      <c r="AJ1115" s="10">
        <f>IF(tblOrdenes[[#This Row],[orden]]="","",MAX(0,_xlfn.XLOOKUP(tblOrdenes[[#This Row],[id_operacion]],tblEjecucion[id_operacion],tblEjecucion[costo_plan_total],0)-tblOrdenes[[#This Row],[costo_servicio]]))</f>
        <v/>
      </c>
      <c r="AK1115" s="10">
        <f>IF(tblOrdenes[[#This Row],[orden]]="","",tblOrdenes[[#This Row],[costo_servicio]]+tblOrdenes[[#This Row],[costo_materiales]])</f>
        <v/>
      </c>
      <c r="AL1115" s="6" t="n"/>
      <c r="AM1115" s="6" t="n"/>
      <c r="AN1115" s="6" t="n"/>
      <c r="AO1115" s="3">
        <f>IF(tblOrdenes[[#This Row],[link_checklist]]="","",HYPERLINK(p_ruta_base_checklists&amp;tblOrdenes[[#This Row],[link_checklist]],"abrir"))</f>
        <v/>
      </c>
      <c r="AP1115" s="6" t="n"/>
      <c r="AQ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3">
        <f>IF(tblOrdenes[[#This Row],[tipo_ot]]="","",_xlfn.XLOOKUP(tblOrdenes[[#This Row],[tipo_ot]],tblTiposOT[codigo],tblTiposOT[clasificacion],"sin_clasificar"))</f>
        <v/>
      </c>
      <c r="U1116" s="3">
        <f>IF(tblOrdenes[[#This Row],[centro_costo]]="","",_xlfn.XLOOKUP(tblOrdenes[[#This Row],[centro_costo]],tblCECO[codigo],tblCECO[linea],"(sin catálogo)"))</f>
        <v/>
      </c>
      <c r="V1116" s="3">
        <f>IF(tblOrdenes[[#This Row],[centro_costo]]="","",_xlfn.XLOOKUP(tblOrdenes[[#This Row],[centro_costo]],tblCECO[codigo],tblCECO[area],"(sin catálogo)"))</f>
        <v/>
      </c>
      <c r="W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3">
        <f>IF(tblOrdenes[[#This Row],[centro_costo]]="","",_xlfn.XLOOKUP(tblOrdenes[[#This Row],[centro_costo]],tblCECO[codigo],tblCECO[coordinador],"(sin catálogo)"))</f>
        <v/>
      </c>
      <c r="Y1116" s="3">
        <f>IF(tblOrdenes[[#This Row],[puesto_trabajo]]="","",_xlfn.XLOOKUP(tblOrdenes[[#This Row],[puesto_trabajo]],tblPuestos[codigo],tblPuestos[especialidad],"(sin catálogo)"))</f>
        <v/>
      </c>
      <c r="Z1116" s="3">
        <f>IF(tblOrdenes[[#This Row],[cod_actividad]]="","",_xlfn.XLOOKUP(tblOrdenes[[#This Row],[cod_actividad]],tblActividades[codigo],tblActividades[descripcion],"(sin catálogo)"))</f>
        <v/>
      </c>
      <c r="AA1116" s="12">
        <f>IF(tblOrdenes[[#This Row],[fecha_inicio]]="","",TODAY()-tblOrdenes[[#This Row],[fecha_inicio]])</f>
        <v/>
      </c>
      <c r="AB111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3">
        <f>IF(tblOrdenes[[#This Row],[backlog_habiles]]="","",IF(tblOrdenes[[#This Row],[backlog_habiles]]&lt;0,"FUTURO",IF(tblOrdenes[[#This Row],[backlog_habiles]]&gt;p_dias_backlog_max,"BACKLOG","MES CORRIENTE")))</f>
        <v/>
      </c>
      <c r="AD1116" s="3">
        <f>IF(tblOrdenes[[#This Row],[backlog_habiles]]="",FALSE,AND(tblOrdenes[[#This Row],[backlog_habiles]]&gt;p_dias_backlog_min,tblOrdenes[[#This Row],[backlog_habiles]]&lt;=p_dias_backlog_max))</f>
        <v/>
      </c>
      <c r="AE1116" s="6" t="n"/>
      <c r="AF1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0">
        <f>IF(tblOrdenes[[#This Row],[orden]]="","",_xlfn.XLOOKUP(tblOrdenes[[#This Row],[id_operacion]],tblEjecucion[id_operacion],tblEjecucion[precio],0))</f>
        <v/>
      </c>
      <c r="AJ1116" s="10">
        <f>IF(tblOrdenes[[#This Row],[orden]]="","",MAX(0,_xlfn.XLOOKUP(tblOrdenes[[#This Row],[id_operacion]],tblEjecucion[id_operacion],tblEjecucion[costo_plan_total],0)-tblOrdenes[[#This Row],[costo_servicio]]))</f>
        <v/>
      </c>
      <c r="AK1116" s="10">
        <f>IF(tblOrdenes[[#This Row],[orden]]="","",tblOrdenes[[#This Row],[costo_servicio]]+tblOrdenes[[#This Row],[costo_materiales]])</f>
        <v/>
      </c>
      <c r="AL1116" s="6" t="n"/>
      <c r="AM1116" s="6" t="n"/>
      <c r="AN1116" s="6" t="n"/>
      <c r="AO1116" s="3">
        <f>IF(tblOrdenes[[#This Row],[link_checklist]]="","",HYPERLINK(p_ruta_base_checklists&amp;tblOrdenes[[#This Row],[link_checklist]],"abrir"))</f>
        <v/>
      </c>
      <c r="AP1116" s="6" t="n"/>
      <c r="AQ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3">
        <f>IF(tblOrdenes[[#This Row],[tipo_ot]]="","",_xlfn.XLOOKUP(tblOrdenes[[#This Row],[tipo_ot]],tblTiposOT[codigo],tblTiposOT[clasificacion],"sin_clasificar"))</f>
        <v/>
      </c>
      <c r="U1117" s="3">
        <f>IF(tblOrdenes[[#This Row],[centro_costo]]="","",_xlfn.XLOOKUP(tblOrdenes[[#This Row],[centro_costo]],tblCECO[codigo],tblCECO[linea],"(sin catálogo)"))</f>
        <v/>
      </c>
      <c r="V1117" s="3">
        <f>IF(tblOrdenes[[#This Row],[centro_costo]]="","",_xlfn.XLOOKUP(tblOrdenes[[#This Row],[centro_costo]],tblCECO[codigo],tblCECO[area],"(sin catálogo)"))</f>
        <v/>
      </c>
      <c r="W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3">
        <f>IF(tblOrdenes[[#This Row],[centro_costo]]="","",_xlfn.XLOOKUP(tblOrdenes[[#This Row],[centro_costo]],tblCECO[codigo],tblCECO[coordinador],"(sin catálogo)"))</f>
        <v/>
      </c>
      <c r="Y1117" s="3">
        <f>IF(tblOrdenes[[#This Row],[puesto_trabajo]]="","",_xlfn.XLOOKUP(tblOrdenes[[#This Row],[puesto_trabajo]],tblPuestos[codigo],tblPuestos[especialidad],"(sin catálogo)"))</f>
        <v/>
      </c>
      <c r="Z1117" s="3">
        <f>IF(tblOrdenes[[#This Row],[cod_actividad]]="","",_xlfn.XLOOKUP(tblOrdenes[[#This Row],[cod_actividad]],tblActividades[codigo],tblActividades[descripcion],"(sin catálogo)"))</f>
        <v/>
      </c>
      <c r="AA1117" s="12">
        <f>IF(tblOrdenes[[#This Row],[fecha_inicio]]="","",TODAY()-tblOrdenes[[#This Row],[fecha_inicio]])</f>
        <v/>
      </c>
      <c r="AB111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3">
        <f>IF(tblOrdenes[[#This Row],[backlog_habiles]]="","",IF(tblOrdenes[[#This Row],[backlog_habiles]]&lt;0,"FUTURO",IF(tblOrdenes[[#This Row],[backlog_habiles]]&gt;p_dias_backlog_max,"BACKLOG","MES CORRIENTE")))</f>
        <v/>
      </c>
      <c r="AD1117" s="3">
        <f>IF(tblOrdenes[[#This Row],[backlog_habiles]]="",FALSE,AND(tblOrdenes[[#This Row],[backlog_habiles]]&gt;p_dias_backlog_min,tblOrdenes[[#This Row],[backlog_habiles]]&lt;=p_dias_backlog_max))</f>
        <v/>
      </c>
      <c r="AE1117" s="6" t="n"/>
      <c r="AF1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0">
        <f>IF(tblOrdenes[[#This Row],[orden]]="","",_xlfn.XLOOKUP(tblOrdenes[[#This Row],[id_operacion]],tblEjecucion[id_operacion],tblEjecucion[precio],0))</f>
        <v/>
      </c>
      <c r="AJ1117" s="10">
        <f>IF(tblOrdenes[[#This Row],[orden]]="","",MAX(0,_xlfn.XLOOKUP(tblOrdenes[[#This Row],[id_operacion]],tblEjecucion[id_operacion],tblEjecucion[costo_plan_total],0)-tblOrdenes[[#This Row],[costo_servicio]]))</f>
        <v/>
      </c>
      <c r="AK1117" s="10">
        <f>IF(tblOrdenes[[#This Row],[orden]]="","",tblOrdenes[[#This Row],[costo_servicio]]+tblOrdenes[[#This Row],[costo_materiales]])</f>
        <v/>
      </c>
      <c r="AL1117" s="6" t="n"/>
      <c r="AM1117" s="6" t="n"/>
      <c r="AN1117" s="6" t="n"/>
      <c r="AO1117" s="3">
        <f>IF(tblOrdenes[[#This Row],[link_checklist]]="","",HYPERLINK(p_ruta_base_checklists&amp;tblOrdenes[[#This Row],[link_checklist]],"abrir"))</f>
        <v/>
      </c>
      <c r="AP1117" s="6" t="n"/>
      <c r="AQ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3">
        <f>IF(tblOrdenes[[#This Row],[tipo_ot]]="","",_xlfn.XLOOKUP(tblOrdenes[[#This Row],[tipo_ot]],tblTiposOT[codigo],tblTiposOT[clasificacion],"sin_clasificar"))</f>
        <v/>
      </c>
      <c r="U1118" s="3">
        <f>IF(tblOrdenes[[#This Row],[centro_costo]]="","",_xlfn.XLOOKUP(tblOrdenes[[#This Row],[centro_costo]],tblCECO[codigo],tblCECO[linea],"(sin catálogo)"))</f>
        <v/>
      </c>
      <c r="V1118" s="3">
        <f>IF(tblOrdenes[[#This Row],[centro_costo]]="","",_xlfn.XLOOKUP(tblOrdenes[[#This Row],[centro_costo]],tblCECO[codigo],tblCECO[area],"(sin catálogo)"))</f>
        <v/>
      </c>
      <c r="W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3">
        <f>IF(tblOrdenes[[#This Row],[centro_costo]]="","",_xlfn.XLOOKUP(tblOrdenes[[#This Row],[centro_costo]],tblCECO[codigo],tblCECO[coordinador],"(sin catálogo)"))</f>
        <v/>
      </c>
      <c r="Y1118" s="3">
        <f>IF(tblOrdenes[[#This Row],[puesto_trabajo]]="","",_xlfn.XLOOKUP(tblOrdenes[[#This Row],[puesto_trabajo]],tblPuestos[codigo],tblPuestos[especialidad],"(sin catálogo)"))</f>
        <v/>
      </c>
      <c r="Z1118" s="3">
        <f>IF(tblOrdenes[[#This Row],[cod_actividad]]="","",_xlfn.XLOOKUP(tblOrdenes[[#This Row],[cod_actividad]],tblActividades[codigo],tblActividades[descripcion],"(sin catálogo)"))</f>
        <v/>
      </c>
      <c r="AA1118" s="12">
        <f>IF(tblOrdenes[[#This Row],[fecha_inicio]]="","",TODAY()-tblOrdenes[[#This Row],[fecha_inicio]])</f>
        <v/>
      </c>
      <c r="AB111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3">
        <f>IF(tblOrdenes[[#This Row],[backlog_habiles]]="","",IF(tblOrdenes[[#This Row],[backlog_habiles]]&lt;0,"FUTURO",IF(tblOrdenes[[#This Row],[backlog_habiles]]&gt;p_dias_backlog_max,"BACKLOG","MES CORRIENTE")))</f>
        <v/>
      </c>
      <c r="AD1118" s="3">
        <f>IF(tblOrdenes[[#This Row],[backlog_habiles]]="",FALSE,AND(tblOrdenes[[#This Row],[backlog_habiles]]&gt;p_dias_backlog_min,tblOrdenes[[#This Row],[backlog_habiles]]&lt;=p_dias_backlog_max))</f>
        <v/>
      </c>
      <c r="AE1118" s="6" t="n"/>
      <c r="AF1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0">
        <f>IF(tblOrdenes[[#This Row],[orden]]="","",_xlfn.XLOOKUP(tblOrdenes[[#This Row],[id_operacion]],tblEjecucion[id_operacion],tblEjecucion[precio],0))</f>
        <v/>
      </c>
      <c r="AJ1118" s="10">
        <f>IF(tblOrdenes[[#This Row],[orden]]="","",MAX(0,_xlfn.XLOOKUP(tblOrdenes[[#This Row],[id_operacion]],tblEjecucion[id_operacion],tblEjecucion[costo_plan_total],0)-tblOrdenes[[#This Row],[costo_servicio]]))</f>
        <v/>
      </c>
      <c r="AK1118" s="10">
        <f>IF(tblOrdenes[[#This Row],[orden]]="","",tblOrdenes[[#This Row],[costo_servicio]]+tblOrdenes[[#This Row],[costo_materiales]])</f>
        <v/>
      </c>
      <c r="AL1118" s="6" t="n"/>
      <c r="AM1118" s="6" t="n"/>
      <c r="AN1118" s="6" t="n"/>
      <c r="AO1118" s="3">
        <f>IF(tblOrdenes[[#This Row],[link_checklist]]="","",HYPERLINK(p_ruta_base_checklists&amp;tblOrdenes[[#This Row],[link_checklist]],"abrir"))</f>
        <v/>
      </c>
      <c r="AP1118" s="6" t="n"/>
      <c r="AQ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3">
        <f>IF(tblOrdenes[[#This Row],[tipo_ot]]="","",_xlfn.XLOOKUP(tblOrdenes[[#This Row],[tipo_ot]],tblTiposOT[codigo],tblTiposOT[clasificacion],"sin_clasificar"))</f>
        <v/>
      </c>
      <c r="U1119" s="3">
        <f>IF(tblOrdenes[[#This Row],[centro_costo]]="","",_xlfn.XLOOKUP(tblOrdenes[[#This Row],[centro_costo]],tblCECO[codigo],tblCECO[linea],"(sin catálogo)"))</f>
        <v/>
      </c>
      <c r="V1119" s="3">
        <f>IF(tblOrdenes[[#This Row],[centro_costo]]="","",_xlfn.XLOOKUP(tblOrdenes[[#This Row],[centro_costo]],tblCECO[codigo],tblCECO[area],"(sin catálogo)"))</f>
        <v/>
      </c>
      <c r="W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3">
        <f>IF(tblOrdenes[[#This Row],[centro_costo]]="","",_xlfn.XLOOKUP(tblOrdenes[[#This Row],[centro_costo]],tblCECO[codigo],tblCECO[coordinador],"(sin catálogo)"))</f>
        <v/>
      </c>
      <c r="Y1119" s="3">
        <f>IF(tblOrdenes[[#This Row],[puesto_trabajo]]="","",_xlfn.XLOOKUP(tblOrdenes[[#This Row],[puesto_trabajo]],tblPuestos[codigo],tblPuestos[especialidad],"(sin catálogo)"))</f>
        <v/>
      </c>
      <c r="Z1119" s="3">
        <f>IF(tblOrdenes[[#This Row],[cod_actividad]]="","",_xlfn.XLOOKUP(tblOrdenes[[#This Row],[cod_actividad]],tblActividades[codigo],tblActividades[descripcion],"(sin catálogo)"))</f>
        <v/>
      </c>
      <c r="AA1119" s="12">
        <f>IF(tblOrdenes[[#This Row],[fecha_inicio]]="","",TODAY()-tblOrdenes[[#This Row],[fecha_inicio]])</f>
        <v/>
      </c>
      <c r="AB111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3">
        <f>IF(tblOrdenes[[#This Row],[backlog_habiles]]="","",IF(tblOrdenes[[#This Row],[backlog_habiles]]&lt;0,"FUTURO",IF(tblOrdenes[[#This Row],[backlog_habiles]]&gt;p_dias_backlog_max,"BACKLOG","MES CORRIENTE")))</f>
        <v/>
      </c>
      <c r="AD1119" s="3">
        <f>IF(tblOrdenes[[#This Row],[backlog_habiles]]="",FALSE,AND(tblOrdenes[[#This Row],[backlog_habiles]]&gt;p_dias_backlog_min,tblOrdenes[[#This Row],[backlog_habiles]]&lt;=p_dias_backlog_max))</f>
        <v/>
      </c>
      <c r="AE1119" s="6" t="n"/>
      <c r="AF1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0">
        <f>IF(tblOrdenes[[#This Row],[orden]]="","",_xlfn.XLOOKUP(tblOrdenes[[#This Row],[id_operacion]],tblEjecucion[id_operacion],tblEjecucion[precio],0))</f>
        <v/>
      </c>
      <c r="AJ1119" s="10">
        <f>IF(tblOrdenes[[#This Row],[orden]]="","",MAX(0,_xlfn.XLOOKUP(tblOrdenes[[#This Row],[id_operacion]],tblEjecucion[id_operacion],tblEjecucion[costo_plan_total],0)-tblOrdenes[[#This Row],[costo_servicio]]))</f>
        <v/>
      </c>
      <c r="AK1119" s="10">
        <f>IF(tblOrdenes[[#This Row],[orden]]="","",tblOrdenes[[#This Row],[costo_servicio]]+tblOrdenes[[#This Row],[costo_materiales]])</f>
        <v/>
      </c>
      <c r="AL1119" s="6" t="n"/>
      <c r="AM1119" s="6" t="n"/>
      <c r="AN1119" s="6" t="n"/>
      <c r="AO1119" s="3">
        <f>IF(tblOrdenes[[#This Row],[link_checklist]]="","",HYPERLINK(p_ruta_base_checklists&amp;tblOrdenes[[#This Row],[link_checklist]],"abrir"))</f>
        <v/>
      </c>
      <c r="AP1119" s="6" t="n"/>
      <c r="AQ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3">
        <f>IF(tblOrdenes[[#This Row],[tipo_ot]]="","",_xlfn.XLOOKUP(tblOrdenes[[#This Row],[tipo_ot]],tblTiposOT[codigo],tblTiposOT[clasificacion],"sin_clasificar"))</f>
        <v/>
      </c>
      <c r="U1120" s="3">
        <f>IF(tblOrdenes[[#This Row],[centro_costo]]="","",_xlfn.XLOOKUP(tblOrdenes[[#This Row],[centro_costo]],tblCECO[codigo],tblCECO[linea],"(sin catálogo)"))</f>
        <v/>
      </c>
      <c r="V1120" s="3">
        <f>IF(tblOrdenes[[#This Row],[centro_costo]]="","",_xlfn.XLOOKUP(tblOrdenes[[#This Row],[centro_costo]],tblCECO[codigo],tblCECO[area],"(sin catálogo)"))</f>
        <v/>
      </c>
      <c r="W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3">
        <f>IF(tblOrdenes[[#This Row],[centro_costo]]="","",_xlfn.XLOOKUP(tblOrdenes[[#This Row],[centro_costo]],tblCECO[codigo],tblCECO[coordinador],"(sin catálogo)"))</f>
        <v/>
      </c>
      <c r="Y1120" s="3">
        <f>IF(tblOrdenes[[#This Row],[puesto_trabajo]]="","",_xlfn.XLOOKUP(tblOrdenes[[#This Row],[puesto_trabajo]],tblPuestos[codigo],tblPuestos[especialidad],"(sin catálogo)"))</f>
        <v/>
      </c>
      <c r="Z1120" s="3">
        <f>IF(tblOrdenes[[#This Row],[cod_actividad]]="","",_xlfn.XLOOKUP(tblOrdenes[[#This Row],[cod_actividad]],tblActividades[codigo],tblActividades[descripcion],"(sin catálogo)"))</f>
        <v/>
      </c>
      <c r="AA1120" s="12">
        <f>IF(tblOrdenes[[#This Row],[fecha_inicio]]="","",TODAY()-tblOrdenes[[#This Row],[fecha_inicio]])</f>
        <v/>
      </c>
      <c r="AB112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3">
        <f>IF(tblOrdenes[[#This Row],[backlog_habiles]]="","",IF(tblOrdenes[[#This Row],[backlog_habiles]]&lt;0,"FUTURO",IF(tblOrdenes[[#This Row],[backlog_habiles]]&gt;p_dias_backlog_max,"BACKLOG","MES CORRIENTE")))</f>
        <v/>
      </c>
      <c r="AD1120" s="3">
        <f>IF(tblOrdenes[[#This Row],[backlog_habiles]]="",FALSE,AND(tblOrdenes[[#This Row],[backlog_habiles]]&gt;p_dias_backlog_min,tblOrdenes[[#This Row],[backlog_habiles]]&lt;=p_dias_backlog_max))</f>
        <v/>
      </c>
      <c r="AE1120" s="6" t="n"/>
      <c r="AF1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0">
        <f>IF(tblOrdenes[[#This Row],[orden]]="","",_xlfn.XLOOKUP(tblOrdenes[[#This Row],[id_operacion]],tblEjecucion[id_operacion],tblEjecucion[precio],0))</f>
        <v/>
      </c>
      <c r="AJ1120" s="10">
        <f>IF(tblOrdenes[[#This Row],[orden]]="","",MAX(0,_xlfn.XLOOKUP(tblOrdenes[[#This Row],[id_operacion]],tblEjecucion[id_operacion],tblEjecucion[costo_plan_total],0)-tblOrdenes[[#This Row],[costo_servicio]]))</f>
        <v/>
      </c>
      <c r="AK1120" s="10">
        <f>IF(tblOrdenes[[#This Row],[orden]]="","",tblOrdenes[[#This Row],[costo_servicio]]+tblOrdenes[[#This Row],[costo_materiales]])</f>
        <v/>
      </c>
      <c r="AL1120" s="6" t="n"/>
      <c r="AM1120" s="6" t="n"/>
      <c r="AN1120" s="6" t="n"/>
      <c r="AO1120" s="3">
        <f>IF(tblOrdenes[[#This Row],[link_checklist]]="","",HYPERLINK(p_ruta_base_checklists&amp;tblOrdenes[[#This Row],[link_checklist]],"abrir"))</f>
        <v/>
      </c>
      <c r="AP1120" s="6" t="n"/>
      <c r="AQ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3">
        <f>IF(tblOrdenes[[#This Row],[tipo_ot]]="","",_xlfn.XLOOKUP(tblOrdenes[[#This Row],[tipo_ot]],tblTiposOT[codigo],tblTiposOT[clasificacion],"sin_clasificar"))</f>
        <v/>
      </c>
      <c r="U1121" s="3">
        <f>IF(tblOrdenes[[#This Row],[centro_costo]]="","",_xlfn.XLOOKUP(tblOrdenes[[#This Row],[centro_costo]],tblCECO[codigo],tblCECO[linea],"(sin catálogo)"))</f>
        <v/>
      </c>
      <c r="V1121" s="3">
        <f>IF(tblOrdenes[[#This Row],[centro_costo]]="","",_xlfn.XLOOKUP(tblOrdenes[[#This Row],[centro_costo]],tblCECO[codigo],tblCECO[area],"(sin catálogo)"))</f>
        <v/>
      </c>
      <c r="W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3">
        <f>IF(tblOrdenes[[#This Row],[centro_costo]]="","",_xlfn.XLOOKUP(tblOrdenes[[#This Row],[centro_costo]],tblCECO[codigo],tblCECO[coordinador],"(sin catálogo)"))</f>
        <v/>
      </c>
      <c r="Y1121" s="3">
        <f>IF(tblOrdenes[[#This Row],[puesto_trabajo]]="","",_xlfn.XLOOKUP(tblOrdenes[[#This Row],[puesto_trabajo]],tblPuestos[codigo],tblPuestos[especialidad],"(sin catálogo)"))</f>
        <v/>
      </c>
      <c r="Z1121" s="3">
        <f>IF(tblOrdenes[[#This Row],[cod_actividad]]="","",_xlfn.XLOOKUP(tblOrdenes[[#This Row],[cod_actividad]],tblActividades[codigo],tblActividades[descripcion],"(sin catálogo)"))</f>
        <v/>
      </c>
      <c r="AA1121" s="12">
        <f>IF(tblOrdenes[[#This Row],[fecha_inicio]]="","",TODAY()-tblOrdenes[[#This Row],[fecha_inicio]])</f>
        <v/>
      </c>
      <c r="AB112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3">
        <f>IF(tblOrdenes[[#This Row],[backlog_habiles]]="","",IF(tblOrdenes[[#This Row],[backlog_habiles]]&lt;0,"FUTURO",IF(tblOrdenes[[#This Row],[backlog_habiles]]&gt;p_dias_backlog_max,"BACKLOG","MES CORRIENTE")))</f>
        <v/>
      </c>
      <c r="AD1121" s="3">
        <f>IF(tblOrdenes[[#This Row],[backlog_habiles]]="",FALSE,AND(tblOrdenes[[#This Row],[backlog_habiles]]&gt;p_dias_backlog_min,tblOrdenes[[#This Row],[backlog_habiles]]&lt;=p_dias_backlog_max))</f>
        <v/>
      </c>
      <c r="AE1121" s="6" t="n"/>
      <c r="AF1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0">
        <f>IF(tblOrdenes[[#This Row],[orden]]="","",_xlfn.XLOOKUP(tblOrdenes[[#This Row],[id_operacion]],tblEjecucion[id_operacion],tblEjecucion[precio],0))</f>
        <v/>
      </c>
      <c r="AJ1121" s="10">
        <f>IF(tblOrdenes[[#This Row],[orden]]="","",MAX(0,_xlfn.XLOOKUP(tblOrdenes[[#This Row],[id_operacion]],tblEjecucion[id_operacion],tblEjecucion[costo_plan_total],0)-tblOrdenes[[#This Row],[costo_servicio]]))</f>
        <v/>
      </c>
      <c r="AK1121" s="10">
        <f>IF(tblOrdenes[[#This Row],[orden]]="","",tblOrdenes[[#This Row],[costo_servicio]]+tblOrdenes[[#This Row],[costo_materiales]])</f>
        <v/>
      </c>
      <c r="AL1121" s="6" t="n"/>
      <c r="AM1121" s="6" t="n"/>
      <c r="AN1121" s="6" t="n"/>
      <c r="AO1121" s="3">
        <f>IF(tblOrdenes[[#This Row],[link_checklist]]="","",HYPERLINK(p_ruta_base_checklists&amp;tblOrdenes[[#This Row],[link_checklist]],"abrir"))</f>
        <v/>
      </c>
      <c r="AP1121" s="6" t="n"/>
      <c r="AQ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3">
        <f>IF(tblOrdenes[[#This Row],[tipo_ot]]="","",_xlfn.XLOOKUP(tblOrdenes[[#This Row],[tipo_ot]],tblTiposOT[codigo],tblTiposOT[clasificacion],"sin_clasificar"))</f>
        <v/>
      </c>
      <c r="U1122" s="3">
        <f>IF(tblOrdenes[[#This Row],[centro_costo]]="","",_xlfn.XLOOKUP(tblOrdenes[[#This Row],[centro_costo]],tblCECO[codigo],tblCECO[linea],"(sin catálogo)"))</f>
        <v/>
      </c>
      <c r="V1122" s="3">
        <f>IF(tblOrdenes[[#This Row],[centro_costo]]="","",_xlfn.XLOOKUP(tblOrdenes[[#This Row],[centro_costo]],tblCECO[codigo],tblCECO[area],"(sin catálogo)"))</f>
        <v/>
      </c>
      <c r="W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3">
        <f>IF(tblOrdenes[[#This Row],[centro_costo]]="","",_xlfn.XLOOKUP(tblOrdenes[[#This Row],[centro_costo]],tblCECO[codigo],tblCECO[coordinador],"(sin catálogo)"))</f>
        <v/>
      </c>
      <c r="Y1122" s="3">
        <f>IF(tblOrdenes[[#This Row],[puesto_trabajo]]="","",_xlfn.XLOOKUP(tblOrdenes[[#This Row],[puesto_trabajo]],tblPuestos[codigo],tblPuestos[especialidad],"(sin catálogo)"))</f>
        <v/>
      </c>
      <c r="Z1122" s="3">
        <f>IF(tblOrdenes[[#This Row],[cod_actividad]]="","",_xlfn.XLOOKUP(tblOrdenes[[#This Row],[cod_actividad]],tblActividades[codigo],tblActividades[descripcion],"(sin catálogo)"))</f>
        <v/>
      </c>
      <c r="AA1122" s="12">
        <f>IF(tblOrdenes[[#This Row],[fecha_inicio]]="","",TODAY()-tblOrdenes[[#This Row],[fecha_inicio]])</f>
        <v/>
      </c>
      <c r="AB112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3">
        <f>IF(tblOrdenes[[#This Row],[backlog_habiles]]="","",IF(tblOrdenes[[#This Row],[backlog_habiles]]&lt;0,"FUTURO",IF(tblOrdenes[[#This Row],[backlog_habiles]]&gt;p_dias_backlog_max,"BACKLOG","MES CORRIENTE")))</f>
        <v/>
      </c>
      <c r="AD1122" s="3">
        <f>IF(tblOrdenes[[#This Row],[backlog_habiles]]="",FALSE,AND(tblOrdenes[[#This Row],[backlog_habiles]]&gt;p_dias_backlog_min,tblOrdenes[[#This Row],[backlog_habiles]]&lt;=p_dias_backlog_max))</f>
        <v/>
      </c>
      <c r="AE1122" s="6" t="n"/>
      <c r="AF1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0">
        <f>IF(tblOrdenes[[#This Row],[orden]]="","",_xlfn.XLOOKUP(tblOrdenes[[#This Row],[id_operacion]],tblEjecucion[id_operacion],tblEjecucion[precio],0))</f>
        <v/>
      </c>
      <c r="AJ1122" s="10">
        <f>IF(tblOrdenes[[#This Row],[orden]]="","",MAX(0,_xlfn.XLOOKUP(tblOrdenes[[#This Row],[id_operacion]],tblEjecucion[id_operacion],tblEjecucion[costo_plan_total],0)-tblOrdenes[[#This Row],[costo_servicio]]))</f>
        <v/>
      </c>
      <c r="AK1122" s="10">
        <f>IF(tblOrdenes[[#This Row],[orden]]="","",tblOrdenes[[#This Row],[costo_servicio]]+tblOrdenes[[#This Row],[costo_materiales]])</f>
        <v/>
      </c>
      <c r="AL1122" s="6" t="n"/>
      <c r="AM1122" s="6" t="n"/>
      <c r="AN1122" s="6" t="n"/>
      <c r="AO1122" s="3">
        <f>IF(tblOrdenes[[#This Row],[link_checklist]]="","",HYPERLINK(p_ruta_base_checklists&amp;tblOrdenes[[#This Row],[link_checklist]],"abrir"))</f>
        <v/>
      </c>
      <c r="AP1122" s="6" t="n"/>
      <c r="AQ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3">
        <f>IF(tblOrdenes[[#This Row],[tipo_ot]]="","",_xlfn.XLOOKUP(tblOrdenes[[#This Row],[tipo_ot]],tblTiposOT[codigo],tblTiposOT[clasificacion],"sin_clasificar"))</f>
        <v/>
      </c>
      <c r="U1123" s="3">
        <f>IF(tblOrdenes[[#This Row],[centro_costo]]="","",_xlfn.XLOOKUP(tblOrdenes[[#This Row],[centro_costo]],tblCECO[codigo],tblCECO[linea],"(sin catálogo)"))</f>
        <v/>
      </c>
      <c r="V1123" s="3">
        <f>IF(tblOrdenes[[#This Row],[centro_costo]]="","",_xlfn.XLOOKUP(tblOrdenes[[#This Row],[centro_costo]],tblCECO[codigo],tblCECO[area],"(sin catálogo)"))</f>
        <v/>
      </c>
      <c r="W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3">
        <f>IF(tblOrdenes[[#This Row],[centro_costo]]="","",_xlfn.XLOOKUP(tblOrdenes[[#This Row],[centro_costo]],tblCECO[codigo],tblCECO[coordinador],"(sin catálogo)"))</f>
        <v/>
      </c>
      <c r="Y1123" s="3">
        <f>IF(tblOrdenes[[#This Row],[puesto_trabajo]]="","",_xlfn.XLOOKUP(tblOrdenes[[#This Row],[puesto_trabajo]],tblPuestos[codigo],tblPuestos[especialidad],"(sin catálogo)"))</f>
        <v/>
      </c>
      <c r="Z1123" s="3">
        <f>IF(tblOrdenes[[#This Row],[cod_actividad]]="","",_xlfn.XLOOKUP(tblOrdenes[[#This Row],[cod_actividad]],tblActividades[codigo],tblActividades[descripcion],"(sin catálogo)"))</f>
        <v/>
      </c>
      <c r="AA1123" s="12">
        <f>IF(tblOrdenes[[#This Row],[fecha_inicio]]="","",TODAY()-tblOrdenes[[#This Row],[fecha_inicio]])</f>
        <v/>
      </c>
      <c r="AB112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3">
        <f>IF(tblOrdenes[[#This Row],[backlog_habiles]]="","",IF(tblOrdenes[[#This Row],[backlog_habiles]]&lt;0,"FUTURO",IF(tblOrdenes[[#This Row],[backlog_habiles]]&gt;p_dias_backlog_max,"BACKLOG","MES CORRIENTE")))</f>
        <v/>
      </c>
      <c r="AD1123" s="3">
        <f>IF(tblOrdenes[[#This Row],[backlog_habiles]]="",FALSE,AND(tblOrdenes[[#This Row],[backlog_habiles]]&gt;p_dias_backlog_min,tblOrdenes[[#This Row],[backlog_habiles]]&lt;=p_dias_backlog_max))</f>
        <v/>
      </c>
      <c r="AE1123" s="6" t="n"/>
      <c r="AF1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0">
        <f>IF(tblOrdenes[[#This Row],[orden]]="","",_xlfn.XLOOKUP(tblOrdenes[[#This Row],[id_operacion]],tblEjecucion[id_operacion],tblEjecucion[precio],0))</f>
        <v/>
      </c>
      <c r="AJ1123" s="10">
        <f>IF(tblOrdenes[[#This Row],[orden]]="","",MAX(0,_xlfn.XLOOKUP(tblOrdenes[[#This Row],[id_operacion]],tblEjecucion[id_operacion],tblEjecucion[costo_plan_total],0)-tblOrdenes[[#This Row],[costo_servicio]]))</f>
        <v/>
      </c>
      <c r="AK1123" s="10">
        <f>IF(tblOrdenes[[#This Row],[orden]]="","",tblOrdenes[[#This Row],[costo_servicio]]+tblOrdenes[[#This Row],[costo_materiales]])</f>
        <v/>
      </c>
      <c r="AL1123" s="6" t="n"/>
      <c r="AM1123" s="6" t="n"/>
      <c r="AN1123" s="6" t="n"/>
      <c r="AO1123" s="3">
        <f>IF(tblOrdenes[[#This Row],[link_checklist]]="","",HYPERLINK(p_ruta_base_checklists&amp;tblOrdenes[[#This Row],[link_checklist]],"abrir"))</f>
        <v/>
      </c>
      <c r="AP1123" s="6" t="n"/>
      <c r="AQ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3">
        <f>IF(tblOrdenes[[#This Row],[tipo_ot]]="","",_xlfn.XLOOKUP(tblOrdenes[[#This Row],[tipo_ot]],tblTiposOT[codigo],tblTiposOT[clasificacion],"sin_clasificar"))</f>
        <v/>
      </c>
      <c r="U1124" s="3">
        <f>IF(tblOrdenes[[#This Row],[centro_costo]]="","",_xlfn.XLOOKUP(tblOrdenes[[#This Row],[centro_costo]],tblCECO[codigo],tblCECO[linea],"(sin catálogo)"))</f>
        <v/>
      </c>
      <c r="V1124" s="3">
        <f>IF(tblOrdenes[[#This Row],[centro_costo]]="","",_xlfn.XLOOKUP(tblOrdenes[[#This Row],[centro_costo]],tblCECO[codigo],tblCECO[area],"(sin catálogo)"))</f>
        <v/>
      </c>
      <c r="W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3">
        <f>IF(tblOrdenes[[#This Row],[centro_costo]]="","",_xlfn.XLOOKUP(tblOrdenes[[#This Row],[centro_costo]],tblCECO[codigo],tblCECO[coordinador],"(sin catálogo)"))</f>
        <v/>
      </c>
      <c r="Y1124" s="3">
        <f>IF(tblOrdenes[[#This Row],[puesto_trabajo]]="","",_xlfn.XLOOKUP(tblOrdenes[[#This Row],[puesto_trabajo]],tblPuestos[codigo],tblPuestos[especialidad],"(sin catálogo)"))</f>
        <v/>
      </c>
      <c r="Z1124" s="3">
        <f>IF(tblOrdenes[[#This Row],[cod_actividad]]="","",_xlfn.XLOOKUP(tblOrdenes[[#This Row],[cod_actividad]],tblActividades[codigo],tblActividades[descripcion],"(sin catálogo)"))</f>
        <v/>
      </c>
      <c r="AA1124" s="12">
        <f>IF(tblOrdenes[[#This Row],[fecha_inicio]]="","",TODAY()-tblOrdenes[[#This Row],[fecha_inicio]])</f>
        <v/>
      </c>
      <c r="AB112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3">
        <f>IF(tblOrdenes[[#This Row],[backlog_habiles]]="","",IF(tblOrdenes[[#This Row],[backlog_habiles]]&lt;0,"FUTURO",IF(tblOrdenes[[#This Row],[backlog_habiles]]&gt;p_dias_backlog_max,"BACKLOG","MES CORRIENTE")))</f>
        <v/>
      </c>
      <c r="AD1124" s="3">
        <f>IF(tblOrdenes[[#This Row],[backlog_habiles]]="",FALSE,AND(tblOrdenes[[#This Row],[backlog_habiles]]&gt;p_dias_backlog_min,tblOrdenes[[#This Row],[backlog_habiles]]&lt;=p_dias_backlog_max))</f>
        <v/>
      </c>
      <c r="AE1124" s="6" t="n"/>
      <c r="AF1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0">
        <f>IF(tblOrdenes[[#This Row],[orden]]="","",_xlfn.XLOOKUP(tblOrdenes[[#This Row],[id_operacion]],tblEjecucion[id_operacion],tblEjecucion[precio],0))</f>
        <v/>
      </c>
      <c r="AJ1124" s="10">
        <f>IF(tblOrdenes[[#This Row],[orden]]="","",MAX(0,_xlfn.XLOOKUP(tblOrdenes[[#This Row],[id_operacion]],tblEjecucion[id_operacion],tblEjecucion[costo_plan_total],0)-tblOrdenes[[#This Row],[costo_servicio]]))</f>
        <v/>
      </c>
      <c r="AK1124" s="10">
        <f>IF(tblOrdenes[[#This Row],[orden]]="","",tblOrdenes[[#This Row],[costo_servicio]]+tblOrdenes[[#This Row],[costo_materiales]])</f>
        <v/>
      </c>
      <c r="AL1124" s="6" t="n"/>
      <c r="AM1124" s="6" t="n"/>
      <c r="AN1124" s="6" t="n"/>
      <c r="AO1124" s="3">
        <f>IF(tblOrdenes[[#This Row],[link_checklist]]="","",HYPERLINK(p_ruta_base_checklists&amp;tblOrdenes[[#This Row],[link_checklist]],"abrir"))</f>
        <v/>
      </c>
      <c r="AP1124" s="6" t="n"/>
      <c r="AQ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3">
        <f>IF(tblOrdenes[[#This Row],[tipo_ot]]="","",_xlfn.XLOOKUP(tblOrdenes[[#This Row],[tipo_ot]],tblTiposOT[codigo],tblTiposOT[clasificacion],"sin_clasificar"))</f>
        <v/>
      </c>
      <c r="U1125" s="3">
        <f>IF(tblOrdenes[[#This Row],[centro_costo]]="","",_xlfn.XLOOKUP(tblOrdenes[[#This Row],[centro_costo]],tblCECO[codigo],tblCECO[linea],"(sin catálogo)"))</f>
        <v/>
      </c>
      <c r="V1125" s="3">
        <f>IF(tblOrdenes[[#This Row],[centro_costo]]="","",_xlfn.XLOOKUP(tblOrdenes[[#This Row],[centro_costo]],tblCECO[codigo],tblCECO[area],"(sin catálogo)"))</f>
        <v/>
      </c>
      <c r="W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3">
        <f>IF(tblOrdenes[[#This Row],[centro_costo]]="","",_xlfn.XLOOKUP(tblOrdenes[[#This Row],[centro_costo]],tblCECO[codigo],tblCECO[coordinador],"(sin catálogo)"))</f>
        <v/>
      </c>
      <c r="Y1125" s="3">
        <f>IF(tblOrdenes[[#This Row],[puesto_trabajo]]="","",_xlfn.XLOOKUP(tblOrdenes[[#This Row],[puesto_trabajo]],tblPuestos[codigo],tblPuestos[especialidad],"(sin catálogo)"))</f>
        <v/>
      </c>
      <c r="Z1125" s="3">
        <f>IF(tblOrdenes[[#This Row],[cod_actividad]]="","",_xlfn.XLOOKUP(tblOrdenes[[#This Row],[cod_actividad]],tblActividades[codigo],tblActividades[descripcion],"(sin catálogo)"))</f>
        <v/>
      </c>
      <c r="AA1125" s="12">
        <f>IF(tblOrdenes[[#This Row],[fecha_inicio]]="","",TODAY()-tblOrdenes[[#This Row],[fecha_inicio]])</f>
        <v/>
      </c>
      <c r="AB112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3">
        <f>IF(tblOrdenes[[#This Row],[backlog_habiles]]="","",IF(tblOrdenes[[#This Row],[backlog_habiles]]&lt;0,"FUTURO",IF(tblOrdenes[[#This Row],[backlog_habiles]]&gt;p_dias_backlog_max,"BACKLOG","MES CORRIENTE")))</f>
        <v/>
      </c>
      <c r="AD1125" s="3">
        <f>IF(tblOrdenes[[#This Row],[backlog_habiles]]="",FALSE,AND(tblOrdenes[[#This Row],[backlog_habiles]]&gt;p_dias_backlog_min,tblOrdenes[[#This Row],[backlog_habiles]]&lt;=p_dias_backlog_max))</f>
        <v/>
      </c>
      <c r="AE1125" s="6" t="n"/>
      <c r="AF1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0">
        <f>IF(tblOrdenes[[#This Row],[orden]]="","",_xlfn.XLOOKUP(tblOrdenes[[#This Row],[id_operacion]],tblEjecucion[id_operacion],tblEjecucion[precio],0))</f>
        <v/>
      </c>
      <c r="AJ1125" s="10">
        <f>IF(tblOrdenes[[#This Row],[orden]]="","",MAX(0,_xlfn.XLOOKUP(tblOrdenes[[#This Row],[id_operacion]],tblEjecucion[id_operacion],tblEjecucion[costo_plan_total],0)-tblOrdenes[[#This Row],[costo_servicio]]))</f>
        <v/>
      </c>
      <c r="AK1125" s="10">
        <f>IF(tblOrdenes[[#This Row],[orden]]="","",tblOrdenes[[#This Row],[costo_servicio]]+tblOrdenes[[#This Row],[costo_materiales]])</f>
        <v/>
      </c>
      <c r="AL1125" s="6" t="n"/>
      <c r="AM1125" s="6" t="n"/>
      <c r="AN1125" s="6" t="n"/>
      <c r="AO1125" s="3">
        <f>IF(tblOrdenes[[#This Row],[link_checklist]]="","",HYPERLINK(p_ruta_base_checklists&amp;tblOrdenes[[#This Row],[link_checklist]],"abrir"))</f>
        <v/>
      </c>
      <c r="AP1125" s="6" t="n"/>
      <c r="AQ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3">
        <f>IF(tblOrdenes[[#This Row],[tipo_ot]]="","",_xlfn.XLOOKUP(tblOrdenes[[#This Row],[tipo_ot]],tblTiposOT[codigo],tblTiposOT[clasificacion],"sin_clasificar"))</f>
        <v/>
      </c>
      <c r="U1126" s="3">
        <f>IF(tblOrdenes[[#This Row],[centro_costo]]="","",_xlfn.XLOOKUP(tblOrdenes[[#This Row],[centro_costo]],tblCECO[codigo],tblCECO[linea],"(sin catálogo)"))</f>
        <v/>
      </c>
      <c r="V1126" s="3">
        <f>IF(tblOrdenes[[#This Row],[centro_costo]]="","",_xlfn.XLOOKUP(tblOrdenes[[#This Row],[centro_costo]],tblCECO[codigo],tblCECO[area],"(sin catálogo)"))</f>
        <v/>
      </c>
      <c r="W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3">
        <f>IF(tblOrdenes[[#This Row],[centro_costo]]="","",_xlfn.XLOOKUP(tblOrdenes[[#This Row],[centro_costo]],tblCECO[codigo],tblCECO[coordinador],"(sin catálogo)"))</f>
        <v/>
      </c>
      <c r="Y1126" s="3">
        <f>IF(tblOrdenes[[#This Row],[puesto_trabajo]]="","",_xlfn.XLOOKUP(tblOrdenes[[#This Row],[puesto_trabajo]],tblPuestos[codigo],tblPuestos[especialidad],"(sin catálogo)"))</f>
        <v/>
      </c>
      <c r="Z1126" s="3">
        <f>IF(tblOrdenes[[#This Row],[cod_actividad]]="","",_xlfn.XLOOKUP(tblOrdenes[[#This Row],[cod_actividad]],tblActividades[codigo],tblActividades[descripcion],"(sin catálogo)"))</f>
        <v/>
      </c>
      <c r="AA1126" s="12">
        <f>IF(tblOrdenes[[#This Row],[fecha_inicio]]="","",TODAY()-tblOrdenes[[#This Row],[fecha_inicio]])</f>
        <v/>
      </c>
      <c r="AB112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3">
        <f>IF(tblOrdenes[[#This Row],[backlog_habiles]]="","",IF(tblOrdenes[[#This Row],[backlog_habiles]]&lt;0,"FUTURO",IF(tblOrdenes[[#This Row],[backlog_habiles]]&gt;p_dias_backlog_max,"BACKLOG","MES CORRIENTE")))</f>
        <v/>
      </c>
      <c r="AD1126" s="3">
        <f>IF(tblOrdenes[[#This Row],[backlog_habiles]]="",FALSE,AND(tblOrdenes[[#This Row],[backlog_habiles]]&gt;p_dias_backlog_min,tblOrdenes[[#This Row],[backlog_habiles]]&lt;=p_dias_backlog_max))</f>
        <v/>
      </c>
      <c r="AE1126" s="6" t="n"/>
      <c r="AF1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0">
        <f>IF(tblOrdenes[[#This Row],[orden]]="","",_xlfn.XLOOKUP(tblOrdenes[[#This Row],[id_operacion]],tblEjecucion[id_operacion],tblEjecucion[precio],0))</f>
        <v/>
      </c>
      <c r="AJ1126" s="10">
        <f>IF(tblOrdenes[[#This Row],[orden]]="","",MAX(0,_xlfn.XLOOKUP(tblOrdenes[[#This Row],[id_operacion]],tblEjecucion[id_operacion],tblEjecucion[costo_plan_total],0)-tblOrdenes[[#This Row],[costo_servicio]]))</f>
        <v/>
      </c>
      <c r="AK1126" s="10">
        <f>IF(tblOrdenes[[#This Row],[orden]]="","",tblOrdenes[[#This Row],[costo_servicio]]+tblOrdenes[[#This Row],[costo_materiales]])</f>
        <v/>
      </c>
      <c r="AL1126" s="6" t="n"/>
      <c r="AM1126" s="6" t="n"/>
      <c r="AN1126" s="6" t="n"/>
      <c r="AO1126" s="3">
        <f>IF(tblOrdenes[[#This Row],[link_checklist]]="","",HYPERLINK(p_ruta_base_checklists&amp;tblOrdenes[[#This Row],[link_checklist]],"abrir"))</f>
        <v/>
      </c>
      <c r="AP1126" s="6" t="n"/>
      <c r="AQ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3">
        <f>IF(tblOrdenes[[#This Row],[tipo_ot]]="","",_xlfn.XLOOKUP(tblOrdenes[[#This Row],[tipo_ot]],tblTiposOT[codigo],tblTiposOT[clasificacion],"sin_clasificar"))</f>
        <v/>
      </c>
      <c r="U1127" s="3">
        <f>IF(tblOrdenes[[#This Row],[centro_costo]]="","",_xlfn.XLOOKUP(tblOrdenes[[#This Row],[centro_costo]],tblCECO[codigo],tblCECO[linea],"(sin catálogo)"))</f>
        <v/>
      </c>
      <c r="V1127" s="3">
        <f>IF(tblOrdenes[[#This Row],[centro_costo]]="","",_xlfn.XLOOKUP(tblOrdenes[[#This Row],[centro_costo]],tblCECO[codigo],tblCECO[area],"(sin catálogo)"))</f>
        <v/>
      </c>
      <c r="W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3">
        <f>IF(tblOrdenes[[#This Row],[centro_costo]]="","",_xlfn.XLOOKUP(tblOrdenes[[#This Row],[centro_costo]],tblCECO[codigo],tblCECO[coordinador],"(sin catálogo)"))</f>
        <v/>
      </c>
      <c r="Y1127" s="3">
        <f>IF(tblOrdenes[[#This Row],[puesto_trabajo]]="","",_xlfn.XLOOKUP(tblOrdenes[[#This Row],[puesto_trabajo]],tblPuestos[codigo],tblPuestos[especialidad],"(sin catálogo)"))</f>
        <v/>
      </c>
      <c r="Z1127" s="3">
        <f>IF(tblOrdenes[[#This Row],[cod_actividad]]="","",_xlfn.XLOOKUP(tblOrdenes[[#This Row],[cod_actividad]],tblActividades[codigo],tblActividades[descripcion],"(sin catálogo)"))</f>
        <v/>
      </c>
      <c r="AA1127" s="12">
        <f>IF(tblOrdenes[[#This Row],[fecha_inicio]]="","",TODAY()-tblOrdenes[[#This Row],[fecha_inicio]])</f>
        <v/>
      </c>
      <c r="AB112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3">
        <f>IF(tblOrdenes[[#This Row],[backlog_habiles]]="","",IF(tblOrdenes[[#This Row],[backlog_habiles]]&lt;0,"FUTURO",IF(tblOrdenes[[#This Row],[backlog_habiles]]&gt;p_dias_backlog_max,"BACKLOG","MES CORRIENTE")))</f>
        <v/>
      </c>
      <c r="AD1127" s="3">
        <f>IF(tblOrdenes[[#This Row],[backlog_habiles]]="",FALSE,AND(tblOrdenes[[#This Row],[backlog_habiles]]&gt;p_dias_backlog_min,tblOrdenes[[#This Row],[backlog_habiles]]&lt;=p_dias_backlog_max))</f>
        <v/>
      </c>
      <c r="AE1127" s="6" t="n"/>
      <c r="AF1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0">
        <f>IF(tblOrdenes[[#This Row],[orden]]="","",_xlfn.XLOOKUP(tblOrdenes[[#This Row],[id_operacion]],tblEjecucion[id_operacion],tblEjecucion[precio],0))</f>
        <v/>
      </c>
      <c r="AJ1127" s="10">
        <f>IF(tblOrdenes[[#This Row],[orden]]="","",MAX(0,_xlfn.XLOOKUP(tblOrdenes[[#This Row],[id_operacion]],tblEjecucion[id_operacion],tblEjecucion[costo_plan_total],0)-tblOrdenes[[#This Row],[costo_servicio]]))</f>
        <v/>
      </c>
      <c r="AK1127" s="10">
        <f>IF(tblOrdenes[[#This Row],[orden]]="","",tblOrdenes[[#This Row],[costo_servicio]]+tblOrdenes[[#This Row],[costo_materiales]])</f>
        <v/>
      </c>
      <c r="AL1127" s="6" t="n"/>
      <c r="AM1127" s="6" t="n"/>
      <c r="AN1127" s="6" t="n"/>
      <c r="AO1127" s="3">
        <f>IF(tblOrdenes[[#This Row],[link_checklist]]="","",HYPERLINK(p_ruta_base_checklists&amp;tblOrdenes[[#This Row],[link_checklist]],"abrir"))</f>
        <v/>
      </c>
      <c r="AP1127" s="6" t="n"/>
      <c r="AQ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3">
        <f>IF(tblOrdenes[[#This Row],[tipo_ot]]="","",_xlfn.XLOOKUP(tblOrdenes[[#This Row],[tipo_ot]],tblTiposOT[codigo],tblTiposOT[clasificacion],"sin_clasificar"))</f>
        <v/>
      </c>
      <c r="U1128" s="3">
        <f>IF(tblOrdenes[[#This Row],[centro_costo]]="","",_xlfn.XLOOKUP(tblOrdenes[[#This Row],[centro_costo]],tblCECO[codigo],tblCECO[linea],"(sin catálogo)"))</f>
        <v/>
      </c>
      <c r="V1128" s="3">
        <f>IF(tblOrdenes[[#This Row],[centro_costo]]="","",_xlfn.XLOOKUP(tblOrdenes[[#This Row],[centro_costo]],tblCECO[codigo],tblCECO[area],"(sin catálogo)"))</f>
        <v/>
      </c>
      <c r="W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3">
        <f>IF(tblOrdenes[[#This Row],[centro_costo]]="","",_xlfn.XLOOKUP(tblOrdenes[[#This Row],[centro_costo]],tblCECO[codigo],tblCECO[coordinador],"(sin catálogo)"))</f>
        <v/>
      </c>
      <c r="Y1128" s="3">
        <f>IF(tblOrdenes[[#This Row],[puesto_trabajo]]="","",_xlfn.XLOOKUP(tblOrdenes[[#This Row],[puesto_trabajo]],tblPuestos[codigo],tblPuestos[especialidad],"(sin catálogo)"))</f>
        <v/>
      </c>
      <c r="Z1128" s="3">
        <f>IF(tblOrdenes[[#This Row],[cod_actividad]]="","",_xlfn.XLOOKUP(tblOrdenes[[#This Row],[cod_actividad]],tblActividades[codigo],tblActividades[descripcion],"(sin catálogo)"))</f>
        <v/>
      </c>
      <c r="AA1128" s="12">
        <f>IF(tblOrdenes[[#This Row],[fecha_inicio]]="","",TODAY()-tblOrdenes[[#This Row],[fecha_inicio]])</f>
        <v/>
      </c>
      <c r="AB112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3">
        <f>IF(tblOrdenes[[#This Row],[backlog_habiles]]="","",IF(tblOrdenes[[#This Row],[backlog_habiles]]&lt;0,"FUTURO",IF(tblOrdenes[[#This Row],[backlog_habiles]]&gt;p_dias_backlog_max,"BACKLOG","MES CORRIENTE")))</f>
        <v/>
      </c>
      <c r="AD1128" s="3">
        <f>IF(tblOrdenes[[#This Row],[backlog_habiles]]="",FALSE,AND(tblOrdenes[[#This Row],[backlog_habiles]]&gt;p_dias_backlog_min,tblOrdenes[[#This Row],[backlog_habiles]]&lt;=p_dias_backlog_max))</f>
        <v/>
      </c>
      <c r="AE1128" s="6" t="n"/>
      <c r="AF1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0">
        <f>IF(tblOrdenes[[#This Row],[orden]]="","",_xlfn.XLOOKUP(tblOrdenes[[#This Row],[id_operacion]],tblEjecucion[id_operacion],tblEjecucion[precio],0))</f>
        <v/>
      </c>
      <c r="AJ1128" s="10">
        <f>IF(tblOrdenes[[#This Row],[orden]]="","",MAX(0,_xlfn.XLOOKUP(tblOrdenes[[#This Row],[id_operacion]],tblEjecucion[id_operacion],tblEjecucion[costo_plan_total],0)-tblOrdenes[[#This Row],[costo_servicio]]))</f>
        <v/>
      </c>
      <c r="AK1128" s="10">
        <f>IF(tblOrdenes[[#This Row],[orden]]="","",tblOrdenes[[#This Row],[costo_servicio]]+tblOrdenes[[#This Row],[costo_materiales]])</f>
        <v/>
      </c>
      <c r="AL1128" s="6" t="n"/>
      <c r="AM1128" s="6" t="n"/>
      <c r="AN1128" s="6" t="n"/>
      <c r="AO1128" s="3">
        <f>IF(tblOrdenes[[#This Row],[link_checklist]]="","",HYPERLINK(p_ruta_base_checklists&amp;tblOrdenes[[#This Row],[link_checklist]],"abrir"))</f>
        <v/>
      </c>
      <c r="AP1128" s="6" t="n"/>
      <c r="AQ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3">
        <f>IF(tblOrdenes[[#This Row],[tipo_ot]]="","",_xlfn.XLOOKUP(tblOrdenes[[#This Row],[tipo_ot]],tblTiposOT[codigo],tblTiposOT[clasificacion],"sin_clasificar"))</f>
        <v/>
      </c>
      <c r="U1129" s="3">
        <f>IF(tblOrdenes[[#This Row],[centro_costo]]="","",_xlfn.XLOOKUP(tblOrdenes[[#This Row],[centro_costo]],tblCECO[codigo],tblCECO[linea],"(sin catálogo)"))</f>
        <v/>
      </c>
      <c r="V1129" s="3">
        <f>IF(tblOrdenes[[#This Row],[centro_costo]]="","",_xlfn.XLOOKUP(tblOrdenes[[#This Row],[centro_costo]],tblCECO[codigo],tblCECO[area],"(sin catálogo)"))</f>
        <v/>
      </c>
      <c r="W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3">
        <f>IF(tblOrdenes[[#This Row],[centro_costo]]="","",_xlfn.XLOOKUP(tblOrdenes[[#This Row],[centro_costo]],tblCECO[codigo],tblCECO[coordinador],"(sin catálogo)"))</f>
        <v/>
      </c>
      <c r="Y1129" s="3">
        <f>IF(tblOrdenes[[#This Row],[puesto_trabajo]]="","",_xlfn.XLOOKUP(tblOrdenes[[#This Row],[puesto_trabajo]],tblPuestos[codigo],tblPuestos[especialidad],"(sin catálogo)"))</f>
        <v/>
      </c>
      <c r="Z1129" s="3">
        <f>IF(tblOrdenes[[#This Row],[cod_actividad]]="","",_xlfn.XLOOKUP(tblOrdenes[[#This Row],[cod_actividad]],tblActividades[codigo],tblActividades[descripcion],"(sin catálogo)"))</f>
        <v/>
      </c>
      <c r="AA1129" s="12">
        <f>IF(tblOrdenes[[#This Row],[fecha_inicio]]="","",TODAY()-tblOrdenes[[#This Row],[fecha_inicio]])</f>
        <v/>
      </c>
      <c r="AB112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3">
        <f>IF(tblOrdenes[[#This Row],[backlog_habiles]]="","",IF(tblOrdenes[[#This Row],[backlog_habiles]]&lt;0,"FUTURO",IF(tblOrdenes[[#This Row],[backlog_habiles]]&gt;p_dias_backlog_max,"BACKLOG","MES CORRIENTE")))</f>
        <v/>
      </c>
      <c r="AD1129" s="3">
        <f>IF(tblOrdenes[[#This Row],[backlog_habiles]]="",FALSE,AND(tblOrdenes[[#This Row],[backlog_habiles]]&gt;p_dias_backlog_min,tblOrdenes[[#This Row],[backlog_habiles]]&lt;=p_dias_backlog_max))</f>
        <v/>
      </c>
      <c r="AE1129" s="6" t="n"/>
      <c r="AF1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0">
        <f>IF(tblOrdenes[[#This Row],[orden]]="","",_xlfn.XLOOKUP(tblOrdenes[[#This Row],[id_operacion]],tblEjecucion[id_operacion],tblEjecucion[precio],0))</f>
        <v/>
      </c>
      <c r="AJ1129" s="10">
        <f>IF(tblOrdenes[[#This Row],[orden]]="","",MAX(0,_xlfn.XLOOKUP(tblOrdenes[[#This Row],[id_operacion]],tblEjecucion[id_operacion],tblEjecucion[costo_plan_total],0)-tblOrdenes[[#This Row],[costo_servicio]]))</f>
        <v/>
      </c>
      <c r="AK1129" s="10">
        <f>IF(tblOrdenes[[#This Row],[orden]]="","",tblOrdenes[[#This Row],[costo_servicio]]+tblOrdenes[[#This Row],[costo_materiales]])</f>
        <v/>
      </c>
      <c r="AL1129" s="6" t="n"/>
      <c r="AM1129" s="6" t="n"/>
      <c r="AN1129" s="6" t="n"/>
      <c r="AO1129" s="3">
        <f>IF(tblOrdenes[[#This Row],[link_checklist]]="","",HYPERLINK(p_ruta_base_checklists&amp;tblOrdenes[[#This Row],[link_checklist]],"abrir"))</f>
        <v/>
      </c>
      <c r="AP1129" s="6" t="n"/>
      <c r="AQ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3">
        <f>IF(tblOrdenes[[#This Row],[tipo_ot]]="","",_xlfn.XLOOKUP(tblOrdenes[[#This Row],[tipo_ot]],tblTiposOT[codigo],tblTiposOT[clasificacion],"sin_clasificar"))</f>
        <v/>
      </c>
      <c r="U1130" s="3">
        <f>IF(tblOrdenes[[#This Row],[centro_costo]]="","",_xlfn.XLOOKUP(tblOrdenes[[#This Row],[centro_costo]],tblCECO[codigo],tblCECO[linea],"(sin catálogo)"))</f>
        <v/>
      </c>
      <c r="V1130" s="3">
        <f>IF(tblOrdenes[[#This Row],[centro_costo]]="","",_xlfn.XLOOKUP(tblOrdenes[[#This Row],[centro_costo]],tblCECO[codigo],tblCECO[area],"(sin catálogo)"))</f>
        <v/>
      </c>
      <c r="W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3">
        <f>IF(tblOrdenes[[#This Row],[centro_costo]]="","",_xlfn.XLOOKUP(tblOrdenes[[#This Row],[centro_costo]],tblCECO[codigo],tblCECO[coordinador],"(sin catálogo)"))</f>
        <v/>
      </c>
      <c r="Y1130" s="3">
        <f>IF(tblOrdenes[[#This Row],[puesto_trabajo]]="","",_xlfn.XLOOKUP(tblOrdenes[[#This Row],[puesto_trabajo]],tblPuestos[codigo],tblPuestos[especialidad],"(sin catálogo)"))</f>
        <v/>
      </c>
      <c r="Z1130" s="3">
        <f>IF(tblOrdenes[[#This Row],[cod_actividad]]="","",_xlfn.XLOOKUP(tblOrdenes[[#This Row],[cod_actividad]],tblActividades[codigo],tblActividades[descripcion],"(sin catálogo)"))</f>
        <v/>
      </c>
      <c r="AA1130" s="12">
        <f>IF(tblOrdenes[[#This Row],[fecha_inicio]]="","",TODAY()-tblOrdenes[[#This Row],[fecha_inicio]])</f>
        <v/>
      </c>
      <c r="AB113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3">
        <f>IF(tblOrdenes[[#This Row],[backlog_habiles]]="","",IF(tblOrdenes[[#This Row],[backlog_habiles]]&lt;0,"FUTURO",IF(tblOrdenes[[#This Row],[backlog_habiles]]&gt;p_dias_backlog_max,"BACKLOG","MES CORRIENTE")))</f>
        <v/>
      </c>
      <c r="AD1130" s="3">
        <f>IF(tblOrdenes[[#This Row],[backlog_habiles]]="",FALSE,AND(tblOrdenes[[#This Row],[backlog_habiles]]&gt;p_dias_backlog_min,tblOrdenes[[#This Row],[backlog_habiles]]&lt;=p_dias_backlog_max))</f>
        <v/>
      </c>
      <c r="AE1130" s="6" t="n"/>
      <c r="AF1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0">
        <f>IF(tblOrdenes[[#This Row],[orden]]="","",_xlfn.XLOOKUP(tblOrdenes[[#This Row],[id_operacion]],tblEjecucion[id_operacion],tblEjecucion[precio],0))</f>
        <v/>
      </c>
      <c r="AJ1130" s="10">
        <f>IF(tblOrdenes[[#This Row],[orden]]="","",MAX(0,_xlfn.XLOOKUP(tblOrdenes[[#This Row],[id_operacion]],tblEjecucion[id_operacion],tblEjecucion[costo_plan_total],0)-tblOrdenes[[#This Row],[costo_servicio]]))</f>
        <v/>
      </c>
      <c r="AK1130" s="10">
        <f>IF(tblOrdenes[[#This Row],[orden]]="","",tblOrdenes[[#This Row],[costo_servicio]]+tblOrdenes[[#This Row],[costo_materiales]])</f>
        <v/>
      </c>
      <c r="AL1130" s="6" t="n"/>
      <c r="AM1130" s="6" t="n"/>
      <c r="AN1130" s="6" t="n"/>
      <c r="AO1130" s="3">
        <f>IF(tblOrdenes[[#This Row],[link_checklist]]="","",HYPERLINK(p_ruta_base_checklists&amp;tblOrdenes[[#This Row],[link_checklist]],"abrir"))</f>
        <v/>
      </c>
      <c r="AP1130" s="6" t="n"/>
      <c r="AQ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3">
        <f>IF(tblOrdenes[[#This Row],[tipo_ot]]="","",_xlfn.XLOOKUP(tblOrdenes[[#This Row],[tipo_ot]],tblTiposOT[codigo],tblTiposOT[clasificacion],"sin_clasificar"))</f>
        <v/>
      </c>
      <c r="U1131" s="3">
        <f>IF(tblOrdenes[[#This Row],[centro_costo]]="","",_xlfn.XLOOKUP(tblOrdenes[[#This Row],[centro_costo]],tblCECO[codigo],tblCECO[linea],"(sin catálogo)"))</f>
        <v/>
      </c>
      <c r="V1131" s="3">
        <f>IF(tblOrdenes[[#This Row],[centro_costo]]="","",_xlfn.XLOOKUP(tblOrdenes[[#This Row],[centro_costo]],tblCECO[codigo],tblCECO[area],"(sin catálogo)"))</f>
        <v/>
      </c>
      <c r="W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3">
        <f>IF(tblOrdenes[[#This Row],[centro_costo]]="","",_xlfn.XLOOKUP(tblOrdenes[[#This Row],[centro_costo]],tblCECO[codigo],tblCECO[coordinador],"(sin catálogo)"))</f>
        <v/>
      </c>
      <c r="Y1131" s="3">
        <f>IF(tblOrdenes[[#This Row],[puesto_trabajo]]="","",_xlfn.XLOOKUP(tblOrdenes[[#This Row],[puesto_trabajo]],tblPuestos[codigo],tblPuestos[especialidad],"(sin catálogo)"))</f>
        <v/>
      </c>
      <c r="Z1131" s="3">
        <f>IF(tblOrdenes[[#This Row],[cod_actividad]]="","",_xlfn.XLOOKUP(tblOrdenes[[#This Row],[cod_actividad]],tblActividades[codigo],tblActividades[descripcion],"(sin catálogo)"))</f>
        <v/>
      </c>
      <c r="AA1131" s="12">
        <f>IF(tblOrdenes[[#This Row],[fecha_inicio]]="","",TODAY()-tblOrdenes[[#This Row],[fecha_inicio]])</f>
        <v/>
      </c>
      <c r="AB113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3">
        <f>IF(tblOrdenes[[#This Row],[backlog_habiles]]="","",IF(tblOrdenes[[#This Row],[backlog_habiles]]&lt;0,"FUTURO",IF(tblOrdenes[[#This Row],[backlog_habiles]]&gt;p_dias_backlog_max,"BACKLOG","MES CORRIENTE")))</f>
        <v/>
      </c>
      <c r="AD1131" s="3">
        <f>IF(tblOrdenes[[#This Row],[backlog_habiles]]="",FALSE,AND(tblOrdenes[[#This Row],[backlog_habiles]]&gt;p_dias_backlog_min,tblOrdenes[[#This Row],[backlog_habiles]]&lt;=p_dias_backlog_max))</f>
        <v/>
      </c>
      <c r="AE1131" s="6" t="n"/>
      <c r="AF1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0">
        <f>IF(tblOrdenes[[#This Row],[orden]]="","",_xlfn.XLOOKUP(tblOrdenes[[#This Row],[id_operacion]],tblEjecucion[id_operacion],tblEjecucion[precio],0))</f>
        <v/>
      </c>
      <c r="AJ1131" s="10">
        <f>IF(tblOrdenes[[#This Row],[orden]]="","",MAX(0,_xlfn.XLOOKUP(tblOrdenes[[#This Row],[id_operacion]],tblEjecucion[id_operacion],tblEjecucion[costo_plan_total],0)-tblOrdenes[[#This Row],[costo_servicio]]))</f>
        <v/>
      </c>
      <c r="AK1131" s="10">
        <f>IF(tblOrdenes[[#This Row],[orden]]="","",tblOrdenes[[#This Row],[costo_servicio]]+tblOrdenes[[#This Row],[costo_materiales]])</f>
        <v/>
      </c>
      <c r="AL1131" s="6" t="n"/>
      <c r="AM1131" s="6" t="n"/>
      <c r="AN1131" s="6" t="n"/>
      <c r="AO1131" s="3">
        <f>IF(tblOrdenes[[#This Row],[link_checklist]]="","",HYPERLINK(p_ruta_base_checklists&amp;tblOrdenes[[#This Row],[link_checklist]],"abrir"))</f>
        <v/>
      </c>
      <c r="AP1131" s="6" t="n"/>
      <c r="AQ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3">
        <f>IF(tblOrdenes[[#This Row],[tipo_ot]]="","",_xlfn.XLOOKUP(tblOrdenes[[#This Row],[tipo_ot]],tblTiposOT[codigo],tblTiposOT[clasificacion],"sin_clasificar"))</f>
        <v/>
      </c>
      <c r="U1132" s="3">
        <f>IF(tblOrdenes[[#This Row],[centro_costo]]="","",_xlfn.XLOOKUP(tblOrdenes[[#This Row],[centro_costo]],tblCECO[codigo],tblCECO[linea],"(sin catálogo)"))</f>
        <v/>
      </c>
      <c r="V1132" s="3">
        <f>IF(tblOrdenes[[#This Row],[centro_costo]]="","",_xlfn.XLOOKUP(tblOrdenes[[#This Row],[centro_costo]],tblCECO[codigo],tblCECO[area],"(sin catálogo)"))</f>
        <v/>
      </c>
      <c r="W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3">
        <f>IF(tblOrdenes[[#This Row],[centro_costo]]="","",_xlfn.XLOOKUP(tblOrdenes[[#This Row],[centro_costo]],tblCECO[codigo],tblCECO[coordinador],"(sin catálogo)"))</f>
        <v/>
      </c>
      <c r="Y1132" s="3">
        <f>IF(tblOrdenes[[#This Row],[puesto_trabajo]]="","",_xlfn.XLOOKUP(tblOrdenes[[#This Row],[puesto_trabajo]],tblPuestos[codigo],tblPuestos[especialidad],"(sin catálogo)"))</f>
        <v/>
      </c>
      <c r="Z1132" s="3">
        <f>IF(tblOrdenes[[#This Row],[cod_actividad]]="","",_xlfn.XLOOKUP(tblOrdenes[[#This Row],[cod_actividad]],tblActividades[codigo],tblActividades[descripcion],"(sin catálogo)"))</f>
        <v/>
      </c>
      <c r="AA1132" s="12">
        <f>IF(tblOrdenes[[#This Row],[fecha_inicio]]="","",TODAY()-tblOrdenes[[#This Row],[fecha_inicio]])</f>
        <v/>
      </c>
      <c r="AB113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3">
        <f>IF(tblOrdenes[[#This Row],[backlog_habiles]]="","",IF(tblOrdenes[[#This Row],[backlog_habiles]]&lt;0,"FUTURO",IF(tblOrdenes[[#This Row],[backlog_habiles]]&gt;p_dias_backlog_max,"BACKLOG","MES CORRIENTE")))</f>
        <v/>
      </c>
      <c r="AD1132" s="3">
        <f>IF(tblOrdenes[[#This Row],[backlog_habiles]]="",FALSE,AND(tblOrdenes[[#This Row],[backlog_habiles]]&gt;p_dias_backlog_min,tblOrdenes[[#This Row],[backlog_habiles]]&lt;=p_dias_backlog_max))</f>
        <v/>
      </c>
      <c r="AE1132" s="6" t="n"/>
      <c r="AF1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0">
        <f>IF(tblOrdenes[[#This Row],[orden]]="","",_xlfn.XLOOKUP(tblOrdenes[[#This Row],[id_operacion]],tblEjecucion[id_operacion],tblEjecucion[precio],0))</f>
        <v/>
      </c>
      <c r="AJ1132" s="10">
        <f>IF(tblOrdenes[[#This Row],[orden]]="","",MAX(0,_xlfn.XLOOKUP(tblOrdenes[[#This Row],[id_operacion]],tblEjecucion[id_operacion],tblEjecucion[costo_plan_total],0)-tblOrdenes[[#This Row],[costo_servicio]]))</f>
        <v/>
      </c>
      <c r="AK1132" s="10">
        <f>IF(tblOrdenes[[#This Row],[orden]]="","",tblOrdenes[[#This Row],[costo_servicio]]+tblOrdenes[[#This Row],[costo_materiales]])</f>
        <v/>
      </c>
      <c r="AL1132" s="6" t="n"/>
      <c r="AM1132" s="6" t="n"/>
      <c r="AN1132" s="6" t="n"/>
      <c r="AO1132" s="3">
        <f>IF(tblOrdenes[[#This Row],[link_checklist]]="","",HYPERLINK(p_ruta_base_checklists&amp;tblOrdenes[[#This Row],[link_checklist]],"abrir"))</f>
        <v/>
      </c>
      <c r="AP1132" s="6" t="n"/>
      <c r="AQ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3">
        <f>IF(tblOrdenes[[#This Row],[tipo_ot]]="","",_xlfn.XLOOKUP(tblOrdenes[[#This Row],[tipo_ot]],tblTiposOT[codigo],tblTiposOT[clasificacion],"sin_clasificar"))</f>
        <v/>
      </c>
      <c r="U1133" s="3">
        <f>IF(tblOrdenes[[#This Row],[centro_costo]]="","",_xlfn.XLOOKUP(tblOrdenes[[#This Row],[centro_costo]],tblCECO[codigo],tblCECO[linea],"(sin catálogo)"))</f>
        <v/>
      </c>
      <c r="V1133" s="3">
        <f>IF(tblOrdenes[[#This Row],[centro_costo]]="","",_xlfn.XLOOKUP(tblOrdenes[[#This Row],[centro_costo]],tblCECO[codigo],tblCECO[area],"(sin catálogo)"))</f>
        <v/>
      </c>
      <c r="W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3">
        <f>IF(tblOrdenes[[#This Row],[centro_costo]]="","",_xlfn.XLOOKUP(tblOrdenes[[#This Row],[centro_costo]],tblCECO[codigo],tblCECO[coordinador],"(sin catálogo)"))</f>
        <v/>
      </c>
      <c r="Y1133" s="3">
        <f>IF(tblOrdenes[[#This Row],[puesto_trabajo]]="","",_xlfn.XLOOKUP(tblOrdenes[[#This Row],[puesto_trabajo]],tblPuestos[codigo],tblPuestos[especialidad],"(sin catálogo)"))</f>
        <v/>
      </c>
      <c r="Z1133" s="3">
        <f>IF(tblOrdenes[[#This Row],[cod_actividad]]="","",_xlfn.XLOOKUP(tblOrdenes[[#This Row],[cod_actividad]],tblActividades[codigo],tblActividades[descripcion],"(sin catálogo)"))</f>
        <v/>
      </c>
      <c r="AA1133" s="12">
        <f>IF(tblOrdenes[[#This Row],[fecha_inicio]]="","",TODAY()-tblOrdenes[[#This Row],[fecha_inicio]])</f>
        <v/>
      </c>
      <c r="AB113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3">
        <f>IF(tblOrdenes[[#This Row],[backlog_habiles]]="","",IF(tblOrdenes[[#This Row],[backlog_habiles]]&lt;0,"FUTURO",IF(tblOrdenes[[#This Row],[backlog_habiles]]&gt;p_dias_backlog_max,"BACKLOG","MES CORRIENTE")))</f>
        <v/>
      </c>
      <c r="AD1133" s="3">
        <f>IF(tblOrdenes[[#This Row],[backlog_habiles]]="",FALSE,AND(tblOrdenes[[#This Row],[backlog_habiles]]&gt;p_dias_backlog_min,tblOrdenes[[#This Row],[backlog_habiles]]&lt;=p_dias_backlog_max))</f>
        <v/>
      </c>
      <c r="AE1133" s="6" t="n"/>
      <c r="AF1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0">
        <f>IF(tblOrdenes[[#This Row],[orden]]="","",_xlfn.XLOOKUP(tblOrdenes[[#This Row],[id_operacion]],tblEjecucion[id_operacion],tblEjecucion[precio],0))</f>
        <v/>
      </c>
      <c r="AJ1133" s="10">
        <f>IF(tblOrdenes[[#This Row],[orden]]="","",MAX(0,_xlfn.XLOOKUP(tblOrdenes[[#This Row],[id_operacion]],tblEjecucion[id_operacion],tblEjecucion[costo_plan_total],0)-tblOrdenes[[#This Row],[costo_servicio]]))</f>
        <v/>
      </c>
      <c r="AK1133" s="10">
        <f>IF(tblOrdenes[[#This Row],[orden]]="","",tblOrdenes[[#This Row],[costo_servicio]]+tblOrdenes[[#This Row],[costo_materiales]])</f>
        <v/>
      </c>
      <c r="AL1133" s="6" t="n"/>
      <c r="AM1133" s="6" t="n"/>
      <c r="AN1133" s="6" t="n"/>
      <c r="AO1133" s="3">
        <f>IF(tblOrdenes[[#This Row],[link_checklist]]="","",HYPERLINK(p_ruta_base_checklists&amp;tblOrdenes[[#This Row],[link_checklist]],"abrir"))</f>
        <v/>
      </c>
      <c r="AP1133" s="6" t="n"/>
      <c r="AQ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3">
        <f>IF(tblOrdenes[[#This Row],[tipo_ot]]="","",_xlfn.XLOOKUP(tblOrdenes[[#This Row],[tipo_ot]],tblTiposOT[codigo],tblTiposOT[clasificacion],"sin_clasificar"))</f>
        <v/>
      </c>
      <c r="U1134" s="3">
        <f>IF(tblOrdenes[[#This Row],[centro_costo]]="","",_xlfn.XLOOKUP(tblOrdenes[[#This Row],[centro_costo]],tblCECO[codigo],tblCECO[linea],"(sin catálogo)"))</f>
        <v/>
      </c>
      <c r="V1134" s="3">
        <f>IF(tblOrdenes[[#This Row],[centro_costo]]="","",_xlfn.XLOOKUP(tblOrdenes[[#This Row],[centro_costo]],tblCECO[codigo],tblCECO[area],"(sin catálogo)"))</f>
        <v/>
      </c>
      <c r="W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3">
        <f>IF(tblOrdenes[[#This Row],[centro_costo]]="","",_xlfn.XLOOKUP(tblOrdenes[[#This Row],[centro_costo]],tblCECO[codigo],tblCECO[coordinador],"(sin catálogo)"))</f>
        <v/>
      </c>
      <c r="Y1134" s="3">
        <f>IF(tblOrdenes[[#This Row],[puesto_trabajo]]="","",_xlfn.XLOOKUP(tblOrdenes[[#This Row],[puesto_trabajo]],tblPuestos[codigo],tblPuestos[especialidad],"(sin catálogo)"))</f>
        <v/>
      </c>
      <c r="Z1134" s="3">
        <f>IF(tblOrdenes[[#This Row],[cod_actividad]]="","",_xlfn.XLOOKUP(tblOrdenes[[#This Row],[cod_actividad]],tblActividades[codigo],tblActividades[descripcion],"(sin catálogo)"))</f>
        <v/>
      </c>
      <c r="AA1134" s="12">
        <f>IF(tblOrdenes[[#This Row],[fecha_inicio]]="","",TODAY()-tblOrdenes[[#This Row],[fecha_inicio]])</f>
        <v/>
      </c>
      <c r="AB113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3">
        <f>IF(tblOrdenes[[#This Row],[backlog_habiles]]="","",IF(tblOrdenes[[#This Row],[backlog_habiles]]&lt;0,"FUTURO",IF(tblOrdenes[[#This Row],[backlog_habiles]]&gt;p_dias_backlog_max,"BACKLOG","MES CORRIENTE")))</f>
        <v/>
      </c>
      <c r="AD1134" s="3">
        <f>IF(tblOrdenes[[#This Row],[backlog_habiles]]="",FALSE,AND(tblOrdenes[[#This Row],[backlog_habiles]]&gt;p_dias_backlog_min,tblOrdenes[[#This Row],[backlog_habiles]]&lt;=p_dias_backlog_max))</f>
        <v/>
      </c>
      <c r="AE1134" s="6" t="n"/>
      <c r="AF1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0">
        <f>IF(tblOrdenes[[#This Row],[orden]]="","",_xlfn.XLOOKUP(tblOrdenes[[#This Row],[id_operacion]],tblEjecucion[id_operacion],tblEjecucion[precio],0))</f>
        <v/>
      </c>
      <c r="AJ1134" s="10">
        <f>IF(tblOrdenes[[#This Row],[orden]]="","",MAX(0,_xlfn.XLOOKUP(tblOrdenes[[#This Row],[id_operacion]],tblEjecucion[id_operacion],tblEjecucion[costo_plan_total],0)-tblOrdenes[[#This Row],[costo_servicio]]))</f>
        <v/>
      </c>
      <c r="AK1134" s="10">
        <f>IF(tblOrdenes[[#This Row],[orden]]="","",tblOrdenes[[#This Row],[costo_servicio]]+tblOrdenes[[#This Row],[costo_materiales]])</f>
        <v/>
      </c>
      <c r="AL1134" s="6" t="n"/>
      <c r="AM1134" s="6" t="n"/>
      <c r="AN1134" s="6" t="n"/>
      <c r="AO1134" s="3">
        <f>IF(tblOrdenes[[#This Row],[link_checklist]]="","",HYPERLINK(p_ruta_base_checklists&amp;tblOrdenes[[#This Row],[link_checklist]],"abrir"))</f>
        <v/>
      </c>
      <c r="AP1134" s="6" t="n"/>
      <c r="AQ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3">
        <f>IF(tblOrdenes[[#This Row],[tipo_ot]]="","",_xlfn.XLOOKUP(tblOrdenes[[#This Row],[tipo_ot]],tblTiposOT[codigo],tblTiposOT[clasificacion],"sin_clasificar"))</f>
        <v/>
      </c>
      <c r="U1135" s="3">
        <f>IF(tblOrdenes[[#This Row],[centro_costo]]="","",_xlfn.XLOOKUP(tblOrdenes[[#This Row],[centro_costo]],tblCECO[codigo],tblCECO[linea],"(sin catálogo)"))</f>
        <v/>
      </c>
      <c r="V1135" s="3">
        <f>IF(tblOrdenes[[#This Row],[centro_costo]]="","",_xlfn.XLOOKUP(tblOrdenes[[#This Row],[centro_costo]],tblCECO[codigo],tblCECO[area],"(sin catálogo)"))</f>
        <v/>
      </c>
      <c r="W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3">
        <f>IF(tblOrdenes[[#This Row],[centro_costo]]="","",_xlfn.XLOOKUP(tblOrdenes[[#This Row],[centro_costo]],tblCECO[codigo],tblCECO[coordinador],"(sin catálogo)"))</f>
        <v/>
      </c>
      <c r="Y1135" s="3">
        <f>IF(tblOrdenes[[#This Row],[puesto_trabajo]]="","",_xlfn.XLOOKUP(tblOrdenes[[#This Row],[puesto_trabajo]],tblPuestos[codigo],tblPuestos[especialidad],"(sin catálogo)"))</f>
        <v/>
      </c>
      <c r="Z1135" s="3">
        <f>IF(tblOrdenes[[#This Row],[cod_actividad]]="","",_xlfn.XLOOKUP(tblOrdenes[[#This Row],[cod_actividad]],tblActividades[codigo],tblActividades[descripcion],"(sin catálogo)"))</f>
        <v/>
      </c>
      <c r="AA1135" s="12">
        <f>IF(tblOrdenes[[#This Row],[fecha_inicio]]="","",TODAY()-tblOrdenes[[#This Row],[fecha_inicio]])</f>
        <v/>
      </c>
      <c r="AB113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3">
        <f>IF(tblOrdenes[[#This Row],[backlog_habiles]]="","",IF(tblOrdenes[[#This Row],[backlog_habiles]]&lt;0,"FUTURO",IF(tblOrdenes[[#This Row],[backlog_habiles]]&gt;p_dias_backlog_max,"BACKLOG","MES CORRIENTE")))</f>
        <v/>
      </c>
      <c r="AD1135" s="3">
        <f>IF(tblOrdenes[[#This Row],[backlog_habiles]]="",FALSE,AND(tblOrdenes[[#This Row],[backlog_habiles]]&gt;p_dias_backlog_min,tblOrdenes[[#This Row],[backlog_habiles]]&lt;=p_dias_backlog_max))</f>
        <v/>
      </c>
      <c r="AE1135" s="6" t="n"/>
      <c r="AF1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0">
        <f>IF(tblOrdenes[[#This Row],[orden]]="","",_xlfn.XLOOKUP(tblOrdenes[[#This Row],[id_operacion]],tblEjecucion[id_operacion],tblEjecucion[precio],0))</f>
        <v/>
      </c>
      <c r="AJ1135" s="10">
        <f>IF(tblOrdenes[[#This Row],[orden]]="","",MAX(0,_xlfn.XLOOKUP(tblOrdenes[[#This Row],[id_operacion]],tblEjecucion[id_operacion],tblEjecucion[costo_plan_total],0)-tblOrdenes[[#This Row],[costo_servicio]]))</f>
        <v/>
      </c>
      <c r="AK1135" s="10">
        <f>IF(tblOrdenes[[#This Row],[orden]]="","",tblOrdenes[[#This Row],[costo_servicio]]+tblOrdenes[[#This Row],[costo_materiales]])</f>
        <v/>
      </c>
      <c r="AL1135" s="6" t="n"/>
      <c r="AM1135" s="6" t="n"/>
      <c r="AN1135" s="6" t="n"/>
      <c r="AO1135" s="3">
        <f>IF(tblOrdenes[[#This Row],[link_checklist]]="","",HYPERLINK(p_ruta_base_checklists&amp;tblOrdenes[[#This Row],[link_checklist]],"abrir"))</f>
        <v/>
      </c>
      <c r="AP1135" s="6" t="n"/>
      <c r="AQ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3">
        <f>IF(tblOrdenes[[#This Row],[tipo_ot]]="","",_xlfn.XLOOKUP(tblOrdenes[[#This Row],[tipo_ot]],tblTiposOT[codigo],tblTiposOT[clasificacion],"sin_clasificar"))</f>
        <v/>
      </c>
      <c r="U1136" s="3">
        <f>IF(tblOrdenes[[#This Row],[centro_costo]]="","",_xlfn.XLOOKUP(tblOrdenes[[#This Row],[centro_costo]],tblCECO[codigo],tblCECO[linea],"(sin catálogo)"))</f>
        <v/>
      </c>
      <c r="V1136" s="3">
        <f>IF(tblOrdenes[[#This Row],[centro_costo]]="","",_xlfn.XLOOKUP(tblOrdenes[[#This Row],[centro_costo]],tblCECO[codigo],tblCECO[area],"(sin catálogo)"))</f>
        <v/>
      </c>
      <c r="W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3">
        <f>IF(tblOrdenes[[#This Row],[centro_costo]]="","",_xlfn.XLOOKUP(tblOrdenes[[#This Row],[centro_costo]],tblCECO[codigo],tblCECO[coordinador],"(sin catálogo)"))</f>
        <v/>
      </c>
      <c r="Y1136" s="3">
        <f>IF(tblOrdenes[[#This Row],[puesto_trabajo]]="","",_xlfn.XLOOKUP(tblOrdenes[[#This Row],[puesto_trabajo]],tblPuestos[codigo],tblPuestos[especialidad],"(sin catálogo)"))</f>
        <v/>
      </c>
      <c r="Z1136" s="3">
        <f>IF(tblOrdenes[[#This Row],[cod_actividad]]="","",_xlfn.XLOOKUP(tblOrdenes[[#This Row],[cod_actividad]],tblActividades[codigo],tblActividades[descripcion],"(sin catálogo)"))</f>
        <v/>
      </c>
      <c r="AA1136" s="12">
        <f>IF(tblOrdenes[[#This Row],[fecha_inicio]]="","",TODAY()-tblOrdenes[[#This Row],[fecha_inicio]])</f>
        <v/>
      </c>
      <c r="AB113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3">
        <f>IF(tblOrdenes[[#This Row],[backlog_habiles]]="","",IF(tblOrdenes[[#This Row],[backlog_habiles]]&lt;0,"FUTURO",IF(tblOrdenes[[#This Row],[backlog_habiles]]&gt;p_dias_backlog_max,"BACKLOG","MES CORRIENTE")))</f>
        <v/>
      </c>
      <c r="AD1136" s="3">
        <f>IF(tblOrdenes[[#This Row],[backlog_habiles]]="",FALSE,AND(tblOrdenes[[#This Row],[backlog_habiles]]&gt;p_dias_backlog_min,tblOrdenes[[#This Row],[backlog_habiles]]&lt;=p_dias_backlog_max))</f>
        <v/>
      </c>
      <c r="AE1136" s="6" t="n"/>
      <c r="AF1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0">
        <f>IF(tblOrdenes[[#This Row],[orden]]="","",_xlfn.XLOOKUP(tblOrdenes[[#This Row],[id_operacion]],tblEjecucion[id_operacion],tblEjecucion[precio],0))</f>
        <v/>
      </c>
      <c r="AJ1136" s="10">
        <f>IF(tblOrdenes[[#This Row],[orden]]="","",MAX(0,_xlfn.XLOOKUP(tblOrdenes[[#This Row],[id_operacion]],tblEjecucion[id_operacion],tblEjecucion[costo_plan_total],0)-tblOrdenes[[#This Row],[costo_servicio]]))</f>
        <v/>
      </c>
      <c r="AK1136" s="10">
        <f>IF(tblOrdenes[[#This Row],[orden]]="","",tblOrdenes[[#This Row],[costo_servicio]]+tblOrdenes[[#This Row],[costo_materiales]])</f>
        <v/>
      </c>
      <c r="AL1136" s="6" t="n"/>
      <c r="AM1136" s="6" t="n"/>
      <c r="AN1136" s="6" t="n"/>
      <c r="AO1136" s="3">
        <f>IF(tblOrdenes[[#This Row],[link_checklist]]="","",HYPERLINK(p_ruta_base_checklists&amp;tblOrdenes[[#This Row],[link_checklist]],"abrir"))</f>
        <v/>
      </c>
      <c r="AP1136" s="6" t="n"/>
      <c r="AQ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3">
        <f>IF(tblOrdenes[[#This Row],[tipo_ot]]="","",_xlfn.XLOOKUP(tblOrdenes[[#This Row],[tipo_ot]],tblTiposOT[codigo],tblTiposOT[clasificacion],"sin_clasificar"))</f>
        <v/>
      </c>
      <c r="U1137" s="3">
        <f>IF(tblOrdenes[[#This Row],[centro_costo]]="","",_xlfn.XLOOKUP(tblOrdenes[[#This Row],[centro_costo]],tblCECO[codigo],tblCECO[linea],"(sin catálogo)"))</f>
        <v/>
      </c>
      <c r="V1137" s="3">
        <f>IF(tblOrdenes[[#This Row],[centro_costo]]="","",_xlfn.XLOOKUP(tblOrdenes[[#This Row],[centro_costo]],tblCECO[codigo],tblCECO[area],"(sin catálogo)"))</f>
        <v/>
      </c>
      <c r="W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3">
        <f>IF(tblOrdenes[[#This Row],[centro_costo]]="","",_xlfn.XLOOKUP(tblOrdenes[[#This Row],[centro_costo]],tblCECO[codigo],tblCECO[coordinador],"(sin catálogo)"))</f>
        <v/>
      </c>
      <c r="Y1137" s="3">
        <f>IF(tblOrdenes[[#This Row],[puesto_trabajo]]="","",_xlfn.XLOOKUP(tblOrdenes[[#This Row],[puesto_trabajo]],tblPuestos[codigo],tblPuestos[especialidad],"(sin catálogo)"))</f>
        <v/>
      </c>
      <c r="Z1137" s="3">
        <f>IF(tblOrdenes[[#This Row],[cod_actividad]]="","",_xlfn.XLOOKUP(tblOrdenes[[#This Row],[cod_actividad]],tblActividades[codigo],tblActividades[descripcion],"(sin catálogo)"))</f>
        <v/>
      </c>
      <c r="AA1137" s="12">
        <f>IF(tblOrdenes[[#This Row],[fecha_inicio]]="","",TODAY()-tblOrdenes[[#This Row],[fecha_inicio]])</f>
        <v/>
      </c>
      <c r="AB113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3">
        <f>IF(tblOrdenes[[#This Row],[backlog_habiles]]="","",IF(tblOrdenes[[#This Row],[backlog_habiles]]&lt;0,"FUTURO",IF(tblOrdenes[[#This Row],[backlog_habiles]]&gt;p_dias_backlog_max,"BACKLOG","MES CORRIENTE")))</f>
        <v/>
      </c>
      <c r="AD1137" s="3">
        <f>IF(tblOrdenes[[#This Row],[backlog_habiles]]="",FALSE,AND(tblOrdenes[[#This Row],[backlog_habiles]]&gt;p_dias_backlog_min,tblOrdenes[[#This Row],[backlog_habiles]]&lt;=p_dias_backlog_max))</f>
        <v/>
      </c>
      <c r="AE1137" s="6" t="n"/>
      <c r="AF1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0">
        <f>IF(tblOrdenes[[#This Row],[orden]]="","",_xlfn.XLOOKUP(tblOrdenes[[#This Row],[id_operacion]],tblEjecucion[id_operacion],tblEjecucion[precio],0))</f>
        <v/>
      </c>
      <c r="AJ1137" s="10">
        <f>IF(tblOrdenes[[#This Row],[orden]]="","",MAX(0,_xlfn.XLOOKUP(tblOrdenes[[#This Row],[id_operacion]],tblEjecucion[id_operacion],tblEjecucion[costo_plan_total],0)-tblOrdenes[[#This Row],[costo_servicio]]))</f>
        <v/>
      </c>
      <c r="AK1137" s="10">
        <f>IF(tblOrdenes[[#This Row],[orden]]="","",tblOrdenes[[#This Row],[costo_servicio]]+tblOrdenes[[#This Row],[costo_materiales]])</f>
        <v/>
      </c>
      <c r="AL1137" s="6" t="n"/>
      <c r="AM1137" s="6" t="n"/>
      <c r="AN1137" s="6" t="n"/>
      <c r="AO1137" s="3">
        <f>IF(tblOrdenes[[#This Row],[link_checklist]]="","",HYPERLINK(p_ruta_base_checklists&amp;tblOrdenes[[#This Row],[link_checklist]],"abrir"))</f>
        <v/>
      </c>
      <c r="AP1137" s="6" t="n"/>
      <c r="AQ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3">
        <f>IF(tblOrdenes[[#This Row],[tipo_ot]]="","",_xlfn.XLOOKUP(tblOrdenes[[#This Row],[tipo_ot]],tblTiposOT[codigo],tblTiposOT[clasificacion],"sin_clasificar"))</f>
        <v/>
      </c>
      <c r="U1138" s="3">
        <f>IF(tblOrdenes[[#This Row],[centro_costo]]="","",_xlfn.XLOOKUP(tblOrdenes[[#This Row],[centro_costo]],tblCECO[codigo],tblCECO[linea],"(sin catálogo)"))</f>
        <v/>
      </c>
      <c r="V1138" s="3">
        <f>IF(tblOrdenes[[#This Row],[centro_costo]]="","",_xlfn.XLOOKUP(tblOrdenes[[#This Row],[centro_costo]],tblCECO[codigo],tblCECO[area],"(sin catálogo)"))</f>
        <v/>
      </c>
      <c r="W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3">
        <f>IF(tblOrdenes[[#This Row],[centro_costo]]="","",_xlfn.XLOOKUP(tblOrdenes[[#This Row],[centro_costo]],tblCECO[codigo],tblCECO[coordinador],"(sin catálogo)"))</f>
        <v/>
      </c>
      <c r="Y1138" s="3">
        <f>IF(tblOrdenes[[#This Row],[puesto_trabajo]]="","",_xlfn.XLOOKUP(tblOrdenes[[#This Row],[puesto_trabajo]],tblPuestos[codigo],tblPuestos[especialidad],"(sin catálogo)"))</f>
        <v/>
      </c>
      <c r="Z1138" s="3">
        <f>IF(tblOrdenes[[#This Row],[cod_actividad]]="","",_xlfn.XLOOKUP(tblOrdenes[[#This Row],[cod_actividad]],tblActividades[codigo],tblActividades[descripcion],"(sin catálogo)"))</f>
        <v/>
      </c>
      <c r="AA1138" s="12">
        <f>IF(tblOrdenes[[#This Row],[fecha_inicio]]="","",TODAY()-tblOrdenes[[#This Row],[fecha_inicio]])</f>
        <v/>
      </c>
      <c r="AB113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3">
        <f>IF(tblOrdenes[[#This Row],[backlog_habiles]]="","",IF(tblOrdenes[[#This Row],[backlog_habiles]]&lt;0,"FUTURO",IF(tblOrdenes[[#This Row],[backlog_habiles]]&gt;p_dias_backlog_max,"BACKLOG","MES CORRIENTE")))</f>
        <v/>
      </c>
      <c r="AD1138" s="3">
        <f>IF(tblOrdenes[[#This Row],[backlog_habiles]]="",FALSE,AND(tblOrdenes[[#This Row],[backlog_habiles]]&gt;p_dias_backlog_min,tblOrdenes[[#This Row],[backlog_habiles]]&lt;=p_dias_backlog_max))</f>
        <v/>
      </c>
      <c r="AE1138" s="6" t="n"/>
      <c r="AF1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0">
        <f>IF(tblOrdenes[[#This Row],[orden]]="","",_xlfn.XLOOKUP(tblOrdenes[[#This Row],[id_operacion]],tblEjecucion[id_operacion],tblEjecucion[precio],0))</f>
        <v/>
      </c>
      <c r="AJ1138" s="10">
        <f>IF(tblOrdenes[[#This Row],[orden]]="","",MAX(0,_xlfn.XLOOKUP(tblOrdenes[[#This Row],[id_operacion]],tblEjecucion[id_operacion],tblEjecucion[costo_plan_total],0)-tblOrdenes[[#This Row],[costo_servicio]]))</f>
        <v/>
      </c>
      <c r="AK1138" s="10">
        <f>IF(tblOrdenes[[#This Row],[orden]]="","",tblOrdenes[[#This Row],[costo_servicio]]+tblOrdenes[[#This Row],[costo_materiales]])</f>
        <v/>
      </c>
      <c r="AL1138" s="6" t="n"/>
      <c r="AM1138" s="6" t="n"/>
      <c r="AN1138" s="6" t="n"/>
      <c r="AO1138" s="3">
        <f>IF(tblOrdenes[[#This Row],[link_checklist]]="","",HYPERLINK(p_ruta_base_checklists&amp;tblOrdenes[[#This Row],[link_checklist]],"abrir"))</f>
        <v/>
      </c>
      <c r="AP1138" s="6" t="n"/>
      <c r="AQ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3">
        <f>IF(tblOrdenes[[#This Row],[tipo_ot]]="","",_xlfn.XLOOKUP(tblOrdenes[[#This Row],[tipo_ot]],tblTiposOT[codigo],tblTiposOT[clasificacion],"sin_clasificar"))</f>
        <v/>
      </c>
      <c r="U1139" s="3">
        <f>IF(tblOrdenes[[#This Row],[centro_costo]]="","",_xlfn.XLOOKUP(tblOrdenes[[#This Row],[centro_costo]],tblCECO[codigo],tblCECO[linea],"(sin catálogo)"))</f>
        <v/>
      </c>
      <c r="V1139" s="3">
        <f>IF(tblOrdenes[[#This Row],[centro_costo]]="","",_xlfn.XLOOKUP(tblOrdenes[[#This Row],[centro_costo]],tblCECO[codigo],tblCECO[area],"(sin catálogo)"))</f>
        <v/>
      </c>
      <c r="W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3">
        <f>IF(tblOrdenes[[#This Row],[centro_costo]]="","",_xlfn.XLOOKUP(tblOrdenes[[#This Row],[centro_costo]],tblCECO[codigo],tblCECO[coordinador],"(sin catálogo)"))</f>
        <v/>
      </c>
      <c r="Y1139" s="3">
        <f>IF(tblOrdenes[[#This Row],[puesto_trabajo]]="","",_xlfn.XLOOKUP(tblOrdenes[[#This Row],[puesto_trabajo]],tblPuestos[codigo],tblPuestos[especialidad],"(sin catálogo)"))</f>
        <v/>
      </c>
      <c r="Z1139" s="3">
        <f>IF(tblOrdenes[[#This Row],[cod_actividad]]="","",_xlfn.XLOOKUP(tblOrdenes[[#This Row],[cod_actividad]],tblActividades[codigo],tblActividades[descripcion],"(sin catálogo)"))</f>
        <v/>
      </c>
      <c r="AA1139" s="12">
        <f>IF(tblOrdenes[[#This Row],[fecha_inicio]]="","",TODAY()-tblOrdenes[[#This Row],[fecha_inicio]])</f>
        <v/>
      </c>
      <c r="AB113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3">
        <f>IF(tblOrdenes[[#This Row],[backlog_habiles]]="","",IF(tblOrdenes[[#This Row],[backlog_habiles]]&lt;0,"FUTURO",IF(tblOrdenes[[#This Row],[backlog_habiles]]&gt;p_dias_backlog_max,"BACKLOG","MES CORRIENTE")))</f>
        <v/>
      </c>
      <c r="AD1139" s="3">
        <f>IF(tblOrdenes[[#This Row],[backlog_habiles]]="",FALSE,AND(tblOrdenes[[#This Row],[backlog_habiles]]&gt;p_dias_backlog_min,tblOrdenes[[#This Row],[backlog_habiles]]&lt;=p_dias_backlog_max))</f>
        <v/>
      </c>
      <c r="AE1139" s="6" t="n"/>
      <c r="AF1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0">
        <f>IF(tblOrdenes[[#This Row],[orden]]="","",_xlfn.XLOOKUP(tblOrdenes[[#This Row],[id_operacion]],tblEjecucion[id_operacion],tblEjecucion[precio],0))</f>
        <v/>
      </c>
      <c r="AJ1139" s="10">
        <f>IF(tblOrdenes[[#This Row],[orden]]="","",MAX(0,_xlfn.XLOOKUP(tblOrdenes[[#This Row],[id_operacion]],tblEjecucion[id_operacion],tblEjecucion[costo_plan_total],0)-tblOrdenes[[#This Row],[costo_servicio]]))</f>
        <v/>
      </c>
      <c r="AK1139" s="10">
        <f>IF(tblOrdenes[[#This Row],[orden]]="","",tblOrdenes[[#This Row],[costo_servicio]]+tblOrdenes[[#This Row],[costo_materiales]])</f>
        <v/>
      </c>
      <c r="AL1139" s="6" t="n"/>
      <c r="AM1139" s="6" t="n"/>
      <c r="AN1139" s="6" t="n"/>
      <c r="AO1139" s="3">
        <f>IF(tblOrdenes[[#This Row],[link_checklist]]="","",HYPERLINK(p_ruta_base_checklists&amp;tblOrdenes[[#This Row],[link_checklist]],"abrir"))</f>
        <v/>
      </c>
      <c r="AP1139" s="6" t="n"/>
      <c r="AQ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3">
        <f>IF(tblOrdenes[[#This Row],[tipo_ot]]="","",_xlfn.XLOOKUP(tblOrdenes[[#This Row],[tipo_ot]],tblTiposOT[codigo],tblTiposOT[clasificacion],"sin_clasificar"))</f>
        <v/>
      </c>
      <c r="U1140" s="3">
        <f>IF(tblOrdenes[[#This Row],[centro_costo]]="","",_xlfn.XLOOKUP(tblOrdenes[[#This Row],[centro_costo]],tblCECO[codigo],tblCECO[linea],"(sin catálogo)"))</f>
        <v/>
      </c>
      <c r="V1140" s="3">
        <f>IF(tblOrdenes[[#This Row],[centro_costo]]="","",_xlfn.XLOOKUP(tblOrdenes[[#This Row],[centro_costo]],tblCECO[codigo],tblCECO[area],"(sin catálogo)"))</f>
        <v/>
      </c>
      <c r="W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3">
        <f>IF(tblOrdenes[[#This Row],[centro_costo]]="","",_xlfn.XLOOKUP(tblOrdenes[[#This Row],[centro_costo]],tblCECO[codigo],tblCECO[coordinador],"(sin catálogo)"))</f>
        <v/>
      </c>
      <c r="Y1140" s="3">
        <f>IF(tblOrdenes[[#This Row],[puesto_trabajo]]="","",_xlfn.XLOOKUP(tblOrdenes[[#This Row],[puesto_trabajo]],tblPuestos[codigo],tblPuestos[especialidad],"(sin catálogo)"))</f>
        <v/>
      </c>
      <c r="Z1140" s="3">
        <f>IF(tblOrdenes[[#This Row],[cod_actividad]]="","",_xlfn.XLOOKUP(tblOrdenes[[#This Row],[cod_actividad]],tblActividades[codigo],tblActividades[descripcion],"(sin catálogo)"))</f>
        <v/>
      </c>
      <c r="AA1140" s="12">
        <f>IF(tblOrdenes[[#This Row],[fecha_inicio]]="","",TODAY()-tblOrdenes[[#This Row],[fecha_inicio]])</f>
        <v/>
      </c>
      <c r="AB114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3">
        <f>IF(tblOrdenes[[#This Row],[backlog_habiles]]="","",IF(tblOrdenes[[#This Row],[backlog_habiles]]&lt;0,"FUTURO",IF(tblOrdenes[[#This Row],[backlog_habiles]]&gt;p_dias_backlog_max,"BACKLOG","MES CORRIENTE")))</f>
        <v/>
      </c>
      <c r="AD1140" s="3">
        <f>IF(tblOrdenes[[#This Row],[backlog_habiles]]="",FALSE,AND(tblOrdenes[[#This Row],[backlog_habiles]]&gt;p_dias_backlog_min,tblOrdenes[[#This Row],[backlog_habiles]]&lt;=p_dias_backlog_max))</f>
        <v/>
      </c>
      <c r="AE1140" s="6" t="n"/>
      <c r="AF1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0">
        <f>IF(tblOrdenes[[#This Row],[orden]]="","",_xlfn.XLOOKUP(tblOrdenes[[#This Row],[id_operacion]],tblEjecucion[id_operacion],tblEjecucion[precio],0))</f>
        <v/>
      </c>
      <c r="AJ1140" s="10">
        <f>IF(tblOrdenes[[#This Row],[orden]]="","",MAX(0,_xlfn.XLOOKUP(tblOrdenes[[#This Row],[id_operacion]],tblEjecucion[id_operacion],tblEjecucion[costo_plan_total],0)-tblOrdenes[[#This Row],[costo_servicio]]))</f>
        <v/>
      </c>
      <c r="AK1140" s="10">
        <f>IF(tblOrdenes[[#This Row],[orden]]="","",tblOrdenes[[#This Row],[costo_servicio]]+tblOrdenes[[#This Row],[costo_materiales]])</f>
        <v/>
      </c>
      <c r="AL1140" s="6" t="n"/>
      <c r="AM1140" s="6" t="n"/>
      <c r="AN1140" s="6" t="n"/>
      <c r="AO1140" s="3">
        <f>IF(tblOrdenes[[#This Row],[link_checklist]]="","",HYPERLINK(p_ruta_base_checklists&amp;tblOrdenes[[#This Row],[link_checklist]],"abrir"))</f>
        <v/>
      </c>
      <c r="AP1140" s="6" t="n"/>
      <c r="AQ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3">
        <f>IF(tblOrdenes[[#This Row],[tipo_ot]]="","",_xlfn.XLOOKUP(tblOrdenes[[#This Row],[tipo_ot]],tblTiposOT[codigo],tblTiposOT[clasificacion],"sin_clasificar"))</f>
        <v/>
      </c>
      <c r="U1141" s="3">
        <f>IF(tblOrdenes[[#This Row],[centro_costo]]="","",_xlfn.XLOOKUP(tblOrdenes[[#This Row],[centro_costo]],tblCECO[codigo],tblCECO[linea],"(sin catálogo)"))</f>
        <v/>
      </c>
      <c r="V1141" s="3">
        <f>IF(tblOrdenes[[#This Row],[centro_costo]]="","",_xlfn.XLOOKUP(tblOrdenes[[#This Row],[centro_costo]],tblCECO[codigo],tblCECO[area],"(sin catálogo)"))</f>
        <v/>
      </c>
      <c r="W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3">
        <f>IF(tblOrdenes[[#This Row],[centro_costo]]="","",_xlfn.XLOOKUP(tblOrdenes[[#This Row],[centro_costo]],tblCECO[codigo],tblCECO[coordinador],"(sin catálogo)"))</f>
        <v/>
      </c>
      <c r="Y1141" s="3">
        <f>IF(tblOrdenes[[#This Row],[puesto_trabajo]]="","",_xlfn.XLOOKUP(tblOrdenes[[#This Row],[puesto_trabajo]],tblPuestos[codigo],tblPuestos[especialidad],"(sin catálogo)"))</f>
        <v/>
      </c>
      <c r="Z1141" s="3">
        <f>IF(tblOrdenes[[#This Row],[cod_actividad]]="","",_xlfn.XLOOKUP(tblOrdenes[[#This Row],[cod_actividad]],tblActividades[codigo],tblActividades[descripcion],"(sin catálogo)"))</f>
        <v/>
      </c>
      <c r="AA1141" s="12">
        <f>IF(tblOrdenes[[#This Row],[fecha_inicio]]="","",TODAY()-tblOrdenes[[#This Row],[fecha_inicio]])</f>
        <v/>
      </c>
      <c r="AB114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3">
        <f>IF(tblOrdenes[[#This Row],[backlog_habiles]]="","",IF(tblOrdenes[[#This Row],[backlog_habiles]]&lt;0,"FUTURO",IF(tblOrdenes[[#This Row],[backlog_habiles]]&gt;p_dias_backlog_max,"BACKLOG","MES CORRIENTE")))</f>
        <v/>
      </c>
      <c r="AD1141" s="3">
        <f>IF(tblOrdenes[[#This Row],[backlog_habiles]]="",FALSE,AND(tblOrdenes[[#This Row],[backlog_habiles]]&gt;p_dias_backlog_min,tblOrdenes[[#This Row],[backlog_habiles]]&lt;=p_dias_backlog_max))</f>
        <v/>
      </c>
      <c r="AE1141" s="6" t="n"/>
      <c r="AF1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0">
        <f>IF(tblOrdenes[[#This Row],[orden]]="","",_xlfn.XLOOKUP(tblOrdenes[[#This Row],[id_operacion]],tblEjecucion[id_operacion],tblEjecucion[precio],0))</f>
        <v/>
      </c>
      <c r="AJ1141" s="10">
        <f>IF(tblOrdenes[[#This Row],[orden]]="","",MAX(0,_xlfn.XLOOKUP(tblOrdenes[[#This Row],[id_operacion]],tblEjecucion[id_operacion],tblEjecucion[costo_plan_total],0)-tblOrdenes[[#This Row],[costo_servicio]]))</f>
        <v/>
      </c>
      <c r="AK1141" s="10">
        <f>IF(tblOrdenes[[#This Row],[orden]]="","",tblOrdenes[[#This Row],[costo_servicio]]+tblOrdenes[[#This Row],[costo_materiales]])</f>
        <v/>
      </c>
      <c r="AL1141" s="6" t="n"/>
      <c r="AM1141" s="6" t="n"/>
      <c r="AN1141" s="6" t="n"/>
      <c r="AO1141" s="3">
        <f>IF(tblOrdenes[[#This Row],[link_checklist]]="","",HYPERLINK(p_ruta_base_checklists&amp;tblOrdenes[[#This Row],[link_checklist]],"abrir"))</f>
        <v/>
      </c>
      <c r="AP1141" s="6" t="n"/>
      <c r="AQ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3">
        <f>IF(tblOrdenes[[#This Row],[tipo_ot]]="","",_xlfn.XLOOKUP(tblOrdenes[[#This Row],[tipo_ot]],tblTiposOT[codigo],tblTiposOT[clasificacion],"sin_clasificar"))</f>
        <v/>
      </c>
      <c r="U1142" s="3">
        <f>IF(tblOrdenes[[#This Row],[centro_costo]]="","",_xlfn.XLOOKUP(tblOrdenes[[#This Row],[centro_costo]],tblCECO[codigo],tblCECO[linea],"(sin catálogo)"))</f>
        <v/>
      </c>
      <c r="V1142" s="3">
        <f>IF(tblOrdenes[[#This Row],[centro_costo]]="","",_xlfn.XLOOKUP(tblOrdenes[[#This Row],[centro_costo]],tblCECO[codigo],tblCECO[area],"(sin catálogo)"))</f>
        <v/>
      </c>
      <c r="W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3">
        <f>IF(tblOrdenes[[#This Row],[centro_costo]]="","",_xlfn.XLOOKUP(tblOrdenes[[#This Row],[centro_costo]],tblCECO[codigo],tblCECO[coordinador],"(sin catálogo)"))</f>
        <v/>
      </c>
      <c r="Y1142" s="3">
        <f>IF(tblOrdenes[[#This Row],[puesto_trabajo]]="","",_xlfn.XLOOKUP(tblOrdenes[[#This Row],[puesto_trabajo]],tblPuestos[codigo],tblPuestos[especialidad],"(sin catálogo)"))</f>
        <v/>
      </c>
      <c r="Z1142" s="3">
        <f>IF(tblOrdenes[[#This Row],[cod_actividad]]="","",_xlfn.XLOOKUP(tblOrdenes[[#This Row],[cod_actividad]],tblActividades[codigo],tblActividades[descripcion],"(sin catálogo)"))</f>
        <v/>
      </c>
      <c r="AA1142" s="12">
        <f>IF(tblOrdenes[[#This Row],[fecha_inicio]]="","",TODAY()-tblOrdenes[[#This Row],[fecha_inicio]])</f>
        <v/>
      </c>
      <c r="AB114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3">
        <f>IF(tblOrdenes[[#This Row],[backlog_habiles]]="","",IF(tblOrdenes[[#This Row],[backlog_habiles]]&lt;0,"FUTURO",IF(tblOrdenes[[#This Row],[backlog_habiles]]&gt;p_dias_backlog_max,"BACKLOG","MES CORRIENTE")))</f>
        <v/>
      </c>
      <c r="AD1142" s="3">
        <f>IF(tblOrdenes[[#This Row],[backlog_habiles]]="",FALSE,AND(tblOrdenes[[#This Row],[backlog_habiles]]&gt;p_dias_backlog_min,tblOrdenes[[#This Row],[backlog_habiles]]&lt;=p_dias_backlog_max))</f>
        <v/>
      </c>
      <c r="AE1142" s="6" t="n"/>
      <c r="AF1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0">
        <f>IF(tblOrdenes[[#This Row],[orden]]="","",_xlfn.XLOOKUP(tblOrdenes[[#This Row],[id_operacion]],tblEjecucion[id_operacion],tblEjecucion[precio],0))</f>
        <v/>
      </c>
      <c r="AJ1142" s="10">
        <f>IF(tblOrdenes[[#This Row],[orden]]="","",MAX(0,_xlfn.XLOOKUP(tblOrdenes[[#This Row],[id_operacion]],tblEjecucion[id_operacion],tblEjecucion[costo_plan_total],0)-tblOrdenes[[#This Row],[costo_servicio]]))</f>
        <v/>
      </c>
      <c r="AK1142" s="10">
        <f>IF(tblOrdenes[[#This Row],[orden]]="","",tblOrdenes[[#This Row],[costo_servicio]]+tblOrdenes[[#This Row],[costo_materiales]])</f>
        <v/>
      </c>
      <c r="AL1142" s="6" t="n"/>
      <c r="AM1142" s="6" t="n"/>
      <c r="AN1142" s="6" t="n"/>
      <c r="AO1142" s="3">
        <f>IF(tblOrdenes[[#This Row],[link_checklist]]="","",HYPERLINK(p_ruta_base_checklists&amp;tblOrdenes[[#This Row],[link_checklist]],"abrir"))</f>
        <v/>
      </c>
      <c r="AP1142" s="6" t="n"/>
      <c r="AQ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3">
        <f>IF(tblOrdenes[[#This Row],[tipo_ot]]="","",_xlfn.XLOOKUP(tblOrdenes[[#This Row],[tipo_ot]],tblTiposOT[codigo],tblTiposOT[clasificacion],"sin_clasificar"))</f>
        <v/>
      </c>
      <c r="U1143" s="3">
        <f>IF(tblOrdenes[[#This Row],[centro_costo]]="","",_xlfn.XLOOKUP(tblOrdenes[[#This Row],[centro_costo]],tblCECO[codigo],tblCECO[linea],"(sin catálogo)"))</f>
        <v/>
      </c>
      <c r="V1143" s="3">
        <f>IF(tblOrdenes[[#This Row],[centro_costo]]="","",_xlfn.XLOOKUP(tblOrdenes[[#This Row],[centro_costo]],tblCECO[codigo],tblCECO[area],"(sin catálogo)"))</f>
        <v/>
      </c>
      <c r="W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3">
        <f>IF(tblOrdenes[[#This Row],[centro_costo]]="","",_xlfn.XLOOKUP(tblOrdenes[[#This Row],[centro_costo]],tblCECO[codigo],tblCECO[coordinador],"(sin catálogo)"))</f>
        <v/>
      </c>
      <c r="Y1143" s="3">
        <f>IF(tblOrdenes[[#This Row],[puesto_trabajo]]="","",_xlfn.XLOOKUP(tblOrdenes[[#This Row],[puesto_trabajo]],tblPuestos[codigo],tblPuestos[especialidad],"(sin catálogo)"))</f>
        <v/>
      </c>
      <c r="Z1143" s="3">
        <f>IF(tblOrdenes[[#This Row],[cod_actividad]]="","",_xlfn.XLOOKUP(tblOrdenes[[#This Row],[cod_actividad]],tblActividades[codigo],tblActividades[descripcion],"(sin catálogo)"))</f>
        <v/>
      </c>
      <c r="AA1143" s="12">
        <f>IF(tblOrdenes[[#This Row],[fecha_inicio]]="","",TODAY()-tblOrdenes[[#This Row],[fecha_inicio]])</f>
        <v/>
      </c>
      <c r="AB114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3">
        <f>IF(tblOrdenes[[#This Row],[backlog_habiles]]="","",IF(tblOrdenes[[#This Row],[backlog_habiles]]&lt;0,"FUTURO",IF(tblOrdenes[[#This Row],[backlog_habiles]]&gt;p_dias_backlog_max,"BACKLOG","MES CORRIENTE")))</f>
        <v/>
      </c>
      <c r="AD1143" s="3">
        <f>IF(tblOrdenes[[#This Row],[backlog_habiles]]="",FALSE,AND(tblOrdenes[[#This Row],[backlog_habiles]]&gt;p_dias_backlog_min,tblOrdenes[[#This Row],[backlog_habiles]]&lt;=p_dias_backlog_max))</f>
        <v/>
      </c>
      <c r="AE1143" s="6" t="n"/>
      <c r="AF1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0">
        <f>IF(tblOrdenes[[#This Row],[orden]]="","",_xlfn.XLOOKUP(tblOrdenes[[#This Row],[id_operacion]],tblEjecucion[id_operacion],tblEjecucion[precio],0))</f>
        <v/>
      </c>
      <c r="AJ1143" s="10">
        <f>IF(tblOrdenes[[#This Row],[orden]]="","",MAX(0,_xlfn.XLOOKUP(tblOrdenes[[#This Row],[id_operacion]],tblEjecucion[id_operacion],tblEjecucion[costo_plan_total],0)-tblOrdenes[[#This Row],[costo_servicio]]))</f>
        <v/>
      </c>
      <c r="AK1143" s="10">
        <f>IF(tblOrdenes[[#This Row],[orden]]="","",tblOrdenes[[#This Row],[costo_servicio]]+tblOrdenes[[#This Row],[costo_materiales]])</f>
        <v/>
      </c>
      <c r="AL1143" s="6" t="n"/>
      <c r="AM1143" s="6" t="n"/>
      <c r="AN1143" s="6" t="n"/>
      <c r="AO1143" s="3">
        <f>IF(tblOrdenes[[#This Row],[link_checklist]]="","",HYPERLINK(p_ruta_base_checklists&amp;tblOrdenes[[#This Row],[link_checklist]],"abrir"))</f>
        <v/>
      </c>
      <c r="AP1143" s="6" t="n"/>
      <c r="AQ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3">
        <f>IF(tblOrdenes[[#This Row],[tipo_ot]]="","",_xlfn.XLOOKUP(tblOrdenes[[#This Row],[tipo_ot]],tblTiposOT[codigo],tblTiposOT[clasificacion],"sin_clasificar"))</f>
        <v/>
      </c>
      <c r="U1144" s="3">
        <f>IF(tblOrdenes[[#This Row],[centro_costo]]="","",_xlfn.XLOOKUP(tblOrdenes[[#This Row],[centro_costo]],tblCECO[codigo],tblCECO[linea],"(sin catálogo)"))</f>
        <v/>
      </c>
      <c r="V1144" s="3">
        <f>IF(tblOrdenes[[#This Row],[centro_costo]]="","",_xlfn.XLOOKUP(tblOrdenes[[#This Row],[centro_costo]],tblCECO[codigo],tblCECO[area],"(sin catálogo)"))</f>
        <v/>
      </c>
      <c r="W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3">
        <f>IF(tblOrdenes[[#This Row],[centro_costo]]="","",_xlfn.XLOOKUP(tblOrdenes[[#This Row],[centro_costo]],tblCECO[codigo],tblCECO[coordinador],"(sin catálogo)"))</f>
        <v/>
      </c>
      <c r="Y1144" s="3">
        <f>IF(tblOrdenes[[#This Row],[puesto_trabajo]]="","",_xlfn.XLOOKUP(tblOrdenes[[#This Row],[puesto_trabajo]],tblPuestos[codigo],tblPuestos[especialidad],"(sin catálogo)"))</f>
        <v/>
      </c>
      <c r="Z1144" s="3">
        <f>IF(tblOrdenes[[#This Row],[cod_actividad]]="","",_xlfn.XLOOKUP(tblOrdenes[[#This Row],[cod_actividad]],tblActividades[codigo],tblActividades[descripcion],"(sin catálogo)"))</f>
        <v/>
      </c>
      <c r="AA1144" s="12">
        <f>IF(tblOrdenes[[#This Row],[fecha_inicio]]="","",TODAY()-tblOrdenes[[#This Row],[fecha_inicio]])</f>
        <v/>
      </c>
      <c r="AB114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3">
        <f>IF(tblOrdenes[[#This Row],[backlog_habiles]]="","",IF(tblOrdenes[[#This Row],[backlog_habiles]]&lt;0,"FUTURO",IF(tblOrdenes[[#This Row],[backlog_habiles]]&gt;p_dias_backlog_max,"BACKLOG","MES CORRIENTE")))</f>
        <v/>
      </c>
      <c r="AD1144" s="3">
        <f>IF(tblOrdenes[[#This Row],[backlog_habiles]]="",FALSE,AND(tblOrdenes[[#This Row],[backlog_habiles]]&gt;p_dias_backlog_min,tblOrdenes[[#This Row],[backlog_habiles]]&lt;=p_dias_backlog_max))</f>
        <v/>
      </c>
      <c r="AE1144" s="6" t="n"/>
      <c r="AF1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0">
        <f>IF(tblOrdenes[[#This Row],[orden]]="","",_xlfn.XLOOKUP(tblOrdenes[[#This Row],[id_operacion]],tblEjecucion[id_operacion],tblEjecucion[precio],0))</f>
        <v/>
      </c>
      <c r="AJ1144" s="10">
        <f>IF(tblOrdenes[[#This Row],[orden]]="","",MAX(0,_xlfn.XLOOKUP(tblOrdenes[[#This Row],[id_operacion]],tblEjecucion[id_operacion],tblEjecucion[costo_plan_total],0)-tblOrdenes[[#This Row],[costo_servicio]]))</f>
        <v/>
      </c>
      <c r="AK1144" s="10">
        <f>IF(tblOrdenes[[#This Row],[orden]]="","",tblOrdenes[[#This Row],[costo_servicio]]+tblOrdenes[[#This Row],[costo_materiales]])</f>
        <v/>
      </c>
      <c r="AL1144" s="6" t="n"/>
      <c r="AM1144" s="6" t="n"/>
      <c r="AN1144" s="6" t="n"/>
      <c r="AO1144" s="3">
        <f>IF(tblOrdenes[[#This Row],[link_checklist]]="","",HYPERLINK(p_ruta_base_checklists&amp;tblOrdenes[[#This Row],[link_checklist]],"abrir"))</f>
        <v/>
      </c>
      <c r="AP1144" s="6" t="n"/>
      <c r="AQ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3">
        <f>IF(tblOrdenes[[#This Row],[tipo_ot]]="","",_xlfn.XLOOKUP(tblOrdenes[[#This Row],[tipo_ot]],tblTiposOT[codigo],tblTiposOT[clasificacion],"sin_clasificar"))</f>
        <v/>
      </c>
      <c r="U1145" s="3">
        <f>IF(tblOrdenes[[#This Row],[centro_costo]]="","",_xlfn.XLOOKUP(tblOrdenes[[#This Row],[centro_costo]],tblCECO[codigo],tblCECO[linea],"(sin catálogo)"))</f>
        <v/>
      </c>
      <c r="V1145" s="3">
        <f>IF(tblOrdenes[[#This Row],[centro_costo]]="","",_xlfn.XLOOKUP(tblOrdenes[[#This Row],[centro_costo]],tblCECO[codigo],tblCECO[area],"(sin catálogo)"))</f>
        <v/>
      </c>
      <c r="W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3">
        <f>IF(tblOrdenes[[#This Row],[centro_costo]]="","",_xlfn.XLOOKUP(tblOrdenes[[#This Row],[centro_costo]],tblCECO[codigo],tblCECO[coordinador],"(sin catálogo)"))</f>
        <v/>
      </c>
      <c r="Y1145" s="3">
        <f>IF(tblOrdenes[[#This Row],[puesto_trabajo]]="","",_xlfn.XLOOKUP(tblOrdenes[[#This Row],[puesto_trabajo]],tblPuestos[codigo],tblPuestos[especialidad],"(sin catálogo)"))</f>
        <v/>
      </c>
      <c r="Z1145" s="3">
        <f>IF(tblOrdenes[[#This Row],[cod_actividad]]="","",_xlfn.XLOOKUP(tblOrdenes[[#This Row],[cod_actividad]],tblActividades[codigo],tblActividades[descripcion],"(sin catálogo)"))</f>
        <v/>
      </c>
      <c r="AA1145" s="12">
        <f>IF(tblOrdenes[[#This Row],[fecha_inicio]]="","",TODAY()-tblOrdenes[[#This Row],[fecha_inicio]])</f>
        <v/>
      </c>
      <c r="AB114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3">
        <f>IF(tblOrdenes[[#This Row],[backlog_habiles]]="","",IF(tblOrdenes[[#This Row],[backlog_habiles]]&lt;0,"FUTURO",IF(tblOrdenes[[#This Row],[backlog_habiles]]&gt;p_dias_backlog_max,"BACKLOG","MES CORRIENTE")))</f>
        <v/>
      </c>
      <c r="AD1145" s="3">
        <f>IF(tblOrdenes[[#This Row],[backlog_habiles]]="",FALSE,AND(tblOrdenes[[#This Row],[backlog_habiles]]&gt;p_dias_backlog_min,tblOrdenes[[#This Row],[backlog_habiles]]&lt;=p_dias_backlog_max))</f>
        <v/>
      </c>
      <c r="AE1145" s="6" t="n"/>
      <c r="AF1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0">
        <f>IF(tblOrdenes[[#This Row],[orden]]="","",_xlfn.XLOOKUP(tblOrdenes[[#This Row],[id_operacion]],tblEjecucion[id_operacion],tblEjecucion[precio],0))</f>
        <v/>
      </c>
      <c r="AJ1145" s="10">
        <f>IF(tblOrdenes[[#This Row],[orden]]="","",MAX(0,_xlfn.XLOOKUP(tblOrdenes[[#This Row],[id_operacion]],tblEjecucion[id_operacion],tblEjecucion[costo_plan_total],0)-tblOrdenes[[#This Row],[costo_servicio]]))</f>
        <v/>
      </c>
      <c r="AK1145" s="10">
        <f>IF(tblOrdenes[[#This Row],[orden]]="","",tblOrdenes[[#This Row],[costo_servicio]]+tblOrdenes[[#This Row],[costo_materiales]])</f>
        <v/>
      </c>
      <c r="AL1145" s="6" t="n"/>
      <c r="AM1145" s="6" t="n"/>
      <c r="AN1145" s="6" t="n"/>
      <c r="AO1145" s="3">
        <f>IF(tblOrdenes[[#This Row],[link_checklist]]="","",HYPERLINK(p_ruta_base_checklists&amp;tblOrdenes[[#This Row],[link_checklist]],"abrir"))</f>
        <v/>
      </c>
      <c r="AP1145" s="6" t="n"/>
      <c r="AQ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3">
        <f>IF(tblOrdenes[[#This Row],[tipo_ot]]="","",_xlfn.XLOOKUP(tblOrdenes[[#This Row],[tipo_ot]],tblTiposOT[codigo],tblTiposOT[clasificacion],"sin_clasificar"))</f>
        <v/>
      </c>
      <c r="U1146" s="3">
        <f>IF(tblOrdenes[[#This Row],[centro_costo]]="","",_xlfn.XLOOKUP(tblOrdenes[[#This Row],[centro_costo]],tblCECO[codigo],tblCECO[linea],"(sin catálogo)"))</f>
        <v/>
      </c>
      <c r="V1146" s="3">
        <f>IF(tblOrdenes[[#This Row],[centro_costo]]="","",_xlfn.XLOOKUP(tblOrdenes[[#This Row],[centro_costo]],tblCECO[codigo],tblCECO[area],"(sin catálogo)"))</f>
        <v/>
      </c>
      <c r="W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3">
        <f>IF(tblOrdenes[[#This Row],[centro_costo]]="","",_xlfn.XLOOKUP(tblOrdenes[[#This Row],[centro_costo]],tblCECO[codigo],tblCECO[coordinador],"(sin catálogo)"))</f>
        <v/>
      </c>
      <c r="Y1146" s="3">
        <f>IF(tblOrdenes[[#This Row],[puesto_trabajo]]="","",_xlfn.XLOOKUP(tblOrdenes[[#This Row],[puesto_trabajo]],tblPuestos[codigo],tblPuestos[especialidad],"(sin catálogo)"))</f>
        <v/>
      </c>
      <c r="Z1146" s="3">
        <f>IF(tblOrdenes[[#This Row],[cod_actividad]]="","",_xlfn.XLOOKUP(tblOrdenes[[#This Row],[cod_actividad]],tblActividades[codigo],tblActividades[descripcion],"(sin catálogo)"))</f>
        <v/>
      </c>
      <c r="AA1146" s="12">
        <f>IF(tblOrdenes[[#This Row],[fecha_inicio]]="","",TODAY()-tblOrdenes[[#This Row],[fecha_inicio]])</f>
        <v/>
      </c>
      <c r="AB114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3">
        <f>IF(tblOrdenes[[#This Row],[backlog_habiles]]="","",IF(tblOrdenes[[#This Row],[backlog_habiles]]&lt;0,"FUTURO",IF(tblOrdenes[[#This Row],[backlog_habiles]]&gt;p_dias_backlog_max,"BACKLOG","MES CORRIENTE")))</f>
        <v/>
      </c>
      <c r="AD1146" s="3">
        <f>IF(tblOrdenes[[#This Row],[backlog_habiles]]="",FALSE,AND(tblOrdenes[[#This Row],[backlog_habiles]]&gt;p_dias_backlog_min,tblOrdenes[[#This Row],[backlog_habiles]]&lt;=p_dias_backlog_max))</f>
        <v/>
      </c>
      <c r="AE1146" s="6" t="n"/>
      <c r="AF1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0">
        <f>IF(tblOrdenes[[#This Row],[orden]]="","",_xlfn.XLOOKUP(tblOrdenes[[#This Row],[id_operacion]],tblEjecucion[id_operacion],tblEjecucion[precio],0))</f>
        <v/>
      </c>
      <c r="AJ1146" s="10">
        <f>IF(tblOrdenes[[#This Row],[orden]]="","",MAX(0,_xlfn.XLOOKUP(tblOrdenes[[#This Row],[id_operacion]],tblEjecucion[id_operacion],tblEjecucion[costo_plan_total],0)-tblOrdenes[[#This Row],[costo_servicio]]))</f>
        <v/>
      </c>
      <c r="AK1146" s="10">
        <f>IF(tblOrdenes[[#This Row],[orden]]="","",tblOrdenes[[#This Row],[costo_servicio]]+tblOrdenes[[#This Row],[costo_materiales]])</f>
        <v/>
      </c>
      <c r="AL1146" s="6" t="n"/>
      <c r="AM1146" s="6" t="n"/>
      <c r="AN1146" s="6" t="n"/>
      <c r="AO1146" s="3">
        <f>IF(tblOrdenes[[#This Row],[link_checklist]]="","",HYPERLINK(p_ruta_base_checklists&amp;tblOrdenes[[#This Row],[link_checklist]],"abrir"))</f>
        <v/>
      </c>
      <c r="AP1146" s="6" t="n"/>
      <c r="AQ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3">
        <f>IF(tblOrdenes[[#This Row],[tipo_ot]]="","",_xlfn.XLOOKUP(tblOrdenes[[#This Row],[tipo_ot]],tblTiposOT[codigo],tblTiposOT[clasificacion],"sin_clasificar"))</f>
        <v/>
      </c>
      <c r="U1147" s="3">
        <f>IF(tblOrdenes[[#This Row],[centro_costo]]="","",_xlfn.XLOOKUP(tblOrdenes[[#This Row],[centro_costo]],tblCECO[codigo],tblCECO[linea],"(sin catálogo)"))</f>
        <v/>
      </c>
      <c r="V1147" s="3">
        <f>IF(tblOrdenes[[#This Row],[centro_costo]]="","",_xlfn.XLOOKUP(tblOrdenes[[#This Row],[centro_costo]],tblCECO[codigo],tblCECO[area],"(sin catálogo)"))</f>
        <v/>
      </c>
      <c r="W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3">
        <f>IF(tblOrdenes[[#This Row],[centro_costo]]="","",_xlfn.XLOOKUP(tblOrdenes[[#This Row],[centro_costo]],tblCECO[codigo],tblCECO[coordinador],"(sin catálogo)"))</f>
        <v/>
      </c>
      <c r="Y1147" s="3">
        <f>IF(tblOrdenes[[#This Row],[puesto_trabajo]]="","",_xlfn.XLOOKUP(tblOrdenes[[#This Row],[puesto_trabajo]],tblPuestos[codigo],tblPuestos[especialidad],"(sin catálogo)"))</f>
        <v/>
      </c>
      <c r="Z1147" s="3">
        <f>IF(tblOrdenes[[#This Row],[cod_actividad]]="","",_xlfn.XLOOKUP(tblOrdenes[[#This Row],[cod_actividad]],tblActividades[codigo],tblActividades[descripcion],"(sin catálogo)"))</f>
        <v/>
      </c>
      <c r="AA1147" s="12">
        <f>IF(tblOrdenes[[#This Row],[fecha_inicio]]="","",TODAY()-tblOrdenes[[#This Row],[fecha_inicio]])</f>
        <v/>
      </c>
      <c r="AB114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3">
        <f>IF(tblOrdenes[[#This Row],[backlog_habiles]]="","",IF(tblOrdenes[[#This Row],[backlog_habiles]]&lt;0,"FUTURO",IF(tblOrdenes[[#This Row],[backlog_habiles]]&gt;p_dias_backlog_max,"BACKLOG","MES CORRIENTE")))</f>
        <v/>
      </c>
      <c r="AD1147" s="3">
        <f>IF(tblOrdenes[[#This Row],[backlog_habiles]]="",FALSE,AND(tblOrdenes[[#This Row],[backlog_habiles]]&gt;p_dias_backlog_min,tblOrdenes[[#This Row],[backlog_habiles]]&lt;=p_dias_backlog_max))</f>
        <v/>
      </c>
      <c r="AE1147" s="6" t="n"/>
      <c r="AF1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0">
        <f>IF(tblOrdenes[[#This Row],[orden]]="","",_xlfn.XLOOKUP(tblOrdenes[[#This Row],[id_operacion]],tblEjecucion[id_operacion],tblEjecucion[precio],0))</f>
        <v/>
      </c>
      <c r="AJ1147" s="10">
        <f>IF(tblOrdenes[[#This Row],[orden]]="","",MAX(0,_xlfn.XLOOKUP(tblOrdenes[[#This Row],[id_operacion]],tblEjecucion[id_operacion],tblEjecucion[costo_plan_total],0)-tblOrdenes[[#This Row],[costo_servicio]]))</f>
        <v/>
      </c>
      <c r="AK1147" s="10">
        <f>IF(tblOrdenes[[#This Row],[orden]]="","",tblOrdenes[[#This Row],[costo_servicio]]+tblOrdenes[[#This Row],[costo_materiales]])</f>
        <v/>
      </c>
      <c r="AL1147" s="6" t="n"/>
      <c r="AM1147" s="6" t="n"/>
      <c r="AN1147" s="6" t="n"/>
      <c r="AO1147" s="3">
        <f>IF(tblOrdenes[[#This Row],[link_checklist]]="","",HYPERLINK(p_ruta_base_checklists&amp;tblOrdenes[[#This Row],[link_checklist]],"abrir"))</f>
        <v/>
      </c>
      <c r="AP1147" s="6" t="n"/>
      <c r="AQ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3">
        <f>IF(tblOrdenes[[#This Row],[tipo_ot]]="","",_xlfn.XLOOKUP(tblOrdenes[[#This Row],[tipo_ot]],tblTiposOT[codigo],tblTiposOT[clasificacion],"sin_clasificar"))</f>
        <v/>
      </c>
      <c r="U1148" s="3">
        <f>IF(tblOrdenes[[#This Row],[centro_costo]]="","",_xlfn.XLOOKUP(tblOrdenes[[#This Row],[centro_costo]],tblCECO[codigo],tblCECO[linea],"(sin catálogo)"))</f>
        <v/>
      </c>
      <c r="V1148" s="3">
        <f>IF(tblOrdenes[[#This Row],[centro_costo]]="","",_xlfn.XLOOKUP(tblOrdenes[[#This Row],[centro_costo]],tblCECO[codigo],tblCECO[area],"(sin catálogo)"))</f>
        <v/>
      </c>
      <c r="W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3">
        <f>IF(tblOrdenes[[#This Row],[centro_costo]]="","",_xlfn.XLOOKUP(tblOrdenes[[#This Row],[centro_costo]],tblCECO[codigo],tblCECO[coordinador],"(sin catálogo)"))</f>
        <v/>
      </c>
      <c r="Y1148" s="3">
        <f>IF(tblOrdenes[[#This Row],[puesto_trabajo]]="","",_xlfn.XLOOKUP(tblOrdenes[[#This Row],[puesto_trabajo]],tblPuestos[codigo],tblPuestos[especialidad],"(sin catálogo)"))</f>
        <v/>
      </c>
      <c r="Z1148" s="3">
        <f>IF(tblOrdenes[[#This Row],[cod_actividad]]="","",_xlfn.XLOOKUP(tblOrdenes[[#This Row],[cod_actividad]],tblActividades[codigo],tblActividades[descripcion],"(sin catálogo)"))</f>
        <v/>
      </c>
      <c r="AA1148" s="12">
        <f>IF(tblOrdenes[[#This Row],[fecha_inicio]]="","",TODAY()-tblOrdenes[[#This Row],[fecha_inicio]])</f>
        <v/>
      </c>
      <c r="AB114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3">
        <f>IF(tblOrdenes[[#This Row],[backlog_habiles]]="","",IF(tblOrdenes[[#This Row],[backlog_habiles]]&lt;0,"FUTURO",IF(tblOrdenes[[#This Row],[backlog_habiles]]&gt;p_dias_backlog_max,"BACKLOG","MES CORRIENTE")))</f>
        <v/>
      </c>
      <c r="AD1148" s="3">
        <f>IF(tblOrdenes[[#This Row],[backlog_habiles]]="",FALSE,AND(tblOrdenes[[#This Row],[backlog_habiles]]&gt;p_dias_backlog_min,tblOrdenes[[#This Row],[backlog_habiles]]&lt;=p_dias_backlog_max))</f>
        <v/>
      </c>
      <c r="AE1148" s="6" t="n"/>
      <c r="AF1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0">
        <f>IF(tblOrdenes[[#This Row],[orden]]="","",_xlfn.XLOOKUP(tblOrdenes[[#This Row],[id_operacion]],tblEjecucion[id_operacion],tblEjecucion[precio],0))</f>
        <v/>
      </c>
      <c r="AJ1148" s="10">
        <f>IF(tblOrdenes[[#This Row],[orden]]="","",MAX(0,_xlfn.XLOOKUP(tblOrdenes[[#This Row],[id_operacion]],tblEjecucion[id_operacion],tblEjecucion[costo_plan_total],0)-tblOrdenes[[#This Row],[costo_servicio]]))</f>
        <v/>
      </c>
      <c r="AK1148" s="10">
        <f>IF(tblOrdenes[[#This Row],[orden]]="","",tblOrdenes[[#This Row],[costo_servicio]]+tblOrdenes[[#This Row],[costo_materiales]])</f>
        <v/>
      </c>
      <c r="AL1148" s="6" t="n"/>
      <c r="AM1148" s="6" t="n"/>
      <c r="AN1148" s="6" t="n"/>
      <c r="AO1148" s="3">
        <f>IF(tblOrdenes[[#This Row],[link_checklist]]="","",HYPERLINK(p_ruta_base_checklists&amp;tblOrdenes[[#This Row],[link_checklist]],"abrir"))</f>
        <v/>
      </c>
      <c r="AP1148" s="6" t="n"/>
      <c r="AQ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3">
        <f>IF(tblOrdenes[[#This Row],[tipo_ot]]="","",_xlfn.XLOOKUP(tblOrdenes[[#This Row],[tipo_ot]],tblTiposOT[codigo],tblTiposOT[clasificacion],"sin_clasificar"))</f>
        <v/>
      </c>
      <c r="U1149" s="3">
        <f>IF(tblOrdenes[[#This Row],[centro_costo]]="","",_xlfn.XLOOKUP(tblOrdenes[[#This Row],[centro_costo]],tblCECO[codigo],tblCECO[linea],"(sin catálogo)"))</f>
        <v/>
      </c>
      <c r="V1149" s="3">
        <f>IF(tblOrdenes[[#This Row],[centro_costo]]="","",_xlfn.XLOOKUP(tblOrdenes[[#This Row],[centro_costo]],tblCECO[codigo],tblCECO[area],"(sin catálogo)"))</f>
        <v/>
      </c>
      <c r="W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3">
        <f>IF(tblOrdenes[[#This Row],[centro_costo]]="","",_xlfn.XLOOKUP(tblOrdenes[[#This Row],[centro_costo]],tblCECO[codigo],tblCECO[coordinador],"(sin catálogo)"))</f>
        <v/>
      </c>
      <c r="Y1149" s="3">
        <f>IF(tblOrdenes[[#This Row],[puesto_trabajo]]="","",_xlfn.XLOOKUP(tblOrdenes[[#This Row],[puesto_trabajo]],tblPuestos[codigo],tblPuestos[especialidad],"(sin catálogo)"))</f>
        <v/>
      </c>
      <c r="Z1149" s="3">
        <f>IF(tblOrdenes[[#This Row],[cod_actividad]]="","",_xlfn.XLOOKUP(tblOrdenes[[#This Row],[cod_actividad]],tblActividades[codigo],tblActividades[descripcion],"(sin catálogo)"))</f>
        <v/>
      </c>
      <c r="AA1149" s="12">
        <f>IF(tblOrdenes[[#This Row],[fecha_inicio]]="","",TODAY()-tblOrdenes[[#This Row],[fecha_inicio]])</f>
        <v/>
      </c>
      <c r="AB114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3">
        <f>IF(tblOrdenes[[#This Row],[backlog_habiles]]="","",IF(tblOrdenes[[#This Row],[backlog_habiles]]&lt;0,"FUTURO",IF(tblOrdenes[[#This Row],[backlog_habiles]]&gt;p_dias_backlog_max,"BACKLOG","MES CORRIENTE")))</f>
        <v/>
      </c>
      <c r="AD1149" s="3">
        <f>IF(tblOrdenes[[#This Row],[backlog_habiles]]="",FALSE,AND(tblOrdenes[[#This Row],[backlog_habiles]]&gt;p_dias_backlog_min,tblOrdenes[[#This Row],[backlog_habiles]]&lt;=p_dias_backlog_max))</f>
        <v/>
      </c>
      <c r="AE1149" s="6" t="n"/>
      <c r="AF1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0">
        <f>IF(tblOrdenes[[#This Row],[orden]]="","",_xlfn.XLOOKUP(tblOrdenes[[#This Row],[id_operacion]],tblEjecucion[id_operacion],tblEjecucion[precio],0))</f>
        <v/>
      </c>
      <c r="AJ1149" s="10">
        <f>IF(tblOrdenes[[#This Row],[orden]]="","",MAX(0,_xlfn.XLOOKUP(tblOrdenes[[#This Row],[id_operacion]],tblEjecucion[id_operacion],tblEjecucion[costo_plan_total],0)-tblOrdenes[[#This Row],[costo_servicio]]))</f>
        <v/>
      </c>
      <c r="AK1149" s="10">
        <f>IF(tblOrdenes[[#This Row],[orden]]="","",tblOrdenes[[#This Row],[costo_servicio]]+tblOrdenes[[#This Row],[costo_materiales]])</f>
        <v/>
      </c>
      <c r="AL1149" s="6" t="n"/>
      <c r="AM1149" s="6" t="n"/>
      <c r="AN1149" s="6" t="n"/>
      <c r="AO1149" s="3">
        <f>IF(tblOrdenes[[#This Row],[link_checklist]]="","",HYPERLINK(p_ruta_base_checklists&amp;tblOrdenes[[#This Row],[link_checklist]],"abrir"))</f>
        <v/>
      </c>
      <c r="AP1149" s="6" t="n"/>
      <c r="AQ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3">
        <f>IF(tblOrdenes[[#This Row],[tipo_ot]]="","",_xlfn.XLOOKUP(tblOrdenes[[#This Row],[tipo_ot]],tblTiposOT[codigo],tblTiposOT[clasificacion],"sin_clasificar"))</f>
        <v/>
      </c>
      <c r="U1150" s="3">
        <f>IF(tblOrdenes[[#This Row],[centro_costo]]="","",_xlfn.XLOOKUP(tblOrdenes[[#This Row],[centro_costo]],tblCECO[codigo],tblCECO[linea],"(sin catálogo)"))</f>
        <v/>
      </c>
      <c r="V1150" s="3">
        <f>IF(tblOrdenes[[#This Row],[centro_costo]]="","",_xlfn.XLOOKUP(tblOrdenes[[#This Row],[centro_costo]],tblCECO[codigo],tblCECO[area],"(sin catálogo)"))</f>
        <v/>
      </c>
      <c r="W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3">
        <f>IF(tblOrdenes[[#This Row],[centro_costo]]="","",_xlfn.XLOOKUP(tblOrdenes[[#This Row],[centro_costo]],tblCECO[codigo],tblCECO[coordinador],"(sin catálogo)"))</f>
        <v/>
      </c>
      <c r="Y1150" s="3">
        <f>IF(tblOrdenes[[#This Row],[puesto_trabajo]]="","",_xlfn.XLOOKUP(tblOrdenes[[#This Row],[puesto_trabajo]],tblPuestos[codigo],tblPuestos[especialidad],"(sin catálogo)"))</f>
        <v/>
      </c>
      <c r="Z1150" s="3">
        <f>IF(tblOrdenes[[#This Row],[cod_actividad]]="","",_xlfn.XLOOKUP(tblOrdenes[[#This Row],[cod_actividad]],tblActividades[codigo],tblActividades[descripcion],"(sin catálogo)"))</f>
        <v/>
      </c>
      <c r="AA1150" s="12">
        <f>IF(tblOrdenes[[#This Row],[fecha_inicio]]="","",TODAY()-tblOrdenes[[#This Row],[fecha_inicio]])</f>
        <v/>
      </c>
      <c r="AB115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3">
        <f>IF(tblOrdenes[[#This Row],[backlog_habiles]]="","",IF(tblOrdenes[[#This Row],[backlog_habiles]]&lt;0,"FUTURO",IF(tblOrdenes[[#This Row],[backlog_habiles]]&gt;p_dias_backlog_max,"BACKLOG","MES CORRIENTE")))</f>
        <v/>
      </c>
      <c r="AD1150" s="3">
        <f>IF(tblOrdenes[[#This Row],[backlog_habiles]]="",FALSE,AND(tblOrdenes[[#This Row],[backlog_habiles]]&gt;p_dias_backlog_min,tblOrdenes[[#This Row],[backlog_habiles]]&lt;=p_dias_backlog_max))</f>
        <v/>
      </c>
      <c r="AE1150" s="6" t="n"/>
      <c r="AF1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0">
        <f>IF(tblOrdenes[[#This Row],[orden]]="","",_xlfn.XLOOKUP(tblOrdenes[[#This Row],[id_operacion]],tblEjecucion[id_operacion],tblEjecucion[precio],0))</f>
        <v/>
      </c>
      <c r="AJ1150" s="10">
        <f>IF(tblOrdenes[[#This Row],[orden]]="","",MAX(0,_xlfn.XLOOKUP(tblOrdenes[[#This Row],[id_operacion]],tblEjecucion[id_operacion],tblEjecucion[costo_plan_total],0)-tblOrdenes[[#This Row],[costo_servicio]]))</f>
        <v/>
      </c>
      <c r="AK1150" s="10">
        <f>IF(tblOrdenes[[#This Row],[orden]]="","",tblOrdenes[[#This Row],[costo_servicio]]+tblOrdenes[[#This Row],[costo_materiales]])</f>
        <v/>
      </c>
      <c r="AL1150" s="6" t="n"/>
      <c r="AM1150" s="6" t="n"/>
      <c r="AN1150" s="6" t="n"/>
      <c r="AO1150" s="3">
        <f>IF(tblOrdenes[[#This Row],[link_checklist]]="","",HYPERLINK(p_ruta_base_checklists&amp;tblOrdenes[[#This Row],[link_checklist]],"abrir"))</f>
        <v/>
      </c>
      <c r="AP1150" s="6" t="n"/>
      <c r="AQ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3">
        <f>IF(tblOrdenes[[#This Row],[tipo_ot]]="","",_xlfn.XLOOKUP(tblOrdenes[[#This Row],[tipo_ot]],tblTiposOT[codigo],tblTiposOT[clasificacion],"sin_clasificar"))</f>
        <v/>
      </c>
      <c r="U1151" s="3">
        <f>IF(tblOrdenes[[#This Row],[centro_costo]]="","",_xlfn.XLOOKUP(tblOrdenes[[#This Row],[centro_costo]],tblCECO[codigo],tblCECO[linea],"(sin catálogo)"))</f>
        <v/>
      </c>
      <c r="V1151" s="3">
        <f>IF(tblOrdenes[[#This Row],[centro_costo]]="","",_xlfn.XLOOKUP(tblOrdenes[[#This Row],[centro_costo]],tblCECO[codigo],tblCECO[area],"(sin catálogo)"))</f>
        <v/>
      </c>
      <c r="W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3">
        <f>IF(tblOrdenes[[#This Row],[centro_costo]]="","",_xlfn.XLOOKUP(tblOrdenes[[#This Row],[centro_costo]],tblCECO[codigo],tblCECO[coordinador],"(sin catálogo)"))</f>
        <v/>
      </c>
      <c r="Y1151" s="3">
        <f>IF(tblOrdenes[[#This Row],[puesto_trabajo]]="","",_xlfn.XLOOKUP(tblOrdenes[[#This Row],[puesto_trabajo]],tblPuestos[codigo],tblPuestos[especialidad],"(sin catálogo)"))</f>
        <v/>
      </c>
      <c r="Z1151" s="3">
        <f>IF(tblOrdenes[[#This Row],[cod_actividad]]="","",_xlfn.XLOOKUP(tblOrdenes[[#This Row],[cod_actividad]],tblActividades[codigo],tblActividades[descripcion],"(sin catálogo)"))</f>
        <v/>
      </c>
      <c r="AA1151" s="12">
        <f>IF(tblOrdenes[[#This Row],[fecha_inicio]]="","",TODAY()-tblOrdenes[[#This Row],[fecha_inicio]])</f>
        <v/>
      </c>
      <c r="AB115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3">
        <f>IF(tblOrdenes[[#This Row],[backlog_habiles]]="","",IF(tblOrdenes[[#This Row],[backlog_habiles]]&lt;0,"FUTURO",IF(tblOrdenes[[#This Row],[backlog_habiles]]&gt;p_dias_backlog_max,"BACKLOG","MES CORRIENTE")))</f>
        <v/>
      </c>
      <c r="AD1151" s="3">
        <f>IF(tblOrdenes[[#This Row],[backlog_habiles]]="",FALSE,AND(tblOrdenes[[#This Row],[backlog_habiles]]&gt;p_dias_backlog_min,tblOrdenes[[#This Row],[backlog_habiles]]&lt;=p_dias_backlog_max))</f>
        <v/>
      </c>
      <c r="AE1151" s="6" t="n"/>
      <c r="AF1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0">
        <f>IF(tblOrdenes[[#This Row],[orden]]="","",_xlfn.XLOOKUP(tblOrdenes[[#This Row],[id_operacion]],tblEjecucion[id_operacion],tblEjecucion[precio],0))</f>
        <v/>
      </c>
      <c r="AJ1151" s="10">
        <f>IF(tblOrdenes[[#This Row],[orden]]="","",MAX(0,_xlfn.XLOOKUP(tblOrdenes[[#This Row],[id_operacion]],tblEjecucion[id_operacion],tblEjecucion[costo_plan_total],0)-tblOrdenes[[#This Row],[costo_servicio]]))</f>
        <v/>
      </c>
      <c r="AK1151" s="10">
        <f>IF(tblOrdenes[[#This Row],[orden]]="","",tblOrdenes[[#This Row],[costo_servicio]]+tblOrdenes[[#This Row],[costo_materiales]])</f>
        <v/>
      </c>
      <c r="AL1151" s="6" t="n"/>
      <c r="AM1151" s="6" t="n"/>
      <c r="AN1151" s="6" t="n"/>
      <c r="AO1151" s="3">
        <f>IF(tblOrdenes[[#This Row],[link_checklist]]="","",HYPERLINK(p_ruta_base_checklists&amp;tblOrdenes[[#This Row],[link_checklist]],"abrir"))</f>
        <v/>
      </c>
      <c r="AP1151" s="6" t="n"/>
      <c r="AQ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3">
        <f>IF(tblOrdenes[[#This Row],[tipo_ot]]="","",_xlfn.XLOOKUP(tblOrdenes[[#This Row],[tipo_ot]],tblTiposOT[codigo],tblTiposOT[clasificacion],"sin_clasificar"))</f>
        <v/>
      </c>
      <c r="U1152" s="3">
        <f>IF(tblOrdenes[[#This Row],[centro_costo]]="","",_xlfn.XLOOKUP(tblOrdenes[[#This Row],[centro_costo]],tblCECO[codigo],tblCECO[linea],"(sin catálogo)"))</f>
        <v/>
      </c>
      <c r="V1152" s="3">
        <f>IF(tblOrdenes[[#This Row],[centro_costo]]="","",_xlfn.XLOOKUP(tblOrdenes[[#This Row],[centro_costo]],tblCECO[codigo],tblCECO[area],"(sin catálogo)"))</f>
        <v/>
      </c>
      <c r="W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3">
        <f>IF(tblOrdenes[[#This Row],[centro_costo]]="","",_xlfn.XLOOKUP(tblOrdenes[[#This Row],[centro_costo]],tblCECO[codigo],tblCECO[coordinador],"(sin catálogo)"))</f>
        <v/>
      </c>
      <c r="Y1152" s="3">
        <f>IF(tblOrdenes[[#This Row],[puesto_trabajo]]="","",_xlfn.XLOOKUP(tblOrdenes[[#This Row],[puesto_trabajo]],tblPuestos[codigo],tblPuestos[especialidad],"(sin catálogo)"))</f>
        <v/>
      </c>
      <c r="Z1152" s="3">
        <f>IF(tblOrdenes[[#This Row],[cod_actividad]]="","",_xlfn.XLOOKUP(tblOrdenes[[#This Row],[cod_actividad]],tblActividades[codigo],tblActividades[descripcion],"(sin catálogo)"))</f>
        <v/>
      </c>
      <c r="AA1152" s="12">
        <f>IF(tblOrdenes[[#This Row],[fecha_inicio]]="","",TODAY()-tblOrdenes[[#This Row],[fecha_inicio]])</f>
        <v/>
      </c>
      <c r="AB115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3">
        <f>IF(tblOrdenes[[#This Row],[backlog_habiles]]="","",IF(tblOrdenes[[#This Row],[backlog_habiles]]&lt;0,"FUTURO",IF(tblOrdenes[[#This Row],[backlog_habiles]]&gt;p_dias_backlog_max,"BACKLOG","MES CORRIENTE")))</f>
        <v/>
      </c>
      <c r="AD1152" s="3">
        <f>IF(tblOrdenes[[#This Row],[backlog_habiles]]="",FALSE,AND(tblOrdenes[[#This Row],[backlog_habiles]]&gt;p_dias_backlog_min,tblOrdenes[[#This Row],[backlog_habiles]]&lt;=p_dias_backlog_max))</f>
        <v/>
      </c>
      <c r="AE1152" s="6" t="n"/>
      <c r="AF1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0">
        <f>IF(tblOrdenes[[#This Row],[orden]]="","",_xlfn.XLOOKUP(tblOrdenes[[#This Row],[id_operacion]],tblEjecucion[id_operacion],tblEjecucion[precio],0))</f>
        <v/>
      </c>
      <c r="AJ1152" s="10">
        <f>IF(tblOrdenes[[#This Row],[orden]]="","",MAX(0,_xlfn.XLOOKUP(tblOrdenes[[#This Row],[id_operacion]],tblEjecucion[id_operacion],tblEjecucion[costo_plan_total],0)-tblOrdenes[[#This Row],[costo_servicio]]))</f>
        <v/>
      </c>
      <c r="AK1152" s="10">
        <f>IF(tblOrdenes[[#This Row],[orden]]="","",tblOrdenes[[#This Row],[costo_servicio]]+tblOrdenes[[#This Row],[costo_materiales]])</f>
        <v/>
      </c>
      <c r="AL1152" s="6" t="n"/>
      <c r="AM1152" s="6" t="n"/>
      <c r="AN1152" s="6" t="n"/>
      <c r="AO1152" s="3">
        <f>IF(tblOrdenes[[#This Row],[link_checklist]]="","",HYPERLINK(p_ruta_base_checklists&amp;tblOrdenes[[#This Row],[link_checklist]],"abrir"))</f>
        <v/>
      </c>
      <c r="AP1152" s="6" t="n"/>
      <c r="AQ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3">
        <f>IF(tblOrdenes[[#This Row],[tipo_ot]]="","",_xlfn.XLOOKUP(tblOrdenes[[#This Row],[tipo_ot]],tblTiposOT[codigo],tblTiposOT[clasificacion],"sin_clasificar"))</f>
        <v/>
      </c>
      <c r="U1153" s="3">
        <f>IF(tblOrdenes[[#This Row],[centro_costo]]="","",_xlfn.XLOOKUP(tblOrdenes[[#This Row],[centro_costo]],tblCECO[codigo],tblCECO[linea],"(sin catálogo)"))</f>
        <v/>
      </c>
      <c r="V1153" s="3">
        <f>IF(tblOrdenes[[#This Row],[centro_costo]]="","",_xlfn.XLOOKUP(tblOrdenes[[#This Row],[centro_costo]],tblCECO[codigo],tblCECO[area],"(sin catálogo)"))</f>
        <v/>
      </c>
      <c r="W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3">
        <f>IF(tblOrdenes[[#This Row],[centro_costo]]="","",_xlfn.XLOOKUP(tblOrdenes[[#This Row],[centro_costo]],tblCECO[codigo],tblCECO[coordinador],"(sin catálogo)"))</f>
        <v/>
      </c>
      <c r="Y1153" s="3">
        <f>IF(tblOrdenes[[#This Row],[puesto_trabajo]]="","",_xlfn.XLOOKUP(tblOrdenes[[#This Row],[puesto_trabajo]],tblPuestos[codigo],tblPuestos[especialidad],"(sin catálogo)"))</f>
        <v/>
      </c>
      <c r="Z1153" s="3">
        <f>IF(tblOrdenes[[#This Row],[cod_actividad]]="","",_xlfn.XLOOKUP(tblOrdenes[[#This Row],[cod_actividad]],tblActividades[codigo],tblActividades[descripcion],"(sin catálogo)"))</f>
        <v/>
      </c>
      <c r="AA1153" s="12">
        <f>IF(tblOrdenes[[#This Row],[fecha_inicio]]="","",TODAY()-tblOrdenes[[#This Row],[fecha_inicio]])</f>
        <v/>
      </c>
      <c r="AB115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3">
        <f>IF(tblOrdenes[[#This Row],[backlog_habiles]]="","",IF(tblOrdenes[[#This Row],[backlog_habiles]]&lt;0,"FUTURO",IF(tblOrdenes[[#This Row],[backlog_habiles]]&gt;p_dias_backlog_max,"BACKLOG","MES CORRIENTE")))</f>
        <v/>
      </c>
      <c r="AD1153" s="3">
        <f>IF(tblOrdenes[[#This Row],[backlog_habiles]]="",FALSE,AND(tblOrdenes[[#This Row],[backlog_habiles]]&gt;p_dias_backlog_min,tblOrdenes[[#This Row],[backlog_habiles]]&lt;=p_dias_backlog_max))</f>
        <v/>
      </c>
      <c r="AE1153" s="6" t="n"/>
      <c r="AF1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0">
        <f>IF(tblOrdenes[[#This Row],[orden]]="","",_xlfn.XLOOKUP(tblOrdenes[[#This Row],[id_operacion]],tblEjecucion[id_operacion],tblEjecucion[precio],0))</f>
        <v/>
      </c>
      <c r="AJ1153" s="10">
        <f>IF(tblOrdenes[[#This Row],[orden]]="","",MAX(0,_xlfn.XLOOKUP(tblOrdenes[[#This Row],[id_operacion]],tblEjecucion[id_operacion],tblEjecucion[costo_plan_total],0)-tblOrdenes[[#This Row],[costo_servicio]]))</f>
        <v/>
      </c>
      <c r="AK1153" s="10">
        <f>IF(tblOrdenes[[#This Row],[orden]]="","",tblOrdenes[[#This Row],[costo_servicio]]+tblOrdenes[[#This Row],[costo_materiales]])</f>
        <v/>
      </c>
      <c r="AL1153" s="6" t="n"/>
      <c r="AM1153" s="6" t="n"/>
      <c r="AN1153" s="6" t="n"/>
      <c r="AO1153" s="3">
        <f>IF(tblOrdenes[[#This Row],[link_checklist]]="","",HYPERLINK(p_ruta_base_checklists&amp;tblOrdenes[[#This Row],[link_checklist]],"abrir"))</f>
        <v/>
      </c>
      <c r="AP1153" s="6" t="n"/>
      <c r="AQ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3">
        <f>IF(tblOrdenes[[#This Row],[tipo_ot]]="","",_xlfn.XLOOKUP(tblOrdenes[[#This Row],[tipo_ot]],tblTiposOT[codigo],tblTiposOT[clasificacion],"sin_clasificar"))</f>
        <v/>
      </c>
      <c r="U1154" s="3">
        <f>IF(tblOrdenes[[#This Row],[centro_costo]]="","",_xlfn.XLOOKUP(tblOrdenes[[#This Row],[centro_costo]],tblCECO[codigo],tblCECO[linea],"(sin catálogo)"))</f>
        <v/>
      </c>
      <c r="V1154" s="3">
        <f>IF(tblOrdenes[[#This Row],[centro_costo]]="","",_xlfn.XLOOKUP(tblOrdenes[[#This Row],[centro_costo]],tblCECO[codigo],tblCECO[area],"(sin catálogo)"))</f>
        <v/>
      </c>
      <c r="W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3">
        <f>IF(tblOrdenes[[#This Row],[centro_costo]]="","",_xlfn.XLOOKUP(tblOrdenes[[#This Row],[centro_costo]],tblCECO[codigo],tblCECO[coordinador],"(sin catálogo)"))</f>
        <v/>
      </c>
      <c r="Y1154" s="3">
        <f>IF(tblOrdenes[[#This Row],[puesto_trabajo]]="","",_xlfn.XLOOKUP(tblOrdenes[[#This Row],[puesto_trabajo]],tblPuestos[codigo],tblPuestos[especialidad],"(sin catálogo)"))</f>
        <v/>
      </c>
      <c r="Z1154" s="3">
        <f>IF(tblOrdenes[[#This Row],[cod_actividad]]="","",_xlfn.XLOOKUP(tblOrdenes[[#This Row],[cod_actividad]],tblActividades[codigo],tblActividades[descripcion],"(sin catálogo)"))</f>
        <v/>
      </c>
      <c r="AA1154" s="12">
        <f>IF(tblOrdenes[[#This Row],[fecha_inicio]]="","",TODAY()-tblOrdenes[[#This Row],[fecha_inicio]])</f>
        <v/>
      </c>
      <c r="AB115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3">
        <f>IF(tblOrdenes[[#This Row],[backlog_habiles]]="","",IF(tblOrdenes[[#This Row],[backlog_habiles]]&lt;0,"FUTURO",IF(tblOrdenes[[#This Row],[backlog_habiles]]&gt;p_dias_backlog_max,"BACKLOG","MES CORRIENTE")))</f>
        <v/>
      </c>
      <c r="AD1154" s="3">
        <f>IF(tblOrdenes[[#This Row],[backlog_habiles]]="",FALSE,AND(tblOrdenes[[#This Row],[backlog_habiles]]&gt;p_dias_backlog_min,tblOrdenes[[#This Row],[backlog_habiles]]&lt;=p_dias_backlog_max))</f>
        <v/>
      </c>
      <c r="AE1154" s="6" t="n"/>
      <c r="AF1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0">
        <f>IF(tblOrdenes[[#This Row],[orden]]="","",_xlfn.XLOOKUP(tblOrdenes[[#This Row],[id_operacion]],tblEjecucion[id_operacion],tblEjecucion[precio],0))</f>
        <v/>
      </c>
      <c r="AJ1154" s="10">
        <f>IF(tblOrdenes[[#This Row],[orden]]="","",MAX(0,_xlfn.XLOOKUP(tblOrdenes[[#This Row],[id_operacion]],tblEjecucion[id_operacion],tblEjecucion[costo_plan_total],0)-tblOrdenes[[#This Row],[costo_servicio]]))</f>
        <v/>
      </c>
      <c r="AK1154" s="10">
        <f>IF(tblOrdenes[[#This Row],[orden]]="","",tblOrdenes[[#This Row],[costo_servicio]]+tblOrdenes[[#This Row],[costo_materiales]])</f>
        <v/>
      </c>
      <c r="AL1154" s="6" t="n"/>
      <c r="AM1154" s="6" t="n"/>
      <c r="AN1154" s="6" t="n"/>
      <c r="AO1154" s="3">
        <f>IF(tblOrdenes[[#This Row],[link_checklist]]="","",HYPERLINK(p_ruta_base_checklists&amp;tblOrdenes[[#This Row],[link_checklist]],"abrir"))</f>
        <v/>
      </c>
      <c r="AP1154" s="6" t="n"/>
      <c r="AQ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3">
        <f>IF(tblOrdenes[[#This Row],[tipo_ot]]="","",_xlfn.XLOOKUP(tblOrdenes[[#This Row],[tipo_ot]],tblTiposOT[codigo],tblTiposOT[clasificacion],"sin_clasificar"))</f>
        <v/>
      </c>
      <c r="U1155" s="3">
        <f>IF(tblOrdenes[[#This Row],[centro_costo]]="","",_xlfn.XLOOKUP(tblOrdenes[[#This Row],[centro_costo]],tblCECO[codigo],tblCECO[linea],"(sin catálogo)"))</f>
        <v/>
      </c>
      <c r="V1155" s="3">
        <f>IF(tblOrdenes[[#This Row],[centro_costo]]="","",_xlfn.XLOOKUP(tblOrdenes[[#This Row],[centro_costo]],tblCECO[codigo],tblCECO[area],"(sin catálogo)"))</f>
        <v/>
      </c>
      <c r="W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3">
        <f>IF(tblOrdenes[[#This Row],[centro_costo]]="","",_xlfn.XLOOKUP(tblOrdenes[[#This Row],[centro_costo]],tblCECO[codigo],tblCECO[coordinador],"(sin catálogo)"))</f>
        <v/>
      </c>
      <c r="Y1155" s="3">
        <f>IF(tblOrdenes[[#This Row],[puesto_trabajo]]="","",_xlfn.XLOOKUP(tblOrdenes[[#This Row],[puesto_trabajo]],tblPuestos[codigo],tblPuestos[especialidad],"(sin catálogo)"))</f>
        <v/>
      </c>
      <c r="Z1155" s="3">
        <f>IF(tblOrdenes[[#This Row],[cod_actividad]]="","",_xlfn.XLOOKUP(tblOrdenes[[#This Row],[cod_actividad]],tblActividades[codigo],tblActividades[descripcion],"(sin catálogo)"))</f>
        <v/>
      </c>
      <c r="AA1155" s="12">
        <f>IF(tblOrdenes[[#This Row],[fecha_inicio]]="","",TODAY()-tblOrdenes[[#This Row],[fecha_inicio]])</f>
        <v/>
      </c>
      <c r="AB115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3">
        <f>IF(tblOrdenes[[#This Row],[backlog_habiles]]="","",IF(tblOrdenes[[#This Row],[backlog_habiles]]&lt;0,"FUTURO",IF(tblOrdenes[[#This Row],[backlog_habiles]]&gt;p_dias_backlog_max,"BACKLOG","MES CORRIENTE")))</f>
        <v/>
      </c>
      <c r="AD1155" s="3">
        <f>IF(tblOrdenes[[#This Row],[backlog_habiles]]="",FALSE,AND(tblOrdenes[[#This Row],[backlog_habiles]]&gt;p_dias_backlog_min,tblOrdenes[[#This Row],[backlog_habiles]]&lt;=p_dias_backlog_max))</f>
        <v/>
      </c>
      <c r="AE1155" s="6" t="n"/>
      <c r="AF1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0">
        <f>IF(tblOrdenes[[#This Row],[orden]]="","",_xlfn.XLOOKUP(tblOrdenes[[#This Row],[id_operacion]],tblEjecucion[id_operacion],tblEjecucion[precio],0))</f>
        <v/>
      </c>
      <c r="AJ1155" s="10">
        <f>IF(tblOrdenes[[#This Row],[orden]]="","",MAX(0,_xlfn.XLOOKUP(tblOrdenes[[#This Row],[id_operacion]],tblEjecucion[id_operacion],tblEjecucion[costo_plan_total],0)-tblOrdenes[[#This Row],[costo_servicio]]))</f>
        <v/>
      </c>
      <c r="AK1155" s="10">
        <f>IF(tblOrdenes[[#This Row],[orden]]="","",tblOrdenes[[#This Row],[costo_servicio]]+tblOrdenes[[#This Row],[costo_materiales]])</f>
        <v/>
      </c>
      <c r="AL1155" s="6" t="n"/>
      <c r="AM1155" s="6" t="n"/>
      <c r="AN1155" s="6" t="n"/>
      <c r="AO1155" s="3">
        <f>IF(tblOrdenes[[#This Row],[link_checklist]]="","",HYPERLINK(p_ruta_base_checklists&amp;tblOrdenes[[#This Row],[link_checklist]],"abrir"))</f>
        <v/>
      </c>
      <c r="AP1155" s="6" t="n"/>
      <c r="AQ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3">
        <f>IF(tblOrdenes[[#This Row],[tipo_ot]]="","",_xlfn.XLOOKUP(tblOrdenes[[#This Row],[tipo_ot]],tblTiposOT[codigo],tblTiposOT[clasificacion],"sin_clasificar"))</f>
        <v/>
      </c>
      <c r="U1156" s="3">
        <f>IF(tblOrdenes[[#This Row],[centro_costo]]="","",_xlfn.XLOOKUP(tblOrdenes[[#This Row],[centro_costo]],tblCECO[codigo],tblCECO[linea],"(sin catálogo)"))</f>
        <v/>
      </c>
      <c r="V1156" s="3">
        <f>IF(tblOrdenes[[#This Row],[centro_costo]]="","",_xlfn.XLOOKUP(tblOrdenes[[#This Row],[centro_costo]],tblCECO[codigo],tblCECO[area],"(sin catálogo)"))</f>
        <v/>
      </c>
      <c r="W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3">
        <f>IF(tblOrdenes[[#This Row],[centro_costo]]="","",_xlfn.XLOOKUP(tblOrdenes[[#This Row],[centro_costo]],tblCECO[codigo],tblCECO[coordinador],"(sin catálogo)"))</f>
        <v/>
      </c>
      <c r="Y1156" s="3">
        <f>IF(tblOrdenes[[#This Row],[puesto_trabajo]]="","",_xlfn.XLOOKUP(tblOrdenes[[#This Row],[puesto_trabajo]],tblPuestos[codigo],tblPuestos[especialidad],"(sin catálogo)"))</f>
        <v/>
      </c>
      <c r="Z1156" s="3">
        <f>IF(tblOrdenes[[#This Row],[cod_actividad]]="","",_xlfn.XLOOKUP(tblOrdenes[[#This Row],[cod_actividad]],tblActividades[codigo],tblActividades[descripcion],"(sin catálogo)"))</f>
        <v/>
      </c>
      <c r="AA1156" s="12">
        <f>IF(tblOrdenes[[#This Row],[fecha_inicio]]="","",TODAY()-tblOrdenes[[#This Row],[fecha_inicio]])</f>
        <v/>
      </c>
      <c r="AB115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3">
        <f>IF(tblOrdenes[[#This Row],[backlog_habiles]]="","",IF(tblOrdenes[[#This Row],[backlog_habiles]]&lt;0,"FUTURO",IF(tblOrdenes[[#This Row],[backlog_habiles]]&gt;p_dias_backlog_max,"BACKLOG","MES CORRIENTE")))</f>
        <v/>
      </c>
      <c r="AD1156" s="3">
        <f>IF(tblOrdenes[[#This Row],[backlog_habiles]]="",FALSE,AND(tblOrdenes[[#This Row],[backlog_habiles]]&gt;p_dias_backlog_min,tblOrdenes[[#This Row],[backlog_habiles]]&lt;=p_dias_backlog_max))</f>
        <v/>
      </c>
      <c r="AE1156" s="6" t="n"/>
      <c r="AF1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0">
        <f>IF(tblOrdenes[[#This Row],[orden]]="","",_xlfn.XLOOKUP(tblOrdenes[[#This Row],[id_operacion]],tblEjecucion[id_operacion],tblEjecucion[precio],0))</f>
        <v/>
      </c>
      <c r="AJ1156" s="10">
        <f>IF(tblOrdenes[[#This Row],[orden]]="","",MAX(0,_xlfn.XLOOKUP(tblOrdenes[[#This Row],[id_operacion]],tblEjecucion[id_operacion],tblEjecucion[costo_plan_total],0)-tblOrdenes[[#This Row],[costo_servicio]]))</f>
        <v/>
      </c>
      <c r="AK1156" s="10">
        <f>IF(tblOrdenes[[#This Row],[orden]]="","",tblOrdenes[[#This Row],[costo_servicio]]+tblOrdenes[[#This Row],[costo_materiales]])</f>
        <v/>
      </c>
      <c r="AL1156" s="6" t="n"/>
      <c r="AM1156" s="6" t="n"/>
      <c r="AN1156" s="6" t="n"/>
      <c r="AO1156" s="3">
        <f>IF(tblOrdenes[[#This Row],[link_checklist]]="","",HYPERLINK(p_ruta_base_checklists&amp;tblOrdenes[[#This Row],[link_checklist]],"abrir"))</f>
        <v/>
      </c>
      <c r="AP1156" s="6" t="n"/>
      <c r="AQ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3">
        <f>IF(tblOrdenes[[#This Row],[tipo_ot]]="","",_xlfn.XLOOKUP(tblOrdenes[[#This Row],[tipo_ot]],tblTiposOT[codigo],tblTiposOT[clasificacion],"sin_clasificar"))</f>
        <v/>
      </c>
      <c r="U1157" s="3">
        <f>IF(tblOrdenes[[#This Row],[centro_costo]]="","",_xlfn.XLOOKUP(tblOrdenes[[#This Row],[centro_costo]],tblCECO[codigo],tblCECO[linea],"(sin catálogo)"))</f>
        <v/>
      </c>
      <c r="V1157" s="3">
        <f>IF(tblOrdenes[[#This Row],[centro_costo]]="","",_xlfn.XLOOKUP(tblOrdenes[[#This Row],[centro_costo]],tblCECO[codigo],tblCECO[area],"(sin catálogo)"))</f>
        <v/>
      </c>
      <c r="W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3">
        <f>IF(tblOrdenes[[#This Row],[centro_costo]]="","",_xlfn.XLOOKUP(tblOrdenes[[#This Row],[centro_costo]],tblCECO[codigo],tblCECO[coordinador],"(sin catálogo)"))</f>
        <v/>
      </c>
      <c r="Y1157" s="3">
        <f>IF(tblOrdenes[[#This Row],[puesto_trabajo]]="","",_xlfn.XLOOKUP(tblOrdenes[[#This Row],[puesto_trabajo]],tblPuestos[codigo],tblPuestos[especialidad],"(sin catálogo)"))</f>
        <v/>
      </c>
      <c r="Z1157" s="3">
        <f>IF(tblOrdenes[[#This Row],[cod_actividad]]="","",_xlfn.XLOOKUP(tblOrdenes[[#This Row],[cod_actividad]],tblActividades[codigo],tblActividades[descripcion],"(sin catálogo)"))</f>
        <v/>
      </c>
      <c r="AA1157" s="12">
        <f>IF(tblOrdenes[[#This Row],[fecha_inicio]]="","",TODAY()-tblOrdenes[[#This Row],[fecha_inicio]])</f>
        <v/>
      </c>
      <c r="AB115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3">
        <f>IF(tblOrdenes[[#This Row],[backlog_habiles]]="","",IF(tblOrdenes[[#This Row],[backlog_habiles]]&lt;0,"FUTURO",IF(tblOrdenes[[#This Row],[backlog_habiles]]&gt;p_dias_backlog_max,"BACKLOG","MES CORRIENTE")))</f>
        <v/>
      </c>
      <c r="AD1157" s="3">
        <f>IF(tblOrdenes[[#This Row],[backlog_habiles]]="",FALSE,AND(tblOrdenes[[#This Row],[backlog_habiles]]&gt;p_dias_backlog_min,tblOrdenes[[#This Row],[backlog_habiles]]&lt;=p_dias_backlog_max))</f>
        <v/>
      </c>
      <c r="AE1157" s="6" t="n"/>
      <c r="AF1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0">
        <f>IF(tblOrdenes[[#This Row],[orden]]="","",_xlfn.XLOOKUP(tblOrdenes[[#This Row],[id_operacion]],tblEjecucion[id_operacion],tblEjecucion[precio],0))</f>
        <v/>
      </c>
      <c r="AJ1157" s="10">
        <f>IF(tblOrdenes[[#This Row],[orden]]="","",MAX(0,_xlfn.XLOOKUP(tblOrdenes[[#This Row],[id_operacion]],tblEjecucion[id_operacion],tblEjecucion[costo_plan_total],0)-tblOrdenes[[#This Row],[costo_servicio]]))</f>
        <v/>
      </c>
      <c r="AK1157" s="10">
        <f>IF(tblOrdenes[[#This Row],[orden]]="","",tblOrdenes[[#This Row],[costo_servicio]]+tblOrdenes[[#This Row],[costo_materiales]])</f>
        <v/>
      </c>
      <c r="AL1157" s="6" t="n"/>
      <c r="AM1157" s="6" t="n"/>
      <c r="AN1157" s="6" t="n"/>
      <c r="AO1157" s="3">
        <f>IF(tblOrdenes[[#This Row],[link_checklist]]="","",HYPERLINK(p_ruta_base_checklists&amp;tblOrdenes[[#This Row],[link_checklist]],"abrir"))</f>
        <v/>
      </c>
      <c r="AP1157" s="6" t="n"/>
      <c r="AQ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3">
        <f>IF(tblOrdenes[[#This Row],[tipo_ot]]="","",_xlfn.XLOOKUP(tblOrdenes[[#This Row],[tipo_ot]],tblTiposOT[codigo],tblTiposOT[clasificacion],"sin_clasificar"))</f>
        <v/>
      </c>
      <c r="U1158" s="3">
        <f>IF(tblOrdenes[[#This Row],[centro_costo]]="","",_xlfn.XLOOKUP(tblOrdenes[[#This Row],[centro_costo]],tblCECO[codigo],tblCECO[linea],"(sin catálogo)"))</f>
        <v/>
      </c>
      <c r="V1158" s="3">
        <f>IF(tblOrdenes[[#This Row],[centro_costo]]="","",_xlfn.XLOOKUP(tblOrdenes[[#This Row],[centro_costo]],tblCECO[codigo],tblCECO[area],"(sin catálogo)"))</f>
        <v/>
      </c>
      <c r="W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3">
        <f>IF(tblOrdenes[[#This Row],[centro_costo]]="","",_xlfn.XLOOKUP(tblOrdenes[[#This Row],[centro_costo]],tblCECO[codigo],tblCECO[coordinador],"(sin catálogo)"))</f>
        <v/>
      </c>
      <c r="Y1158" s="3">
        <f>IF(tblOrdenes[[#This Row],[puesto_trabajo]]="","",_xlfn.XLOOKUP(tblOrdenes[[#This Row],[puesto_trabajo]],tblPuestos[codigo],tblPuestos[especialidad],"(sin catálogo)"))</f>
        <v/>
      </c>
      <c r="Z1158" s="3">
        <f>IF(tblOrdenes[[#This Row],[cod_actividad]]="","",_xlfn.XLOOKUP(tblOrdenes[[#This Row],[cod_actividad]],tblActividades[codigo],tblActividades[descripcion],"(sin catálogo)"))</f>
        <v/>
      </c>
      <c r="AA1158" s="12">
        <f>IF(tblOrdenes[[#This Row],[fecha_inicio]]="","",TODAY()-tblOrdenes[[#This Row],[fecha_inicio]])</f>
        <v/>
      </c>
      <c r="AB115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3">
        <f>IF(tblOrdenes[[#This Row],[backlog_habiles]]="","",IF(tblOrdenes[[#This Row],[backlog_habiles]]&lt;0,"FUTURO",IF(tblOrdenes[[#This Row],[backlog_habiles]]&gt;p_dias_backlog_max,"BACKLOG","MES CORRIENTE")))</f>
        <v/>
      </c>
      <c r="AD1158" s="3">
        <f>IF(tblOrdenes[[#This Row],[backlog_habiles]]="",FALSE,AND(tblOrdenes[[#This Row],[backlog_habiles]]&gt;p_dias_backlog_min,tblOrdenes[[#This Row],[backlog_habiles]]&lt;=p_dias_backlog_max))</f>
        <v/>
      </c>
      <c r="AE1158" s="6" t="n"/>
      <c r="AF1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0">
        <f>IF(tblOrdenes[[#This Row],[orden]]="","",_xlfn.XLOOKUP(tblOrdenes[[#This Row],[id_operacion]],tblEjecucion[id_operacion],tblEjecucion[precio],0))</f>
        <v/>
      </c>
      <c r="AJ1158" s="10">
        <f>IF(tblOrdenes[[#This Row],[orden]]="","",MAX(0,_xlfn.XLOOKUP(tblOrdenes[[#This Row],[id_operacion]],tblEjecucion[id_operacion],tblEjecucion[costo_plan_total],0)-tblOrdenes[[#This Row],[costo_servicio]]))</f>
        <v/>
      </c>
      <c r="AK1158" s="10">
        <f>IF(tblOrdenes[[#This Row],[orden]]="","",tblOrdenes[[#This Row],[costo_servicio]]+tblOrdenes[[#This Row],[costo_materiales]])</f>
        <v/>
      </c>
      <c r="AL1158" s="6" t="n"/>
      <c r="AM1158" s="6" t="n"/>
      <c r="AN1158" s="6" t="n"/>
      <c r="AO1158" s="3">
        <f>IF(tblOrdenes[[#This Row],[link_checklist]]="","",HYPERLINK(p_ruta_base_checklists&amp;tblOrdenes[[#This Row],[link_checklist]],"abrir"))</f>
        <v/>
      </c>
      <c r="AP1158" s="6" t="n"/>
      <c r="AQ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3">
        <f>IF(tblOrdenes[[#This Row],[tipo_ot]]="","",_xlfn.XLOOKUP(tblOrdenes[[#This Row],[tipo_ot]],tblTiposOT[codigo],tblTiposOT[clasificacion],"sin_clasificar"))</f>
        <v/>
      </c>
      <c r="U1159" s="3">
        <f>IF(tblOrdenes[[#This Row],[centro_costo]]="","",_xlfn.XLOOKUP(tblOrdenes[[#This Row],[centro_costo]],tblCECO[codigo],tblCECO[linea],"(sin catálogo)"))</f>
        <v/>
      </c>
      <c r="V1159" s="3">
        <f>IF(tblOrdenes[[#This Row],[centro_costo]]="","",_xlfn.XLOOKUP(tblOrdenes[[#This Row],[centro_costo]],tblCECO[codigo],tblCECO[area],"(sin catálogo)"))</f>
        <v/>
      </c>
      <c r="W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3">
        <f>IF(tblOrdenes[[#This Row],[centro_costo]]="","",_xlfn.XLOOKUP(tblOrdenes[[#This Row],[centro_costo]],tblCECO[codigo],tblCECO[coordinador],"(sin catálogo)"))</f>
        <v/>
      </c>
      <c r="Y1159" s="3">
        <f>IF(tblOrdenes[[#This Row],[puesto_trabajo]]="","",_xlfn.XLOOKUP(tblOrdenes[[#This Row],[puesto_trabajo]],tblPuestos[codigo],tblPuestos[especialidad],"(sin catálogo)"))</f>
        <v/>
      </c>
      <c r="Z1159" s="3">
        <f>IF(tblOrdenes[[#This Row],[cod_actividad]]="","",_xlfn.XLOOKUP(tblOrdenes[[#This Row],[cod_actividad]],tblActividades[codigo],tblActividades[descripcion],"(sin catálogo)"))</f>
        <v/>
      </c>
      <c r="AA1159" s="12">
        <f>IF(tblOrdenes[[#This Row],[fecha_inicio]]="","",TODAY()-tblOrdenes[[#This Row],[fecha_inicio]])</f>
        <v/>
      </c>
      <c r="AB115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3">
        <f>IF(tblOrdenes[[#This Row],[backlog_habiles]]="","",IF(tblOrdenes[[#This Row],[backlog_habiles]]&lt;0,"FUTURO",IF(tblOrdenes[[#This Row],[backlog_habiles]]&gt;p_dias_backlog_max,"BACKLOG","MES CORRIENTE")))</f>
        <v/>
      </c>
      <c r="AD1159" s="3">
        <f>IF(tblOrdenes[[#This Row],[backlog_habiles]]="",FALSE,AND(tblOrdenes[[#This Row],[backlog_habiles]]&gt;p_dias_backlog_min,tblOrdenes[[#This Row],[backlog_habiles]]&lt;=p_dias_backlog_max))</f>
        <v/>
      </c>
      <c r="AE1159" s="6" t="n"/>
      <c r="AF1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0">
        <f>IF(tblOrdenes[[#This Row],[orden]]="","",_xlfn.XLOOKUP(tblOrdenes[[#This Row],[id_operacion]],tblEjecucion[id_operacion],tblEjecucion[precio],0))</f>
        <v/>
      </c>
      <c r="AJ1159" s="10">
        <f>IF(tblOrdenes[[#This Row],[orden]]="","",MAX(0,_xlfn.XLOOKUP(tblOrdenes[[#This Row],[id_operacion]],tblEjecucion[id_operacion],tblEjecucion[costo_plan_total],0)-tblOrdenes[[#This Row],[costo_servicio]]))</f>
        <v/>
      </c>
      <c r="AK1159" s="10">
        <f>IF(tblOrdenes[[#This Row],[orden]]="","",tblOrdenes[[#This Row],[costo_servicio]]+tblOrdenes[[#This Row],[costo_materiales]])</f>
        <v/>
      </c>
      <c r="AL1159" s="6" t="n"/>
      <c r="AM1159" s="6" t="n"/>
      <c r="AN1159" s="6" t="n"/>
      <c r="AO1159" s="3">
        <f>IF(tblOrdenes[[#This Row],[link_checklist]]="","",HYPERLINK(p_ruta_base_checklists&amp;tblOrdenes[[#This Row],[link_checklist]],"abrir"))</f>
        <v/>
      </c>
      <c r="AP1159" s="6" t="n"/>
      <c r="AQ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3">
        <f>IF(tblOrdenes[[#This Row],[tipo_ot]]="","",_xlfn.XLOOKUP(tblOrdenes[[#This Row],[tipo_ot]],tblTiposOT[codigo],tblTiposOT[clasificacion],"sin_clasificar"))</f>
        <v/>
      </c>
      <c r="U1160" s="3">
        <f>IF(tblOrdenes[[#This Row],[centro_costo]]="","",_xlfn.XLOOKUP(tblOrdenes[[#This Row],[centro_costo]],tblCECO[codigo],tblCECO[linea],"(sin catálogo)"))</f>
        <v/>
      </c>
      <c r="V1160" s="3">
        <f>IF(tblOrdenes[[#This Row],[centro_costo]]="","",_xlfn.XLOOKUP(tblOrdenes[[#This Row],[centro_costo]],tblCECO[codigo],tblCECO[area],"(sin catálogo)"))</f>
        <v/>
      </c>
      <c r="W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3">
        <f>IF(tblOrdenes[[#This Row],[centro_costo]]="","",_xlfn.XLOOKUP(tblOrdenes[[#This Row],[centro_costo]],tblCECO[codigo],tblCECO[coordinador],"(sin catálogo)"))</f>
        <v/>
      </c>
      <c r="Y1160" s="3">
        <f>IF(tblOrdenes[[#This Row],[puesto_trabajo]]="","",_xlfn.XLOOKUP(tblOrdenes[[#This Row],[puesto_trabajo]],tblPuestos[codigo],tblPuestos[especialidad],"(sin catálogo)"))</f>
        <v/>
      </c>
      <c r="Z1160" s="3">
        <f>IF(tblOrdenes[[#This Row],[cod_actividad]]="","",_xlfn.XLOOKUP(tblOrdenes[[#This Row],[cod_actividad]],tblActividades[codigo],tblActividades[descripcion],"(sin catálogo)"))</f>
        <v/>
      </c>
      <c r="AA1160" s="12">
        <f>IF(tblOrdenes[[#This Row],[fecha_inicio]]="","",TODAY()-tblOrdenes[[#This Row],[fecha_inicio]])</f>
        <v/>
      </c>
      <c r="AB116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3">
        <f>IF(tblOrdenes[[#This Row],[backlog_habiles]]="","",IF(tblOrdenes[[#This Row],[backlog_habiles]]&lt;0,"FUTURO",IF(tblOrdenes[[#This Row],[backlog_habiles]]&gt;p_dias_backlog_max,"BACKLOG","MES CORRIENTE")))</f>
        <v/>
      </c>
      <c r="AD1160" s="3">
        <f>IF(tblOrdenes[[#This Row],[backlog_habiles]]="",FALSE,AND(tblOrdenes[[#This Row],[backlog_habiles]]&gt;p_dias_backlog_min,tblOrdenes[[#This Row],[backlog_habiles]]&lt;=p_dias_backlog_max))</f>
        <v/>
      </c>
      <c r="AE1160" s="6" t="n"/>
      <c r="AF1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0">
        <f>IF(tblOrdenes[[#This Row],[orden]]="","",_xlfn.XLOOKUP(tblOrdenes[[#This Row],[id_operacion]],tblEjecucion[id_operacion],tblEjecucion[precio],0))</f>
        <v/>
      </c>
      <c r="AJ1160" s="10">
        <f>IF(tblOrdenes[[#This Row],[orden]]="","",MAX(0,_xlfn.XLOOKUP(tblOrdenes[[#This Row],[id_operacion]],tblEjecucion[id_operacion],tblEjecucion[costo_plan_total],0)-tblOrdenes[[#This Row],[costo_servicio]]))</f>
        <v/>
      </c>
      <c r="AK1160" s="10">
        <f>IF(tblOrdenes[[#This Row],[orden]]="","",tblOrdenes[[#This Row],[costo_servicio]]+tblOrdenes[[#This Row],[costo_materiales]])</f>
        <v/>
      </c>
      <c r="AL1160" s="6" t="n"/>
      <c r="AM1160" s="6" t="n"/>
      <c r="AN1160" s="6" t="n"/>
      <c r="AO1160" s="3">
        <f>IF(tblOrdenes[[#This Row],[link_checklist]]="","",HYPERLINK(p_ruta_base_checklists&amp;tblOrdenes[[#This Row],[link_checklist]],"abrir"))</f>
        <v/>
      </c>
      <c r="AP1160" s="6" t="n"/>
      <c r="AQ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3">
        <f>IF(tblOrdenes[[#This Row],[tipo_ot]]="","",_xlfn.XLOOKUP(tblOrdenes[[#This Row],[tipo_ot]],tblTiposOT[codigo],tblTiposOT[clasificacion],"sin_clasificar"))</f>
        <v/>
      </c>
      <c r="U1161" s="3">
        <f>IF(tblOrdenes[[#This Row],[centro_costo]]="","",_xlfn.XLOOKUP(tblOrdenes[[#This Row],[centro_costo]],tblCECO[codigo],tblCECO[linea],"(sin catálogo)"))</f>
        <v/>
      </c>
      <c r="V1161" s="3">
        <f>IF(tblOrdenes[[#This Row],[centro_costo]]="","",_xlfn.XLOOKUP(tblOrdenes[[#This Row],[centro_costo]],tblCECO[codigo],tblCECO[area],"(sin catálogo)"))</f>
        <v/>
      </c>
      <c r="W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3">
        <f>IF(tblOrdenes[[#This Row],[centro_costo]]="","",_xlfn.XLOOKUP(tblOrdenes[[#This Row],[centro_costo]],tblCECO[codigo],tblCECO[coordinador],"(sin catálogo)"))</f>
        <v/>
      </c>
      <c r="Y1161" s="3">
        <f>IF(tblOrdenes[[#This Row],[puesto_trabajo]]="","",_xlfn.XLOOKUP(tblOrdenes[[#This Row],[puesto_trabajo]],tblPuestos[codigo],tblPuestos[especialidad],"(sin catálogo)"))</f>
        <v/>
      </c>
      <c r="Z1161" s="3">
        <f>IF(tblOrdenes[[#This Row],[cod_actividad]]="","",_xlfn.XLOOKUP(tblOrdenes[[#This Row],[cod_actividad]],tblActividades[codigo],tblActividades[descripcion],"(sin catálogo)"))</f>
        <v/>
      </c>
      <c r="AA1161" s="12">
        <f>IF(tblOrdenes[[#This Row],[fecha_inicio]]="","",TODAY()-tblOrdenes[[#This Row],[fecha_inicio]])</f>
        <v/>
      </c>
      <c r="AB116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3">
        <f>IF(tblOrdenes[[#This Row],[backlog_habiles]]="","",IF(tblOrdenes[[#This Row],[backlog_habiles]]&lt;0,"FUTURO",IF(tblOrdenes[[#This Row],[backlog_habiles]]&gt;p_dias_backlog_max,"BACKLOG","MES CORRIENTE")))</f>
        <v/>
      </c>
      <c r="AD1161" s="3">
        <f>IF(tblOrdenes[[#This Row],[backlog_habiles]]="",FALSE,AND(tblOrdenes[[#This Row],[backlog_habiles]]&gt;p_dias_backlog_min,tblOrdenes[[#This Row],[backlog_habiles]]&lt;=p_dias_backlog_max))</f>
        <v/>
      </c>
      <c r="AE1161" s="6" t="n"/>
      <c r="AF1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0">
        <f>IF(tblOrdenes[[#This Row],[orden]]="","",_xlfn.XLOOKUP(tblOrdenes[[#This Row],[id_operacion]],tblEjecucion[id_operacion],tblEjecucion[precio],0))</f>
        <v/>
      </c>
      <c r="AJ1161" s="10">
        <f>IF(tblOrdenes[[#This Row],[orden]]="","",MAX(0,_xlfn.XLOOKUP(tblOrdenes[[#This Row],[id_operacion]],tblEjecucion[id_operacion],tblEjecucion[costo_plan_total],0)-tblOrdenes[[#This Row],[costo_servicio]]))</f>
        <v/>
      </c>
      <c r="AK1161" s="10">
        <f>IF(tblOrdenes[[#This Row],[orden]]="","",tblOrdenes[[#This Row],[costo_servicio]]+tblOrdenes[[#This Row],[costo_materiales]])</f>
        <v/>
      </c>
      <c r="AL1161" s="6" t="n"/>
      <c r="AM1161" s="6" t="n"/>
      <c r="AN1161" s="6" t="n"/>
      <c r="AO1161" s="3">
        <f>IF(tblOrdenes[[#This Row],[link_checklist]]="","",HYPERLINK(p_ruta_base_checklists&amp;tblOrdenes[[#This Row],[link_checklist]],"abrir"))</f>
        <v/>
      </c>
      <c r="AP1161" s="6" t="n"/>
      <c r="AQ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3">
        <f>IF(tblOrdenes[[#This Row],[tipo_ot]]="","",_xlfn.XLOOKUP(tblOrdenes[[#This Row],[tipo_ot]],tblTiposOT[codigo],tblTiposOT[clasificacion],"sin_clasificar"))</f>
        <v/>
      </c>
      <c r="U1162" s="3">
        <f>IF(tblOrdenes[[#This Row],[centro_costo]]="","",_xlfn.XLOOKUP(tblOrdenes[[#This Row],[centro_costo]],tblCECO[codigo],tblCECO[linea],"(sin catálogo)"))</f>
        <v/>
      </c>
      <c r="V1162" s="3">
        <f>IF(tblOrdenes[[#This Row],[centro_costo]]="","",_xlfn.XLOOKUP(tblOrdenes[[#This Row],[centro_costo]],tblCECO[codigo],tblCECO[area],"(sin catálogo)"))</f>
        <v/>
      </c>
      <c r="W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3">
        <f>IF(tblOrdenes[[#This Row],[centro_costo]]="","",_xlfn.XLOOKUP(tblOrdenes[[#This Row],[centro_costo]],tblCECO[codigo],tblCECO[coordinador],"(sin catálogo)"))</f>
        <v/>
      </c>
      <c r="Y1162" s="3">
        <f>IF(tblOrdenes[[#This Row],[puesto_trabajo]]="","",_xlfn.XLOOKUP(tblOrdenes[[#This Row],[puesto_trabajo]],tblPuestos[codigo],tblPuestos[especialidad],"(sin catálogo)"))</f>
        <v/>
      </c>
      <c r="Z1162" s="3">
        <f>IF(tblOrdenes[[#This Row],[cod_actividad]]="","",_xlfn.XLOOKUP(tblOrdenes[[#This Row],[cod_actividad]],tblActividades[codigo],tblActividades[descripcion],"(sin catálogo)"))</f>
        <v/>
      </c>
      <c r="AA1162" s="12">
        <f>IF(tblOrdenes[[#This Row],[fecha_inicio]]="","",TODAY()-tblOrdenes[[#This Row],[fecha_inicio]])</f>
        <v/>
      </c>
      <c r="AB116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3">
        <f>IF(tblOrdenes[[#This Row],[backlog_habiles]]="","",IF(tblOrdenes[[#This Row],[backlog_habiles]]&lt;0,"FUTURO",IF(tblOrdenes[[#This Row],[backlog_habiles]]&gt;p_dias_backlog_max,"BACKLOG","MES CORRIENTE")))</f>
        <v/>
      </c>
      <c r="AD1162" s="3">
        <f>IF(tblOrdenes[[#This Row],[backlog_habiles]]="",FALSE,AND(tblOrdenes[[#This Row],[backlog_habiles]]&gt;p_dias_backlog_min,tblOrdenes[[#This Row],[backlog_habiles]]&lt;=p_dias_backlog_max))</f>
        <v/>
      </c>
      <c r="AE1162" s="6" t="n"/>
      <c r="AF1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0">
        <f>IF(tblOrdenes[[#This Row],[orden]]="","",_xlfn.XLOOKUP(tblOrdenes[[#This Row],[id_operacion]],tblEjecucion[id_operacion],tblEjecucion[precio],0))</f>
        <v/>
      </c>
      <c r="AJ1162" s="10">
        <f>IF(tblOrdenes[[#This Row],[orden]]="","",MAX(0,_xlfn.XLOOKUP(tblOrdenes[[#This Row],[id_operacion]],tblEjecucion[id_operacion],tblEjecucion[costo_plan_total],0)-tblOrdenes[[#This Row],[costo_servicio]]))</f>
        <v/>
      </c>
      <c r="AK1162" s="10">
        <f>IF(tblOrdenes[[#This Row],[orden]]="","",tblOrdenes[[#This Row],[costo_servicio]]+tblOrdenes[[#This Row],[costo_materiales]])</f>
        <v/>
      </c>
      <c r="AL1162" s="6" t="n"/>
      <c r="AM1162" s="6" t="n"/>
      <c r="AN1162" s="6" t="n"/>
      <c r="AO1162" s="3">
        <f>IF(tblOrdenes[[#This Row],[link_checklist]]="","",HYPERLINK(p_ruta_base_checklists&amp;tblOrdenes[[#This Row],[link_checklist]],"abrir"))</f>
        <v/>
      </c>
      <c r="AP1162" s="6" t="n"/>
      <c r="AQ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3">
        <f>IF(tblOrdenes[[#This Row],[tipo_ot]]="","",_xlfn.XLOOKUP(tblOrdenes[[#This Row],[tipo_ot]],tblTiposOT[codigo],tblTiposOT[clasificacion],"sin_clasificar"))</f>
        <v/>
      </c>
      <c r="U1163" s="3">
        <f>IF(tblOrdenes[[#This Row],[centro_costo]]="","",_xlfn.XLOOKUP(tblOrdenes[[#This Row],[centro_costo]],tblCECO[codigo],tblCECO[linea],"(sin catálogo)"))</f>
        <v/>
      </c>
      <c r="V1163" s="3">
        <f>IF(tblOrdenes[[#This Row],[centro_costo]]="","",_xlfn.XLOOKUP(tblOrdenes[[#This Row],[centro_costo]],tblCECO[codigo],tblCECO[area],"(sin catálogo)"))</f>
        <v/>
      </c>
      <c r="W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3">
        <f>IF(tblOrdenes[[#This Row],[centro_costo]]="","",_xlfn.XLOOKUP(tblOrdenes[[#This Row],[centro_costo]],tblCECO[codigo],tblCECO[coordinador],"(sin catálogo)"))</f>
        <v/>
      </c>
      <c r="Y1163" s="3">
        <f>IF(tblOrdenes[[#This Row],[puesto_trabajo]]="","",_xlfn.XLOOKUP(tblOrdenes[[#This Row],[puesto_trabajo]],tblPuestos[codigo],tblPuestos[especialidad],"(sin catálogo)"))</f>
        <v/>
      </c>
      <c r="Z1163" s="3">
        <f>IF(tblOrdenes[[#This Row],[cod_actividad]]="","",_xlfn.XLOOKUP(tblOrdenes[[#This Row],[cod_actividad]],tblActividades[codigo],tblActividades[descripcion],"(sin catálogo)"))</f>
        <v/>
      </c>
      <c r="AA1163" s="12">
        <f>IF(tblOrdenes[[#This Row],[fecha_inicio]]="","",TODAY()-tblOrdenes[[#This Row],[fecha_inicio]])</f>
        <v/>
      </c>
      <c r="AB116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3">
        <f>IF(tblOrdenes[[#This Row],[backlog_habiles]]="","",IF(tblOrdenes[[#This Row],[backlog_habiles]]&lt;0,"FUTURO",IF(tblOrdenes[[#This Row],[backlog_habiles]]&gt;p_dias_backlog_max,"BACKLOG","MES CORRIENTE")))</f>
        <v/>
      </c>
      <c r="AD1163" s="3">
        <f>IF(tblOrdenes[[#This Row],[backlog_habiles]]="",FALSE,AND(tblOrdenes[[#This Row],[backlog_habiles]]&gt;p_dias_backlog_min,tblOrdenes[[#This Row],[backlog_habiles]]&lt;=p_dias_backlog_max))</f>
        <v/>
      </c>
      <c r="AE1163" s="6" t="n"/>
      <c r="AF1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0">
        <f>IF(tblOrdenes[[#This Row],[orden]]="","",_xlfn.XLOOKUP(tblOrdenes[[#This Row],[id_operacion]],tblEjecucion[id_operacion],tblEjecucion[precio],0))</f>
        <v/>
      </c>
      <c r="AJ1163" s="10">
        <f>IF(tblOrdenes[[#This Row],[orden]]="","",MAX(0,_xlfn.XLOOKUP(tblOrdenes[[#This Row],[id_operacion]],tblEjecucion[id_operacion],tblEjecucion[costo_plan_total],0)-tblOrdenes[[#This Row],[costo_servicio]]))</f>
        <v/>
      </c>
      <c r="AK1163" s="10">
        <f>IF(tblOrdenes[[#This Row],[orden]]="","",tblOrdenes[[#This Row],[costo_servicio]]+tblOrdenes[[#This Row],[costo_materiales]])</f>
        <v/>
      </c>
      <c r="AL1163" s="6" t="n"/>
      <c r="AM1163" s="6" t="n"/>
      <c r="AN1163" s="6" t="n"/>
      <c r="AO1163" s="3">
        <f>IF(tblOrdenes[[#This Row],[link_checklist]]="","",HYPERLINK(p_ruta_base_checklists&amp;tblOrdenes[[#This Row],[link_checklist]],"abrir"))</f>
        <v/>
      </c>
      <c r="AP1163" s="6" t="n"/>
      <c r="AQ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3">
        <f>IF(tblOrdenes[[#This Row],[tipo_ot]]="","",_xlfn.XLOOKUP(tblOrdenes[[#This Row],[tipo_ot]],tblTiposOT[codigo],tblTiposOT[clasificacion],"sin_clasificar"))</f>
        <v/>
      </c>
      <c r="U1164" s="3">
        <f>IF(tblOrdenes[[#This Row],[centro_costo]]="","",_xlfn.XLOOKUP(tblOrdenes[[#This Row],[centro_costo]],tblCECO[codigo],tblCECO[linea],"(sin catálogo)"))</f>
        <v/>
      </c>
      <c r="V1164" s="3">
        <f>IF(tblOrdenes[[#This Row],[centro_costo]]="","",_xlfn.XLOOKUP(tblOrdenes[[#This Row],[centro_costo]],tblCECO[codigo],tblCECO[area],"(sin catálogo)"))</f>
        <v/>
      </c>
      <c r="W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3">
        <f>IF(tblOrdenes[[#This Row],[centro_costo]]="","",_xlfn.XLOOKUP(tblOrdenes[[#This Row],[centro_costo]],tblCECO[codigo],tblCECO[coordinador],"(sin catálogo)"))</f>
        <v/>
      </c>
      <c r="Y1164" s="3">
        <f>IF(tblOrdenes[[#This Row],[puesto_trabajo]]="","",_xlfn.XLOOKUP(tblOrdenes[[#This Row],[puesto_trabajo]],tblPuestos[codigo],tblPuestos[especialidad],"(sin catálogo)"))</f>
        <v/>
      </c>
      <c r="Z1164" s="3">
        <f>IF(tblOrdenes[[#This Row],[cod_actividad]]="","",_xlfn.XLOOKUP(tblOrdenes[[#This Row],[cod_actividad]],tblActividades[codigo],tblActividades[descripcion],"(sin catálogo)"))</f>
        <v/>
      </c>
      <c r="AA1164" s="12">
        <f>IF(tblOrdenes[[#This Row],[fecha_inicio]]="","",TODAY()-tblOrdenes[[#This Row],[fecha_inicio]])</f>
        <v/>
      </c>
      <c r="AB116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3">
        <f>IF(tblOrdenes[[#This Row],[backlog_habiles]]="","",IF(tblOrdenes[[#This Row],[backlog_habiles]]&lt;0,"FUTURO",IF(tblOrdenes[[#This Row],[backlog_habiles]]&gt;p_dias_backlog_max,"BACKLOG","MES CORRIENTE")))</f>
        <v/>
      </c>
      <c r="AD1164" s="3">
        <f>IF(tblOrdenes[[#This Row],[backlog_habiles]]="",FALSE,AND(tblOrdenes[[#This Row],[backlog_habiles]]&gt;p_dias_backlog_min,tblOrdenes[[#This Row],[backlog_habiles]]&lt;=p_dias_backlog_max))</f>
        <v/>
      </c>
      <c r="AE1164" s="6" t="n"/>
      <c r="AF1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0">
        <f>IF(tblOrdenes[[#This Row],[orden]]="","",_xlfn.XLOOKUP(tblOrdenes[[#This Row],[id_operacion]],tblEjecucion[id_operacion],tblEjecucion[precio],0))</f>
        <v/>
      </c>
      <c r="AJ1164" s="10">
        <f>IF(tblOrdenes[[#This Row],[orden]]="","",MAX(0,_xlfn.XLOOKUP(tblOrdenes[[#This Row],[id_operacion]],tblEjecucion[id_operacion],tblEjecucion[costo_plan_total],0)-tblOrdenes[[#This Row],[costo_servicio]]))</f>
        <v/>
      </c>
      <c r="AK1164" s="10">
        <f>IF(tblOrdenes[[#This Row],[orden]]="","",tblOrdenes[[#This Row],[costo_servicio]]+tblOrdenes[[#This Row],[costo_materiales]])</f>
        <v/>
      </c>
      <c r="AL1164" s="6" t="n"/>
      <c r="AM1164" s="6" t="n"/>
      <c r="AN1164" s="6" t="n"/>
      <c r="AO1164" s="3">
        <f>IF(tblOrdenes[[#This Row],[link_checklist]]="","",HYPERLINK(p_ruta_base_checklists&amp;tblOrdenes[[#This Row],[link_checklist]],"abrir"))</f>
        <v/>
      </c>
      <c r="AP1164" s="6" t="n"/>
      <c r="AQ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3">
        <f>IF(tblOrdenes[[#This Row],[tipo_ot]]="","",_xlfn.XLOOKUP(tblOrdenes[[#This Row],[tipo_ot]],tblTiposOT[codigo],tblTiposOT[clasificacion],"sin_clasificar"))</f>
        <v/>
      </c>
      <c r="U1165" s="3">
        <f>IF(tblOrdenes[[#This Row],[centro_costo]]="","",_xlfn.XLOOKUP(tblOrdenes[[#This Row],[centro_costo]],tblCECO[codigo],tblCECO[linea],"(sin catálogo)"))</f>
        <v/>
      </c>
      <c r="V1165" s="3">
        <f>IF(tblOrdenes[[#This Row],[centro_costo]]="","",_xlfn.XLOOKUP(tblOrdenes[[#This Row],[centro_costo]],tblCECO[codigo],tblCECO[area],"(sin catálogo)"))</f>
        <v/>
      </c>
      <c r="W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3">
        <f>IF(tblOrdenes[[#This Row],[centro_costo]]="","",_xlfn.XLOOKUP(tblOrdenes[[#This Row],[centro_costo]],tblCECO[codigo],tblCECO[coordinador],"(sin catálogo)"))</f>
        <v/>
      </c>
      <c r="Y1165" s="3">
        <f>IF(tblOrdenes[[#This Row],[puesto_trabajo]]="","",_xlfn.XLOOKUP(tblOrdenes[[#This Row],[puesto_trabajo]],tblPuestos[codigo],tblPuestos[especialidad],"(sin catálogo)"))</f>
        <v/>
      </c>
      <c r="Z1165" s="3">
        <f>IF(tblOrdenes[[#This Row],[cod_actividad]]="","",_xlfn.XLOOKUP(tblOrdenes[[#This Row],[cod_actividad]],tblActividades[codigo],tblActividades[descripcion],"(sin catálogo)"))</f>
        <v/>
      </c>
      <c r="AA1165" s="12">
        <f>IF(tblOrdenes[[#This Row],[fecha_inicio]]="","",TODAY()-tblOrdenes[[#This Row],[fecha_inicio]])</f>
        <v/>
      </c>
      <c r="AB116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3">
        <f>IF(tblOrdenes[[#This Row],[backlog_habiles]]="","",IF(tblOrdenes[[#This Row],[backlog_habiles]]&lt;0,"FUTURO",IF(tblOrdenes[[#This Row],[backlog_habiles]]&gt;p_dias_backlog_max,"BACKLOG","MES CORRIENTE")))</f>
        <v/>
      </c>
      <c r="AD1165" s="3">
        <f>IF(tblOrdenes[[#This Row],[backlog_habiles]]="",FALSE,AND(tblOrdenes[[#This Row],[backlog_habiles]]&gt;p_dias_backlog_min,tblOrdenes[[#This Row],[backlog_habiles]]&lt;=p_dias_backlog_max))</f>
        <v/>
      </c>
      <c r="AE1165" s="6" t="n"/>
      <c r="AF1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0">
        <f>IF(tblOrdenes[[#This Row],[orden]]="","",_xlfn.XLOOKUP(tblOrdenes[[#This Row],[id_operacion]],tblEjecucion[id_operacion],tblEjecucion[precio],0))</f>
        <v/>
      </c>
      <c r="AJ1165" s="10">
        <f>IF(tblOrdenes[[#This Row],[orden]]="","",MAX(0,_xlfn.XLOOKUP(tblOrdenes[[#This Row],[id_operacion]],tblEjecucion[id_operacion],tblEjecucion[costo_plan_total],0)-tblOrdenes[[#This Row],[costo_servicio]]))</f>
        <v/>
      </c>
      <c r="AK1165" s="10">
        <f>IF(tblOrdenes[[#This Row],[orden]]="","",tblOrdenes[[#This Row],[costo_servicio]]+tblOrdenes[[#This Row],[costo_materiales]])</f>
        <v/>
      </c>
      <c r="AL1165" s="6" t="n"/>
      <c r="AM1165" s="6" t="n"/>
      <c r="AN1165" s="6" t="n"/>
      <c r="AO1165" s="3">
        <f>IF(tblOrdenes[[#This Row],[link_checklist]]="","",HYPERLINK(p_ruta_base_checklists&amp;tblOrdenes[[#This Row],[link_checklist]],"abrir"))</f>
        <v/>
      </c>
      <c r="AP1165" s="6" t="n"/>
      <c r="AQ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3">
        <f>IF(tblOrdenes[[#This Row],[tipo_ot]]="","",_xlfn.XLOOKUP(tblOrdenes[[#This Row],[tipo_ot]],tblTiposOT[codigo],tblTiposOT[clasificacion],"sin_clasificar"))</f>
        <v/>
      </c>
      <c r="U1166" s="3">
        <f>IF(tblOrdenes[[#This Row],[centro_costo]]="","",_xlfn.XLOOKUP(tblOrdenes[[#This Row],[centro_costo]],tblCECO[codigo],tblCECO[linea],"(sin catálogo)"))</f>
        <v/>
      </c>
      <c r="V1166" s="3">
        <f>IF(tblOrdenes[[#This Row],[centro_costo]]="","",_xlfn.XLOOKUP(tblOrdenes[[#This Row],[centro_costo]],tblCECO[codigo],tblCECO[area],"(sin catálogo)"))</f>
        <v/>
      </c>
      <c r="W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3">
        <f>IF(tblOrdenes[[#This Row],[centro_costo]]="","",_xlfn.XLOOKUP(tblOrdenes[[#This Row],[centro_costo]],tblCECO[codigo],tblCECO[coordinador],"(sin catálogo)"))</f>
        <v/>
      </c>
      <c r="Y1166" s="3">
        <f>IF(tblOrdenes[[#This Row],[puesto_trabajo]]="","",_xlfn.XLOOKUP(tblOrdenes[[#This Row],[puesto_trabajo]],tblPuestos[codigo],tblPuestos[especialidad],"(sin catálogo)"))</f>
        <v/>
      </c>
      <c r="Z1166" s="3">
        <f>IF(tblOrdenes[[#This Row],[cod_actividad]]="","",_xlfn.XLOOKUP(tblOrdenes[[#This Row],[cod_actividad]],tblActividades[codigo],tblActividades[descripcion],"(sin catálogo)"))</f>
        <v/>
      </c>
      <c r="AA1166" s="12">
        <f>IF(tblOrdenes[[#This Row],[fecha_inicio]]="","",TODAY()-tblOrdenes[[#This Row],[fecha_inicio]])</f>
        <v/>
      </c>
      <c r="AB116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3">
        <f>IF(tblOrdenes[[#This Row],[backlog_habiles]]="","",IF(tblOrdenes[[#This Row],[backlog_habiles]]&lt;0,"FUTURO",IF(tblOrdenes[[#This Row],[backlog_habiles]]&gt;p_dias_backlog_max,"BACKLOG","MES CORRIENTE")))</f>
        <v/>
      </c>
      <c r="AD1166" s="3">
        <f>IF(tblOrdenes[[#This Row],[backlog_habiles]]="",FALSE,AND(tblOrdenes[[#This Row],[backlog_habiles]]&gt;p_dias_backlog_min,tblOrdenes[[#This Row],[backlog_habiles]]&lt;=p_dias_backlog_max))</f>
        <v/>
      </c>
      <c r="AE1166" s="6" t="n"/>
      <c r="AF1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0">
        <f>IF(tblOrdenes[[#This Row],[orden]]="","",_xlfn.XLOOKUP(tblOrdenes[[#This Row],[id_operacion]],tblEjecucion[id_operacion],tblEjecucion[precio],0))</f>
        <v/>
      </c>
      <c r="AJ1166" s="10">
        <f>IF(tblOrdenes[[#This Row],[orden]]="","",MAX(0,_xlfn.XLOOKUP(tblOrdenes[[#This Row],[id_operacion]],tblEjecucion[id_operacion],tblEjecucion[costo_plan_total],0)-tblOrdenes[[#This Row],[costo_servicio]]))</f>
        <v/>
      </c>
      <c r="AK1166" s="10">
        <f>IF(tblOrdenes[[#This Row],[orden]]="","",tblOrdenes[[#This Row],[costo_servicio]]+tblOrdenes[[#This Row],[costo_materiales]])</f>
        <v/>
      </c>
      <c r="AL1166" s="6" t="n"/>
      <c r="AM1166" s="6" t="n"/>
      <c r="AN1166" s="6" t="n"/>
      <c r="AO1166" s="3">
        <f>IF(tblOrdenes[[#This Row],[link_checklist]]="","",HYPERLINK(p_ruta_base_checklists&amp;tblOrdenes[[#This Row],[link_checklist]],"abrir"))</f>
        <v/>
      </c>
      <c r="AP1166" s="6" t="n"/>
      <c r="AQ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3">
        <f>IF(tblOrdenes[[#This Row],[tipo_ot]]="","",_xlfn.XLOOKUP(tblOrdenes[[#This Row],[tipo_ot]],tblTiposOT[codigo],tblTiposOT[clasificacion],"sin_clasificar"))</f>
        <v/>
      </c>
      <c r="U1167" s="3">
        <f>IF(tblOrdenes[[#This Row],[centro_costo]]="","",_xlfn.XLOOKUP(tblOrdenes[[#This Row],[centro_costo]],tblCECO[codigo],tblCECO[linea],"(sin catálogo)"))</f>
        <v/>
      </c>
      <c r="V1167" s="3">
        <f>IF(tblOrdenes[[#This Row],[centro_costo]]="","",_xlfn.XLOOKUP(tblOrdenes[[#This Row],[centro_costo]],tblCECO[codigo],tblCECO[area],"(sin catálogo)"))</f>
        <v/>
      </c>
      <c r="W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3">
        <f>IF(tblOrdenes[[#This Row],[centro_costo]]="","",_xlfn.XLOOKUP(tblOrdenes[[#This Row],[centro_costo]],tblCECO[codigo],tblCECO[coordinador],"(sin catálogo)"))</f>
        <v/>
      </c>
      <c r="Y1167" s="3">
        <f>IF(tblOrdenes[[#This Row],[puesto_trabajo]]="","",_xlfn.XLOOKUP(tblOrdenes[[#This Row],[puesto_trabajo]],tblPuestos[codigo],tblPuestos[especialidad],"(sin catálogo)"))</f>
        <v/>
      </c>
      <c r="Z1167" s="3">
        <f>IF(tblOrdenes[[#This Row],[cod_actividad]]="","",_xlfn.XLOOKUP(tblOrdenes[[#This Row],[cod_actividad]],tblActividades[codigo],tblActividades[descripcion],"(sin catálogo)"))</f>
        <v/>
      </c>
      <c r="AA1167" s="12">
        <f>IF(tblOrdenes[[#This Row],[fecha_inicio]]="","",TODAY()-tblOrdenes[[#This Row],[fecha_inicio]])</f>
        <v/>
      </c>
      <c r="AB116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3">
        <f>IF(tblOrdenes[[#This Row],[backlog_habiles]]="","",IF(tblOrdenes[[#This Row],[backlog_habiles]]&lt;0,"FUTURO",IF(tblOrdenes[[#This Row],[backlog_habiles]]&gt;p_dias_backlog_max,"BACKLOG","MES CORRIENTE")))</f>
        <v/>
      </c>
      <c r="AD1167" s="3">
        <f>IF(tblOrdenes[[#This Row],[backlog_habiles]]="",FALSE,AND(tblOrdenes[[#This Row],[backlog_habiles]]&gt;p_dias_backlog_min,tblOrdenes[[#This Row],[backlog_habiles]]&lt;=p_dias_backlog_max))</f>
        <v/>
      </c>
      <c r="AE1167" s="6" t="n"/>
      <c r="AF1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0">
        <f>IF(tblOrdenes[[#This Row],[orden]]="","",_xlfn.XLOOKUP(tblOrdenes[[#This Row],[id_operacion]],tblEjecucion[id_operacion],tblEjecucion[precio],0))</f>
        <v/>
      </c>
      <c r="AJ1167" s="10">
        <f>IF(tblOrdenes[[#This Row],[orden]]="","",MAX(0,_xlfn.XLOOKUP(tblOrdenes[[#This Row],[id_operacion]],tblEjecucion[id_operacion],tblEjecucion[costo_plan_total],0)-tblOrdenes[[#This Row],[costo_servicio]]))</f>
        <v/>
      </c>
      <c r="AK1167" s="10">
        <f>IF(tblOrdenes[[#This Row],[orden]]="","",tblOrdenes[[#This Row],[costo_servicio]]+tblOrdenes[[#This Row],[costo_materiales]])</f>
        <v/>
      </c>
      <c r="AL1167" s="6" t="n"/>
      <c r="AM1167" s="6" t="n"/>
      <c r="AN1167" s="6" t="n"/>
      <c r="AO1167" s="3">
        <f>IF(tblOrdenes[[#This Row],[link_checklist]]="","",HYPERLINK(p_ruta_base_checklists&amp;tblOrdenes[[#This Row],[link_checklist]],"abrir"))</f>
        <v/>
      </c>
      <c r="AP1167" s="6" t="n"/>
      <c r="AQ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3">
        <f>IF(tblOrdenes[[#This Row],[tipo_ot]]="","",_xlfn.XLOOKUP(tblOrdenes[[#This Row],[tipo_ot]],tblTiposOT[codigo],tblTiposOT[clasificacion],"sin_clasificar"))</f>
        <v/>
      </c>
      <c r="U1168" s="3">
        <f>IF(tblOrdenes[[#This Row],[centro_costo]]="","",_xlfn.XLOOKUP(tblOrdenes[[#This Row],[centro_costo]],tblCECO[codigo],tblCECO[linea],"(sin catálogo)"))</f>
        <v/>
      </c>
      <c r="V1168" s="3">
        <f>IF(tblOrdenes[[#This Row],[centro_costo]]="","",_xlfn.XLOOKUP(tblOrdenes[[#This Row],[centro_costo]],tblCECO[codigo],tblCECO[area],"(sin catálogo)"))</f>
        <v/>
      </c>
      <c r="W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3">
        <f>IF(tblOrdenes[[#This Row],[centro_costo]]="","",_xlfn.XLOOKUP(tblOrdenes[[#This Row],[centro_costo]],tblCECO[codigo],tblCECO[coordinador],"(sin catálogo)"))</f>
        <v/>
      </c>
      <c r="Y1168" s="3">
        <f>IF(tblOrdenes[[#This Row],[puesto_trabajo]]="","",_xlfn.XLOOKUP(tblOrdenes[[#This Row],[puesto_trabajo]],tblPuestos[codigo],tblPuestos[especialidad],"(sin catálogo)"))</f>
        <v/>
      </c>
      <c r="Z1168" s="3">
        <f>IF(tblOrdenes[[#This Row],[cod_actividad]]="","",_xlfn.XLOOKUP(tblOrdenes[[#This Row],[cod_actividad]],tblActividades[codigo],tblActividades[descripcion],"(sin catálogo)"))</f>
        <v/>
      </c>
      <c r="AA1168" s="12">
        <f>IF(tblOrdenes[[#This Row],[fecha_inicio]]="","",TODAY()-tblOrdenes[[#This Row],[fecha_inicio]])</f>
        <v/>
      </c>
      <c r="AB116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3">
        <f>IF(tblOrdenes[[#This Row],[backlog_habiles]]="","",IF(tblOrdenes[[#This Row],[backlog_habiles]]&lt;0,"FUTURO",IF(tblOrdenes[[#This Row],[backlog_habiles]]&gt;p_dias_backlog_max,"BACKLOG","MES CORRIENTE")))</f>
        <v/>
      </c>
      <c r="AD1168" s="3">
        <f>IF(tblOrdenes[[#This Row],[backlog_habiles]]="",FALSE,AND(tblOrdenes[[#This Row],[backlog_habiles]]&gt;p_dias_backlog_min,tblOrdenes[[#This Row],[backlog_habiles]]&lt;=p_dias_backlog_max))</f>
        <v/>
      </c>
      <c r="AE1168" s="6" t="n"/>
      <c r="AF1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0">
        <f>IF(tblOrdenes[[#This Row],[orden]]="","",_xlfn.XLOOKUP(tblOrdenes[[#This Row],[id_operacion]],tblEjecucion[id_operacion],tblEjecucion[precio],0))</f>
        <v/>
      </c>
      <c r="AJ1168" s="10">
        <f>IF(tblOrdenes[[#This Row],[orden]]="","",MAX(0,_xlfn.XLOOKUP(tblOrdenes[[#This Row],[id_operacion]],tblEjecucion[id_operacion],tblEjecucion[costo_plan_total],0)-tblOrdenes[[#This Row],[costo_servicio]]))</f>
        <v/>
      </c>
      <c r="AK1168" s="10">
        <f>IF(tblOrdenes[[#This Row],[orden]]="","",tblOrdenes[[#This Row],[costo_servicio]]+tblOrdenes[[#This Row],[costo_materiales]])</f>
        <v/>
      </c>
      <c r="AL1168" s="6" t="n"/>
      <c r="AM1168" s="6" t="n"/>
      <c r="AN1168" s="6" t="n"/>
      <c r="AO1168" s="3">
        <f>IF(tblOrdenes[[#This Row],[link_checklist]]="","",HYPERLINK(p_ruta_base_checklists&amp;tblOrdenes[[#This Row],[link_checklist]],"abrir"))</f>
        <v/>
      </c>
      <c r="AP1168" s="6" t="n"/>
      <c r="AQ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3">
        <f>IF(tblOrdenes[[#This Row],[tipo_ot]]="","",_xlfn.XLOOKUP(tblOrdenes[[#This Row],[tipo_ot]],tblTiposOT[codigo],tblTiposOT[clasificacion],"sin_clasificar"))</f>
        <v/>
      </c>
      <c r="U1169" s="3">
        <f>IF(tblOrdenes[[#This Row],[centro_costo]]="","",_xlfn.XLOOKUP(tblOrdenes[[#This Row],[centro_costo]],tblCECO[codigo],tblCECO[linea],"(sin catálogo)"))</f>
        <v/>
      </c>
      <c r="V1169" s="3">
        <f>IF(tblOrdenes[[#This Row],[centro_costo]]="","",_xlfn.XLOOKUP(tblOrdenes[[#This Row],[centro_costo]],tblCECO[codigo],tblCECO[area],"(sin catálogo)"))</f>
        <v/>
      </c>
      <c r="W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3">
        <f>IF(tblOrdenes[[#This Row],[centro_costo]]="","",_xlfn.XLOOKUP(tblOrdenes[[#This Row],[centro_costo]],tblCECO[codigo],tblCECO[coordinador],"(sin catálogo)"))</f>
        <v/>
      </c>
      <c r="Y1169" s="3">
        <f>IF(tblOrdenes[[#This Row],[puesto_trabajo]]="","",_xlfn.XLOOKUP(tblOrdenes[[#This Row],[puesto_trabajo]],tblPuestos[codigo],tblPuestos[especialidad],"(sin catálogo)"))</f>
        <v/>
      </c>
      <c r="Z1169" s="3">
        <f>IF(tblOrdenes[[#This Row],[cod_actividad]]="","",_xlfn.XLOOKUP(tblOrdenes[[#This Row],[cod_actividad]],tblActividades[codigo],tblActividades[descripcion],"(sin catálogo)"))</f>
        <v/>
      </c>
      <c r="AA1169" s="12">
        <f>IF(tblOrdenes[[#This Row],[fecha_inicio]]="","",TODAY()-tblOrdenes[[#This Row],[fecha_inicio]])</f>
        <v/>
      </c>
      <c r="AB116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3">
        <f>IF(tblOrdenes[[#This Row],[backlog_habiles]]="","",IF(tblOrdenes[[#This Row],[backlog_habiles]]&lt;0,"FUTURO",IF(tblOrdenes[[#This Row],[backlog_habiles]]&gt;p_dias_backlog_max,"BACKLOG","MES CORRIENTE")))</f>
        <v/>
      </c>
      <c r="AD1169" s="3">
        <f>IF(tblOrdenes[[#This Row],[backlog_habiles]]="",FALSE,AND(tblOrdenes[[#This Row],[backlog_habiles]]&gt;p_dias_backlog_min,tblOrdenes[[#This Row],[backlog_habiles]]&lt;=p_dias_backlog_max))</f>
        <v/>
      </c>
      <c r="AE1169" s="6" t="n"/>
      <c r="AF1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0">
        <f>IF(tblOrdenes[[#This Row],[orden]]="","",_xlfn.XLOOKUP(tblOrdenes[[#This Row],[id_operacion]],tblEjecucion[id_operacion],tblEjecucion[precio],0))</f>
        <v/>
      </c>
      <c r="AJ1169" s="10">
        <f>IF(tblOrdenes[[#This Row],[orden]]="","",MAX(0,_xlfn.XLOOKUP(tblOrdenes[[#This Row],[id_operacion]],tblEjecucion[id_operacion],tblEjecucion[costo_plan_total],0)-tblOrdenes[[#This Row],[costo_servicio]]))</f>
        <v/>
      </c>
      <c r="AK1169" s="10">
        <f>IF(tblOrdenes[[#This Row],[orden]]="","",tblOrdenes[[#This Row],[costo_servicio]]+tblOrdenes[[#This Row],[costo_materiales]])</f>
        <v/>
      </c>
      <c r="AL1169" s="6" t="n"/>
      <c r="AM1169" s="6" t="n"/>
      <c r="AN1169" s="6" t="n"/>
      <c r="AO1169" s="3">
        <f>IF(tblOrdenes[[#This Row],[link_checklist]]="","",HYPERLINK(p_ruta_base_checklists&amp;tblOrdenes[[#This Row],[link_checklist]],"abrir"))</f>
        <v/>
      </c>
      <c r="AP1169" s="6" t="n"/>
      <c r="AQ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3">
        <f>IF(tblOrdenes[[#This Row],[tipo_ot]]="","",_xlfn.XLOOKUP(tblOrdenes[[#This Row],[tipo_ot]],tblTiposOT[codigo],tblTiposOT[clasificacion],"sin_clasificar"))</f>
        <v/>
      </c>
      <c r="U1170" s="3">
        <f>IF(tblOrdenes[[#This Row],[centro_costo]]="","",_xlfn.XLOOKUP(tblOrdenes[[#This Row],[centro_costo]],tblCECO[codigo],tblCECO[linea],"(sin catálogo)"))</f>
        <v/>
      </c>
      <c r="V1170" s="3">
        <f>IF(tblOrdenes[[#This Row],[centro_costo]]="","",_xlfn.XLOOKUP(tblOrdenes[[#This Row],[centro_costo]],tblCECO[codigo],tblCECO[area],"(sin catálogo)"))</f>
        <v/>
      </c>
      <c r="W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3">
        <f>IF(tblOrdenes[[#This Row],[centro_costo]]="","",_xlfn.XLOOKUP(tblOrdenes[[#This Row],[centro_costo]],tblCECO[codigo],tblCECO[coordinador],"(sin catálogo)"))</f>
        <v/>
      </c>
      <c r="Y1170" s="3">
        <f>IF(tblOrdenes[[#This Row],[puesto_trabajo]]="","",_xlfn.XLOOKUP(tblOrdenes[[#This Row],[puesto_trabajo]],tblPuestos[codigo],tblPuestos[especialidad],"(sin catálogo)"))</f>
        <v/>
      </c>
      <c r="Z1170" s="3">
        <f>IF(tblOrdenes[[#This Row],[cod_actividad]]="","",_xlfn.XLOOKUP(tblOrdenes[[#This Row],[cod_actividad]],tblActividades[codigo],tblActividades[descripcion],"(sin catálogo)"))</f>
        <v/>
      </c>
      <c r="AA1170" s="12">
        <f>IF(tblOrdenes[[#This Row],[fecha_inicio]]="","",TODAY()-tblOrdenes[[#This Row],[fecha_inicio]])</f>
        <v/>
      </c>
      <c r="AB117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3">
        <f>IF(tblOrdenes[[#This Row],[backlog_habiles]]="","",IF(tblOrdenes[[#This Row],[backlog_habiles]]&lt;0,"FUTURO",IF(tblOrdenes[[#This Row],[backlog_habiles]]&gt;p_dias_backlog_max,"BACKLOG","MES CORRIENTE")))</f>
        <v/>
      </c>
      <c r="AD1170" s="3">
        <f>IF(tblOrdenes[[#This Row],[backlog_habiles]]="",FALSE,AND(tblOrdenes[[#This Row],[backlog_habiles]]&gt;p_dias_backlog_min,tblOrdenes[[#This Row],[backlog_habiles]]&lt;=p_dias_backlog_max))</f>
        <v/>
      </c>
      <c r="AE1170" s="6" t="n"/>
      <c r="AF1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0">
        <f>IF(tblOrdenes[[#This Row],[orden]]="","",_xlfn.XLOOKUP(tblOrdenes[[#This Row],[id_operacion]],tblEjecucion[id_operacion],tblEjecucion[precio],0))</f>
        <v/>
      </c>
      <c r="AJ1170" s="10">
        <f>IF(tblOrdenes[[#This Row],[orden]]="","",MAX(0,_xlfn.XLOOKUP(tblOrdenes[[#This Row],[id_operacion]],tblEjecucion[id_operacion],tblEjecucion[costo_plan_total],0)-tblOrdenes[[#This Row],[costo_servicio]]))</f>
        <v/>
      </c>
      <c r="AK1170" s="10">
        <f>IF(tblOrdenes[[#This Row],[orden]]="","",tblOrdenes[[#This Row],[costo_servicio]]+tblOrdenes[[#This Row],[costo_materiales]])</f>
        <v/>
      </c>
      <c r="AL1170" s="6" t="n"/>
      <c r="AM1170" s="6" t="n"/>
      <c r="AN1170" s="6" t="n"/>
      <c r="AO1170" s="3">
        <f>IF(tblOrdenes[[#This Row],[link_checklist]]="","",HYPERLINK(p_ruta_base_checklists&amp;tblOrdenes[[#This Row],[link_checklist]],"abrir"))</f>
        <v/>
      </c>
      <c r="AP1170" s="6" t="n"/>
      <c r="AQ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3">
        <f>IF(tblOrdenes[[#This Row],[tipo_ot]]="","",_xlfn.XLOOKUP(tblOrdenes[[#This Row],[tipo_ot]],tblTiposOT[codigo],tblTiposOT[clasificacion],"sin_clasificar"))</f>
        <v/>
      </c>
      <c r="U1171" s="3">
        <f>IF(tblOrdenes[[#This Row],[centro_costo]]="","",_xlfn.XLOOKUP(tblOrdenes[[#This Row],[centro_costo]],tblCECO[codigo],tblCECO[linea],"(sin catálogo)"))</f>
        <v/>
      </c>
      <c r="V1171" s="3">
        <f>IF(tblOrdenes[[#This Row],[centro_costo]]="","",_xlfn.XLOOKUP(tblOrdenes[[#This Row],[centro_costo]],tblCECO[codigo],tblCECO[area],"(sin catálogo)"))</f>
        <v/>
      </c>
      <c r="W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3">
        <f>IF(tblOrdenes[[#This Row],[centro_costo]]="","",_xlfn.XLOOKUP(tblOrdenes[[#This Row],[centro_costo]],tblCECO[codigo],tblCECO[coordinador],"(sin catálogo)"))</f>
        <v/>
      </c>
      <c r="Y1171" s="3">
        <f>IF(tblOrdenes[[#This Row],[puesto_trabajo]]="","",_xlfn.XLOOKUP(tblOrdenes[[#This Row],[puesto_trabajo]],tblPuestos[codigo],tblPuestos[especialidad],"(sin catálogo)"))</f>
        <v/>
      </c>
      <c r="Z1171" s="3">
        <f>IF(tblOrdenes[[#This Row],[cod_actividad]]="","",_xlfn.XLOOKUP(tblOrdenes[[#This Row],[cod_actividad]],tblActividades[codigo],tblActividades[descripcion],"(sin catálogo)"))</f>
        <v/>
      </c>
      <c r="AA1171" s="12">
        <f>IF(tblOrdenes[[#This Row],[fecha_inicio]]="","",TODAY()-tblOrdenes[[#This Row],[fecha_inicio]])</f>
        <v/>
      </c>
      <c r="AB117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3">
        <f>IF(tblOrdenes[[#This Row],[backlog_habiles]]="","",IF(tblOrdenes[[#This Row],[backlog_habiles]]&lt;0,"FUTURO",IF(tblOrdenes[[#This Row],[backlog_habiles]]&gt;p_dias_backlog_max,"BACKLOG","MES CORRIENTE")))</f>
        <v/>
      </c>
      <c r="AD1171" s="3">
        <f>IF(tblOrdenes[[#This Row],[backlog_habiles]]="",FALSE,AND(tblOrdenes[[#This Row],[backlog_habiles]]&gt;p_dias_backlog_min,tblOrdenes[[#This Row],[backlog_habiles]]&lt;=p_dias_backlog_max))</f>
        <v/>
      </c>
      <c r="AE1171" s="6" t="n"/>
      <c r="AF1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0">
        <f>IF(tblOrdenes[[#This Row],[orden]]="","",_xlfn.XLOOKUP(tblOrdenes[[#This Row],[id_operacion]],tblEjecucion[id_operacion],tblEjecucion[precio],0))</f>
        <v/>
      </c>
      <c r="AJ1171" s="10">
        <f>IF(tblOrdenes[[#This Row],[orden]]="","",MAX(0,_xlfn.XLOOKUP(tblOrdenes[[#This Row],[id_operacion]],tblEjecucion[id_operacion],tblEjecucion[costo_plan_total],0)-tblOrdenes[[#This Row],[costo_servicio]]))</f>
        <v/>
      </c>
      <c r="AK1171" s="10">
        <f>IF(tblOrdenes[[#This Row],[orden]]="","",tblOrdenes[[#This Row],[costo_servicio]]+tblOrdenes[[#This Row],[costo_materiales]])</f>
        <v/>
      </c>
      <c r="AL1171" s="6" t="n"/>
      <c r="AM1171" s="6" t="n"/>
      <c r="AN1171" s="6" t="n"/>
      <c r="AO1171" s="3">
        <f>IF(tblOrdenes[[#This Row],[link_checklist]]="","",HYPERLINK(p_ruta_base_checklists&amp;tblOrdenes[[#This Row],[link_checklist]],"abrir"))</f>
        <v/>
      </c>
      <c r="AP1171" s="6" t="n"/>
      <c r="AQ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3">
        <f>IF(tblOrdenes[[#This Row],[tipo_ot]]="","",_xlfn.XLOOKUP(tblOrdenes[[#This Row],[tipo_ot]],tblTiposOT[codigo],tblTiposOT[clasificacion],"sin_clasificar"))</f>
        <v/>
      </c>
      <c r="U1172" s="3">
        <f>IF(tblOrdenes[[#This Row],[centro_costo]]="","",_xlfn.XLOOKUP(tblOrdenes[[#This Row],[centro_costo]],tblCECO[codigo],tblCECO[linea],"(sin catálogo)"))</f>
        <v/>
      </c>
      <c r="V1172" s="3">
        <f>IF(tblOrdenes[[#This Row],[centro_costo]]="","",_xlfn.XLOOKUP(tblOrdenes[[#This Row],[centro_costo]],tblCECO[codigo],tblCECO[area],"(sin catálogo)"))</f>
        <v/>
      </c>
      <c r="W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3">
        <f>IF(tblOrdenes[[#This Row],[centro_costo]]="","",_xlfn.XLOOKUP(tblOrdenes[[#This Row],[centro_costo]],tblCECO[codigo],tblCECO[coordinador],"(sin catálogo)"))</f>
        <v/>
      </c>
      <c r="Y1172" s="3">
        <f>IF(tblOrdenes[[#This Row],[puesto_trabajo]]="","",_xlfn.XLOOKUP(tblOrdenes[[#This Row],[puesto_trabajo]],tblPuestos[codigo],tblPuestos[especialidad],"(sin catálogo)"))</f>
        <v/>
      </c>
      <c r="Z1172" s="3">
        <f>IF(tblOrdenes[[#This Row],[cod_actividad]]="","",_xlfn.XLOOKUP(tblOrdenes[[#This Row],[cod_actividad]],tblActividades[codigo],tblActividades[descripcion],"(sin catálogo)"))</f>
        <v/>
      </c>
      <c r="AA1172" s="12">
        <f>IF(tblOrdenes[[#This Row],[fecha_inicio]]="","",TODAY()-tblOrdenes[[#This Row],[fecha_inicio]])</f>
        <v/>
      </c>
      <c r="AB117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3">
        <f>IF(tblOrdenes[[#This Row],[backlog_habiles]]="","",IF(tblOrdenes[[#This Row],[backlog_habiles]]&lt;0,"FUTURO",IF(tblOrdenes[[#This Row],[backlog_habiles]]&gt;p_dias_backlog_max,"BACKLOG","MES CORRIENTE")))</f>
        <v/>
      </c>
      <c r="AD1172" s="3">
        <f>IF(tblOrdenes[[#This Row],[backlog_habiles]]="",FALSE,AND(tblOrdenes[[#This Row],[backlog_habiles]]&gt;p_dias_backlog_min,tblOrdenes[[#This Row],[backlog_habiles]]&lt;=p_dias_backlog_max))</f>
        <v/>
      </c>
      <c r="AE1172" s="6" t="n"/>
      <c r="AF1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0">
        <f>IF(tblOrdenes[[#This Row],[orden]]="","",_xlfn.XLOOKUP(tblOrdenes[[#This Row],[id_operacion]],tblEjecucion[id_operacion],tblEjecucion[precio],0))</f>
        <v/>
      </c>
      <c r="AJ1172" s="10">
        <f>IF(tblOrdenes[[#This Row],[orden]]="","",MAX(0,_xlfn.XLOOKUP(tblOrdenes[[#This Row],[id_operacion]],tblEjecucion[id_operacion],tblEjecucion[costo_plan_total],0)-tblOrdenes[[#This Row],[costo_servicio]]))</f>
        <v/>
      </c>
      <c r="AK1172" s="10">
        <f>IF(tblOrdenes[[#This Row],[orden]]="","",tblOrdenes[[#This Row],[costo_servicio]]+tblOrdenes[[#This Row],[costo_materiales]])</f>
        <v/>
      </c>
      <c r="AL1172" s="6" t="n"/>
      <c r="AM1172" s="6" t="n"/>
      <c r="AN1172" s="6" t="n"/>
      <c r="AO1172" s="3">
        <f>IF(tblOrdenes[[#This Row],[link_checklist]]="","",HYPERLINK(p_ruta_base_checklists&amp;tblOrdenes[[#This Row],[link_checklist]],"abrir"))</f>
        <v/>
      </c>
      <c r="AP1172" s="6" t="n"/>
      <c r="AQ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3">
        <f>IF(tblOrdenes[[#This Row],[tipo_ot]]="","",_xlfn.XLOOKUP(tblOrdenes[[#This Row],[tipo_ot]],tblTiposOT[codigo],tblTiposOT[clasificacion],"sin_clasificar"))</f>
        <v/>
      </c>
      <c r="U1173" s="3">
        <f>IF(tblOrdenes[[#This Row],[centro_costo]]="","",_xlfn.XLOOKUP(tblOrdenes[[#This Row],[centro_costo]],tblCECO[codigo],tblCECO[linea],"(sin catálogo)"))</f>
        <v/>
      </c>
      <c r="V1173" s="3">
        <f>IF(tblOrdenes[[#This Row],[centro_costo]]="","",_xlfn.XLOOKUP(tblOrdenes[[#This Row],[centro_costo]],tblCECO[codigo],tblCECO[area],"(sin catálogo)"))</f>
        <v/>
      </c>
      <c r="W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3">
        <f>IF(tblOrdenes[[#This Row],[centro_costo]]="","",_xlfn.XLOOKUP(tblOrdenes[[#This Row],[centro_costo]],tblCECO[codigo],tblCECO[coordinador],"(sin catálogo)"))</f>
        <v/>
      </c>
      <c r="Y1173" s="3">
        <f>IF(tblOrdenes[[#This Row],[puesto_trabajo]]="","",_xlfn.XLOOKUP(tblOrdenes[[#This Row],[puesto_trabajo]],tblPuestos[codigo],tblPuestos[especialidad],"(sin catálogo)"))</f>
        <v/>
      </c>
      <c r="Z1173" s="3">
        <f>IF(tblOrdenes[[#This Row],[cod_actividad]]="","",_xlfn.XLOOKUP(tblOrdenes[[#This Row],[cod_actividad]],tblActividades[codigo],tblActividades[descripcion],"(sin catálogo)"))</f>
        <v/>
      </c>
      <c r="AA1173" s="12">
        <f>IF(tblOrdenes[[#This Row],[fecha_inicio]]="","",TODAY()-tblOrdenes[[#This Row],[fecha_inicio]])</f>
        <v/>
      </c>
      <c r="AB117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3">
        <f>IF(tblOrdenes[[#This Row],[backlog_habiles]]="","",IF(tblOrdenes[[#This Row],[backlog_habiles]]&lt;0,"FUTURO",IF(tblOrdenes[[#This Row],[backlog_habiles]]&gt;p_dias_backlog_max,"BACKLOG","MES CORRIENTE")))</f>
        <v/>
      </c>
      <c r="AD1173" s="3">
        <f>IF(tblOrdenes[[#This Row],[backlog_habiles]]="",FALSE,AND(tblOrdenes[[#This Row],[backlog_habiles]]&gt;p_dias_backlog_min,tblOrdenes[[#This Row],[backlog_habiles]]&lt;=p_dias_backlog_max))</f>
        <v/>
      </c>
      <c r="AE1173" s="6" t="n"/>
      <c r="AF1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0">
        <f>IF(tblOrdenes[[#This Row],[orden]]="","",_xlfn.XLOOKUP(tblOrdenes[[#This Row],[id_operacion]],tblEjecucion[id_operacion],tblEjecucion[precio],0))</f>
        <v/>
      </c>
      <c r="AJ1173" s="10">
        <f>IF(tblOrdenes[[#This Row],[orden]]="","",MAX(0,_xlfn.XLOOKUP(tblOrdenes[[#This Row],[id_operacion]],tblEjecucion[id_operacion],tblEjecucion[costo_plan_total],0)-tblOrdenes[[#This Row],[costo_servicio]]))</f>
        <v/>
      </c>
      <c r="AK1173" s="10">
        <f>IF(tblOrdenes[[#This Row],[orden]]="","",tblOrdenes[[#This Row],[costo_servicio]]+tblOrdenes[[#This Row],[costo_materiales]])</f>
        <v/>
      </c>
      <c r="AL1173" s="6" t="n"/>
      <c r="AM1173" s="6" t="n"/>
      <c r="AN1173" s="6" t="n"/>
      <c r="AO1173" s="3">
        <f>IF(tblOrdenes[[#This Row],[link_checklist]]="","",HYPERLINK(p_ruta_base_checklists&amp;tblOrdenes[[#This Row],[link_checklist]],"abrir"))</f>
        <v/>
      </c>
      <c r="AP1173" s="6" t="n"/>
      <c r="AQ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3">
        <f>IF(tblOrdenes[[#This Row],[tipo_ot]]="","",_xlfn.XLOOKUP(tblOrdenes[[#This Row],[tipo_ot]],tblTiposOT[codigo],tblTiposOT[clasificacion],"sin_clasificar"))</f>
        <v/>
      </c>
      <c r="U1174" s="3">
        <f>IF(tblOrdenes[[#This Row],[centro_costo]]="","",_xlfn.XLOOKUP(tblOrdenes[[#This Row],[centro_costo]],tblCECO[codigo],tblCECO[linea],"(sin catálogo)"))</f>
        <v/>
      </c>
      <c r="V1174" s="3">
        <f>IF(tblOrdenes[[#This Row],[centro_costo]]="","",_xlfn.XLOOKUP(tblOrdenes[[#This Row],[centro_costo]],tblCECO[codigo],tblCECO[area],"(sin catálogo)"))</f>
        <v/>
      </c>
      <c r="W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3">
        <f>IF(tblOrdenes[[#This Row],[centro_costo]]="","",_xlfn.XLOOKUP(tblOrdenes[[#This Row],[centro_costo]],tblCECO[codigo],tblCECO[coordinador],"(sin catálogo)"))</f>
        <v/>
      </c>
      <c r="Y1174" s="3">
        <f>IF(tblOrdenes[[#This Row],[puesto_trabajo]]="","",_xlfn.XLOOKUP(tblOrdenes[[#This Row],[puesto_trabajo]],tblPuestos[codigo],tblPuestos[especialidad],"(sin catálogo)"))</f>
        <v/>
      </c>
      <c r="Z1174" s="3">
        <f>IF(tblOrdenes[[#This Row],[cod_actividad]]="","",_xlfn.XLOOKUP(tblOrdenes[[#This Row],[cod_actividad]],tblActividades[codigo],tblActividades[descripcion],"(sin catálogo)"))</f>
        <v/>
      </c>
      <c r="AA1174" s="12">
        <f>IF(tblOrdenes[[#This Row],[fecha_inicio]]="","",TODAY()-tblOrdenes[[#This Row],[fecha_inicio]])</f>
        <v/>
      </c>
      <c r="AB117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3">
        <f>IF(tblOrdenes[[#This Row],[backlog_habiles]]="","",IF(tblOrdenes[[#This Row],[backlog_habiles]]&lt;0,"FUTURO",IF(tblOrdenes[[#This Row],[backlog_habiles]]&gt;p_dias_backlog_max,"BACKLOG","MES CORRIENTE")))</f>
        <v/>
      </c>
      <c r="AD1174" s="3">
        <f>IF(tblOrdenes[[#This Row],[backlog_habiles]]="",FALSE,AND(tblOrdenes[[#This Row],[backlog_habiles]]&gt;p_dias_backlog_min,tblOrdenes[[#This Row],[backlog_habiles]]&lt;=p_dias_backlog_max))</f>
        <v/>
      </c>
      <c r="AE1174" s="6" t="n"/>
      <c r="AF1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0">
        <f>IF(tblOrdenes[[#This Row],[orden]]="","",_xlfn.XLOOKUP(tblOrdenes[[#This Row],[id_operacion]],tblEjecucion[id_operacion],tblEjecucion[precio],0))</f>
        <v/>
      </c>
      <c r="AJ1174" s="10">
        <f>IF(tblOrdenes[[#This Row],[orden]]="","",MAX(0,_xlfn.XLOOKUP(tblOrdenes[[#This Row],[id_operacion]],tblEjecucion[id_operacion],tblEjecucion[costo_plan_total],0)-tblOrdenes[[#This Row],[costo_servicio]]))</f>
        <v/>
      </c>
      <c r="AK1174" s="10">
        <f>IF(tblOrdenes[[#This Row],[orden]]="","",tblOrdenes[[#This Row],[costo_servicio]]+tblOrdenes[[#This Row],[costo_materiales]])</f>
        <v/>
      </c>
      <c r="AL1174" s="6" t="n"/>
      <c r="AM1174" s="6" t="n"/>
      <c r="AN1174" s="6" t="n"/>
      <c r="AO1174" s="3">
        <f>IF(tblOrdenes[[#This Row],[link_checklist]]="","",HYPERLINK(p_ruta_base_checklists&amp;tblOrdenes[[#This Row],[link_checklist]],"abrir"))</f>
        <v/>
      </c>
      <c r="AP1174" s="6" t="n"/>
      <c r="AQ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3">
        <f>IF(tblOrdenes[[#This Row],[tipo_ot]]="","",_xlfn.XLOOKUP(tblOrdenes[[#This Row],[tipo_ot]],tblTiposOT[codigo],tblTiposOT[clasificacion],"sin_clasificar"))</f>
        <v/>
      </c>
      <c r="U1175" s="3">
        <f>IF(tblOrdenes[[#This Row],[centro_costo]]="","",_xlfn.XLOOKUP(tblOrdenes[[#This Row],[centro_costo]],tblCECO[codigo],tblCECO[linea],"(sin catálogo)"))</f>
        <v/>
      </c>
      <c r="V1175" s="3">
        <f>IF(tblOrdenes[[#This Row],[centro_costo]]="","",_xlfn.XLOOKUP(tblOrdenes[[#This Row],[centro_costo]],tblCECO[codigo],tblCECO[area],"(sin catálogo)"))</f>
        <v/>
      </c>
      <c r="W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3">
        <f>IF(tblOrdenes[[#This Row],[centro_costo]]="","",_xlfn.XLOOKUP(tblOrdenes[[#This Row],[centro_costo]],tblCECO[codigo],tblCECO[coordinador],"(sin catálogo)"))</f>
        <v/>
      </c>
      <c r="Y1175" s="3">
        <f>IF(tblOrdenes[[#This Row],[puesto_trabajo]]="","",_xlfn.XLOOKUP(tblOrdenes[[#This Row],[puesto_trabajo]],tblPuestos[codigo],tblPuestos[especialidad],"(sin catálogo)"))</f>
        <v/>
      </c>
      <c r="Z1175" s="3">
        <f>IF(tblOrdenes[[#This Row],[cod_actividad]]="","",_xlfn.XLOOKUP(tblOrdenes[[#This Row],[cod_actividad]],tblActividades[codigo],tblActividades[descripcion],"(sin catálogo)"))</f>
        <v/>
      </c>
      <c r="AA1175" s="12">
        <f>IF(tblOrdenes[[#This Row],[fecha_inicio]]="","",TODAY()-tblOrdenes[[#This Row],[fecha_inicio]])</f>
        <v/>
      </c>
      <c r="AB117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3">
        <f>IF(tblOrdenes[[#This Row],[backlog_habiles]]="","",IF(tblOrdenes[[#This Row],[backlog_habiles]]&lt;0,"FUTURO",IF(tblOrdenes[[#This Row],[backlog_habiles]]&gt;p_dias_backlog_max,"BACKLOG","MES CORRIENTE")))</f>
        <v/>
      </c>
      <c r="AD1175" s="3">
        <f>IF(tblOrdenes[[#This Row],[backlog_habiles]]="",FALSE,AND(tblOrdenes[[#This Row],[backlog_habiles]]&gt;p_dias_backlog_min,tblOrdenes[[#This Row],[backlog_habiles]]&lt;=p_dias_backlog_max))</f>
        <v/>
      </c>
      <c r="AE1175" s="6" t="n"/>
      <c r="AF1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0">
        <f>IF(tblOrdenes[[#This Row],[orden]]="","",_xlfn.XLOOKUP(tblOrdenes[[#This Row],[id_operacion]],tblEjecucion[id_operacion],tblEjecucion[precio],0))</f>
        <v/>
      </c>
      <c r="AJ1175" s="10">
        <f>IF(tblOrdenes[[#This Row],[orden]]="","",MAX(0,_xlfn.XLOOKUP(tblOrdenes[[#This Row],[id_operacion]],tblEjecucion[id_operacion],tblEjecucion[costo_plan_total],0)-tblOrdenes[[#This Row],[costo_servicio]]))</f>
        <v/>
      </c>
      <c r="AK1175" s="10">
        <f>IF(tblOrdenes[[#This Row],[orden]]="","",tblOrdenes[[#This Row],[costo_servicio]]+tblOrdenes[[#This Row],[costo_materiales]])</f>
        <v/>
      </c>
      <c r="AL1175" s="6" t="n"/>
      <c r="AM1175" s="6" t="n"/>
      <c r="AN1175" s="6" t="n"/>
      <c r="AO1175" s="3">
        <f>IF(tblOrdenes[[#This Row],[link_checklist]]="","",HYPERLINK(p_ruta_base_checklists&amp;tblOrdenes[[#This Row],[link_checklist]],"abrir"))</f>
        <v/>
      </c>
      <c r="AP1175" s="6" t="n"/>
      <c r="AQ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3">
        <f>IF(tblOrdenes[[#This Row],[tipo_ot]]="","",_xlfn.XLOOKUP(tblOrdenes[[#This Row],[tipo_ot]],tblTiposOT[codigo],tblTiposOT[clasificacion],"sin_clasificar"))</f>
        <v/>
      </c>
      <c r="U1176" s="3">
        <f>IF(tblOrdenes[[#This Row],[centro_costo]]="","",_xlfn.XLOOKUP(tblOrdenes[[#This Row],[centro_costo]],tblCECO[codigo],tblCECO[linea],"(sin catálogo)"))</f>
        <v/>
      </c>
      <c r="V1176" s="3">
        <f>IF(tblOrdenes[[#This Row],[centro_costo]]="","",_xlfn.XLOOKUP(tblOrdenes[[#This Row],[centro_costo]],tblCECO[codigo],tblCECO[area],"(sin catálogo)"))</f>
        <v/>
      </c>
      <c r="W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3">
        <f>IF(tblOrdenes[[#This Row],[centro_costo]]="","",_xlfn.XLOOKUP(tblOrdenes[[#This Row],[centro_costo]],tblCECO[codigo],tblCECO[coordinador],"(sin catálogo)"))</f>
        <v/>
      </c>
      <c r="Y1176" s="3">
        <f>IF(tblOrdenes[[#This Row],[puesto_trabajo]]="","",_xlfn.XLOOKUP(tblOrdenes[[#This Row],[puesto_trabajo]],tblPuestos[codigo],tblPuestos[especialidad],"(sin catálogo)"))</f>
        <v/>
      </c>
      <c r="Z1176" s="3">
        <f>IF(tblOrdenes[[#This Row],[cod_actividad]]="","",_xlfn.XLOOKUP(tblOrdenes[[#This Row],[cod_actividad]],tblActividades[codigo],tblActividades[descripcion],"(sin catálogo)"))</f>
        <v/>
      </c>
      <c r="AA1176" s="12">
        <f>IF(tblOrdenes[[#This Row],[fecha_inicio]]="","",TODAY()-tblOrdenes[[#This Row],[fecha_inicio]])</f>
        <v/>
      </c>
      <c r="AB117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3">
        <f>IF(tblOrdenes[[#This Row],[backlog_habiles]]="","",IF(tblOrdenes[[#This Row],[backlog_habiles]]&lt;0,"FUTURO",IF(tblOrdenes[[#This Row],[backlog_habiles]]&gt;p_dias_backlog_max,"BACKLOG","MES CORRIENTE")))</f>
        <v/>
      </c>
      <c r="AD1176" s="3">
        <f>IF(tblOrdenes[[#This Row],[backlog_habiles]]="",FALSE,AND(tblOrdenes[[#This Row],[backlog_habiles]]&gt;p_dias_backlog_min,tblOrdenes[[#This Row],[backlog_habiles]]&lt;=p_dias_backlog_max))</f>
        <v/>
      </c>
      <c r="AE1176" s="6" t="n"/>
      <c r="AF1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0">
        <f>IF(tblOrdenes[[#This Row],[orden]]="","",_xlfn.XLOOKUP(tblOrdenes[[#This Row],[id_operacion]],tblEjecucion[id_operacion],tblEjecucion[precio],0))</f>
        <v/>
      </c>
      <c r="AJ1176" s="10">
        <f>IF(tblOrdenes[[#This Row],[orden]]="","",MAX(0,_xlfn.XLOOKUP(tblOrdenes[[#This Row],[id_operacion]],tblEjecucion[id_operacion],tblEjecucion[costo_plan_total],0)-tblOrdenes[[#This Row],[costo_servicio]]))</f>
        <v/>
      </c>
      <c r="AK1176" s="10">
        <f>IF(tblOrdenes[[#This Row],[orden]]="","",tblOrdenes[[#This Row],[costo_servicio]]+tblOrdenes[[#This Row],[costo_materiales]])</f>
        <v/>
      </c>
      <c r="AL1176" s="6" t="n"/>
      <c r="AM1176" s="6" t="n"/>
      <c r="AN1176" s="6" t="n"/>
      <c r="AO1176" s="3">
        <f>IF(tblOrdenes[[#This Row],[link_checklist]]="","",HYPERLINK(p_ruta_base_checklists&amp;tblOrdenes[[#This Row],[link_checklist]],"abrir"))</f>
        <v/>
      </c>
      <c r="AP1176" s="6" t="n"/>
      <c r="AQ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3">
        <f>IF(tblOrdenes[[#This Row],[tipo_ot]]="","",_xlfn.XLOOKUP(tblOrdenes[[#This Row],[tipo_ot]],tblTiposOT[codigo],tblTiposOT[clasificacion],"sin_clasificar"))</f>
        <v/>
      </c>
      <c r="U1177" s="3">
        <f>IF(tblOrdenes[[#This Row],[centro_costo]]="","",_xlfn.XLOOKUP(tblOrdenes[[#This Row],[centro_costo]],tblCECO[codigo],tblCECO[linea],"(sin catálogo)"))</f>
        <v/>
      </c>
      <c r="V1177" s="3">
        <f>IF(tblOrdenes[[#This Row],[centro_costo]]="","",_xlfn.XLOOKUP(tblOrdenes[[#This Row],[centro_costo]],tblCECO[codigo],tblCECO[area],"(sin catálogo)"))</f>
        <v/>
      </c>
      <c r="W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3">
        <f>IF(tblOrdenes[[#This Row],[centro_costo]]="","",_xlfn.XLOOKUP(tblOrdenes[[#This Row],[centro_costo]],tblCECO[codigo],tblCECO[coordinador],"(sin catálogo)"))</f>
        <v/>
      </c>
      <c r="Y1177" s="3">
        <f>IF(tblOrdenes[[#This Row],[puesto_trabajo]]="","",_xlfn.XLOOKUP(tblOrdenes[[#This Row],[puesto_trabajo]],tblPuestos[codigo],tblPuestos[especialidad],"(sin catálogo)"))</f>
        <v/>
      </c>
      <c r="Z1177" s="3">
        <f>IF(tblOrdenes[[#This Row],[cod_actividad]]="","",_xlfn.XLOOKUP(tblOrdenes[[#This Row],[cod_actividad]],tblActividades[codigo],tblActividades[descripcion],"(sin catálogo)"))</f>
        <v/>
      </c>
      <c r="AA1177" s="12">
        <f>IF(tblOrdenes[[#This Row],[fecha_inicio]]="","",TODAY()-tblOrdenes[[#This Row],[fecha_inicio]])</f>
        <v/>
      </c>
      <c r="AB117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3">
        <f>IF(tblOrdenes[[#This Row],[backlog_habiles]]="","",IF(tblOrdenes[[#This Row],[backlog_habiles]]&lt;0,"FUTURO",IF(tblOrdenes[[#This Row],[backlog_habiles]]&gt;p_dias_backlog_max,"BACKLOG","MES CORRIENTE")))</f>
        <v/>
      </c>
      <c r="AD1177" s="3">
        <f>IF(tblOrdenes[[#This Row],[backlog_habiles]]="",FALSE,AND(tblOrdenes[[#This Row],[backlog_habiles]]&gt;p_dias_backlog_min,tblOrdenes[[#This Row],[backlog_habiles]]&lt;=p_dias_backlog_max))</f>
        <v/>
      </c>
      <c r="AE1177" s="6" t="n"/>
      <c r="AF1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0">
        <f>IF(tblOrdenes[[#This Row],[orden]]="","",_xlfn.XLOOKUP(tblOrdenes[[#This Row],[id_operacion]],tblEjecucion[id_operacion],tblEjecucion[precio],0))</f>
        <v/>
      </c>
      <c r="AJ1177" s="10">
        <f>IF(tblOrdenes[[#This Row],[orden]]="","",MAX(0,_xlfn.XLOOKUP(tblOrdenes[[#This Row],[id_operacion]],tblEjecucion[id_operacion],tblEjecucion[costo_plan_total],0)-tblOrdenes[[#This Row],[costo_servicio]]))</f>
        <v/>
      </c>
      <c r="AK1177" s="10">
        <f>IF(tblOrdenes[[#This Row],[orden]]="","",tblOrdenes[[#This Row],[costo_servicio]]+tblOrdenes[[#This Row],[costo_materiales]])</f>
        <v/>
      </c>
      <c r="AL1177" s="6" t="n"/>
      <c r="AM1177" s="6" t="n"/>
      <c r="AN1177" s="6" t="n"/>
      <c r="AO1177" s="3">
        <f>IF(tblOrdenes[[#This Row],[link_checklist]]="","",HYPERLINK(p_ruta_base_checklists&amp;tblOrdenes[[#This Row],[link_checklist]],"abrir"))</f>
        <v/>
      </c>
      <c r="AP1177" s="6" t="n"/>
      <c r="AQ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3">
        <f>IF(tblOrdenes[[#This Row],[tipo_ot]]="","",_xlfn.XLOOKUP(tblOrdenes[[#This Row],[tipo_ot]],tblTiposOT[codigo],tblTiposOT[clasificacion],"sin_clasificar"))</f>
        <v/>
      </c>
      <c r="U1178" s="3">
        <f>IF(tblOrdenes[[#This Row],[centro_costo]]="","",_xlfn.XLOOKUP(tblOrdenes[[#This Row],[centro_costo]],tblCECO[codigo],tblCECO[linea],"(sin catálogo)"))</f>
        <v/>
      </c>
      <c r="V1178" s="3">
        <f>IF(tblOrdenes[[#This Row],[centro_costo]]="","",_xlfn.XLOOKUP(tblOrdenes[[#This Row],[centro_costo]],tblCECO[codigo],tblCECO[area],"(sin catálogo)"))</f>
        <v/>
      </c>
      <c r="W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3">
        <f>IF(tblOrdenes[[#This Row],[centro_costo]]="","",_xlfn.XLOOKUP(tblOrdenes[[#This Row],[centro_costo]],tblCECO[codigo],tblCECO[coordinador],"(sin catálogo)"))</f>
        <v/>
      </c>
      <c r="Y1178" s="3">
        <f>IF(tblOrdenes[[#This Row],[puesto_trabajo]]="","",_xlfn.XLOOKUP(tblOrdenes[[#This Row],[puesto_trabajo]],tblPuestos[codigo],tblPuestos[especialidad],"(sin catálogo)"))</f>
        <v/>
      </c>
      <c r="Z1178" s="3">
        <f>IF(tblOrdenes[[#This Row],[cod_actividad]]="","",_xlfn.XLOOKUP(tblOrdenes[[#This Row],[cod_actividad]],tblActividades[codigo],tblActividades[descripcion],"(sin catálogo)"))</f>
        <v/>
      </c>
      <c r="AA1178" s="12">
        <f>IF(tblOrdenes[[#This Row],[fecha_inicio]]="","",TODAY()-tblOrdenes[[#This Row],[fecha_inicio]])</f>
        <v/>
      </c>
      <c r="AB117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3">
        <f>IF(tblOrdenes[[#This Row],[backlog_habiles]]="","",IF(tblOrdenes[[#This Row],[backlog_habiles]]&lt;0,"FUTURO",IF(tblOrdenes[[#This Row],[backlog_habiles]]&gt;p_dias_backlog_max,"BACKLOG","MES CORRIENTE")))</f>
        <v/>
      </c>
      <c r="AD1178" s="3">
        <f>IF(tblOrdenes[[#This Row],[backlog_habiles]]="",FALSE,AND(tblOrdenes[[#This Row],[backlog_habiles]]&gt;p_dias_backlog_min,tblOrdenes[[#This Row],[backlog_habiles]]&lt;=p_dias_backlog_max))</f>
        <v/>
      </c>
      <c r="AE1178" s="6" t="n"/>
      <c r="AF1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0">
        <f>IF(tblOrdenes[[#This Row],[orden]]="","",_xlfn.XLOOKUP(tblOrdenes[[#This Row],[id_operacion]],tblEjecucion[id_operacion],tblEjecucion[precio],0))</f>
        <v/>
      </c>
      <c r="AJ1178" s="10">
        <f>IF(tblOrdenes[[#This Row],[orden]]="","",MAX(0,_xlfn.XLOOKUP(tblOrdenes[[#This Row],[id_operacion]],tblEjecucion[id_operacion],tblEjecucion[costo_plan_total],0)-tblOrdenes[[#This Row],[costo_servicio]]))</f>
        <v/>
      </c>
      <c r="AK1178" s="10">
        <f>IF(tblOrdenes[[#This Row],[orden]]="","",tblOrdenes[[#This Row],[costo_servicio]]+tblOrdenes[[#This Row],[costo_materiales]])</f>
        <v/>
      </c>
      <c r="AL1178" s="6" t="n"/>
      <c r="AM1178" s="6" t="n"/>
      <c r="AN1178" s="6" t="n"/>
      <c r="AO1178" s="3">
        <f>IF(tblOrdenes[[#This Row],[link_checklist]]="","",HYPERLINK(p_ruta_base_checklists&amp;tblOrdenes[[#This Row],[link_checklist]],"abrir"))</f>
        <v/>
      </c>
      <c r="AP1178" s="6" t="n"/>
      <c r="AQ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3">
        <f>IF(tblOrdenes[[#This Row],[tipo_ot]]="","",_xlfn.XLOOKUP(tblOrdenes[[#This Row],[tipo_ot]],tblTiposOT[codigo],tblTiposOT[clasificacion],"sin_clasificar"))</f>
        <v/>
      </c>
      <c r="U1179" s="3">
        <f>IF(tblOrdenes[[#This Row],[centro_costo]]="","",_xlfn.XLOOKUP(tblOrdenes[[#This Row],[centro_costo]],tblCECO[codigo],tblCECO[linea],"(sin catálogo)"))</f>
        <v/>
      </c>
      <c r="V1179" s="3">
        <f>IF(tblOrdenes[[#This Row],[centro_costo]]="","",_xlfn.XLOOKUP(tblOrdenes[[#This Row],[centro_costo]],tblCECO[codigo],tblCECO[area],"(sin catálogo)"))</f>
        <v/>
      </c>
      <c r="W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3">
        <f>IF(tblOrdenes[[#This Row],[centro_costo]]="","",_xlfn.XLOOKUP(tblOrdenes[[#This Row],[centro_costo]],tblCECO[codigo],tblCECO[coordinador],"(sin catálogo)"))</f>
        <v/>
      </c>
      <c r="Y1179" s="3">
        <f>IF(tblOrdenes[[#This Row],[puesto_trabajo]]="","",_xlfn.XLOOKUP(tblOrdenes[[#This Row],[puesto_trabajo]],tblPuestos[codigo],tblPuestos[especialidad],"(sin catálogo)"))</f>
        <v/>
      </c>
      <c r="Z1179" s="3">
        <f>IF(tblOrdenes[[#This Row],[cod_actividad]]="","",_xlfn.XLOOKUP(tblOrdenes[[#This Row],[cod_actividad]],tblActividades[codigo],tblActividades[descripcion],"(sin catálogo)"))</f>
        <v/>
      </c>
      <c r="AA1179" s="12">
        <f>IF(tblOrdenes[[#This Row],[fecha_inicio]]="","",TODAY()-tblOrdenes[[#This Row],[fecha_inicio]])</f>
        <v/>
      </c>
      <c r="AB117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3">
        <f>IF(tblOrdenes[[#This Row],[backlog_habiles]]="","",IF(tblOrdenes[[#This Row],[backlog_habiles]]&lt;0,"FUTURO",IF(tblOrdenes[[#This Row],[backlog_habiles]]&gt;p_dias_backlog_max,"BACKLOG","MES CORRIENTE")))</f>
        <v/>
      </c>
      <c r="AD1179" s="3">
        <f>IF(tblOrdenes[[#This Row],[backlog_habiles]]="",FALSE,AND(tblOrdenes[[#This Row],[backlog_habiles]]&gt;p_dias_backlog_min,tblOrdenes[[#This Row],[backlog_habiles]]&lt;=p_dias_backlog_max))</f>
        <v/>
      </c>
      <c r="AE1179" s="6" t="n"/>
      <c r="AF1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0">
        <f>IF(tblOrdenes[[#This Row],[orden]]="","",_xlfn.XLOOKUP(tblOrdenes[[#This Row],[id_operacion]],tblEjecucion[id_operacion],tblEjecucion[precio],0))</f>
        <v/>
      </c>
      <c r="AJ1179" s="10">
        <f>IF(tblOrdenes[[#This Row],[orden]]="","",MAX(0,_xlfn.XLOOKUP(tblOrdenes[[#This Row],[id_operacion]],tblEjecucion[id_operacion],tblEjecucion[costo_plan_total],0)-tblOrdenes[[#This Row],[costo_servicio]]))</f>
        <v/>
      </c>
      <c r="AK1179" s="10">
        <f>IF(tblOrdenes[[#This Row],[orden]]="","",tblOrdenes[[#This Row],[costo_servicio]]+tblOrdenes[[#This Row],[costo_materiales]])</f>
        <v/>
      </c>
      <c r="AL1179" s="6" t="n"/>
      <c r="AM1179" s="6" t="n"/>
      <c r="AN1179" s="6" t="n"/>
      <c r="AO1179" s="3">
        <f>IF(tblOrdenes[[#This Row],[link_checklist]]="","",HYPERLINK(p_ruta_base_checklists&amp;tblOrdenes[[#This Row],[link_checklist]],"abrir"))</f>
        <v/>
      </c>
      <c r="AP1179" s="6" t="n"/>
      <c r="AQ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3">
        <f>IF(tblOrdenes[[#This Row],[tipo_ot]]="","",_xlfn.XLOOKUP(tblOrdenes[[#This Row],[tipo_ot]],tblTiposOT[codigo],tblTiposOT[clasificacion],"sin_clasificar"))</f>
        <v/>
      </c>
      <c r="U1180" s="3">
        <f>IF(tblOrdenes[[#This Row],[centro_costo]]="","",_xlfn.XLOOKUP(tblOrdenes[[#This Row],[centro_costo]],tblCECO[codigo],tblCECO[linea],"(sin catálogo)"))</f>
        <v/>
      </c>
      <c r="V1180" s="3">
        <f>IF(tblOrdenes[[#This Row],[centro_costo]]="","",_xlfn.XLOOKUP(tblOrdenes[[#This Row],[centro_costo]],tblCECO[codigo],tblCECO[area],"(sin catálogo)"))</f>
        <v/>
      </c>
      <c r="W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3">
        <f>IF(tblOrdenes[[#This Row],[centro_costo]]="","",_xlfn.XLOOKUP(tblOrdenes[[#This Row],[centro_costo]],tblCECO[codigo],tblCECO[coordinador],"(sin catálogo)"))</f>
        <v/>
      </c>
      <c r="Y1180" s="3">
        <f>IF(tblOrdenes[[#This Row],[puesto_trabajo]]="","",_xlfn.XLOOKUP(tblOrdenes[[#This Row],[puesto_trabajo]],tblPuestos[codigo],tblPuestos[especialidad],"(sin catálogo)"))</f>
        <v/>
      </c>
      <c r="Z1180" s="3">
        <f>IF(tblOrdenes[[#This Row],[cod_actividad]]="","",_xlfn.XLOOKUP(tblOrdenes[[#This Row],[cod_actividad]],tblActividades[codigo],tblActividades[descripcion],"(sin catálogo)"))</f>
        <v/>
      </c>
      <c r="AA1180" s="12">
        <f>IF(tblOrdenes[[#This Row],[fecha_inicio]]="","",TODAY()-tblOrdenes[[#This Row],[fecha_inicio]])</f>
        <v/>
      </c>
      <c r="AB118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3">
        <f>IF(tblOrdenes[[#This Row],[backlog_habiles]]="","",IF(tblOrdenes[[#This Row],[backlog_habiles]]&lt;0,"FUTURO",IF(tblOrdenes[[#This Row],[backlog_habiles]]&gt;p_dias_backlog_max,"BACKLOG","MES CORRIENTE")))</f>
        <v/>
      </c>
      <c r="AD1180" s="3">
        <f>IF(tblOrdenes[[#This Row],[backlog_habiles]]="",FALSE,AND(tblOrdenes[[#This Row],[backlog_habiles]]&gt;p_dias_backlog_min,tblOrdenes[[#This Row],[backlog_habiles]]&lt;=p_dias_backlog_max))</f>
        <v/>
      </c>
      <c r="AE1180" s="6" t="n"/>
      <c r="AF1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0">
        <f>IF(tblOrdenes[[#This Row],[orden]]="","",_xlfn.XLOOKUP(tblOrdenes[[#This Row],[id_operacion]],tblEjecucion[id_operacion],tblEjecucion[precio],0))</f>
        <v/>
      </c>
      <c r="AJ1180" s="10">
        <f>IF(tblOrdenes[[#This Row],[orden]]="","",MAX(0,_xlfn.XLOOKUP(tblOrdenes[[#This Row],[id_operacion]],tblEjecucion[id_operacion],tblEjecucion[costo_plan_total],0)-tblOrdenes[[#This Row],[costo_servicio]]))</f>
        <v/>
      </c>
      <c r="AK1180" s="10">
        <f>IF(tblOrdenes[[#This Row],[orden]]="","",tblOrdenes[[#This Row],[costo_servicio]]+tblOrdenes[[#This Row],[costo_materiales]])</f>
        <v/>
      </c>
      <c r="AL1180" s="6" t="n"/>
      <c r="AM1180" s="6" t="n"/>
      <c r="AN1180" s="6" t="n"/>
      <c r="AO1180" s="3">
        <f>IF(tblOrdenes[[#This Row],[link_checklist]]="","",HYPERLINK(p_ruta_base_checklists&amp;tblOrdenes[[#This Row],[link_checklist]],"abrir"))</f>
        <v/>
      </c>
      <c r="AP1180" s="6" t="n"/>
      <c r="AQ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3">
        <f>IF(tblOrdenes[[#This Row],[tipo_ot]]="","",_xlfn.XLOOKUP(tblOrdenes[[#This Row],[tipo_ot]],tblTiposOT[codigo],tblTiposOT[clasificacion],"sin_clasificar"))</f>
        <v/>
      </c>
      <c r="U1181" s="3">
        <f>IF(tblOrdenes[[#This Row],[centro_costo]]="","",_xlfn.XLOOKUP(tblOrdenes[[#This Row],[centro_costo]],tblCECO[codigo],tblCECO[linea],"(sin catálogo)"))</f>
        <v/>
      </c>
      <c r="V1181" s="3">
        <f>IF(tblOrdenes[[#This Row],[centro_costo]]="","",_xlfn.XLOOKUP(tblOrdenes[[#This Row],[centro_costo]],tblCECO[codigo],tblCECO[area],"(sin catálogo)"))</f>
        <v/>
      </c>
      <c r="W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3">
        <f>IF(tblOrdenes[[#This Row],[centro_costo]]="","",_xlfn.XLOOKUP(tblOrdenes[[#This Row],[centro_costo]],tblCECO[codigo],tblCECO[coordinador],"(sin catálogo)"))</f>
        <v/>
      </c>
      <c r="Y1181" s="3">
        <f>IF(tblOrdenes[[#This Row],[puesto_trabajo]]="","",_xlfn.XLOOKUP(tblOrdenes[[#This Row],[puesto_trabajo]],tblPuestos[codigo],tblPuestos[especialidad],"(sin catálogo)"))</f>
        <v/>
      </c>
      <c r="Z1181" s="3">
        <f>IF(tblOrdenes[[#This Row],[cod_actividad]]="","",_xlfn.XLOOKUP(tblOrdenes[[#This Row],[cod_actividad]],tblActividades[codigo],tblActividades[descripcion],"(sin catálogo)"))</f>
        <v/>
      </c>
      <c r="AA1181" s="12">
        <f>IF(tblOrdenes[[#This Row],[fecha_inicio]]="","",TODAY()-tblOrdenes[[#This Row],[fecha_inicio]])</f>
        <v/>
      </c>
      <c r="AB118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3">
        <f>IF(tblOrdenes[[#This Row],[backlog_habiles]]="","",IF(tblOrdenes[[#This Row],[backlog_habiles]]&lt;0,"FUTURO",IF(tblOrdenes[[#This Row],[backlog_habiles]]&gt;p_dias_backlog_max,"BACKLOG","MES CORRIENTE")))</f>
        <v/>
      </c>
      <c r="AD1181" s="3">
        <f>IF(tblOrdenes[[#This Row],[backlog_habiles]]="",FALSE,AND(tblOrdenes[[#This Row],[backlog_habiles]]&gt;p_dias_backlog_min,tblOrdenes[[#This Row],[backlog_habiles]]&lt;=p_dias_backlog_max))</f>
        <v/>
      </c>
      <c r="AE1181" s="6" t="n"/>
      <c r="AF1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0">
        <f>IF(tblOrdenes[[#This Row],[orden]]="","",_xlfn.XLOOKUP(tblOrdenes[[#This Row],[id_operacion]],tblEjecucion[id_operacion],tblEjecucion[precio],0))</f>
        <v/>
      </c>
      <c r="AJ1181" s="10">
        <f>IF(tblOrdenes[[#This Row],[orden]]="","",MAX(0,_xlfn.XLOOKUP(tblOrdenes[[#This Row],[id_operacion]],tblEjecucion[id_operacion],tblEjecucion[costo_plan_total],0)-tblOrdenes[[#This Row],[costo_servicio]]))</f>
        <v/>
      </c>
      <c r="AK1181" s="10">
        <f>IF(tblOrdenes[[#This Row],[orden]]="","",tblOrdenes[[#This Row],[costo_servicio]]+tblOrdenes[[#This Row],[costo_materiales]])</f>
        <v/>
      </c>
      <c r="AL1181" s="6" t="n"/>
      <c r="AM1181" s="6" t="n"/>
      <c r="AN1181" s="6" t="n"/>
      <c r="AO1181" s="3">
        <f>IF(tblOrdenes[[#This Row],[link_checklist]]="","",HYPERLINK(p_ruta_base_checklists&amp;tblOrdenes[[#This Row],[link_checklist]],"abrir"))</f>
        <v/>
      </c>
      <c r="AP1181" s="6" t="n"/>
      <c r="AQ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3">
        <f>IF(tblOrdenes[[#This Row],[tipo_ot]]="","",_xlfn.XLOOKUP(tblOrdenes[[#This Row],[tipo_ot]],tblTiposOT[codigo],tblTiposOT[clasificacion],"sin_clasificar"))</f>
        <v/>
      </c>
      <c r="U1182" s="3">
        <f>IF(tblOrdenes[[#This Row],[centro_costo]]="","",_xlfn.XLOOKUP(tblOrdenes[[#This Row],[centro_costo]],tblCECO[codigo],tblCECO[linea],"(sin catálogo)"))</f>
        <v/>
      </c>
      <c r="V1182" s="3">
        <f>IF(tblOrdenes[[#This Row],[centro_costo]]="","",_xlfn.XLOOKUP(tblOrdenes[[#This Row],[centro_costo]],tblCECO[codigo],tblCECO[area],"(sin catálogo)"))</f>
        <v/>
      </c>
      <c r="W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3">
        <f>IF(tblOrdenes[[#This Row],[centro_costo]]="","",_xlfn.XLOOKUP(tblOrdenes[[#This Row],[centro_costo]],tblCECO[codigo],tblCECO[coordinador],"(sin catálogo)"))</f>
        <v/>
      </c>
      <c r="Y1182" s="3">
        <f>IF(tblOrdenes[[#This Row],[puesto_trabajo]]="","",_xlfn.XLOOKUP(tblOrdenes[[#This Row],[puesto_trabajo]],tblPuestos[codigo],tblPuestos[especialidad],"(sin catálogo)"))</f>
        <v/>
      </c>
      <c r="Z1182" s="3">
        <f>IF(tblOrdenes[[#This Row],[cod_actividad]]="","",_xlfn.XLOOKUP(tblOrdenes[[#This Row],[cod_actividad]],tblActividades[codigo],tblActividades[descripcion],"(sin catálogo)"))</f>
        <v/>
      </c>
      <c r="AA1182" s="12">
        <f>IF(tblOrdenes[[#This Row],[fecha_inicio]]="","",TODAY()-tblOrdenes[[#This Row],[fecha_inicio]])</f>
        <v/>
      </c>
      <c r="AB118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3">
        <f>IF(tblOrdenes[[#This Row],[backlog_habiles]]="","",IF(tblOrdenes[[#This Row],[backlog_habiles]]&lt;0,"FUTURO",IF(tblOrdenes[[#This Row],[backlog_habiles]]&gt;p_dias_backlog_max,"BACKLOG","MES CORRIENTE")))</f>
        <v/>
      </c>
      <c r="AD1182" s="3">
        <f>IF(tblOrdenes[[#This Row],[backlog_habiles]]="",FALSE,AND(tblOrdenes[[#This Row],[backlog_habiles]]&gt;p_dias_backlog_min,tblOrdenes[[#This Row],[backlog_habiles]]&lt;=p_dias_backlog_max))</f>
        <v/>
      </c>
      <c r="AE1182" s="6" t="n"/>
      <c r="AF1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0">
        <f>IF(tblOrdenes[[#This Row],[orden]]="","",_xlfn.XLOOKUP(tblOrdenes[[#This Row],[id_operacion]],tblEjecucion[id_operacion],tblEjecucion[precio],0))</f>
        <v/>
      </c>
      <c r="AJ1182" s="10">
        <f>IF(tblOrdenes[[#This Row],[orden]]="","",MAX(0,_xlfn.XLOOKUP(tblOrdenes[[#This Row],[id_operacion]],tblEjecucion[id_operacion],tblEjecucion[costo_plan_total],0)-tblOrdenes[[#This Row],[costo_servicio]]))</f>
        <v/>
      </c>
      <c r="AK1182" s="10">
        <f>IF(tblOrdenes[[#This Row],[orden]]="","",tblOrdenes[[#This Row],[costo_servicio]]+tblOrdenes[[#This Row],[costo_materiales]])</f>
        <v/>
      </c>
      <c r="AL1182" s="6" t="n"/>
      <c r="AM1182" s="6" t="n"/>
      <c r="AN1182" s="6" t="n"/>
      <c r="AO1182" s="3">
        <f>IF(tblOrdenes[[#This Row],[link_checklist]]="","",HYPERLINK(p_ruta_base_checklists&amp;tblOrdenes[[#This Row],[link_checklist]],"abrir"))</f>
        <v/>
      </c>
      <c r="AP1182" s="6" t="n"/>
      <c r="AQ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3">
        <f>IF(tblOrdenes[[#This Row],[tipo_ot]]="","",_xlfn.XLOOKUP(tblOrdenes[[#This Row],[tipo_ot]],tblTiposOT[codigo],tblTiposOT[clasificacion],"sin_clasificar"))</f>
        <v/>
      </c>
      <c r="U1183" s="3">
        <f>IF(tblOrdenes[[#This Row],[centro_costo]]="","",_xlfn.XLOOKUP(tblOrdenes[[#This Row],[centro_costo]],tblCECO[codigo],tblCECO[linea],"(sin catálogo)"))</f>
        <v/>
      </c>
      <c r="V1183" s="3">
        <f>IF(tblOrdenes[[#This Row],[centro_costo]]="","",_xlfn.XLOOKUP(tblOrdenes[[#This Row],[centro_costo]],tblCECO[codigo],tblCECO[area],"(sin catálogo)"))</f>
        <v/>
      </c>
      <c r="W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3">
        <f>IF(tblOrdenes[[#This Row],[centro_costo]]="","",_xlfn.XLOOKUP(tblOrdenes[[#This Row],[centro_costo]],tblCECO[codigo],tblCECO[coordinador],"(sin catálogo)"))</f>
        <v/>
      </c>
      <c r="Y1183" s="3">
        <f>IF(tblOrdenes[[#This Row],[puesto_trabajo]]="","",_xlfn.XLOOKUP(tblOrdenes[[#This Row],[puesto_trabajo]],tblPuestos[codigo],tblPuestos[especialidad],"(sin catálogo)"))</f>
        <v/>
      </c>
      <c r="Z1183" s="3">
        <f>IF(tblOrdenes[[#This Row],[cod_actividad]]="","",_xlfn.XLOOKUP(tblOrdenes[[#This Row],[cod_actividad]],tblActividades[codigo],tblActividades[descripcion],"(sin catálogo)"))</f>
        <v/>
      </c>
      <c r="AA1183" s="12">
        <f>IF(tblOrdenes[[#This Row],[fecha_inicio]]="","",TODAY()-tblOrdenes[[#This Row],[fecha_inicio]])</f>
        <v/>
      </c>
      <c r="AB118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3">
        <f>IF(tblOrdenes[[#This Row],[backlog_habiles]]="","",IF(tblOrdenes[[#This Row],[backlog_habiles]]&lt;0,"FUTURO",IF(tblOrdenes[[#This Row],[backlog_habiles]]&gt;p_dias_backlog_max,"BACKLOG","MES CORRIENTE")))</f>
        <v/>
      </c>
      <c r="AD1183" s="3">
        <f>IF(tblOrdenes[[#This Row],[backlog_habiles]]="",FALSE,AND(tblOrdenes[[#This Row],[backlog_habiles]]&gt;p_dias_backlog_min,tblOrdenes[[#This Row],[backlog_habiles]]&lt;=p_dias_backlog_max))</f>
        <v/>
      </c>
      <c r="AE1183" s="6" t="n"/>
      <c r="AF1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0">
        <f>IF(tblOrdenes[[#This Row],[orden]]="","",_xlfn.XLOOKUP(tblOrdenes[[#This Row],[id_operacion]],tblEjecucion[id_operacion],tblEjecucion[precio],0))</f>
        <v/>
      </c>
      <c r="AJ1183" s="10">
        <f>IF(tblOrdenes[[#This Row],[orden]]="","",MAX(0,_xlfn.XLOOKUP(tblOrdenes[[#This Row],[id_operacion]],tblEjecucion[id_operacion],tblEjecucion[costo_plan_total],0)-tblOrdenes[[#This Row],[costo_servicio]]))</f>
        <v/>
      </c>
      <c r="AK1183" s="10">
        <f>IF(tblOrdenes[[#This Row],[orden]]="","",tblOrdenes[[#This Row],[costo_servicio]]+tblOrdenes[[#This Row],[costo_materiales]])</f>
        <v/>
      </c>
      <c r="AL1183" s="6" t="n"/>
      <c r="AM1183" s="6" t="n"/>
      <c r="AN1183" s="6" t="n"/>
      <c r="AO1183" s="3">
        <f>IF(tblOrdenes[[#This Row],[link_checklist]]="","",HYPERLINK(p_ruta_base_checklists&amp;tblOrdenes[[#This Row],[link_checklist]],"abrir"))</f>
        <v/>
      </c>
      <c r="AP1183" s="6" t="n"/>
      <c r="AQ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3">
        <f>IF(tblOrdenes[[#This Row],[tipo_ot]]="","",_xlfn.XLOOKUP(tblOrdenes[[#This Row],[tipo_ot]],tblTiposOT[codigo],tblTiposOT[clasificacion],"sin_clasificar"))</f>
        <v/>
      </c>
      <c r="U1184" s="3">
        <f>IF(tblOrdenes[[#This Row],[centro_costo]]="","",_xlfn.XLOOKUP(tblOrdenes[[#This Row],[centro_costo]],tblCECO[codigo],tblCECO[linea],"(sin catálogo)"))</f>
        <v/>
      </c>
      <c r="V1184" s="3">
        <f>IF(tblOrdenes[[#This Row],[centro_costo]]="","",_xlfn.XLOOKUP(tblOrdenes[[#This Row],[centro_costo]],tblCECO[codigo],tblCECO[area],"(sin catálogo)"))</f>
        <v/>
      </c>
      <c r="W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3">
        <f>IF(tblOrdenes[[#This Row],[centro_costo]]="","",_xlfn.XLOOKUP(tblOrdenes[[#This Row],[centro_costo]],tblCECO[codigo],tblCECO[coordinador],"(sin catálogo)"))</f>
        <v/>
      </c>
      <c r="Y1184" s="3">
        <f>IF(tblOrdenes[[#This Row],[puesto_trabajo]]="","",_xlfn.XLOOKUP(tblOrdenes[[#This Row],[puesto_trabajo]],tblPuestos[codigo],tblPuestos[especialidad],"(sin catálogo)"))</f>
        <v/>
      </c>
      <c r="Z1184" s="3">
        <f>IF(tblOrdenes[[#This Row],[cod_actividad]]="","",_xlfn.XLOOKUP(tblOrdenes[[#This Row],[cod_actividad]],tblActividades[codigo],tblActividades[descripcion],"(sin catálogo)"))</f>
        <v/>
      </c>
      <c r="AA1184" s="12">
        <f>IF(tblOrdenes[[#This Row],[fecha_inicio]]="","",TODAY()-tblOrdenes[[#This Row],[fecha_inicio]])</f>
        <v/>
      </c>
      <c r="AB118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3">
        <f>IF(tblOrdenes[[#This Row],[backlog_habiles]]="","",IF(tblOrdenes[[#This Row],[backlog_habiles]]&lt;0,"FUTURO",IF(tblOrdenes[[#This Row],[backlog_habiles]]&gt;p_dias_backlog_max,"BACKLOG","MES CORRIENTE")))</f>
        <v/>
      </c>
      <c r="AD1184" s="3">
        <f>IF(tblOrdenes[[#This Row],[backlog_habiles]]="",FALSE,AND(tblOrdenes[[#This Row],[backlog_habiles]]&gt;p_dias_backlog_min,tblOrdenes[[#This Row],[backlog_habiles]]&lt;=p_dias_backlog_max))</f>
        <v/>
      </c>
      <c r="AE1184" s="6" t="n"/>
      <c r="AF1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0">
        <f>IF(tblOrdenes[[#This Row],[orden]]="","",_xlfn.XLOOKUP(tblOrdenes[[#This Row],[id_operacion]],tblEjecucion[id_operacion],tblEjecucion[precio],0))</f>
        <v/>
      </c>
      <c r="AJ1184" s="10">
        <f>IF(tblOrdenes[[#This Row],[orden]]="","",MAX(0,_xlfn.XLOOKUP(tblOrdenes[[#This Row],[id_operacion]],tblEjecucion[id_operacion],tblEjecucion[costo_plan_total],0)-tblOrdenes[[#This Row],[costo_servicio]]))</f>
        <v/>
      </c>
      <c r="AK1184" s="10">
        <f>IF(tblOrdenes[[#This Row],[orden]]="","",tblOrdenes[[#This Row],[costo_servicio]]+tblOrdenes[[#This Row],[costo_materiales]])</f>
        <v/>
      </c>
      <c r="AL1184" s="6" t="n"/>
      <c r="AM1184" s="6" t="n"/>
      <c r="AN1184" s="6" t="n"/>
      <c r="AO1184" s="3">
        <f>IF(tblOrdenes[[#This Row],[link_checklist]]="","",HYPERLINK(p_ruta_base_checklists&amp;tblOrdenes[[#This Row],[link_checklist]],"abrir"))</f>
        <v/>
      </c>
      <c r="AP1184" s="6" t="n"/>
      <c r="AQ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3">
        <f>IF(tblOrdenes[[#This Row],[tipo_ot]]="","",_xlfn.XLOOKUP(tblOrdenes[[#This Row],[tipo_ot]],tblTiposOT[codigo],tblTiposOT[clasificacion],"sin_clasificar"))</f>
        <v/>
      </c>
      <c r="U1185" s="3">
        <f>IF(tblOrdenes[[#This Row],[centro_costo]]="","",_xlfn.XLOOKUP(tblOrdenes[[#This Row],[centro_costo]],tblCECO[codigo],tblCECO[linea],"(sin catálogo)"))</f>
        <v/>
      </c>
      <c r="V1185" s="3">
        <f>IF(tblOrdenes[[#This Row],[centro_costo]]="","",_xlfn.XLOOKUP(tblOrdenes[[#This Row],[centro_costo]],tblCECO[codigo],tblCECO[area],"(sin catálogo)"))</f>
        <v/>
      </c>
      <c r="W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3">
        <f>IF(tblOrdenes[[#This Row],[centro_costo]]="","",_xlfn.XLOOKUP(tblOrdenes[[#This Row],[centro_costo]],tblCECO[codigo],tblCECO[coordinador],"(sin catálogo)"))</f>
        <v/>
      </c>
      <c r="Y1185" s="3">
        <f>IF(tblOrdenes[[#This Row],[puesto_trabajo]]="","",_xlfn.XLOOKUP(tblOrdenes[[#This Row],[puesto_trabajo]],tblPuestos[codigo],tblPuestos[especialidad],"(sin catálogo)"))</f>
        <v/>
      </c>
      <c r="Z1185" s="3">
        <f>IF(tblOrdenes[[#This Row],[cod_actividad]]="","",_xlfn.XLOOKUP(tblOrdenes[[#This Row],[cod_actividad]],tblActividades[codigo],tblActividades[descripcion],"(sin catálogo)"))</f>
        <v/>
      </c>
      <c r="AA1185" s="12">
        <f>IF(tblOrdenes[[#This Row],[fecha_inicio]]="","",TODAY()-tblOrdenes[[#This Row],[fecha_inicio]])</f>
        <v/>
      </c>
      <c r="AB118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3">
        <f>IF(tblOrdenes[[#This Row],[backlog_habiles]]="","",IF(tblOrdenes[[#This Row],[backlog_habiles]]&lt;0,"FUTURO",IF(tblOrdenes[[#This Row],[backlog_habiles]]&gt;p_dias_backlog_max,"BACKLOG","MES CORRIENTE")))</f>
        <v/>
      </c>
      <c r="AD1185" s="3">
        <f>IF(tblOrdenes[[#This Row],[backlog_habiles]]="",FALSE,AND(tblOrdenes[[#This Row],[backlog_habiles]]&gt;p_dias_backlog_min,tblOrdenes[[#This Row],[backlog_habiles]]&lt;=p_dias_backlog_max))</f>
        <v/>
      </c>
      <c r="AE1185" s="6" t="n"/>
      <c r="AF1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0">
        <f>IF(tblOrdenes[[#This Row],[orden]]="","",_xlfn.XLOOKUP(tblOrdenes[[#This Row],[id_operacion]],tblEjecucion[id_operacion],tblEjecucion[precio],0))</f>
        <v/>
      </c>
      <c r="AJ1185" s="10">
        <f>IF(tblOrdenes[[#This Row],[orden]]="","",MAX(0,_xlfn.XLOOKUP(tblOrdenes[[#This Row],[id_operacion]],tblEjecucion[id_operacion],tblEjecucion[costo_plan_total],0)-tblOrdenes[[#This Row],[costo_servicio]]))</f>
        <v/>
      </c>
      <c r="AK1185" s="10">
        <f>IF(tblOrdenes[[#This Row],[orden]]="","",tblOrdenes[[#This Row],[costo_servicio]]+tblOrdenes[[#This Row],[costo_materiales]])</f>
        <v/>
      </c>
      <c r="AL1185" s="6" t="n"/>
      <c r="AM1185" s="6" t="n"/>
      <c r="AN1185" s="6" t="n"/>
      <c r="AO1185" s="3">
        <f>IF(tblOrdenes[[#This Row],[link_checklist]]="","",HYPERLINK(p_ruta_base_checklists&amp;tblOrdenes[[#This Row],[link_checklist]],"abrir"))</f>
        <v/>
      </c>
      <c r="AP1185" s="6" t="n"/>
      <c r="AQ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3">
        <f>IF(tblOrdenes[[#This Row],[tipo_ot]]="","",_xlfn.XLOOKUP(tblOrdenes[[#This Row],[tipo_ot]],tblTiposOT[codigo],tblTiposOT[clasificacion],"sin_clasificar"))</f>
        <v/>
      </c>
      <c r="U1186" s="3">
        <f>IF(tblOrdenes[[#This Row],[centro_costo]]="","",_xlfn.XLOOKUP(tblOrdenes[[#This Row],[centro_costo]],tblCECO[codigo],tblCECO[linea],"(sin catálogo)"))</f>
        <v/>
      </c>
      <c r="V1186" s="3">
        <f>IF(tblOrdenes[[#This Row],[centro_costo]]="","",_xlfn.XLOOKUP(tblOrdenes[[#This Row],[centro_costo]],tblCECO[codigo],tblCECO[area],"(sin catálogo)"))</f>
        <v/>
      </c>
      <c r="W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3">
        <f>IF(tblOrdenes[[#This Row],[centro_costo]]="","",_xlfn.XLOOKUP(tblOrdenes[[#This Row],[centro_costo]],tblCECO[codigo],tblCECO[coordinador],"(sin catálogo)"))</f>
        <v/>
      </c>
      <c r="Y1186" s="3">
        <f>IF(tblOrdenes[[#This Row],[puesto_trabajo]]="","",_xlfn.XLOOKUP(tblOrdenes[[#This Row],[puesto_trabajo]],tblPuestos[codigo],tblPuestos[especialidad],"(sin catálogo)"))</f>
        <v/>
      </c>
      <c r="Z1186" s="3">
        <f>IF(tblOrdenes[[#This Row],[cod_actividad]]="","",_xlfn.XLOOKUP(tblOrdenes[[#This Row],[cod_actividad]],tblActividades[codigo],tblActividades[descripcion],"(sin catálogo)"))</f>
        <v/>
      </c>
      <c r="AA1186" s="12">
        <f>IF(tblOrdenes[[#This Row],[fecha_inicio]]="","",TODAY()-tblOrdenes[[#This Row],[fecha_inicio]])</f>
        <v/>
      </c>
      <c r="AB118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3">
        <f>IF(tblOrdenes[[#This Row],[backlog_habiles]]="","",IF(tblOrdenes[[#This Row],[backlog_habiles]]&lt;0,"FUTURO",IF(tblOrdenes[[#This Row],[backlog_habiles]]&gt;p_dias_backlog_max,"BACKLOG","MES CORRIENTE")))</f>
        <v/>
      </c>
      <c r="AD1186" s="3">
        <f>IF(tblOrdenes[[#This Row],[backlog_habiles]]="",FALSE,AND(tblOrdenes[[#This Row],[backlog_habiles]]&gt;p_dias_backlog_min,tblOrdenes[[#This Row],[backlog_habiles]]&lt;=p_dias_backlog_max))</f>
        <v/>
      </c>
      <c r="AE1186" s="6" t="n"/>
      <c r="AF1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0">
        <f>IF(tblOrdenes[[#This Row],[orden]]="","",_xlfn.XLOOKUP(tblOrdenes[[#This Row],[id_operacion]],tblEjecucion[id_operacion],tblEjecucion[precio],0))</f>
        <v/>
      </c>
      <c r="AJ1186" s="10">
        <f>IF(tblOrdenes[[#This Row],[orden]]="","",MAX(0,_xlfn.XLOOKUP(tblOrdenes[[#This Row],[id_operacion]],tblEjecucion[id_operacion],tblEjecucion[costo_plan_total],0)-tblOrdenes[[#This Row],[costo_servicio]]))</f>
        <v/>
      </c>
      <c r="AK1186" s="10">
        <f>IF(tblOrdenes[[#This Row],[orden]]="","",tblOrdenes[[#This Row],[costo_servicio]]+tblOrdenes[[#This Row],[costo_materiales]])</f>
        <v/>
      </c>
      <c r="AL1186" s="6" t="n"/>
      <c r="AM1186" s="6" t="n"/>
      <c r="AN1186" s="6" t="n"/>
      <c r="AO1186" s="3">
        <f>IF(tblOrdenes[[#This Row],[link_checklist]]="","",HYPERLINK(p_ruta_base_checklists&amp;tblOrdenes[[#This Row],[link_checklist]],"abrir"))</f>
        <v/>
      </c>
      <c r="AP1186" s="6" t="n"/>
      <c r="AQ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3">
        <f>IF(tblOrdenes[[#This Row],[tipo_ot]]="","",_xlfn.XLOOKUP(tblOrdenes[[#This Row],[tipo_ot]],tblTiposOT[codigo],tblTiposOT[clasificacion],"sin_clasificar"))</f>
        <v/>
      </c>
      <c r="U1187" s="3">
        <f>IF(tblOrdenes[[#This Row],[centro_costo]]="","",_xlfn.XLOOKUP(tblOrdenes[[#This Row],[centro_costo]],tblCECO[codigo],tblCECO[linea],"(sin catálogo)"))</f>
        <v/>
      </c>
      <c r="V1187" s="3">
        <f>IF(tblOrdenes[[#This Row],[centro_costo]]="","",_xlfn.XLOOKUP(tblOrdenes[[#This Row],[centro_costo]],tblCECO[codigo],tblCECO[area],"(sin catálogo)"))</f>
        <v/>
      </c>
      <c r="W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3">
        <f>IF(tblOrdenes[[#This Row],[centro_costo]]="","",_xlfn.XLOOKUP(tblOrdenes[[#This Row],[centro_costo]],tblCECO[codigo],tblCECO[coordinador],"(sin catálogo)"))</f>
        <v/>
      </c>
      <c r="Y1187" s="3">
        <f>IF(tblOrdenes[[#This Row],[puesto_trabajo]]="","",_xlfn.XLOOKUP(tblOrdenes[[#This Row],[puesto_trabajo]],tblPuestos[codigo],tblPuestos[especialidad],"(sin catálogo)"))</f>
        <v/>
      </c>
      <c r="Z1187" s="3">
        <f>IF(tblOrdenes[[#This Row],[cod_actividad]]="","",_xlfn.XLOOKUP(tblOrdenes[[#This Row],[cod_actividad]],tblActividades[codigo],tblActividades[descripcion],"(sin catálogo)"))</f>
        <v/>
      </c>
      <c r="AA1187" s="12">
        <f>IF(tblOrdenes[[#This Row],[fecha_inicio]]="","",TODAY()-tblOrdenes[[#This Row],[fecha_inicio]])</f>
        <v/>
      </c>
      <c r="AB118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3">
        <f>IF(tblOrdenes[[#This Row],[backlog_habiles]]="","",IF(tblOrdenes[[#This Row],[backlog_habiles]]&lt;0,"FUTURO",IF(tblOrdenes[[#This Row],[backlog_habiles]]&gt;p_dias_backlog_max,"BACKLOG","MES CORRIENTE")))</f>
        <v/>
      </c>
      <c r="AD1187" s="3">
        <f>IF(tblOrdenes[[#This Row],[backlog_habiles]]="",FALSE,AND(tblOrdenes[[#This Row],[backlog_habiles]]&gt;p_dias_backlog_min,tblOrdenes[[#This Row],[backlog_habiles]]&lt;=p_dias_backlog_max))</f>
        <v/>
      </c>
      <c r="AE1187" s="6" t="n"/>
      <c r="AF1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0">
        <f>IF(tblOrdenes[[#This Row],[orden]]="","",_xlfn.XLOOKUP(tblOrdenes[[#This Row],[id_operacion]],tblEjecucion[id_operacion],tblEjecucion[precio],0))</f>
        <v/>
      </c>
      <c r="AJ1187" s="10">
        <f>IF(tblOrdenes[[#This Row],[orden]]="","",MAX(0,_xlfn.XLOOKUP(tblOrdenes[[#This Row],[id_operacion]],tblEjecucion[id_operacion],tblEjecucion[costo_plan_total],0)-tblOrdenes[[#This Row],[costo_servicio]]))</f>
        <v/>
      </c>
      <c r="AK1187" s="10">
        <f>IF(tblOrdenes[[#This Row],[orden]]="","",tblOrdenes[[#This Row],[costo_servicio]]+tblOrdenes[[#This Row],[costo_materiales]])</f>
        <v/>
      </c>
      <c r="AL1187" s="6" t="n"/>
      <c r="AM1187" s="6" t="n"/>
      <c r="AN1187" s="6" t="n"/>
      <c r="AO1187" s="3">
        <f>IF(tblOrdenes[[#This Row],[link_checklist]]="","",HYPERLINK(p_ruta_base_checklists&amp;tblOrdenes[[#This Row],[link_checklist]],"abrir"))</f>
        <v/>
      </c>
      <c r="AP1187" s="6" t="n"/>
      <c r="AQ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3">
        <f>IF(tblOrdenes[[#This Row],[tipo_ot]]="","",_xlfn.XLOOKUP(tblOrdenes[[#This Row],[tipo_ot]],tblTiposOT[codigo],tblTiposOT[clasificacion],"sin_clasificar"))</f>
        <v/>
      </c>
      <c r="U1188" s="3">
        <f>IF(tblOrdenes[[#This Row],[centro_costo]]="","",_xlfn.XLOOKUP(tblOrdenes[[#This Row],[centro_costo]],tblCECO[codigo],tblCECO[linea],"(sin catálogo)"))</f>
        <v/>
      </c>
      <c r="V1188" s="3">
        <f>IF(tblOrdenes[[#This Row],[centro_costo]]="","",_xlfn.XLOOKUP(tblOrdenes[[#This Row],[centro_costo]],tblCECO[codigo],tblCECO[area],"(sin catálogo)"))</f>
        <v/>
      </c>
      <c r="W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3">
        <f>IF(tblOrdenes[[#This Row],[centro_costo]]="","",_xlfn.XLOOKUP(tblOrdenes[[#This Row],[centro_costo]],tblCECO[codigo],tblCECO[coordinador],"(sin catálogo)"))</f>
        <v/>
      </c>
      <c r="Y1188" s="3">
        <f>IF(tblOrdenes[[#This Row],[puesto_trabajo]]="","",_xlfn.XLOOKUP(tblOrdenes[[#This Row],[puesto_trabajo]],tblPuestos[codigo],tblPuestos[especialidad],"(sin catálogo)"))</f>
        <v/>
      </c>
      <c r="Z1188" s="3">
        <f>IF(tblOrdenes[[#This Row],[cod_actividad]]="","",_xlfn.XLOOKUP(tblOrdenes[[#This Row],[cod_actividad]],tblActividades[codigo],tblActividades[descripcion],"(sin catálogo)"))</f>
        <v/>
      </c>
      <c r="AA1188" s="12">
        <f>IF(tblOrdenes[[#This Row],[fecha_inicio]]="","",TODAY()-tblOrdenes[[#This Row],[fecha_inicio]])</f>
        <v/>
      </c>
      <c r="AB118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3">
        <f>IF(tblOrdenes[[#This Row],[backlog_habiles]]="","",IF(tblOrdenes[[#This Row],[backlog_habiles]]&lt;0,"FUTURO",IF(tblOrdenes[[#This Row],[backlog_habiles]]&gt;p_dias_backlog_max,"BACKLOG","MES CORRIENTE")))</f>
        <v/>
      </c>
      <c r="AD1188" s="3">
        <f>IF(tblOrdenes[[#This Row],[backlog_habiles]]="",FALSE,AND(tblOrdenes[[#This Row],[backlog_habiles]]&gt;p_dias_backlog_min,tblOrdenes[[#This Row],[backlog_habiles]]&lt;=p_dias_backlog_max))</f>
        <v/>
      </c>
      <c r="AE1188" s="6" t="n"/>
      <c r="AF1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0">
        <f>IF(tblOrdenes[[#This Row],[orden]]="","",_xlfn.XLOOKUP(tblOrdenes[[#This Row],[id_operacion]],tblEjecucion[id_operacion],tblEjecucion[precio],0))</f>
        <v/>
      </c>
      <c r="AJ1188" s="10">
        <f>IF(tblOrdenes[[#This Row],[orden]]="","",MAX(0,_xlfn.XLOOKUP(tblOrdenes[[#This Row],[id_operacion]],tblEjecucion[id_operacion],tblEjecucion[costo_plan_total],0)-tblOrdenes[[#This Row],[costo_servicio]]))</f>
        <v/>
      </c>
      <c r="AK1188" s="10">
        <f>IF(tblOrdenes[[#This Row],[orden]]="","",tblOrdenes[[#This Row],[costo_servicio]]+tblOrdenes[[#This Row],[costo_materiales]])</f>
        <v/>
      </c>
      <c r="AL1188" s="6" t="n"/>
      <c r="AM1188" s="6" t="n"/>
      <c r="AN1188" s="6" t="n"/>
      <c r="AO1188" s="3">
        <f>IF(tblOrdenes[[#This Row],[link_checklist]]="","",HYPERLINK(p_ruta_base_checklists&amp;tblOrdenes[[#This Row],[link_checklist]],"abrir"))</f>
        <v/>
      </c>
      <c r="AP1188" s="6" t="n"/>
      <c r="AQ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3">
        <f>IF(tblOrdenes[[#This Row],[tipo_ot]]="","",_xlfn.XLOOKUP(tblOrdenes[[#This Row],[tipo_ot]],tblTiposOT[codigo],tblTiposOT[clasificacion],"sin_clasificar"))</f>
        <v/>
      </c>
      <c r="U1189" s="3">
        <f>IF(tblOrdenes[[#This Row],[centro_costo]]="","",_xlfn.XLOOKUP(tblOrdenes[[#This Row],[centro_costo]],tblCECO[codigo],tblCECO[linea],"(sin catálogo)"))</f>
        <v/>
      </c>
      <c r="V1189" s="3">
        <f>IF(tblOrdenes[[#This Row],[centro_costo]]="","",_xlfn.XLOOKUP(tblOrdenes[[#This Row],[centro_costo]],tblCECO[codigo],tblCECO[area],"(sin catálogo)"))</f>
        <v/>
      </c>
      <c r="W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3">
        <f>IF(tblOrdenes[[#This Row],[centro_costo]]="","",_xlfn.XLOOKUP(tblOrdenes[[#This Row],[centro_costo]],tblCECO[codigo],tblCECO[coordinador],"(sin catálogo)"))</f>
        <v/>
      </c>
      <c r="Y1189" s="3">
        <f>IF(tblOrdenes[[#This Row],[puesto_trabajo]]="","",_xlfn.XLOOKUP(tblOrdenes[[#This Row],[puesto_trabajo]],tblPuestos[codigo],tblPuestos[especialidad],"(sin catálogo)"))</f>
        <v/>
      </c>
      <c r="Z1189" s="3">
        <f>IF(tblOrdenes[[#This Row],[cod_actividad]]="","",_xlfn.XLOOKUP(tblOrdenes[[#This Row],[cod_actividad]],tblActividades[codigo],tblActividades[descripcion],"(sin catálogo)"))</f>
        <v/>
      </c>
      <c r="AA1189" s="12">
        <f>IF(tblOrdenes[[#This Row],[fecha_inicio]]="","",TODAY()-tblOrdenes[[#This Row],[fecha_inicio]])</f>
        <v/>
      </c>
      <c r="AB118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3">
        <f>IF(tblOrdenes[[#This Row],[backlog_habiles]]="","",IF(tblOrdenes[[#This Row],[backlog_habiles]]&lt;0,"FUTURO",IF(tblOrdenes[[#This Row],[backlog_habiles]]&gt;p_dias_backlog_max,"BACKLOG","MES CORRIENTE")))</f>
        <v/>
      </c>
      <c r="AD1189" s="3">
        <f>IF(tblOrdenes[[#This Row],[backlog_habiles]]="",FALSE,AND(tblOrdenes[[#This Row],[backlog_habiles]]&gt;p_dias_backlog_min,tblOrdenes[[#This Row],[backlog_habiles]]&lt;=p_dias_backlog_max))</f>
        <v/>
      </c>
      <c r="AE1189" s="6" t="n"/>
      <c r="AF1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0">
        <f>IF(tblOrdenes[[#This Row],[orden]]="","",_xlfn.XLOOKUP(tblOrdenes[[#This Row],[id_operacion]],tblEjecucion[id_operacion],tblEjecucion[precio],0))</f>
        <v/>
      </c>
      <c r="AJ1189" s="10">
        <f>IF(tblOrdenes[[#This Row],[orden]]="","",MAX(0,_xlfn.XLOOKUP(tblOrdenes[[#This Row],[id_operacion]],tblEjecucion[id_operacion],tblEjecucion[costo_plan_total],0)-tblOrdenes[[#This Row],[costo_servicio]]))</f>
        <v/>
      </c>
      <c r="AK1189" s="10">
        <f>IF(tblOrdenes[[#This Row],[orden]]="","",tblOrdenes[[#This Row],[costo_servicio]]+tblOrdenes[[#This Row],[costo_materiales]])</f>
        <v/>
      </c>
      <c r="AL1189" s="6" t="n"/>
      <c r="AM1189" s="6" t="n"/>
      <c r="AN1189" s="6" t="n"/>
      <c r="AO1189" s="3">
        <f>IF(tblOrdenes[[#This Row],[link_checklist]]="","",HYPERLINK(p_ruta_base_checklists&amp;tblOrdenes[[#This Row],[link_checklist]],"abrir"))</f>
        <v/>
      </c>
      <c r="AP1189" s="6" t="n"/>
      <c r="AQ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3">
        <f>IF(tblOrdenes[[#This Row],[tipo_ot]]="","",_xlfn.XLOOKUP(tblOrdenes[[#This Row],[tipo_ot]],tblTiposOT[codigo],tblTiposOT[clasificacion],"sin_clasificar"))</f>
        <v/>
      </c>
      <c r="U1190" s="3">
        <f>IF(tblOrdenes[[#This Row],[centro_costo]]="","",_xlfn.XLOOKUP(tblOrdenes[[#This Row],[centro_costo]],tblCECO[codigo],tblCECO[linea],"(sin catálogo)"))</f>
        <v/>
      </c>
      <c r="V1190" s="3">
        <f>IF(tblOrdenes[[#This Row],[centro_costo]]="","",_xlfn.XLOOKUP(tblOrdenes[[#This Row],[centro_costo]],tblCECO[codigo],tblCECO[area],"(sin catálogo)"))</f>
        <v/>
      </c>
      <c r="W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3">
        <f>IF(tblOrdenes[[#This Row],[centro_costo]]="","",_xlfn.XLOOKUP(tblOrdenes[[#This Row],[centro_costo]],tblCECO[codigo],tblCECO[coordinador],"(sin catálogo)"))</f>
        <v/>
      </c>
      <c r="Y1190" s="3">
        <f>IF(tblOrdenes[[#This Row],[puesto_trabajo]]="","",_xlfn.XLOOKUP(tblOrdenes[[#This Row],[puesto_trabajo]],tblPuestos[codigo],tblPuestos[especialidad],"(sin catálogo)"))</f>
        <v/>
      </c>
      <c r="Z1190" s="3">
        <f>IF(tblOrdenes[[#This Row],[cod_actividad]]="","",_xlfn.XLOOKUP(tblOrdenes[[#This Row],[cod_actividad]],tblActividades[codigo],tblActividades[descripcion],"(sin catálogo)"))</f>
        <v/>
      </c>
      <c r="AA1190" s="12">
        <f>IF(tblOrdenes[[#This Row],[fecha_inicio]]="","",TODAY()-tblOrdenes[[#This Row],[fecha_inicio]])</f>
        <v/>
      </c>
      <c r="AB119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3">
        <f>IF(tblOrdenes[[#This Row],[backlog_habiles]]="","",IF(tblOrdenes[[#This Row],[backlog_habiles]]&lt;0,"FUTURO",IF(tblOrdenes[[#This Row],[backlog_habiles]]&gt;p_dias_backlog_max,"BACKLOG","MES CORRIENTE")))</f>
        <v/>
      </c>
      <c r="AD1190" s="3">
        <f>IF(tblOrdenes[[#This Row],[backlog_habiles]]="",FALSE,AND(tblOrdenes[[#This Row],[backlog_habiles]]&gt;p_dias_backlog_min,tblOrdenes[[#This Row],[backlog_habiles]]&lt;=p_dias_backlog_max))</f>
        <v/>
      </c>
      <c r="AE1190" s="6" t="n"/>
      <c r="AF1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0">
        <f>IF(tblOrdenes[[#This Row],[orden]]="","",_xlfn.XLOOKUP(tblOrdenes[[#This Row],[id_operacion]],tblEjecucion[id_operacion],tblEjecucion[precio],0))</f>
        <v/>
      </c>
      <c r="AJ1190" s="10">
        <f>IF(tblOrdenes[[#This Row],[orden]]="","",MAX(0,_xlfn.XLOOKUP(tblOrdenes[[#This Row],[id_operacion]],tblEjecucion[id_operacion],tblEjecucion[costo_plan_total],0)-tblOrdenes[[#This Row],[costo_servicio]]))</f>
        <v/>
      </c>
      <c r="AK1190" s="10">
        <f>IF(tblOrdenes[[#This Row],[orden]]="","",tblOrdenes[[#This Row],[costo_servicio]]+tblOrdenes[[#This Row],[costo_materiales]])</f>
        <v/>
      </c>
      <c r="AL1190" s="6" t="n"/>
      <c r="AM1190" s="6" t="n"/>
      <c r="AN1190" s="6" t="n"/>
      <c r="AO1190" s="3">
        <f>IF(tblOrdenes[[#This Row],[link_checklist]]="","",HYPERLINK(p_ruta_base_checklists&amp;tblOrdenes[[#This Row],[link_checklist]],"abrir"))</f>
        <v/>
      </c>
      <c r="AP1190" s="6" t="n"/>
      <c r="AQ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3">
        <f>IF(tblOrdenes[[#This Row],[tipo_ot]]="","",_xlfn.XLOOKUP(tblOrdenes[[#This Row],[tipo_ot]],tblTiposOT[codigo],tblTiposOT[clasificacion],"sin_clasificar"))</f>
        <v/>
      </c>
      <c r="U1191" s="3">
        <f>IF(tblOrdenes[[#This Row],[centro_costo]]="","",_xlfn.XLOOKUP(tblOrdenes[[#This Row],[centro_costo]],tblCECO[codigo],tblCECO[linea],"(sin catálogo)"))</f>
        <v/>
      </c>
      <c r="V1191" s="3">
        <f>IF(tblOrdenes[[#This Row],[centro_costo]]="","",_xlfn.XLOOKUP(tblOrdenes[[#This Row],[centro_costo]],tblCECO[codigo],tblCECO[area],"(sin catálogo)"))</f>
        <v/>
      </c>
      <c r="W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3">
        <f>IF(tblOrdenes[[#This Row],[centro_costo]]="","",_xlfn.XLOOKUP(tblOrdenes[[#This Row],[centro_costo]],tblCECO[codigo],tblCECO[coordinador],"(sin catálogo)"))</f>
        <v/>
      </c>
      <c r="Y1191" s="3">
        <f>IF(tblOrdenes[[#This Row],[puesto_trabajo]]="","",_xlfn.XLOOKUP(tblOrdenes[[#This Row],[puesto_trabajo]],tblPuestos[codigo],tblPuestos[especialidad],"(sin catálogo)"))</f>
        <v/>
      </c>
      <c r="Z1191" s="3">
        <f>IF(tblOrdenes[[#This Row],[cod_actividad]]="","",_xlfn.XLOOKUP(tblOrdenes[[#This Row],[cod_actividad]],tblActividades[codigo],tblActividades[descripcion],"(sin catálogo)"))</f>
        <v/>
      </c>
      <c r="AA1191" s="12">
        <f>IF(tblOrdenes[[#This Row],[fecha_inicio]]="","",TODAY()-tblOrdenes[[#This Row],[fecha_inicio]])</f>
        <v/>
      </c>
      <c r="AB119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3">
        <f>IF(tblOrdenes[[#This Row],[backlog_habiles]]="","",IF(tblOrdenes[[#This Row],[backlog_habiles]]&lt;0,"FUTURO",IF(tblOrdenes[[#This Row],[backlog_habiles]]&gt;p_dias_backlog_max,"BACKLOG","MES CORRIENTE")))</f>
        <v/>
      </c>
      <c r="AD1191" s="3">
        <f>IF(tblOrdenes[[#This Row],[backlog_habiles]]="",FALSE,AND(tblOrdenes[[#This Row],[backlog_habiles]]&gt;p_dias_backlog_min,tblOrdenes[[#This Row],[backlog_habiles]]&lt;=p_dias_backlog_max))</f>
        <v/>
      </c>
      <c r="AE1191" s="6" t="n"/>
      <c r="AF1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0">
        <f>IF(tblOrdenes[[#This Row],[orden]]="","",_xlfn.XLOOKUP(tblOrdenes[[#This Row],[id_operacion]],tblEjecucion[id_operacion],tblEjecucion[precio],0))</f>
        <v/>
      </c>
      <c r="AJ1191" s="10">
        <f>IF(tblOrdenes[[#This Row],[orden]]="","",MAX(0,_xlfn.XLOOKUP(tblOrdenes[[#This Row],[id_operacion]],tblEjecucion[id_operacion],tblEjecucion[costo_plan_total],0)-tblOrdenes[[#This Row],[costo_servicio]]))</f>
        <v/>
      </c>
      <c r="AK1191" s="10">
        <f>IF(tblOrdenes[[#This Row],[orden]]="","",tblOrdenes[[#This Row],[costo_servicio]]+tblOrdenes[[#This Row],[costo_materiales]])</f>
        <v/>
      </c>
      <c r="AL1191" s="6" t="n"/>
      <c r="AM1191" s="6" t="n"/>
      <c r="AN1191" s="6" t="n"/>
      <c r="AO1191" s="3">
        <f>IF(tblOrdenes[[#This Row],[link_checklist]]="","",HYPERLINK(p_ruta_base_checklists&amp;tblOrdenes[[#This Row],[link_checklist]],"abrir"))</f>
        <v/>
      </c>
      <c r="AP1191" s="6" t="n"/>
      <c r="AQ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3">
        <f>IF(tblOrdenes[[#This Row],[tipo_ot]]="","",_xlfn.XLOOKUP(tblOrdenes[[#This Row],[tipo_ot]],tblTiposOT[codigo],tblTiposOT[clasificacion],"sin_clasificar"))</f>
        <v/>
      </c>
      <c r="U1192" s="3">
        <f>IF(tblOrdenes[[#This Row],[centro_costo]]="","",_xlfn.XLOOKUP(tblOrdenes[[#This Row],[centro_costo]],tblCECO[codigo],tblCECO[linea],"(sin catálogo)"))</f>
        <v/>
      </c>
      <c r="V1192" s="3">
        <f>IF(tblOrdenes[[#This Row],[centro_costo]]="","",_xlfn.XLOOKUP(tblOrdenes[[#This Row],[centro_costo]],tblCECO[codigo],tblCECO[area],"(sin catálogo)"))</f>
        <v/>
      </c>
      <c r="W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3">
        <f>IF(tblOrdenes[[#This Row],[centro_costo]]="","",_xlfn.XLOOKUP(tblOrdenes[[#This Row],[centro_costo]],tblCECO[codigo],tblCECO[coordinador],"(sin catálogo)"))</f>
        <v/>
      </c>
      <c r="Y1192" s="3">
        <f>IF(tblOrdenes[[#This Row],[puesto_trabajo]]="","",_xlfn.XLOOKUP(tblOrdenes[[#This Row],[puesto_trabajo]],tblPuestos[codigo],tblPuestos[especialidad],"(sin catálogo)"))</f>
        <v/>
      </c>
      <c r="Z1192" s="3">
        <f>IF(tblOrdenes[[#This Row],[cod_actividad]]="","",_xlfn.XLOOKUP(tblOrdenes[[#This Row],[cod_actividad]],tblActividades[codigo],tblActividades[descripcion],"(sin catálogo)"))</f>
        <v/>
      </c>
      <c r="AA1192" s="12">
        <f>IF(tblOrdenes[[#This Row],[fecha_inicio]]="","",TODAY()-tblOrdenes[[#This Row],[fecha_inicio]])</f>
        <v/>
      </c>
      <c r="AB119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3">
        <f>IF(tblOrdenes[[#This Row],[backlog_habiles]]="","",IF(tblOrdenes[[#This Row],[backlog_habiles]]&lt;0,"FUTURO",IF(tblOrdenes[[#This Row],[backlog_habiles]]&gt;p_dias_backlog_max,"BACKLOG","MES CORRIENTE")))</f>
        <v/>
      </c>
      <c r="AD1192" s="3">
        <f>IF(tblOrdenes[[#This Row],[backlog_habiles]]="",FALSE,AND(tblOrdenes[[#This Row],[backlog_habiles]]&gt;p_dias_backlog_min,tblOrdenes[[#This Row],[backlog_habiles]]&lt;=p_dias_backlog_max))</f>
        <v/>
      </c>
      <c r="AE1192" s="6" t="n"/>
      <c r="AF1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0">
        <f>IF(tblOrdenes[[#This Row],[orden]]="","",_xlfn.XLOOKUP(tblOrdenes[[#This Row],[id_operacion]],tblEjecucion[id_operacion],tblEjecucion[precio],0))</f>
        <v/>
      </c>
      <c r="AJ1192" s="10">
        <f>IF(tblOrdenes[[#This Row],[orden]]="","",MAX(0,_xlfn.XLOOKUP(tblOrdenes[[#This Row],[id_operacion]],tblEjecucion[id_operacion],tblEjecucion[costo_plan_total],0)-tblOrdenes[[#This Row],[costo_servicio]]))</f>
        <v/>
      </c>
      <c r="AK1192" s="10">
        <f>IF(tblOrdenes[[#This Row],[orden]]="","",tblOrdenes[[#This Row],[costo_servicio]]+tblOrdenes[[#This Row],[costo_materiales]])</f>
        <v/>
      </c>
      <c r="AL1192" s="6" t="n"/>
      <c r="AM1192" s="6" t="n"/>
      <c r="AN1192" s="6" t="n"/>
      <c r="AO1192" s="3">
        <f>IF(tblOrdenes[[#This Row],[link_checklist]]="","",HYPERLINK(p_ruta_base_checklists&amp;tblOrdenes[[#This Row],[link_checklist]],"abrir"))</f>
        <v/>
      </c>
      <c r="AP1192" s="6" t="n"/>
      <c r="AQ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3">
        <f>IF(tblOrdenes[[#This Row],[tipo_ot]]="","",_xlfn.XLOOKUP(tblOrdenes[[#This Row],[tipo_ot]],tblTiposOT[codigo],tblTiposOT[clasificacion],"sin_clasificar"))</f>
        <v/>
      </c>
      <c r="U1193" s="3">
        <f>IF(tblOrdenes[[#This Row],[centro_costo]]="","",_xlfn.XLOOKUP(tblOrdenes[[#This Row],[centro_costo]],tblCECO[codigo],tblCECO[linea],"(sin catálogo)"))</f>
        <v/>
      </c>
      <c r="V1193" s="3">
        <f>IF(tblOrdenes[[#This Row],[centro_costo]]="","",_xlfn.XLOOKUP(tblOrdenes[[#This Row],[centro_costo]],tblCECO[codigo],tblCECO[area],"(sin catálogo)"))</f>
        <v/>
      </c>
      <c r="W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3">
        <f>IF(tblOrdenes[[#This Row],[centro_costo]]="","",_xlfn.XLOOKUP(tblOrdenes[[#This Row],[centro_costo]],tblCECO[codigo],tblCECO[coordinador],"(sin catálogo)"))</f>
        <v/>
      </c>
      <c r="Y1193" s="3">
        <f>IF(tblOrdenes[[#This Row],[puesto_trabajo]]="","",_xlfn.XLOOKUP(tblOrdenes[[#This Row],[puesto_trabajo]],tblPuestos[codigo],tblPuestos[especialidad],"(sin catálogo)"))</f>
        <v/>
      </c>
      <c r="Z1193" s="3">
        <f>IF(tblOrdenes[[#This Row],[cod_actividad]]="","",_xlfn.XLOOKUP(tblOrdenes[[#This Row],[cod_actividad]],tblActividades[codigo],tblActividades[descripcion],"(sin catálogo)"))</f>
        <v/>
      </c>
      <c r="AA1193" s="12">
        <f>IF(tblOrdenes[[#This Row],[fecha_inicio]]="","",TODAY()-tblOrdenes[[#This Row],[fecha_inicio]])</f>
        <v/>
      </c>
      <c r="AB119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3">
        <f>IF(tblOrdenes[[#This Row],[backlog_habiles]]="","",IF(tblOrdenes[[#This Row],[backlog_habiles]]&lt;0,"FUTURO",IF(tblOrdenes[[#This Row],[backlog_habiles]]&gt;p_dias_backlog_max,"BACKLOG","MES CORRIENTE")))</f>
        <v/>
      </c>
      <c r="AD1193" s="3">
        <f>IF(tblOrdenes[[#This Row],[backlog_habiles]]="",FALSE,AND(tblOrdenes[[#This Row],[backlog_habiles]]&gt;p_dias_backlog_min,tblOrdenes[[#This Row],[backlog_habiles]]&lt;=p_dias_backlog_max))</f>
        <v/>
      </c>
      <c r="AE1193" s="6" t="n"/>
      <c r="AF1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0">
        <f>IF(tblOrdenes[[#This Row],[orden]]="","",_xlfn.XLOOKUP(tblOrdenes[[#This Row],[id_operacion]],tblEjecucion[id_operacion],tblEjecucion[precio],0))</f>
        <v/>
      </c>
      <c r="AJ1193" s="10">
        <f>IF(tblOrdenes[[#This Row],[orden]]="","",MAX(0,_xlfn.XLOOKUP(tblOrdenes[[#This Row],[id_operacion]],tblEjecucion[id_operacion],tblEjecucion[costo_plan_total],0)-tblOrdenes[[#This Row],[costo_servicio]]))</f>
        <v/>
      </c>
      <c r="AK1193" s="10">
        <f>IF(tblOrdenes[[#This Row],[orden]]="","",tblOrdenes[[#This Row],[costo_servicio]]+tblOrdenes[[#This Row],[costo_materiales]])</f>
        <v/>
      </c>
      <c r="AL1193" s="6" t="n"/>
      <c r="AM1193" s="6" t="n"/>
      <c r="AN1193" s="6" t="n"/>
      <c r="AO1193" s="3">
        <f>IF(tblOrdenes[[#This Row],[link_checklist]]="","",HYPERLINK(p_ruta_base_checklists&amp;tblOrdenes[[#This Row],[link_checklist]],"abrir"))</f>
        <v/>
      </c>
      <c r="AP1193" s="6" t="n"/>
      <c r="AQ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3">
        <f>IF(tblOrdenes[[#This Row],[tipo_ot]]="","",_xlfn.XLOOKUP(tblOrdenes[[#This Row],[tipo_ot]],tblTiposOT[codigo],tblTiposOT[clasificacion],"sin_clasificar"))</f>
        <v/>
      </c>
      <c r="U1194" s="3">
        <f>IF(tblOrdenes[[#This Row],[centro_costo]]="","",_xlfn.XLOOKUP(tblOrdenes[[#This Row],[centro_costo]],tblCECO[codigo],tblCECO[linea],"(sin catálogo)"))</f>
        <v/>
      </c>
      <c r="V1194" s="3">
        <f>IF(tblOrdenes[[#This Row],[centro_costo]]="","",_xlfn.XLOOKUP(tblOrdenes[[#This Row],[centro_costo]],tblCECO[codigo],tblCECO[area],"(sin catálogo)"))</f>
        <v/>
      </c>
      <c r="W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3">
        <f>IF(tblOrdenes[[#This Row],[centro_costo]]="","",_xlfn.XLOOKUP(tblOrdenes[[#This Row],[centro_costo]],tblCECO[codigo],tblCECO[coordinador],"(sin catálogo)"))</f>
        <v/>
      </c>
      <c r="Y1194" s="3">
        <f>IF(tblOrdenes[[#This Row],[puesto_trabajo]]="","",_xlfn.XLOOKUP(tblOrdenes[[#This Row],[puesto_trabajo]],tblPuestos[codigo],tblPuestos[especialidad],"(sin catálogo)"))</f>
        <v/>
      </c>
      <c r="Z1194" s="3">
        <f>IF(tblOrdenes[[#This Row],[cod_actividad]]="","",_xlfn.XLOOKUP(tblOrdenes[[#This Row],[cod_actividad]],tblActividades[codigo],tblActividades[descripcion],"(sin catálogo)"))</f>
        <v/>
      </c>
      <c r="AA1194" s="12">
        <f>IF(tblOrdenes[[#This Row],[fecha_inicio]]="","",TODAY()-tblOrdenes[[#This Row],[fecha_inicio]])</f>
        <v/>
      </c>
      <c r="AB1194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3">
        <f>IF(tblOrdenes[[#This Row],[backlog_habiles]]="","",IF(tblOrdenes[[#This Row],[backlog_habiles]]&lt;0,"FUTURO",IF(tblOrdenes[[#This Row],[backlog_habiles]]&gt;p_dias_backlog_max,"BACKLOG","MES CORRIENTE")))</f>
        <v/>
      </c>
      <c r="AD1194" s="3">
        <f>IF(tblOrdenes[[#This Row],[backlog_habiles]]="",FALSE,AND(tblOrdenes[[#This Row],[backlog_habiles]]&gt;p_dias_backlog_min,tblOrdenes[[#This Row],[backlog_habiles]]&lt;=p_dias_backlog_max))</f>
        <v/>
      </c>
      <c r="AE1194" s="6" t="n"/>
      <c r="AF1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0">
        <f>IF(tblOrdenes[[#This Row],[orden]]="","",_xlfn.XLOOKUP(tblOrdenes[[#This Row],[id_operacion]],tblEjecucion[id_operacion],tblEjecucion[precio],0))</f>
        <v/>
      </c>
      <c r="AJ1194" s="10">
        <f>IF(tblOrdenes[[#This Row],[orden]]="","",MAX(0,_xlfn.XLOOKUP(tblOrdenes[[#This Row],[id_operacion]],tblEjecucion[id_operacion],tblEjecucion[costo_plan_total],0)-tblOrdenes[[#This Row],[costo_servicio]]))</f>
        <v/>
      </c>
      <c r="AK1194" s="10">
        <f>IF(tblOrdenes[[#This Row],[orden]]="","",tblOrdenes[[#This Row],[costo_servicio]]+tblOrdenes[[#This Row],[costo_materiales]])</f>
        <v/>
      </c>
      <c r="AL1194" s="6" t="n"/>
      <c r="AM1194" s="6" t="n"/>
      <c r="AN1194" s="6" t="n"/>
      <c r="AO1194" s="3">
        <f>IF(tblOrdenes[[#This Row],[link_checklist]]="","",HYPERLINK(p_ruta_base_checklists&amp;tblOrdenes[[#This Row],[link_checklist]],"abrir"))</f>
        <v/>
      </c>
      <c r="AP1194" s="6" t="n"/>
      <c r="AQ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3">
        <f>IF(tblOrdenes[[#This Row],[tipo_ot]]="","",_xlfn.XLOOKUP(tblOrdenes[[#This Row],[tipo_ot]],tblTiposOT[codigo],tblTiposOT[clasificacion],"sin_clasificar"))</f>
        <v/>
      </c>
      <c r="U1195" s="3">
        <f>IF(tblOrdenes[[#This Row],[centro_costo]]="","",_xlfn.XLOOKUP(tblOrdenes[[#This Row],[centro_costo]],tblCECO[codigo],tblCECO[linea],"(sin catálogo)"))</f>
        <v/>
      </c>
      <c r="V1195" s="3">
        <f>IF(tblOrdenes[[#This Row],[centro_costo]]="","",_xlfn.XLOOKUP(tblOrdenes[[#This Row],[centro_costo]],tblCECO[codigo],tblCECO[area],"(sin catálogo)"))</f>
        <v/>
      </c>
      <c r="W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3">
        <f>IF(tblOrdenes[[#This Row],[centro_costo]]="","",_xlfn.XLOOKUP(tblOrdenes[[#This Row],[centro_costo]],tblCECO[codigo],tblCECO[coordinador],"(sin catálogo)"))</f>
        <v/>
      </c>
      <c r="Y1195" s="3">
        <f>IF(tblOrdenes[[#This Row],[puesto_trabajo]]="","",_xlfn.XLOOKUP(tblOrdenes[[#This Row],[puesto_trabajo]],tblPuestos[codigo],tblPuestos[especialidad],"(sin catálogo)"))</f>
        <v/>
      </c>
      <c r="Z1195" s="3">
        <f>IF(tblOrdenes[[#This Row],[cod_actividad]]="","",_xlfn.XLOOKUP(tblOrdenes[[#This Row],[cod_actividad]],tblActividades[codigo],tblActividades[descripcion],"(sin catálogo)"))</f>
        <v/>
      </c>
      <c r="AA1195" s="12">
        <f>IF(tblOrdenes[[#This Row],[fecha_inicio]]="","",TODAY()-tblOrdenes[[#This Row],[fecha_inicio]])</f>
        <v/>
      </c>
      <c r="AB1195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3">
        <f>IF(tblOrdenes[[#This Row],[backlog_habiles]]="","",IF(tblOrdenes[[#This Row],[backlog_habiles]]&lt;0,"FUTURO",IF(tblOrdenes[[#This Row],[backlog_habiles]]&gt;p_dias_backlog_max,"BACKLOG","MES CORRIENTE")))</f>
        <v/>
      </c>
      <c r="AD1195" s="3">
        <f>IF(tblOrdenes[[#This Row],[backlog_habiles]]="",FALSE,AND(tblOrdenes[[#This Row],[backlog_habiles]]&gt;p_dias_backlog_min,tblOrdenes[[#This Row],[backlog_habiles]]&lt;=p_dias_backlog_max))</f>
        <v/>
      </c>
      <c r="AE1195" s="6" t="n"/>
      <c r="AF1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0">
        <f>IF(tblOrdenes[[#This Row],[orden]]="","",_xlfn.XLOOKUP(tblOrdenes[[#This Row],[id_operacion]],tblEjecucion[id_operacion],tblEjecucion[precio],0))</f>
        <v/>
      </c>
      <c r="AJ1195" s="10">
        <f>IF(tblOrdenes[[#This Row],[orden]]="","",MAX(0,_xlfn.XLOOKUP(tblOrdenes[[#This Row],[id_operacion]],tblEjecucion[id_operacion],tblEjecucion[costo_plan_total],0)-tblOrdenes[[#This Row],[costo_servicio]]))</f>
        <v/>
      </c>
      <c r="AK1195" s="10">
        <f>IF(tblOrdenes[[#This Row],[orden]]="","",tblOrdenes[[#This Row],[costo_servicio]]+tblOrdenes[[#This Row],[costo_materiales]])</f>
        <v/>
      </c>
      <c r="AL1195" s="6" t="n"/>
      <c r="AM1195" s="6" t="n"/>
      <c r="AN1195" s="6" t="n"/>
      <c r="AO1195" s="3">
        <f>IF(tblOrdenes[[#This Row],[link_checklist]]="","",HYPERLINK(p_ruta_base_checklists&amp;tblOrdenes[[#This Row],[link_checklist]],"abrir"))</f>
        <v/>
      </c>
      <c r="AP1195" s="6" t="n"/>
      <c r="AQ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3">
        <f>IF(tblOrdenes[[#This Row],[tipo_ot]]="","",_xlfn.XLOOKUP(tblOrdenes[[#This Row],[tipo_ot]],tblTiposOT[codigo],tblTiposOT[clasificacion],"sin_clasificar"))</f>
        <v/>
      </c>
      <c r="U1196" s="3">
        <f>IF(tblOrdenes[[#This Row],[centro_costo]]="","",_xlfn.XLOOKUP(tblOrdenes[[#This Row],[centro_costo]],tblCECO[codigo],tblCECO[linea],"(sin catálogo)"))</f>
        <v/>
      </c>
      <c r="V1196" s="3">
        <f>IF(tblOrdenes[[#This Row],[centro_costo]]="","",_xlfn.XLOOKUP(tblOrdenes[[#This Row],[centro_costo]],tblCECO[codigo],tblCECO[area],"(sin catálogo)"))</f>
        <v/>
      </c>
      <c r="W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3">
        <f>IF(tblOrdenes[[#This Row],[centro_costo]]="","",_xlfn.XLOOKUP(tblOrdenes[[#This Row],[centro_costo]],tblCECO[codigo],tblCECO[coordinador],"(sin catálogo)"))</f>
        <v/>
      </c>
      <c r="Y1196" s="3">
        <f>IF(tblOrdenes[[#This Row],[puesto_trabajo]]="","",_xlfn.XLOOKUP(tblOrdenes[[#This Row],[puesto_trabajo]],tblPuestos[codigo],tblPuestos[especialidad],"(sin catálogo)"))</f>
        <v/>
      </c>
      <c r="Z1196" s="3">
        <f>IF(tblOrdenes[[#This Row],[cod_actividad]]="","",_xlfn.XLOOKUP(tblOrdenes[[#This Row],[cod_actividad]],tblActividades[codigo],tblActividades[descripcion],"(sin catálogo)"))</f>
        <v/>
      </c>
      <c r="AA1196" s="12">
        <f>IF(tblOrdenes[[#This Row],[fecha_inicio]]="","",TODAY()-tblOrdenes[[#This Row],[fecha_inicio]])</f>
        <v/>
      </c>
      <c r="AB1196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3">
        <f>IF(tblOrdenes[[#This Row],[backlog_habiles]]="","",IF(tblOrdenes[[#This Row],[backlog_habiles]]&lt;0,"FUTURO",IF(tblOrdenes[[#This Row],[backlog_habiles]]&gt;p_dias_backlog_max,"BACKLOG","MES CORRIENTE")))</f>
        <v/>
      </c>
      <c r="AD1196" s="3">
        <f>IF(tblOrdenes[[#This Row],[backlog_habiles]]="",FALSE,AND(tblOrdenes[[#This Row],[backlog_habiles]]&gt;p_dias_backlog_min,tblOrdenes[[#This Row],[backlog_habiles]]&lt;=p_dias_backlog_max))</f>
        <v/>
      </c>
      <c r="AE1196" s="6" t="n"/>
      <c r="AF1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0">
        <f>IF(tblOrdenes[[#This Row],[orden]]="","",_xlfn.XLOOKUP(tblOrdenes[[#This Row],[id_operacion]],tblEjecucion[id_operacion],tblEjecucion[precio],0))</f>
        <v/>
      </c>
      <c r="AJ1196" s="10">
        <f>IF(tblOrdenes[[#This Row],[orden]]="","",MAX(0,_xlfn.XLOOKUP(tblOrdenes[[#This Row],[id_operacion]],tblEjecucion[id_operacion],tblEjecucion[costo_plan_total],0)-tblOrdenes[[#This Row],[costo_servicio]]))</f>
        <v/>
      </c>
      <c r="AK1196" s="10">
        <f>IF(tblOrdenes[[#This Row],[orden]]="","",tblOrdenes[[#This Row],[costo_servicio]]+tblOrdenes[[#This Row],[costo_materiales]])</f>
        <v/>
      </c>
      <c r="AL1196" s="6" t="n"/>
      <c r="AM1196" s="6" t="n"/>
      <c r="AN1196" s="6" t="n"/>
      <c r="AO1196" s="3">
        <f>IF(tblOrdenes[[#This Row],[link_checklist]]="","",HYPERLINK(p_ruta_base_checklists&amp;tblOrdenes[[#This Row],[link_checklist]],"abrir"))</f>
        <v/>
      </c>
      <c r="AP1196" s="6" t="n"/>
      <c r="AQ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3">
        <f>IF(tblOrdenes[[#This Row],[tipo_ot]]="","",_xlfn.XLOOKUP(tblOrdenes[[#This Row],[tipo_ot]],tblTiposOT[codigo],tblTiposOT[clasificacion],"sin_clasificar"))</f>
        <v/>
      </c>
      <c r="U1197" s="3">
        <f>IF(tblOrdenes[[#This Row],[centro_costo]]="","",_xlfn.XLOOKUP(tblOrdenes[[#This Row],[centro_costo]],tblCECO[codigo],tblCECO[linea],"(sin catálogo)"))</f>
        <v/>
      </c>
      <c r="V1197" s="3">
        <f>IF(tblOrdenes[[#This Row],[centro_costo]]="","",_xlfn.XLOOKUP(tblOrdenes[[#This Row],[centro_costo]],tblCECO[codigo],tblCECO[area],"(sin catálogo)"))</f>
        <v/>
      </c>
      <c r="W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3">
        <f>IF(tblOrdenes[[#This Row],[centro_costo]]="","",_xlfn.XLOOKUP(tblOrdenes[[#This Row],[centro_costo]],tblCECO[codigo],tblCECO[coordinador],"(sin catálogo)"))</f>
        <v/>
      </c>
      <c r="Y1197" s="3">
        <f>IF(tblOrdenes[[#This Row],[puesto_trabajo]]="","",_xlfn.XLOOKUP(tblOrdenes[[#This Row],[puesto_trabajo]],tblPuestos[codigo],tblPuestos[especialidad],"(sin catálogo)"))</f>
        <v/>
      </c>
      <c r="Z1197" s="3">
        <f>IF(tblOrdenes[[#This Row],[cod_actividad]]="","",_xlfn.XLOOKUP(tblOrdenes[[#This Row],[cod_actividad]],tblActividades[codigo],tblActividades[descripcion],"(sin catálogo)"))</f>
        <v/>
      </c>
      <c r="AA1197" s="12">
        <f>IF(tblOrdenes[[#This Row],[fecha_inicio]]="","",TODAY()-tblOrdenes[[#This Row],[fecha_inicio]])</f>
        <v/>
      </c>
      <c r="AB1197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3">
        <f>IF(tblOrdenes[[#This Row],[backlog_habiles]]="","",IF(tblOrdenes[[#This Row],[backlog_habiles]]&lt;0,"FUTURO",IF(tblOrdenes[[#This Row],[backlog_habiles]]&gt;p_dias_backlog_max,"BACKLOG","MES CORRIENTE")))</f>
        <v/>
      </c>
      <c r="AD1197" s="3">
        <f>IF(tblOrdenes[[#This Row],[backlog_habiles]]="",FALSE,AND(tblOrdenes[[#This Row],[backlog_habiles]]&gt;p_dias_backlog_min,tblOrdenes[[#This Row],[backlog_habiles]]&lt;=p_dias_backlog_max))</f>
        <v/>
      </c>
      <c r="AE1197" s="6" t="n"/>
      <c r="AF1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0">
        <f>IF(tblOrdenes[[#This Row],[orden]]="","",_xlfn.XLOOKUP(tblOrdenes[[#This Row],[id_operacion]],tblEjecucion[id_operacion],tblEjecucion[precio],0))</f>
        <v/>
      </c>
      <c r="AJ1197" s="10">
        <f>IF(tblOrdenes[[#This Row],[orden]]="","",MAX(0,_xlfn.XLOOKUP(tblOrdenes[[#This Row],[id_operacion]],tblEjecucion[id_operacion],tblEjecucion[costo_plan_total],0)-tblOrdenes[[#This Row],[costo_servicio]]))</f>
        <v/>
      </c>
      <c r="AK1197" s="10">
        <f>IF(tblOrdenes[[#This Row],[orden]]="","",tblOrdenes[[#This Row],[costo_servicio]]+tblOrdenes[[#This Row],[costo_materiales]])</f>
        <v/>
      </c>
      <c r="AL1197" s="6" t="n"/>
      <c r="AM1197" s="6" t="n"/>
      <c r="AN1197" s="6" t="n"/>
      <c r="AO1197" s="3">
        <f>IF(tblOrdenes[[#This Row],[link_checklist]]="","",HYPERLINK(p_ruta_base_checklists&amp;tblOrdenes[[#This Row],[link_checklist]],"abrir"))</f>
        <v/>
      </c>
      <c r="AP1197" s="6" t="n"/>
      <c r="AQ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3">
        <f>IF(tblOrdenes[[#This Row],[tipo_ot]]="","",_xlfn.XLOOKUP(tblOrdenes[[#This Row],[tipo_ot]],tblTiposOT[codigo],tblTiposOT[clasificacion],"sin_clasificar"))</f>
        <v/>
      </c>
      <c r="U1198" s="3">
        <f>IF(tblOrdenes[[#This Row],[centro_costo]]="","",_xlfn.XLOOKUP(tblOrdenes[[#This Row],[centro_costo]],tblCECO[codigo],tblCECO[linea],"(sin catálogo)"))</f>
        <v/>
      </c>
      <c r="V1198" s="3">
        <f>IF(tblOrdenes[[#This Row],[centro_costo]]="","",_xlfn.XLOOKUP(tblOrdenes[[#This Row],[centro_costo]],tblCECO[codigo],tblCECO[area],"(sin catálogo)"))</f>
        <v/>
      </c>
      <c r="W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3">
        <f>IF(tblOrdenes[[#This Row],[centro_costo]]="","",_xlfn.XLOOKUP(tblOrdenes[[#This Row],[centro_costo]],tblCECO[codigo],tblCECO[coordinador],"(sin catálogo)"))</f>
        <v/>
      </c>
      <c r="Y1198" s="3">
        <f>IF(tblOrdenes[[#This Row],[puesto_trabajo]]="","",_xlfn.XLOOKUP(tblOrdenes[[#This Row],[puesto_trabajo]],tblPuestos[codigo],tblPuestos[especialidad],"(sin catálogo)"))</f>
        <v/>
      </c>
      <c r="Z1198" s="3">
        <f>IF(tblOrdenes[[#This Row],[cod_actividad]]="","",_xlfn.XLOOKUP(tblOrdenes[[#This Row],[cod_actividad]],tblActividades[codigo],tblActividades[descripcion],"(sin catálogo)"))</f>
        <v/>
      </c>
      <c r="AA1198" s="12">
        <f>IF(tblOrdenes[[#This Row],[fecha_inicio]]="","",TODAY()-tblOrdenes[[#This Row],[fecha_inicio]])</f>
        <v/>
      </c>
      <c r="AB1198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3">
        <f>IF(tblOrdenes[[#This Row],[backlog_habiles]]="","",IF(tblOrdenes[[#This Row],[backlog_habiles]]&lt;0,"FUTURO",IF(tblOrdenes[[#This Row],[backlog_habiles]]&gt;p_dias_backlog_max,"BACKLOG","MES CORRIENTE")))</f>
        <v/>
      </c>
      <c r="AD1198" s="3">
        <f>IF(tblOrdenes[[#This Row],[backlog_habiles]]="",FALSE,AND(tblOrdenes[[#This Row],[backlog_habiles]]&gt;p_dias_backlog_min,tblOrdenes[[#This Row],[backlog_habiles]]&lt;=p_dias_backlog_max))</f>
        <v/>
      </c>
      <c r="AE1198" s="6" t="n"/>
      <c r="AF1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0">
        <f>IF(tblOrdenes[[#This Row],[orden]]="","",_xlfn.XLOOKUP(tblOrdenes[[#This Row],[id_operacion]],tblEjecucion[id_operacion],tblEjecucion[precio],0))</f>
        <v/>
      </c>
      <c r="AJ1198" s="10">
        <f>IF(tblOrdenes[[#This Row],[orden]]="","",MAX(0,_xlfn.XLOOKUP(tblOrdenes[[#This Row],[id_operacion]],tblEjecucion[id_operacion],tblEjecucion[costo_plan_total],0)-tblOrdenes[[#This Row],[costo_servicio]]))</f>
        <v/>
      </c>
      <c r="AK1198" s="10">
        <f>IF(tblOrdenes[[#This Row],[orden]]="","",tblOrdenes[[#This Row],[costo_servicio]]+tblOrdenes[[#This Row],[costo_materiales]])</f>
        <v/>
      </c>
      <c r="AL1198" s="6" t="n"/>
      <c r="AM1198" s="6" t="n"/>
      <c r="AN1198" s="6" t="n"/>
      <c r="AO1198" s="3">
        <f>IF(tblOrdenes[[#This Row],[link_checklist]]="","",HYPERLINK(p_ruta_base_checklists&amp;tblOrdenes[[#This Row],[link_checklist]],"abrir"))</f>
        <v/>
      </c>
      <c r="AP1198" s="6" t="n"/>
      <c r="AQ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3">
        <f>IF(tblOrdenes[[#This Row],[tipo_ot]]="","",_xlfn.XLOOKUP(tblOrdenes[[#This Row],[tipo_ot]],tblTiposOT[codigo],tblTiposOT[clasificacion],"sin_clasificar"))</f>
        <v/>
      </c>
      <c r="U1199" s="3">
        <f>IF(tblOrdenes[[#This Row],[centro_costo]]="","",_xlfn.XLOOKUP(tblOrdenes[[#This Row],[centro_costo]],tblCECO[codigo],tblCECO[linea],"(sin catálogo)"))</f>
        <v/>
      </c>
      <c r="V1199" s="3">
        <f>IF(tblOrdenes[[#This Row],[centro_costo]]="","",_xlfn.XLOOKUP(tblOrdenes[[#This Row],[centro_costo]],tblCECO[codigo],tblCECO[area],"(sin catálogo)"))</f>
        <v/>
      </c>
      <c r="W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3">
        <f>IF(tblOrdenes[[#This Row],[centro_costo]]="","",_xlfn.XLOOKUP(tblOrdenes[[#This Row],[centro_costo]],tblCECO[codigo],tblCECO[coordinador],"(sin catálogo)"))</f>
        <v/>
      </c>
      <c r="Y1199" s="3">
        <f>IF(tblOrdenes[[#This Row],[puesto_trabajo]]="","",_xlfn.XLOOKUP(tblOrdenes[[#This Row],[puesto_trabajo]],tblPuestos[codigo],tblPuestos[especialidad],"(sin catálogo)"))</f>
        <v/>
      </c>
      <c r="Z1199" s="3">
        <f>IF(tblOrdenes[[#This Row],[cod_actividad]]="","",_xlfn.XLOOKUP(tblOrdenes[[#This Row],[cod_actividad]],tblActividades[codigo],tblActividades[descripcion],"(sin catálogo)"))</f>
        <v/>
      </c>
      <c r="AA1199" s="12">
        <f>IF(tblOrdenes[[#This Row],[fecha_inicio]]="","",TODAY()-tblOrdenes[[#This Row],[fecha_inicio]])</f>
        <v/>
      </c>
      <c r="AB1199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3">
        <f>IF(tblOrdenes[[#This Row],[backlog_habiles]]="","",IF(tblOrdenes[[#This Row],[backlog_habiles]]&lt;0,"FUTURO",IF(tblOrdenes[[#This Row],[backlog_habiles]]&gt;p_dias_backlog_max,"BACKLOG","MES CORRIENTE")))</f>
        <v/>
      </c>
      <c r="AD1199" s="3">
        <f>IF(tblOrdenes[[#This Row],[backlog_habiles]]="",FALSE,AND(tblOrdenes[[#This Row],[backlog_habiles]]&gt;p_dias_backlog_min,tblOrdenes[[#This Row],[backlog_habiles]]&lt;=p_dias_backlog_max))</f>
        <v/>
      </c>
      <c r="AE1199" s="6" t="n"/>
      <c r="AF1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0">
        <f>IF(tblOrdenes[[#This Row],[orden]]="","",_xlfn.XLOOKUP(tblOrdenes[[#This Row],[id_operacion]],tblEjecucion[id_operacion],tblEjecucion[precio],0))</f>
        <v/>
      </c>
      <c r="AJ1199" s="10">
        <f>IF(tblOrdenes[[#This Row],[orden]]="","",MAX(0,_xlfn.XLOOKUP(tblOrdenes[[#This Row],[id_operacion]],tblEjecucion[id_operacion],tblEjecucion[costo_plan_total],0)-tblOrdenes[[#This Row],[costo_servicio]]))</f>
        <v/>
      </c>
      <c r="AK1199" s="10">
        <f>IF(tblOrdenes[[#This Row],[orden]]="","",tblOrdenes[[#This Row],[costo_servicio]]+tblOrdenes[[#This Row],[costo_materiales]])</f>
        <v/>
      </c>
      <c r="AL1199" s="6" t="n"/>
      <c r="AM1199" s="6" t="n"/>
      <c r="AN1199" s="6" t="n"/>
      <c r="AO1199" s="3">
        <f>IF(tblOrdenes[[#This Row],[link_checklist]]="","",HYPERLINK(p_ruta_base_checklists&amp;tblOrdenes[[#This Row],[link_checklist]],"abrir"))</f>
        <v/>
      </c>
      <c r="AP1199" s="6" t="n"/>
      <c r="AQ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3">
        <f>IF(tblOrdenes[[#This Row],[tipo_ot]]="","",_xlfn.XLOOKUP(tblOrdenes[[#This Row],[tipo_ot]],tblTiposOT[codigo],tblTiposOT[clasificacion],"sin_clasificar"))</f>
        <v/>
      </c>
      <c r="U1200" s="3">
        <f>IF(tblOrdenes[[#This Row],[centro_costo]]="","",_xlfn.XLOOKUP(tblOrdenes[[#This Row],[centro_costo]],tblCECO[codigo],tblCECO[linea],"(sin catálogo)"))</f>
        <v/>
      </c>
      <c r="V1200" s="3">
        <f>IF(tblOrdenes[[#This Row],[centro_costo]]="","",_xlfn.XLOOKUP(tblOrdenes[[#This Row],[centro_costo]],tblCECO[codigo],tblCECO[area],"(sin catálogo)"))</f>
        <v/>
      </c>
      <c r="W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3">
        <f>IF(tblOrdenes[[#This Row],[centro_costo]]="","",_xlfn.XLOOKUP(tblOrdenes[[#This Row],[centro_costo]],tblCECO[codigo],tblCECO[coordinador],"(sin catálogo)"))</f>
        <v/>
      </c>
      <c r="Y1200" s="3">
        <f>IF(tblOrdenes[[#This Row],[puesto_trabajo]]="","",_xlfn.XLOOKUP(tblOrdenes[[#This Row],[puesto_trabajo]],tblPuestos[codigo],tblPuestos[especialidad],"(sin catálogo)"))</f>
        <v/>
      </c>
      <c r="Z1200" s="3">
        <f>IF(tblOrdenes[[#This Row],[cod_actividad]]="","",_xlfn.XLOOKUP(tblOrdenes[[#This Row],[cod_actividad]],tblActividades[codigo],tblActividades[descripcion],"(sin catálogo)"))</f>
        <v/>
      </c>
      <c r="AA1200" s="12">
        <f>IF(tblOrdenes[[#This Row],[fecha_inicio]]="","",TODAY()-tblOrdenes[[#This Row],[fecha_inicio]])</f>
        <v/>
      </c>
      <c r="AB1200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3">
        <f>IF(tblOrdenes[[#This Row],[backlog_habiles]]="","",IF(tblOrdenes[[#This Row],[backlog_habiles]]&lt;0,"FUTURO",IF(tblOrdenes[[#This Row],[backlog_habiles]]&gt;p_dias_backlog_max,"BACKLOG","MES CORRIENTE")))</f>
        <v/>
      </c>
      <c r="AD1200" s="3">
        <f>IF(tblOrdenes[[#This Row],[backlog_habiles]]="",FALSE,AND(tblOrdenes[[#This Row],[backlog_habiles]]&gt;p_dias_backlog_min,tblOrdenes[[#This Row],[backlog_habiles]]&lt;=p_dias_backlog_max))</f>
        <v/>
      </c>
      <c r="AE1200" s="6" t="n"/>
      <c r="AF1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0">
        <f>IF(tblOrdenes[[#This Row],[orden]]="","",_xlfn.XLOOKUP(tblOrdenes[[#This Row],[id_operacion]],tblEjecucion[id_operacion],tblEjecucion[precio],0))</f>
        <v/>
      </c>
      <c r="AJ1200" s="10">
        <f>IF(tblOrdenes[[#This Row],[orden]]="","",MAX(0,_xlfn.XLOOKUP(tblOrdenes[[#This Row],[id_operacion]],tblEjecucion[id_operacion],tblEjecucion[costo_plan_total],0)-tblOrdenes[[#This Row],[costo_servicio]]))</f>
        <v/>
      </c>
      <c r="AK1200" s="10">
        <f>IF(tblOrdenes[[#This Row],[orden]]="","",tblOrdenes[[#This Row],[costo_servicio]]+tblOrdenes[[#This Row],[costo_materiales]])</f>
        <v/>
      </c>
      <c r="AL1200" s="6" t="n"/>
      <c r="AM1200" s="6" t="n"/>
      <c r="AN1200" s="6" t="n"/>
      <c r="AO1200" s="3">
        <f>IF(tblOrdenes[[#This Row],[link_checklist]]="","",HYPERLINK(p_ruta_base_checklists&amp;tblOrdenes[[#This Row],[link_checklist]],"abrir"))</f>
        <v/>
      </c>
      <c r="AP1200" s="6" t="n"/>
      <c r="AQ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3">
        <f>IF(tblOrdenes[[#This Row],[tipo_ot]]="","",_xlfn.XLOOKUP(tblOrdenes[[#This Row],[tipo_ot]],tblTiposOT[codigo],tblTiposOT[clasificacion],"sin_clasificar"))</f>
        <v/>
      </c>
      <c r="U1201" s="3">
        <f>IF(tblOrdenes[[#This Row],[centro_costo]]="","",_xlfn.XLOOKUP(tblOrdenes[[#This Row],[centro_costo]],tblCECO[codigo],tblCECO[linea],"(sin catálogo)"))</f>
        <v/>
      </c>
      <c r="V1201" s="3">
        <f>IF(tblOrdenes[[#This Row],[centro_costo]]="","",_xlfn.XLOOKUP(tblOrdenes[[#This Row],[centro_costo]],tblCECO[codigo],tblCECO[area],"(sin catálogo)"))</f>
        <v/>
      </c>
      <c r="W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3">
        <f>IF(tblOrdenes[[#This Row],[centro_costo]]="","",_xlfn.XLOOKUP(tblOrdenes[[#This Row],[centro_costo]],tblCECO[codigo],tblCECO[coordinador],"(sin catálogo)"))</f>
        <v/>
      </c>
      <c r="Y1201" s="3">
        <f>IF(tblOrdenes[[#This Row],[puesto_trabajo]]="","",_xlfn.XLOOKUP(tblOrdenes[[#This Row],[puesto_trabajo]],tblPuestos[codigo],tblPuestos[especialidad],"(sin catálogo)"))</f>
        <v/>
      </c>
      <c r="Z1201" s="3">
        <f>IF(tblOrdenes[[#This Row],[cod_actividad]]="","",_xlfn.XLOOKUP(tblOrdenes[[#This Row],[cod_actividad]],tblActividades[codigo],tblActividades[descripcion],"(sin catálogo)"))</f>
        <v/>
      </c>
      <c r="AA1201" s="12">
        <f>IF(tblOrdenes[[#This Row],[fecha_inicio]]="","",TODAY()-tblOrdenes[[#This Row],[fecha_inicio]])</f>
        <v/>
      </c>
      <c r="AB1201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3">
        <f>IF(tblOrdenes[[#This Row],[backlog_habiles]]="","",IF(tblOrdenes[[#This Row],[backlog_habiles]]&lt;0,"FUTURO",IF(tblOrdenes[[#This Row],[backlog_habiles]]&gt;p_dias_backlog_max,"BACKLOG","MES CORRIENTE")))</f>
        <v/>
      </c>
      <c r="AD1201" s="3">
        <f>IF(tblOrdenes[[#This Row],[backlog_habiles]]="",FALSE,AND(tblOrdenes[[#This Row],[backlog_habiles]]&gt;p_dias_backlog_min,tblOrdenes[[#This Row],[backlog_habiles]]&lt;=p_dias_backlog_max))</f>
        <v/>
      </c>
      <c r="AE1201" s="6" t="n"/>
      <c r="AF1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0">
        <f>IF(tblOrdenes[[#This Row],[orden]]="","",_xlfn.XLOOKUP(tblOrdenes[[#This Row],[id_operacion]],tblEjecucion[id_operacion],tblEjecucion[precio],0))</f>
        <v/>
      </c>
      <c r="AJ1201" s="10">
        <f>IF(tblOrdenes[[#This Row],[orden]]="","",MAX(0,_xlfn.XLOOKUP(tblOrdenes[[#This Row],[id_operacion]],tblEjecucion[id_operacion],tblEjecucion[costo_plan_total],0)-tblOrdenes[[#This Row],[costo_servicio]]))</f>
        <v/>
      </c>
      <c r="AK1201" s="10">
        <f>IF(tblOrdenes[[#This Row],[orden]]="","",tblOrdenes[[#This Row],[costo_servicio]]+tblOrdenes[[#This Row],[costo_materiales]])</f>
        <v/>
      </c>
      <c r="AL1201" s="6" t="n"/>
      <c r="AM1201" s="6" t="n"/>
      <c r="AN1201" s="6" t="n"/>
      <c r="AO1201" s="3">
        <f>IF(tblOrdenes[[#This Row],[link_checklist]]="","",HYPERLINK(p_ruta_base_checklists&amp;tblOrdenes[[#This Row],[link_checklist]],"abrir"))</f>
        <v/>
      </c>
      <c r="AP1201" s="6" t="n"/>
      <c r="AQ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3">
        <f>IF(tblOrdenes[[#This Row],[tipo_ot]]="","",_xlfn.XLOOKUP(tblOrdenes[[#This Row],[tipo_ot]],tblTiposOT[codigo],tblTiposOT[clasificacion],"sin_clasificar"))</f>
        <v/>
      </c>
      <c r="U1202" s="3">
        <f>IF(tblOrdenes[[#This Row],[centro_costo]]="","",_xlfn.XLOOKUP(tblOrdenes[[#This Row],[centro_costo]],tblCECO[codigo],tblCECO[linea],"(sin catálogo)"))</f>
        <v/>
      </c>
      <c r="V1202" s="3">
        <f>IF(tblOrdenes[[#This Row],[centro_costo]]="","",_xlfn.XLOOKUP(tblOrdenes[[#This Row],[centro_costo]],tblCECO[codigo],tblCECO[area],"(sin catálogo)"))</f>
        <v/>
      </c>
      <c r="W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3">
        <f>IF(tblOrdenes[[#This Row],[centro_costo]]="","",_xlfn.XLOOKUP(tblOrdenes[[#This Row],[centro_costo]],tblCECO[codigo],tblCECO[coordinador],"(sin catálogo)"))</f>
        <v/>
      </c>
      <c r="Y1202" s="3">
        <f>IF(tblOrdenes[[#This Row],[puesto_trabajo]]="","",_xlfn.XLOOKUP(tblOrdenes[[#This Row],[puesto_trabajo]],tblPuestos[codigo],tblPuestos[especialidad],"(sin catálogo)"))</f>
        <v/>
      </c>
      <c r="Z1202" s="3">
        <f>IF(tblOrdenes[[#This Row],[cod_actividad]]="","",_xlfn.XLOOKUP(tblOrdenes[[#This Row],[cod_actividad]],tblActividades[codigo],tblActividades[descripcion],"(sin catálogo)"))</f>
        <v/>
      </c>
      <c r="AA1202" s="12">
        <f>IF(tblOrdenes[[#This Row],[fecha_inicio]]="","",TODAY()-tblOrdenes[[#This Row],[fecha_inicio]])</f>
        <v/>
      </c>
      <c r="AB1202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3">
        <f>IF(tblOrdenes[[#This Row],[backlog_habiles]]="","",IF(tblOrdenes[[#This Row],[backlog_habiles]]&lt;0,"FUTURO",IF(tblOrdenes[[#This Row],[backlog_habiles]]&gt;p_dias_backlog_max,"BACKLOG","MES CORRIENTE")))</f>
        <v/>
      </c>
      <c r="AD1202" s="3">
        <f>IF(tblOrdenes[[#This Row],[backlog_habiles]]="",FALSE,AND(tblOrdenes[[#This Row],[backlog_habiles]]&gt;p_dias_backlog_min,tblOrdenes[[#This Row],[backlog_habiles]]&lt;=p_dias_backlog_max))</f>
        <v/>
      </c>
      <c r="AE1202" s="6" t="n"/>
      <c r="AF1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0">
        <f>IF(tblOrdenes[[#This Row],[orden]]="","",_xlfn.XLOOKUP(tblOrdenes[[#This Row],[id_operacion]],tblEjecucion[id_operacion],tblEjecucion[precio],0))</f>
        <v/>
      </c>
      <c r="AJ1202" s="10">
        <f>IF(tblOrdenes[[#This Row],[orden]]="","",MAX(0,_xlfn.XLOOKUP(tblOrdenes[[#This Row],[id_operacion]],tblEjecucion[id_operacion],tblEjecucion[costo_plan_total],0)-tblOrdenes[[#This Row],[costo_servicio]]))</f>
        <v/>
      </c>
      <c r="AK1202" s="10">
        <f>IF(tblOrdenes[[#This Row],[orden]]="","",tblOrdenes[[#This Row],[costo_servicio]]+tblOrdenes[[#This Row],[costo_materiales]])</f>
        <v/>
      </c>
      <c r="AL1202" s="6" t="n"/>
      <c r="AM1202" s="6" t="n"/>
      <c r="AN1202" s="6" t="n"/>
      <c r="AO1202" s="3">
        <f>IF(tblOrdenes[[#This Row],[link_checklist]]="","",HYPERLINK(p_ruta_base_checklists&amp;tblOrdenes[[#This Row],[link_checklist]],"abrir"))</f>
        <v/>
      </c>
      <c r="AP1202" s="6" t="n"/>
      <c r="AQ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3">
        <f>IF(tblOrdenes[[#This Row],[tipo_ot]]="","",_xlfn.XLOOKUP(tblOrdenes[[#This Row],[tipo_ot]],tblTiposOT[codigo],tblTiposOT[clasificacion],"sin_clasificar"))</f>
        <v/>
      </c>
      <c r="U1203" s="3">
        <f>IF(tblOrdenes[[#This Row],[centro_costo]]="","",_xlfn.XLOOKUP(tblOrdenes[[#This Row],[centro_costo]],tblCECO[codigo],tblCECO[linea],"(sin catálogo)"))</f>
        <v/>
      </c>
      <c r="V1203" s="3">
        <f>IF(tblOrdenes[[#This Row],[centro_costo]]="","",_xlfn.XLOOKUP(tblOrdenes[[#This Row],[centro_costo]],tblCECO[codigo],tblCECO[area],"(sin catálogo)"))</f>
        <v/>
      </c>
      <c r="W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3">
        <f>IF(tblOrdenes[[#This Row],[centro_costo]]="","",_xlfn.XLOOKUP(tblOrdenes[[#This Row],[centro_costo]],tblCECO[codigo],tblCECO[coordinador],"(sin catálogo)"))</f>
        <v/>
      </c>
      <c r="Y1203" s="3">
        <f>IF(tblOrdenes[[#This Row],[puesto_trabajo]]="","",_xlfn.XLOOKUP(tblOrdenes[[#This Row],[puesto_trabajo]],tblPuestos[codigo],tblPuestos[especialidad],"(sin catálogo)"))</f>
        <v/>
      </c>
      <c r="Z1203" s="3">
        <f>IF(tblOrdenes[[#This Row],[cod_actividad]]="","",_xlfn.XLOOKUP(tblOrdenes[[#This Row],[cod_actividad]],tblActividades[codigo],tblActividades[descripcion],"(sin catálogo)"))</f>
        <v/>
      </c>
      <c r="AA1203" s="12">
        <f>IF(tblOrdenes[[#This Row],[fecha_inicio]]="","",TODAY()-tblOrdenes[[#This Row],[fecha_inicio]])</f>
        <v/>
      </c>
      <c r="AB1203" s="12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3">
        <f>IF(tblOrdenes[[#This Row],[backlog_habiles]]="","",IF(tblOrdenes[[#This Row],[backlog_habiles]]&lt;0,"FUTURO",IF(tblOrdenes[[#This Row],[backlog_habiles]]&gt;p_dias_backlog_max,"BACKLOG","MES CORRIENTE")))</f>
        <v/>
      </c>
      <c r="AD1203" s="3">
        <f>IF(tblOrdenes[[#This Row],[backlog_habiles]]="",FALSE,AND(tblOrdenes[[#This Row],[backlog_habiles]]&gt;p_dias_backlog_min,tblOrdenes[[#This Row],[backlog_habiles]]&lt;=p_dias_backlog_max))</f>
        <v/>
      </c>
      <c r="AE1203" s="6" t="n"/>
      <c r="AF1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0">
        <f>IF(tblOrdenes[[#This Row],[orden]]="","",_xlfn.XLOOKUP(tblOrdenes[[#This Row],[id_operacion]],tblEjecucion[id_operacion],tblEjecucion[precio],0))</f>
        <v/>
      </c>
      <c r="AJ1203" s="10">
        <f>IF(tblOrdenes[[#This Row],[orden]]="","",MAX(0,_xlfn.XLOOKUP(tblOrdenes[[#This Row],[id_operacion]],tblEjecucion[id_operacion],tblEjecucion[costo_plan_total],0)-tblOrdenes[[#This Row],[costo_servicio]]))</f>
        <v/>
      </c>
      <c r="AK1203" s="10">
        <f>IF(tblOrdenes[[#This Row],[orden]]="","",tblOrdenes[[#This Row],[costo_servicio]]+tblOrdenes[[#This Row],[costo_materiales]])</f>
        <v/>
      </c>
      <c r="AL1203" s="6" t="n"/>
      <c r="AM1203" s="6" t="n"/>
      <c r="AN1203" s="6" t="n"/>
      <c r="AO1203" s="3">
        <f>IF(tblOrdenes[[#This Row],[link_checklist]]="","",HYPERLINK(p_ruta_base_checklists&amp;tblOrdenes[[#This Row],[link_checklist]],"abrir"))</f>
        <v/>
      </c>
      <c r="AP1203" s="6" t="n"/>
      <c r="AQ1203" s="3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J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2" customWidth="1" min="8" max="8"/>
    <col width="16" customWidth="1" min="9" max="9"/>
    <col width="26" customWidth="1" min="10" max="10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fecha</t>
        </is>
      </c>
      <c r="I3" s="5" t="inlineStr">
        <is>
          <t>horas_disponibles</t>
        </is>
      </c>
      <c r="J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" s="3">
        <f>tblAsignaciones[[#This Row],[semana]]&amp;"|"&amp;tblAsignaciones[[#This Row],[dia]]&amp;"|"&amp;tblAsignaciones[[#This Row],[tecnico]]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" s="3">
        <f>tblAsignaciones[[#This Row],[semana]]&amp;"|"&amp;tblAsignaciones[[#This Row],[dia]]&amp;"|"&amp;tblAsignaciones[[#This Row],[tecnico]]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" s="3">
        <f>tblAsignaciones[[#This Row],[semana]]&amp;"|"&amp;tblAsignaciones[[#This Row],[dia]]&amp;"|"&amp;tblAsignaciones[[#This Row],[tecnico]]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" s="3">
        <f>tblAsignaciones[[#This Row],[semana]]&amp;"|"&amp;tblAsignaciones[[#This Row],[dia]]&amp;"|"&amp;tblAsignaciones[[#This Row],[tecnico]]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" s="3">
        <f>tblAsignaciones[[#This Row],[semana]]&amp;"|"&amp;tblAsignaciones[[#This Row],[dia]]&amp;"|"&amp;tblAsignaciones[[#This Row],[tecnico]]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>
        <is>
          <t>T1</t>
        </is>
      </c>
      <c r="G9" s="3">
        <f>_xlfn.XLOOKUP(tblAsignaciones[[#This Row],[tecnico]],tblTecnicos[nombre],tblTecnicos[coordinador],"")</f>
        <v/>
      </c>
      <c r="H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" s="3">
        <f>tblAsignaciones[[#This Row],[semana]]&amp;"|"&amp;tblAsignaciones[[#This Row],[dia]]&amp;"|"&amp;tblAsignaciones[[#This Row],[tecnico]]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" s="3">
        <f>tblAsignaciones[[#This Row],[semana]]&amp;"|"&amp;tblAsignaciones[[#This Row],[dia]]&amp;"|"&amp;tblAsignaciones[[#This Row],[tecnico]]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" s="3">
        <f>tblAsignaciones[[#This Row],[semana]]&amp;"|"&amp;tblAsignaciones[[#This Row],[dia]]&amp;"|"&amp;tblAsignaciones[[#This Row],[tecnico]]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" s="3">
        <f>tblAsignaciones[[#This Row],[semana]]&amp;"|"&amp;tblAsignaciones[[#This Row],[dia]]&amp;"|"&amp;tblAsignaciones[[#This Row],[tecnico]]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" s="3">
        <f>tblAsignaciones[[#This Row],[semana]]&amp;"|"&amp;tblAsignaciones[[#This Row],[dia]]&amp;"|"&amp;tblAsignaciones[[#This Row],[tecnico]]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" s="3">
        <f>tblAsignaciones[[#This Row],[semana]]&amp;"|"&amp;tblAsignaciones[[#This Row],[dia]]&amp;"|"&amp;tblAsignaciones[[#This Row],[tecnico]]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" s="3">
        <f>tblAsignaciones[[#This Row],[semana]]&amp;"|"&amp;tblAsignaciones[[#This Row],[dia]]&amp;"|"&amp;tblAsignaciones[[#This Row],[tecnico]]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>
        <is>
          <t>T2</t>
        </is>
      </c>
      <c r="G16" s="3">
        <f>_xlfn.XLOOKUP(tblAsignaciones[[#This Row],[tecnico]],tblTecnicos[nombre],tblTecnicos[coordinador],"")</f>
        <v/>
      </c>
      <c r="H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" s="3">
        <f>tblAsignaciones[[#This Row],[semana]]&amp;"|"&amp;tblAsignaciones[[#This Row],[dia]]&amp;"|"&amp;tblAsignaciones[[#This Row],[tecnico]]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" s="3">
        <f>tblAsignaciones[[#This Row],[semana]]&amp;"|"&amp;tblAsignaciones[[#This Row],[dia]]&amp;"|"&amp;tblAsignaciones[[#This Row],[tecnico]]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" s="3">
        <f>tblAsignaciones[[#This Row],[semana]]&amp;"|"&amp;tblAsignaciones[[#This Row],[dia]]&amp;"|"&amp;tblAsignaciones[[#This Row],[tecnico]]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" s="3">
        <f>tblAsignaciones[[#This Row],[semana]]&amp;"|"&amp;tblAsignaciones[[#This Row],[dia]]&amp;"|"&amp;tblAsignaciones[[#This Row],[tecnico]]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" s="3">
        <f>tblAsignaciones[[#This Row],[semana]]&amp;"|"&amp;tblAsignaciones[[#This Row],[dia]]&amp;"|"&amp;tblAsignaciones[[#This Row],[tecnico]]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" s="3">
        <f>tblAsignaciones[[#This Row],[semana]]&amp;"|"&amp;tblAsignaciones[[#This Row],[dia]]&amp;"|"&amp;tblAsignaciones[[#This Row],[tecnico]]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" s="3">
        <f>tblAsignaciones[[#This Row],[semana]]&amp;"|"&amp;tblAsignaciones[[#This Row],[dia]]&amp;"|"&amp;tblAsignaciones[[#This Row],[tecnico]]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>
        <is>
          <t>T1</t>
        </is>
      </c>
      <c r="G23" s="3">
        <f>_xlfn.XLOOKUP(tblAsignaciones[[#This Row],[tecnico]],tblTecnicos[nombre],tblTecnicos[coordinador],"")</f>
        <v/>
      </c>
      <c r="H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" s="3">
        <f>tblAsignaciones[[#This Row],[semana]]&amp;"|"&amp;tblAsignaciones[[#This Row],[dia]]&amp;"|"&amp;tblAsignaciones[[#This Row],[tecnico]]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" s="3">
        <f>tblAsignaciones[[#This Row],[semana]]&amp;"|"&amp;tblAsignaciones[[#This Row],[dia]]&amp;"|"&amp;tblAsignaciones[[#This Row],[tecnico]]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" s="3">
        <f>tblAsignaciones[[#This Row],[semana]]&amp;"|"&amp;tblAsignaciones[[#This Row],[dia]]&amp;"|"&amp;tblAsignaciones[[#This Row],[tecnico]]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" s="3">
        <f>tblAsignaciones[[#This Row],[semana]]&amp;"|"&amp;tblAsignaciones[[#This Row],[dia]]&amp;"|"&amp;tblAsignaciones[[#This Row],[tecnico]]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" s="3">
        <f>tblAsignaciones[[#This Row],[semana]]&amp;"|"&amp;tblAsignaciones[[#This Row],[dia]]&amp;"|"&amp;tblAsignaciones[[#This Row],[tecnico]]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" s="3">
        <f>tblAsignaciones[[#This Row],[semana]]&amp;"|"&amp;tblAsignaciones[[#This Row],[dia]]&amp;"|"&amp;tblAsignaciones[[#This Row],[tecnico]]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" s="3">
        <f>tblAsignaciones[[#This Row],[semana]]&amp;"|"&amp;tblAsignaciones[[#This Row],[dia]]&amp;"|"&amp;tblAsignaciones[[#This Row],[tecnico]]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>
        <is>
          <t>T1</t>
        </is>
      </c>
      <c r="G30" s="3">
        <f>_xlfn.XLOOKUP(tblAsignaciones[[#This Row],[tecnico]],tblTecnicos[nombre],tblTecnicos[coordinador],"")</f>
        <v/>
      </c>
      <c r="H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" s="3">
        <f>tblAsignaciones[[#This Row],[semana]]&amp;"|"&amp;tblAsignaciones[[#This Row],[dia]]&amp;"|"&amp;tblAsignaciones[[#This Row],[tecnico]]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" s="3">
        <f>tblAsignaciones[[#This Row],[semana]]&amp;"|"&amp;tblAsignaciones[[#This Row],[dia]]&amp;"|"&amp;tblAsignaciones[[#This Row],[tecnico]]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" s="3">
        <f>tblAsignaciones[[#This Row],[semana]]&amp;"|"&amp;tblAsignaciones[[#This Row],[dia]]&amp;"|"&amp;tblAsignaciones[[#This Row],[tecnico]]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" s="3">
        <f>tblAsignaciones[[#This Row],[semana]]&amp;"|"&amp;tblAsignaciones[[#This Row],[dia]]&amp;"|"&amp;tblAsignaciones[[#This Row],[tecnico]]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4" s="3">
        <f>tblAsignaciones[[#This Row],[semana]]&amp;"|"&amp;tblAsignaciones[[#This Row],[dia]]&amp;"|"&amp;tblAsignaciones[[#This Row],[tecnico]]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5" s="3">
        <f>tblAsignaciones[[#This Row],[semana]]&amp;"|"&amp;tblAsignaciones[[#This Row],[dia]]&amp;"|"&amp;tblAsignaciones[[#This Row],[tecnico]]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6" s="3">
        <f>tblAsignaciones[[#This Row],[semana]]&amp;"|"&amp;tblAsignaciones[[#This Row],[dia]]&amp;"|"&amp;tblAsignaciones[[#This Row],[tecnico]]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>
        <is>
          <t>T1</t>
        </is>
      </c>
      <c r="G37" s="3">
        <f>_xlfn.XLOOKUP(tblAsignaciones[[#This Row],[tecnico]],tblTecnicos[nombre],tblTecnicos[coordinador],"")</f>
        <v/>
      </c>
      <c r="H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7" s="3">
        <f>tblAsignaciones[[#This Row],[semana]]&amp;"|"&amp;tblAsignaciones[[#This Row],[dia]]&amp;"|"&amp;tblAsignaciones[[#This Row],[tecnico]]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8" s="3">
        <f>tblAsignaciones[[#This Row],[semana]]&amp;"|"&amp;tblAsignaciones[[#This Row],[dia]]&amp;"|"&amp;tblAsignaciones[[#This Row],[tecnico]]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9" s="3">
        <f>tblAsignaciones[[#This Row],[semana]]&amp;"|"&amp;tblAsignaciones[[#This Row],[dia]]&amp;"|"&amp;tblAsignaciones[[#This Row],[tecnico]]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0" s="3">
        <f>tblAsignaciones[[#This Row],[semana]]&amp;"|"&amp;tblAsignaciones[[#This Row],[dia]]&amp;"|"&amp;tblAsignaciones[[#This Row],[tecnico]]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1" s="3">
        <f>tblAsignaciones[[#This Row],[semana]]&amp;"|"&amp;tblAsignaciones[[#This Row],[dia]]&amp;"|"&amp;tblAsignaciones[[#This Row],[tecnico]]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2" s="3">
        <f>tblAsignaciones[[#This Row],[semana]]&amp;"|"&amp;tblAsignaciones[[#This Row],[dia]]&amp;"|"&amp;tblAsignaciones[[#This Row],[tecnico]]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3" s="3">
        <f>tblAsignaciones[[#This Row],[semana]]&amp;"|"&amp;tblAsignaciones[[#This Row],[dia]]&amp;"|"&amp;tblAsignaciones[[#This Row],[tecnico]]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>
        <is>
          <t>T1</t>
        </is>
      </c>
      <c r="G44" s="3">
        <f>_xlfn.XLOOKUP(tblAsignaciones[[#This Row],[tecnico]],tblTecnicos[nombre],tblTecnicos[coordinador],"")</f>
        <v/>
      </c>
      <c r="H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4" s="3">
        <f>tblAsignaciones[[#This Row],[semana]]&amp;"|"&amp;tblAsignaciones[[#This Row],[dia]]&amp;"|"&amp;tblAsignaciones[[#This Row],[tecnico]]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5" s="3">
        <f>tblAsignaciones[[#This Row],[semana]]&amp;"|"&amp;tblAsignaciones[[#This Row],[dia]]&amp;"|"&amp;tblAsignaciones[[#This Row],[tecnico]]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6" s="3">
        <f>tblAsignaciones[[#This Row],[semana]]&amp;"|"&amp;tblAsignaciones[[#This Row],[dia]]&amp;"|"&amp;tblAsignaciones[[#This Row],[tecnico]]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7" s="3">
        <f>tblAsignaciones[[#This Row],[semana]]&amp;"|"&amp;tblAsignaciones[[#This Row],[dia]]&amp;"|"&amp;tblAsignaciones[[#This Row],[tecnico]]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8" s="3">
        <f>tblAsignaciones[[#This Row],[semana]]&amp;"|"&amp;tblAsignaciones[[#This Row],[dia]]&amp;"|"&amp;tblAsignaciones[[#This Row],[tecnico]]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49" s="3">
        <f>tblAsignaciones[[#This Row],[semana]]&amp;"|"&amp;tblAsignaciones[[#This Row],[dia]]&amp;"|"&amp;tblAsignaciones[[#This Row],[tecnico]]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0" s="3">
        <f>tblAsignaciones[[#This Row],[semana]]&amp;"|"&amp;tblAsignaciones[[#This Row],[dia]]&amp;"|"&amp;tblAsignaciones[[#This Row],[tecnico]]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>
        <is>
          <t>T1</t>
        </is>
      </c>
      <c r="G51" s="3">
        <f>_xlfn.XLOOKUP(tblAsignaciones[[#This Row],[tecnico]],tblTecnicos[nombre],tblTecnicos[coordinador],"")</f>
        <v/>
      </c>
      <c r="H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1" s="3">
        <f>tblAsignaciones[[#This Row],[semana]]&amp;"|"&amp;tblAsignaciones[[#This Row],[dia]]&amp;"|"&amp;tblAsignaciones[[#This Row],[tecnico]]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2" s="3">
        <f>tblAsignaciones[[#This Row],[semana]]&amp;"|"&amp;tblAsignaciones[[#This Row],[dia]]&amp;"|"&amp;tblAsignaciones[[#This Row],[tecnico]]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3" s="3">
        <f>tblAsignaciones[[#This Row],[semana]]&amp;"|"&amp;tblAsignaciones[[#This Row],[dia]]&amp;"|"&amp;tblAsignaciones[[#This Row],[tecnico]]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4" s="3">
        <f>tblAsignaciones[[#This Row],[semana]]&amp;"|"&amp;tblAsignaciones[[#This Row],[dia]]&amp;"|"&amp;tblAsignaciones[[#This Row],[tecnico]]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5" s="3">
        <f>tblAsignaciones[[#This Row],[semana]]&amp;"|"&amp;tblAsignaciones[[#This Row],[dia]]&amp;"|"&amp;tblAsignaciones[[#This Row],[tecnico]]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6" s="3">
        <f>tblAsignaciones[[#This Row],[semana]]&amp;"|"&amp;tblAsignaciones[[#This Row],[dia]]&amp;"|"&amp;tblAsignaciones[[#This Row],[tecnico]]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7" s="3">
        <f>tblAsignaciones[[#This Row],[semana]]&amp;"|"&amp;tblAsignaciones[[#This Row],[dia]]&amp;"|"&amp;tblAsignaciones[[#This Row],[tecnico]]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>
        <is>
          <t>T3</t>
        </is>
      </c>
      <c r="G58" s="3">
        <f>_xlfn.XLOOKUP(tblAsignaciones[[#This Row],[tecnico]],tblTecnicos[nombre],tblTecnicos[coordinador],"")</f>
        <v/>
      </c>
      <c r="H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8" s="3">
        <f>tblAsignaciones[[#This Row],[semana]]&amp;"|"&amp;tblAsignaciones[[#This Row],[dia]]&amp;"|"&amp;tblAsignaciones[[#This Row],[tecnico]]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59" s="3">
        <f>tblAsignaciones[[#This Row],[semana]]&amp;"|"&amp;tblAsignaciones[[#This Row],[dia]]&amp;"|"&amp;tblAsignaciones[[#This Row],[tecnico]]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0" s="3">
        <f>tblAsignaciones[[#This Row],[semana]]&amp;"|"&amp;tblAsignaciones[[#This Row],[dia]]&amp;"|"&amp;tblAsignaciones[[#This Row],[tecnico]]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1" s="3">
        <f>tblAsignaciones[[#This Row],[semana]]&amp;"|"&amp;tblAsignaciones[[#This Row],[dia]]&amp;"|"&amp;tblAsignaciones[[#This Row],[tecnico]]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2" s="3">
        <f>tblAsignaciones[[#This Row],[semana]]&amp;"|"&amp;tblAsignaciones[[#This Row],[dia]]&amp;"|"&amp;tblAsignaciones[[#This Row],[tecnico]]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3" s="3">
        <f>tblAsignaciones[[#This Row],[semana]]&amp;"|"&amp;tblAsignaciones[[#This Row],[dia]]&amp;"|"&amp;tblAsignaciones[[#This Row],[tecnico]]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4" s="3">
        <f>tblAsignaciones[[#This Row],[semana]]&amp;"|"&amp;tblAsignaciones[[#This Row],[dia]]&amp;"|"&amp;tblAsignaciones[[#This Row],[tecnico]]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>
        <is>
          <t>T1</t>
        </is>
      </c>
      <c r="G65" s="3">
        <f>_xlfn.XLOOKUP(tblAsignaciones[[#This Row],[tecnico]],tblTecnicos[nombre],tblTecnicos[coordinador],"")</f>
        <v/>
      </c>
      <c r="H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5" s="3">
        <f>tblAsignaciones[[#This Row],[semana]]&amp;"|"&amp;tblAsignaciones[[#This Row],[dia]]&amp;"|"&amp;tblAsignaciones[[#This Row],[tecnico]]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6" s="3">
        <f>tblAsignaciones[[#This Row],[semana]]&amp;"|"&amp;tblAsignaciones[[#This Row],[dia]]&amp;"|"&amp;tblAsignaciones[[#This Row],[tecnico]]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7" s="3">
        <f>tblAsignaciones[[#This Row],[semana]]&amp;"|"&amp;tblAsignaciones[[#This Row],[dia]]&amp;"|"&amp;tblAsignaciones[[#This Row],[tecnico]]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8" s="3">
        <f>tblAsignaciones[[#This Row],[semana]]&amp;"|"&amp;tblAsignaciones[[#This Row],[dia]]&amp;"|"&amp;tblAsignaciones[[#This Row],[tecnico]]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69" s="3">
        <f>tblAsignaciones[[#This Row],[semana]]&amp;"|"&amp;tblAsignaciones[[#This Row],[dia]]&amp;"|"&amp;tblAsignaciones[[#This Row],[tecnico]]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0" s="3">
        <f>tblAsignaciones[[#This Row],[semana]]&amp;"|"&amp;tblAsignaciones[[#This Row],[dia]]&amp;"|"&amp;tblAsignaciones[[#This Row],[tecnico]]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1" s="3">
        <f>tblAsignaciones[[#This Row],[semana]]&amp;"|"&amp;tblAsignaciones[[#This Row],[dia]]&amp;"|"&amp;tblAsignaciones[[#This Row],[tecnico]]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>
        <is>
          <t>B1</t>
        </is>
      </c>
      <c r="G72" s="3">
        <f>_xlfn.XLOOKUP(tblAsignaciones[[#This Row],[tecnico]],tblTecnicos[nombre],tblTecnicos[coordinador],"")</f>
        <v/>
      </c>
      <c r="H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2" s="3">
        <f>tblAsignaciones[[#This Row],[semana]]&amp;"|"&amp;tblAsignaciones[[#This Row],[dia]]&amp;"|"&amp;tblAsignaciones[[#This Row],[tecnico]]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3" s="3">
        <f>tblAsignaciones[[#This Row],[semana]]&amp;"|"&amp;tblAsignaciones[[#This Row],[dia]]&amp;"|"&amp;tblAsignaciones[[#This Row],[tecnico]]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4" s="3">
        <f>tblAsignaciones[[#This Row],[semana]]&amp;"|"&amp;tblAsignaciones[[#This Row],[dia]]&amp;"|"&amp;tblAsignaciones[[#This Row],[tecnico]]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5" s="3">
        <f>tblAsignaciones[[#This Row],[semana]]&amp;"|"&amp;tblAsignaciones[[#This Row],[dia]]&amp;"|"&amp;tblAsignaciones[[#This Row],[tecnico]]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6" s="3">
        <f>tblAsignaciones[[#This Row],[semana]]&amp;"|"&amp;tblAsignaciones[[#This Row],[dia]]&amp;"|"&amp;tblAsignaciones[[#This Row],[tecnico]]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7" s="3">
        <f>tblAsignaciones[[#This Row],[semana]]&amp;"|"&amp;tblAsignaciones[[#This Row],[dia]]&amp;"|"&amp;tblAsignaciones[[#This Row],[tecnico]]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8" s="3">
        <f>tblAsignaciones[[#This Row],[semana]]&amp;"|"&amp;tblAsignaciones[[#This Row],[dia]]&amp;"|"&amp;tblAsignaciones[[#This Row],[tecnico]]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>
        <is>
          <t>T1</t>
        </is>
      </c>
      <c r="G79" s="3">
        <f>_xlfn.XLOOKUP(tblAsignaciones[[#This Row],[tecnico]],tblTecnicos[nombre],tblTecnicos[coordinador],"")</f>
        <v/>
      </c>
      <c r="H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79" s="3">
        <f>tblAsignaciones[[#This Row],[semana]]&amp;"|"&amp;tblAsignaciones[[#This Row],[dia]]&amp;"|"&amp;tblAsignaciones[[#This Row],[tecnico]]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0" s="3">
        <f>tblAsignaciones[[#This Row],[semana]]&amp;"|"&amp;tblAsignaciones[[#This Row],[dia]]&amp;"|"&amp;tblAsignaciones[[#This Row],[tecnico]]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1" s="3">
        <f>tblAsignaciones[[#This Row],[semana]]&amp;"|"&amp;tblAsignaciones[[#This Row],[dia]]&amp;"|"&amp;tblAsignaciones[[#This Row],[tecnico]]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2" s="3">
        <f>tblAsignaciones[[#This Row],[semana]]&amp;"|"&amp;tblAsignaciones[[#This Row],[dia]]&amp;"|"&amp;tblAsignaciones[[#This Row],[tecnico]]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3" s="3">
        <f>tblAsignaciones[[#This Row],[semana]]&amp;"|"&amp;tblAsignaciones[[#This Row],[dia]]&amp;"|"&amp;tblAsignaciones[[#This Row],[tecnico]]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4" s="3">
        <f>tblAsignaciones[[#This Row],[semana]]&amp;"|"&amp;tblAsignaciones[[#This Row],[dia]]&amp;"|"&amp;tblAsignaciones[[#This Row],[tecnico]]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5" s="3">
        <f>tblAsignaciones[[#This Row],[semana]]&amp;"|"&amp;tblAsignaciones[[#This Row],[dia]]&amp;"|"&amp;tblAsignaciones[[#This Row],[tecnico]]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>
        <is>
          <t>T1</t>
        </is>
      </c>
      <c r="G86" s="3">
        <f>_xlfn.XLOOKUP(tblAsignaciones[[#This Row],[tecnico]],tblTecnicos[nombre],tblTecnicos[coordinador],"")</f>
        <v/>
      </c>
      <c r="H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6" s="3">
        <f>tblAsignaciones[[#This Row],[semana]]&amp;"|"&amp;tblAsignaciones[[#This Row],[dia]]&amp;"|"&amp;tblAsignaciones[[#This Row],[tecnico]]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7" s="3">
        <f>tblAsignaciones[[#This Row],[semana]]&amp;"|"&amp;tblAsignaciones[[#This Row],[dia]]&amp;"|"&amp;tblAsignaciones[[#This Row],[tecnico]]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8" s="3">
        <f>tblAsignaciones[[#This Row],[semana]]&amp;"|"&amp;tblAsignaciones[[#This Row],[dia]]&amp;"|"&amp;tblAsignaciones[[#This Row],[tecnico]]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89" s="3">
        <f>tblAsignaciones[[#This Row],[semana]]&amp;"|"&amp;tblAsignaciones[[#This Row],[dia]]&amp;"|"&amp;tblAsignaciones[[#This Row],[tecnico]]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0" s="3">
        <f>tblAsignaciones[[#This Row],[semana]]&amp;"|"&amp;tblAsignaciones[[#This Row],[dia]]&amp;"|"&amp;tblAsignaciones[[#This Row],[tecnico]]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1" s="3">
        <f>tblAsignaciones[[#This Row],[semana]]&amp;"|"&amp;tblAsignaciones[[#This Row],[dia]]&amp;"|"&amp;tblAsignaciones[[#This Row],[tecnico]]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2" s="3">
        <f>tblAsignaciones[[#This Row],[semana]]&amp;"|"&amp;tblAsignaciones[[#This Row],[dia]]&amp;"|"&amp;tblAsignaciones[[#This Row],[tecnico]]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>
        <is>
          <t>T1</t>
        </is>
      </c>
      <c r="G93" s="3">
        <f>_xlfn.XLOOKUP(tblAsignaciones[[#This Row],[tecnico]],tblTecnicos[nombre],tblTecnicos[coordinador],"")</f>
        <v/>
      </c>
      <c r="H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3" s="3">
        <f>tblAsignaciones[[#This Row],[semana]]&amp;"|"&amp;tblAsignaciones[[#This Row],[dia]]&amp;"|"&amp;tblAsignaciones[[#This Row],[tecnico]]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4" s="3">
        <f>tblAsignaciones[[#This Row],[semana]]&amp;"|"&amp;tblAsignaciones[[#This Row],[dia]]&amp;"|"&amp;tblAsignaciones[[#This Row],[tecnico]]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5" s="3">
        <f>tblAsignaciones[[#This Row],[semana]]&amp;"|"&amp;tblAsignaciones[[#This Row],[dia]]&amp;"|"&amp;tblAsignaciones[[#This Row],[tecnico]]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6" s="3">
        <f>tblAsignaciones[[#This Row],[semana]]&amp;"|"&amp;tblAsignaciones[[#This Row],[dia]]&amp;"|"&amp;tblAsignaciones[[#This Row],[tecnico]]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7" s="3">
        <f>tblAsignaciones[[#This Row],[semana]]&amp;"|"&amp;tblAsignaciones[[#This Row],[dia]]&amp;"|"&amp;tblAsignaciones[[#This Row],[tecnico]]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8" s="3">
        <f>tblAsignaciones[[#This Row],[semana]]&amp;"|"&amp;tblAsignaciones[[#This Row],[dia]]&amp;"|"&amp;tblAsignaciones[[#This Row],[tecnico]]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>
        <is>
          <t>T2</t>
        </is>
      </c>
      <c r="G100" s="3">
        <f>_xlfn.XLOOKUP(tblAsignaciones[[#This Row],[tecnico]],tblTecnicos[nombre],tblTecnicos[coordinador],"")</f>
        <v/>
      </c>
      <c r="H1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>
        <is>
          <t>T1</t>
        </is>
      </c>
      <c r="G107" s="3">
        <f>_xlfn.XLOOKUP(tblAsignaciones[[#This Row],[tecnico]],tblTecnicos[nombre],tblTecnicos[coordinador],"")</f>
        <v/>
      </c>
      <c r="H1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>
        <is>
          <t>T1</t>
        </is>
      </c>
      <c r="G114" s="3">
        <f>_xlfn.XLOOKUP(tblAsignaciones[[#This Row],[tecnico]],tblTecnicos[nombre],tblTecnicos[coordinador],"")</f>
        <v/>
      </c>
      <c r="H1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>
        <is>
          <t>T1</t>
        </is>
      </c>
      <c r="G121" s="3">
        <f>_xlfn.XLOOKUP(tblAsignaciones[[#This Row],[tecnico]],tblTecnicos[nombre],tblTecnicos[coordinador],"")</f>
        <v/>
      </c>
      <c r="H1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>
        <is>
          <t>T1</t>
        </is>
      </c>
      <c r="G128" s="3">
        <f>_xlfn.XLOOKUP(tblAsignaciones[[#This Row],[tecnico]],tblTecnicos[nombre],tblTecnicos[coordinador],"")</f>
        <v/>
      </c>
      <c r="H1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>
        <is>
          <t>T1</t>
        </is>
      </c>
      <c r="G135" s="3">
        <f>_xlfn.XLOOKUP(tblAsignaciones[[#This Row],[tecnico]],tblTecnicos[nombre],tblTecnicos[coordinador],"")</f>
        <v/>
      </c>
      <c r="H1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>
        <is>
          <t>T3</t>
        </is>
      </c>
      <c r="G142" s="3">
        <f>_xlfn.XLOOKUP(tblAsignaciones[[#This Row],[tecnico]],tblTecnicos[nombre],tblTecnicos[coordinador],"")</f>
        <v/>
      </c>
      <c r="H1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>
        <is>
          <t>T1</t>
        </is>
      </c>
      <c r="G149" s="3">
        <f>_xlfn.XLOOKUP(tblAsignaciones[[#This Row],[tecnico]],tblTecnicos[nombre],tblTecnicos[coordinador],"")</f>
        <v/>
      </c>
      <c r="H1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>
        <is>
          <t>B1</t>
        </is>
      </c>
      <c r="G156" s="3">
        <f>_xlfn.XLOOKUP(tblAsignaciones[[#This Row],[tecnico]],tblTecnicos[nombre],tblTecnicos[coordinador],"")</f>
        <v/>
      </c>
      <c r="H1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>
        <is>
          <t>T1</t>
        </is>
      </c>
      <c r="G163" s="3">
        <f>_xlfn.XLOOKUP(tblAsignaciones[[#This Row],[tecnico]],tblTecnicos[nombre],tblTecnicos[coordinador],"")</f>
        <v/>
      </c>
      <c r="H1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>
        <is>
          <t>T1</t>
        </is>
      </c>
      <c r="G170" s="3">
        <f>_xlfn.XLOOKUP(tblAsignaciones[[#This Row],[tecnico]],tblTecnicos[nombre],tblTecnicos[coordinador],"")</f>
        <v/>
      </c>
      <c r="H1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>
        <is>
          <t>T1</t>
        </is>
      </c>
      <c r="G177" s="3">
        <f>_xlfn.XLOOKUP(tblAsignaciones[[#This Row],[tecnico]],tblTecnicos[nombre],tblTecnicos[coordinador],"")</f>
        <v/>
      </c>
      <c r="H1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>
        <is>
          <t>T2</t>
        </is>
      </c>
      <c r="G184" s="3">
        <f>_xlfn.XLOOKUP(tblAsignaciones[[#This Row],[tecnico]],tblTecnicos[nombre],tblTecnicos[coordinador],"")</f>
        <v/>
      </c>
      <c r="H1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>
        <is>
          <t>T1</t>
        </is>
      </c>
      <c r="G191" s="3">
        <f>_xlfn.XLOOKUP(tblAsignaciones[[#This Row],[tecnico]],tblTecnicos[nombre],tblTecnicos[coordinador],"")</f>
        <v/>
      </c>
      <c r="H1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>
        <is>
          <t>VAC</t>
        </is>
      </c>
      <c r="G198" s="3">
        <f>_xlfn.XLOOKUP(tblAsignaciones[[#This Row],[tecnico]],tblTecnicos[nombre],tblTecnicos[coordinador],"")</f>
        <v/>
      </c>
      <c r="H1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1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>
        <is>
          <t>T1</t>
        </is>
      </c>
      <c r="G205" s="3">
        <f>_xlfn.XLOOKUP(tblAsignaciones[[#This Row],[tecnico]],tblTecnicos[nombre],tblTecnicos[coordinador],"")</f>
        <v/>
      </c>
      <c r="H2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>
        <is>
          <t>T1</t>
        </is>
      </c>
      <c r="G212" s="3">
        <f>_xlfn.XLOOKUP(tblAsignaciones[[#This Row],[tecnico]],tblTecnicos[nombre],tblTecnicos[coordinador],"")</f>
        <v/>
      </c>
      <c r="H2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>
        <is>
          <t>T1</t>
        </is>
      </c>
      <c r="G219" s="3">
        <f>_xlfn.XLOOKUP(tblAsignaciones[[#This Row],[tecnico]],tblTecnicos[nombre],tblTecnicos[coordinador],"")</f>
        <v/>
      </c>
      <c r="H2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>
        <is>
          <t>T3</t>
        </is>
      </c>
      <c r="G226" s="3">
        <f>_xlfn.XLOOKUP(tblAsignaciones[[#This Row],[tecnico]],tblTecnicos[nombre],tblTecnicos[coordinador],"")</f>
        <v/>
      </c>
      <c r="H2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>
        <is>
          <t>T1</t>
        </is>
      </c>
      <c r="G233" s="3">
        <f>_xlfn.XLOOKUP(tblAsignaciones[[#This Row],[tecnico]],tblTecnicos[nombre],tblTecnicos[coordinador],"")</f>
        <v/>
      </c>
      <c r="H2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>
        <is>
          <t>B1</t>
        </is>
      </c>
      <c r="G240" s="3">
        <f>_xlfn.XLOOKUP(tblAsignaciones[[#This Row],[tecnico]],tblTecnicos[nombre],tblTecnicos[coordinador],"")</f>
        <v/>
      </c>
      <c r="H2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>
        <is>
          <t>T1</t>
        </is>
      </c>
      <c r="G247" s="3">
        <f>_xlfn.XLOOKUP(tblAsignaciones[[#This Row],[tecnico]],tblTecnicos[nombre],tblTecnicos[coordinador],"")</f>
        <v/>
      </c>
      <c r="H2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>
        <is>
          <t>T1</t>
        </is>
      </c>
      <c r="G254" s="3">
        <f>_xlfn.XLOOKUP(tblAsignaciones[[#This Row],[tecnico]],tblTecnicos[nombre],tblTecnicos[coordinador],"")</f>
        <v/>
      </c>
      <c r="H2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>
        <is>
          <t>T1</t>
        </is>
      </c>
      <c r="G255" s="3">
        <f>_xlfn.XLOOKUP(tblAsignaciones[[#This Row],[tecnico]],tblTecnicos[nombre],tblTecnicos[coordinador],"")</f>
        <v/>
      </c>
      <c r="H2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>
        <is>
          <t>T1</t>
        </is>
      </c>
      <c r="G261" s="3">
        <f>_xlfn.XLOOKUP(tblAsignaciones[[#This Row],[tecnico]],tblTecnicos[nombre],tblTecnicos[coordinador],"")</f>
        <v/>
      </c>
      <c r="H2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>
        <is>
          <t>T2</t>
        </is>
      </c>
      <c r="G268" s="3">
        <f>_xlfn.XLOOKUP(tblAsignaciones[[#This Row],[tecnico]],tblTecnicos[nombre],tblTecnicos[coordinador],"")</f>
        <v/>
      </c>
      <c r="H2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>
        <is>
          <t>T1</t>
        </is>
      </c>
      <c r="G275" s="3">
        <f>_xlfn.XLOOKUP(tblAsignaciones[[#This Row],[tecnico]],tblTecnicos[nombre],tblTecnicos[coordinador],"")</f>
        <v/>
      </c>
      <c r="H2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>
        <is>
          <t>T1</t>
        </is>
      </c>
      <c r="G282" s="3">
        <f>_xlfn.XLOOKUP(tblAsignaciones[[#This Row],[tecnico]],tblTecnicos[nombre],tblTecnicos[coordinador],"")</f>
        <v/>
      </c>
      <c r="H2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>
        <is>
          <t>T1</t>
        </is>
      </c>
      <c r="G289" s="3">
        <f>_xlfn.XLOOKUP(tblAsignaciones[[#This Row],[tecnico]],tblTecnicos[nombre],tblTecnicos[coordinador],"")</f>
        <v/>
      </c>
      <c r="H2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>
        <is>
          <t>T1</t>
        </is>
      </c>
      <c r="G296" s="3">
        <f>_xlfn.XLOOKUP(tblAsignaciones[[#This Row],[tecnico]],tblTecnicos[nombre],tblTecnicos[coordinador],"")</f>
        <v/>
      </c>
      <c r="H2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2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>
        <is>
          <t>T1</t>
        </is>
      </c>
      <c r="G303" s="3">
        <f>_xlfn.XLOOKUP(tblAsignaciones[[#This Row],[tecnico]],tblTecnicos[nombre],tblTecnicos[coordinador],"")</f>
        <v/>
      </c>
      <c r="H3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>
        <is>
          <t>T3</t>
        </is>
      </c>
      <c r="G310" s="3">
        <f>_xlfn.XLOOKUP(tblAsignaciones[[#This Row],[tecnico]],tblTecnicos[nombre],tblTecnicos[coordinador],"")</f>
        <v/>
      </c>
      <c r="H3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>
        <is>
          <t>T1</t>
        </is>
      </c>
      <c r="G317" s="3">
        <f>_xlfn.XLOOKUP(tblAsignaciones[[#This Row],[tecnico]],tblTecnicos[nombre],tblTecnicos[coordinador],"")</f>
        <v/>
      </c>
      <c r="H3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>
        <is>
          <t>B1</t>
        </is>
      </c>
      <c r="G324" s="3">
        <f>_xlfn.XLOOKUP(tblAsignaciones[[#This Row],[tecnico]],tblTecnicos[nombre],tblTecnicos[coordinador],"")</f>
        <v/>
      </c>
      <c r="H3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>
        <is>
          <t>T1</t>
        </is>
      </c>
      <c r="G331" s="3">
        <f>_xlfn.XLOOKUP(tblAsignaciones[[#This Row],[tecnico]],tblTecnicos[nombre],tblTecnicos[coordinador],"")</f>
        <v/>
      </c>
      <c r="H3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>
        <is>
          <t>T1</t>
        </is>
      </c>
      <c r="G338" s="3">
        <f>_xlfn.XLOOKUP(tblAsignaciones[[#This Row],[tecnico]],tblTecnicos[nombre],tblTecnicos[coordinador],"")</f>
        <v/>
      </c>
      <c r="H3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I3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J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46225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46225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46225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46225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4" t="n"/>
      <c r="C8" s="6" t="n"/>
      <c r="D8" s="15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4" t="n"/>
      <c r="C9" s="6" t="n"/>
      <c r="D9" s="15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4" t="n"/>
      <c r="C10" s="6" t="n"/>
      <c r="D10" s="15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4" t="n"/>
      <c r="C11" s="6" t="n"/>
      <c r="D11" s="15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4" t="n"/>
      <c r="C12" s="6" t="n"/>
      <c r="D12" s="15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4" t="n"/>
      <c r="C13" s="6" t="n"/>
      <c r="D13" s="15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4" t="n"/>
      <c r="C14" s="6" t="n"/>
      <c r="D14" s="15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4" t="n"/>
      <c r="C15" s="6" t="n"/>
      <c r="D15" s="15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4" t="n"/>
      <c r="C16" s="6" t="n"/>
      <c r="D16" s="15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4" t="n"/>
      <c r="C17" s="6" t="n"/>
      <c r="D17" s="15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4" t="n"/>
      <c r="C18" s="6" t="n"/>
      <c r="D18" s="15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4" t="n"/>
      <c r="C19" s="6" t="n"/>
      <c r="D19" s="15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4" t="n"/>
      <c r="C20" s="6" t="n"/>
      <c r="D20" s="15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4" t="n"/>
      <c r="C21" s="6" t="n"/>
      <c r="D21" s="15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4" t="n"/>
      <c r="C22" s="6" t="n"/>
      <c r="D22" s="15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4" t="n"/>
      <c r="C23" s="6" t="n"/>
      <c r="D23" s="15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4" t="n"/>
      <c r="C24" s="6" t="n"/>
      <c r="D24" s="15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4" t="n"/>
      <c r="C25" s="6" t="n"/>
      <c r="D25" s="15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4" t="n"/>
      <c r="C26" s="6" t="n"/>
      <c r="D26" s="15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4" t="n"/>
      <c r="C27" s="6" t="n"/>
      <c r="D27" s="15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4" t="n"/>
      <c r="C28" s="6" t="n"/>
      <c r="D28" s="15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4" t="n"/>
      <c r="C29" s="6" t="n"/>
      <c r="D29" s="15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4" t="n"/>
      <c r="C30" s="6" t="n"/>
      <c r="D30" s="15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4" t="n"/>
      <c r="C31" s="6" t="n"/>
      <c r="D31" s="15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4" t="n"/>
      <c r="C32" s="6" t="n"/>
      <c r="D32" s="15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4" t="n"/>
      <c r="C33" s="6" t="n"/>
      <c r="D33" s="15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4" t="n"/>
      <c r="C34" s="6" t="n"/>
      <c r="D34" s="15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4" t="n"/>
      <c r="C35" s="6" t="n"/>
      <c r="D35" s="15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4" t="n"/>
      <c r="C36" s="6" t="n"/>
      <c r="D36" s="15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4" t="n"/>
      <c r="C37" s="6" t="n"/>
      <c r="D37" s="15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4" t="n"/>
      <c r="C38" s="6" t="n"/>
      <c r="D38" s="15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4" t="n"/>
      <c r="C39" s="6" t="n"/>
      <c r="D39" s="15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4" t="n"/>
      <c r="C40" s="6" t="n"/>
      <c r="D40" s="15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4" t="n"/>
      <c r="C41" s="6" t="n"/>
      <c r="D41" s="15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4" t="n"/>
      <c r="C42" s="6" t="n"/>
      <c r="D42" s="15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4" t="n"/>
      <c r="C43" s="6" t="n"/>
      <c r="D43" s="15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4" t="n"/>
      <c r="C44" s="6" t="n"/>
      <c r="D44" s="15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4" t="n"/>
      <c r="C45" s="6" t="n"/>
      <c r="D45" s="15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4" t="n"/>
      <c r="C46" s="6" t="n"/>
      <c r="D46" s="15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4" t="n"/>
      <c r="C47" s="6" t="n"/>
      <c r="D47" s="15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4" t="n"/>
      <c r="C48" s="6" t="n"/>
      <c r="D48" s="15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4" t="n"/>
      <c r="C49" s="6" t="n"/>
      <c r="D49" s="15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4" t="n"/>
      <c r="C50" s="6" t="n"/>
      <c r="D50" s="15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4" t="n"/>
      <c r="C51" s="6" t="n"/>
      <c r="D51" s="15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4" t="n"/>
      <c r="C52" s="6" t="n"/>
      <c r="D52" s="15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4" t="n"/>
      <c r="C53" s="6" t="n"/>
      <c r="D53" s="15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4" t="n"/>
      <c r="C54" s="6" t="n"/>
      <c r="D54" s="15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4" t="n"/>
      <c r="C55" s="6" t="n"/>
      <c r="D55" s="15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4" t="n"/>
      <c r="C56" s="6" t="n"/>
      <c r="D56" s="15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4" t="n"/>
      <c r="C57" s="6" t="n"/>
      <c r="D57" s="15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4" t="n"/>
      <c r="C58" s="6" t="n"/>
      <c r="D58" s="15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4" t="n"/>
      <c r="C59" s="6" t="n"/>
      <c r="D59" s="15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4" t="n"/>
      <c r="C60" s="6" t="n"/>
      <c r="D60" s="15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4" t="n"/>
      <c r="C61" s="6" t="n"/>
      <c r="D61" s="15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4" t="n"/>
      <c r="C62" s="6" t="n"/>
      <c r="D62" s="15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4" t="n"/>
      <c r="C63" s="6" t="n"/>
      <c r="D63" s="15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4" t="n"/>
      <c r="C64" s="6" t="n"/>
      <c r="D64" s="15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4" t="n"/>
      <c r="C65" s="6" t="n"/>
      <c r="D65" s="15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4" t="n"/>
      <c r="C66" s="6" t="n"/>
      <c r="D66" s="15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4" t="n"/>
      <c r="C67" s="6" t="n"/>
      <c r="D67" s="15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4" t="n"/>
      <c r="C68" s="6" t="n"/>
      <c r="D68" s="15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4" t="n"/>
      <c r="C69" s="6" t="n"/>
      <c r="D69" s="15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4" t="n"/>
      <c r="C70" s="6" t="n"/>
      <c r="D70" s="15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4" t="n"/>
      <c r="C71" s="6" t="n"/>
      <c r="D71" s="15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4" t="n"/>
      <c r="C72" s="6" t="n"/>
      <c r="D72" s="15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4" t="n"/>
      <c r="C73" s="6" t="n"/>
      <c r="D73" s="15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4" t="n"/>
      <c r="C74" s="6" t="n"/>
      <c r="D74" s="15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4" t="n"/>
      <c r="C75" s="6" t="n"/>
      <c r="D75" s="15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4" t="n"/>
      <c r="C76" s="6" t="n"/>
      <c r="D76" s="15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4" t="n"/>
      <c r="C77" s="6" t="n"/>
      <c r="D77" s="15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4" t="n"/>
      <c r="C78" s="6" t="n"/>
      <c r="D78" s="15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4" t="n"/>
      <c r="C79" s="6" t="n"/>
      <c r="D79" s="15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4" t="n"/>
      <c r="C80" s="6" t="n"/>
      <c r="D80" s="15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4" t="n"/>
      <c r="C81" s="6" t="n"/>
      <c r="D81" s="15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4" t="n"/>
      <c r="C82" s="6" t="n"/>
      <c r="D82" s="15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4" t="n"/>
      <c r="C83" s="6" t="n"/>
      <c r="D83" s="15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4" t="n"/>
      <c r="C84" s="6" t="n"/>
      <c r="D84" s="15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4" t="n"/>
      <c r="C85" s="6" t="n"/>
      <c r="D85" s="15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4" t="n"/>
      <c r="C86" s="6" t="n"/>
      <c r="D86" s="15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4" t="n"/>
      <c r="C87" s="6" t="n"/>
      <c r="D87" s="15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4" t="n"/>
      <c r="C88" s="6" t="n"/>
      <c r="D88" s="15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4" t="n"/>
      <c r="C89" s="6" t="n"/>
      <c r="D89" s="15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4" t="n"/>
      <c r="C90" s="6" t="n"/>
      <c r="D90" s="15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4" t="n"/>
      <c r="C91" s="6" t="n"/>
      <c r="D91" s="15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4" t="n"/>
      <c r="C92" s="6" t="n"/>
      <c r="D92" s="15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4" t="n"/>
      <c r="C93" s="6" t="n"/>
      <c r="D93" s="15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4" t="n"/>
      <c r="C94" s="6" t="n"/>
      <c r="D94" s="15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4" t="n"/>
      <c r="C95" s="6" t="n"/>
      <c r="D95" s="15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4" t="n"/>
      <c r="C96" s="6" t="n"/>
      <c r="D96" s="15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4" t="n"/>
      <c r="C97" s="6" t="n"/>
      <c r="D97" s="15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4" t="n"/>
      <c r="C98" s="6" t="n"/>
      <c r="D98" s="15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4" t="n"/>
      <c r="C99" s="6" t="n"/>
      <c r="D99" s="15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4" t="n"/>
      <c r="C100" s="6" t="n"/>
      <c r="D100" s="15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4" t="n"/>
      <c r="C101" s="6" t="n"/>
      <c r="D101" s="15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4" t="n"/>
      <c r="C102" s="6" t="n"/>
      <c r="D102" s="15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4" t="n"/>
      <c r="C103" s="6" t="n"/>
      <c r="D103" s="15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4" t="n"/>
      <c r="C104" s="6" t="n"/>
      <c r="D104" s="15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4" t="n"/>
      <c r="C105" s="6" t="n"/>
      <c r="D105" s="15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4" t="n"/>
      <c r="C106" s="6" t="n"/>
      <c r="D106" s="15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4" t="n"/>
      <c r="C107" s="6" t="n"/>
      <c r="D107" s="15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4" t="n"/>
      <c r="C108" s="6" t="n"/>
      <c r="D108" s="15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4" t="n"/>
      <c r="C109" s="6" t="n"/>
      <c r="D109" s="15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4" t="n"/>
      <c r="C110" s="6" t="n"/>
      <c r="D110" s="15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4" t="n"/>
      <c r="C111" s="6" t="n"/>
      <c r="D111" s="15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4" t="n"/>
      <c r="C112" s="6" t="n"/>
      <c r="D112" s="15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4" t="n"/>
      <c r="C113" s="6" t="n"/>
      <c r="D113" s="15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4" t="n"/>
      <c r="C114" s="6" t="n"/>
      <c r="D114" s="15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4" t="n"/>
      <c r="C115" s="6" t="n"/>
      <c r="D115" s="15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4" t="n"/>
      <c r="C116" s="6" t="n"/>
      <c r="D116" s="15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4" t="n"/>
      <c r="C117" s="6" t="n"/>
      <c r="D117" s="15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4" t="n"/>
      <c r="C118" s="6" t="n"/>
      <c r="D118" s="15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4" t="n"/>
      <c r="C119" s="6" t="n"/>
      <c r="D119" s="15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4" t="n"/>
      <c r="C120" s="6" t="n"/>
      <c r="D120" s="15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4" t="n"/>
      <c r="C121" s="6" t="n"/>
      <c r="D121" s="15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4" t="n"/>
      <c r="C122" s="6" t="n"/>
      <c r="D122" s="15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4" t="n"/>
      <c r="C123" s="6" t="n"/>
      <c r="D123" s="15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4" t="n"/>
      <c r="C124" s="6" t="n"/>
      <c r="D124" s="15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4" t="n"/>
      <c r="C125" s="6" t="n"/>
      <c r="D125" s="15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4" t="n"/>
      <c r="C126" s="6" t="n"/>
      <c r="D126" s="15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4" t="n"/>
      <c r="C127" s="6" t="n"/>
      <c r="D127" s="15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4" t="n"/>
      <c r="C128" s="6" t="n"/>
      <c r="D128" s="15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4" t="n"/>
      <c r="C129" s="6" t="n"/>
      <c r="D129" s="15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4" t="n"/>
      <c r="C130" s="6" t="n"/>
      <c r="D130" s="15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4" t="n"/>
      <c r="C131" s="6" t="n"/>
      <c r="D131" s="15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4" t="n"/>
      <c r="C132" s="6" t="n"/>
      <c r="D132" s="15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4" t="n"/>
      <c r="C133" s="6" t="n"/>
      <c r="D133" s="15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4" t="n"/>
      <c r="C134" s="6" t="n"/>
      <c r="D134" s="15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4" t="n"/>
      <c r="C135" s="6" t="n"/>
      <c r="D135" s="15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4" t="n"/>
      <c r="C136" s="6" t="n"/>
      <c r="D136" s="15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4" t="n"/>
      <c r="C137" s="6" t="n"/>
      <c r="D137" s="15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4" t="n"/>
      <c r="C138" s="6" t="n"/>
      <c r="D138" s="15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4" t="n"/>
      <c r="C139" s="6" t="n"/>
      <c r="D139" s="15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4" t="n"/>
      <c r="C140" s="6" t="n"/>
      <c r="D140" s="15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4" t="n"/>
      <c r="C141" s="6" t="n"/>
      <c r="D141" s="15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4" t="n"/>
      <c r="C142" s="6" t="n"/>
      <c r="D142" s="15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4" t="n"/>
      <c r="C143" s="6" t="n"/>
      <c r="D143" s="15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4" t="n"/>
      <c r="C144" s="6" t="n"/>
      <c r="D144" s="15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4" t="n"/>
      <c r="C145" s="6" t="n"/>
      <c r="D145" s="15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4" t="n"/>
      <c r="C146" s="6" t="n"/>
      <c r="D146" s="15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4" t="n"/>
      <c r="C147" s="6" t="n"/>
      <c r="D147" s="15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4" t="n"/>
      <c r="C148" s="6" t="n"/>
      <c r="D148" s="15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4" t="n"/>
      <c r="C149" s="6" t="n"/>
      <c r="D149" s="15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4" t="n"/>
      <c r="C150" s="6" t="n"/>
      <c r="D150" s="15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4" t="n"/>
      <c r="C151" s="6" t="n"/>
      <c r="D151" s="15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4" t="n"/>
      <c r="C152" s="6" t="n"/>
      <c r="D152" s="15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4" t="n"/>
      <c r="C153" s="6" t="n"/>
      <c r="D153" s="15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4" t="n"/>
      <c r="C154" s="6" t="n"/>
      <c r="D154" s="15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4" t="n"/>
      <c r="C155" s="6" t="n"/>
      <c r="D155" s="15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4" t="n"/>
      <c r="C156" s="6" t="n"/>
      <c r="D156" s="15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4" t="n"/>
      <c r="C157" s="6" t="n"/>
      <c r="D157" s="15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4" t="n"/>
      <c r="C158" s="6" t="n"/>
      <c r="D158" s="15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4" t="n"/>
      <c r="C159" s="6" t="n"/>
      <c r="D159" s="15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4" t="n"/>
      <c r="C160" s="6" t="n"/>
      <c r="D160" s="15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4" t="n"/>
      <c r="C161" s="6" t="n"/>
      <c r="D161" s="15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4" t="n"/>
      <c r="C162" s="6" t="n"/>
      <c r="D162" s="15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4" t="n"/>
      <c r="C163" s="6" t="n"/>
      <c r="D163" s="15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4" t="n"/>
      <c r="C164" s="6" t="n"/>
      <c r="D164" s="15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4" t="n"/>
      <c r="C165" s="6" t="n"/>
      <c r="D165" s="15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4" t="n"/>
      <c r="C166" s="6" t="n"/>
      <c r="D166" s="15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4" t="n"/>
      <c r="C167" s="6" t="n"/>
      <c r="D167" s="15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4" t="n"/>
      <c r="C168" s="6" t="n"/>
      <c r="D168" s="15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4" t="n"/>
      <c r="C169" s="6" t="n"/>
      <c r="D169" s="15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4" t="n"/>
      <c r="C170" s="6" t="n"/>
      <c r="D170" s="15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4" t="n"/>
      <c r="C171" s="6" t="n"/>
      <c r="D171" s="15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4" t="n"/>
      <c r="C172" s="6" t="n"/>
      <c r="D172" s="15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4" t="n"/>
      <c r="C173" s="6" t="n"/>
      <c r="D173" s="15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4" t="n"/>
      <c r="C174" s="6" t="n"/>
      <c r="D174" s="15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4" t="n"/>
      <c r="C175" s="6" t="n"/>
      <c r="D175" s="15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4" t="n"/>
      <c r="C176" s="6" t="n"/>
      <c r="D176" s="15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4" t="n"/>
      <c r="C177" s="6" t="n"/>
      <c r="D177" s="15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4" t="n"/>
      <c r="C178" s="6" t="n"/>
      <c r="D178" s="15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4" t="n"/>
      <c r="C179" s="6" t="n"/>
      <c r="D179" s="15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4" t="n"/>
      <c r="C180" s="6" t="n"/>
      <c r="D180" s="15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4" t="n"/>
      <c r="C181" s="6" t="n"/>
      <c r="D181" s="15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4" t="n"/>
      <c r="C182" s="6" t="n"/>
      <c r="D182" s="15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4" t="n"/>
      <c r="C183" s="6" t="n"/>
      <c r="D183" s="15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4" t="n"/>
      <c r="C184" s="6" t="n"/>
      <c r="D184" s="15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4" t="n"/>
      <c r="C185" s="6" t="n"/>
      <c r="D185" s="15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4" t="n"/>
      <c r="C186" s="6" t="n"/>
      <c r="D186" s="15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4" t="n"/>
      <c r="C187" s="6" t="n"/>
      <c r="D187" s="15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4" t="n"/>
      <c r="C188" s="6" t="n"/>
      <c r="D188" s="15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4" t="n"/>
      <c r="C189" s="6" t="n"/>
      <c r="D189" s="15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4" t="n"/>
      <c r="C190" s="6" t="n"/>
      <c r="D190" s="15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4" t="n"/>
      <c r="C191" s="6" t="n"/>
      <c r="D191" s="15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4" t="n"/>
      <c r="C192" s="6" t="n"/>
      <c r="D192" s="15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4" t="n"/>
      <c r="C193" s="6" t="n"/>
      <c r="D193" s="15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4" t="n"/>
      <c r="C194" s="6" t="n"/>
      <c r="D194" s="15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4" t="n"/>
      <c r="C195" s="6" t="n"/>
      <c r="D195" s="15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4" t="n"/>
      <c r="C196" s="6" t="n"/>
      <c r="D196" s="15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4" t="n"/>
      <c r="C197" s="6" t="n"/>
      <c r="D197" s="15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4" t="n"/>
      <c r="C198" s="6" t="n"/>
      <c r="D198" s="15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4" t="n"/>
      <c r="C199" s="6" t="n"/>
      <c r="D199" s="15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4" t="n"/>
      <c r="C200" s="6" t="n"/>
      <c r="D200" s="15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4" t="n"/>
      <c r="C201" s="6" t="n"/>
      <c r="D201" s="15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4" t="n"/>
      <c r="C202" s="6" t="n"/>
      <c r="D202" s="15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4" t="n"/>
      <c r="C203" s="6" t="n"/>
      <c r="D203" s="15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4" t="n"/>
      <c r="C204" s="6" t="n"/>
      <c r="D204" s="15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4" t="n"/>
      <c r="C205" s="6" t="n"/>
      <c r="D205" s="15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4" t="n"/>
      <c r="C206" s="6" t="n"/>
      <c r="D206" s="15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4" t="n"/>
      <c r="C207" s="6" t="n"/>
      <c r="D207" s="15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4" t="n"/>
      <c r="C208" s="6" t="n"/>
      <c r="D208" s="15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4" t="n"/>
      <c r="C209" s="6" t="n"/>
      <c r="D209" s="15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4" t="n"/>
      <c r="C210" s="6" t="n"/>
      <c r="D210" s="15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4" t="n"/>
      <c r="C211" s="6" t="n"/>
      <c r="D211" s="15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4" t="n"/>
      <c r="C212" s="6" t="n"/>
      <c r="D212" s="15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4" t="n"/>
      <c r="C213" s="6" t="n"/>
      <c r="D213" s="15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4" t="n"/>
      <c r="C214" s="6" t="n"/>
      <c r="D214" s="15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4" t="n"/>
      <c r="C215" s="6" t="n"/>
      <c r="D215" s="15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4" t="n"/>
      <c r="C216" s="6" t="n"/>
      <c r="D216" s="15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4" t="n"/>
      <c r="C217" s="6" t="n"/>
      <c r="D217" s="15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4" t="n"/>
      <c r="C218" s="6" t="n"/>
      <c r="D218" s="15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4" t="n"/>
      <c r="C219" s="6" t="n"/>
      <c r="D219" s="15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4" t="n"/>
      <c r="C220" s="6" t="n"/>
      <c r="D220" s="15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4" t="n"/>
      <c r="C221" s="6" t="n"/>
      <c r="D221" s="15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4" t="n"/>
      <c r="C222" s="6" t="n"/>
      <c r="D222" s="15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4" t="n"/>
      <c r="C223" s="6" t="n"/>
      <c r="D223" s="15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4" t="n"/>
      <c r="C224" s="6" t="n"/>
      <c r="D224" s="15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4" t="n"/>
      <c r="C225" s="6" t="n"/>
      <c r="D225" s="15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4" t="n"/>
      <c r="C226" s="6" t="n"/>
      <c r="D226" s="15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4" t="n"/>
      <c r="C227" s="6" t="n"/>
      <c r="D227" s="15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4" t="n"/>
      <c r="C228" s="6" t="n"/>
      <c r="D228" s="15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4" t="n"/>
      <c r="C229" s="6" t="n"/>
      <c r="D229" s="15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4" t="n"/>
      <c r="C230" s="6" t="n"/>
      <c r="D230" s="15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4" t="n"/>
      <c r="C231" s="6" t="n"/>
      <c r="D231" s="15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4" t="n"/>
      <c r="C232" s="6" t="n"/>
      <c r="D232" s="15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4" t="n"/>
      <c r="C233" s="6" t="n"/>
      <c r="D233" s="15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4" t="n"/>
      <c r="C234" s="6" t="n"/>
      <c r="D234" s="15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4" t="n"/>
      <c r="C235" s="6" t="n"/>
      <c r="D235" s="15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4" t="n"/>
      <c r="C236" s="6" t="n"/>
      <c r="D236" s="15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4" t="n"/>
      <c r="C237" s="6" t="n"/>
      <c r="D237" s="15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4" t="n"/>
      <c r="C238" s="6" t="n"/>
      <c r="D238" s="15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4" t="n"/>
      <c r="C239" s="6" t="n"/>
      <c r="D239" s="15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4" t="n"/>
      <c r="C240" s="6" t="n"/>
      <c r="D240" s="15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4" t="n"/>
      <c r="C241" s="6" t="n"/>
      <c r="D241" s="15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4" t="n"/>
      <c r="C242" s="6" t="n"/>
      <c r="D242" s="15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4" t="n"/>
      <c r="C243" s="6" t="n"/>
      <c r="D243" s="15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4" t="n"/>
      <c r="C244" s="6" t="n"/>
      <c r="D244" s="15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4" t="n"/>
      <c r="C245" s="6" t="n"/>
      <c r="D245" s="15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4" t="n"/>
      <c r="C246" s="6" t="n"/>
      <c r="D246" s="15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4" t="n"/>
      <c r="C247" s="6" t="n"/>
      <c r="D247" s="15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4" t="n"/>
      <c r="C248" s="6" t="n"/>
      <c r="D248" s="15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4" t="n"/>
      <c r="C249" s="6" t="n"/>
      <c r="D249" s="15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4" t="n"/>
      <c r="C250" s="6" t="n"/>
      <c r="D250" s="15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4" t="n"/>
      <c r="C251" s="6" t="n"/>
      <c r="D251" s="15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4" t="n"/>
      <c r="C252" s="6" t="n"/>
      <c r="D252" s="15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4" t="n"/>
      <c r="C253" s="6" t="n"/>
      <c r="D253" s="15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4" t="n"/>
      <c r="C254" s="6" t="n"/>
      <c r="D254" s="15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4" t="n"/>
      <c r="C255" s="6" t="n"/>
      <c r="D255" s="15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4" t="n"/>
      <c r="C256" s="6" t="n"/>
      <c r="D256" s="15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4" t="n"/>
      <c r="C257" s="6" t="n"/>
      <c r="D257" s="15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4" t="n"/>
      <c r="C258" s="6" t="n"/>
      <c r="D258" s="15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4" t="n"/>
      <c r="C259" s="6" t="n"/>
      <c r="D259" s="15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4" t="n"/>
      <c r="C260" s="6" t="n"/>
      <c r="D260" s="15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4" t="n"/>
      <c r="C261" s="6" t="n"/>
      <c r="D261" s="15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4" t="n"/>
      <c r="C262" s="6" t="n"/>
      <c r="D262" s="15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4" t="n"/>
      <c r="C263" s="6" t="n"/>
      <c r="D263" s="15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4" t="n"/>
      <c r="C264" s="6" t="n"/>
      <c r="D264" s="15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4" t="n"/>
      <c r="C265" s="6" t="n"/>
      <c r="D265" s="15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4" t="n"/>
      <c r="C266" s="6" t="n"/>
      <c r="D266" s="15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4" t="n"/>
      <c r="C267" s="6" t="n"/>
      <c r="D267" s="15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4" t="n"/>
      <c r="C268" s="6" t="n"/>
      <c r="D268" s="15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4" t="n"/>
      <c r="C269" s="6" t="n"/>
      <c r="D269" s="15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4" t="n"/>
      <c r="C270" s="6" t="n"/>
      <c r="D270" s="15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4" t="n"/>
      <c r="C271" s="6" t="n"/>
      <c r="D271" s="15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4" t="n"/>
      <c r="C272" s="6" t="n"/>
      <c r="D272" s="15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4" t="n"/>
      <c r="C273" s="6" t="n"/>
      <c r="D273" s="15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4" t="n"/>
      <c r="C274" s="6" t="n"/>
      <c r="D274" s="15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4" t="n"/>
      <c r="C275" s="6" t="n"/>
      <c r="D275" s="15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4" t="n"/>
      <c r="C276" s="6" t="n"/>
      <c r="D276" s="15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4" t="n"/>
      <c r="C277" s="6" t="n"/>
      <c r="D277" s="15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4" t="n"/>
      <c r="C278" s="6" t="n"/>
      <c r="D278" s="15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4" t="n"/>
      <c r="C279" s="6" t="n"/>
      <c r="D279" s="15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4" t="n"/>
      <c r="C280" s="6" t="n"/>
      <c r="D280" s="15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4" t="n"/>
      <c r="C281" s="6" t="n"/>
      <c r="D281" s="15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4" t="n"/>
      <c r="C282" s="6" t="n"/>
      <c r="D282" s="15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4" t="n"/>
      <c r="C283" s="6" t="n"/>
      <c r="D283" s="15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4" t="n"/>
      <c r="C284" s="6" t="n"/>
      <c r="D284" s="15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4" t="n"/>
      <c r="C285" s="6" t="n"/>
      <c r="D285" s="15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4" t="n"/>
      <c r="C286" s="6" t="n"/>
      <c r="D286" s="15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4" t="n"/>
      <c r="C287" s="6" t="n"/>
      <c r="D287" s="15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4" t="n"/>
      <c r="C288" s="6" t="n"/>
      <c r="D288" s="15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4" t="n"/>
      <c r="C289" s="6" t="n"/>
      <c r="D289" s="15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4" t="n"/>
      <c r="C290" s="6" t="n"/>
      <c r="D290" s="15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4" t="n"/>
      <c r="C291" s="6" t="n"/>
      <c r="D291" s="15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4" t="n"/>
      <c r="C292" s="6" t="n"/>
      <c r="D292" s="15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4" t="n"/>
      <c r="C293" s="6" t="n"/>
      <c r="D293" s="15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4" t="n"/>
      <c r="C294" s="6" t="n"/>
      <c r="D294" s="15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4" t="n"/>
      <c r="C295" s="6" t="n"/>
      <c r="D295" s="15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4" t="n"/>
      <c r="C296" s="6" t="n"/>
      <c r="D296" s="15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4" t="n"/>
      <c r="C297" s="6" t="n"/>
      <c r="D297" s="15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4" t="n"/>
      <c r="C298" s="6" t="n"/>
      <c r="D298" s="15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4" t="n"/>
      <c r="C299" s="6" t="n"/>
      <c r="D299" s="15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4" t="n"/>
      <c r="C300" s="6" t="n"/>
      <c r="D300" s="15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4" t="n"/>
      <c r="C301" s="6" t="n"/>
      <c r="D301" s="15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4" t="n"/>
      <c r="C302" s="6" t="n"/>
      <c r="D302" s="15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4" t="n"/>
      <c r="C303" s="6" t="n"/>
      <c r="D303" s="15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1" t="n">
        <v>46023</v>
      </c>
      <c r="J5" s="3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1" t="n">
        <v>46024</v>
      </c>
      <c r="J6" s="3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1" t="n">
        <v>46025</v>
      </c>
      <c r="J7" s="3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1" t="n">
        <v>46026</v>
      </c>
      <c r="J8" s="3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1" t="n">
        <v>46027</v>
      </c>
      <c r="J9" s="3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1" t="n">
        <v>46028</v>
      </c>
      <c r="J10" s="3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1" t="n">
        <v>46029</v>
      </c>
      <c r="J11" s="3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1" t="n">
        <v>46030</v>
      </c>
      <c r="J12" s="3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3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1" t="n">
        <v>46032</v>
      </c>
      <c r="J14" s="3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15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IF(tblExcepciones[[#This Row],[fecha]]="","",TEXT(tblExcepciones[[#This Row],[fecha]],"yyyy-mm-dd")&amp;"|"&amp;tblExcepciones[[#This Row],[area]]&amp;"|"&amp;tblExcepciones[[#This Row],[sub_area]])</f>
        <v/>
      </c>
      <c r="I15" s="11" t="n">
        <v>46033</v>
      </c>
      <c r="J15" s="3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15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IF(tblExcepciones[[#This Row],[fecha]]="","",TEXT(tblExcepciones[[#This Row],[fecha]],"yyyy-mm-dd")&amp;"|"&amp;tblExcepciones[[#This Row],[area]]&amp;"|"&amp;tblExcepciones[[#This Row],[sub_area]])</f>
        <v/>
      </c>
      <c r="I16" s="11" t="n">
        <v>46034</v>
      </c>
      <c r="J16" s="3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15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IF(tblExcepciones[[#This Row],[fecha]]="","",TEXT(tblExcepciones[[#This Row],[fecha]],"yyyy-mm-dd")&amp;"|"&amp;tblExcepciones[[#This Row],[area]]&amp;"|"&amp;tblExcepciones[[#This Row],[sub_area]])</f>
        <v/>
      </c>
      <c r="I17" s="11" t="n">
        <v>46035</v>
      </c>
      <c r="J17" s="3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15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IF(tblExcepciones[[#This Row],[fecha]]="","",TEXT(tblExcepciones[[#This Row],[fecha]],"yyyy-mm-dd")&amp;"|"&amp;tblExcepciones[[#This Row],[area]]&amp;"|"&amp;tblExcepciones[[#This Row],[sub_area]])</f>
        <v/>
      </c>
      <c r="I18" s="11" t="n">
        <v>46036</v>
      </c>
      <c r="J18" s="3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15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IF(tblExcepciones[[#This Row],[fecha]]="","",TEXT(tblExcepciones[[#This Row],[fecha]],"yyyy-mm-dd")&amp;"|"&amp;tblExcepciones[[#This Row],[area]]&amp;"|"&amp;tblExcepciones[[#This Row],[sub_area]])</f>
        <v/>
      </c>
      <c r="I19" s="11" t="n">
        <v>46037</v>
      </c>
      <c r="J19" s="3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15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IF(tblExcepciones[[#This Row],[fecha]]="","",TEXT(tblExcepciones[[#This Row],[fecha]],"yyyy-mm-dd")&amp;"|"&amp;tblExcepciones[[#This Row],[area]]&amp;"|"&amp;tblExcepciones[[#This Row],[sub_area]])</f>
        <v/>
      </c>
      <c r="I20" s="11" t="n">
        <v>46038</v>
      </c>
      <c r="J20" s="3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15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IF(tblExcepciones[[#This Row],[fecha]]="","",TEXT(tblExcepciones[[#This Row],[fecha]],"yyyy-mm-dd")&amp;"|"&amp;tblExcepciones[[#This Row],[area]]&amp;"|"&amp;tblExcepciones[[#This Row],[sub_area]])</f>
        <v/>
      </c>
      <c r="I21" s="11" t="n">
        <v>46039</v>
      </c>
      <c r="J21" s="3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15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IF(tblExcepciones[[#This Row],[fecha]]="","",TEXT(tblExcepciones[[#This Row],[fecha]],"yyyy-mm-dd")&amp;"|"&amp;tblExcepciones[[#This Row],[area]]&amp;"|"&amp;tblExcepciones[[#This Row],[sub_area]])</f>
        <v/>
      </c>
      <c r="I22" s="11" t="n">
        <v>46040</v>
      </c>
      <c r="J22" s="3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15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IF(tblExcepciones[[#This Row],[fecha]]="","",TEXT(tblExcepciones[[#This Row],[fecha]],"yyyy-mm-dd")&amp;"|"&amp;tblExcepciones[[#This Row],[area]]&amp;"|"&amp;tblExcepciones[[#This Row],[sub_area]])</f>
        <v/>
      </c>
      <c r="I23" s="11" t="n">
        <v>46041</v>
      </c>
      <c r="J23" s="3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15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IF(tblExcepciones[[#This Row],[fecha]]="","",TEXT(tblExcepciones[[#This Row],[fecha]],"yyyy-mm-dd")&amp;"|"&amp;tblExcepciones[[#This Row],[area]]&amp;"|"&amp;tblExcepciones[[#This Row],[sub_area]])</f>
        <v/>
      </c>
      <c r="I24" s="11" t="n">
        <v>46042</v>
      </c>
      <c r="J24" s="3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15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IF(tblExcepciones[[#This Row],[fecha]]="","",TEXT(tblExcepciones[[#This Row],[fecha]],"yyyy-mm-dd")&amp;"|"&amp;tblExcepciones[[#This Row],[area]]&amp;"|"&amp;tblExcepciones[[#This Row],[sub_area]])</f>
        <v/>
      </c>
      <c r="I25" s="11" t="n">
        <v>46043</v>
      </c>
      <c r="J25" s="3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15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IF(tblExcepciones[[#This Row],[fecha]]="","",TEXT(tblExcepciones[[#This Row],[fecha]],"yyyy-mm-dd")&amp;"|"&amp;tblExcepciones[[#This Row],[area]]&amp;"|"&amp;tblExcepciones[[#This Row],[sub_area]])</f>
        <v/>
      </c>
      <c r="I26" s="11" t="n">
        <v>46044</v>
      </c>
      <c r="J26" s="3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15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IF(tblExcepciones[[#This Row],[fecha]]="","",TEXT(tblExcepciones[[#This Row],[fecha]],"yyyy-mm-dd")&amp;"|"&amp;tblExcepciones[[#This Row],[area]]&amp;"|"&amp;tblExcepciones[[#This Row],[sub_area]])</f>
        <v/>
      </c>
      <c r="I27" s="11" t="n">
        <v>46045</v>
      </c>
      <c r="J27" s="3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15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IF(tblExcepciones[[#This Row],[fecha]]="","",TEXT(tblExcepciones[[#This Row],[fecha]],"yyyy-mm-dd")&amp;"|"&amp;tblExcepciones[[#This Row],[area]]&amp;"|"&amp;tblExcepciones[[#This Row],[sub_area]])</f>
        <v/>
      </c>
      <c r="I28" s="11" t="n">
        <v>46046</v>
      </c>
      <c r="J28" s="3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15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IF(tblExcepciones[[#This Row],[fecha]]="","",TEXT(tblExcepciones[[#This Row],[fecha]],"yyyy-mm-dd")&amp;"|"&amp;tblExcepciones[[#This Row],[area]]&amp;"|"&amp;tblExcepciones[[#This Row],[sub_area]])</f>
        <v/>
      </c>
      <c r="I29" s="11" t="n">
        <v>46047</v>
      </c>
      <c r="J29" s="3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15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IF(tblExcepciones[[#This Row],[fecha]]="","",TEXT(tblExcepciones[[#This Row],[fecha]],"yyyy-mm-dd")&amp;"|"&amp;tblExcepciones[[#This Row],[area]]&amp;"|"&amp;tblExcepciones[[#This Row],[sub_area]])</f>
        <v/>
      </c>
      <c r="I30" s="11" t="n">
        <v>46048</v>
      </c>
      <c r="J30" s="3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15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IF(tblExcepciones[[#This Row],[fecha]]="","",TEXT(tblExcepciones[[#This Row],[fecha]],"yyyy-mm-dd")&amp;"|"&amp;tblExcepciones[[#This Row],[area]]&amp;"|"&amp;tblExcepciones[[#This Row],[sub_area]])</f>
        <v/>
      </c>
      <c r="I31" s="11" t="n">
        <v>46049</v>
      </c>
      <c r="J31" s="3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15" t="n"/>
      <c r="B32" s="6" t="n"/>
      <c r="C32" s="6" t="n"/>
      <c r="D32" s="6" t="n"/>
      <c r="E32" s="6" t="n"/>
      <c r="F32" s="6" t="n"/>
      <c r="G32" s="3">
        <f>IF(tblExcepciones[[#This Row],[fecha]]="","",TEXT(tblExcepciones[[#This Row],[fecha]],"yyyy-mm-dd")&amp;"|"&amp;tblExcepciones[[#This Row],[area]]&amp;"|"&amp;tblExcepciones[[#This Row],[sub_area]])</f>
        <v/>
      </c>
      <c r="I32" s="11" t="n">
        <v>46050</v>
      </c>
      <c r="J32" s="3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15" t="n"/>
      <c r="B33" s="6" t="n"/>
      <c r="C33" s="6" t="n"/>
      <c r="D33" s="6" t="n"/>
      <c r="E33" s="6" t="n"/>
      <c r="F33" s="6" t="n"/>
      <c r="G33" s="3">
        <f>IF(tblExcepciones[[#This Row],[fecha]]="","",TEXT(tblExcepciones[[#This Row],[fecha]],"yyyy-mm-dd")&amp;"|"&amp;tblExcepciones[[#This Row],[area]]&amp;"|"&amp;tblExcepciones[[#This Row],[sub_area]])</f>
        <v/>
      </c>
      <c r="I33" s="11" t="n">
        <v>46051</v>
      </c>
      <c r="J33" s="3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15" t="n"/>
      <c r="B34" s="6" t="n"/>
      <c r="C34" s="6" t="n"/>
      <c r="D34" s="6" t="n"/>
      <c r="E34" s="6" t="n"/>
      <c r="F34" s="6" t="n"/>
      <c r="G34" s="3">
        <f>IF(tblExcepciones[[#This Row],[fecha]]="","",TEXT(tblExcepciones[[#This Row],[fecha]],"yyyy-mm-dd")&amp;"|"&amp;tblExcepciones[[#This Row],[area]]&amp;"|"&amp;tblExcepciones[[#This Row],[sub_area]])</f>
        <v/>
      </c>
      <c r="I34" s="11" t="n">
        <v>46052</v>
      </c>
      <c r="J34" s="3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15" t="n"/>
      <c r="B35" s="6" t="n"/>
      <c r="C35" s="6" t="n"/>
      <c r="D35" s="6" t="n"/>
      <c r="E35" s="6" t="n"/>
      <c r="F35" s="6" t="n"/>
      <c r="G35" s="3">
        <f>IF(tblExcepciones[[#This Row],[fecha]]="","",TEXT(tblExcepciones[[#This Row],[fecha]],"yyyy-mm-dd")&amp;"|"&amp;tblExcepciones[[#This Row],[area]]&amp;"|"&amp;tblExcepciones[[#This Row],[sub_area]])</f>
        <v/>
      </c>
      <c r="I35" s="11" t="n">
        <v>46053</v>
      </c>
      <c r="J35" s="3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15" t="n"/>
      <c r="B36" s="6" t="n"/>
      <c r="C36" s="6" t="n"/>
      <c r="D36" s="6" t="n"/>
      <c r="E36" s="6" t="n"/>
      <c r="F36" s="6" t="n"/>
      <c r="G36" s="3">
        <f>IF(tblExcepciones[[#This Row],[fecha]]="","",TEXT(tblExcepciones[[#This Row],[fecha]],"yyyy-mm-dd")&amp;"|"&amp;tblExcepciones[[#This Row],[area]]&amp;"|"&amp;tblExcepciones[[#This Row],[sub_area]])</f>
        <v/>
      </c>
      <c r="I36" s="11" t="n">
        <v>46054</v>
      </c>
      <c r="J36" s="3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15" t="n"/>
      <c r="B37" s="6" t="n"/>
      <c r="C37" s="6" t="n"/>
      <c r="D37" s="6" t="n"/>
      <c r="E37" s="6" t="n"/>
      <c r="F37" s="6" t="n"/>
      <c r="G37" s="3">
        <f>IF(tblExcepciones[[#This Row],[fecha]]="","",TEXT(tblExcepciones[[#This Row],[fecha]],"yyyy-mm-dd")&amp;"|"&amp;tblExcepciones[[#This Row],[area]]&amp;"|"&amp;tblExcepciones[[#This Row],[sub_area]])</f>
        <v/>
      </c>
      <c r="I37" s="11" t="n">
        <v>46055</v>
      </c>
      <c r="J37" s="3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15" t="n"/>
      <c r="B38" s="6" t="n"/>
      <c r="C38" s="6" t="n"/>
      <c r="D38" s="6" t="n"/>
      <c r="E38" s="6" t="n"/>
      <c r="F38" s="6" t="n"/>
      <c r="G38" s="3">
        <f>IF(tblExcepciones[[#This Row],[fecha]]="","",TEXT(tblExcepciones[[#This Row],[fecha]],"yyyy-mm-dd")&amp;"|"&amp;tblExcepciones[[#This Row],[area]]&amp;"|"&amp;tblExcepciones[[#This Row],[sub_area]])</f>
        <v/>
      </c>
      <c r="I38" s="11" t="n">
        <v>46056</v>
      </c>
      <c r="J38" s="3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15" t="n"/>
      <c r="B39" s="6" t="n"/>
      <c r="C39" s="6" t="n"/>
      <c r="D39" s="6" t="n"/>
      <c r="E39" s="6" t="n"/>
      <c r="F39" s="6" t="n"/>
      <c r="G39" s="3">
        <f>IF(tblExcepciones[[#This Row],[fecha]]="","",TEXT(tblExcepciones[[#This Row],[fecha]],"yyyy-mm-dd")&amp;"|"&amp;tblExcepciones[[#This Row],[area]]&amp;"|"&amp;tblExcepciones[[#This Row],[sub_area]])</f>
        <v/>
      </c>
      <c r="I39" s="11" t="n">
        <v>46057</v>
      </c>
      <c r="J39" s="3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15" t="n"/>
      <c r="B40" s="6" t="n"/>
      <c r="C40" s="6" t="n"/>
      <c r="D40" s="6" t="n"/>
      <c r="E40" s="6" t="n"/>
      <c r="F40" s="6" t="n"/>
      <c r="G40" s="3">
        <f>IF(tblExcepciones[[#This Row],[fecha]]="","",TEXT(tblExcepciones[[#This Row],[fecha]],"yyyy-mm-dd")&amp;"|"&amp;tblExcepciones[[#This Row],[area]]&amp;"|"&amp;tblExcepciones[[#This Row],[sub_area]])</f>
        <v/>
      </c>
      <c r="I40" s="11" t="n">
        <v>46058</v>
      </c>
      <c r="J40" s="3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15" t="n"/>
      <c r="B41" s="6" t="n"/>
      <c r="C41" s="6" t="n"/>
      <c r="D41" s="6" t="n"/>
      <c r="E41" s="6" t="n"/>
      <c r="F41" s="6" t="n"/>
      <c r="G41" s="3">
        <f>IF(tblExcepciones[[#This Row],[fecha]]="","",TEXT(tblExcepciones[[#This Row],[fecha]],"yyyy-mm-dd")&amp;"|"&amp;tblExcepciones[[#This Row],[area]]&amp;"|"&amp;tblExcepciones[[#This Row],[sub_area]])</f>
        <v/>
      </c>
      <c r="I41" s="11" t="n">
        <v>46059</v>
      </c>
      <c r="J41" s="3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15" t="n"/>
      <c r="B42" s="6" t="n"/>
      <c r="C42" s="6" t="n"/>
      <c r="D42" s="6" t="n"/>
      <c r="E42" s="6" t="n"/>
      <c r="F42" s="6" t="n"/>
      <c r="G42" s="3">
        <f>IF(tblExcepciones[[#This Row],[fecha]]="","",TEXT(tblExcepciones[[#This Row],[fecha]],"yyyy-mm-dd")&amp;"|"&amp;tblExcepciones[[#This Row],[area]]&amp;"|"&amp;tblExcepciones[[#This Row],[sub_area]])</f>
        <v/>
      </c>
      <c r="I42" s="11" t="n">
        <v>46060</v>
      </c>
      <c r="J42" s="3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15" t="n"/>
      <c r="B43" s="6" t="n"/>
      <c r="C43" s="6" t="n"/>
      <c r="D43" s="6" t="n"/>
      <c r="E43" s="6" t="n"/>
      <c r="F43" s="6" t="n"/>
      <c r="G43" s="3">
        <f>IF(tblExcepciones[[#This Row],[fecha]]="","",TEXT(tblExcepciones[[#This Row],[fecha]],"yyyy-mm-dd")&amp;"|"&amp;tblExcepciones[[#This Row],[area]]&amp;"|"&amp;tblExcepciones[[#This Row],[sub_area]])</f>
        <v/>
      </c>
      <c r="I43" s="11" t="n">
        <v>46061</v>
      </c>
      <c r="J43" s="3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15" t="n"/>
      <c r="B44" s="6" t="n"/>
      <c r="C44" s="6" t="n"/>
      <c r="D44" s="6" t="n"/>
      <c r="E44" s="6" t="n"/>
      <c r="F44" s="6" t="n"/>
      <c r="G44" s="3">
        <f>IF(tblExcepciones[[#This Row],[fecha]]="","",TEXT(tblExcepciones[[#This Row],[fecha]],"yyyy-mm-dd")&amp;"|"&amp;tblExcepciones[[#This Row],[area]]&amp;"|"&amp;tblExcepciones[[#This Row],[sub_area]])</f>
        <v/>
      </c>
      <c r="I44" s="11" t="n">
        <v>46062</v>
      </c>
      <c r="J44" s="3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15" t="n"/>
      <c r="B45" s="6" t="n"/>
      <c r="C45" s="6" t="n"/>
      <c r="D45" s="6" t="n"/>
      <c r="E45" s="6" t="n"/>
      <c r="F45" s="6" t="n"/>
      <c r="G45" s="3">
        <f>IF(tblExcepciones[[#This Row],[fecha]]="","",TEXT(tblExcepciones[[#This Row],[fecha]],"yyyy-mm-dd")&amp;"|"&amp;tblExcepciones[[#This Row],[area]]&amp;"|"&amp;tblExcepciones[[#This Row],[sub_area]])</f>
        <v/>
      </c>
      <c r="I45" s="11" t="n">
        <v>46063</v>
      </c>
      <c r="J45" s="3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15" t="n"/>
      <c r="B46" s="6" t="n"/>
      <c r="C46" s="6" t="n"/>
      <c r="D46" s="6" t="n"/>
      <c r="E46" s="6" t="n"/>
      <c r="F46" s="6" t="n"/>
      <c r="G46" s="3">
        <f>IF(tblExcepciones[[#This Row],[fecha]]="","",TEXT(tblExcepciones[[#This Row],[fecha]],"yyyy-mm-dd")&amp;"|"&amp;tblExcepciones[[#This Row],[area]]&amp;"|"&amp;tblExcepciones[[#This Row],[sub_area]])</f>
        <v/>
      </c>
      <c r="I46" s="11" t="n">
        <v>46064</v>
      </c>
      <c r="J46" s="3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15" t="n"/>
      <c r="B47" s="6" t="n"/>
      <c r="C47" s="6" t="n"/>
      <c r="D47" s="6" t="n"/>
      <c r="E47" s="6" t="n"/>
      <c r="F47" s="6" t="n"/>
      <c r="G47" s="3">
        <f>IF(tblExcepciones[[#This Row],[fecha]]="","",TEXT(tblExcepciones[[#This Row],[fecha]],"yyyy-mm-dd")&amp;"|"&amp;tblExcepciones[[#This Row],[area]]&amp;"|"&amp;tblExcepciones[[#This Row],[sub_area]])</f>
        <v/>
      </c>
      <c r="I47" s="11" t="n">
        <v>46065</v>
      </c>
      <c r="J47" s="3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15" t="n"/>
      <c r="B48" s="6" t="n"/>
      <c r="C48" s="6" t="n"/>
      <c r="D48" s="6" t="n"/>
      <c r="E48" s="6" t="n"/>
      <c r="F48" s="6" t="n"/>
      <c r="G48" s="3">
        <f>IF(tblExcepciones[[#This Row],[fecha]]="","",TEXT(tblExcepciones[[#This Row],[fecha]],"yyyy-mm-dd")&amp;"|"&amp;tblExcepciones[[#This Row],[area]]&amp;"|"&amp;tblExcepciones[[#This Row],[sub_area]])</f>
        <v/>
      </c>
      <c r="I48" s="11" t="n">
        <v>46066</v>
      </c>
      <c r="J48" s="3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15" t="n"/>
      <c r="B49" s="6" t="n"/>
      <c r="C49" s="6" t="n"/>
      <c r="D49" s="6" t="n"/>
      <c r="E49" s="6" t="n"/>
      <c r="F49" s="6" t="n"/>
      <c r="G49" s="3">
        <f>IF(tblExcepciones[[#This Row],[fecha]]="","",TEXT(tblExcepciones[[#This Row],[fecha]],"yyyy-mm-dd")&amp;"|"&amp;tblExcepciones[[#This Row],[area]]&amp;"|"&amp;tblExcepciones[[#This Row],[sub_area]])</f>
        <v/>
      </c>
      <c r="I49" s="11" t="n">
        <v>46067</v>
      </c>
      <c r="J49" s="3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15" t="n"/>
      <c r="B50" s="6" t="n"/>
      <c r="C50" s="6" t="n"/>
      <c r="D50" s="6" t="n"/>
      <c r="E50" s="6" t="n"/>
      <c r="F50" s="6" t="n"/>
      <c r="G50" s="3">
        <f>IF(tblExcepciones[[#This Row],[fecha]]="","",TEXT(tblExcepciones[[#This Row],[fecha]],"yyyy-mm-dd")&amp;"|"&amp;tblExcepciones[[#This Row],[area]]&amp;"|"&amp;tblExcepciones[[#This Row],[sub_area]])</f>
        <v/>
      </c>
      <c r="I50" s="11" t="n">
        <v>46068</v>
      </c>
      <c r="J50" s="3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15" t="n"/>
      <c r="B51" s="6" t="n"/>
      <c r="C51" s="6" t="n"/>
      <c r="D51" s="6" t="n"/>
      <c r="E51" s="6" t="n"/>
      <c r="F51" s="6" t="n"/>
      <c r="G51" s="3">
        <f>IF(tblExcepciones[[#This Row],[fecha]]="","",TEXT(tblExcepciones[[#This Row],[fecha]],"yyyy-mm-dd")&amp;"|"&amp;tblExcepciones[[#This Row],[area]]&amp;"|"&amp;tblExcepciones[[#This Row],[sub_area]])</f>
        <v/>
      </c>
      <c r="I51" s="11" t="n">
        <v>46069</v>
      </c>
      <c r="J51" s="3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15" t="n"/>
      <c r="B52" s="6" t="n"/>
      <c r="C52" s="6" t="n"/>
      <c r="D52" s="6" t="n"/>
      <c r="E52" s="6" t="n"/>
      <c r="F52" s="6" t="n"/>
      <c r="G52" s="3">
        <f>IF(tblExcepciones[[#This Row],[fecha]]="","",TEXT(tblExcepciones[[#This Row],[fecha]],"yyyy-mm-dd")&amp;"|"&amp;tblExcepciones[[#This Row],[area]]&amp;"|"&amp;tblExcepciones[[#This Row],[sub_area]])</f>
        <v/>
      </c>
      <c r="I52" s="11" t="n">
        <v>46070</v>
      </c>
      <c r="J52" s="3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15" t="n"/>
      <c r="B53" s="6" t="n"/>
      <c r="C53" s="6" t="n"/>
      <c r="D53" s="6" t="n"/>
      <c r="E53" s="6" t="n"/>
      <c r="F53" s="6" t="n"/>
      <c r="G53" s="3">
        <f>IF(tblExcepciones[[#This Row],[fecha]]="","",TEXT(tblExcepciones[[#This Row],[fecha]],"yyyy-mm-dd")&amp;"|"&amp;tblExcepciones[[#This Row],[area]]&amp;"|"&amp;tblExcepciones[[#This Row],[sub_area]])</f>
        <v/>
      </c>
      <c r="I53" s="11" t="n">
        <v>46071</v>
      </c>
      <c r="J53" s="3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15" t="n"/>
      <c r="B54" s="6" t="n"/>
      <c r="C54" s="6" t="n"/>
      <c r="D54" s="6" t="n"/>
      <c r="E54" s="6" t="n"/>
      <c r="F54" s="6" t="n"/>
      <c r="G54" s="3">
        <f>IF(tblExcepciones[[#This Row],[fecha]]="","",TEXT(tblExcepciones[[#This Row],[fecha]],"yyyy-mm-dd")&amp;"|"&amp;tblExcepciones[[#This Row],[area]]&amp;"|"&amp;tblExcepciones[[#This Row],[sub_area]])</f>
        <v/>
      </c>
      <c r="I54" s="11" t="n">
        <v>46072</v>
      </c>
      <c r="J54" s="3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15" t="n"/>
      <c r="B55" s="6" t="n"/>
      <c r="C55" s="6" t="n"/>
      <c r="D55" s="6" t="n"/>
      <c r="E55" s="6" t="n"/>
      <c r="F55" s="6" t="n"/>
      <c r="G55" s="3">
        <f>IF(tblExcepciones[[#This Row],[fecha]]="","",TEXT(tblExcepciones[[#This Row],[fecha]],"yyyy-mm-dd")&amp;"|"&amp;tblExcepciones[[#This Row],[area]]&amp;"|"&amp;tblExcepciones[[#This Row],[sub_area]])</f>
        <v/>
      </c>
      <c r="I55" s="11" t="n">
        <v>46073</v>
      </c>
      <c r="J55" s="3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15" t="n"/>
      <c r="B56" s="6" t="n"/>
      <c r="C56" s="6" t="n"/>
      <c r="D56" s="6" t="n"/>
      <c r="E56" s="6" t="n"/>
      <c r="F56" s="6" t="n"/>
      <c r="G56" s="3">
        <f>IF(tblExcepciones[[#This Row],[fecha]]="","",TEXT(tblExcepciones[[#This Row],[fecha]],"yyyy-mm-dd")&amp;"|"&amp;tblExcepciones[[#This Row],[area]]&amp;"|"&amp;tblExcepciones[[#This Row],[sub_area]])</f>
        <v/>
      </c>
      <c r="I56" s="11" t="n">
        <v>46074</v>
      </c>
      <c r="J56" s="3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15" t="n"/>
      <c r="B57" s="6" t="n"/>
      <c r="C57" s="6" t="n"/>
      <c r="D57" s="6" t="n"/>
      <c r="E57" s="6" t="n"/>
      <c r="F57" s="6" t="n"/>
      <c r="G57" s="3">
        <f>IF(tblExcepciones[[#This Row],[fecha]]="","",TEXT(tblExcepciones[[#This Row],[fecha]],"yyyy-mm-dd")&amp;"|"&amp;tblExcepciones[[#This Row],[area]]&amp;"|"&amp;tblExcepciones[[#This Row],[sub_area]])</f>
        <v/>
      </c>
      <c r="I57" s="11" t="n">
        <v>46075</v>
      </c>
      <c r="J57" s="3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15" t="n"/>
      <c r="B58" s="6" t="n"/>
      <c r="C58" s="6" t="n"/>
      <c r="D58" s="6" t="n"/>
      <c r="E58" s="6" t="n"/>
      <c r="F58" s="6" t="n"/>
      <c r="G58" s="3">
        <f>IF(tblExcepciones[[#This Row],[fecha]]="","",TEXT(tblExcepciones[[#This Row],[fecha]],"yyyy-mm-dd")&amp;"|"&amp;tblExcepciones[[#This Row],[area]]&amp;"|"&amp;tblExcepciones[[#This Row],[sub_area]])</f>
        <v/>
      </c>
      <c r="I58" s="11" t="n">
        <v>46076</v>
      </c>
      <c r="J58" s="3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15" t="n"/>
      <c r="B59" s="6" t="n"/>
      <c r="C59" s="6" t="n"/>
      <c r="D59" s="6" t="n"/>
      <c r="E59" s="6" t="n"/>
      <c r="F59" s="6" t="n"/>
      <c r="G59" s="3">
        <f>IF(tblExcepciones[[#This Row],[fecha]]="","",TEXT(tblExcepciones[[#This Row],[fecha]],"yyyy-mm-dd")&amp;"|"&amp;tblExcepciones[[#This Row],[area]]&amp;"|"&amp;tblExcepciones[[#This Row],[sub_area]])</f>
        <v/>
      </c>
      <c r="I59" s="11" t="n">
        <v>46077</v>
      </c>
      <c r="J59" s="3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15" t="n"/>
      <c r="B60" s="6" t="n"/>
      <c r="C60" s="6" t="n"/>
      <c r="D60" s="6" t="n"/>
      <c r="E60" s="6" t="n"/>
      <c r="F60" s="6" t="n"/>
      <c r="G60" s="3">
        <f>IF(tblExcepciones[[#This Row],[fecha]]="","",TEXT(tblExcepciones[[#This Row],[fecha]],"yyyy-mm-dd")&amp;"|"&amp;tblExcepciones[[#This Row],[area]]&amp;"|"&amp;tblExcepciones[[#This Row],[sub_area]])</f>
        <v/>
      </c>
      <c r="I60" s="11" t="n">
        <v>46078</v>
      </c>
      <c r="J60" s="3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15" t="n"/>
      <c r="B61" s="6" t="n"/>
      <c r="C61" s="6" t="n"/>
      <c r="D61" s="6" t="n"/>
      <c r="E61" s="6" t="n"/>
      <c r="F61" s="6" t="n"/>
      <c r="G61" s="3">
        <f>IF(tblExcepciones[[#This Row],[fecha]]="","",TEXT(tblExcepciones[[#This Row],[fecha]],"yyyy-mm-dd")&amp;"|"&amp;tblExcepciones[[#This Row],[area]]&amp;"|"&amp;tblExcepciones[[#This Row],[sub_area]])</f>
        <v/>
      </c>
      <c r="I61" s="11" t="n">
        <v>46079</v>
      </c>
      <c r="J61" s="3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15" t="n"/>
      <c r="B62" s="6" t="n"/>
      <c r="C62" s="6" t="n"/>
      <c r="D62" s="6" t="n"/>
      <c r="E62" s="6" t="n"/>
      <c r="F62" s="6" t="n"/>
      <c r="G62" s="3">
        <f>IF(tblExcepciones[[#This Row],[fecha]]="","",TEXT(tblExcepciones[[#This Row],[fecha]],"yyyy-mm-dd")&amp;"|"&amp;tblExcepciones[[#This Row],[area]]&amp;"|"&amp;tblExcepciones[[#This Row],[sub_area]])</f>
        <v/>
      </c>
      <c r="I62" s="11" t="n">
        <v>46080</v>
      </c>
      <c r="J62" s="3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15" t="n"/>
      <c r="B63" s="6" t="n"/>
      <c r="C63" s="6" t="n"/>
      <c r="D63" s="6" t="n"/>
      <c r="E63" s="6" t="n"/>
      <c r="F63" s="6" t="n"/>
      <c r="G63" s="3">
        <f>IF(tblExcepciones[[#This Row],[fecha]]="","",TEXT(tblExcepciones[[#This Row],[fecha]],"yyyy-mm-dd")&amp;"|"&amp;tblExcepciones[[#This Row],[area]]&amp;"|"&amp;tblExcepciones[[#This Row],[sub_area]])</f>
        <v/>
      </c>
      <c r="I63" s="11" t="n">
        <v>46081</v>
      </c>
      <c r="J63" s="3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15" t="n"/>
      <c r="B64" s="6" t="n"/>
      <c r="C64" s="6" t="n"/>
      <c r="D64" s="6" t="n"/>
      <c r="E64" s="6" t="n"/>
      <c r="F64" s="6" t="n"/>
      <c r="G64" s="3">
        <f>IF(tblExcepciones[[#This Row],[fecha]]="","",TEXT(tblExcepciones[[#This Row],[fecha]],"yyyy-mm-dd")&amp;"|"&amp;tblExcepciones[[#This Row],[area]]&amp;"|"&amp;tblExcepciones[[#This Row],[sub_area]])</f>
        <v/>
      </c>
      <c r="I64" s="11" t="n">
        <v>46082</v>
      </c>
      <c r="J64" s="3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15" t="n"/>
      <c r="B65" s="6" t="n"/>
      <c r="C65" s="6" t="n"/>
      <c r="D65" s="6" t="n"/>
      <c r="E65" s="6" t="n"/>
      <c r="F65" s="6" t="n"/>
      <c r="G65" s="3">
        <f>IF(tblExcepciones[[#This Row],[fecha]]="","",TEXT(tblExcepciones[[#This Row],[fecha]],"yyyy-mm-dd")&amp;"|"&amp;tblExcepciones[[#This Row],[area]]&amp;"|"&amp;tblExcepciones[[#This Row],[sub_area]])</f>
        <v/>
      </c>
      <c r="I65" s="11" t="n">
        <v>46083</v>
      </c>
      <c r="J65" s="3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15" t="n"/>
      <c r="B66" s="6" t="n"/>
      <c r="C66" s="6" t="n"/>
      <c r="D66" s="6" t="n"/>
      <c r="E66" s="6" t="n"/>
      <c r="F66" s="6" t="n"/>
      <c r="G66" s="3">
        <f>IF(tblExcepciones[[#This Row],[fecha]]="","",TEXT(tblExcepciones[[#This Row],[fecha]],"yyyy-mm-dd")&amp;"|"&amp;tblExcepciones[[#This Row],[area]]&amp;"|"&amp;tblExcepciones[[#This Row],[sub_area]])</f>
        <v/>
      </c>
      <c r="I66" s="11" t="n">
        <v>46084</v>
      </c>
      <c r="J66" s="3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15" t="n"/>
      <c r="B67" s="6" t="n"/>
      <c r="C67" s="6" t="n"/>
      <c r="D67" s="6" t="n"/>
      <c r="E67" s="6" t="n"/>
      <c r="F67" s="6" t="n"/>
      <c r="G67" s="3">
        <f>IF(tblExcepciones[[#This Row],[fecha]]="","",TEXT(tblExcepciones[[#This Row],[fecha]],"yyyy-mm-dd")&amp;"|"&amp;tblExcepciones[[#This Row],[area]]&amp;"|"&amp;tblExcepciones[[#This Row],[sub_area]])</f>
        <v/>
      </c>
      <c r="I67" s="11" t="n">
        <v>46085</v>
      </c>
      <c r="J67" s="3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15" t="n"/>
      <c r="B68" s="6" t="n"/>
      <c r="C68" s="6" t="n"/>
      <c r="D68" s="6" t="n"/>
      <c r="E68" s="6" t="n"/>
      <c r="F68" s="6" t="n"/>
      <c r="G68" s="3">
        <f>IF(tblExcepciones[[#This Row],[fecha]]="","",TEXT(tblExcepciones[[#This Row],[fecha]],"yyyy-mm-dd")&amp;"|"&amp;tblExcepciones[[#This Row],[area]]&amp;"|"&amp;tblExcepciones[[#This Row],[sub_area]])</f>
        <v/>
      </c>
      <c r="I68" s="11" t="n">
        <v>46086</v>
      </c>
      <c r="J68" s="3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15" t="n"/>
      <c r="B69" s="6" t="n"/>
      <c r="C69" s="6" t="n"/>
      <c r="D69" s="6" t="n"/>
      <c r="E69" s="6" t="n"/>
      <c r="F69" s="6" t="n"/>
      <c r="G69" s="3">
        <f>IF(tblExcepciones[[#This Row],[fecha]]="","",TEXT(tblExcepciones[[#This Row],[fecha]],"yyyy-mm-dd")&amp;"|"&amp;tblExcepciones[[#This Row],[area]]&amp;"|"&amp;tblExcepciones[[#This Row],[sub_area]])</f>
        <v/>
      </c>
      <c r="I69" s="11" t="n">
        <v>46087</v>
      </c>
      <c r="J69" s="3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15" t="n"/>
      <c r="B70" s="6" t="n"/>
      <c r="C70" s="6" t="n"/>
      <c r="D70" s="6" t="n"/>
      <c r="E70" s="6" t="n"/>
      <c r="F70" s="6" t="n"/>
      <c r="G70" s="3">
        <f>IF(tblExcepciones[[#This Row],[fecha]]="","",TEXT(tblExcepciones[[#This Row],[fecha]],"yyyy-mm-dd")&amp;"|"&amp;tblExcepciones[[#This Row],[area]]&amp;"|"&amp;tblExcepciones[[#This Row],[sub_area]])</f>
        <v/>
      </c>
      <c r="I70" s="11" t="n">
        <v>46088</v>
      </c>
      <c r="J70" s="3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15" t="n"/>
      <c r="B71" s="6" t="n"/>
      <c r="C71" s="6" t="n"/>
      <c r="D71" s="6" t="n"/>
      <c r="E71" s="6" t="n"/>
      <c r="F71" s="6" t="n"/>
      <c r="G71" s="3">
        <f>IF(tblExcepciones[[#This Row],[fecha]]="","",TEXT(tblExcepciones[[#This Row],[fecha]],"yyyy-mm-dd")&amp;"|"&amp;tblExcepciones[[#This Row],[area]]&amp;"|"&amp;tblExcepciones[[#This Row],[sub_area]])</f>
        <v/>
      </c>
      <c r="I71" s="11" t="n">
        <v>46089</v>
      </c>
      <c r="J71" s="3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15" t="n"/>
      <c r="B72" s="6" t="n"/>
      <c r="C72" s="6" t="n"/>
      <c r="D72" s="6" t="n"/>
      <c r="E72" s="6" t="n"/>
      <c r="F72" s="6" t="n"/>
      <c r="G72" s="3">
        <f>IF(tblExcepciones[[#This Row],[fecha]]="","",TEXT(tblExcepciones[[#This Row],[fecha]],"yyyy-mm-dd")&amp;"|"&amp;tblExcepciones[[#This Row],[area]]&amp;"|"&amp;tblExcepciones[[#This Row],[sub_area]])</f>
        <v/>
      </c>
      <c r="I72" s="11" t="n">
        <v>46090</v>
      </c>
      <c r="J72" s="3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15" t="n"/>
      <c r="B73" s="6" t="n"/>
      <c r="C73" s="6" t="n"/>
      <c r="D73" s="6" t="n"/>
      <c r="E73" s="6" t="n"/>
      <c r="F73" s="6" t="n"/>
      <c r="G73" s="3">
        <f>IF(tblExcepciones[[#This Row],[fecha]]="","",TEXT(tblExcepciones[[#This Row],[fecha]],"yyyy-mm-dd")&amp;"|"&amp;tblExcepciones[[#This Row],[area]]&amp;"|"&amp;tblExcepciones[[#This Row],[sub_area]])</f>
        <v/>
      </c>
      <c r="I73" s="11" t="n">
        <v>46091</v>
      </c>
      <c r="J73" s="3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15" t="n"/>
      <c r="B74" s="6" t="n"/>
      <c r="C74" s="6" t="n"/>
      <c r="D74" s="6" t="n"/>
      <c r="E74" s="6" t="n"/>
      <c r="F74" s="6" t="n"/>
      <c r="G74" s="3">
        <f>IF(tblExcepciones[[#This Row],[fecha]]="","",TEXT(tblExcepciones[[#This Row],[fecha]],"yyyy-mm-dd")&amp;"|"&amp;tblExcepciones[[#This Row],[area]]&amp;"|"&amp;tblExcepciones[[#This Row],[sub_area]])</f>
        <v/>
      </c>
      <c r="I74" s="11" t="n">
        <v>46092</v>
      </c>
      <c r="J74" s="3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15" t="n"/>
      <c r="B75" s="6" t="n"/>
      <c r="C75" s="6" t="n"/>
      <c r="D75" s="6" t="n"/>
      <c r="E75" s="6" t="n"/>
      <c r="F75" s="6" t="n"/>
      <c r="G75" s="3">
        <f>IF(tblExcepciones[[#This Row],[fecha]]="","",TEXT(tblExcepciones[[#This Row],[fecha]],"yyyy-mm-dd")&amp;"|"&amp;tblExcepciones[[#This Row],[area]]&amp;"|"&amp;tblExcepciones[[#This Row],[sub_area]])</f>
        <v/>
      </c>
      <c r="I75" s="11" t="n">
        <v>46093</v>
      </c>
      <c r="J75" s="3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15" t="n"/>
      <c r="B76" s="6" t="n"/>
      <c r="C76" s="6" t="n"/>
      <c r="D76" s="6" t="n"/>
      <c r="E76" s="6" t="n"/>
      <c r="F76" s="6" t="n"/>
      <c r="G76" s="3">
        <f>IF(tblExcepciones[[#This Row],[fecha]]="","",TEXT(tblExcepciones[[#This Row],[fecha]],"yyyy-mm-dd")&amp;"|"&amp;tblExcepciones[[#This Row],[area]]&amp;"|"&amp;tblExcepciones[[#This Row],[sub_area]])</f>
        <v/>
      </c>
      <c r="I76" s="11" t="n">
        <v>46094</v>
      </c>
      <c r="J76" s="3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15" t="n"/>
      <c r="B77" s="6" t="n"/>
      <c r="C77" s="6" t="n"/>
      <c r="D77" s="6" t="n"/>
      <c r="E77" s="6" t="n"/>
      <c r="F77" s="6" t="n"/>
      <c r="G77" s="3">
        <f>IF(tblExcepciones[[#This Row],[fecha]]="","",TEXT(tblExcepciones[[#This Row],[fecha]],"yyyy-mm-dd")&amp;"|"&amp;tblExcepciones[[#This Row],[area]]&amp;"|"&amp;tblExcepciones[[#This Row],[sub_area]])</f>
        <v/>
      </c>
      <c r="I77" s="11" t="n">
        <v>46095</v>
      </c>
      <c r="J77" s="3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15" t="n"/>
      <c r="B78" s="6" t="n"/>
      <c r="C78" s="6" t="n"/>
      <c r="D78" s="6" t="n"/>
      <c r="E78" s="6" t="n"/>
      <c r="F78" s="6" t="n"/>
      <c r="G78" s="3">
        <f>IF(tblExcepciones[[#This Row],[fecha]]="","",TEXT(tblExcepciones[[#This Row],[fecha]],"yyyy-mm-dd")&amp;"|"&amp;tblExcepciones[[#This Row],[area]]&amp;"|"&amp;tblExcepciones[[#This Row],[sub_area]])</f>
        <v/>
      </c>
      <c r="I78" s="11" t="n">
        <v>46096</v>
      </c>
      <c r="J78" s="3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15" t="n"/>
      <c r="B79" s="6" t="n"/>
      <c r="C79" s="6" t="n"/>
      <c r="D79" s="6" t="n"/>
      <c r="E79" s="6" t="n"/>
      <c r="F79" s="6" t="n"/>
      <c r="G79" s="3">
        <f>IF(tblExcepciones[[#This Row],[fecha]]="","",TEXT(tblExcepciones[[#This Row],[fecha]],"yyyy-mm-dd")&amp;"|"&amp;tblExcepciones[[#This Row],[area]]&amp;"|"&amp;tblExcepciones[[#This Row],[sub_area]])</f>
        <v/>
      </c>
      <c r="I79" s="11" t="n">
        <v>46097</v>
      </c>
      <c r="J79" s="3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15" t="n"/>
      <c r="B80" s="6" t="n"/>
      <c r="C80" s="6" t="n"/>
      <c r="D80" s="6" t="n"/>
      <c r="E80" s="6" t="n"/>
      <c r="F80" s="6" t="n"/>
      <c r="G80" s="3">
        <f>IF(tblExcepciones[[#This Row],[fecha]]="","",TEXT(tblExcepciones[[#This Row],[fecha]],"yyyy-mm-dd")&amp;"|"&amp;tblExcepciones[[#This Row],[area]]&amp;"|"&amp;tblExcepciones[[#This Row],[sub_area]])</f>
        <v/>
      </c>
      <c r="I80" s="11" t="n">
        <v>46098</v>
      </c>
      <c r="J80" s="3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15" t="n"/>
      <c r="B81" s="6" t="n"/>
      <c r="C81" s="6" t="n"/>
      <c r="D81" s="6" t="n"/>
      <c r="E81" s="6" t="n"/>
      <c r="F81" s="6" t="n"/>
      <c r="G81" s="3">
        <f>IF(tblExcepciones[[#This Row],[fecha]]="","",TEXT(tblExcepciones[[#This Row],[fecha]],"yyyy-mm-dd")&amp;"|"&amp;tblExcepciones[[#This Row],[area]]&amp;"|"&amp;tblExcepciones[[#This Row],[sub_area]])</f>
        <v/>
      </c>
      <c r="I81" s="11" t="n">
        <v>46099</v>
      </c>
      <c r="J81" s="3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15" t="n"/>
      <c r="B82" s="6" t="n"/>
      <c r="C82" s="6" t="n"/>
      <c r="D82" s="6" t="n"/>
      <c r="E82" s="6" t="n"/>
      <c r="F82" s="6" t="n"/>
      <c r="G82" s="3">
        <f>IF(tblExcepciones[[#This Row],[fecha]]="","",TEXT(tblExcepciones[[#This Row],[fecha]],"yyyy-mm-dd")&amp;"|"&amp;tblExcepciones[[#This Row],[area]]&amp;"|"&amp;tblExcepciones[[#This Row],[sub_area]])</f>
        <v/>
      </c>
      <c r="I82" s="11" t="n">
        <v>46100</v>
      </c>
      <c r="J82" s="3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15" t="n"/>
      <c r="B83" s="6" t="n"/>
      <c r="C83" s="6" t="n"/>
      <c r="D83" s="6" t="n"/>
      <c r="E83" s="6" t="n"/>
      <c r="F83" s="6" t="n"/>
      <c r="G83" s="3">
        <f>IF(tblExcepciones[[#This Row],[fecha]]="","",TEXT(tblExcepciones[[#This Row],[fecha]],"yyyy-mm-dd")&amp;"|"&amp;tblExcepciones[[#This Row],[area]]&amp;"|"&amp;tblExcepciones[[#This Row],[sub_area]])</f>
        <v/>
      </c>
      <c r="I83" s="11" t="n">
        <v>46101</v>
      </c>
      <c r="J83" s="3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15" t="n"/>
      <c r="B84" s="6" t="n"/>
      <c r="C84" s="6" t="n"/>
      <c r="D84" s="6" t="n"/>
      <c r="E84" s="6" t="n"/>
      <c r="F84" s="6" t="n"/>
      <c r="G84" s="3">
        <f>IF(tblExcepciones[[#This Row],[fecha]]="","",TEXT(tblExcepciones[[#This Row],[fecha]],"yyyy-mm-dd")&amp;"|"&amp;tblExcepciones[[#This Row],[area]]&amp;"|"&amp;tblExcepciones[[#This Row],[sub_area]])</f>
        <v/>
      </c>
      <c r="I84" s="11" t="n">
        <v>46102</v>
      </c>
      <c r="J84" s="3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15" t="n"/>
      <c r="B85" s="6" t="n"/>
      <c r="C85" s="6" t="n"/>
      <c r="D85" s="6" t="n"/>
      <c r="E85" s="6" t="n"/>
      <c r="F85" s="6" t="n"/>
      <c r="G85" s="3">
        <f>IF(tblExcepciones[[#This Row],[fecha]]="","",TEXT(tblExcepciones[[#This Row],[fecha]],"yyyy-mm-dd")&amp;"|"&amp;tblExcepciones[[#This Row],[area]]&amp;"|"&amp;tblExcepciones[[#This Row],[sub_area]])</f>
        <v/>
      </c>
      <c r="I85" s="11" t="n">
        <v>46103</v>
      </c>
      <c r="J85" s="3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15" t="n"/>
      <c r="B86" s="6" t="n"/>
      <c r="C86" s="6" t="n"/>
      <c r="D86" s="6" t="n"/>
      <c r="E86" s="6" t="n"/>
      <c r="F86" s="6" t="n"/>
      <c r="G86" s="3">
        <f>IF(tblExcepciones[[#This Row],[fecha]]="","",TEXT(tblExcepciones[[#This Row],[fecha]],"yyyy-mm-dd")&amp;"|"&amp;tblExcepciones[[#This Row],[area]]&amp;"|"&amp;tblExcepciones[[#This Row],[sub_area]])</f>
        <v/>
      </c>
      <c r="I86" s="11" t="n">
        <v>46104</v>
      </c>
      <c r="J86" s="3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15" t="n"/>
      <c r="B87" s="6" t="n"/>
      <c r="C87" s="6" t="n"/>
      <c r="D87" s="6" t="n"/>
      <c r="E87" s="6" t="n"/>
      <c r="F87" s="6" t="n"/>
      <c r="G87" s="3">
        <f>IF(tblExcepciones[[#This Row],[fecha]]="","",TEXT(tblExcepciones[[#This Row],[fecha]],"yyyy-mm-dd")&amp;"|"&amp;tblExcepciones[[#This Row],[area]]&amp;"|"&amp;tblExcepciones[[#This Row],[sub_area]])</f>
        <v/>
      </c>
      <c r="I87" s="11" t="n">
        <v>46105</v>
      </c>
      <c r="J87" s="3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15" t="n"/>
      <c r="B88" s="6" t="n"/>
      <c r="C88" s="6" t="n"/>
      <c r="D88" s="6" t="n"/>
      <c r="E88" s="6" t="n"/>
      <c r="F88" s="6" t="n"/>
      <c r="G88" s="3">
        <f>IF(tblExcepciones[[#This Row],[fecha]]="","",TEXT(tblExcepciones[[#This Row],[fecha]],"yyyy-mm-dd")&amp;"|"&amp;tblExcepciones[[#This Row],[area]]&amp;"|"&amp;tblExcepciones[[#This Row],[sub_area]])</f>
        <v/>
      </c>
      <c r="I88" s="11" t="n">
        <v>46106</v>
      </c>
      <c r="J88" s="3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15" t="n"/>
      <c r="B89" s="6" t="n"/>
      <c r="C89" s="6" t="n"/>
      <c r="D89" s="6" t="n"/>
      <c r="E89" s="6" t="n"/>
      <c r="F89" s="6" t="n"/>
      <c r="G89" s="3">
        <f>IF(tblExcepciones[[#This Row],[fecha]]="","",TEXT(tblExcepciones[[#This Row],[fecha]],"yyyy-mm-dd")&amp;"|"&amp;tblExcepciones[[#This Row],[area]]&amp;"|"&amp;tblExcepciones[[#This Row],[sub_area]])</f>
        <v/>
      </c>
      <c r="I89" s="11" t="n">
        <v>46107</v>
      </c>
      <c r="J89" s="3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15" t="n"/>
      <c r="B90" s="6" t="n"/>
      <c r="C90" s="6" t="n"/>
      <c r="D90" s="6" t="n"/>
      <c r="E90" s="6" t="n"/>
      <c r="F90" s="6" t="n"/>
      <c r="G90" s="3">
        <f>IF(tblExcepciones[[#This Row],[fecha]]="","",TEXT(tblExcepciones[[#This Row],[fecha]],"yyyy-mm-dd")&amp;"|"&amp;tblExcepciones[[#This Row],[area]]&amp;"|"&amp;tblExcepciones[[#This Row],[sub_area]])</f>
        <v/>
      </c>
      <c r="I90" s="11" t="n">
        <v>46108</v>
      </c>
      <c r="J90" s="3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15" t="n"/>
      <c r="B91" s="6" t="n"/>
      <c r="C91" s="6" t="n"/>
      <c r="D91" s="6" t="n"/>
      <c r="E91" s="6" t="n"/>
      <c r="F91" s="6" t="n"/>
      <c r="G91" s="3">
        <f>IF(tblExcepciones[[#This Row],[fecha]]="","",TEXT(tblExcepciones[[#This Row],[fecha]],"yyyy-mm-dd")&amp;"|"&amp;tblExcepciones[[#This Row],[area]]&amp;"|"&amp;tblExcepciones[[#This Row],[sub_area]])</f>
        <v/>
      </c>
      <c r="I91" s="11" t="n">
        <v>46109</v>
      </c>
      <c r="J91" s="3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15" t="n"/>
      <c r="B92" s="6" t="n"/>
      <c r="C92" s="6" t="n"/>
      <c r="D92" s="6" t="n"/>
      <c r="E92" s="6" t="n"/>
      <c r="F92" s="6" t="n"/>
      <c r="G92" s="3">
        <f>IF(tblExcepciones[[#This Row],[fecha]]="","",TEXT(tblExcepciones[[#This Row],[fecha]],"yyyy-mm-dd")&amp;"|"&amp;tblExcepciones[[#This Row],[area]]&amp;"|"&amp;tblExcepciones[[#This Row],[sub_area]])</f>
        <v/>
      </c>
      <c r="I92" s="11" t="n">
        <v>46110</v>
      </c>
      <c r="J92" s="3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15" t="n"/>
      <c r="B93" s="6" t="n"/>
      <c r="C93" s="6" t="n"/>
      <c r="D93" s="6" t="n"/>
      <c r="E93" s="6" t="n"/>
      <c r="F93" s="6" t="n"/>
      <c r="G93" s="3">
        <f>IF(tblExcepciones[[#This Row],[fecha]]="","",TEXT(tblExcepciones[[#This Row],[fecha]],"yyyy-mm-dd")&amp;"|"&amp;tblExcepciones[[#This Row],[area]]&amp;"|"&amp;tblExcepciones[[#This Row],[sub_area]])</f>
        <v/>
      </c>
      <c r="I93" s="11" t="n">
        <v>46111</v>
      </c>
      <c r="J93" s="3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15" t="n"/>
      <c r="B94" s="6" t="n"/>
      <c r="C94" s="6" t="n"/>
      <c r="D94" s="6" t="n"/>
      <c r="E94" s="6" t="n"/>
      <c r="F94" s="6" t="n"/>
      <c r="G94" s="3">
        <f>IF(tblExcepciones[[#This Row],[fecha]]="","",TEXT(tblExcepciones[[#This Row],[fecha]],"yyyy-mm-dd")&amp;"|"&amp;tblExcepciones[[#This Row],[area]]&amp;"|"&amp;tblExcepciones[[#This Row],[sub_area]])</f>
        <v/>
      </c>
      <c r="I94" s="11" t="n">
        <v>46112</v>
      </c>
      <c r="J94" s="3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15" t="n"/>
      <c r="B95" s="6" t="n"/>
      <c r="C95" s="6" t="n"/>
      <c r="D95" s="6" t="n"/>
      <c r="E95" s="6" t="n"/>
      <c r="F95" s="6" t="n"/>
      <c r="G95" s="3">
        <f>IF(tblExcepciones[[#This Row],[fecha]]="","",TEXT(tblExcepciones[[#This Row],[fecha]],"yyyy-mm-dd")&amp;"|"&amp;tblExcepciones[[#This Row],[area]]&amp;"|"&amp;tblExcepciones[[#This Row],[sub_area]])</f>
        <v/>
      </c>
      <c r="I95" s="11" t="n">
        <v>46113</v>
      </c>
      <c r="J95" s="3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15" t="n"/>
      <c r="B96" s="6" t="n"/>
      <c r="C96" s="6" t="n"/>
      <c r="D96" s="6" t="n"/>
      <c r="E96" s="6" t="n"/>
      <c r="F96" s="6" t="n"/>
      <c r="G96" s="3">
        <f>IF(tblExcepciones[[#This Row],[fecha]]="","",TEXT(tblExcepciones[[#This Row],[fecha]],"yyyy-mm-dd")&amp;"|"&amp;tblExcepciones[[#This Row],[area]]&amp;"|"&amp;tblExcepciones[[#This Row],[sub_area]])</f>
        <v/>
      </c>
      <c r="I96" s="11" t="n">
        <v>46114</v>
      </c>
      <c r="J96" s="3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15" t="n"/>
      <c r="B97" s="6" t="n"/>
      <c r="C97" s="6" t="n"/>
      <c r="D97" s="6" t="n"/>
      <c r="E97" s="6" t="n"/>
      <c r="F97" s="6" t="n"/>
      <c r="G97" s="3">
        <f>IF(tblExcepciones[[#This Row],[fecha]]="","",TEXT(tblExcepciones[[#This Row],[fecha]],"yyyy-mm-dd")&amp;"|"&amp;tblExcepciones[[#This Row],[area]]&amp;"|"&amp;tblExcepciones[[#This Row],[sub_area]])</f>
        <v/>
      </c>
      <c r="I97" s="11" t="n">
        <v>46115</v>
      </c>
      <c r="J97" s="3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15" t="n"/>
      <c r="B98" s="6" t="n"/>
      <c r="C98" s="6" t="n"/>
      <c r="D98" s="6" t="n"/>
      <c r="E98" s="6" t="n"/>
      <c r="F98" s="6" t="n"/>
      <c r="G98" s="3">
        <f>IF(tblExcepciones[[#This Row],[fecha]]="","",TEXT(tblExcepciones[[#This Row],[fecha]],"yyyy-mm-dd")&amp;"|"&amp;tblExcepciones[[#This Row],[area]]&amp;"|"&amp;tblExcepciones[[#This Row],[sub_area]])</f>
        <v/>
      </c>
      <c r="I98" s="11" t="n">
        <v>46116</v>
      </c>
      <c r="J98" s="3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15" t="n"/>
      <c r="B99" s="6" t="n"/>
      <c r="C99" s="6" t="n"/>
      <c r="D99" s="6" t="n"/>
      <c r="E99" s="6" t="n"/>
      <c r="F99" s="6" t="n"/>
      <c r="G99" s="3">
        <f>IF(tblExcepciones[[#This Row],[fecha]]="","",TEXT(tblExcepciones[[#This Row],[fecha]],"yyyy-mm-dd")&amp;"|"&amp;tblExcepciones[[#This Row],[area]]&amp;"|"&amp;tblExcepciones[[#This Row],[sub_area]])</f>
        <v/>
      </c>
      <c r="I99" s="11" t="n">
        <v>46117</v>
      </c>
      <c r="J99" s="3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15" t="n"/>
      <c r="B100" s="6" t="n"/>
      <c r="C100" s="6" t="n"/>
      <c r="D100" s="6" t="n"/>
      <c r="E100" s="6" t="n"/>
      <c r="F100" s="6" t="n"/>
      <c r="G100" s="3">
        <f>IF(tblExcepciones[[#This Row],[fecha]]="","",TEXT(tblExcepciones[[#This Row],[fecha]],"yyyy-mm-dd")&amp;"|"&amp;tblExcepciones[[#This Row],[area]]&amp;"|"&amp;tblExcepciones[[#This Row],[sub_area]])</f>
        <v/>
      </c>
      <c r="I100" s="11" t="n">
        <v>46118</v>
      </c>
      <c r="J100" s="3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15" t="n"/>
      <c r="B101" s="6" t="n"/>
      <c r="C101" s="6" t="n"/>
      <c r="D101" s="6" t="n"/>
      <c r="E101" s="6" t="n"/>
      <c r="F101" s="6" t="n"/>
      <c r="G101" s="3">
        <f>IF(tblExcepciones[[#This Row],[fecha]]="","",TEXT(tblExcepciones[[#This Row],[fecha]],"yyyy-mm-dd")&amp;"|"&amp;tblExcepciones[[#This Row],[area]]&amp;"|"&amp;tblExcepciones[[#This Row],[sub_area]])</f>
        <v/>
      </c>
      <c r="I101" s="11" t="n">
        <v>46119</v>
      </c>
      <c r="J101" s="3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15" t="n"/>
      <c r="B102" s="6" t="n"/>
      <c r="C102" s="6" t="n"/>
      <c r="D102" s="6" t="n"/>
      <c r="E102" s="6" t="n"/>
      <c r="F102" s="6" t="n"/>
      <c r="G102" s="3">
        <f>IF(tblExcepciones[[#This Row],[fecha]]="","",TEXT(tblExcepciones[[#This Row],[fecha]],"yyyy-mm-dd")&amp;"|"&amp;tblExcepciones[[#This Row],[area]]&amp;"|"&amp;tblExcepciones[[#This Row],[sub_area]])</f>
        <v/>
      </c>
      <c r="I102" s="11" t="n">
        <v>46120</v>
      </c>
      <c r="J102" s="3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15" t="n"/>
      <c r="B103" s="6" t="n"/>
      <c r="C103" s="6" t="n"/>
      <c r="D103" s="6" t="n"/>
      <c r="E103" s="6" t="n"/>
      <c r="F103" s="6" t="n"/>
      <c r="G103" s="3">
        <f>IF(tblExcepciones[[#This Row],[fecha]]="","",TEXT(tblExcepciones[[#This Row],[fecha]],"yyyy-mm-dd")&amp;"|"&amp;tblExcepciones[[#This Row],[area]]&amp;"|"&amp;tblExcepciones[[#This Row],[sub_area]])</f>
        <v/>
      </c>
      <c r="I103" s="11" t="n">
        <v>46121</v>
      </c>
      <c r="J103" s="3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15" t="n"/>
      <c r="B104" s="6" t="n"/>
      <c r="C104" s="6" t="n"/>
      <c r="D104" s="6" t="n"/>
      <c r="E104" s="6" t="n"/>
      <c r="F104" s="6" t="n"/>
      <c r="G104" s="3">
        <f>IF(tblExcepciones[[#This Row],[fecha]]="","",TEXT(tblExcepciones[[#This Row],[fecha]],"yyyy-mm-dd")&amp;"|"&amp;tblExcepciones[[#This Row],[area]]&amp;"|"&amp;tblExcepciones[[#This Row],[sub_area]])</f>
        <v/>
      </c>
      <c r="I104" s="11" t="n">
        <v>46122</v>
      </c>
      <c r="J104" s="3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15" t="n"/>
      <c r="B105" s="6" t="n"/>
      <c r="C105" s="6" t="n"/>
      <c r="D105" s="6" t="n"/>
      <c r="E105" s="6" t="n"/>
      <c r="F105" s="6" t="n"/>
      <c r="G105" s="3">
        <f>IF(tblExcepciones[[#This Row],[fecha]]="","",TEXT(tblExcepciones[[#This Row],[fecha]],"yyyy-mm-dd")&amp;"|"&amp;tblExcepciones[[#This Row],[area]]&amp;"|"&amp;tblExcepciones[[#This Row],[sub_area]])</f>
        <v/>
      </c>
      <c r="I105" s="11" t="n">
        <v>46123</v>
      </c>
      <c r="J105" s="3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15" t="n"/>
      <c r="B106" s="6" t="n"/>
      <c r="C106" s="6" t="n"/>
      <c r="D106" s="6" t="n"/>
      <c r="E106" s="6" t="n"/>
      <c r="F106" s="6" t="n"/>
      <c r="G106" s="3">
        <f>IF(tblExcepciones[[#This Row],[fecha]]="","",TEXT(tblExcepciones[[#This Row],[fecha]],"yyyy-mm-dd")&amp;"|"&amp;tblExcepciones[[#This Row],[area]]&amp;"|"&amp;tblExcepciones[[#This Row],[sub_area]])</f>
        <v/>
      </c>
      <c r="I106" s="11" t="n">
        <v>46124</v>
      </c>
      <c r="J106" s="3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15" t="n"/>
      <c r="B107" s="6" t="n"/>
      <c r="C107" s="6" t="n"/>
      <c r="D107" s="6" t="n"/>
      <c r="E107" s="6" t="n"/>
      <c r="F107" s="6" t="n"/>
      <c r="G107" s="3">
        <f>IF(tblExcepciones[[#This Row],[fecha]]="","",TEXT(tblExcepciones[[#This Row],[fecha]],"yyyy-mm-dd")&amp;"|"&amp;tblExcepciones[[#This Row],[area]]&amp;"|"&amp;tblExcepciones[[#This Row],[sub_area]])</f>
        <v/>
      </c>
      <c r="I107" s="11" t="n">
        <v>46125</v>
      </c>
      <c r="J107" s="3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15" t="n"/>
      <c r="B108" s="6" t="n"/>
      <c r="C108" s="6" t="n"/>
      <c r="D108" s="6" t="n"/>
      <c r="E108" s="6" t="n"/>
      <c r="F108" s="6" t="n"/>
      <c r="G108" s="3">
        <f>IF(tblExcepciones[[#This Row],[fecha]]="","",TEXT(tblExcepciones[[#This Row],[fecha]],"yyyy-mm-dd")&amp;"|"&amp;tblExcepciones[[#This Row],[area]]&amp;"|"&amp;tblExcepciones[[#This Row],[sub_area]])</f>
        <v/>
      </c>
      <c r="I108" s="11" t="n">
        <v>46126</v>
      </c>
      <c r="J108" s="3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15" t="n"/>
      <c r="B109" s="6" t="n"/>
      <c r="C109" s="6" t="n"/>
      <c r="D109" s="6" t="n"/>
      <c r="E109" s="6" t="n"/>
      <c r="F109" s="6" t="n"/>
      <c r="G109" s="3">
        <f>IF(tblExcepciones[[#This Row],[fecha]]="","",TEXT(tblExcepciones[[#This Row],[fecha]],"yyyy-mm-dd")&amp;"|"&amp;tblExcepciones[[#This Row],[area]]&amp;"|"&amp;tblExcepciones[[#This Row],[sub_area]])</f>
        <v/>
      </c>
      <c r="I109" s="11" t="n">
        <v>46127</v>
      </c>
      <c r="J109" s="3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15" t="n"/>
      <c r="B110" s="6" t="n"/>
      <c r="C110" s="6" t="n"/>
      <c r="D110" s="6" t="n"/>
      <c r="E110" s="6" t="n"/>
      <c r="F110" s="6" t="n"/>
      <c r="G110" s="3">
        <f>IF(tblExcepciones[[#This Row],[fecha]]="","",TEXT(tblExcepciones[[#This Row],[fecha]],"yyyy-mm-dd")&amp;"|"&amp;tblExcepciones[[#This Row],[area]]&amp;"|"&amp;tblExcepciones[[#This Row],[sub_area]])</f>
        <v/>
      </c>
      <c r="I110" s="11" t="n">
        <v>46128</v>
      </c>
      <c r="J110" s="3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15" t="n"/>
      <c r="B111" s="6" t="n"/>
      <c r="C111" s="6" t="n"/>
      <c r="D111" s="6" t="n"/>
      <c r="E111" s="6" t="n"/>
      <c r="F111" s="6" t="n"/>
      <c r="G111" s="3">
        <f>IF(tblExcepciones[[#This Row],[fecha]]="","",TEXT(tblExcepciones[[#This Row],[fecha]],"yyyy-mm-dd")&amp;"|"&amp;tblExcepciones[[#This Row],[area]]&amp;"|"&amp;tblExcepciones[[#This Row],[sub_area]])</f>
        <v/>
      </c>
      <c r="I111" s="11" t="n">
        <v>46129</v>
      </c>
      <c r="J111" s="3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15" t="n"/>
      <c r="B112" s="6" t="n"/>
      <c r="C112" s="6" t="n"/>
      <c r="D112" s="6" t="n"/>
      <c r="E112" s="6" t="n"/>
      <c r="F112" s="6" t="n"/>
      <c r="G112" s="3">
        <f>IF(tblExcepciones[[#This Row],[fecha]]="","",TEXT(tblExcepciones[[#This Row],[fecha]],"yyyy-mm-dd")&amp;"|"&amp;tblExcepciones[[#This Row],[area]]&amp;"|"&amp;tblExcepciones[[#This Row],[sub_area]])</f>
        <v/>
      </c>
      <c r="I112" s="11" t="n">
        <v>46130</v>
      </c>
      <c r="J112" s="3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15" t="n"/>
      <c r="B113" s="6" t="n"/>
      <c r="C113" s="6" t="n"/>
      <c r="D113" s="6" t="n"/>
      <c r="E113" s="6" t="n"/>
      <c r="F113" s="6" t="n"/>
      <c r="G113" s="3">
        <f>IF(tblExcepciones[[#This Row],[fecha]]="","",TEXT(tblExcepciones[[#This Row],[fecha]],"yyyy-mm-dd")&amp;"|"&amp;tblExcepciones[[#This Row],[area]]&amp;"|"&amp;tblExcepciones[[#This Row],[sub_area]])</f>
        <v/>
      </c>
      <c r="I113" s="11" t="n">
        <v>46131</v>
      </c>
      <c r="J113" s="3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15" t="n"/>
      <c r="B114" s="6" t="n"/>
      <c r="C114" s="6" t="n"/>
      <c r="D114" s="6" t="n"/>
      <c r="E114" s="6" t="n"/>
      <c r="F114" s="6" t="n"/>
      <c r="G114" s="3">
        <f>IF(tblExcepciones[[#This Row],[fecha]]="","",TEXT(tblExcepciones[[#This Row],[fecha]],"yyyy-mm-dd")&amp;"|"&amp;tblExcepciones[[#This Row],[area]]&amp;"|"&amp;tblExcepciones[[#This Row],[sub_area]])</f>
        <v/>
      </c>
      <c r="I114" s="11" t="n">
        <v>46132</v>
      </c>
      <c r="J114" s="3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15" t="n"/>
      <c r="B115" s="6" t="n"/>
      <c r="C115" s="6" t="n"/>
      <c r="D115" s="6" t="n"/>
      <c r="E115" s="6" t="n"/>
      <c r="F115" s="6" t="n"/>
      <c r="G115" s="3">
        <f>IF(tblExcepciones[[#This Row],[fecha]]="","",TEXT(tblExcepciones[[#This Row],[fecha]],"yyyy-mm-dd")&amp;"|"&amp;tblExcepciones[[#This Row],[area]]&amp;"|"&amp;tblExcepciones[[#This Row],[sub_area]])</f>
        <v/>
      </c>
      <c r="I115" s="11" t="n">
        <v>46133</v>
      </c>
      <c r="J115" s="3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15" t="n"/>
      <c r="B116" s="6" t="n"/>
      <c r="C116" s="6" t="n"/>
      <c r="D116" s="6" t="n"/>
      <c r="E116" s="6" t="n"/>
      <c r="F116" s="6" t="n"/>
      <c r="G116" s="3">
        <f>IF(tblExcepciones[[#This Row],[fecha]]="","",TEXT(tblExcepciones[[#This Row],[fecha]],"yyyy-mm-dd")&amp;"|"&amp;tblExcepciones[[#This Row],[area]]&amp;"|"&amp;tblExcepciones[[#This Row],[sub_area]])</f>
        <v/>
      </c>
      <c r="I116" s="11" t="n">
        <v>46134</v>
      </c>
      <c r="J116" s="3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15" t="n"/>
      <c r="B117" s="6" t="n"/>
      <c r="C117" s="6" t="n"/>
      <c r="D117" s="6" t="n"/>
      <c r="E117" s="6" t="n"/>
      <c r="F117" s="6" t="n"/>
      <c r="G117" s="3">
        <f>IF(tblExcepciones[[#This Row],[fecha]]="","",TEXT(tblExcepciones[[#This Row],[fecha]],"yyyy-mm-dd")&amp;"|"&amp;tblExcepciones[[#This Row],[area]]&amp;"|"&amp;tblExcepciones[[#This Row],[sub_area]])</f>
        <v/>
      </c>
      <c r="I117" s="11" t="n">
        <v>46135</v>
      </c>
      <c r="J117" s="3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15" t="n"/>
      <c r="B118" s="6" t="n"/>
      <c r="C118" s="6" t="n"/>
      <c r="D118" s="6" t="n"/>
      <c r="E118" s="6" t="n"/>
      <c r="F118" s="6" t="n"/>
      <c r="G118" s="3">
        <f>IF(tblExcepciones[[#This Row],[fecha]]="","",TEXT(tblExcepciones[[#This Row],[fecha]],"yyyy-mm-dd")&amp;"|"&amp;tblExcepciones[[#This Row],[area]]&amp;"|"&amp;tblExcepciones[[#This Row],[sub_area]])</f>
        <v/>
      </c>
      <c r="I118" s="11" t="n">
        <v>46136</v>
      </c>
      <c r="J118" s="3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15" t="n"/>
      <c r="B119" s="6" t="n"/>
      <c r="C119" s="6" t="n"/>
      <c r="D119" s="6" t="n"/>
      <c r="E119" s="6" t="n"/>
      <c r="F119" s="6" t="n"/>
      <c r="G119" s="3">
        <f>IF(tblExcepciones[[#This Row],[fecha]]="","",TEXT(tblExcepciones[[#This Row],[fecha]],"yyyy-mm-dd")&amp;"|"&amp;tblExcepciones[[#This Row],[area]]&amp;"|"&amp;tblExcepciones[[#This Row],[sub_area]])</f>
        <v/>
      </c>
      <c r="I119" s="11" t="n">
        <v>46137</v>
      </c>
      <c r="J119" s="3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15" t="n"/>
      <c r="B120" s="6" t="n"/>
      <c r="C120" s="6" t="n"/>
      <c r="D120" s="6" t="n"/>
      <c r="E120" s="6" t="n"/>
      <c r="F120" s="6" t="n"/>
      <c r="G120" s="3">
        <f>IF(tblExcepciones[[#This Row],[fecha]]="","",TEXT(tblExcepciones[[#This Row],[fecha]],"yyyy-mm-dd")&amp;"|"&amp;tblExcepciones[[#This Row],[area]]&amp;"|"&amp;tblExcepciones[[#This Row],[sub_area]])</f>
        <v/>
      </c>
      <c r="I120" s="11" t="n">
        <v>46138</v>
      </c>
      <c r="J120" s="3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15" t="n"/>
      <c r="B121" s="6" t="n"/>
      <c r="C121" s="6" t="n"/>
      <c r="D121" s="6" t="n"/>
      <c r="E121" s="6" t="n"/>
      <c r="F121" s="6" t="n"/>
      <c r="G121" s="3">
        <f>IF(tblExcepciones[[#This Row],[fecha]]="","",TEXT(tblExcepciones[[#This Row],[fecha]],"yyyy-mm-dd")&amp;"|"&amp;tblExcepciones[[#This Row],[area]]&amp;"|"&amp;tblExcepciones[[#This Row],[sub_area]])</f>
        <v/>
      </c>
      <c r="I121" s="11" t="n">
        <v>46139</v>
      </c>
      <c r="J121" s="3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15" t="n"/>
      <c r="B122" s="6" t="n"/>
      <c r="C122" s="6" t="n"/>
      <c r="D122" s="6" t="n"/>
      <c r="E122" s="6" t="n"/>
      <c r="F122" s="6" t="n"/>
      <c r="G122" s="3">
        <f>IF(tblExcepciones[[#This Row],[fecha]]="","",TEXT(tblExcepciones[[#This Row],[fecha]],"yyyy-mm-dd")&amp;"|"&amp;tblExcepciones[[#This Row],[area]]&amp;"|"&amp;tblExcepciones[[#This Row],[sub_area]])</f>
        <v/>
      </c>
      <c r="I122" s="11" t="n">
        <v>46140</v>
      </c>
      <c r="J122" s="3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15" t="n"/>
      <c r="B123" s="6" t="n"/>
      <c r="C123" s="6" t="n"/>
      <c r="D123" s="6" t="n"/>
      <c r="E123" s="6" t="n"/>
      <c r="F123" s="6" t="n"/>
      <c r="G123" s="3">
        <f>IF(tblExcepciones[[#This Row],[fecha]]="","",TEXT(tblExcepciones[[#This Row],[fecha]],"yyyy-mm-dd")&amp;"|"&amp;tblExcepciones[[#This Row],[area]]&amp;"|"&amp;tblExcepciones[[#This Row],[sub_area]])</f>
        <v/>
      </c>
      <c r="I123" s="11" t="n">
        <v>46141</v>
      </c>
      <c r="J123" s="3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15" t="n"/>
      <c r="B124" s="6" t="n"/>
      <c r="C124" s="6" t="n"/>
      <c r="D124" s="6" t="n"/>
      <c r="E124" s="6" t="n"/>
      <c r="F124" s="6" t="n"/>
      <c r="G124" s="3">
        <f>IF(tblExcepciones[[#This Row],[fecha]]="","",TEXT(tblExcepciones[[#This Row],[fecha]],"yyyy-mm-dd")&amp;"|"&amp;tblExcepciones[[#This Row],[area]]&amp;"|"&amp;tblExcepciones[[#This Row],[sub_area]])</f>
        <v/>
      </c>
      <c r="I124" s="11" t="n">
        <v>46142</v>
      </c>
      <c r="J124" s="3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15" t="n"/>
      <c r="B125" s="6" t="n"/>
      <c r="C125" s="6" t="n"/>
      <c r="D125" s="6" t="n"/>
      <c r="E125" s="6" t="n"/>
      <c r="F125" s="6" t="n"/>
      <c r="G125" s="3">
        <f>IF(tblExcepciones[[#This Row],[fecha]]="","",TEXT(tblExcepciones[[#This Row],[fecha]],"yyyy-mm-dd")&amp;"|"&amp;tblExcepciones[[#This Row],[area]]&amp;"|"&amp;tblExcepciones[[#This Row],[sub_area]])</f>
        <v/>
      </c>
      <c r="I125" s="11" t="n">
        <v>46143</v>
      </c>
      <c r="J125" s="3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15" t="n"/>
      <c r="B126" s="6" t="n"/>
      <c r="C126" s="6" t="n"/>
      <c r="D126" s="6" t="n"/>
      <c r="E126" s="6" t="n"/>
      <c r="F126" s="6" t="n"/>
      <c r="G126" s="3">
        <f>IF(tblExcepciones[[#This Row],[fecha]]="","",TEXT(tblExcepciones[[#This Row],[fecha]],"yyyy-mm-dd")&amp;"|"&amp;tblExcepciones[[#This Row],[area]]&amp;"|"&amp;tblExcepciones[[#This Row],[sub_area]])</f>
        <v/>
      </c>
      <c r="I126" s="11" t="n">
        <v>46144</v>
      </c>
      <c r="J126" s="3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15" t="n"/>
      <c r="B127" s="6" t="n"/>
      <c r="C127" s="6" t="n"/>
      <c r="D127" s="6" t="n"/>
      <c r="E127" s="6" t="n"/>
      <c r="F127" s="6" t="n"/>
      <c r="G127" s="3">
        <f>IF(tblExcepciones[[#This Row],[fecha]]="","",TEXT(tblExcepciones[[#This Row],[fecha]],"yyyy-mm-dd")&amp;"|"&amp;tblExcepciones[[#This Row],[area]]&amp;"|"&amp;tblExcepciones[[#This Row],[sub_area]])</f>
        <v/>
      </c>
      <c r="I127" s="11" t="n">
        <v>46145</v>
      </c>
      <c r="J127" s="3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15" t="n"/>
      <c r="B128" s="6" t="n"/>
      <c r="C128" s="6" t="n"/>
      <c r="D128" s="6" t="n"/>
      <c r="E128" s="6" t="n"/>
      <c r="F128" s="6" t="n"/>
      <c r="G128" s="3">
        <f>IF(tblExcepciones[[#This Row],[fecha]]="","",TEXT(tblExcepciones[[#This Row],[fecha]],"yyyy-mm-dd")&amp;"|"&amp;tblExcepciones[[#This Row],[area]]&amp;"|"&amp;tblExcepciones[[#This Row],[sub_area]])</f>
        <v/>
      </c>
      <c r="I128" s="11" t="n">
        <v>46146</v>
      </c>
      <c r="J128" s="3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15" t="n"/>
      <c r="B129" s="6" t="n"/>
      <c r="C129" s="6" t="n"/>
      <c r="D129" s="6" t="n"/>
      <c r="E129" s="6" t="n"/>
      <c r="F129" s="6" t="n"/>
      <c r="G129" s="3">
        <f>IF(tblExcepciones[[#This Row],[fecha]]="","",TEXT(tblExcepciones[[#This Row],[fecha]],"yyyy-mm-dd")&amp;"|"&amp;tblExcepciones[[#This Row],[area]]&amp;"|"&amp;tblExcepciones[[#This Row],[sub_area]])</f>
        <v/>
      </c>
      <c r="I129" s="11" t="n">
        <v>46147</v>
      </c>
      <c r="J129" s="3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15" t="n"/>
      <c r="B130" s="6" t="n"/>
      <c r="C130" s="6" t="n"/>
      <c r="D130" s="6" t="n"/>
      <c r="E130" s="6" t="n"/>
      <c r="F130" s="6" t="n"/>
      <c r="G130" s="3">
        <f>IF(tblExcepciones[[#This Row],[fecha]]="","",TEXT(tblExcepciones[[#This Row],[fecha]],"yyyy-mm-dd")&amp;"|"&amp;tblExcepciones[[#This Row],[area]]&amp;"|"&amp;tblExcepciones[[#This Row],[sub_area]])</f>
        <v/>
      </c>
      <c r="I130" s="11" t="n">
        <v>46148</v>
      </c>
      <c r="J130" s="3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15" t="n"/>
      <c r="B131" s="6" t="n"/>
      <c r="C131" s="6" t="n"/>
      <c r="D131" s="6" t="n"/>
      <c r="E131" s="6" t="n"/>
      <c r="F131" s="6" t="n"/>
      <c r="G131" s="3">
        <f>IF(tblExcepciones[[#This Row],[fecha]]="","",TEXT(tblExcepciones[[#This Row],[fecha]],"yyyy-mm-dd")&amp;"|"&amp;tblExcepciones[[#This Row],[area]]&amp;"|"&amp;tblExcepciones[[#This Row],[sub_area]])</f>
        <v/>
      </c>
      <c r="I131" s="11" t="n">
        <v>46149</v>
      </c>
      <c r="J131" s="3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15" t="n"/>
      <c r="B132" s="6" t="n"/>
      <c r="C132" s="6" t="n"/>
      <c r="D132" s="6" t="n"/>
      <c r="E132" s="6" t="n"/>
      <c r="F132" s="6" t="n"/>
      <c r="G132" s="3">
        <f>IF(tblExcepciones[[#This Row],[fecha]]="","",TEXT(tblExcepciones[[#This Row],[fecha]],"yyyy-mm-dd")&amp;"|"&amp;tblExcepciones[[#This Row],[area]]&amp;"|"&amp;tblExcepciones[[#This Row],[sub_area]])</f>
        <v/>
      </c>
      <c r="I132" s="11" t="n">
        <v>46150</v>
      </c>
      <c r="J132" s="3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15" t="n"/>
      <c r="B133" s="6" t="n"/>
      <c r="C133" s="6" t="n"/>
      <c r="D133" s="6" t="n"/>
      <c r="E133" s="6" t="n"/>
      <c r="F133" s="6" t="n"/>
      <c r="G133" s="3">
        <f>IF(tblExcepciones[[#This Row],[fecha]]="","",TEXT(tblExcepciones[[#This Row],[fecha]],"yyyy-mm-dd")&amp;"|"&amp;tblExcepciones[[#This Row],[area]]&amp;"|"&amp;tblExcepciones[[#This Row],[sub_area]])</f>
        <v/>
      </c>
      <c r="I133" s="11" t="n">
        <v>46151</v>
      </c>
      <c r="J133" s="3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15" t="n"/>
      <c r="B134" s="6" t="n"/>
      <c r="C134" s="6" t="n"/>
      <c r="D134" s="6" t="n"/>
      <c r="E134" s="6" t="n"/>
      <c r="F134" s="6" t="n"/>
      <c r="G134" s="3">
        <f>IF(tblExcepciones[[#This Row],[fecha]]="","",TEXT(tblExcepciones[[#This Row],[fecha]],"yyyy-mm-dd")&amp;"|"&amp;tblExcepciones[[#This Row],[area]]&amp;"|"&amp;tblExcepciones[[#This Row],[sub_area]])</f>
        <v/>
      </c>
      <c r="I134" s="11" t="n">
        <v>46152</v>
      </c>
      <c r="J134" s="3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15" t="n"/>
      <c r="B135" s="6" t="n"/>
      <c r="C135" s="6" t="n"/>
      <c r="D135" s="6" t="n"/>
      <c r="E135" s="6" t="n"/>
      <c r="F135" s="6" t="n"/>
      <c r="G135" s="3">
        <f>IF(tblExcepciones[[#This Row],[fecha]]="","",TEXT(tblExcepciones[[#This Row],[fecha]],"yyyy-mm-dd")&amp;"|"&amp;tblExcepciones[[#This Row],[area]]&amp;"|"&amp;tblExcepciones[[#This Row],[sub_area]])</f>
        <v/>
      </c>
      <c r="I135" s="11" t="n">
        <v>46153</v>
      </c>
      <c r="J135" s="3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15" t="n"/>
      <c r="B136" s="6" t="n"/>
      <c r="C136" s="6" t="n"/>
      <c r="D136" s="6" t="n"/>
      <c r="E136" s="6" t="n"/>
      <c r="F136" s="6" t="n"/>
      <c r="G136" s="3">
        <f>IF(tblExcepciones[[#This Row],[fecha]]="","",TEXT(tblExcepciones[[#This Row],[fecha]],"yyyy-mm-dd")&amp;"|"&amp;tblExcepciones[[#This Row],[area]]&amp;"|"&amp;tblExcepciones[[#This Row],[sub_area]])</f>
        <v/>
      </c>
      <c r="I136" s="11" t="n">
        <v>46154</v>
      </c>
      <c r="J136" s="3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15" t="n"/>
      <c r="B137" s="6" t="n"/>
      <c r="C137" s="6" t="n"/>
      <c r="D137" s="6" t="n"/>
      <c r="E137" s="6" t="n"/>
      <c r="F137" s="6" t="n"/>
      <c r="G137" s="3">
        <f>IF(tblExcepciones[[#This Row],[fecha]]="","",TEXT(tblExcepciones[[#This Row],[fecha]],"yyyy-mm-dd")&amp;"|"&amp;tblExcepciones[[#This Row],[area]]&amp;"|"&amp;tblExcepciones[[#This Row],[sub_area]])</f>
        <v/>
      </c>
      <c r="I137" s="11" t="n">
        <v>46155</v>
      </c>
      <c r="J137" s="3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15" t="n"/>
      <c r="B138" s="6" t="n"/>
      <c r="C138" s="6" t="n"/>
      <c r="D138" s="6" t="n"/>
      <c r="E138" s="6" t="n"/>
      <c r="F138" s="6" t="n"/>
      <c r="G138" s="3">
        <f>IF(tblExcepciones[[#This Row],[fecha]]="","",TEXT(tblExcepciones[[#This Row],[fecha]],"yyyy-mm-dd")&amp;"|"&amp;tblExcepciones[[#This Row],[area]]&amp;"|"&amp;tblExcepciones[[#This Row],[sub_area]])</f>
        <v/>
      </c>
      <c r="I138" s="11" t="n">
        <v>46156</v>
      </c>
      <c r="J138" s="3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15" t="n"/>
      <c r="B139" s="6" t="n"/>
      <c r="C139" s="6" t="n"/>
      <c r="D139" s="6" t="n"/>
      <c r="E139" s="6" t="n"/>
      <c r="F139" s="6" t="n"/>
      <c r="G139" s="3">
        <f>IF(tblExcepciones[[#This Row],[fecha]]="","",TEXT(tblExcepciones[[#This Row],[fecha]],"yyyy-mm-dd")&amp;"|"&amp;tblExcepciones[[#This Row],[area]]&amp;"|"&amp;tblExcepciones[[#This Row],[sub_area]])</f>
        <v/>
      </c>
      <c r="I139" s="11" t="n">
        <v>46157</v>
      </c>
      <c r="J139" s="3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15" t="n"/>
      <c r="B140" s="6" t="n"/>
      <c r="C140" s="6" t="n"/>
      <c r="D140" s="6" t="n"/>
      <c r="E140" s="6" t="n"/>
      <c r="F140" s="6" t="n"/>
      <c r="G140" s="3">
        <f>IF(tblExcepciones[[#This Row],[fecha]]="","",TEXT(tblExcepciones[[#This Row],[fecha]],"yyyy-mm-dd")&amp;"|"&amp;tblExcepciones[[#This Row],[area]]&amp;"|"&amp;tblExcepciones[[#This Row],[sub_area]])</f>
        <v/>
      </c>
      <c r="I140" s="11" t="n">
        <v>46158</v>
      </c>
      <c r="J140" s="3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15" t="n"/>
      <c r="B141" s="6" t="n"/>
      <c r="C141" s="6" t="n"/>
      <c r="D141" s="6" t="n"/>
      <c r="E141" s="6" t="n"/>
      <c r="F141" s="6" t="n"/>
      <c r="G141" s="3">
        <f>IF(tblExcepciones[[#This Row],[fecha]]="","",TEXT(tblExcepciones[[#This Row],[fecha]],"yyyy-mm-dd")&amp;"|"&amp;tblExcepciones[[#This Row],[area]]&amp;"|"&amp;tblExcepciones[[#This Row],[sub_area]])</f>
        <v/>
      </c>
      <c r="I141" s="11" t="n">
        <v>46159</v>
      </c>
      <c r="J141" s="3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15" t="n"/>
      <c r="B142" s="6" t="n"/>
      <c r="C142" s="6" t="n"/>
      <c r="D142" s="6" t="n"/>
      <c r="E142" s="6" t="n"/>
      <c r="F142" s="6" t="n"/>
      <c r="G142" s="3">
        <f>IF(tblExcepciones[[#This Row],[fecha]]="","",TEXT(tblExcepciones[[#This Row],[fecha]],"yyyy-mm-dd")&amp;"|"&amp;tblExcepciones[[#This Row],[area]]&amp;"|"&amp;tblExcepciones[[#This Row],[sub_area]])</f>
        <v/>
      </c>
      <c r="I142" s="11" t="n">
        <v>46160</v>
      </c>
      <c r="J142" s="3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15" t="n"/>
      <c r="B143" s="6" t="n"/>
      <c r="C143" s="6" t="n"/>
      <c r="D143" s="6" t="n"/>
      <c r="E143" s="6" t="n"/>
      <c r="F143" s="6" t="n"/>
      <c r="G143" s="3">
        <f>IF(tblExcepciones[[#This Row],[fecha]]="","",TEXT(tblExcepciones[[#This Row],[fecha]],"yyyy-mm-dd")&amp;"|"&amp;tblExcepciones[[#This Row],[area]]&amp;"|"&amp;tblExcepciones[[#This Row],[sub_area]])</f>
        <v/>
      </c>
      <c r="I143" s="11" t="n">
        <v>46161</v>
      </c>
      <c r="J143" s="3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15" t="n"/>
      <c r="B144" s="6" t="n"/>
      <c r="C144" s="6" t="n"/>
      <c r="D144" s="6" t="n"/>
      <c r="E144" s="6" t="n"/>
      <c r="F144" s="6" t="n"/>
      <c r="G144" s="3">
        <f>IF(tblExcepciones[[#This Row],[fecha]]="","",TEXT(tblExcepciones[[#This Row],[fecha]],"yyyy-mm-dd")&amp;"|"&amp;tblExcepciones[[#This Row],[area]]&amp;"|"&amp;tblExcepciones[[#This Row],[sub_area]])</f>
        <v/>
      </c>
      <c r="I144" s="11" t="n">
        <v>46162</v>
      </c>
      <c r="J144" s="3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15" t="n"/>
      <c r="B145" s="6" t="n"/>
      <c r="C145" s="6" t="n"/>
      <c r="D145" s="6" t="n"/>
      <c r="E145" s="6" t="n"/>
      <c r="F145" s="6" t="n"/>
      <c r="G145" s="3">
        <f>IF(tblExcepciones[[#This Row],[fecha]]="","",TEXT(tblExcepciones[[#This Row],[fecha]],"yyyy-mm-dd")&amp;"|"&amp;tblExcepciones[[#This Row],[area]]&amp;"|"&amp;tblExcepciones[[#This Row],[sub_area]])</f>
        <v/>
      </c>
      <c r="I145" s="11" t="n">
        <v>46163</v>
      </c>
      <c r="J145" s="3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15" t="n"/>
      <c r="B146" s="6" t="n"/>
      <c r="C146" s="6" t="n"/>
      <c r="D146" s="6" t="n"/>
      <c r="E146" s="6" t="n"/>
      <c r="F146" s="6" t="n"/>
      <c r="G146" s="3">
        <f>IF(tblExcepciones[[#This Row],[fecha]]="","",TEXT(tblExcepciones[[#This Row],[fecha]],"yyyy-mm-dd")&amp;"|"&amp;tblExcepciones[[#This Row],[area]]&amp;"|"&amp;tblExcepciones[[#This Row],[sub_area]])</f>
        <v/>
      </c>
      <c r="I146" s="11" t="n">
        <v>46164</v>
      </c>
      <c r="J146" s="3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15" t="n"/>
      <c r="B147" s="6" t="n"/>
      <c r="C147" s="6" t="n"/>
      <c r="D147" s="6" t="n"/>
      <c r="E147" s="6" t="n"/>
      <c r="F147" s="6" t="n"/>
      <c r="G147" s="3">
        <f>IF(tblExcepciones[[#This Row],[fecha]]="","",TEXT(tblExcepciones[[#This Row],[fecha]],"yyyy-mm-dd")&amp;"|"&amp;tblExcepciones[[#This Row],[area]]&amp;"|"&amp;tblExcepciones[[#This Row],[sub_area]])</f>
        <v/>
      </c>
      <c r="I147" s="11" t="n">
        <v>46165</v>
      </c>
      <c r="J147" s="3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15" t="n"/>
      <c r="B148" s="6" t="n"/>
      <c r="C148" s="6" t="n"/>
      <c r="D148" s="6" t="n"/>
      <c r="E148" s="6" t="n"/>
      <c r="F148" s="6" t="n"/>
      <c r="G148" s="3">
        <f>IF(tblExcepciones[[#This Row],[fecha]]="","",TEXT(tblExcepciones[[#This Row],[fecha]],"yyyy-mm-dd")&amp;"|"&amp;tblExcepciones[[#This Row],[area]]&amp;"|"&amp;tblExcepciones[[#This Row],[sub_area]])</f>
        <v/>
      </c>
      <c r="I148" s="11" t="n">
        <v>46166</v>
      </c>
      <c r="J148" s="3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15" t="n"/>
      <c r="B149" s="6" t="n"/>
      <c r="C149" s="6" t="n"/>
      <c r="D149" s="6" t="n"/>
      <c r="E149" s="6" t="n"/>
      <c r="F149" s="6" t="n"/>
      <c r="G149" s="3">
        <f>IF(tblExcepciones[[#This Row],[fecha]]="","",TEXT(tblExcepciones[[#This Row],[fecha]],"yyyy-mm-dd")&amp;"|"&amp;tblExcepciones[[#This Row],[area]]&amp;"|"&amp;tblExcepciones[[#This Row],[sub_area]])</f>
        <v/>
      </c>
      <c r="I149" s="11" t="n">
        <v>46167</v>
      </c>
      <c r="J149" s="3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15" t="n"/>
      <c r="B150" s="6" t="n"/>
      <c r="C150" s="6" t="n"/>
      <c r="D150" s="6" t="n"/>
      <c r="E150" s="6" t="n"/>
      <c r="F150" s="6" t="n"/>
      <c r="G150" s="3">
        <f>IF(tblExcepciones[[#This Row],[fecha]]="","",TEXT(tblExcepciones[[#This Row],[fecha]],"yyyy-mm-dd")&amp;"|"&amp;tblExcepciones[[#This Row],[area]]&amp;"|"&amp;tblExcepciones[[#This Row],[sub_area]])</f>
        <v/>
      </c>
      <c r="I150" s="11" t="n">
        <v>46168</v>
      </c>
      <c r="J150" s="3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15" t="n"/>
      <c r="B151" s="6" t="n"/>
      <c r="C151" s="6" t="n"/>
      <c r="D151" s="6" t="n"/>
      <c r="E151" s="6" t="n"/>
      <c r="F151" s="6" t="n"/>
      <c r="G151" s="3">
        <f>IF(tblExcepciones[[#This Row],[fecha]]="","",TEXT(tblExcepciones[[#This Row],[fecha]],"yyyy-mm-dd")&amp;"|"&amp;tblExcepciones[[#This Row],[area]]&amp;"|"&amp;tblExcepciones[[#This Row],[sub_area]])</f>
        <v/>
      </c>
      <c r="I151" s="11" t="n">
        <v>46169</v>
      </c>
      <c r="J151" s="3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15" t="n"/>
      <c r="B152" s="6" t="n"/>
      <c r="C152" s="6" t="n"/>
      <c r="D152" s="6" t="n"/>
      <c r="E152" s="6" t="n"/>
      <c r="F152" s="6" t="n"/>
      <c r="G152" s="3">
        <f>IF(tblExcepciones[[#This Row],[fecha]]="","",TEXT(tblExcepciones[[#This Row],[fecha]],"yyyy-mm-dd")&amp;"|"&amp;tblExcepciones[[#This Row],[area]]&amp;"|"&amp;tblExcepciones[[#This Row],[sub_area]])</f>
        <v/>
      </c>
      <c r="I152" s="11" t="n">
        <v>46170</v>
      </c>
      <c r="J152" s="3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15" t="n"/>
      <c r="B153" s="6" t="n"/>
      <c r="C153" s="6" t="n"/>
      <c r="D153" s="6" t="n"/>
      <c r="E153" s="6" t="n"/>
      <c r="F153" s="6" t="n"/>
      <c r="G153" s="3">
        <f>IF(tblExcepciones[[#This Row],[fecha]]="","",TEXT(tblExcepciones[[#This Row],[fecha]],"yyyy-mm-dd")&amp;"|"&amp;tblExcepciones[[#This Row],[area]]&amp;"|"&amp;tblExcepciones[[#This Row],[sub_area]])</f>
        <v/>
      </c>
      <c r="I153" s="11" t="n">
        <v>46171</v>
      </c>
      <c r="J153" s="3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15" t="n"/>
      <c r="B154" s="6" t="n"/>
      <c r="C154" s="6" t="n"/>
      <c r="D154" s="6" t="n"/>
      <c r="E154" s="6" t="n"/>
      <c r="F154" s="6" t="n"/>
      <c r="G154" s="3">
        <f>IF(tblExcepciones[[#This Row],[fecha]]="","",TEXT(tblExcepciones[[#This Row],[fecha]],"yyyy-mm-dd")&amp;"|"&amp;tblExcepciones[[#This Row],[area]]&amp;"|"&amp;tblExcepciones[[#This Row],[sub_area]])</f>
        <v/>
      </c>
      <c r="I154" s="11" t="n">
        <v>46172</v>
      </c>
      <c r="J154" s="3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15" t="n"/>
      <c r="B155" s="6" t="n"/>
      <c r="C155" s="6" t="n"/>
      <c r="D155" s="6" t="n"/>
      <c r="E155" s="6" t="n"/>
      <c r="F155" s="6" t="n"/>
      <c r="G155" s="3">
        <f>IF(tblExcepciones[[#This Row],[fecha]]="","",TEXT(tblExcepciones[[#This Row],[fecha]],"yyyy-mm-dd")&amp;"|"&amp;tblExcepciones[[#This Row],[area]]&amp;"|"&amp;tblExcepciones[[#This Row],[sub_area]])</f>
        <v/>
      </c>
      <c r="I155" s="11" t="n">
        <v>46173</v>
      </c>
      <c r="J155" s="3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15" t="n"/>
      <c r="B156" s="6" t="n"/>
      <c r="C156" s="6" t="n"/>
      <c r="D156" s="6" t="n"/>
      <c r="E156" s="6" t="n"/>
      <c r="F156" s="6" t="n"/>
      <c r="G156" s="3">
        <f>IF(tblExcepciones[[#This Row],[fecha]]="","",TEXT(tblExcepciones[[#This Row],[fecha]],"yyyy-mm-dd")&amp;"|"&amp;tblExcepciones[[#This Row],[area]]&amp;"|"&amp;tblExcepciones[[#This Row],[sub_area]])</f>
        <v/>
      </c>
      <c r="I156" s="11" t="n">
        <v>46174</v>
      </c>
      <c r="J156" s="3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15" t="n"/>
      <c r="B157" s="6" t="n"/>
      <c r="C157" s="6" t="n"/>
      <c r="D157" s="6" t="n"/>
      <c r="E157" s="6" t="n"/>
      <c r="F157" s="6" t="n"/>
      <c r="G157" s="3">
        <f>IF(tblExcepciones[[#This Row],[fecha]]="","",TEXT(tblExcepciones[[#This Row],[fecha]],"yyyy-mm-dd")&amp;"|"&amp;tblExcepciones[[#This Row],[area]]&amp;"|"&amp;tblExcepciones[[#This Row],[sub_area]])</f>
        <v/>
      </c>
      <c r="I157" s="11" t="n">
        <v>46175</v>
      </c>
      <c r="J157" s="3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15" t="n"/>
      <c r="B158" s="6" t="n"/>
      <c r="C158" s="6" t="n"/>
      <c r="D158" s="6" t="n"/>
      <c r="E158" s="6" t="n"/>
      <c r="F158" s="6" t="n"/>
      <c r="G158" s="3">
        <f>IF(tblExcepciones[[#This Row],[fecha]]="","",TEXT(tblExcepciones[[#This Row],[fecha]],"yyyy-mm-dd")&amp;"|"&amp;tblExcepciones[[#This Row],[area]]&amp;"|"&amp;tblExcepciones[[#This Row],[sub_area]])</f>
        <v/>
      </c>
      <c r="I158" s="11" t="n">
        <v>46176</v>
      </c>
      <c r="J158" s="3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15" t="n"/>
      <c r="B159" s="6" t="n"/>
      <c r="C159" s="6" t="n"/>
      <c r="D159" s="6" t="n"/>
      <c r="E159" s="6" t="n"/>
      <c r="F159" s="6" t="n"/>
      <c r="G159" s="3">
        <f>IF(tblExcepciones[[#This Row],[fecha]]="","",TEXT(tblExcepciones[[#This Row],[fecha]],"yyyy-mm-dd")&amp;"|"&amp;tblExcepciones[[#This Row],[area]]&amp;"|"&amp;tblExcepciones[[#This Row],[sub_area]])</f>
        <v/>
      </c>
      <c r="I159" s="11" t="n">
        <v>46177</v>
      </c>
      <c r="J159" s="3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15" t="n"/>
      <c r="B160" s="6" t="n"/>
      <c r="C160" s="6" t="n"/>
      <c r="D160" s="6" t="n"/>
      <c r="E160" s="6" t="n"/>
      <c r="F160" s="6" t="n"/>
      <c r="G160" s="3">
        <f>IF(tblExcepciones[[#This Row],[fecha]]="","",TEXT(tblExcepciones[[#This Row],[fecha]],"yyyy-mm-dd")&amp;"|"&amp;tblExcepciones[[#This Row],[area]]&amp;"|"&amp;tblExcepciones[[#This Row],[sub_area]])</f>
        <v/>
      </c>
      <c r="I160" s="11" t="n">
        <v>46178</v>
      </c>
      <c r="J160" s="3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15" t="n"/>
      <c r="B161" s="6" t="n"/>
      <c r="C161" s="6" t="n"/>
      <c r="D161" s="6" t="n"/>
      <c r="E161" s="6" t="n"/>
      <c r="F161" s="6" t="n"/>
      <c r="G161" s="3">
        <f>IF(tblExcepciones[[#This Row],[fecha]]="","",TEXT(tblExcepciones[[#This Row],[fecha]],"yyyy-mm-dd")&amp;"|"&amp;tblExcepciones[[#This Row],[area]]&amp;"|"&amp;tblExcepciones[[#This Row],[sub_area]])</f>
        <v/>
      </c>
      <c r="I161" s="11" t="n">
        <v>46179</v>
      </c>
      <c r="J161" s="3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15" t="n"/>
      <c r="B162" s="6" t="n"/>
      <c r="C162" s="6" t="n"/>
      <c r="D162" s="6" t="n"/>
      <c r="E162" s="6" t="n"/>
      <c r="F162" s="6" t="n"/>
      <c r="G162" s="3">
        <f>IF(tblExcepciones[[#This Row],[fecha]]="","",TEXT(tblExcepciones[[#This Row],[fecha]],"yyyy-mm-dd")&amp;"|"&amp;tblExcepciones[[#This Row],[area]]&amp;"|"&amp;tblExcepciones[[#This Row],[sub_area]])</f>
        <v/>
      </c>
      <c r="I162" s="11" t="n">
        <v>46180</v>
      </c>
      <c r="J162" s="3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15" t="n"/>
      <c r="B163" s="6" t="n"/>
      <c r="C163" s="6" t="n"/>
      <c r="D163" s="6" t="n"/>
      <c r="E163" s="6" t="n"/>
      <c r="F163" s="6" t="n"/>
      <c r="G163" s="3">
        <f>IF(tblExcepciones[[#This Row],[fecha]]="","",TEXT(tblExcepciones[[#This Row],[fecha]],"yyyy-mm-dd")&amp;"|"&amp;tblExcepciones[[#This Row],[area]]&amp;"|"&amp;tblExcepciones[[#This Row],[sub_area]])</f>
        <v/>
      </c>
      <c r="I163" s="11" t="n">
        <v>46181</v>
      </c>
      <c r="J163" s="3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15" t="n"/>
      <c r="B164" s="6" t="n"/>
      <c r="C164" s="6" t="n"/>
      <c r="D164" s="6" t="n"/>
      <c r="E164" s="6" t="n"/>
      <c r="F164" s="6" t="n"/>
      <c r="G164" s="3">
        <f>IF(tblExcepciones[[#This Row],[fecha]]="","",TEXT(tblExcepciones[[#This Row],[fecha]],"yyyy-mm-dd")&amp;"|"&amp;tblExcepciones[[#This Row],[area]]&amp;"|"&amp;tblExcepciones[[#This Row],[sub_area]])</f>
        <v/>
      </c>
      <c r="I164" s="11" t="n">
        <v>46182</v>
      </c>
      <c r="J164" s="3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15" t="n"/>
      <c r="B165" s="6" t="n"/>
      <c r="C165" s="6" t="n"/>
      <c r="D165" s="6" t="n"/>
      <c r="E165" s="6" t="n"/>
      <c r="F165" s="6" t="n"/>
      <c r="G165" s="3">
        <f>IF(tblExcepciones[[#This Row],[fecha]]="","",TEXT(tblExcepciones[[#This Row],[fecha]],"yyyy-mm-dd")&amp;"|"&amp;tblExcepciones[[#This Row],[area]]&amp;"|"&amp;tblExcepciones[[#This Row],[sub_area]])</f>
        <v/>
      </c>
      <c r="I165" s="11" t="n">
        <v>46183</v>
      </c>
      <c r="J165" s="3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15" t="n"/>
      <c r="B166" s="6" t="n"/>
      <c r="C166" s="6" t="n"/>
      <c r="D166" s="6" t="n"/>
      <c r="E166" s="6" t="n"/>
      <c r="F166" s="6" t="n"/>
      <c r="G166" s="3">
        <f>IF(tblExcepciones[[#This Row],[fecha]]="","",TEXT(tblExcepciones[[#This Row],[fecha]],"yyyy-mm-dd")&amp;"|"&amp;tblExcepciones[[#This Row],[area]]&amp;"|"&amp;tblExcepciones[[#This Row],[sub_area]])</f>
        <v/>
      </c>
      <c r="I166" s="11" t="n">
        <v>46184</v>
      </c>
      <c r="J166" s="3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15" t="n"/>
      <c r="B167" s="6" t="n"/>
      <c r="C167" s="6" t="n"/>
      <c r="D167" s="6" t="n"/>
      <c r="E167" s="6" t="n"/>
      <c r="F167" s="6" t="n"/>
      <c r="G167" s="3">
        <f>IF(tblExcepciones[[#This Row],[fecha]]="","",TEXT(tblExcepciones[[#This Row],[fecha]],"yyyy-mm-dd")&amp;"|"&amp;tblExcepciones[[#This Row],[area]]&amp;"|"&amp;tblExcepciones[[#This Row],[sub_area]])</f>
        <v/>
      </c>
      <c r="I167" s="11" t="n">
        <v>46185</v>
      </c>
      <c r="J167" s="3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15" t="n"/>
      <c r="B168" s="6" t="n"/>
      <c r="C168" s="6" t="n"/>
      <c r="D168" s="6" t="n"/>
      <c r="E168" s="6" t="n"/>
      <c r="F168" s="6" t="n"/>
      <c r="G168" s="3">
        <f>IF(tblExcepciones[[#This Row],[fecha]]="","",TEXT(tblExcepciones[[#This Row],[fecha]],"yyyy-mm-dd")&amp;"|"&amp;tblExcepciones[[#This Row],[area]]&amp;"|"&amp;tblExcepciones[[#This Row],[sub_area]])</f>
        <v/>
      </c>
      <c r="I168" s="11" t="n">
        <v>46186</v>
      </c>
      <c r="J168" s="3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15" t="n"/>
      <c r="B169" s="6" t="n"/>
      <c r="C169" s="6" t="n"/>
      <c r="D169" s="6" t="n"/>
      <c r="E169" s="6" t="n"/>
      <c r="F169" s="6" t="n"/>
      <c r="G169" s="3">
        <f>IF(tblExcepciones[[#This Row],[fecha]]="","",TEXT(tblExcepciones[[#This Row],[fecha]],"yyyy-mm-dd")&amp;"|"&amp;tblExcepciones[[#This Row],[area]]&amp;"|"&amp;tblExcepciones[[#This Row],[sub_area]])</f>
        <v/>
      </c>
      <c r="I169" s="11" t="n">
        <v>46187</v>
      </c>
      <c r="J169" s="3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15" t="n"/>
      <c r="B170" s="6" t="n"/>
      <c r="C170" s="6" t="n"/>
      <c r="D170" s="6" t="n"/>
      <c r="E170" s="6" t="n"/>
      <c r="F170" s="6" t="n"/>
      <c r="G170" s="3">
        <f>IF(tblExcepciones[[#This Row],[fecha]]="","",TEXT(tblExcepciones[[#This Row],[fecha]],"yyyy-mm-dd")&amp;"|"&amp;tblExcepciones[[#This Row],[area]]&amp;"|"&amp;tblExcepciones[[#This Row],[sub_area]])</f>
        <v/>
      </c>
      <c r="I170" s="11" t="n">
        <v>46188</v>
      </c>
      <c r="J170" s="3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15" t="n"/>
      <c r="B171" s="6" t="n"/>
      <c r="C171" s="6" t="n"/>
      <c r="D171" s="6" t="n"/>
      <c r="E171" s="6" t="n"/>
      <c r="F171" s="6" t="n"/>
      <c r="G171" s="3">
        <f>IF(tblExcepciones[[#This Row],[fecha]]="","",TEXT(tblExcepciones[[#This Row],[fecha]],"yyyy-mm-dd")&amp;"|"&amp;tblExcepciones[[#This Row],[area]]&amp;"|"&amp;tblExcepciones[[#This Row],[sub_area]])</f>
        <v/>
      </c>
      <c r="I171" s="11" t="n">
        <v>46189</v>
      </c>
      <c r="J171" s="3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15" t="n"/>
      <c r="B172" s="6" t="n"/>
      <c r="C172" s="6" t="n"/>
      <c r="D172" s="6" t="n"/>
      <c r="E172" s="6" t="n"/>
      <c r="F172" s="6" t="n"/>
      <c r="G172" s="3">
        <f>IF(tblExcepciones[[#This Row],[fecha]]="","",TEXT(tblExcepciones[[#This Row],[fecha]],"yyyy-mm-dd")&amp;"|"&amp;tblExcepciones[[#This Row],[area]]&amp;"|"&amp;tblExcepciones[[#This Row],[sub_area]])</f>
        <v/>
      </c>
      <c r="I172" s="11" t="n">
        <v>46190</v>
      </c>
      <c r="J172" s="3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15" t="n"/>
      <c r="B173" s="6" t="n"/>
      <c r="C173" s="6" t="n"/>
      <c r="D173" s="6" t="n"/>
      <c r="E173" s="6" t="n"/>
      <c r="F173" s="6" t="n"/>
      <c r="G173" s="3">
        <f>IF(tblExcepciones[[#This Row],[fecha]]="","",TEXT(tblExcepciones[[#This Row],[fecha]],"yyyy-mm-dd")&amp;"|"&amp;tblExcepciones[[#This Row],[area]]&amp;"|"&amp;tblExcepciones[[#This Row],[sub_area]])</f>
        <v/>
      </c>
      <c r="I173" s="11" t="n">
        <v>46191</v>
      </c>
      <c r="J173" s="3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15" t="n"/>
      <c r="B174" s="6" t="n"/>
      <c r="C174" s="6" t="n"/>
      <c r="D174" s="6" t="n"/>
      <c r="E174" s="6" t="n"/>
      <c r="F174" s="6" t="n"/>
      <c r="G174" s="3">
        <f>IF(tblExcepciones[[#This Row],[fecha]]="","",TEXT(tblExcepciones[[#This Row],[fecha]],"yyyy-mm-dd")&amp;"|"&amp;tblExcepciones[[#This Row],[area]]&amp;"|"&amp;tblExcepciones[[#This Row],[sub_area]])</f>
        <v/>
      </c>
      <c r="I174" s="11" t="n">
        <v>46192</v>
      </c>
      <c r="J174" s="3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15" t="n"/>
      <c r="B175" s="6" t="n"/>
      <c r="C175" s="6" t="n"/>
      <c r="D175" s="6" t="n"/>
      <c r="E175" s="6" t="n"/>
      <c r="F175" s="6" t="n"/>
      <c r="G175" s="3">
        <f>IF(tblExcepciones[[#This Row],[fecha]]="","",TEXT(tblExcepciones[[#This Row],[fecha]],"yyyy-mm-dd")&amp;"|"&amp;tblExcepciones[[#This Row],[area]]&amp;"|"&amp;tblExcepciones[[#This Row],[sub_area]])</f>
        <v/>
      </c>
      <c r="I175" s="11" t="n">
        <v>46193</v>
      </c>
      <c r="J175" s="3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15" t="n"/>
      <c r="B176" s="6" t="n"/>
      <c r="C176" s="6" t="n"/>
      <c r="D176" s="6" t="n"/>
      <c r="E176" s="6" t="n"/>
      <c r="F176" s="6" t="n"/>
      <c r="G176" s="3">
        <f>IF(tblExcepciones[[#This Row],[fecha]]="","",TEXT(tblExcepciones[[#This Row],[fecha]],"yyyy-mm-dd")&amp;"|"&amp;tblExcepciones[[#This Row],[area]]&amp;"|"&amp;tblExcepciones[[#This Row],[sub_area]])</f>
        <v/>
      </c>
      <c r="I176" s="11" t="n">
        <v>46194</v>
      </c>
      <c r="J176" s="3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15" t="n"/>
      <c r="B177" s="6" t="n"/>
      <c r="C177" s="6" t="n"/>
      <c r="D177" s="6" t="n"/>
      <c r="E177" s="6" t="n"/>
      <c r="F177" s="6" t="n"/>
      <c r="G177" s="3">
        <f>IF(tblExcepciones[[#This Row],[fecha]]="","",TEXT(tblExcepciones[[#This Row],[fecha]],"yyyy-mm-dd")&amp;"|"&amp;tblExcepciones[[#This Row],[area]]&amp;"|"&amp;tblExcepciones[[#This Row],[sub_area]])</f>
        <v/>
      </c>
      <c r="I177" s="11" t="n">
        <v>46195</v>
      </c>
      <c r="J177" s="3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15" t="n"/>
      <c r="B178" s="6" t="n"/>
      <c r="C178" s="6" t="n"/>
      <c r="D178" s="6" t="n"/>
      <c r="E178" s="6" t="n"/>
      <c r="F178" s="6" t="n"/>
      <c r="G178" s="3">
        <f>IF(tblExcepciones[[#This Row],[fecha]]="","",TEXT(tblExcepciones[[#This Row],[fecha]],"yyyy-mm-dd")&amp;"|"&amp;tblExcepciones[[#This Row],[area]]&amp;"|"&amp;tblExcepciones[[#This Row],[sub_area]])</f>
        <v/>
      </c>
      <c r="I178" s="11" t="n">
        <v>46196</v>
      </c>
      <c r="J178" s="3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15" t="n"/>
      <c r="B179" s="6" t="n"/>
      <c r="C179" s="6" t="n"/>
      <c r="D179" s="6" t="n"/>
      <c r="E179" s="6" t="n"/>
      <c r="F179" s="6" t="n"/>
      <c r="G179" s="3">
        <f>IF(tblExcepciones[[#This Row],[fecha]]="","",TEXT(tblExcepciones[[#This Row],[fecha]],"yyyy-mm-dd")&amp;"|"&amp;tblExcepciones[[#This Row],[area]]&amp;"|"&amp;tblExcepciones[[#This Row],[sub_area]])</f>
        <v/>
      </c>
      <c r="I179" s="11" t="n">
        <v>46197</v>
      </c>
      <c r="J179" s="3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15" t="n"/>
      <c r="B180" s="6" t="n"/>
      <c r="C180" s="6" t="n"/>
      <c r="D180" s="6" t="n"/>
      <c r="E180" s="6" t="n"/>
      <c r="F180" s="6" t="n"/>
      <c r="G180" s="3">
        <f>IF(tblExcepciones[[#This Row],[fecha]]="","",TEXT(tblExcepciones[[#This Row],[fecha]],"yyyy-mm-dd")&amp;"|"&amp;tblExcepciones[[#This Row],[area]]&amp;"|"&amp;tblExcepciones[[#This Row],[sub_area]])</f>
        <v/>
      </c>
      <c r="I180" s="11" t="n">
        <v>46198</v>
      </c>
      <c r="J180" s="3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15" t="n"/>
      <c r="B181" s="6" t="n"/>
      <c r="C181" s="6" t="n"/>
      <c r="D181" s="6" t="n"/>
      <c r="E181" s="6" t="n"/>
      <c r="F181" s="6" t="n"/>
      <c r="G181" s="3">
        <f>IF(tblExcepciones[[#This Row],[fecha]]="","",TEXT(tblExcepciones[[#This Row],[fecha]],"yyyy-mm-dd")&amp;"|"&amp;tblExcepciones[[#This Row],[area]]&amp;"|"&amp;tblExcepciones[[#This Row],[sub_area]])</f>
        <v/>
      </c>
      <c r="I181" s="11" t="n">
        <v>46199</v>
      </c>
      <c r="J181" s="3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15" t="n"/>
      <c r="B182" s="6" t="n"/>
      <c r="C182" s="6" t="n"/>
      <c r="D182" s="6" t="n"/>
      <c r="E182" s="6" t="n"/>
      <c r="F182" s="6" t="n"/>
      <c r="G182" s="3">
        <f>IF(tblExcepciones[[#This Row],[fecha]]="","",TEXT(tblExcepciones[[#This Row],[fecha]],"yyyy-mm-dd")&amp;"|"&amp;tblExcepciones[[#This Row],[area]]&amp;"|"&amp;tblExcepciones[[#This Row],[sub_area]])</f>
        <v/>
      </c>
      <c r="I182" s="11" t="n">
        <v>46200</v>
      </c>
      <c r="J182" s="3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15" t="n"/>
      <c r="B183" s="6" t="n"/>
      <c r="C183" s="6" t="n"/>
      <c r="D183" s="6" t="n"/>
      <c r="E183" s="6" t="n"/>
      <c r="F183" s="6" t="n"/>
      <c r="G183" s="3">
        <f>IF(tblExcepciones[[#This Row],[fecha]]="","",TEXT(tblExcepciones[[#This Row],[fecha]],"yyyy-mm-dd")&amp;"|"&amp;tblExcepciones[[#This Row],[area]]&amp;"|"&amp;tblExcepciones[[#This Row],[sub_area]])</f>
        <v/>
      </c>
      <c r="I183" s="11" t="n">
        <v>46201</v>
      </c>
      <c r="J183" s="3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15" t="n"/>
      <c r="B184" s="6" t="n"/>
      <c r="C184" s="6" t="n"/>
      <c r="D184" s="6" t="n"/>
      <c r="E184" s="6" t="n"/>
      <c r="F184" s="6" t="n"/>
      <c r="G184" s="3">
        <f>IF(tblExcepciones[[#This Row],[fecha]]="","",TEXT(tblExcepciones[[#This Row],[fecha]],"yyyy-mm-dd")&amp;"|"&amp;tblExcepciones[[#This Row],[area]]&amp;"|"&amp;tblExcepciones[[#This Row],[sub_area]])</f>
        <v/>
      </c>
      <c r="I184" s="11" t="n">
        <v>46202</v>
      </c>
      <c r="J184" s="3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15" t="n"/>
      <c r="B185" s="6" t="n"/>
      <c r="C185" s="6" t="n"/>
      <c r="D185" s="6" t="n"/>
      <c r="E185" s="6" t="n"/>
      <c r="F185" s="6" t="n"/>
      <c r="G185" s="3">
        <f>IF(tblExcepciones[[#This Row],[fecha]]="","",TEXT(tblExcepciones[[#This Row],[fecha]],"yyyy-mm-dd")&amp;"|"&amp;tblExcepciones[[#This Row],[area]]&amp;"|"&amp;tblExcepciones[[#This Row],[sub_area]])</f>
        <v/>
      </c>
      <c r="I185" s="11" t="n">
        <v>46203</v>
      </c>
      <c r="J185" s="3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15" t="n"/>
      <c r="B186" s="6" t="n"/>
      <c r="C186" s="6" t="n"/>
      <c r="D186" s="6" t="n"/>
      <c r="E186" s="6" t="n"/>
      <c r="F186" s="6" t="n"/>
      <c r="G186" s="3">
        <f>IF(tblExcepciones[[#This Row],[fecha]]="","",TEXT(tblExcepciones[[#This Row],[fecha]],"yyyy-mm-dd")&amp;"|"&amp;tblExcepciones[[#This Row],[area]]&amp;"|"&amp;tblExcepciones[[#This Row],[sub_area]])</f>
        <v/>
      </c>
      <c r="I186" s="11" t="n">
        <v>46204</v>
      </c>
      <c r="J186" s="3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15" t="n"/>
      <c r="B187" s="6" t="n"/>
      <c r="C187" s="6" t="n"/>
      <c r="D187" s="6" t="n"/>
      <c r="E187" s="6" t="n"/>
      <c r="F187" s="6" t="n"/>
      <c r="G187" s="3">
        <f>IF(tblExcepciones[[#This Row],[fecha]]="","",TEXT(tblExcepciones[[#This Row],[fecha]],"yyyy-mm-dd")&amp;"|"&amp;tblExcepciones[[#This Row],[area]]&amp;"|"&amp;tblExcepciones[[#This Row],[sub_area]])</f>
        <v/>
      </c>
      <c r="I187" s="11" t="n">
        <v>46205</v>
      </c>
      <c r="J187" s="3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15" t="n"/>
      <c r="B188" s="6" t="n"/>
      <c r="C188" s="6" t="n"/>
      <c r="D188" s="6" t="n"/>
      <c r="E188" s="6" t="n"/>
      <c r="F188" s="6" t="n"/>
      <c r="G188" s="3">
        <f>IF(tblExcepciones[[#This Row],[fecha]]="","",TEXT(tblExcepciones[[#This Row],[fecha]],"yyyy-mm-dd")&amp;"|"&amp;tblExcepciones[[#This Row],[area]]&amp;"|"&amp;tblExcepciones[[#This Row],[sub_area]])</f>
        <v/>
      </c>
      <c r="I188" s="11" t="n">
        <v>46206</v>
      </c>
      <c r="J188" s="3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15" t="n"/>
      <c r="B189" s="6" t="n"/>
      <c r="C189" s="6" t="n"/>
      <c r="D189" s="6" t="n"/>
      <c r="E189" s="6" t="n"/>
      <c r="F189" s="6" t="n"/>
      <c r="G189" s="3">
        <f>IF(tblExcepciones[[#This Row],[fecha]]="","",TEXT(tblExcepciones[[#This Row],[fecha]],"yyyy-mm-dd")&amp;"|"&amp;tblExcepciones[[#This Row],[area]]&amp;"|"&amp;tblExcepciones[[#This Row],[sub_area]])</f>
        <v/>
      </c>
      <c r="I189" s="11" t="n">
        <v>46207</v>
      </c>
      <c r="J189" s="3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15" t="n"/>
      <c r="B190" s="6" t="n"/>
      <c r="C190" s="6" t="n"/>
      <c r="D190" s="6" t="n"/>
      <c r="E190" s="6" t="n"/>
      <c r="F190" s="6" t="n"/>
      <c r="G190" s="3">
        <f>IF(tblExcepciones[[#This Row],[fecha]]="","",TEXT(tblExcepciones[[#This Row],[fecha]],"yyyy-mm-dd")&amp;"|"&amp;tblExcepciones[[#This Row],[area]]&amp;"|"&amp;tblExcepciones[[#This Row],[sub_area]])</f>
        <v/>
      </c>
      <c r="I190" s="11" t="n">
        <v>46208</v>
      </c>
      <c r="J190" s="3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15" t="n"/>
      <c r="B191" s="6" t="n"/>
      <c r="C191" s="6" t="n"/>
      <c r="D191" s="6" t="n"/>
      <c r="E191" s="6" t="n"/>
      <c r="F191" s="6" t="n"/>
      <c r="G191" s="3">
        <f>IF(tblExcepciones[[#This Row],[fecha]]="","",TEXT(tblExcepciones[[#This Row],[fecha]],"yyyy-mm-dd")&amp;"|"&amp;tblExcepciones[[#This Row],[area]]&amp;"|"&amp;tblExcepciones[[#This Row],[sub_area]])</f>
        <v/>
      </c>
      <c r="I191" s="11" t="n">
        <v>46209</v>
      </c>
      <c r="J191" s="3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15" t="n"/>
      <c r="B192" s="6" t="n"/>
      <c r="C192" s="6" t="n"/>
      <c r="D192" s="6" t="n"/>
      <c r="E192" s="6" t="n"/>
      <c r="F192" s="6" t="n"/>
      <c r="G192" s="3">
        <f>IF(tblExcepciones[[#This Row],[fecha]]="","",TEXT(tblExcepciones[[#This Row],[fecha]],"yyyy-mm-dd")&amp;"|"&amp;tblExcepciones[[#This Row],[area]]&amp;"|"&amp;tblExcepciones[[#This Row],[sub_area]])</f>
        <v/>
      </c>
      <c r="I192" s="11" t="n">
        <v>46210</v>
      </c>
      <c r="J192" s="3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15" t="n"/>
      <c r="B193" s="6" t="n"/>
      <c r="C193" s="6" t="n"/>
      <c r="D193" s="6" t="n"/>
      <c r="E193" s="6" t="n"/>
      <c r="F193" s="6" t="n"/>
      <c r="G193" s="3">
        <f>IF(tblExcepciones[[#This Row],[fecha]]="","",TEXT(tblExcepciones[[#This Row],[fecha]],"yyyy-mm-dd")&amp;"|"&amp;tblExcepciones[[#This Row],[area]]&amp;"|"&amp;tblExcepciones[[#This Row],[sub_area]])</f>
        <v/>
      </c>
      <c r="I193" s="11" t="n">
        <v>46211</v>
      </c>
      <c r="J193" s="3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15" t="n"/>
      <c r="B194" s="6" t="n"/>
      <c r="C194" s="6" t="n"/>
      <c r="D194" s="6" t="n"/>
      <c r="E194" s="6" t="n"/>
      <c r="F194" s="6" t="n"/>
      <c r="G194" s="3">
        <f>IF(tblExcepciones[[#This Row],[fecha]]="","",TEXT(tblExcepciones[[#This Row],[fecha]],"yyyy-mm-dd")&amp;"|"&amp;tblExcepciones[[#This Row],[area]]&amp;"|"&amp;tblExcepciones[[#This Row],[sub_area]])</f>
        <v/>
      </c>
      <c r="I194" s="11" t="n">
        <v>46212</v>
      </c>
      <c r="J194" s="3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15" t="n"/>
      <c r="B195" s="6" t="n"/>
      <c r="C195" s="6" t="n"/>
      <c r="D195" s="6" t="n"/>
      <c r="E195" s="6" t="n"/>
      <c r="F195" s="6" t="n"/>
      <c r="G195" s="3">
        <f>IF(tblExcepciones[[#This Row],[fecha]]="","",TEXT(tblExcepciones[[#This Row],[fecha]],"yyyy-mm-dd")&amp;"|"&amp;tblExcepciones[[#This Row],[area]]&amp;"|"&amp;tblExcepciones[[#This Row],[sub_area]])</f>
        <v/>
      </c>
      <c r="I195" s="11" t="n">
        <v>46213</v>
      </c>
      <c r="J195" s="3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15" t="n"/>
      <c r="B196" s="6" t="n"/>
      <c r="C196" s="6" t="n"/>
      <c r="D196" s="6" t="n"/>
      <c r="E196" s="6" t="n"/>
      <c r="F196" s="6" t="n"/>
      <c r="G196" s="3">
        <f>IF(tblExcepciones[[#This Row],[fecha]]="","",TEXT(tblExcepciones[[#This Row],[fecha]],"yyyy-mm-dd")&amp;"|"&amp;tblExcepciones[[#This Row],[area]]&amp;"|"&amp;tblExcepciones[[#This Row],[sub_area]])</f>
        <v/>
      </c>
      <c r="I196" s="11" t="n">
        <v>46214</v>
      </c>
      <c r="J196" s="3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15" t="n"/>
      <c r="B197" s="6" t="n"/>
      <c r="C197" s="6" t="n"/>
      <c r="D197" s="6" t="n"/>
      <c r="E197" s="6" t="n"/>
      <c r="F197" s="6" t="n"/>
      <c r="G197" s="3">
        <f>IF(tblExcepciones[[#This Row],[fecha]]="","",TEXT(tblExcepciones[[#This Row],[fecha]],"yyyy-mm-dd")&amp;"|"&amp;tblExcepciones[[#This Row],[area]]&amp;"|"&amp;tblExcepciones[[#This Row],[sub_area]])</f>
        <v/>
      </c>
      <c r="I197" s="11" t="n">
        <v>46215</v>
      </c>
      <c r="J197" s="3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15" t="n"/>
      <c r="B198" s="6" t="n"/>
      <c r="C198" s="6" t="n"/>
      <c r="D198" s="6" t="n"/>
      <c r="E198" s="6" t="n"/>
      <c r="F198" s="6" t="n"/>
      <c r="G198" s="3">
        <f>IF(tblExcepciones[[#This Row],[fecha]]="","",TEXT(tblExcepciones[[#This Row],[fecha]],"yyyy-mm-dd")&amp;"|"&amp;tblExcepciones[[#This Row],[area]]&amp;"|"&amp;tblExcepciones[[#This Row],[sub_area]])</f>
        <v/>
      </c>
      <c r="I198" s="11" t="n">
        <v>46216</v>
      </c>
      <c r="J198" s="3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15" t="n"/>
      <c r="B199" s="6" t="n"/>
      <c r="C199" s="6" t="n"/>
      <c r="D199" s="6" t="n"/>
      <c r="E199" s="6" t="n"/>
      <c r="F199" s="6" t="n"/>
      <c r="G199" s="3">
        <f>IF(tblExcepciones[[#This Row],[fecha]]="","",TEXT(tblExcepciones[[#This Row],[fecha]],"yyyy-mm-dd")&amp;"|"&amp;tblExcepciones[[#This Row],[area]]&amp;"|"&amp;tblExcepciones[[#This Row],[sub_area]])</f>
        <v/>
      </c>
      <c r="I199" s="11" t="n">
        <v>46217</v>
      </c>
      <c r="J199" s="3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15" t="n"/>
      <c r="B200" s="6" t="n"/>
      <c r="C200" s="6" t="n"/>
      <c r="D200" s="6" t="n"/>
      <c r="E200" s="6" t="n"/>
      <c r="F200" s="6" t="n"/>
      <c r="G200" s="3">
        <f>IF(tblExcepciones[[#This Row],[fecha]]="","",TEXT(tblExcepciones[[#This Row],[fecha]],"yyyy-mm-dd")&amp;"|"&amp;tblExcepciones[[#This Row],[area]]&amp;"|"&amp;tblExcepciones[[#This Row],[sub_area]])</f>
        <v/>
      </c>
      <c r="I200" s="11" t="n">
        <v>46218</v>
      </c>
      <c r="J200" s="3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15" t="n"/>
      <c r="B201" s="6" t="n"/>
      <c r="C201" s="6" t="n"/>
      <c r="D201" s="6" t="n"/>
      <c r="E201" s="6" t="n"/>
      <c r="F201" s="6" t="n"/>
      <c r="G201" s="3">
        <f>IF(tblExcepciones[[#This Row],[fecha]]="","",TEXT(tblExcepciones[[#This Row],[fecha]],"yyyy-mm-dd")&amp;"|"&amp;tblExcepciones[[#This Row],[area]]&amp;"|"&amp;tblExcepciones[[#This Row],[sub_area]])</f>
        <v/>
      </c>
      <c r="I201" s="11" t="n">
        <v>46219</v>
      </c>
      <c r="J201" s="3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15" t="n"/>
      <c r="B202" s="6" t="n"/>
      <c r="C202" s="6" t="n"/>
      <c r="D202" s="6" t="n"/>
      <c r="E202" s="6" t="n"/>
      <c r="F202" s="6" t="n"/>
      <c r="G202" s="3">
        <f>IF(tblExcepciones[[#This Row],[fecha]]="","",TEXT(tblExcepciones[[#This Row],[fecha]],"yyyy-mm-dd")&amp;"|"&amp;tblExcepciones[[#This Row],[area]]&amp;"|"&amp;tblExcepciones[[#This Row],[sub_area]])</f>
        <v/>
      </c>
      <c r="I202" s="11" t="n">
        <v>46220</v>
      </c>
      <c r="J202" s="3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15" t="n"/>
      <c r="B203" s="6" t="n"/>
      <c r="C203" s="6" t="n"/>
      <c r="D203" s="6" t="n"/>
      <c r="E203" s="6" t="n"/>
      <c r="F203" s="6" t="n"/>
      <c r="G203" s="3">
        <f>IF(tblExcepciones[[#This Row],[fecha]]="","",TEXT(tblExcepciones[[#This Row],[fecha]],"yyyy-mm-dd")&amp;"|"&amp;tblExcepciones[[#This Row],[area]]&amp;"|"&amp;tblExcepciones[[#This Row],[sub_area]])</f>
        <v/>
      </c>
      <c r="I203" s="11" t="n">
        <v>46221</v>
      </c>
      <c r="J203" s="3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15" t="n"/>
      <c r="B204" s="6" t="n"/>
      <c r="C204" s="6" t="n"/>
      <c r="D204" s="6" t="n"/>
      <c r="E204" s="6" t="n"/>
      <c r="F204" s="6" t="n"/>
      <c r="G204" s="3">
        <f>IF(tblExcepciones[[#This Row],[fecha]]="","",TEXT(tblExcepciones[[#This Row],[fecha]],"yyyy-mm-dd")&amp;"|"&amp;tblExcepciones[[#This Row],[area]]&amp;"|"&amp;tblExcepciones[[#This Row],[sub_area]])</f>
        <v/>
      </c>
      <c r="I204" s="11" t="n">
        <v>46222</v>
      </c>
      <c r="J204" s="3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15" t="n"/>
      <c r="B205" s="6" t="n"/>
      <c r="C205" s="6" t="n"/>
      <c r="D205" s="6" t="n"/>
      <c r="E205" s="6" t="n"/>
      <c r="F205" s="6" t="n"/>
      <c r="G205" s="3">
        <f>IF(tblExcepciones[[#This Row],[fecha]]="","",TEXT(tblExcepciones[[#This Row],[fecha]],"yyyy-mm-dd")&amp;"|"&amp;tblExcepciones[[#This Row],[area]]&amp;"|"&amp;tblExcepciones[[#This Row],[sub_area]])</f>
        <v/>
      </c>
      <c r="I205" s="11" t="n">
        <v>46223</v>
      </c>
      <c r="J205" s="3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15" t="n"/>
      <c r="B206" s="6" t="n"/>
      <c r="C206" s="6" t="n"/>
      <c r="D206" s="6" t="n"/>
      <c r="E206" s="6" t="n"/>
      <c r="F206" s="6" t="n"/>
      <c r="G206" s="3">
        <f>IF(tblExcepciones[[#This Row],[fecha]]="","",TEXT(tblExcepciones[[#This Row],[fecha]],"yyyy-mm-dd")&amp;"|"&amp;tblExcepciones[[#This Row],[area]]&amp;"|"&amp;tblExcepciones[[#This Row],[sub_area]])</f>
        <v/>
      </c>
      <c r="I206" s="11" t="n">
        <v>46224</v>
      </c>
      <c r="J206" s="3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15" t="n"/>
      <c r="B207" s="6" t="n"/>
      <c r="C207" s="6" t="n"/>
      <c r="D207" s="6" t="n"/>
      <c r="E207" s="6" t="n"/>
      <c r="F207" s="6" t="n"/>
      <c r="G207" s="3">
        <f>IF(tblExcepciones[[#This Row],[fecha]]="","",TEXT(tblExcepciones[[#This Row],[fecha]],"yyyy-mm-dd")&amp;"|"&amp;tblExcepciones[[#This Row],[area]]&amp;"|"&amp;tblExcepciones[[#This Row],[sub_area]])</f>
        <v/>
      </c>
      <c r="I207" s="11" t="n">
        <v>46225</v>
      </c>
      <c r="J207" s="3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15" t="n"/>
      <c r="B208" s="6" t="n"/>
      <c r="C208" s="6" t="n"/>
      <c r="D208" s="6" t="n"/>
      <c r="E208" s="6" t="n"/>
      <c r="F208" s="6" t="n"/>
      <c r="G208" s="3">
        <f>IF(tblExcepciones[[#This Row],[fecha]]="","",TEXT(tblExcepciones[[#This Row],[fecha]],"yyyy-mm-dd")&amp;"|"&amp;tblExcepciones[[#This Row],[area]]&amp;"|"&amp;tblExcepciones[[#This Row],[sub_area]])</f>
        <v/>
      </c>
      <c r="I208" s="11" t="n">
        <v>46226</v>
      </c>
      <c r="J208" s="3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15" t="n"/>
      <c r="B209" s="6" t="n"/>
      <c r="C209" s="6" t="n"/>
      <c r="D209" s="6" t="n"/>
      <c r="E209" s="6" t="n"/>
      <c r="F209" s="6" t="n"/>
      <c r="G209" s="3">
        <f>IF(tblExcepciones[[#This Row],[fecha]]="","",TEXT(tblExcepciones[[#This Row],[fecha]],"yyyy-mm-dd")&amp;"|"&amp;tblExcepciones[[#This Row],[area]]&amp;"|"&amp;tblExcepciones[[#This Row],[sub_area]])</f>
        <v/>
      </c>
      <c r="I209" s="11" t="n">
        <v>46227</v>
      </c>
      <c r="J209" s="3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15" t="n"/>
      <c r="B210" s="6" t="n"/>
      <c r="C210" s="6" t="n"/>
      <c r="D210" s="6" t="n"/>
      <c r="E210" s="6" t="n"/>
      <c r="F210" s="6" t="n"/>
      <c r="G210" s="3">
        <f>IF(tblExcepciones[[#This Row],[fecha]]="","",TEXT(tblExcepciones[[#This Row],[fecha]],"yyyy-mm-dd")&amp;"|"&amp;tblExcepciones[[#This Row],[area]]&amp;"|"&amp;tblExcepciones[[#This Row],[sub_area]])</f>
        <v/>
      </c>
      <c r="I210" s="11" t="n">
        <v>46228</v>
      </c>
      <c r="J210" s="3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15" t="n"/>
      <c r="B211" s="6" t="n"/>
      <c r="C211" s="6" t="n"/>
      <c r="D211" s="6" t="n"/>
      <c r="E211" s="6" t="n"/>
      <c r="F211" s="6" t="n"/>
      <c r="G211" s="3">
        <f>IF(tblExcepciones[[#This Row],[fecha]]="","",TEXT(tblExcepciones[[#This Row],[fecha]],"yyyy-mm-dd")&amp;"|"&amp;tblExcepciones[[#This Row],[area]]&amp;"|"&amp;tblExcepciones[[#This Row],[sub_area]])</f>
        <v/>
      </c>
      <c r="I211" s="11" t="n">
        <v>46229</v>
      </c>
      <c r="J211" s="3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15" t="n"/>
      <c r="B212" s="6" t="n"/>
      <c r="C212" s="6" t="n"/>
      <c r="D212" s="6" t="n"/>
      <c r="E212" s="6" t="n"/>
      <c r="F212" s="6" t="n"/>
      <c r="G212" s="3">
        <f>IF(tblExcepciones[[#This Row],[fecha]]="","",TEXT(tblExcepciones[[#This Row],[fecha]],"yyyy-mm-dd")&amp;"|"&amp;tblExcepciones[[#This Row],[area]]&amp;"|"&amp;tblExcepciones[[#This Row],[sub_area]])</f>
        <v/>
      </c>
      <c r="I212" s="11" t="n">
        <v>46230</v>
      </c>
      <c r="J212" s="3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15" t="n"/>
      <c r="B213" s="6" t="n"/>
      <c r="C213" s="6" t="n"/>
      <c r="D213" s="6" t="n"/>
      <c r="E213" s="6" t="n"/>
      <c r="F213" s="6" t="n"/>
      <c r="G213" s="3">
        <f>IF(tblExcepciones[[#This Row],[fecha]]="","",TEXT(tblExcepciones[[#This Row],[fecha]],"yyyy-mm-dd")&amp;"|"&amp;tblExcepciones[[#This Row],[area]]&amp;"|"&amp;tblExcepciones[[#This Row],[sub_area]])</f>
        <v/>
      </c>
      <c r="I213" s="11" t="n">
        <v>46231</v>
      </c>
      <c r="J213" s="3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15" t="n"/>
      <c r="B214" s="6" t="n"/>
      <c r="C214" s="6" t="n"/>
      <c r="D214" s="6" t="n"/>
      <c r="E214" s="6" t="n"/>
      <c r="F214" s="6" t="n"/>
      <c r="G214" s="3">
        <f>IF(tblExcepciones[[#This Row],[fecha]]="","",TEXT(tblExcepciones[[#This Row],[fecha]],"yyyy-mm-dd")&amp;"|"&amp;tblExcepciones[[#This Row],[area]]&amp;"|"&amp;tblExcepciones[[#This Row],[sub_area]])</f>
        <v/>
      </c>
      <c r="I214" s="11" t="n">
        <v>46232</v>
      </c>
      <c r="J214" s="3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1" t="n">
        <v>46233</v>
      </c>
      <c r="J215" s="3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1" t="n">
        <v>46234</v>
      </c>
      <c r="J216" s="3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1" t="n">
        <v>46235</v>
      </c>
      <c r="J217" s="3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1" t="n">
        <v>46236</v>
      </c>
      <c r="J218" s="3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1" t="n">
        <v>46237</v>
      </c>
      <c r="J219" s="3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1" t="n">
        <v>46238</v>
      </c>
      <c r="J220" s="3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1" t="n">
        <v>46239</v>
      </c>
      <c r="J221" s="3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1" t="n">
        <v>46240</v>
      </c>
      <c r="J222" s="3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1" t="n">
        <v>46241</v>
      </c>
      <c r="J223" s="3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1" t="n">
        <v>46242</v>
      </c>
      <c r="J224" s="3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1" t="n">
        <v>46243</v>
      </c>
      <c r="J225" s="3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1" t="n">
        <v>46244</v>
      </c>
      <c r="J226" s="3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1" t="n">
        <v>46245</v>
      </c>
      <c r="J227" s="3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1" t="n">
        <v>46246</v>
      </c>
      <c r="J228" s="3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1" t="n">
        <v>46247</v>
      </c>
      <c r="J229" s="3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1" t="n">
        <v>46248</v>
      </c>
      <c r="J230" s="3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1" t="n">
        <v>46249</v>
      </c>
      <c r="J231" s="3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1" t="n">
        <v>46250</v>
      </c>
      <c r="J232" s="3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1" t="n">
        <v>46251</v>
      </c>
      <c r="J233" s="3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1" t="n">
        <v>46252</v>
      </c>
      <c r="J234" s="3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1" t="n">
        <v>46253</v>
      </c>
      <c r="J235" s="3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1" t="n">
        <v>46254</v>
      </c>
      <c r="J236" s="3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1" t="n">
        <v>46255</v>
      </c>
      <c r="J237" s="3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1" t="n">
        <v>46256</v>
      </c>
      <c r="J238" s="3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1" t="n">
        <v>46257</v>
      </c>
      <c r="J239" s="3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1" t="n">
        <v>46258</v>
      </c>
      <c r="J240" s="3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1" t="n">
        <v>46259</v>
      </c>
      <c r="J241" s="3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1" t="n">
        <v>46260</v>
      </c>
      <c r="J242" s="3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1" t="n">
        <v>46261</v>
      </c>
      <c r="J243" s="3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1" t="n">
        <v>46262</v>
      </c>
      <c r="J244" s="3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1" t="n">
        <v>46263</v>
      </c>
      <c r="J245" s="3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1" t="n">
        <v>46264</v>
      </c>
      <c r="J246" s="3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1" t="n">
        <v>46265</v>
      </c>
      <c r="J247" s="3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1" t="n">
        <v>46266</v>
      </c>
      <c r="J248" s="3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1" t="n">
        <v>46267</v>
      </c>
      <c r="J249" s="3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1" t="n">
        <v>46268</v>
      </c>
      <c r="J250" s="3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1" t="n">
        <v>46269</v>
      </c>
      <c r="J251" s="3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1" t="n">
        <v>46270</v>
      </c>
      <c r="J252" s="3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1" t="n">
        <v>46271</v>
      </c>
      <c r="J253" s="3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1" t="n">
        <v>46272</v>
      </c>
      <c r="J254" s="3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1" t="n">
        <v>46273</v>
      </c>
      <c r="J255" s="3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1" t="n">
        <v>46274</v>
      </c>
      <c r="J256" s="3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1" t="n">
        <v>46275</v>
      </c>
      <c r="J257" s="3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1" t="n">
        <v>46276</v>
      </c>
      <c r="J258" s="3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1" t="n">
        <v>46277</v>
      </c>
      <c r="J259" s="3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1" t="n">
        <v>46278</v>
      </c>
      <c r="J260" s="3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1" t="n">
        <v>46279</v>
      </c>
      <c r="J261" s="3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1" t="n">
        <v>46280</v>
      </c>
      <c r="J262" s="3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1" t="n">
        <v>46281</v>
      </c>
      <c r="J263" s="3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1" t="n">
        <v>46282</v>
      </c>
      <c r="J264" s="3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1" t="n">
        <v>46283</v>
      </c>
      <c r="J265" s="3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1" t="n">
        <v>46284</v>
      </c>
      <c r="J266" s="3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1" t="n">
        <v>46285</v>
      </c>
      <c r="J267" s="3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1" t="n">
        <v>46286</v>
      </c>
      <c r="J268" s="3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1" t="n">
        <v>46287</v>
      </c>
      <c r="J269" s="3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1" t="n">
        <v>46288</v>
      </c>
      <c r="J270" s="3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1" t="n">
        <v>46289</v>
      </c>
      <c r="J271" s="3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1" t="n">
        <v>46290</v>
      </c>
      <c r="J272" s="3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1" t="n">
        <v>46291</v>
      </c>
      <c r="J273" s="3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1" t="n">
        <v>46292</v>
      </c>
      <c r="J274" s="3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1" t="n">
        <v>46293</v>
      </c>
      <c r="J275" s="3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1" t="n">
        <v>46294</v>
      </c>
      <c r="J276" s="3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1" t="n">
        <v>46295</v>
      </c>
      <c r="J277" s="3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1" t="n">
        <v>46296</v>
      </c>
      <c r="J278" s="3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1" t="n">
        <v>46297</v>
      </c>
      <c r="J279" s="3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1" t="n">
        <v>46298</v>
      </c>
      <c r="J280" s="3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1" t="n">
        <v>46299</v>
      </c>
      <c r="J281" s="3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1" t="n">
        <v>46300</v>
      </c>
      <c r="J282" s="3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1" t="n">
        <v>46301</v>
      </c>
      <c r="J283" s="3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1" t="n">
        <v>46302</v>
      </c>
      <c r="J284" s="3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1" t="n">
        <v>46303</v>
      </c>
      <c r="J285" s="3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1" t="n">
        <v>46304</v>
      </c>
      <c r="J286" s="3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1" t="n">
        <v>46305</v>
      </c>
      <c r="J287" s="3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1" t="n">
        <v>46306</v>
      </c>
      <c r="J288" s="3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1" t="n">
        <v>46307</v>
      </c>
      <c r="J289" s="3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1" t="n">
        <v>46308</v>
      </c>
      <c r="J290" s="3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1" t="n">
        <v>46309</v>
      </c>
      <c r="J291" s="3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1" t="n">
        <v>46310</v>
      </c>
      <c r="J292" s="3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1" t="n">
        <v>46311</v>
      </c>
      <c r="J293" s="3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1" t="n">
        <v>46312</v>
      </c>
      <c r="J294" s="3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1" t="n">
        <v>46313</v>
      </c>
      <c r="J295" s="3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1" t="n">
        <v>46314</v>
      </c>
      <c r="J296" s="3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1" t="n">
        <v>46315</v>
      </c>
      <c r="J297" s="3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1" t="n">
        <v>46316</v>
      </c>
      <c r="J298" s="3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1" t="n">
        <v>46317</v>
      </c>
      <c r="J299" s="3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1" t="n">
        <v>46318</v>
      </c>
      <c r="J300" s="3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1" t="n">
        <v>46319</v>
      </c>
      <c r="J301" s="3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1" t="n">
        <v>46320</v>
      </c>
      <c r="J302" s="3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1" t="n">
        <v>46321</v>
      </c>
      <c r="J303" s="3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1" t="n">
        <v>46322</v>
      </c>
      <c r="J304" s="3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1" t="n">
        <v>46323</v>
      </c>
      <c r="J305" s="3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1" t="n">
        <v>46324</v>
      </c>
      <c r="J306" s="3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1" t="n">
        <v>46325</v>
      </c>
      <c r="J307" s="3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1" t="n">
        <v>46326</v>
      </c>
      <c r="J308" s="3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1" t="n">
        <v>46327</v>
      </c>
      <c r="J309" s="3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1" t="n">
        <v>46328</v>
      </c>
      <c r="J310" s="3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1" t="n">
        <v>46329</v>
      </c>
      <c r="J311" s="3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1" t="n">
        <v>46330</v>
      </c>
      <c r="J312" s="3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1" t="n">
        <v>46331</v>
      </c>
      <c r="J313" s="3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1" t="n">
        <v>46332</v>
      </c>
      <c r="J314" s="3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1" t="n">
        <v>46333</v>
      </c>
      <c r="J315" s="3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1" t="n">
        <v>46334</v>
      </c>
      <c r="J316" s="3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1" t="n">
        <v>46335</v>
      </c>
      <c r="J317" s="3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1" t="n">
        <v>46336</v>
      </c>
      <c r="J318" s="3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1" t="n">
        <v>46337</v>
      </c>
      <c r="J319" s="3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1" t="n">
        <v>46338</v>
      </c>
      <c r="J320" s="3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1" t="n">
        <v>46339</v>
      </c>
      <c r="J321" s="3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1" t="n">
        <v>46340</v>
      </c>
      <c r="J322" s="3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1" t="n">
        <v>46341</v>
      </c>
      <c r="J323" s="3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1" t="n">
        <v>46342</v>
      </c>
      <c r="J324" s="3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1" t="n">
        <v>46343</v>
      </c>
      <c r="J325" s="3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1" t="n">
        <v>46344</v>
      </c>
      <c r="J326" s="3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1" t="n">
        <v>46345</v>
      </c>
      <c r="J327" s="3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1" t="n">
        <v>46346</v>
      </c>
      <c r="J328" s="3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1" t="n">
        <v>46347</v>
      </c>
      <c r="J329" s="3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1" t="n">
        <v>46348</v>
      </c>
      <c r="J330" s="3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1" t="n">
        <v>46349</v>
      </c>
      <c r="J331" s="3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1" t="n">
        <v>46350</v>
      </c>
      <c r="J332" s="3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1" t="n">
        <v>46351</v>
      </c>
      <c r="J333" s="3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1" t="n">
        <v>46352</v>
      </c>
      <c r="J334" s="3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1" t="n">
        <v>46353</v>
      </c>
      <c r="J335" s="3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1" t="n">
        <v>46354</v>
      </c>
      <c r="J336" s="3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1" t="n">
        <v>46355</v>
      </c>
      <c r="J337" s="3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1" t="n">
        <v>46356</v>
      </c>
      <c r="J338" s="3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1" t="n">
        <v>46357</v>
      </c>
      <c r="J339" s="3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1" t="n">
        <v>46358</v>
      </c>
      <c r="J340" s="3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1" t="n">
        <v>46359</v>
      </c>
      <c r="J341" s="3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1" t="n">
        <v>46360</v>
      </c>
      <c r="J342" s="3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1" t="n">
        <v>46361</v>
      </c>
      <c r="J343" s="3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1" t="n">
        <v>46362</v>
      </c>
      <c r="J344" s="3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1" t="n">
        <v>46363</v>
      </c>
      <c r="J345" s="3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1" t="n">
        <v>46364</v>
      </c>
      <c r="J346" s="3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1" t="n">
        <v>46365</v>
      </c>
      <c r="J347" s="3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1" t="n">
        <v>46366</v>
      </c>
      <c r="J348" s="3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1" t="n">
        <v>46367</v>
      </c>
      <c r="J349" s="3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1" t="n">
        <v>46368</v>
      </c>
      <c r="J350" s="3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1" t="n">
        <v>46369</v>
      </c>
      <c r="J351" s="3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1" t="n">
        <v>46370</v>
      </c>
      <c r="J352" s="3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1" t="n">
        <v>46371</v>
      </c>
      <c r="J353" s="3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1" t="n">
        <v>46372</v>
      </c>
      <c r="J354" s="3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1" t="n">
        <v>46373</v>
      </c>
      <c r="J355" s="3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1" t="n">
        <v>46374</v>
      </c>
      <c r="J356" s="3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1" t="n">
        <v>46375</v>
      </c>
      <c r="J357" s="3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1" t="n">
        <v>46376</v>
      </c>
      <c r="J358" s="3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1" t="n">
        <v>46377</v>
      </c>
      <c r="J359" s="3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1" t="n">
        <v>46378</v>
      </c>
      <c r="J360" s="3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1" t="n">
        <v>46379</v>
      </c>
      <c r="J361" s="3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1" t="n">
        <v>46380</v>
      </c>
      <c r="J362" s="3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1" t="n">
        <v>46381</v>
      </c>
      <c r="J363" s="3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1" t="n">
        <v>46382</v>
      </c>
      <c r="J364" s="3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1" t="n">
        <v>46383</v>
      </c>
      <c r="J365" s="3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1" t="n">
        <v>46384</v>
      </c>
      <c r="J366" s="3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1" t="n">
        <v>46385</v>
      </c>
      <c r="J367" s="3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1" t="n">
        <v>46386</v>
      </c>
      <c r="J368" s="3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1" t="n">
        <v>46387</v>
      </c>
      <c r="J369" s="3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1" t="n">
        <v>46388</v>
      </c>
      <c r="J370" s="3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1" t="n">
        <v>46389</v>
      </c>
      <c r="J371" s="3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1" t="n">
        <v>46390</v>
      </c>
      <c r="J372" s="3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1" t="n">
        <v>46391</v>
      </c>
      <c r="J373" s="3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1" t="n">
        <v>46392</v>
      </c>
      <c r="J374" s="3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1" t="n">
        <v>46393</v>
      </c>
      <c r="J375" s="3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1" t="n">
        <v>46394</v>
      </c>
      <c r="J376" s="3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1" t="n">
        <v>46395</v>
      </c>
      <c r="J377" s="3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1" t="n">
        <v>46396</v>
      </c>
      <c r="J378" s="3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1" t="n">
        <v>46397</v>
      </c>
      <c r="J379" s="3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1" t="n">
        <v>46398</v>
      </c>
      <c r="J380" s="3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1" t="n">
        <v>46399</v>
      </c>
      <c r="J381" s="3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1" t="n">
        <v>46400</v>
      </c>
      <c r="J382" s="3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1" t="n">
        <v>46401</v>
      </c>
      <c r="J383" s="3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1" t="n">
        <v>46402</v>
      </c>
      <c r="J384" s="3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1" t="n">
        <v>46403</v>
      </c>
      <c r="J385" s="3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1" t="n">
        <v>46404</v>
      </c>
      <c r="J386" s="3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1" t="n">
        <v>46405</v>
      </c>
      <c r="J387" s="3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1" t="n">
        <v>46406</v>
      </c>
      <c r="J388" s="3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1" t="n">
        <v>46407</v>
      </c>
      <c r="J389" s="3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1" t="n">
        <v>46408</v>
      </c>
      <c r="J390" s="3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1" t="n">
        <v>46409</v>
      </c>
      <c r="J391" s="3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1" t="n">
        <v>46410</v>
      </c>
      <c r="J392" s="3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1" t="n">
        <v>46411</v>
      </c>
      <c r="J393" s="3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1" t="n">
        <v>46412</v>
      </c>
      <c r="J394" s="3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1" t="n">
        <v>46413</v>
      </c>
      <c r="J395" s="3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1" t="n">
        <v>46414</v>
      </c>
      <c r="J396" s="3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1" t="n">
        <v>46415</v>
      </c>
      <c r="J397" s="3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1" t="n">
        <v>46416</v>
      </c>
      <c r="J398" s="3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1" t="n">
        <v>46417</v>
      </c>
      <c r="J399" s="3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1" t="n">
        <v>46418</v>
      </c>
      <c r="J400" s="3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1" t="n">
        <v>46419</v>
      </c>
      <c r="J401" s="3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1" t="n">
        <v>46420</v>
      </c>
      <c r="J402" s="3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1" t="n">
        <v>46421</v>
      </c>
      <c r="J403" s="3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1" t="n">
        <v>46422</v>
      </c>
      <c r="J404" s="3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1" t="n">
        <v>46423</v>
      </c>
      <c r="J405" s="3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1" t="n">
        <v>46424</v>
      </c>
      <c r="J406" s="3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1" t="n">
        <v>46425</v>
      </c>
      <c r="J407" s="3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1" t="n">
        <v>46426</v>
      </c>
      <c r="J408" s="3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1" t="n">
        <v>46427</v>
      </c>
      <c r="J409" s="3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1" t="n">
        <v>46428</v>
      </c>
      <c r="J410" s="3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1" t="n">
        <v>46429</v>
      </c>
      <c r="J411" s="3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1" t="n">
        <v>46430</v>
      </c>
      <c r="J412" s="3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1" t="n">
        <v>46431</v>
      </c>
      <c r="J413" s="3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1" t="n">
        <v>46432</v>
      </c>
      <c r="J414" s="3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1" t="n">
        <v>46433</v>
      </c>
      <c r="J415" s="3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1" t="n">
        <v>46434</v>
      </c>
      <c r="J416" s="3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1" t="n">
        <v>46435</v>
      </c>
      <c r="J417" s="3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1" t="n">
        <v>46436</v>
      </c>
      <c r="J418" s="3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1" t="n">
        <v>46437</v>
      </c>
      <c r="J419" s="3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1" t="n">
        <v>46438</v>
      </c>
      <c r="J420" s="3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1" t="n">
        <v>46439</v>
      </c>
      <c r="J421" s="3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1" t="n">
        <v>46440</v>
      </c>
      <c r="J422" s="3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1" t="n">
        <v>46441</v>
      </c>
      <c r="J423" s="3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1" t="n">
        <v>46442</v>
      </c>
      <c r="J424" s="3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1" t="n">
        <v>46443</v>
      </c>
      <c r="J425" s="3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1" t="n">
        <v>46444</v>
      </c>
      <c r="J426" s="3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1" t="n">
        <v>46445</v>
      </c>
      <c r="J427" s="3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1" t="n">
        <v>46446</v>
      </c>
      <c r="J428" s="3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1" t="n">
        <v>46447</v>
      </c>
      <c r="J429" s="3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1" t="n">
        <v>46448</v>
      </c>
      <c r="J430" s="3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1" t="n">
        <v>46449</v>
      </c>
      <c r="J431" s="3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1" t="n">
        <v>46450</v>
      </c>
      <c r="J432" s="3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1" t="n">
        <v>46451</v>
      </c>
      <c r="J433" s="3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1" t="n">
        <v>46452</v>
      </c>
      <c r="J434" s="3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1" t="n">
        <v>46453</v>
      </c>
      <c r="J435" s="3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1" t="n">
        <v>46454</v>
      </c>
      <c r="J436" s="3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1" t="n">
        <v>46455</v>
      </c>
      <c r="J437" s="3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1" t="n">
        <v>46456</v>
      </c>
      <c r="J438" s="3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1" t="n">
        <v>46457</v>
      </c>
      <c r="J439" s="3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1" t="n">
        <v>46458</v>
      </c>
      <c r="J440" s="3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1" t="n">
        <v>46459</v>
      </c>
      <c r="J441" s="3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1" t="n">
        <v>46460</v>
      </c>
      <c r="J442" s="3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1" t="n">
        <v>46461</v>
      </c>
      <c r="J443" s="3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1" t="n">
        <v>46462</v>
      </c>
      <c r="J444" s="3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1" t="n">
        <v>46463</v>
      </c>
      <c r="J445" s="3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1" t="n">
        <v>46464</v>
      </c>
      <c r="J446" s="3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1" t="n">
        <v>46465</v>
      </c>
      <c r="J447" s="3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1" t="n">
        <v>46466</v>
      </c>
      <c r="J448" s="3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1" t="n">
        <v>46467</v>
      </c>
      <c r="J449" s="3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1" t="n">
        <v>46468</v>
      </c>
      <c r="J450" s="3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1" t="n">
        <v>46469</v>
      </c>
      <c r="J451" s="3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1" t="n">
        <v>46470</v>
      </c>
      <c r="J452" s="3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1" t="n">
        <v>46471</v>
      </c>
      <c r="J453" s="3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1" t="n">
        <v>46472</v>
      </c>
      <c r="J454" s="3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1" t="n">
        <v>46473</v>
      </c>
      <c r="J455" s="3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1" t="n">
        <v>46474</v>
      </c>
      <c r="J456" s="3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1" t="n">
        <v>46475</v>
      </c>
      <c r="J457" s="3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1" t="n">
        <v>46476</v>
      </c>
      <c r="J458" s="3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1" t="n">
        <v>46477</v>
      </c>
      <c r="J459" s="3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1" t="n">
        <v>46478</v>
      </c>
      <c r="J460" s="3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1" t="n">
        <v>46479</v>
      </c>
      <c r="J461" s="3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1" t="n">
        <v>46480</v>
      </c>
      <c r="J462" s="3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1" t="n">
        <v>46481</v>
      </c>
      <c r="J463" s="3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1" t="n">
        <v>46482</v>
      </c>
      <c r="J464" s="3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1" t="n">
        <v>46483</v>
      </c>
      <c r="J465" s="3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1" t="n">
        <v>46484</v>
      </c>
      <c r="J466" s="3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1" t="n">
        <v>46485</v>
      </c>
      <c r="J467" s="3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1" t="n">
        <v>46486</v>
      </c>
      <c r="J468" s="3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1" t="n">
        <v>46487</v>
      </c>
      <c r="J469" s="3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1" t="n">
        <v>46488</v>
      </c>
      <c r="J470" s="3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1" t="n">
        <v>46489</v>
      </c>
      <c r="J471" s="3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1" t="n">
        <v>46490</v>
      </c>
      <c r="J472" s="3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1" t="n">
        <v>46491</v>
      </c>
      <c r="J473" s="3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1" t="n">
        <v>46492</v>
      </c>
      <c r="J474" s="3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1" t="n">
        <v>46493</v>
      </c>
      <c r="J475" s="3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1" t="n">
        <v>46494</v>
      </c>
      <c r="J476" s="3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1" t="n">
        <v>46495</v>
      </c>
      <c r="J477" s="3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1" t="n">
        <v>46496</v>
      </c>
      <c r="J478" s="3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1" t="n">
        <v>46497</v>
      </c>
      <c r="J479" s="3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1" t="n">
        <v>46498</v>
      </c>
      <c r="J480" s="3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1" t="n">
        <v>46499</v>
      </c>
      <c r="J481" s="3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1" t="n">
        <v>46500</v>
      </c>
      <c r="J482" s="3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1" t="n">
        <v>46501</v>
      </c>
      <c r="J483" s="3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1" t="n">
        <v>46502</v>
      </c>
      <c r="J484" s="3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1" t="n">
        <v>46503</v>
      </c>
      <c r="J485" s="3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1" t="n">
        <v>46504</v>
      </c>
      <c r="J486" s="3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1" t="n">
        <v>46505</v>
      </c>
      <c r="J487" s="3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1" t="n">
        <v>46506</v>
      </c>
      <c r="J488" s="3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1" t="n">
        <v>46507</v>
      </c>
      <c r="J489" s="3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1" t="n">
        <v>46508</v>
      </c>
      <c r="J490" s="3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1" t="n">
        <v>46509</v>
      </c>
      <c r="J491" s="3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1" t="n">
        <v>46510</v>
      </c>
      <c r="J492" s="3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1" t="n">
        <v>46511</v>
      </c>
      <c r="J493" s="3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1" t="n">
        <v>46512</v>
      </c>
      <c r="J494" s="3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1" t="n">
        <v>46513</v>
      </c>
      <c r="J495" s="3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1" t="n">
        <v>46514</v>
      </c>
      <c r="J496" s="3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1" t="n">
        <v>46515</v>
      </c>
      <c r="J497" s="3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1" t="n">
        <v>46516</v>
      </c>
      <c r="J498" s="3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1" t="n">
        <v>46517</v>
      </c>
      <c r="J499" s="3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1" t="n">
        <v>46518</v>
      </c>
      <c r="J500" s="3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1" t="n">
        <v>46519</v>
      </c>
      <c r="J501" s="3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1" t="n">
        <v>46520</v>
      </c>
      <c r="J502" s="3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1" t="n">
        <v>46521</v>
      </c>
      <c r="J503" s="3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1" t="n">
        <v>46522</v>
      </c>
      <c r="J504" s="3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1" t="n">
        <v>46523</v>
      </c>
      <c r="J505" s="3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1" t="n">
        <v>46524</v>
      </c>
      <c r="J506" s="3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1" t="n">
        <v>46525</v>
      </c>
      <c r="J507" s="3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1" t="n">
        <v>46526</v>
      </c>
      <c r="J508" s="3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1" t="n">
        <v>46527</v>
      </c>
      <c r="J509" s="3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1" t="n">
        <v>46528</v>
      </c>
      <c r="J510" s="3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1" t="n">
        <v>46529</v>
      </c>
      <c r="J511" s="3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1" t="n">
        <v>46530</v>
      </c>
      <c r="J512" s="3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1" t="n">
        <v>46531</v>
      </c>
      <c r="J513" s="3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1" t="n">
        <v>46532</v>
      </c>
      <c r="J514" s="3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1" t="n">
        <v>46533</v>
      </c>
      <c r="J515" s="3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1" t="n">
        <v>46534</v>
      </c>
      <c r="J516" s="3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1" t="n">
        <v>46535</v>
      </c>
      <c r="J517" s="3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1" t="n">
        <v>46536</v>
      </c>
      <c r="J518" s="3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1" t="n">
        <v>46537</v>
      </c>
      <c r="J519" s="3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1" t="n">
        <v>46538</v>
      </c>
      <c r="J520" s="3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1" t="n">
        <v>46539</v>
      </c>
      <c r="J521" s="3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1" t="n">
        <v>46540</v>
      </c>
      <c r="J522" s="3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1" t="n">
        <v>46541</v>
      </c>
      <c r="J523" s="3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1" t="n">
        <v>46542</v>
      </c>
      <c r="J524" s="3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1" t="n">
        <v>46543</v>
      </c>
      <c r="J525" s="3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1" t="n">
        <v>46544</v>
      </c>
      <c r="J526" s="3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1" t="n">
        <v>46545</v>
      </c>
      <c r="J527" s="3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1" t="n">
        <v>46546</v>
      </c>
      <c r="J528" s="3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1" t="n">
        <v>46547</v>
      </c>
      <c r="J529" s="3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1" t="n">
        <v>46548</v>
      </c>
      <c r="J530" s="3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1" t="n">
        <v>46549</v>
      </c>
      <c r="J531" s="3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1" t="n">
        <v>46550</v>
      </c>
      <c r="J532" s="3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1" t="n">
        <v>46551</v>
      </c>
      <c r="J533" s="3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1" t="n">
        <v>46552</v>
      </c>
      <c r="J534" s="3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1" t="n">
        <v>46553</v>
      </c>
      <c r="J535" s="3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1" t="n">
        <v>46554</v>
      </c>
      <c r="J536" s="3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1" t="n">
        <v>46555</v>
      </c>
      <c r="J537" s="3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1" t="n">
        <v>46556</v>
      </c>
      <c r="J538" s="3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1" t="n">
        <v>46557</v>
      </c>
      <c r="J539" s="3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1" t="n">
        <v>46558</v>
      </c>
      <c r="J540" s="3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1" t="n">
        <v>46559</v>
      </c>
      <c r="J541" s="3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1" t="n">
        <v>46560</v>
      </c>
      <c r="J542" s="3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1" t="n">
        <v>46561</v>
      </c>
      <c r="J543" s="3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1" t="n">
        <v>46562</v>
      </c>
      <c r="J544" s="3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1" t="n">
        <v>46563</v>
      </c>
      <c r="J545" s="3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1" t="n">
        <v>46564</v>
      </c>
      <c r="J546" s="3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1" t="n">
        <v>46565</v>
      </c>
      <c r="J547" s="3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1" t="n">
        <v>46566</v>
      </c>
      <c r="J548" s="3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1" t="n">
        <v>46567</v>
      </c>
      <c r="J549" s="3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1" t="n">
        <v>46568</v>
      </c>
      <c r="J550" s="3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1" t="n">
        <v>46569</v>
      </c>
      <c r="J551" s="3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1" t="n">
        <v>46570</v>
      </c>
      <c r="J552" s="3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1" t="n">
        <v>46571</v>
      </c>
      <c r="J553" s="3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1" t="n">
        <v>46572</v>
      </c>
      <c r="J554" s="3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1" t="n">
        <v>46573</v>
      </c>
      <c r="J555" s="3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1" t="n">
        <v>46574</v>
      </c>
      <c r="J556" s="3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1" t="n">
        <v>46575</v>
      </c>
      <c r="J557" s="3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1" t="n">
        <v>46576</v>
      </c>
      <c r="J558" s="3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1" t="n">
        <v>46577</v>
      </c>
      <c r="J559" s="3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1" t="n">
        <v>46578</v>
      </c>
      <c r="J560" s="3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1" t="n">
        <v>46579</v>
      </c>
      <c r="J561" s="3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1" t="n">
        <v>46580</v>
      </c>
      <c r="J562" s="3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1" t="n">
        <v>46581</v>
      </c>
      <c r="J563" s="3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1" t="n">
        <v>46582</v>
      </c>
      <c r="J564" s="3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1" t="n">
        <v>46583</v>
      </c>
      <c r="J565" s="3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1" t="n">
        <v>46584</v>
      </c>
      <c r="J566" s="3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1" t="n">
        <v>46585</v>
      </c>
      <c r="J567" s="3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1" t="n">
        <v>46586</v>
      </c>
      <c r="J568" s="3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1" t="n">
        <v>46587</v>
      </c>
      <c r="J569" s="3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1" t="n">
        <v>46588</v>
      </c>
      <c r="J570" s="3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1" t="n">
        <v>46589</v>
      </c>
      <c r="J571" s="3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1" t="n">
        <v>46590</v>
      </c>
      <c r="J572" s="3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1" t="n">
        <v>46591</v>
      </c>
      <c r="J573" s="3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1" t="n">
        <v>46592</v>
      </c>
      <c r="J574" s="3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1" t="n">
        <v>46593</v>
      </c>
      <c r="J575" s="3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1" t="n">
        <v>46594</v>
      </c>
      <c r="J576" s="3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1" t="n">
        <v>46595</v>
      </c>
      <c r="J577" s="3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1" t="n">
        <v>46596</v>
      </c>
      <c r="J578" s="3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1" t="n">
        <v>46597</v>
      </c>
      <c r="J579" s="3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1" t="n">
        <v>46598</v>
      </c>
      <c r="J580" s="3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1" t="n">
        <v>46599</v>
      </c>
      <c r="J581" s="3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1" t="n">
        <v>46600</v>
      </c>
      <c r="J582" s="3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1" t="n">
        <v>46601</v>
      </c>
      <c r="J583" s="3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1" t="n">
        <v>46602</v>
      </c>
      <c r="J584" s="3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1" t="n">
        <v>46603</v>
      </c>
      <c r="J585" s="3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1" t="n">
        <v>46604</v>
      </c>
      <c r="J586" s="3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1" t="n">
        <v>46605</v>
      </c>
      <c r="J587" s="3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1" t="n">
        <v>46606</v>
      </c>
      <c r="J588" s="3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1" t="n">
        <v>46607</v>
      </c>
      <c r="J589" s="3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1" t="n">
        <v>46608</v>
      </c>
      <c r="J590" s="3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1" t="n">
        <v>46609</v>
      </c>
      <c r="J591" s="3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1" t="n">
        <v>46610</v>
      </c>
      <c r="J592" s="3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1" t="n">
        <v>46611</v>
      </c>
      <c r="J593" s="3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1" t="n">
        <v>46612</v>
      </c>
      <c r="J594" s="3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1" t="n">
        <v>46613</v>
      </c>
      <c r="J595" s="3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1" t="n">
        <v>46614</v>
      </c>
      <c r="J596" s="3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1" t="n">
        <v>46615</v>
      </c>
      <c r="J597" s="3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1" t="n">
        <v>46616</v>
      </c>
      <c r="J598" s="3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1" t="n">
        <v>46617</v>
      </c>
      <c r="J599" s="3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1" t="n">
        <v>46618</v>
      </c>
      <c r="J600" s="3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1" t="n">
        <v>46619</v>
      </c>
      <c r="J601" s="3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1" t="n">
        <v>46620</v>
      </c>
      <c r="J602" s="3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1" t="n">
        <v>46621</v>
      </c>
      <c r="J603" s="3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1" t="n">
        <v>46622</v>
      </c>
      <c r="J604" s="3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1" t="n">
        <v>46623</v>
      </c>
      <c r="J605" s="3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1" t="n">
        <v>46624</v>
      </c>
      <c r="J606" s="3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1" t="n">
        <v>46625</v>
      </c>
      <c r="J607" s="3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1" t="n">
        <v>46626</v>
      </c>
      <c r="J608" s="3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1" t="n">
        <v>46627</v>
      </c>
      <c r="J609" s="3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1" t="n">
        <v>46628</v>
      </c>
      <c r="J610" s="3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1" t="n">
        <v>46629</v>
      </c>
      <c r="J611" s="3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1" t="n">
        <v>46630</v>
      </c>
      <c r="J612" s="3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1" t="n">
        <v>46631</v>
      </c>
      <c r="J613" s="3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1" t="n">
        <v>46632</v>
      </c>
      <c r="J614" s="3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1" t="n">
        <v>46633</v>
      </c>
      <c r="J615" s="3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1" t="n">
        <v>46634</v>
      </c>
      <c r="J616" s="3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1" t="n">
        <v>46635</v>
      </c>
      <c r="J617" s="3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1" t="n">
        <v>46636</v>
      </c>
      <c r="J618" s="3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1" t="n">
        <v>46637</v>
      </c>
      <c r="J619" s="3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1" t="n">
        <v>46638</v>
      </c>
      <c r="J620" s="3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1" t="n">
        <v>46639</v>
      </c>
      <c r="J621" s="3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1" t="n">
        <v>46640</v>
      </c>
      <c r="J622" s="3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1" t="n">
        <v>46641</v>
      </c>
      <c r="J623" s="3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1" t="n">
        <v>46642</v>
      </c>
      <c r="J624" s="3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1" t="n">
        <v>46643</v>
      </c>
      <c r="J625" s="3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1" t="n">
        <v>46644</v>
      </c>
      <c r="J626" s="3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1" t="n">
        <v>46645</v>
      </c>
      <c r="J627" s="3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1" t="n">
        <v>46646</v>
      </c>
      <c r="J628" s="3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1" t="n">
        <v>46647</v>
      </c>
      <c r="J629" s="3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1" t="n">
        <v>46648</v>
      </c>
      <c r="J630" s="3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1" t="n">
        <v>46649</v>
      </c>
      <c r="J631" s="3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1" t="n">
        <v>46650</v>
      </c>
      <c r="J632" s="3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1" t="n">
        <v>46651</v>
      </c>
      <c r="J633" s="3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1" t="n">
        <v>46652</v>
      </c>
      <c r="J634" s="3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1" t="n">
        <v>46653</v>
      </c>
      <c r="J635" s="3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1" t="n">
        <v>46654</v>
      </c>
      <c r="J636" s="3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1" t="n">
        <v>46655</v>
      </c>
      <c r="J637" s="3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1" t="n">
        <v>46656</v>
      </c>
      <c r="J638" s="3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1" t="n">
        <v>46657</v>
      </c>
      <c r="J639" s="3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1" t="n">
        <v>46658</v>
      </c>
      <c r="J640" s="3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1" t="n">
        <v>46659</v>
      </c>
      <c r="J641" s="3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1" t="n">
        <v>46660</v>
      </c>
      <c r="J642" s="3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1" t="n">
        <v>46661</v>
      </c>
      <c r="J643" s="3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1" t="n">
        <v>46662</v>
      </c>
      <c r="J644" s="3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1" t="n">
        <v>46663</v>
      </c>
      <c r="J645" s="3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1" t="n">
        <v>46664</v>
      </c>
      <c r="J646" s="3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1" t="n">
        <v>46665</v>
      </c>
      <c r="J647" s="3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1" t="n">
        <v>46666</v>
      </c>
      <c r="J648" s="3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1" t="n">
        <v>46667</v>
      </c>
      <c r="J649" s="3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1" t="n">
        <v>46668</v>
      </c>
      <c r="J650" s="3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1" t="n">
        <v>46669</v>
      </c>
      <c r="J651" s="3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1" t="n">
        <v>46670</v>
      </c>
      <c r="J652" s="3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1" t="n">
        <v>46671</v>
      </c>
      <c r="J653" s="3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1" t="n">
        <v>46672</v>
      </c>
      <c r="J654" s="3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1" t="n">
        <v>46673</v>
      </c>
      <c r="J655" s="3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1" t="n">
        <v>46674</v>
      </c>
      <c r="J656" s="3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1" t="n">
        <v>46675</v>
      </c>
      <c r="J657" s="3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1" t="n">
        <v>46676</v>
      </c>
      <c r="J658" s="3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1" t="n">
        <v>46677</v>
      </c>
      <c r="J659" s="3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1" t="n">
        <v>46678</v>
      </c>
      <c r="J660" s="3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1" t="n">
        <v>46679</v>
      </c>
      <c r="J661" s="3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1" t="n">
        <v>46680</v>
      </c>
      <c r="J662" s="3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1" t="n">
        <v>46681</v>
      </c>
      <c r="J663" s="3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1" t="n">
        <v>46682</v>
      </c>
      <c r="J664" s="3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1" t="n">
        <v>46683</v>
      </c>
      <c r="J665" s="3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1" t="n">
        <v>46684</v>
      </c>
      <c r="J666" s="3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1" t="n">
        <v>46685</v>
      </c>
      <c r="J667" s="3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1" t="n">
        <v>46686</v>
      </c>
      <c r="J668" s="3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1" t="n">
        <v>46687</v>
      </c>
      <c r="J669" s="3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1" t="n">
        <v>46688</v>
      </c>
      <c r="J670" s="3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1" t="n">
        <v>46689</v>
      </c>
      <c r="J671" s="3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1" t="n">
        <v>46690</v>
      </c>
      <c r="J672" s="3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1" t="n">
        <v>46691</v>
      </c>
      <c r="J673" s="3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1" t="n">
        <v>46692</v>
      </c>
      <c r="J674" s="3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1" t="n">
        <v>46693</v>
      </c>
      <c r="J675" s="3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1" t="n">
        <v>46694</v>
      </c>
      <c r="J676" s="3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1" t="n">
        <v>46695</v>
      </c>
      <c r="J677" s="3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1" t="n">
        <v>46696</v>
      </c>
      <c r="J678" s="3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1" t="n">
        <v>46697</v>
      </c>
      <c r="J679" s="3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1" t="n">
        <v>46698</v>
      </c>
      <c r="J680" s="3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1" t="n">
        <v>46699</v>
      </c>
      <c r="J681" s="3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1" t="n">
        <v>46700</v>
      </c>
      <c r="J682" s="3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1" t="n">
        <v>46701</v>
      </c>
      <c r="J683" s="3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1" t="n">
        <v>46702</v>
      </c>
      <c r="J684" s="3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1" t="n">
        <v>46703</v>
      </c>
      <c r="J685" s="3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1" t="n">
        <v>46704</v>
      </c>
      <c r="J686" s="3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1" t="n">
        <v>46705</v>
      </c>
      <c r="J687" s="3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1" t="n">
        <v>46706</v>
      </c>
      <c r="J688" s="3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1" t="n">
        <v>46707</v>
      </c>
      <c r="J689" s="3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1" t="n">
        <v>46708</v>
      </c>
      <c r="J690" s="3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1" t="n">
        <v>46709</v>
      </c>
      <c r="J691" s="3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1" t="n">
        <v>46710</v>
      </c>
      <c r="J692" s="3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1" t="n">
        <v>46711</v>
      </c>
      <c r="J693" s="3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1" t="n">
        <v>46712</v>
      </c>
      <c r="J694" s="3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1" t="n">
        <v>46713</v>
      </c>
      <c r="J695" s="3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1" t="n">
        <v>46714</v>
      </c>
      <c r="J696" s="3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1" t="n">
        <v>46715</v>
      </c>
      <c r="J697" s="3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1" t="n">
        <v>46716</v>
      </c>
      <c r="J698" s="3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1" t="n">
        <v>46717</v>
      </c>
      <c r="J699" s="3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1" t="n">
        <v>46718</v>
      </c>
      <c r="J700" s="3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1" t="n">
        <v>46719</v>
      </c>
      <c r="J701" s="3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1" t="n">
        <v>46720</v>
      </c>
      <c r="J702" s="3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1" t="n">
        <v>46721</v>
      </c>
      <c r="J703" s="3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1" t="n">
        <v>46722</v>
      </c>
      <c r="J704" s="3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1" t="n">
        <v>46723</v>
      </c>
      <c r="J705" s="3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1" t="n">
        <v>46724</v>
      </c>
      <c r="J706" s="3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1" t="n">
        <v>46725</v>
      </c>
      <c r="J707" s="3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1" t="n">
        <v>46726</v>
      </c>
      <c r="J708" s="3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1" t="n">
        <v>46727</v>
      </c>
      <c r="J709" s="3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1" t="n">
        <v>46728</v>
      </c>
      <c r="J710" s="3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1" t="n">
        <v>46729</v>
      </c>
      <c r="J711" s="3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1" t="n">
        <v>46730</v>
      </c>
      <c r="J712" s="3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1" t="n">
        <v>46731</v>
      </c>
      <c r="J713" s="3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1" t="n">
        <v>46732</v>
      </c>
      <c r="J714" s="3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1" t="n">
        <v>46733</v>
      </c>
      <c r="J715" s="3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1" t="n">
        <v>46734</v>
      </c>
      <c r="J716" s="3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1" t="n">
        <v>46735</v>
      </c>
      <c r="J717" s="3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1" t="n">
        <v>46736</v>
      </c>
      <c r="J718" s="3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1" t="n">
        <v>46737</v>
      </c>
      <c r="J719" s="3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1" t="n">
        <v>46738</v>
      </c>
      <c r="J720" s="3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1" t="n">
        <v>46739</v>
      </c>
      <c r="J721" s="3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1" t="n">
        <v>46740</v>
      </c>
      <c r="J722" s="3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1" t="n">
        <v>46741</v>
      </c>
      <c r="J723" s="3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1" t="n">
        <v>46742</v>
      </c>
      <c r="J724" s="3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1" t="n">
        <v>46743</v>
      </c>
      <c r="J725" s="3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1" t="n">
        <v>46744</v>
      </c>
      <c r="J726" s="3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1" t="n">
        <v>46745</v>
      </c>
      <c r="J727" s="3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1" t="n">
        <v>46746</v>
      </c>
      <c r="J728" s="3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1" t="n">
        <v>46747</v>
      </c>
      <c r="J729" s="3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1" t="n">
        <v>46748</v>
      </c>
      <c r="J730" s="3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1" t="n">
        <v>46749</v>
      </c>
      <c r="J731" s="3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1" t="n">
        <v>46750</v>
      </c>
      <c r="J732" s="3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1" t="n">
        <v>46751</v>
      </c>
      <c r="J733" s="3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1" t="n">
        <v>46752</v>
      </c>
      <c r="J734" s="3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1" t="n">
        <v>46753</v>
      </c>
      <c r="J735" s="3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1" t="n">
        <v>46754</v>
      </c>
      <c r="J736" s="3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1" t="n">
        <v>46755</v>
      </c>
      <c r="J737" s="3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1" t="n">
        <v>46756</v>
      </c>
      <c r="J738" s="3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1" t="n">
        <v>46757</v>
      </c>
      <c r="J739" s="3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1" t="n">
        <v>46758</v>
      </c>
      <c r="J740" s="3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1" t="n">
        <v>46759</v>
      </c>
      <c r="J741" s="3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1" t="n">
        <v>46760</v>
      </c>
      <c r="J742" s="3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1" t="n">
        <v>46761</v>
      </c>
      <c r="J743" s="3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1" t="n">
        <v>46762</v>
      </c>
      <c r="J744" s="3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1" t="n">
        <v>46763</v>
      </c>
      <c r="J745" s="3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1" t="n">
        <v>46764</v>
      </c>
      <c r="J746" s="3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1" t="n">
        <v>46765</v>
      </c>
      <c r="J747" s="3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1" t="n">
        <v>46766</v>
      </c>
      <c r="J748" s="3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1" t="n">
        <v>46767</v>
      </c>
      <c r="J749" s="3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1" t="n">
        <v>46768</v>
      </c>
      <c r="J750" s="3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1" t="n">
        <v>46769</v>
      </c>
      <c r="J751" s="3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1" t="n">
        <v>46770</v>
      </c>
      <c r="J752" s="3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1" t="n">
        <v>46771</v>
      </c>
      <c r="J753" s="3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1" t="n">
        <v>46772</v>
      </c>
      <c r="J754" s="3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1" t="n">
        <v>46773</v>
      </c>
      <c r="J755" s="3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1" t="n">
        <v>46774</v>
      </c>
      <c r="J756" s="3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1" t="n">
        <v>46775</v>
      </c>
      <c r="J757" s="3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1" t="n">
        <v>46776</v>
      </c>
      <c r="J758" s="3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1" t="n">
        <v>46777</v>
      </c>
      <c r="J759" s="3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1" t="n">
        <v>46778</v>
      </c>
      <c r="J760" s="3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1" t="n">
        <v>46779</v>
      </c>
      <c r="J761" s="3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1" t="n">
        <v>46780</v>
      </c>
      <c r="J762" s="3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1" t="n">
        <v>46781</v>
      </c>
      <c r="J763" s="3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1" t="n">
        <v>46782</v>
      </c>
      <c r="J764" s="3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IF(N7="","",IF(N7+7&gt;MAX(tblOrdenes[fecha_inicio]),"",N7+7))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IF(N8="","",IF(N8+7&gt;MAX(tblOrdenes[fecha_inicio]),"",N8+7))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MEC</t>
        </is>
      </c>
      <c r="B139" s="3">
        <f>$O$31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ELE</t>
        </is>
      </c>
      <c r="B140" s="3">
        <f>$O$31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AUT</t>
        </is>
      </c>
      <c r="B141" s="3">
        <f>$O$31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OP</t>
        </is>
      </c>
      <c r="B142" s="3">
        <f>$O$31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$O$31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$O$32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$O$32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$O$32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OP</t>
        </is>
      </c>
      <c r="B147" s="3">
        <f>$O$32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>
      <c r="A148" s="3" t="inlineStr">
        <is>
          <t>TERCERO</t>
        </is>
      </c>
      <c r="B148" s="3">
        <f>$O$32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SUMIFS(tblAsignaciones[horas_disponibles],tblAsignaciones[especialidad],$A244,tblAsignaciones[semana],$B244)</f>
        <v/>
      </c>
      <c r="D244" s="17">
        <f>C244*p_factor_productividad</f>
        <v/>
      </c>
      <c r="E244" s="17">
        <f>SUMIFS(tblOrdenes[horas_efectivas],tblOrdenes[especialidad],$A244,tblOrdenes[semana],$B244,tblOrdenes[clasificacion],"preventiva")</f>
        <v/>
      </c>
      <c r="F244" s="17">
        <f>SUMIFS(tblOrdenes[horas_efectivas],tblOrdenes[especialidad],$A244,tblOrdenes[semana],$B244,tblOrdenes[clasificacion],"correctiva")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SUMIFS(tblAsignaciones[horas_disponibles],tblAsignaciones[especialidad],$A245,tblAsignaciones[semana],$B245)</f>
        <v/>
      </c>
      <c r="D245" s="17">
        <f>C245*p_factor_productividad</f>
        <v/>
      </c>
      <c r="E245" s="17">
        <f>SUMIFS(tblOrdenes[horas_efectivas],tblOrdenes[especialidad],$A245,tblOrdenes[semana],$B245,tblOrdenes[clasificacion],"preventiva")</f>
        <v/>
      </c>
      <c r="F245" s="17">
        <f>SUMIFS(tblOrdenes[horas_efectivas],tblOrdenes[especialidad],$A245,tblOrdenes[semana],$B245,tblOrdenes[clasificacion],"correctiva")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SUMIFS(tblAsignaciones[horas_disponibles],tblAsignaciones[especialidad],$A246,tblAsignaciones[semana],$B246)</f>
        <v/>
      </c>
      <c r="D246" s="17">
        <f>C246*p_factor_productividad</f>
        <v/>
      </c>
      <c r="E246" s="17">
        <f>SUMIFS(tblOrdenes[horas_efectivas],tblOrdenes[especialidad],$A246,tblOrdenes[semana],$B246,tblOrdenes[clasificacion],"preventiva")</f>
        <v/>
      </c>
      <c r="F246" s="17">
        <f>SUMIFS(tblOrdenes[horas_efectivas],tblOrdenes[especialidad],$A246,tblOrdenes[semana],$B246,tblOrdenes[clasificacion],"correctiva")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SUMIFS(tblAsignaciones[horas_disponibles],tblAsignaciones[especialidad],$A247,tblAsignaciones[semana],$B247)</f>
        <v/>
      </c>
      <c r="D247" s="17">
        <f>C247*p_factor_productividad</f>
        <v/>
      </c>
      <c r="E247" s="17">
        <f>SUMIFS(tblOrdenes[horas_efectivas],tblOrdenes[especialidad],$A247,tblOrdenes[semana],$B247,tblOrdenes[clasificacion],"preventiva")</f>
        <v/>
      </c>
      <c r="F247" s="17">
        <f>SUMIFS(tblOrdenes[horas_efectivas],tblOrdenes[especialidad],$A247,tblOrdenes[semana],$B247,tblOrdenes[clasificacion],"correctiva")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SUMIFS(tblAsignaciones[horas_disponibles],tblAsignaciones[especialidad],$A248,tblAsignaciones[semana],$B248)</f>
        <v/>
      </c>
      <c r="D248" s="17">
        <f>C248*p_factor_productividad</f>
        <v/>
      </c>
      <c r="E248" s="17">
        <f>SUMIFS(tblOrdenes[horas_efectivas],tblOrdenes[especialidad],$A248,tblOrdenes[semana],$B248,tblOrdenes[clasificacion],"preventiva")</f>
        <v/>
      </c>
      <c r="F248" s="17">
        <f>SUMIFS(tblOrdenes[horas_efectivas],tblOrdenes[especialidad],$A248,tblOrdenes[semana],$B248,tblOrdenes[clasificacion],"correctiva")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SUMIFS(tblAsignaciones[horas_disponibles],tblAsignaciones[especialidad],$A249,tblAsignaciones[semana],$B249)</f>
        <v/>
      </c>
      <c r="D249" s="17">
        <f>C249*p_factor_productividad</f>
        <v/>
      </c>
      <c r="E249" s="17">
        <f>SUMIFS(tblOrdenes[horas_efectivas],tblOrdenes[especialidad],$A249,tblOrdenes[semana],$B249,tblOrdenes[clasificacion],"preventiva")</f>
        <v/>
      </c>
      <c r="F249" s="17">
        <f>SUMIFS(tblOrdenes[horas_efectivas],tblOrdenes[especialidad],$A249,tblOrdenes[semana],$B249,tblOrdenes[clasificacion],"correctiva")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SUMIFS(tblAsignaciones[horas_disponibles],tblAsignaciones[especialidad],$A250,tblAsignaciones[semana],$B250)</f>
        <v/>
      </c>
      <c r="D250" s="17">
        <f>C250*p_factor_productividad</f>
        <v/>
      </c>
      <c r="E250" s="17">
        <f>SUMIFS(tblOrdenes[horas_efectivas],tblOrdenes[especialidad],$A250,tblOrdenes[semana],$B250,tblOrdenes[clasificacion],"preventiva")</f>
        <v/>
      </c>
      <c r="F250" s="17">
        <f>SUMIFS(tblOrdenes[horas_efectivas],tblOrdenes[especialidad],$A250,tblOrdenes[semana],$B250,tblOrdenes[clasificacion],"correctiva")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SUMIFS(tblAsignaciones[horas_disponibles],tblAsignaciones[especialidad],$A251,tblAsignaciones[semana],$B251)</f>
        <v/>
      </c>
      <c r="D251" s="17">
        <f>C251*p_factor_productividad</f>
        <v/>
      </c>
      <c r="E251" s="17">
        <f>SUMIFS(tblOrdenes[horas_efectivas],tblOrdenes[especialidad],$A251,tblOrdenes[semana],$B251,tblOrdenes[clasificacion],"preventiva")</f>
        <v/>
      </c>
      <c r="F251" s="17">
        <f>SUMIFS(tblOrdenes[horas_efectivas],tblOrdenes[especialidad],$A251,tblOrdenes[semana],$B251,tblOrdenes[clasificacion],"correctiva")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SUMIFS(tblAsignaciones[horas_disponibles],tblAsignaciones[especialidad],$A252,tblAsignaciones[semana],$B252)</f>
        <v/>
      </c>
      <c r="D252" s="17">
        <f>C252*p_factor_productividad</f>
        <v/>
      </c>
      <c r="E252" s="17">
        <f>SUMIFS(tblOrdenes[horas_efectivas],tblOrdenes[especialidad],$A252,tblOrdenes[semana],$B252,tblOrdenes[clasificacion],"preventiva")</f>
        <v/>
      </c>
      <c r="F252" s="17">
        <f>SUMIFS(tblOrdenes[horas_efectivas],tblOrdenes[especialidad],$A252,tblOrdenes[semana],$B252,tblOrdenes[clasificacion],"correctiva")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SUMIFS(tblAsignaciones[horas_disponibles],tblAsignaciones[especialidad],$A253,tblAsignaciones[semana],$B253)</f>
        <v/>
      </c>
      <c r="D253" s="17">
        <f>C253*p_factor_productividad</f>
        <v/>
      </c>
      <c r="E253" s="17">
        <f>SUMIFS(tblOrdenes[horas_efectivas],tblOrdenes[especialidad],$A253,tblOrdenes[semana],$B253,tblOrdenes[clasificacion],"preventiva")</f>
        <v/>
      </c>
      <c r="F253" s="17">
        <f>SUMIFS(tblOrdenes[horas_efectivas],tblOrdenes[especialidad],$A253,tblOrdenes[semana],$B253,tblOrdenes[clasificacion],"correctiva")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SUMIFS(tblAsignaciones[horas_disponibles],tblAsignaciones[especialidad],$A254,tblAsignaciones[semana],$B254)</f>
        <v/>
      </c>
      <c r="D254" s="17">
        <f>C254*p_factor_productividad</f>
        <v/>
      </c>
      <c r="E254" s="17">
        <f>SUMIFS(tblOrdenes[horas_efectivas],tblOrdenes[especialidad],$A254,tblOrdenes[semana],$B254,tblOrdenes[clasificacion],"preventiva")</f>
        <v/>
      </c>
      <c r="F254" s="17">
        <f>SUMIFS(tblOrdenes[horas_efectivas],tblOrdenes[especialidad],$A254,tblOrdenes[semana],$B254,tblOrdenes[clasificacion],"correctiva")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SUMIFS(tblAsignaciones[horas_disponibles],tblAsignaciones[especialidad],$A255,tblAsignaciones[semana],$B255)</f>
        <v/>
      </c>
      <c r="D255" s="17">
        <f>C255*p_factor_productividad</f>
        <v/>
      </c>
      <c r="E255" s="17">
        <f>SUMIFS(tblOrdenes[horas_efectivas],tblOrdenes[especialidad],$A255,tblOrdenes[semana],$B255,tblOrdenes[clasificacion],"preventiva")</f>
        <v/>
      </c>
      <c r="F255" s="17">
        <f>SUMIFS(tblOrdenes[horas_efectivas],tblOrdenes[especialidad],$A255,tblOrdenes[semana],$B255,tblOrdenes[clasificacion],"correctiva")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SUMIFS(tblAsignaciones[horas_disponibles],tblAsignaciones[especialidad],$A256,tblAsignaciones[semana],$B256)</f>
        <v/>
      </c>
      <c r="D256" s="17">
        <f>C256*p_factor_productividad</f>
        <v/>
      </c>
      <c r="E256" s="17">
        <f>SUMIFS(tblOrdenes[horas_efectivas],tblOrdenes[especialidad],$A256,tblOrdenes[semana],$B256,tblOrdenes[clasificacion],"preventiva")</f>
        <v/>
      </c>
      <c r="F256" s="17">
        <f>SUMIFS(tblOrdenes[horas_efectivas],tblOrdenes[especialidad],$A256,tblOrdenes[semana],$B256,tblOrdenes[clasificacion],"correctiva")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SUMIFS(tblAsignaciones[horas_disponibles],tblAsignaciones[especialidad],$A257,tblAsignaciones[semana],$B257)</f>
        <v/>
      </c>
      <c r="D257" s="17">
        <f>C257*p_factor_productividad</f>
        <v/>
      </c>
      <c r="E257" s="17">
        <f>SUMIFS(tblOrdenes[horas_efectivas],tblOrdenes[especialidad],$A257,tblOrdenes[semana],$B257,tblOrdenes[clasificacion],"preventiva")</f>
        <v/>
      </c>
      <c r="F257" s="17">
        <f>SUMIFS(tblOrdenes[horas_efectivas],tblOrdenes[especialidad],$A257,tblOrdenes[semana],$B257,tblOrdenes[clasificacion],"correctiva")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SUMIFS(tblAsignaciones[horas_disponibles],tblAsignaciones[especialidad],$A258,tblAsignaciones[semana],$B258)</f>
        <v/>
      </c>
      <c r="D258" s="17">
        <f>C258*p_factor_productividad</f>
        <v/>
      </c>
      <c r="E258" s="17">
        <f>SUMIFS(tblOrdenes[horas_efectivas],tblOrdenes[especialidad],$A258,tblOrdenes[semana],$B258,tblOrdenes[clasificacion],"preventiva")</f>
        <v/>
      </c>
      <c r="F258" s="17">
        <f>SUMIFS(tblOrdenes[horas_efectivas],tblOrdenes[especialidad],$A258,tblOrdenes[semana],$B258,tblOrdenes[clasificacion],"correctiva")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SUMIFS(tblAsignaciones[horas_disponibles],tblAsignaciones[especialidad],$A259,tblAsignaciones[semana],$B259)</f>
        <v/>
      </c>
      <c r="D259" s="17">
        <f>C259*p_factor_productividad</f>
        <v/>
      </c>
      <c r="E259" s="17">
        <f>SUMIFS(tblOrdenes[horas_efectivas],tblOrdenes[especialidad],$A259,tblOrdenes[semana],$B259,tblOrdenes[clasificacion],"preventiva")</f>
        <v/>
      </c>
      <c r="F259" s="17">
        <f>SUMIFS(tblOrdenes[horas_efectivas],tblOrdenes[especialidad],$A259,tblOrdenes[semana],$B259,tblOrdenes[clasificacion],"correctiva")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SUMIFS(tblAsignaciones[horas_disponibles],tblAsignaciones[especialidad],$A260,tblAsignaciones[semana],$B260)</f>
        <v/>
      </c>
      <c r="D260" s="17">
        <f>C260*p_factor_productividad</f>
        <v/>
      </c>
      <c r="E260" s="17">
        <f>SUMIFS(tblOrdenes[horas_efectivas],tblOrdenes[especialidad],$A260,tblOrdenes[semana],$B260,tblOrdenes[clasificacion],"preventiva")</f>
        <v/>
      </c>
      <c r="F260" s="17">
        <f>SUMIFS(tblOrdenes[horas_efectivas],tblOrdenes[especialidad],$A260,tblOrdenes[semana],$B260,tblOrdenes[clasificacion],"correctiva")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SUMIFS(tblAsignaciones[horas_disponibles],tblAsignaciones[especialidad],$A261,tblAsignaciones[semana],$B261)</f>
        <v/>
      </c>
      <c r="D261" s="17">
        <f>C261*p_factor_productividad</f>
        <v/>
      </c>
      <c r="E261" s="17">
        <f>SUMIFS(tblOrdenes[horas_efectivas],tblOrdenes[especialidad],$A261,tblOrdenes[semana],$B261,tblOrdenes[clasificacion],"preventiva")</f>
        <v/>
      </c>
      <c r="F261" s="17">
        <f>SUMIFS(tblOrdenes[horas_efectivas],tblOrdenes[especialidad],$A261,tblOrdenes[semana],$B261,tblOrdenes[clasificacion],"correctiva")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SUMIFS(tblAsignaciones[horas_disponibles],tblAsignaciones[especialidad],$A262,tblAsignaciones[semana],$B262)</f>
        <v/>
      </c>
      <c r="D262" s="17">
        <f>C262*p_factor_productividad</f>
        <v/>
      </c>
      <c r="E262" s="17">
        <f>SUMIFS(tblOrdenes[horas_efectivas],tblOrdenes[especialidad],$A262,tblOrdenes[semana],$B262,tblOrdenes[clasificacion],"preventiva")</f>
        <v/>
      </c>
      <c r="F262" s="17">
        <f>SUMIFS(tblOrdenes[horas_efectivas],tblOrdenes[especialidad],$A262,tblOrdenes[semana],$B262,tblOrdenes[clasificacion],"correctiva")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SUMIFS(tblAsignaciones[horas_disponibles],tblAsignaciones[especialidad],$A263,tblAsignaciones[semana],$B263)</f>
        <v/>
      </c>
      <c r="D263" s="17">
        <f>C263*p_factor_productividad</f>
        <v/>
      </c>
      <c r="E263" s="17">
        <f>SUMIFS(tblOrdenes[horas_efectivas],tblOrdenes[especialidad],$A263,tblOrdenes[semana],$B263,tblOrdenes[clasificacion],"preventiva")</f>
        <v/>
      </c>
      <c r="F263" s="17">
        <f>SUMIFS(tblOrdenes[horas_efectivas],tblOrdenes[especialidad],$A263,tblOrdenes[semana],$B263,tblOrdenes[clasificacion],"correctiva")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SUMIFS(tblAsignaciones[horas_disponibles],tblAsignaciones[especialidad],$A264,tblAsignaciones[semana],$B264)</f>
        <v/>
      </c>
      <c r="D264" s="17">
        <f>C264*p_factor_productividad</f>
        <v/>
      </c>
      <c r="E264" s="17">
        <f>SUMIFS(tblOrdenes[horas_efectivas],tblOrdenes[especialidad],$A264,tblOrdenes[semana],$B264,tblOrdenes[clasificacion],"preventiva")</f>
        <v/>
      </c>
      <c r="F264" s="17">
        <f>SUMIFS(tblOrdenes[horas_efectivas],tblOrdenes[especialidad],$A264,tblOrdenes[semana],$B264,tblOrdenes[clasificacion],"correctiva")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SUMIFS(tblAsignaciones[horas_disponibles],tblAsignaciones[especialidad],$A265,tblAsignaciones[semana],$B265)</f>
        <v/>
      </c>
      <c r="D265" s="17">
        <f>C265*p_factor_productividad</f>
        <v/>
      </c>
      <c r="E265" s="17">
        <f>SUMIFS(tblOrdenes[horas_efectivas],tblOrdenes[especialidad],$A265,tblOrdenes[semana],$B265,tblOrdenes[clasificacion],"preventiva")</f>
        <v/>
      </c>
      <c r="F265" s="17">
        <f>SUMIFS(tblOrdenes[horas_efectivas],tblOrdenes[especialidad],$A265,tblOrdenes[semana],$B265,tblOrdenes[clasificacion],"correctiva")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SUMIFS(tblAsignaciones[horas_disponibles],tblAsignaciones[especialidad],$A266,tblAsignaciones[semana],$B266)</f>
        <v/>
      </c>
      <c r="D266" s="17">
        <f>C266*p_factor_productividad</f>
        <v/>
      </c>
      <c r="E266" s="17">
        <f>SUMIFS(tblOrdenes[horas_efectivas],tblOrdenes[especialidad],$A266,tblOrdenes[semana],$B266,tblOrdenes[clasificacion],"preventiva")</f>
        <v/>
      </c>
      <c r="F266" s="17">
        <f>SUMIFS(tblOrdenes[horas_efectivas],tblOrdenes[especialidad],$A266,tblOrdenes[semana],$B266,tblOrdenes[clasificacion],"correctiva")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SUMIFS(tblAsignaciones[horas_disponibles],tblAsignaciones[especialidad],$A267,tblAsignaciones[semana],$B267)</f>
        <v/>
      </c>
      <c r="D267" s="17">
        <f>C267*p_factor_productividad</f>
        <v/>
      </c>
      <c r="E267" s="17">
        <f>SUMIFS(tblOrdenes[horas_efectivas],tblOrdenes[especialidad],$A267,tblOrdenes[semana],$B267,tblOrdenes[clasificacion],"preventiva")</f>
        <v/>
      </c>
      <c r="F267" s="17">
        <f>SUMIFS(tblOrdenes[horas_efectivas],tblOrdenes[especialidad],$A267,tblOrdenes[semana],$B267,tblOrdenes[clasificacion],"correctiva")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SUMIFS(tblAsignaciones[horas_disponibles],tblAsignaciones[especialidad],$A268,tblAsignaciones[semana],$B268)</f>
        <v/>
      </c>
      <c r="D268" s="17">
        <f>C268*p_factor_productividad</f>
        <v/>
      </c>
      <c r="E268" s="17">
        <f>SUMIFS(tblOrdenes[horas_efectivas],tblOrdenes[especialidad],$A268,tblOrdenes[semana],$B268,tblOrdenes[clasificacion],"preventiva")</f>
        <v/>
      </c>
      <c r="F268" s="17">
        <f>SUMIFS(tblOrdenes[horas_efectivas],tblOrdenes[especialidad],$A268,tblOrdenes[semana],$B268,tblOrdenes[clasificacion],"correctiva")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SUMIFS(tblAsignaciones[horas_disponibles],tblAsignaciones[especialidad],$A269,tblAsignaciones[semana],$B269)</f>
        <v/>
      </c>
      <c r="D269" s="17">
        <f>C269*p_factor_productividad</f>
        <v/>
      </c>
      <c r="E269" s="17">
        <f>SUMIFS(tblOrdenes[horas_efectivas],tblOrdenes[especialidad],$A269,tblOrdenes[semana],$B269,tblOrdenes[clasificacion],"preventiva")</f>
        <v/>
      </c>
      <c r="F269" s="17">
        <f>SUMIFS(tblOrdenes[horas_efectivas],tblOrdenes[especialidad],$A269,tblOrdenes[semana],$B269,tblOrdenes[clasificacion],"correctiva")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SUMIFS(tblAsignaciones[horas_disponibles],tblAsignaciones[especialidad],$A270,tblAsignaciones[semana],$B270)</f>
        <v/>
      </c>
      <c r="D270" s="17">
        <f>C270*p_factor_productividad</f>
        <v/>
      </c>
      <c r="E270" s="17">
        <f>SUMIFS(tblOrdenes[horas_efectivas],tblOrdenes[especialidad],$A270,tblOrdenes[semana],$B270,tblOrdenes[clasificacion],"preventiva")</f>
        <v/>
      </c>
      <c r="F270" s="17">
        <f>SUMIFS(tblOrdenes[horas_efectivas],tblOrdenes[especialidad],$A270,tblOrdenes[semana],$B270,tblOrdenes[clasificacion],"correctiva")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SUMIFS(tblAsignaciones[horas_disponibles],tblAsignaciones[especialidad],$A271,tblAsignaciones[semana],$B271)</f>
        <v/>
      </c>
      <c r="D271" s="17">
        <f>C271*p_factor_productividad</f>
        <v/>
      </c>
      <c r="E271" s="17">
        <f>SUMIFS(tblOrdenes[horas_efectivas],tblOrdenes[especialidad],$A271,tblOrdenes[semana],$B271,tblOrdenes[clasificacion],"preventiva")</f>
        <v/>
      </c>
      <c r="F271" s="17">
        <f>SUMIFS(tblOrdenes[horas_efectivas],tblOrdenes[especialidad],$A271,tblOrdenes[semana],$B271,tblOrdenes[clasificacion],"correctiva")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SUMIFS(tblAsignaciones[horas_disponibles],tblAsignaciones[especialidad],$A272,tblAsignaciones[semana],$B272)</f>
        <v/>
      </c>
      <c r="D272" s="17">
        <f>C272*p_factor_productividad</f>
        <v/>
      </c>
      <c r="E272" s="17">
        <f>SUMIFS(tblOrdenes[horas_efectivas],tblOrdenes[especialidad],$A272,tblOrdenes[semana],$B272,tblOrdenes[clasificacion],"preventiva")</f>
        <v/>
      </c>
      <c r="F272" s="17">
        <f>SUMIFS(tblOrdenes[horas_efectivas],tblOrdenes[especialidad],$A272,tblOrdenes[semana],$B272,tblOrdenes[clasificacion],"correctiva")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SUMIFS(tblAsignaciones[horas_disponibles],tblAsignaciones[especialidad],$A273,tblAsignaciones[semana],$B273)</f>
        <v/>
      </c>
      <c r="D273" s="17">
        <f>C273*p_factor_productividad</f>
        <v/>
      </c>
      <c r="E273" s="17">
        <f>SUMIFS(tblOrdenes[horas_efectivas],tblOrdenes[especialidad],$A273,tblOrdenes[semana],$B273,tblOrdenes[clasificacion],"preventiva")</f>
        <v/>
      </c>
      <c r="F273" s="17">
        <f>SUMIFS(tblOrdenes[horas_efectivas],tblOrdenes[especialidad],$A273,tblOrdenes[semana],$B273,tblOrdenes[clasificacion],"correctiva")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SUMIFS(tblAsignaciones[horas_disponibles],tblAsignaciones[especialidad],$A274,tblAsignaciones[semana],$B274)</f>
        <v/>
      </c>
      <c r="D274" s="17">
        <f>C274*p_factor_productividad</f>
        <v/>
      </c>
      <c r="E274" s="17">
        <f>SUMIFS(tblOrdenes[horas_efectivas],tblOrdenes[especialidad],$A274,tblOrdenes[semana],$B274,tblOrdenes[clasificacion],"preventiva")</f>
        <v/>
      </c>
      <c r="F274" s="17">
        <f>SUMIFS(tblOrdenes[horas_efectivas],tblOrdenes[especialidad],$A274,tblOrdenes[semana],$B274,tblOrdenes[clasificacion],"correctiva")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SUMIFS(tblAsignaciones[horas_disponibles],tblAsignaciones[especialidad],$A275,tblAsignaciones[semana],$B275)</f>
        <v/>
      </c>
      <c r="D275" s="17">
        <f>C275*p_factor_productividad</f>
        <v/>
      </c>
      <c r="E275" s="17">
        <f>SUMIFS(tblOrdenes[horas_efectivas],tblOrdenes[especialidad],$A275,tblOrdenes[semana],$B275,tblOrdenes[clasificacion],"preventiva")</f>
        <v/>
      </c>
      <c r="F275" s="17">
        <f>SUMIFS(tblOrdenes[horas_efectivas],tblOrdenes[especialidad],$A275,tblOrdenes[semana],$B275,tblOrdenes[clasificacion],"correctiva")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SUMIFS(tblAsignaciones[horas_disponibles],tblAsignaciones[especialidad],$A276,tblAsignaciones[semana],$B276)</f>
        <v/>
      </c>
      <c r="D276" s="17">
        <f>C276*p_factor_productividad</f>
        <v/>
      </c>
      <c r="E276" s="17">
        <f>SUMIFS(tblOrdenes[horas_efectivas],tblOrdenes[especialidad],$A276,tblOrdenes[semana],$B276,tblOrdenes[clasificacion],"preventiva")</f>
        <v/>
      </c>
      <c r="F276" s="17">
        <f>SUMIFS(tblOrdenes[horas_efectivas],tblOrdenes[especialidad],$A276,tblOrdenes[semana],$B276,tblOrdenes[clasificacion],"correctiva")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SUMIFS(tblAsignaciones[horas_disponibles],tblAsignaciones[especialidad],$A277,tblAsignaciones[semana],$B277)</f>
        <v/>
      </c>
      <c r="D277" s="17">
        <f>C277*p_factor_productividad</f>
        <v/>
      </c>
      <c r="E277" s="17">
        <f>SUMIFS(tblOrdenes[horas_efectivas],tblOrdenes[especialidad],$A277,tblOrdenes[semana],$B277,tblOrdenes[clasificacion],"preventiva")</f>
        <v/>
      </c>
      <c r="F277" s="17">
        <f>SUMIFS(tblOrdenes[horas_efectivas],tblOrdenes[especialidad],$A277,tblOrdenes[semana],$B277,tblOrdenes[clasificacion],"correctiva")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SUMIFS(tblAsignaciones[horas_disponibles],tblAsignaciones[especialidad],$A278,tblAsignaciones[semana],$B278)</f>
        <v/>
      </c>
      <c r="D278" s="17">
        <f>C278*p_factor_productividad</f>
        <v/>
      </c>
      <c r="E278" s="17">
        <f>SUMIFS(tblOrdenes[horas_efectivas],tblOrdenes[especialidad],$A278,tblOrdenes[semana],$B278,tblOrdenes[clasificacion],"preventiva")</f>
        <v/>
      </c>
      <c r="F278" s="17">
        <f>SUMIFS(tblOrdenes[horas_efectivas],tblOrdenes[especialidad],$A278,tblOrdenes[semana],$B278,tblOrdenes[clasificacion],"correctiva")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SUMIFS(tblAsignaciones[horas_disponibles],tblAsignaciones[especialidad],$A279,tblAsignaciones[semana],$B279)</f>
        <v/>
      </c>
      <c r="D279" s="17">
        <f>C279*p_factor_productividad</f>
        <v/>
      </c>
      <c r="E279" s="17">
        <f>SUMIFS(tblOrdenes[horas_efectivas],tblOrdenes[especialidad],$A279,tblOrdenes[semana],$B279,tblOrdenes[clasificacion],"preventiva")</f>
        <v/>
      </c>
      <c r="F279" s="17">
        <f>SUMIFS(tblOrdenes[horas_efectivas],tblOrdenes[especialidad],$A279,tblOrdenes[semana],$B279,tblOrdenes[clasificacion],"correctiva")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SUMIFS(tblAsignaciones[horas_disponibles],tblAsignaciones[especialidad],$A280,tblAsignaciones[semana],$B280)</f>
        <v/>
      </c>
      <c r="D280" s="17">
        <f>C280*p_factor_productividad</f>
        <v/>
      </c>
      <c r="E280" s="17">
        <f>SUMIFS(tblOrdenes[horas_efectivas],tblOrdenes[especialidad],$A280,tblOrdenes[semana],$B280,tblOrdenes[clasificacion],"preventiva")</f>
        <v/>
      </c>
      <c r="F280" s="17">
        <f>SUMIFS(tblOrdenes[horas_efectivas],tblOrdenes[especialidad],$A280,tblOrdenes[semana],$B280,tblOrdenes[clasificacion],"correctiva")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SUMIFS(tblAsignaciones[horas_disponibles],tblAsignaciones[especialidad],$A281,tblAsignaciones[semana],$B281)</f>
        <v/>
      </c>
      <c r="D281" s="17">
        <f>C281*p_factor_productividad</f>
        <v/>
      </c>
      <c r="E281" s="17">
        <f>SUMIFS(tblOrdenes[horas_efectivas],tblOrdenes[especialidad],$A281,tblOrdenes[semana],$B281,tblOrdenes[clasificacion],"preventiva")</f>
        <v/>
      </c>
      <c r="F281" s="17">
        <f>SUMIFS(tblOrdenes[horas_efectivas],tblOrdenes[especialidad],$A281,tblOrdenes[semana],$B281,tblOrdenes[clasificacion],"correctiva")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SUMIFS(tblAsignaciones[horas_disponibles],tblAsignaciones[especialidad],$A282,tblAsignaciones[semana],$B282)</f>
        <v/>
      </c>
      <c r="D282" s="17">
        <f>C282*p_factor_productividad</f>
        <v/>
      </c>
      <c r="E282" s="17">
        <f>SUMIFS(tblOrdenes[horas_efectivas],tblOrdenes[especialidad],$A282,tblOrdenes[semana],$B282,tblOrdenes[clasificacion],"preventiva")</f>
        <v/>
      </c>
      <c r="F282" s="17">
        <f>SUMIFS(tblOrdenes[horas_efectivas],tblOrdenes[especialidad],$A282,tblOrdenes[semana],$B282,tblOrdenes[clasificacion],"correctiva")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SUMIFS(tblAsignaciones[horas_disponibles],tblAsignaciones[especialidad],$A283,tblAsignaciones[semana],$B283)</f>
        <v/>
      </c>
      <c r="D283" s="17">
        <f>C283*p_factor_productividad</f>
        <v/>
      </c>
      <c r="E283" s="17">
        <f>SUMIFS(tblOrdenes[horas_efectivas],tblOrdenes[especialidad],$A283,tblOrdenes[semana],$B283,tblOrdenes[clasificacion],"preventiva")</f>
        <v/>
      </c>
      <c r="F283" s="17">
        <f>SUMIFS(tblOrdenes[horas_efectivas],tblOrdenes[especialidad],$A283,tblOrdenes[semana],$B283,tblOrdenes[clasificacion],"correctiva")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SUMIFS(tblAsignaciones[horas_disponibles],tblAsignaciones[especialidad],$A284,tblAsignaciones[semana],$B284)</f>
        <v/>
      </c>
      <c r="D284" s="17">
        <f>C284*p_factor_productividad</f>
        <v/>
      </c>
      <c r="E284" s="17">
        <f>SUMIFS(tblOrdenes[horas_efectivas],tblOrdenes[especialidad],$A284,tblOrdenes[semana],$B284,tblOrdenes[clasificacion],"preventiva")</f>
        <v/>
      </c>
      <c r="F284" s="17">
        <f>SUMIFS(tblOrdenes[horas_efectivas],tblOrdenes[especialidad],$A284,tblOrdenes[semana],$B284,tblOrdenes[clasificacion],"correctiva")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SUMIFS(tblAsignaciones[horas_disponibles],tblAsignaciones[especialidad],$A285,tblAsignaciones[semana],$B285)</f>
        <v/>
      </c>
      <c r="D285" s="17">
        <f>C285*p_factor_productividad</f>
        <v/>
      </c>
      <c r="E285" s="17">
        <f>SUMIFS(tblOrdenes[horas_efectivas],tblOrdenes[especialidad],$A285,tblOrdenes[semana],$B285,tblOrdenes[clasificacion],"preventiva")</f>
        <v/>
      </c>
      <c r="F285" s="17">
        <f>SUMIFS(tblOrdenes[horas_efectivas],tblOrdenes[especialidad],$A285,tblOrdenes[semana],$B285,tblOrdenes[clasificacion],"correctiva")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SUMIFS(tblAsignaciones[horas_disponibles],tblAsignaciones[especialidad],$A286,tblAsignaciones[semana],$B286)</f>
        <v/>
      </c>
      <c r="D286" s="17">
        <f>C286*p_factor_productividad</f>
        <v/>
      </c>
      <c r="E286" s="17">
        <f>SUMIFS(tblOrdenes[horas_efectivas],tblOrdenes[especialidad],$A286,tblOrdenes[semana],$B286,tblOrdenes[clasificacion],"preventiva")</f>
        <v/>
      </c>
      <c r="F286" s="17">
        <f>SUMIFS(tblOrdenes[horas_efectivas],tblOrdenes[especialidad],$A286,tblOrdenes[semana],$B286,tblOrdenes[clasificacion],"correctiva")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SUMIFS(tblAsignaciones[horas_disponibles],tblAsignaciones[especialidad],$A287,tblAsignaciones[semana],$B287)</f>
        <v/>
      </c>
      <c r="D287" s="17">
        <f>C287*p_factor_productividad</f>
        <v/>
      </c>
      <c r="E287" s="17">
        <f>SUMIFS(tblOrdenes[horas_efectivas],tblOrdenes[especialidad],$A287,tblOrdenes[semana],$B287,tblOrdenes[clasificacion],"preventiva")</f>
        <v/>
      </c>
      <c r="F287" s="17">
        <f>SUMIFS(tblOrdenes[horas_efectivas],tblOrdenes[especialidad],$A287,tblOrdenes[semana],$B287,tblOrdenes[clasificacion],"correctiva")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SUMIFS(tblAsignaciones[horas_disponibles],tblAsignaciones[especialidad],$A288,tblAsignaciones[semana],$B288)</f>
        <v/>
      </c>
      <c r="D288" s="17">
        <f>C288*p_factor_productividad</f>
        <v/>
      </c>
      <c r="E288" s="17">
        <f>SUMIFS(tblOrdenes[horas_efectivas],tblOrdenes[especialidad],$A288,tblOrdenes[semana],$B288,tblOrdenes[clasificacion],"preventiva")</f>
        <v/>
      </c>
      <c r="F288" s="17">
        <f>SUMIFS(tblOrdenes[horas_efectivas],tblOrdenes[especialidad],$A288,tblOrdenes[semana],$B288,tblOrdenes[clasificacion],"correctiva")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SUMIFS(tblAsignaciones[horas_disponibles],tblAsignaciones[especialidad],$A289,tblAsignaciones[semana],$B289)</f>
        <v/>
      </c>
      <c r="D289" s="17">
        <f>C289*p_factor_productividad</f>
        <v/>
      </c>
      <c r="E289" s="17">
        <f>SUMIFS(tblOrdenes[horas_efectivas],tblOrdenes[especialidad],$A289,tblOrdenes[semana],$B289,tblOrdenes[clasificacion],"preventiva")</f>
        <v/>
      </c>
      <c r="F289" s="17">
        <f>SUMIFS(tblOrdenes[horas_efectivas],tblOrdenes[especialidad],$A289,tblOrdenes[semana],$B289,tblOrdenes[clasificacion],"correctiva")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SUMIFS(tblAsignaciones[horas_disponibles],tblAsignaciones[especialidad],$A290,tblAsignaciones[semana],$B290)</f>
        <v/>
      </c>
      <c r="D290" s="17">
        <f>C290*p_factor_productividad</f>
        <v/>
      </c>
      <c r="E290" s="17">
        <f>SUMIFS(tblOrdenes[horas_efectivas],tblOrdenes[especialidad],$A290,tblOrdenes[semana],$B290,tblOrdenes[clasificacion],"preventiva")</f>
        <v/>
      </c>
      <c r="F290" s="17">
        <f>SUMIFS(tblOrdenes[horas_efectivas],tblOrdenes[especialidad],$A290,tblOrdenes[semana],$B290,tblOrdenes[clasificacion],"correctiva")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SUMIFS(tblAsignaciones[horas_disponibles],tblAsignaciones[especialidad],$A291,tblAsignaciones[semana],$B291)</f>
        <v/>
      </c>
      <c r="D291" s="17">
        <f>C291*p_factor_productividad</f>
        <v/>
      </c>
      <c r="E291" s="17">
        <f>SUMIFS(tblOrdenes[horas_efectivas],tblOrdenes[especialidad],$A291,tblOrdenes[semana],$B291,tblOrdenes[clasificacion],"preventiva")</f>
        <v/>
      </c>
      <c r="F291" s="17">
        <f>SUMIFS(tblOrdenes[horas_efectivas],tblOrdenes[especialidad],$A291,tblOrdenes[semana],$B291,tblOrdenes[clasificacion],"correctiva")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SUMIFS(tblAsignaciones[horas_disponibles],tblAsignaciones[especialidad],$A292,tblAsignaciones[semana],$B292)</f>
        <v/>
      </c>
      <c r="D292" s="17">
        <f>C292*p_factor_productividad</f>
        <v/>
      </c>
      <c r="E292" s="17">
        <f>SUMIFS(tblOrdenes[horas_efectivas],tblOrdenes[especialidad],$A292,tblOrdenes[semana],$B292,tblOrdenes[clasificacion],"preventiva")</f>
        <v/>
      </c>
      <c r="F292" s="17">
        <f>SUMIFS(tblOrdenes[horas_efectivas],tblOrdenes[especialidad],$A292,tblOrdenes[semana],$B292,tblOrdenes[clasificacion],"correctiva")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SUMIFS(tblAsignaciones[horas_disponibles],tblAsignaciones[especialidad],$A293,tblAsignaciones[semana],$B293)</f>
        <v/>
      </c>
      <c r="D293" s="17">
        <f>C293*p_factor_productividad</f>
        <v/>
      </c>
      <c r="E293" s="17">
        <f>SUMIFS(tblOrdenes[horas_efectivas],tblOrdenes[especialidad],$A293,tblOrdenes[semana],$B293,tblOrdenes[clasificacion],"preventiva")</f>
        <v/>
      </c>
      <c r="F293" s="17">
        <f>SUMIFS(tblOrdenes[horas_efectivas],tblOrdenes[especialidad],$A293,tblOrdenes[semana],$B293,tblOrdenes[clasificacion],"correctiva")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SUMIFS(tblAsignaciones[horas_disponibles],tblAsignaciones[especialidad],$A294,tblAsignaciones[semana],$B294)</f>
        <v/>
      </c>
      <c r="D294" s="17">
        <f>C294*p_factor_productividad</f>
        <v/>
      </c>
      <c r="E294" s="17">
        <f>SUMIFS(tblOrdenes[horas_efectivas],tblOrdenes[especialidad],$A294,tblOrdenes[semana],$B294,tblOrdenes[clasificacion],"preventiva")</f>
        <v/>
      </c>
      <c r="F294" s="17">
        <f>SUMIFS(tblOrdenes[horas_efectivas],tblOrdenes[especialidad],$A294,tblOrdenes[semana],$B294,tblOrdenes[clasificacion],"correctiva")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SUMIFS(tblAsignaciones[horas_disponibles],tblAsignaciones[especialidad],$A295,tblAsignaciones[semana],$B295)</f>
        <v/>
      </c>
      <c r="D295" s="17">
        <f>C295*p_factor_productividad</f>
        <v/>
      </c>
      <c r="E295" s="17">
        <f>SUMIFS(tblOrdenes[horas_efectivas],tblOrdenes[especialidad],$A295,tblOrdenes[semana],$B295,tblOrdenes[clasificacion],"preventiva")</f>
        <v/>
      </c>
      <c r="F295" s="17">
        <f>SUMIFS(tblOrdenes[horas_efectivas],tblOrdenes[especialidad],$A295,tblOrdenes[semana],$B295,tblOrdenes[clasificacion],"correctiva")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SUMIFS(tblAsignaciones[horas_disponibles],tblAsignaciones[especialidad],$A296,tblAsignaciones[semana],$B296)</f>
        <v/>
      </c>
      <c r="D296" s="17">
        <f>C296*p_factor_productividad</f>
        <v/>
      </c>
      <c r="E296" s="17">
        <f>SUMIFS(tblOrdenes[horas_efectivas],tblOrdenes[especialidad],$A296,tblOrdenes[semana],$B296,tblOrdenes[clasificacion],"preventiva")</f>
        <v/>
      </c>
      <c r="F296" s="17">
        <f>SUMIFS(tblOrdenes[horas_efectivas],tblOrdenes[especialidad],$A296,tblOrdenes[semana],$B296,tblOrdenes[clasificacion],"correctiva")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SUMIFS(tblAsignaciones[horas_disponibles],tblAsignaciones[especialidad],$A297,tblAsignaciones[semana],$B297)</f>
        <v/>
      </c>
      <c r="D297" s="17">
        <f>C297*p_factor_productividad</f>
        <v/>
      </c>
      <c r="E297" s="17">
        <f>SUMIFS(tblOrdenes[horas_efectivas],tblOrdenes[especialidad],$A297,tblOrdenes[semana],$B297,tblOrdenes[clasificacion],"preventiva")</f>
        <v/>
      </c>
      <c r="F297" s="17">
        <f>SUMIFS(tblOrdenes[horas_efectivas],tblOrdenes[especialidad],$A297,tblOrdenes[semana],$B297,tblOrdenes[clasificacion],"correctiva")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SUMIFS(tblAsignaciones[horas_disponibles],tblAsignaciones[especialidad],$A298,tblAsignaciones[semana],$B298)</f>
        <v/>
      </c>
      <c r="D298" s="17">
        <f>C298*p_factor_productividad</f>
        <v/>
      </c>
      <c r="E298" s="17">
        <f>SUMIFS(tblOrdenes[horas_efectivas],tblOrdenes[especialidad],$A298,tblOrdenes[semana],$B298,tblOrdenes[clasificacion],"preventiva")</f>
        <v/>
      </c>
      <c r="F298" s="17">
        <f>SUMIFS(tblOrdenes[horas_efectivas],tblOrdenes[especialidad],$A298,tblOrdenes[semana],$B298,tblOrdenes[clasificacion],"correctiva")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SUMIFS(tblAsignaciones[horas_disponibles],tblAsignaciones[especialidad],$A299,tblAsignaciones[semana],$B299)</f>
        <v/>
      </c>
      <c r="D299" s="17">
        <f>C299*p_factor_productividad</f>
        <v/>
      </c>
      <c r="E299" s="17">
        <f>SUMIFS(tblOrdenes[horas_efectivas],tblOrdenes[especialidad],$A299,tblOrdenes[semana],$B299,tblOrdenes[clasificacion],"preventiva")</f>
        <v/>
      </c>
      <c r="F299" s="17">
        <f>SUMIFS(tblOrdenes[horas_efectivas],tblOrdenes[especialidad],$A299,tblOrdenes[semana],$B299,tblOrdenes[clasificacion],"correctiva")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SUMIFS(tblAsignaciones[horas_disponibles],tblAsignaciones[especialidad],$A300,tblAsignaciones[semana],$B300)</f>
        <v/>
      </c>
      <c r="D300" s="17">
        <f>C300*p_factor_productividad</f>
        <v/>
      </c>
      <c r="E300" s="17">
        <f>SUMIFS(tblOrdenes[horas_efectivas],tblOrdenes[especialidad],$A300,tblOrdenes[semana],$B300,tblOrdenes[clasificacion],"preventiva")</f>
        <v/>
      </c>
      <c r="F300" s="17">
        <f>SUMIFS(tblOrdenes[horas_efectivas],tblOrdenes[especialidad],$A300,tblOrdenes[semana],$B300,tblOrdenes[clasificacion],"correctiva")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SUMIFS(tblAsignaciones[horas_disponibles],tblAsignaciones[especialidad],$A301,tblAsignaciones[semana],$B301)</f>
        <v/>
      </c>
      <c r="D301" s="17">
        <f>C301*p_factor_productividad</f>
        <v/>
      </c>
      <c r="E301" s="17">
        <f>SUMIFS(tblOrdenes[horas_efectivas],tblOrdenes[especialidad],$A301,tblOrdenes[semana],$B301,tblOrdenes[clasificacion],"preventiva")</f>
        <v/>
      </c>
      <c r="F301" s="17">
        <f>SUMIFS(tblOrdenes[horas_efectivas],tblOrdenes[especialidad],$A301,tblOrdenes[semana],$B301,tblOrdenes[clasificacion],"correctiva")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SUMIFS(tblAsignaciones[horas_disponibles],tblAsignaciones[especialidad],$A302,tblAsignaciones[semana],$B302)</f>
        <v/>
      </c>
      <c r="D302" s="17">
        <f>C302*p_factor_productividad</f>
        <v/>
      </c>
      <c r="E302" s="17">
        <f>SUMIFS(tblOrdenes[horas_efectivas],tblOrdenes[especialidad],$A302,tblOrdenes[semana],$B302,tblOrdenes[clasificacion],"preventiva")</f>
        <v/>
      </c>
      <c r="F302" s="17">
        <f>SUMIFS(tblOrdenes[horas_efectivas],tblOrdenes[especialidad],$A302,tblOrdenes[semana],$B302,tblOrdenes[clasificacion],"correctiva")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SUMIFS(tblAsignaciones[horas_disponibles],tblAsignaciones[especialidad],$A303,tblAsignaciones[semana],$B303)</f>
        <v/>
      </c>
      <c r="D303" s="17">
        <f>C303*p_factor_productividad</f>
        <v/>
      </c>
      <c r="E303" s="17">
        <f>SUMIFS(tblOrdenes[horas_efectivas],tblOrdenes[especialidad],$A303,tblOrdenes[semana],$B303,tblOrdenes[clasificacion],"preventiva")</f>
        <v/>
      </c>
      <c r="F303" s="17">
        <f>SUMIFS(tblOrdenes[horas_efectivas],tblOrdenes[especialidad],$A303,tblOrdenes[semana],$B303,tblOrdenes[clasificacion],"correctiva")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 hidden="1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SUMIFS(tblOrdenes[horas_efectivas],tblOrdenes[semana],$A370,tblOrdenes[clasificacion],"preventiva")</f>
        <v/>
      </c>
      <c r="C370" s="17">
        <f>SUMIFS(tblOrdenes[horas_efectivas],tblOrdenes[semana],$A370,tblOrdenes[clasificacion],"correctiva")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SUMIFS(tblOrdenes[horas_efectivas],tblOrdenes[semana],$A371,tblOrdenes[clasificacion],"preventiva")</f>
        <v/>
      </c>
      <c r="C371" s="17">
        <f>SUMIFS(tblOrdenes[horas_efectivas],tblOrdenes[semana],$A371,tblOrdenes[clasificacion],"correctiva")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SUMIFS(tblOrdenes[horas_efectivas],tblOrdenes[semana],$A372,tblOrdenes[clasificacion],"preventiva")</f>
        <v/>
      </c>
      <c r="C372" s="17">
        <f>SUMIFS(tblOrdenes[horas_efectivas],tblOrdenes[semana],$A372,tblOrdenes[clasificacion],"correctiva")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SUMIFS(tblOrdenes[horas_efectivas],tblOrdenes[semana],$A373,tblOrdenes[clasificacion],"preventiva")</f>
        <v/>
      </c>
      <c r="C373" s="17">
        <f>SUMIFS(tblOrdenes[horas_efectivas],tblOrdenes[semana],$A373,tblOrdenes[clasificacion],"correctiva")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SUMIFS(tblOrdenes[horas_efectivas],tblOrdenes[semana],$A374,tblOrdenes[clasificacion],"preventiva")</f>
        <v/>
      </c>
      <c r="C374" s="17">
        <f>SUMIFS(tblOrdenes[horas_efectivas],tblOrdenes[semana],$A374,tblOrdenes[clasificacion],"correctiva")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SUMIFS(tblOrdenes[horas_efectivas],tblOrdenes[semana],$A375,tblOrdenes[clasificacion],"preventiva")</f>
        <v/>
      </c>
      <c r="C375" s="17">
        <f>SUMIFS(tblOrdenes[horas_efectivas],tblOrdenes[semana],$A375,tblOrdenes[clasificacion],"correctiva")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SUMIFS(tblOrdenes[horas_efectivas],tblOrdenes[semana],$A376,tblOrdenes[clasificacion],"preventiva")</f>
        <v/>
      </c>
      <c r="C376" s="17">
        <f>SUMIFS(tblOrdenes[horas_efectivas],tblOrdenes[semana],$A376,tblOrdenes[clasificacion],"correctiva")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SUMIFS(tblOrdenes[horas_efectivas],tblOrdenes[semana],$A377,tblOrdenes[clasificacion],"preventiva")</f>
        <v/>
      </c>
      <c r="C377" s="17">
        <f>SUMIFS(tblOrdenes[horas_efectivas],tblOrdenes[semana],$A377,tblOrdenes[clasificacion],"correctiva")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SUMIFS(tblOrdenes[horas_efectivas],tblOrdenes[semana],$A378,tblOrdenes[clasificacion],"preventiva")</f>
        <v/>
      </c>
      <c r="C378" s="17">
        <f>SUMIFS(tblOrdenes[horas_efectivas],tblOrdenes[semana],$A378,tblOrdenes[clasificacion],"correctiva")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SUMIFS(tblOrdenes[horas_efectivas],tblOrdenes[semana],$A379,tblOrdenes[clasificacion],"preventiva")</f>
        <v/>
      </c>
      <c r="C379" s="17">
        <f>SUMIFS(tblOrdenes[horas_efectivas],tblOrdenes[semana],$A379,tblOrdenes[clasificacion],"correctiva")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SUMIFS(tblOrdenes[horas_efectivas],tblOrdenes[semana],$A380,tblOrdenes[clasificacion],"preventiva")</f>
        <v/>
      </c>
      <c r="C380" s="17">
        <f>SUMIFS(tblOrdenes[horas_efectivas],tblOrdenes[semana],$A380,tblOrdenes[clasificacion],"correctiva")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SUMIFS(tblOrdenes[horas_efectivas],tblOrdenes[semana],$A381,tblOrdenes[clasificacion],"preventiva")</f>
        <v/>
      </c>
      <c r="C381" s="17">
        <f>SUMIFS(tblOrdenes[horas_efectivas],tblOrdenes[semana],$A381,tblOrdenes[clasificacion],"correctiva")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SUMIFS(tblOrdenes[horas_efectivas],tblOrdenes[semana],$A382,tblOrdenes[clasificacion],"preventiva")</f>
        <v/>
      </c>
      <c r="C382" s="17">
        <f>SUMIFS(tblOrdenes[horas_efectivas],tblOrdenes[semana],$A382,tblOrdenes[clasificacion],"correctiva")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SUMIFS(tblOrdenes[horas_efectivas],tblOrdenes[semana],$A383,tblOrdenes[clasificacion],"preventiva")</f>
        <v/>
      </c>
      <c r="C383" s="17">
        <f>SUMIFS(tblOrdenes[horas_efectivas],tblOrdenes[semana],$A383,tblOrdenes[clasificacion],"correctiva")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SUMIFS(tblOrdenes[horas_efectivas],tblOrdenes[semana],$A384,tblOrdenes[clasificacion],"preventiva")</f>
        <v/>
      </c>
      <c r="C384" s="17">
        <f>SUMIFS(tblOrdenes[horas_efectivas],tblOrdenes[semana],$A384,tblOrdenes[clasificacion],"correctiva")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SUMIFS(tblOrdenes[horas_efectivas],tblOrdenes[semana],$A385,tblOrdenes[clasificacion],"preventiva")</f>
        <v/>
      </c>
      <c r="C385" s="17">
        <f>SUMIFS(tblOrdenes[horas_efectivas],tblOrdenes[semana],$A385,tblOrdenes[clasificacion],"correctiva")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SUMIFS(tblOrdenes[horas_efectivas],tblOrdenes[semana],$A386,tblOrdenes[clasificacion],"preventiva")</f>
        <v/>
      </c>
      <c r="C386" s="17">
        <f>SUMIFS(tblOrdenes[horas_efectivas],tblOrdenes[semana],$A386,tblOrdenes[clasificacion],"correctiva")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SUMIFS(tblOrdenes[horas_efectivas],tblOrdenes[semana],$A387,tblOrdenes[clasificacion],"preventiva")</f>
        <v/>
      </c>
      <c r="C387" s="17">
        <f>SUMIFS(tblOrdenes[horas_efectivas],tblOrdenes[semana],$A387,tblOrdenes[clasificacion],"correctiva")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SUMIFS(tblOrdenes[horas_efectivas],tblOrdenes[semana],$A388,tblOrdenes[clasificacion],"preventiva")</f>
        <v/>
      </c>
      <c r="C388" s="17">
        <f>SUMIFS(tblOrdenes[horas_efectivas],tblOrdenes[semana],$A388,tblOrdenes[clasificacion],"correctiva")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SUMIFS(tblOrdenes[horas_efectivas],tblOrdenes[semana],$A389,tblOrdenes[clasificacion],"preventiva")</f>
        <v/>
      </c>
      <c r="C389" s="17">
        <f>SUMIFS(tblOrdenes[horas_efectivas],tblOrdenes[semana],$A389,tblOrdenes[clasificacion],"correctiva")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SUMIFS(tblOrdenes[horas_efectivas],tblOrdenes[semana],$A390,tblOrdenes[clasificacion],"preventiva")</f>
        <v/>
      </c>
      <c r="C390" s="17">
        <f>SUMIFS(tblOrdenes[horas_efectivas],tblOrdenes[semana],$A390,tblOrdenes[clasificacion],"correctiva")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SUMIFS(tblOrdenes[horas_efectivas],tblOrdenes[semana],$A391,tblOrdenes[clasificacion],"preventiva")</f>
        <v/>
      </c>
      <c r="C391" s="17">
        <f>SUMIFS(tblOrdenes[horas_efectivas],tblOrdenes[semana],$A391,tblOrdenes[clasificacion],"correctiva")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SUMIFS(tblOrdenes[horas_efectivas],tblOrdenes[semana],$A392,tblOrdenes[clasificacion],"preventiva")</f>
        <v/>
      </c>
      <c r="C392" s="17">
        <f>SUMIFS(tblOrdenes[horas_efectivas],tblOrdenes[semana],$A392,tblOrdenes[clasificacion],"correctiva")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SUMIFS(tblOrdenes[horas_efectivas],tblOrdenes[semana],$A393,tblOrdenes[clasificacion],"preventiva")</f>
        <v/>
      </c>
      <c r="C393" s="17">
        <f>SUMIFS(tblOrdenes[horas_efectivas],tblOrdenes[semana],$A393,tblOrdenes[clasificacion],"correctiva")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SUMIFS(tblOrdenes[horas_efectivas],tblOrdenes[semana],$A394,tblOrdenes[clasificacion],"preventiva")</f>
        <v/>
      </c>
      <c r="C394" s="17">
        <f>SUMIFS(tblOrdenes[horas_efectivas],tblOrdenes[semana],$A394,tblOrdenes[clasificacion],"correctiva")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SUMIFS(tblOrdenes[horas_efectivas],tblOrdenes[semana],$A395,tblOrdenes[clasificacion],"preventiva")</f>
        <v/>
      </c>
      <c r="C395" s="17">
        <f>SUMIFS(tblOrdenes[horas_efectivas],tblOrdenes[semana],$A395,tblOrdenes[clasificacion],"correctiva")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SUMIFS(tblOrdenes[horas_efectivas],tblOrdenes[semana],$A396,tblOrdenes[clasificacion],"preventiva")</f>
        <v/>
      </c>
      <c r="C396" s="17">
        <f>SUMIFS(tblOrdenes[horas_efectivas],tblOrdenes[semana],$A396,tblOrdenes[clasificacion],"correctiva")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 hidden="1">
      <c r="A397" s="3">
        <f>$O$31</f>
        <v/>
      </c>
      <c r="B397" s="17">
        <f>SUMIFS(tblOrdenes[horas_efectivas],tblOrdenes[semana],$A397,tblOrdenes[clasificacion],"preventiva")</f>
        <v/>
      </c>
      <c r="C397" s="17">
        <f>SUMIFS(tblOrdenes[horas_efectivas],tblOrdenes[semana],$A397,tblOrdenes[clasificacion],"correctiva")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>
      <c r="A398" s="3">
        <f>$O$32</f>
        <v/>
      </c>
      <c r="B398" s="17">
        <f>SUMIFS(tblOrdenes[horas_efectivas],tblOrdenes[semana],$A398,tblOrdenes[clasificacion],"preventiva")</f>
        <v/>
      </c>
      <c r="C398" s="17">
        <f>SUMIFS(tblOrdenes[horas_efectivas],tblOrdenes[semana],$A398,tblOrdenes[clasificacion],"correctiva")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SUMIFS(tblOrdenes[horas_efectivas],tblOrdenes[semana],$A399,tblOrdenes[clasificacion],"preventiva")</f>
        <v/>
      </c>
      <c r="C399" s="17">
        <f>SUMIFS(tblOrdenes[horas_efectivas],tblOrdenes[semana],$A399,tblOrdenes[clasificacion],"correctiva")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SUMIFS(tblOrdenes[horas_efectivas],tblOrdenes[semana],$A400,tblOrdenes[clasificacion],"preventiva")</f>
        <v/>
      </c>
      <c r="C400" s="17">
        <f>SUMIFS(tblOrdenes[horas_efectivas],tblOrdenes[semana],$A400,tblOrdenes[clasificacion],"correctiva")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SUMIFS(tblOrdenes[horas_efectivas],tblOrdenes[semana],$A401,tblOrdenes[clasificacion],"preventiva")</f>
        <v/>
      </c>
      <c r="C401" s="17">
        <f>SUMIFS(tblOrdenes[horas_efectivas],tblOrdenes[semana],$A401,tblOrdenes[clasificacion],"correctiva")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SUMIFS(tblOrdenes[horas_efectivas],tblOrdenes[semana],$A402,tblOrdenes[clasificacion],"preventiva")</f>
        <v/>
      </c>
      <c r="C402" s="17">
        <f>SUMIFS(tblOrdenes[horas_efectivas],tblOrdenes[semana],$A402,tblOrdenes[clasificacion],"correctiva")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SUMIFS(tblOrdenes[horas_efectivas],tblOrdenes[semana],$A403,tblOrdenes[clasificacion],"preventiva")</f>
        <v/>
      </c>
      <c r="C403" s="17">
        <f>SUMIFS(tblOrdenes[horas_efectivas],tblOrdenes[semana],$A403,tblOrdenes[clasificacion],"correctiva")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SUMIFS(tblOrdenes[horas_efectivas],tblOrdenes[semana],$A404,tblOrdenes[clasificacion],"preventiva")</f>
        <v/>
      </c>
      <c r="C404" s="17">
        <f>SUMIFS(tblOrdenes[horas_efectivas],tblOrdenes[semana],$A404,tblOrdenes[clasificacion],"correctiva")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SUMIFS(tblOrdenes[horas_efectivas],tblOrdenes[semana],$A405,tblOrdenes[clasificacion],"preventiva")</f>
        <v/>
      </c>
      <c r="C405" s="17">
        <f>SUMIFS(tblOrdenes[horas_efectivas],tblOrdenes[semana],$A405,tblOrdenes[clasificacion],"correctiva")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SUMIFS(tblOrdenes[horas_efectivas],tblOrdenes[semana],$A406,tblOrdenes[clasificacion],"preventiva")</f>
        <v/>
      </c>
      <c r="C406" s="17">
        <f>SUMIFS(tblOrdenes[horas_efectivas],tblOrdenes[semana],$A406,tblOrdenes[clasificacion],"correctiva")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SUMIFS(tblOrdenes[horas_efectivas],tblOrdenes[semana],$A407,tblOrdenes[clasificacion],"preventiva")</f>
        <v/>
      </c>
      <c r="C407" s="17">
        <f>SUMIFS(tblOrdenes[horas_efectivas],tblOrdenes[semana],$A407,tblOrdenes[clasificacion],"correctiva")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SUMIFS(tblOrdenes[horas_efectivas],tblOrdenes[semana],$A408,tblOrdenes[clasificacion],"preventiva")</f>
        <v/>
      </c>
      <c r="C408" s="17">
        <f>SUMIFS(tblOrdenes[horas_efectivas],tblOrdenes[semana],$A408,tblOrdenes[clasificacion],"correctiva")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SUMIFS(tblOrdenes[horas_efectivas],tblOrdenes[semana],$A409,tblOrdenes[clasificacion],"preventiva")</f>
        <v/>
      </c>
      <c r="C409" s="17">
        <f>SUMIFS(tblOrdenes[horas_efectivas],tblOrdenes[semana],$A409,tblOrdenes[clasificacion],"correctiva")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SUMIFS(tblOrdenes[horas_efectivas],tblOrdenes[semana],$A410,tblOrdenes[clasificacion],"preventiva")</f>
        <v/>
      </c>
      <c r="C410" s="17">
        <f>SUMIFS(tblOrdenes[horas_efectivas],tblOrdenes[semana],$A410,tblOrdenes[clasificacion],"correctiva")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SUMIFS(tblOrdenes[horas_efectivas],tblOrdenes[semana],$A411,tblOrdenes[clasificacion],"preventiva")</f>
        <v/>
      </c>
      <c r="C411" s="17">
        <f>SUMIFS(tblOrdenes[horas_efectivas],tblOrdenes[semana],$A411,tblOrdenes[clasificacion],"correctiva")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SUMIFS(tblOrdenes[horas_efectivas],tblOrdenes[semana],$A412,tblOrdenes[clasificacion],"preventiva")</f>
        <v/>
      </c>
      <c r="C412" s="17">
        <f>SUMIFS(tblOrdenes[horas_efectivas],tblOrdenes[semana],$A412,tblOrdenes[clasificacion],"correctiva")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SUMIFS(tblOrdenes[horas_efectivas],tblOrdenes[semana],$A413,tblOrdenes[clasificacion],"preventiva")</f>
        <v/>
      </c>
      <c r="C413" s="17">
        <f>SUMIFS(tblOrdenes[horas_efectivas],tblOrdenes[semana],$A413,tblOrdenes[clasificacion],"correctiva")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SUMIFS(tblOrdenes[horas_efectivas],tblOrdenes[semana],$A414,tblOrdenes[clasificacion],"preventiva")</f>
        <v/>
      </c>
      <c r="C414" s="17">
        <f>SUMIFS(tblOrdenes[horas_efectivas],tblOrdenes[semana],$A414,tblOrdenes[clasificacion],"correctiva")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SUMIFS(tblOrdenes[horas_efectivas],tblOrdenes[semana],$A415,tblOrdenes[clasificacion],"preventiva")</f>
        <v/>
      </c>
      <c r="C415" s="17">
        <f>SUMIFS(tblOrdenes[horas_efectivas],tblOrdenes[semana],$A415,tblOrdenes[clasificacion],"correctiva")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SUMIFS(tblOrdenes[horas_efectivas],tblOrdenes[semana],$A416,tblOrdenes[clasificacion],"preventiva")</f>
        <v/>
      </c>
      <c r="C416" s="17">
        <f>SUMIFS(tblOrdenes[horas_efectivas],tblOrdenes[semana],$A416,tblOrdenes[clasificacion],"correctiva")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SUMIFS(tblOrdenes[horas_efectivas],tblOrdenes[semana],$A417,tblOrdenes[clasificacion],"preventiva")</f>
        <v/>
      </c>
      <c r="C417" s="17">
        <f>SUMIFS(tblOrdenes[horas_efectivas],tblOrdenes[semana],$A417,tblOrdenes[clasificacion],"correctiva")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SUMIFS(tblOrdenes[horas_efectivas],tblOrdenes[semana],$A418,tblOrdenes[clasificacion],"preventiva")</f>
        <v/>
      </c>
      <c r="C418" s="17">
        <f>SUMIFS(tblOrdenes[horas_efectivas],tblOrdenes[semana],$A418,tblOrdenes[clasificacion],"correctiva")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SUMIFS(tblOrdenes[horas_efectivas],tblOrdenes[semana],$A419,tblOrdenes[clasificacion],"preventiva")</f>
        <v/>
      </c>
      <c r="C419" s="17">
        <f>SUMIFS(tblOrdenes[horas_efectivas],tblOrdenes[semana],$A419,tblOrdenes[clasificacion],"correctiva")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SUMIFS(tblOrdenes[horas_efectivas],tblOrdenes[semana],$A420,tblOrdenes[clasificacion],"preventiva")</f>
        <v/>
      </c>
      <c r="C420" s="17">
        <f>SUMIFS(tblOrdenes[horas_efectivas],tblOrdenes[semana],$A420,tblOrdenes[clasificacion],"correctiva")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SUMIFS(tblOrdenes[horas_efectivas],tblOrdenes[semana],$A421,tblOrdenes[clasificacion],"preventiva")</f>
        <v/>
      </c>
      <c r="C421" s="17">
        <f>SUMIFS(tblOrdenes[horas_efectivas],tblOrdenes[semana],$A421,tblOrdenes[clasificacion],"correctiva")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SUMIFS(tblOrdenes[horas_efectivas],tblOrdenes[semana],$A422,tblOrdenes[clasificacion],"preventiva")</f>
        <v/>
      </c>
      <c r="C422" s="17">
        <f>SUMIFS(tblOrdenes[horas_efectivas],tblOrdenes[semana],$A422,tblOrdenes[clasificacion],"correctiva")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SUMIFS(tblOrdenes[horas_efectivas],tblOrdenes[semana],$A423,tblOrdenes[clasificacion],"preventiva")</f>
        <v/>
      </c>
      <c r="C423" s="17">
        <f>SUMIFS(tblOrdenes[horas_efectivas],tblOrdenes[semana],$A423,tblOrdenes[clasificacion],"correctiva")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SUMIFS(tblOrdenes[horas_efectivas],tblOrdenes[semana],$A424,tblOrdenes[clasificacion],"preventiva")</f>
        <v/>
      </c>
      <c r="C424" s="17">
        <f>SUMIFS(tblOrdenes[horas_efectivas],tblOrdenes[semana],$A424,tblOrdenes[clasificacion],"correctiva")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SUMIFS(tblOrdenes[horas_efectivas],tblOrdenes[semana],$A425,tblOrdenes[clasificacion],"preventiva")</f>
        <v/>
      </c>
      <c r="C425" s="17">
        <f>SUMIFS(tblOrdenes[horas_efectivas],tblOrdenes[semana],$A425,tblOrdenes[clasificacion],"correctiva")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SUMIFS(tblOrdenes[horas_efectivas],tblOrdenes[semana],$A426,tblOrdenes[clasificacion],"preventiva")</f>
        <v/>
      </c>
      <c r="C426" s="17">
        <f>SUMIFS(tblOrdenes[horas_efectivas],tblOrdenes[semana],$A426,tblOrdenes[clasificacion],"correctiva")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SUMIFS(tblOrdenes[horas_efectivas],tblOrdenes[semana],$A427,tblOrdenes[clasificacion],"preventiva")</f>
        <v/>
      </c>
      <c r="C427" s="17">
        <f>SUMIFS(tblOrdenes[horas_efectivas],tblOrdenes[semana],$A427,tblOrdenes[clasificacion],"correctiva")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SUMIFS(tblOrdenes[horas_efectivas],tblOrdenes[semana],$A428,tblOrdenes[clasificacion],"preventiva")</f>
        <v/>
      </c>
      <c r="C428" s="17">
        <f>SUMIFS(tblOrdenes[horas_efectivas],tblOrdenes[semana],$A428,tblOrdenes[clasificacion],"correctiva")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SUMIFS(tblOrdenes[horas_efectivas],tblOrdenes[semana],$A429,tblOrdenes[clasificacion],"preventiva")</f>
        <v/>
      </c>
      <c r="C429" s="17">
        <f>SUMIFS(tblOrdenes[horas_efectivas],tblOrdenes[semana],$A429,tblOrdenes[clasificacion],"correctiva")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COUNTIFS(tblOrdenes[semana],$A5,tblOrdenes[es_habil],"sí")</f>
        <v/>
      </c>
      <c r="C5" s="3">
        <f>COUNTIFS(tblOrdenes[semana],$A5,tblOrdenes[estado],"Cerrada",tblOrdenes[es_habil],"sí")</f>
        <v/>
      </c>
      <c r="D5" s="18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COUNTIFS(tblOrdenes[semana],$A6,tblOrdenes[es_habil],"sí")</f>
        <v/>
      </c>
      <c r="C6" s="3">
        <f>COUNTIFS(tblOrdenes[semana],$A6,tblOrdenes[estado],"Cerrada",tblOrdenes[es_habil],"sí")</f>
        <v/>
      </c>
      <c r="D6" s="18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COUNTIFS(tblOrdenes[semana],$A7,tblOrdenes[es_habil],"sí")</f>
        <v/>
      </c>
      <c r="C7" s="3">
        <f>COUNTIFS(tblOrdenes[semana],$A7,tblOrdenes[estado],"Cerrada",tblOrdenes[es_habil],"sí")</f>
        <v/>
      </c>
      <c r="D7" s="18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COUNTIFS(tblOrdenes[semana],$A8,tblOrdenes[es_habil],"sí")</f>
        <v/>
      </c>
      <c r="C8" s="3">
        <f>COUNTIFS(tblOrdenes[semana],$A8,tblOrdenes[estado],"Cerrada",tblOrdenes[es_habil],"sí")</f>
        <v/>
      </c>
      <c r="D8" s="18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COUNTIFS(tblOrdenes[semana],$A9,tblOrdenes[es_habil],"sí")</f>
        <v/>
      </c>
      <c r="C9" s="3">
        <f>COUNTIFS(tblOrdenes[semana],$A9,tblOrdenes[estado],"Cerrada",tblOrdenes[es_habil],"sí")</f>
        <v/>
      </c>
      <c r="D9" s="18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COUNTIFS(tblOrdenes[semana],$A10,tblOrdenes[es_habil],"sí")</f>
        <v/>
      </c>
      <c r="C10" s="3">
        <f>COUNTIFS(tblOrdenes[semana],$A10,tblOrdenes[estado],"Cerrada",tblOrdenes[es_habil],"sí")</f>
        <v/>
      </c>
      <c r="D10" s="18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COUNTIFS(tblOrdenes[semana],$A11,tblOrdenes[es_habil],"sí")</f>
        <v/>
      </c>
      <c r="C11" s="3">
        <f>COUNTIFS(tblOrdenes[semana],$A11,tblOrdenes[estado],"Cerrada",tblOrdenes[es_habil],"sí")</f>
        <v/>
      </c>
      <c r="D11" s="18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COUNTIFS(tblOrdenes[semana],$A12,tblOrdenes[es_habil],"sí")</f>
        <v/>
      </c>
      <c r="C12" s="3">
        <f>COUNTIFS(tblOrdenes[semana],$A12,tblOrdenes[estado],"Cerrada",tblOrdenes[es_habil],"sí")</f>
        <v/>
      </c>
      <c r="D12" s="18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COUNTIFS(tblOrdenes[semana],$A13,tblOrdenes[es_habil],"sí")</f>
        <v/>
      </c>
      <c r="C13" s="3">
        <f>COUNTIFS(tblOrdenes[semana],$A13,tblOrdenes[estado],"Cerrada",tblOrdenes[es_habil],"sí")</f>
        <v/>
      </c>
      <c r="D13" s="18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COUNTIFS(tblOrdenes[semana],$A14,tblOrdenes[es_habil],"sí")</f>
        <v/>
      </c>
      <c r="C14" s="3">
        <f>COUNTIFS(tblOrdenes[semana],$A14,tblOrdenes[estado],"Cerrada",tblOrdenes[es_habil],"sí")</f>
        <v/>
      </c>
      <c r="D14" s="18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COUNTIFS(tblOrdenes[semana],$A15,tblOrdenes[es_habil],"sí")</f>
        <v/>
      </c>
      <c r="C15" s="3">
        <f>COUNTIFS(tblOrdenes[semana],$A15,tblOrdenes[estado],"Cerrada",tblOrdenes[es_habil],"sí")</f>
        <v/>
      </c>
      <c r="D15" s="18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COUNTIFS(tblOrdenes[semana],$A16,tblOrdenes[es_habil],"sí")</f>
        <v/>
      </c>
      <c r="C16" s="3">
        <f>COUNTIFS(tblOrdenes[semana],$A16,tblOrdenes[estado],"Cerrada",tblOrdenes[es_habil],"sí")</f>
        <v/>
      </c>
      <c r="D16" s="18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COUNTIFS(tblOrdenes[semana],$A17,tblOrdenes[es_habil],"sí")</f>
        <v/>
      </c>
      <c r="C17" s="3">
        <f>COUNTIFS(tblOrdenes[semana],$A17,tblOrdenes[estado],"Cerrada",tblOrdenes[es_habil],"sí")</f>
        <v/>
      </c>
      <c r="D17" s="18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COUNTIFS(tblOrdenes[semana],$A18,tblOrdenes[es_habil],"sí")</f>
        <v/>
      </c>
      <c r="C18" s="3">
        <f>COUNTIFS(tblOrdenes[semana],$A18,tblOrdenes[estado],"Cerrada",tblOrdenes[es_habil],"sí")</f>
        <v/>
      </c>
      <c r="D18" s="18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COUNTIFS(tblOrdenes[semana],$A19,tblOrdenes[es_habil],"sí")</f>
        <v/>
      </c>
      <c r="C19" s="3">
        <f>COUNTIFS(tblOrdenes[semana],$A19,tblOrdenes[estado],"Cerrada",tblOrdenes[es_habil],"sí")</f>
        <v/>
      </c>
      <c r="D19" s="18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COUNTIFS(tblOrdenes[semana],$A20,tblOrdenes[es_habil],"sí")</f>
        <v/>
      </c>
      <c r="C20" s="3">
        <f>COUNTIFS(tblOrdenes[semana],$A20,tblOrdenes[estado],"Cerrada",tblOrdenes[es_habil],"sí")</f>
        <v/>
      </c>
      <c r="D20" s="18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COUNTIFS(tblOrdenes[semana],$A21,tblOrdenes[es_habil],"sí")</f>
        <v/>
      </c>
      <c r="C21" s="3">
        <f>COUNTIFS(tblOrdenes[semana],$A21,tblOrdenes[estado],"Cerrada",tblOrdenes[es_habil],"sí")</f>
        <v/>
      </c>
      <c r="D21" s="18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COUNTIFS(tblOrdenes[semana],$A22,tblOrdenes[es_habil],"sí")</f>
        <v/>
      </c>
      <c r="C22" s="3">
        <f>COUNTIFS(tblOrdenes[semana],$A22,tblOrdenes[estado],"Cerrada",tblOrdenes[es_habil],"sí")</f>
        <v/>
      </c>
      <c r="D22" s="18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COUNTIFS(tblOrdenes[semana],$A23,tblOrdenes[es_habil],"sí")</f>
        <v/>
      </c>
      <c r="C23" s="3">
        <f>COUNTIFS(tblOrdenes[semana],$A23,tblOrdenes[estado],"Cerrada",tblOrdenes[es_habil],"sí")</f>
        <v/>
      </c>
      <c r="D23" s="18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COUNTIFS(tblOrdenes[semana],$A24,tblOrdenes[es_habil],"sí")</f>
        <v/>
      </c>
      <c r="C24" s="3">
        <f>COUNTIFS(tblOrdenes[semana],$A24,tblOrdenes[estado],"Cerrada",tblOrdenes[es_habil],"sí")</f>
        <v/>
      </c>
      <c r="D24" s="18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COUNTIFS(tblOrdenes[semana],$A25,tblOrdenes[es_habil],"sí")</f>
        <v/>
      </c>
      <c r="C25" s="3">
        <f>COUNTIFS(tblOrdenes[semana],$A25,tblOrdenes[estado],"Cerrada",tblOrdenes[es_habil],"sí")</f>
        <v/>
      </c>
      <c r="D25" s="18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COUNTIFS(tblOrdenes[semana],$A26,tblOrdenes[es_habil],"sí")</f>
        <v/>
      </c>
      <c r="C26" s="3">
        <f>COUNTIFS(tblOrdenes[semana],$A26,tblOrdenes[estado],"Cerrada",tblOrdenes[es_habil],"sí")</f>
        <v/>
      </c>
      <c r="D26" s="18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COUNTIFS(tblOrdenes[semana],$A27,tblOrdenes[es_habil],"sí")</f>
        <v/>
      </c>
      <c r="C27" s="3">
        <f>COUNTIFS(tblOrdenes[semana],$A27,tblOrdenes[estado],"Cerrada",tblOrdenes[es_habil],"sí")</f>
        <v/>
      </c>
      <c r="D27" s="18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COUNTIFS(tblOrdenes[semana],$A28,tblOrdenes[es_habil],"sí")</f>
        <v/>
      </c>
      <c r="C28" s="3">
        <f>COUNTIFS(tblOrdenes[semana],$A28,tblOrdenes[estado],"Cerrada",tblOrdenes[es_habil],"sí")</f>
        <v/>
      </c>
      <c r="D28" s="18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COUNTIFS(tblOrdenes[semana],$A29,tblOrdenes[es_habil],"sí")</f>
        <v/>
      </c>
      <c r="C29" s="3">
        <f>COUNTIFS(tblOrdenes[semana],$A29,tblOrdenes[estado],"Cerrada",tblOrdenes[es_habil],"sí")</f>
        <v/>
      </c>
      <c r="D29" s="18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COUNTIFS(tblOrdenes[semana],$A30,tblOrdenes[es_habil],"sí")</f>
        <v/>
      </c>
      <c r="C30" s="3">
        <f>COUNTIFS(tblOrdenes[semana],$A30,tblOrdenes[estado],"Cerrada",tblOrdenes[es_habil],"sí")</f>
        <v/>
      </c>
      <c r="D30" s="18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COUNTIFS(tblOrdenes[semana],$A31,tblOrdenes[es_habil],"sí")</f>
        <v/>
      </c>
      <c r="C31" s="3">
        <f>COUNTIFS(tblOrdenes[semana],$A31,tblOrdenes[estado],"Cerrada",tblOrdenes[es_habil],"sí")</f>
        <v/>
      </c>
      <c r="D31" s="18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8">
        <f>IF(E31=0,"",F31/E31)</f>
        <v/>
      </c>
      <c r="H31" s="20">
        <f>p_meta_adherencia</f>
        <v/>
      </c>
    </row>
    <row r="32" hidden="1">
      <c r="A32" s="3">
        <f>'PERFIL_HH'!$O$31</f>
        <v/>
      </c>
      <c r="B32" s="3">
        <f>COUNTIFS(tblOrdenes[semana],$A32,tblOrdenes[es_habil],"sí")</f>
        <v/>
      </c>
      <c r="C32" s="3">
        <f>COUNTIFS(tblOrdenes[semana],$A32,tblOrdenes[estado],"Cerrada",tblOrdenes[es_habil],"sí")</f>
        <v/>
      </c>
      <c r="D32" s="18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8">
        <f>IF(E32=0,"",F32/E32)</f>
        <v/>
      </c>
      <c r="H32" s="20">
        <f>p_meta_adherencia</f>
        <v/>
      </c>
    </row>
    <row r="33">
      <c r="A33" s="3">
        <f>'PERFIL_HH'!$O$32</f>
        <v/>
      </c>
      <c r="B33" s="3">
        <f>COUNTIFS(tblOrdenes[semana],$A33,tblOrdenes[es_habil],"sí")</f>
        <v/>
      </c>
      <c r="C33" s="3">
        <f>COUNTIFS(tblOrdenes[semana],$A33,tblOrdenes[estado],"Cerrada",tblOrdenes[es_habil],"sí")</f>
        <v/>
      </c>
      <c r="D33" s="18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COUNTIFS(tblOrdenes[semana],$A34,tblOrdenes[es_habil],"sí")</f>
        <v/>
      </c>
      <c r="C34" s="3">
        <f>COUNTIFS(tblOrdenes[semana],$A34,tblOrdenes[estado],"Cerrada",tblOrdenes[es_habil],"sí")</f>
        <v/>
      </c>
      <c r="D34" s="18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COUNTIFS(tblOrdenes[semana],$A35,tblOrdenes[es_habil],"sí")</f>
        <v/>
      </c>
      <c r="C35" s="3">
        <f>COUNTIFS(tblOrdenes[semana],$A35,tblOrdenes[estado],"Cerrada",tblOrdenes[es_habil],"sí")</f>
        <v/>
      </c>
      <c r="D35" s="18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COUNTIFS(tblOrdenes[semana],$A36,tblOrdenes[es_habil],"sí")</f>
        <v/>
      </c>
      <c r="C36" s="3">
        <f>COUNTIFS(tblOrdenes[semana],$A36,tblOrdenes[estado],"Cerrada",tblOrdenes[es_habil],"sí")</f>
        <v/>
      </c>
      <c r="D36" s="18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COUNTIFS(tblOrdenes[semana],$A37,tblOrdenes[es_habil],"sí")</f>
        <v/>
      </c>
      <c r="C37" s="3">
        <f>COUNTIFS(tblOrdenes[semana],$A37,tblOrdenes[estado],"Cerrada",tblOrdenes[es_habil],"sí")</f>
        <v/>
      </c>
      <c r="D37" s="18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COUNTIFS(tblOrdenes[semana],$A38,tblOrdenes[es_habil],"sí")</f>
        <v/>
      </c>
      <c r="C38" s="3">
        <f>COUNTIFS(tblOrdenes[semana],$A38,tblOrdenes[estado],"Cerrada",tblOrdenes[es_habil],"sí")</f>
        <v/>
      </c>
      <c r="D38" s="18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COUNTIFS(tblOrdenes[semana],$A39,tblOrdenes[es_habil],"sí")</f>
        <v/>
      </c>
      <c r="C39" s="3">
        <f>COUNTIFS(tblOrdenes[semana],$A39,tblOrdenes[estado],"Cerrada",tblOrdenes[es_habil],"sí")</f>
        <v/>
      </c>
      <c r="D39" s="18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COUNTIFS(tblOrdenes[semana],$A40,tblOrdenes[es_habil],"sí")</f>
        <v/>
      </c>
      <c r="C40" s="3">
        <f>COUNTIFS(tblOrdenes[semana],$A40,tblOrdenes[estado],"Cerrada",tblOrdenes[es_habil],"sí")</f>
        <v/>
      </c>
      <c r="D40" s="18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COUNTIFS(tblOrdenes[semana],$A41,tblOrdenes[es_habil],"sí")</f>
        <v/>
      </c>
      <c r="C41" s="3">
        <f>COUNTIFS(tblOrdenes[semana],$A41,tblOrdenes[estado],"Cerrada",tblOrdenes[es_habil],"sí")</f>
        <v/>
      </c>
      <c r="D41" s="18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COUNTIFS(tblOrdenes[semana],$A42,tblOrdenes[es_habil],"sí")</f>
        <v/>
      </c>
      <c r="C42" s="3">
        <f>COUNTIFS(tblOrdenes[semana],$A42,tblOrdenes[estado],"Cerrada",tblOrdenes[es_habil],"sí")</f>
        <v/>
      </c>
      <c r="D42" s="18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COUNTIFS(tblOrdenes[semana],$A43,tblOrdenes[es_habil],"sí")</f>
        <v/>
      </c>
      <c r="C43" s="3">
        <f>COUNTIFS(tblOrdenes[semana],$A43,tblOrdenes[estado],"Cerrada",tblOrdenes[es_habil],"sí")</f>
        <v/>
      </c>
      <c r="D43" s="18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COUNTIFS(tblOrdenes[semana],$A44,tblOrdenes[es_habil],"sí")</f>
        <v/>
      </c>
      <c r="C44" s="3">
        <f>COUNTIFS(tblOrdenes[semana],$A44,tblOrdenes[estado],"Cerrada",tblOrdenes[es_habil],"sí")</f>
        <v/>
      </c>
      <c r="D44" s="18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COUNTIFS(tblOrdenes[semana],$A45,tblOrdenes[es_habil],"sí")</f>
        <v/>
      </c>
      <c r="C45" s="3">
        <f>COUNTIFS(tblOrdenes[semana],$A45,tblOrdenes[estado],"Cerrada",tblOrdenes[es_habil],"sí")</f>
        <v/>
      </c>
      <c r="D45" s="18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COUNTIFS(tblOrdenes[semana],$A46,tblOrdenes[es_habil],"sí")</f>
        <v/>
      </c>
      <c r="C46" s="3">
        <f>COUNTIFS(tblOrdenes[semana],$A46,tblOrdenes[estado],"Cerrada",tblOrdenes[es_habil],"sí")</f>
        <v/>
      </c>
      <c r="D46" s="18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COUNTIFS(tblOrdenes[semana],$A47,tblOrdenes[es_habil],"sí")</f>
        <v/>
      </c>
      <c r="C47" s="3">
        <f>COUNTIFS(tblOrdenes[semana],$A47,tblOrdenes[estado],"Cerrada",tblOrdenes[es_habil],"sí")</f>
        <v/>
      </c>
      <c r="D47" s="18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COUNTIFS(tblOrdenes[semana],$A48,tblOrdenes[es_habil],"sí")</f>
        <v/>
      </c>
      <c r="C48" s="3">
        <f>COUNTIFS(tblOrdenes[semana],$A48,tblOrdenes[estado],"Cerrada",tblOrdenes[es_habil],"sí")</f>
        <v/>
      </c>
      <c r="D48" s="18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COUNTIFS(tblOrdenes[semana],$A49,tblOrdenes[es_habil],"sí")</f>
        <v/>
      </c>
      <c r="C49" s="3">
        <f>COUNTIFS(tblOrdenes[semana],$A49,tblOrdenes[estado],"Cerrada",tblOrdenes[es_habil],"sí")</f>
        <v/>
      </c>
      <c r="D49" s="18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COUNTIFS(tblOrdenes[semana],$A50,tblOrdenes[es_habil],"sí")</f>
        <v/>
      </c>
      <c r="C50" s="3">
        <f>COUNTIFS(tblOrdenes[semana],$A50,tblOrdenes[estado],"Cerrada",tblOrdenes[es_habil],"sí")</f>
        <v/>
      </c>
      <c r="D50" s="18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COUNTIFS(tblOrdenes[semana],$A51,tblOrdenes[es_habil],"sí")</f>
        <v/>
      </c>
      <c r="C51" s="3">
        <f>COUNTIFS(tblOrdenes[semana],$A51,tblOrdenes[estado],"Cerrada",tblOrdenes[es_habil],"sí")</f>
        <v/>
      </c>
      <c r="D51" s="18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COUNTIFS(tblOrdenes[semana],$A52,tblOrdenes[es_habil],"sí")</f>
        <v/>
      </c>
      <c r="C52" s="3">
        <f>COUNTIFS(tblOrdenes[semana],$A52,tblOrdenes[estado],"Cerrada",tblOrdenes[es_habil],"sí")</f>
        <v/>
      </c>
      <c r="D52" s="18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COUNTIFS(tblOrdenes[semana],$A53,tblOrdenes[es_habil],"sí")</f>
        <v/>
      </c>
      <c r="C53" s="3">
        <f>COUNTIFS(tblOrdenes[semana],$A53,tblOrdenes[estado],"Cerrada",tblOrdenes[es_habil],"sí")</f>
        <v/>
      </c>
      <c r="D53" s="18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COUNTIFS(tblOrdenes[semana],$A54,tblOrdenes[es_habil],"sí")</f>
        <v/>
      </c>
      <c r="C54" s="3">
        <f>COUNTIFS(tblOrdenes[semana],$A54,tblOrdenes[estado],"Cerrada",tblOrdenes[es_habil],"sí")</f>
        <v/>
      </c>
      <c r="D54" s="18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COUNTIFS(tblOrdenes[semana],$A55,tblOrdenes[es_habil],"sí")</f>
        <v/>
      </c>
      <c r="C55" s="3">
        <f>COUNTIFS(tblOrdenes[semana],$A55,tblOrdenes[estado],"Cerrada",tblOrdenes[es_habil],"sí")</f>
        <v/>
      </c>
      <c r="D55" s="18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COUNTIFS(tblOrdenes[semana],$A56,tblOrdenes[es_habil],"sí")</f>
        <v/>
      </c>
      <c r="C56" s="3">
        <f>COUNTIFS(tblOrdenes[semana],$A56,tblOrdenes[estado],"Cerrada",tblOrdenes[es_habil],"sí")</f>
        <v/>
      </c>
      <c r="D56" s="18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COUNTIFS(tblOrdenes[semana],$A57,tblOrdenes[es_habil],"sí")</f>
        <v/>
      </c>
      <c r="C57" s="3">
        <f>COUNTIFS(tblOrdenes[semana],$A57,tblOrdenes[estado],"Cerrada",tblOrdenes[es_habil],"sí")</f>
        <v/>
      </c>
      <c r="D57" s="18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COUNTIFS(tblOrdenes[semana],$A58,tblOrdenes[es_habil],"sí")</f>
        <v/>
      </c>
      <c r="C58" s="3">
        <f>COUNTIFS(tblOrdenes[semana],$A58,tblOrdenes[estado],"Cerrada",tblOrdenes[es_habil],"sí")</f>
        <v/>
      </c>
      <c r="D58" s="18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COUNTIFS(tblOrdenes[semana],$A59,tblOrdenes[es_habil],"sí")</f>
        <v/>
      </c>
      <c r="C59" s="3">
        <f>COUNTIFS(tblOrdenes[semana],$A59,tblOrdenes[estado],"Cerrada",tblOrdenes[es_habil],"sí")</f>
        <v/>
      </c>
      <c r="D59" s="18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COUNTIFS(tblOrdenes[semana],$A60,tblOrdenes[es_habil],"sí")</f>
        <v/>
      </c>
      <c r="C60" s="3">
        <f>COUNTIFS(tblOrdenes[semana],$A60,tblOrdenes[estado],"Cerrada",tblOrdenes[es_habil],"sí")</f>
        <v/>
      </c>
      <c r="D60" s="18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COUNTIFS(tblOrdenes[semana],$A61,tblOrdenes[es_habil],"sí")</f>
        <v/>
      </c>
      <c r="C61" s="3">
        <f>COUNTIFS(tblOrdenes[semana],$A61,tblOrdenes[estado],"Cerrada",tblOrdenes[es_habil],"sí")</f>
        <v/>
      </c>
      <c r="D61" s="18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COUNTIFS(tblOrdenes[semana],$A62,tblOrdenes[es_habil],"sí")</f>
        <v/>
      </c>
      <c r="C62" s="3">
        <f>COUNTIFS(tblOrdenes[semana],$A62,tblOrdenes[estado],"Cerrada",tblOrdenes[es_habil],"sí")</f>
        <v/>
      </c>
      <c r="D62" s="18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COUNTIFS(tblOrdenes[semana],$A63,tblOrdenes[es_habil],"sí")</f>
        <v/>
      </c>
      <c r="C63" s="3">
        <f>COUNTIFS(tblOrdenes[semana],$A63,tblOrdenes[estado],"Cerrada",tblOrdenes[es_habil],"sí")</f>
        <v/>
      </c>
      <c r="D63" s="18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COUNTIFS(tblOrdenes[semana],$A64,tblOrdenes[es_habil],"sí")</f>
        <v/>
      </c>
      <c r="C64" s="3">
        <f>COUNTIFS(tblOrdenes[semana],$A64,tblOrdenes[estado],"Cerrada",tblOrdenes[es_habil],"sí")</f>
        <v/>
      </c>
      <c r="D64" s="18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COUNTIFS(tblOrdenes[area],$A68,tblOrdenes[es_habil],"sí")</f>
        <v/>
      </c>
      <c r="C68" s="3">
        <f>COUNTIFS(tblOrdenes[area],$A68,tblOrdenes[estado],"Cerrada",tblOrdenes[es_habil],"sí")</f>
        <v/>
      </c>
      <c r="D68" s="18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COUNTIFS(tblOrdenes[area],$A69,tblOrdenes[es_habil],"sí")</f>
        <v/>
      </c>
      <c r="C69" s="3">
        <f>COUNTIFS(tblOrdenes[area],$A69,tblOrdenes[estado],"Cerrada",tblOrdenes[es_habil],"sí")</f>
        <v/>
      </c>
      <c r="D69" s="18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COUNTIFS(tblOrdenes[area],$A70,tblOrdenes[es_habil],"sí")</f>
        <v/>
      </c>
      <c r="C70" s="3">
        <f>COUNTIFS(tblOrdenes[area],$A70,tblOrdenes[estado],"Cerrada",tblOrdenes[es_habil],"sí")</f>
        <v/>
      </c>
      <c r="D70" s="18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COUNTIFS(tblOrdenes[sub_area],$A74,tblOrdenes[es_habil],"sí")</f>
        <v/>
      </c>
      <c r="C74" s="3">
        <f>COUNTIFS(tblOrdenes[sub_area],$A74,tblOrdenes[estado],"Cerrada",tblOrdenes[es_habil],"sí")</f>
        <v/>
      </c>
      <c r="D74" s="18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COUNTIFS(tblOrdenes[sub_area],$A75,tblOrdenes[es_habil],"sí")</f>
        <v/>
      </c>
      <c r="C75" s="3">
        <f>COUNTIFS(tblOrdenes[sub_area],$A75,tblOrdenes[estado],"Cerrada",tblOrdenes[es_habil],"sí")</f>
        <v/>
      </c>
      <c r="D75" s="18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COUNTIFS(tblOrdenes[sub_area],$A76,tblOrdenes[es_habil],"sí")</f>
        <v/>
      </c>
      <c r="C76" s="3">
        <f>COUNTIFS(tblOrdenes[sub_area],$A76,tblOrdenes[estado],"Cerrada",tblOrdenes[es_habil],"sí")</f>
        <v/>
      </c>
      <c r="D76" s="18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COUNTIFS(tblOrdenes[sub_area],$A77,tblOrdenes[es_habil],"sí")</f>
        <v/>
      </c>
      <c r="C77" s="3">
        <f>COUNTIFS(tblOrdenes[sub_area],$A77,tblOrdenes[estado],"Cerrada",tblOrdenes[es_habil],"sí")</f>
        <v/>
      </c>
      <c r="D77" s="18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COUNTIFS(tblOrdenes[sub_area],$A78,tblOrdenes[es_habil],"sí")</f>
        <v/>
      </c>
      <c r="C78" s="3">
        <f>COUNTIFS(tblOrdenes[sub_area],$A78,tblOrdenes[estado],"Cerrada",tblOrdenes[es_habil],"sí")</f>
        <v/>
      </c>
      <c r="D78" s="18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COUNTIFS(tblOrdenes[sub_area],$A79,tblOrdenes[es_habil],"sí")</f>
        <v/>
      </c>
      <c r="C79" s="3">
        <f>COUNTIFS(tblOrdenes[sub_area],$A79,tblOrdenes[estado],"Cerrada",tblOrdenes[es_habil],"sí")</f>
        <v/>
      </c>
      <c r="D79" s="18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COUNTIFS(tblOrdenes[especialidad],$A83,tblOrdenes[es_habil],"sí")</f>
        <v/>
      </c>
      <c r="C83" s="3">
        <f>COUNTIFS(tblOrdenes[especialidad],$A83,tblOrdenes[estado],"Cerrada",tblOrdenes[es_habil],"sí")</f>
        <v/>
      </c>
      <c r="D83" s="18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COUNTIFS(tblOrdenes[especialidad],$A84,tblOrdenes[es_habil],"sí")</f>
        <v/>
      </c>
      <c r="C84" s="3">
        <f>COUNTIFS(tblOrdenes[especialidad],$A84,tblOrdenes[estado],"Cerrada",tblOrdenes[es_habil],"sí")</f>
        <v/>
      </c>
      <c r="D84" s="18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COUNTIFS(tblOrdenes[especialidad],$A85,tblOrdenes[es_habil],"sí")</f>
        <v/>
      </c>
      <c r="C85" s="3">
        <f>COUNTIFS(tblOrdenes[especialidad],$A85,tblOrdenes[estado],"Cerrada",tblOrdenes[es_habil],"sí")</f>
        <v/>
      </c>
      <c r="D85" s="18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COUNTIFS(tblOrdenes[especialidad],$A86,tblOrdenes[es_habil],"sí")</f>
        <v/>
      </c>
      <c r="C86" s="3">
        <f>COUNTIFS(tblOrdenes[especialidad],$A86,tblOrdenes[estado],"Cerrada",tblOrdenes[es_habil],"sí")</f>
        <v/>
      </c>
      <c r="D86" s="18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COUNTIFS(tblOrdenes[especialidad],$A87,tblOrdenes[es_habil],"sí")</f>
        <v/>
      </c>
      <c r="C87" s="3">
        <f>COUNTIFS(tblOrdenes[especialidad],$A87,tblOrdenes[estado],"Cerrada",tblOrdenes[es_habil],"sí")</f>
        <v/>
      </c>
      <c r="D87" s="18">
        <f>IF(B87=0,"",C87/B87)</f>
        <v/>
      </c>
      <c r="E87" s="17">
        <f>SUMIFS(tblOrdenes[horas_efectivas],tblOrdenes[especialidad],$A87,tblOrdenes[es_habil],"sí")</f>
        <v/>
      </c>
      <c r="F87" s="17">
        <f>SUMIFS(tblOrdenes[horas_efectivas],tblOrdenes[especialidad],$A87,tblOrdenes[estado],"Cerrada",tblOrdenes[es_habil],"sí")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COUNTIFS(tblOrdenes[coordinador],$A91,tblOrdenes[es_habil],"sí")</f>
        <v/>
      </c>
      <c r="C91" s="3">
        <f>COUNTIFS(tblOrdenes[coordinador],$A91,tblOrdenes[estado],"Cerrada",tblOrdenes[es_habil],"sí")</f>
        <v/>
      </c>
      <c r="D91" s="18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COUNTIFS(tblOrdenes[coordinador],$A92,tblOrdenes[es_habil],"sí")</f>
        <v/>
      </c>
      <c r="C92" s="3">
        <f>COUNTIFS(tblOrdenes[coordinador],$A92,tblOrdenes[estado],"Cerrada",tblOrdenes[es_habil],"sí")</f>
        <v/>
      </c>
      <c r="D92" s="18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COUNTIFS(tblOrdenes[coordinador],$A93,tblOrdenes[es_habil],"sí")</f>
        <v/>
      </c>
      <c r="C93" s="3">
        <f>COUNTIFS(tblOrdenes[coordinador],$A93,tblOrdenes[estado],"Cerrada",tblOrdenes[es_habil],"sí")</f>
        <v/>
      </c>
      <c r="D93" s="18">
        <f>IF(B93=0,"",C93/B93)</f>
        <v/>
      </c>
      <c r="E93" s="17">
        <f>SUMIFS(tblOrdenes[horas_efectivas],tblOrdenes[coordinador],$A93,tblOrdenes[es_habil],"sí")</f>
        <v/>
      </c>
      <c r="F93" s="17">
        <f>SUMIFS(tblOrdenes[horas_efectivas],tblOrdenes[coordinador],$A93,tblOrdenes[estado],"Cerrada",tblOrdenes[es_habil],"sí")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COUNTIFS(tblOrdenes[clasificacion],$A97,tblOrdenes[es_habil],"sí")</f>
        <v/>
      </c>
      <c r="C97" s="3">
        <f>COUNTIFS(tblOrdenes[clasificacion],$A97,tblOrdenes[estado],"Cerrada",tblOrdenes[es_habil],"sí")</f>
        <v/>
      </c>
      <c r="D97" s="18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COUNTIFS(tblOrdenes[clasificacion],$A98,tblOrdenes[es_habil],"sí")</f>
        <v/>
      </c>
      <c r="C98" s="3">
        <f>COUNTIFS(tblOrdenes[clasificacion],$A98,tblOrdenes[estado],"Cerrada",tblOrdenes[es_habil],"sí")</f>
        <v/>
      </c>
      <c r="D98" s="18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COUNTIFS(tblOrdenes[clasificacion],$A99,tblOrdenes[es_habil],"sí")</f>
        <v/>
      </c>
      <c r="C99" s="3">
        <f>COUNTIFS(tblOrdenes[clasificacion],$A99,tblOrdenes[estado],"Cerrada",tblOrdenes[es_habil],"sí")</f>
        <v/>
      </c>
      <c r="D99" s="18">
        <f>IF(B99=0,"",C99/B99)</f>
        <v/>
      </c>
      <c r="E99" s="17">
        <f>SUMIFS(tblOrdenes[horas_efectivas],tblOrdenes[clasificacion],$A99,tblOrdenes[es_habil],"sí")</f>
        <v/>
      </c>
      <c r="F99" s="17">
        <f>SUMIFS(tblOrdenes[horas_efectivas],tblOrdenes[clasificacion],$A99,tblOrdenes[estado],"Cerrada",tblOrdenes[es_habil],"sí")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COUNTIFS(tblOrdenes[tecnico_asignado],$A103,tblOrdenes[es_habil],"sí")</f>
        <v/>
      </c>
      <c r="C103" s="3">
        <f>COUNTIFS(tblOrdenes[tecnico_asignado],$A103,tblOrdenes[estado],"Cerrada",tblOrdenes[es_habil],"sí")</f>
        <v/>
      </c>
      <c r="D103" s="18">
        <f>IF(B103=0,"",C103/B103)</f>
        <v/>
      </c>
      <c r="E103" s="17">
        <f>SUMIFS(tblOrdenes[horas_efectivas],tblOrdenes[tecnico_asignado],$A103,tblOrdenes[es_habil],"sí")</f>
        <v/>
      </c>
      <c r="F103" s="17">
        <f>SUMIFS(tblOrdenes[horas_efectivas],tblOrdenes[tecnico_asignado],$A103,tblOrdenes[estado],"Cerrada",tblOrdenes[es_habil],"sí")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COUNTIFS(tblOrdenes[tecnico_asignado],$A104,tblOrdenes[es_habil],"sí")</f>
        <v/>
      </c>
      <c r="C104" s="3">
        <f>COUNTIFS(tblOrdenes[tecnico_asignado],$A104,tblOrdenes[estado],"Cerrada",tblOrdenes[es_habil],"sí")</f>
        <v/>
      </c>
      <c r="D104" s="18">
        <f>IF(B104=0,"",C104/B104)</f>
        <v/>
      </c>
      <c r="E104" s="17">
        <f>SUMIFS(tblOrdenes[horas_efectivas],tblOrdenes[tecnico_asignado],$A104,tblOrdenes[es_habil],"sí")</f>
        <v/>
      </c>
      <c r="F104" s="17">
        <f>SUMIFS(tblOrdenes[horas_efectivas],tblOrdenes[tecnico_asignado],$A104,tblOrdenes[estado],"Cerrada",tblOrdenes[es_habil],"sí")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COUNTIFS(tblOrdenes[tecnico_asignado],$A105,tblOrdenes[es_habil],"sí")</f>
        <v/>
      </c>
      <c r="C105" s="3">
        <f>COUNTIFS(tblOrdenes[tecnico_asignado],$A105,tblOrdenes[estado],"Cerrada",tblOrdenes[es_habil],"sí")</f>
        <v/>
      </c>
      <c r="D105" s="18">
        <f>IF(B105=0,"",C105/B105)</f>
        <v/>
      </c>
      <c r="E105" s="17">
        <f>SUMIFS(tblOrdenes[horas_efectivas],tblOrdenes[tecnico_asignado],$A105,tblOrdenes[es_habil],"sí")</f>
        <v/>
      </c>
      <c r="F105" s="17">
        <f>SUMIFS(tblOrdenes[horas_efectivas],tblOrdenes[tecnico_asignado],$A105,tblOrdenes[estado],"Cerrada",tblOrdenes[es_habil],"sí")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COUNTIFS(tblOrdenes[tecnico_asignado],$A106,tblOrdenes[es_habil],"sí")</f>
        <v/>
      </c>
      <c r="C106" s="3">
        <f>COUNTIFS(tblOrdenes[tecnico_asignado],$A106,tblOrdenes[estado],"Cerrada",tblOrdenes[es_habil],"sí")</f>
        <v/>
      </c>
      <c r="D106" s="18">
        <f>IF(B106=0,"",C106/B106)</f>
        <v/>
      </c>
      <c r="E106" s="17">
        <f>SUMIFS(tblOrdenes[horas_efectivas],tblOrdenes[tecnico_asignado],$A106,tblOrdenes[es_habil],"sí")</f>
        <v/>
      </c>
      <c r="F106" s="17">
        <f>SUMIFS(tblOrdenes[horas_efectivas],tblOrdenes[tecnico_asignado],$A106,tblOrdenes[estado],"Cerrada",tblOrdenes[es_habil],"sí")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COUNTIFS(tblOrdenes[tecnico_asignado],$A107,tblOrdenes[es_habil],"sí")</f>
        <v/>
      </c>
      <c r="C107" s="3">
        <f>COUNTIFS(tblOrdenes[tecnico_asignado],$A107,tblOrdenes[estado],"Cerrada",tblOrdenes[es_habil],"sí")</f>
        <v/>
      </c>
      <c r="D107" s="18">
        <f>IF(B107=0,"",C107/B107)</f>
        <v/>
      </c>
      <c r="E107" s="17">
        <f>SUMIFS(tblOrdenes[horas_efectivas],tblOrdenes[tecnico_asignado],$A107,tblOrdenes[es_habil],"sí")</f>
        <v/>
      </c>
      <c r="F107" s="17">
        <f>SUMIFS(tblOrdenes[horas_efectivas],tblOrdenes[tecnico_asignado],$A107,tblOrdenes[estado],"Cerrada",tblOrdenes[es_habil],"sí")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COUNTIFS(tblOrdenes[tecnico_asignado],$A108,tblOrdenes[es_habil],"sí")</f>
        <v/>
      </c>
      <c r="C108" s="3">
        <f>COUNTIFS(tblOrdenes[tecnico_asignado],$A108,tblOrdenes[estado],"Cerrada",tblOrdenes[es_habil],"sí")</f>
        <v/>
      </c>
      <c r="D108" s="18">
        <f>IF(B108=0,"",C108/B108)</f>
        <v/>
      </c>
      <c r="E108" s="17">
        <f>SUMIFS(tblOrdenes[horas_efectivas],tblOrdenes[tecnico_asignado],$A108,tblOrdenes[es_habil],"sí")</f>
        <v/>
      </c>
      <c r="F108" s="17">
        <f>SUMIFS(tblOrdenes[horas_efectivas],tblOrdenes[tecnico_asignado],$A108,tblOrdenes[estado],"Cerrada",tblOrdenes[es_habil],"sí")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COUNTIFS(tblOrdenes[tecnico_asignado],$A109,tblOrdenes[es_habil],"sí")</f>
        <v/>
      </c>
      <c r="C109" s="3">
        <f>COUNTIFS(tblOrdenes[tecnico_asignado],$A109,tblOrdenes[estado],"Cerrada",tblOrdenes[es_habil],"sí")</f>
        <v/>
      </c>
      <c r="D109" s="18">
        <f>IF(B109=0,"",C109/B109)</f>
        <v/>
      </c>
      <c r="E109" s="17">
        <f>SUMIFS(tblOrdenes[horas_efectivas],tblOrdenes[tecnico_asignado],$A109,tblOrdenes[es_habil],"sí")</f>
        <v/>
      </c>
      <c r="F109" s="17">
        <f>SUMIFS(tblOrdenes[horas_efectivas],tblOrdenes[tecnico_asignado],$A109,tblOrdenes[estado],"Cerrada",tblOrdenes[es_habil],"sí")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COUNTIFS(tblOrdenes[tecnico_asignado],$A110,tblOrdenes[es_habil],"sí")</f>
        <v/>
      </c>
      <c r="C110" s="3">
        <f>COUNTIFS(tblOrdenes[tecnico_asignado],$A110,tblOrdenes[estado],"Cerrada",tblOrdenes[es_habil],"sí")</f>
        <v/>
      </c>
      <c r="D110" s="18">
        <f>IF(B110=0,"",C110/B110)</f>
        <v/>
      </c>
      <c r="E110" s="17">
        <f>SUMIFS(tblOrdenes[horas_efectivas],tblOrdenes[tecnico_asignado],$A110,tblOrdenes[es_habil],"sí")</f>
        <v/>
      </c>
      <c r="F110" s="17">
        <f>SUMIFS(tblOrdenes[horas_efectivas],tblOrdenes[tecnico_asignado],$A110,tblOrdenes[estado],"Cerrada",tblOrdenes[es_habil],"sí")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COUNTIFS(tblOrdenes[tecnico_asignado],$A111,tblOrdenes[es_habil],"sí")</f>
        <v/>
      </c>
      <c r="C111" s="3">
        <f>COUNTIFS(tblOrdenes[tecnico_asignado],$A111,tblOrdenes[estado],"Cerrada",tblOrdenes[es_habil],"sí")</f>
        <v/>
      </c>
      <c r="D111" s="18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COUNTIFS(tblOrdenes[tecnico_asignado],$A112,tblOrdenes[es_habil],"sí")</f>
        <v/>
      </c>
      <c r="C112" s="3">
        <f>COUNTIFS(tblOrdenes[tecnico_asignado],$A112,tblOrdenes[estado],"Cerrada",tblOrdenes[es_habil],"sí")</f>
        <v/>
      </c>
      <c r="D112" s="18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COUNTIFS(tblOrdenes[tecnico_asignado],$A113,tblOrdenes[es_habil],"sí")</f>
        <v/>
      </c>
      <c r="C113" s="3">
        <f>COUNTIFS(tblOrdenes[tecnico_asignado],$A113,tblOrdenes[estado],"Cerrada",tblOrdenes[es_habil],"sí")</f>
        <v/>
      </c>
      <c r="D113" s="18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COUNTIFS(tblOrdenes[tecnico_asignado],$A114,tblOrdenes[es_habil],"sí")</f>
        <v/>
      </c>
      <c r="C114" s="3">
        <f>COUNTIFS(tblOrdenes[tecnico_asignado],$A114,tblOrdenes[estado],"Cerrada",tblOrdenes[es_habil],"sí")</f>
        <v/>
      </c>
      <c r="D114" s="18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SUMIFS(tblOrdenes[costo_plan],tblOrdenes[area],$A6,tblOrdenes[anio],K$4,tblOrdenes[mes],K$5)</f>
        <v/>
      </c>
      <c r="L6" s="10">
        <f>SUM(B6:K6)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SUMIFS(tblOrdenes[costo_plan],tblOrdenes[area],$A7,tblOrdenes[anio],K$4,tblOrdenes[mes],K$5)</f>
        <v/>
      </c>
      <c r="L7" s="10">
        <f>SUM(B7:K7)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SUMIFS(tblOrdenes[costo_plan],tblOrdenes[area],$A8,tblOrdenes[anio],K$4,tblOrdenes[mes],K$5)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SUMIFS(tblOrdenes[costo_total],tblOrdenes[area],$A14,tblOrdenes[anio],K$12,tblOrdenes[mes],K$13)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SUMIFS(tblOrdenes[costo_total],tblOrdenes[area],$A15,tblOrdenes[anio],K$12,tblOrdenes[mes],K$13)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SUMIFS(tblOrdenes[costo_total],tblOrdenes[area],$A16,tblOrdenes[anio],K$12,tblOrdenes[mes],K$13)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SUMIFS(tblOrdenes[costo_total],tblOrdenes[sub_area],$A28,tblOrdenes[anio],B$26,tblOrdenes[mes],B$27)</f>
        <v/>
      </c>
      <c r="C28" s="10">
        <f>SUMIFS(tblOrdenes[costo_total],tblOrdenes[sub_area],$A28,tblOrdenes[anio],C$26,tblOrdenes[mes],C$27)</f>
        <v/>
      </c>
      <c r="D28" s="10">
        <f>SUMIFS(tblOrdenes[costo_total],tblOrdenes[sub_area],$A28,tblOrdenes[anio],D$26,tblOrdenes[mes],D$27)</f>
        <v/>
      </c>
      <c r="E28" s="10">
        <f>SUMIFS(tblOrdenes[costo_total],tblOrdenes[sub_area],$A28,tblOrdenes[anio],E$26,tblOrdenes[mes],E$27)</f>
        <v/>
      </c>
      <c r="F28" s="10">
        <f>SUMIFS(tblOrdenes[costo_total],tblOrdenes[sub_area],$A28,tblOrdenes[anio],F$26,tblOrdenes[mes],F$27)</f>
        <v/>
      </c>
      <c r="G28" s="10">
        <f>SUMIFS(tblOrdenes[costo_total],tblOrdenes[sub_area],$A28,tblOrdenes[anio],G$26,tblOrdenes[mes],G$27)</f>
        <v/>
      </c>
      <c r="H28" s="10">
        <f>SUMIFS(tblOrdenes[costo_total],tblOrdenes[sub_area],$A28,tblOrdenes[anio],H$26,tblOrdenes[mes],H$27)</f>
        <v/>
      </c>
      <c r="I28" s="10">
        <f>SUMIFS(tblOrdenes[costo_total],tblOrdenes[sub_area],$A28,tblOrdenes[anio],I$26,tblOrdenes[mes],I$27)</f>
        <v/>
      </c>
      <c r="J28" s="10">
        <f>SUMIFS(tblOrdenes[costo_total],tblOrdenes[sub_area],$A28,tblOrdenes[anio],J$26,tblOrdenes[mes],J$27)</f>
        <v/>
      </c>
      <c r="K28" s="10">
        <f>SUMIFS(tblOrdenes[costo_total],tblOrdenes[sub_area],$A28,tblOrdenes[anio],K$26,tblOrdenes[mes],K$27)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SUMIFS(tblOrdenes[costo_total],tblOrdenes[sub_area],$A29,tblOrdenes[anio],B$26,tblOrdenes[mes],B$27)</f>
        <v/>
      </c>
      <c r="C29" s="10">
        <f>SUMIFS(tblOrdenes[costo_total],tblOrdenes[sub_area],$A29,tblOrdenes[anio],C$26,tblOrdenes[mes],C$27)</f>
        <v/>
      </c>
      <c r="D29" s="10">
        <f>SUMIFS(tblOrdenes[costo_total],tblOrdenes[sub_area],$A29,tblOrdenes[anio],D$26,tblOrdenes[mes],D$27)</f>
        <v/>
      </c>
      <c r="E29" s="10">
        <f>SUMIFS(tblOrdenes[costo_total],tblOrdenes[sub_area],$A29,tblOrdenes[anio],E$26,tblOrdenes[mes],E$27)</f>
        <v/>
      </c>
      <c r="F29" s="10">
        <f>SUMIFS(tblOrdenes[costo_total],tblOrdenes[sub_area],$A29,tblOrdenes[anio],F$26,tblOrdenes[mes],F$27)</f>
        <v/>
      </c>
      <c r="G29" s="10">
        <f>SUMIFS(tblOrdenes[costo_total],tblOrdenes[sub_area],$A29,tblOrdenes[anio],G$26,tblOrdenes[mes],G$27)</f>
        <v/>
      </c>
      <c r="H29" s="10">
        <f>SUMIFS(tblOrdenes[costo_total],tblOrdenes[sub_area],$A29,tblOrdenes[anio],H$26,tblOrdenes[mes],H$27)</f>
        <v/>
      </c>
      <c r="I29" s="10">
        <f>SUMIFS(tblOrdenes[costo_total],tblOrdenes[sub_area],$A29,tblOrdenes[anio],I$26,tblOrdenes[mes],I$27)</f>
        <v/>
      </c>
      <c r="J29" s="10">
        <f>SUMIFS(tblOrdenes[costo_total],tblOrdenes[sub_area],$A29,tblOrdenes[anio],J$26,tblOrdenes[mes],J$27)</f>
        <v/>
      </c>
      <c r="K29" s="10">
        <f>SUMIFS(tblOrdenes[costo_total],tblOrdenes[sub_area],$A29,tblOrdenes[anio],K$26,tblOrdenes[mes],K$27)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SUMIFS(tblOrdenes[costo_total],tblOrdenes[sub_area],$A30,tblOrdenes[anio],B$26,tblOrdenes[mes],B$27)</f>
        <v/>
      </c>
      <c r="C30" s="10">
        <f>SUMIFS(tblOrdenes[costo_total],tblOrdenes[sub_area],$A30,tblOrdenes[anio],C$26,tblOrdenes[mes],C$27)</f>
        <v/>
      </c>
      <c r="D30" s="10">
        <f>SUMIFS(tblOrdenes[costo_total],tblOrdenes[sub_area],$A30,tblOrdenes[anio],D$26,tblOrdenes[mes],D$27)</f>
        <v/>
      </c>
      <c r="E30" s="10">
        <f>SUMIFS(tblOrdenes[costo_total],tblOrdenes[sub_area],$A30,tblOrdenes[anio],E$26,tblOrdenes[mes],E$27)</f>
        <v/>
      </c>
      <c r="F30" s="10">
        <f>SUMIFS(tblOrdenes[costo_total],tblOrdenes[sub_area],$A30,tblOrdenes[anio],F$26,tblOrdenes[mes],F$27)</f>
        <v/>
      </c>
      <c r="G30" s="10">
        <f>SUMIFS(tblOrdenes[costo_total],tblOrdenes[sub_area],$A30,tblOrdenes[anio],G$26,tblOrdenes[mes],G$27)</f>
        <v/>
      </c>
      <c r="H30" s="10">
        <f>SUMIFS(tblOrdenes[costo_total],tblOrdenes[sub_area],$A30,tblOrdenes[anio],H$26,tblOrdenes[mes],H$27)</f>
        <v/>
      </c>
      <c r="I30" s="10">
        <f>SUMIFS(tblOrdenes[costo_total],tblOrdenes[sub_area],$A30,tblOrdenes[anio],I$26,tblOrdenes[mes],I$27)</f>
        <v/>
      </c>
      <c r="J30" s="10">
        <f>SUMIFS(tblOrdenes[costo_total],tblOrdenes[sub_area],$A30,tblOrdenes[anio],J$26,tblOrdenes[mes],J$27)</f>
        <v/>
      </c>
      <c r="K30" s="10">
        <f>SUMIFS(tblOrdenes[costo_total],tblOrdenes[sub_area],$A30,tblOrdenes[anio],K$26,tblOrdenes[mes],K$27)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SUMIFS(tblOrdenes[costo_total],tblOrdenes[sub_area],$A31,tblOrdenes[anio],B$26,tblOrdenes[mes],B$27)</f>
        <v/>
      </c>
      <c r="C31" s="10">
        <f>SUMIFS(tblOrdenes[costo_total],tblOrdenes[sub_area],$A31,tblOrdenes[anio],C$26,tblOrdenes[mes],C$27)</f>
        <v/>
      </c>
      <c r="D31" s="10">
        <f>SUMIFS(tblOrdenes[costo_total],tblOrdenes[sub_area],$A31,tblOrdenes[anio],D$26,tblOrdenes[mes],D$27)</f>
        <v/>
      </c>
      <c r="E31" s="10">
        <f>SUMIFS(tblOrdenes[costo_total],tblOrdenes[sub_area],$A31,tblOrdenes[anio],E$26,tblOrdenes[mes],E$27)</f>
        <v/>
      </c>
      <c r="F31" s="10">
        <f>SUMIFS(tblOrdenes[costo_total],tblOrdenes[sub_area],$A31,tblOrdenes[anio],F$26,tblOrdenes[mes],F$27)</f>
        <v/>
      </c>
      <c r="G31" s="10">
        <f>SUMIFS(tblOrdenes[costo_total],tblOrdenes[sub_area],$A31,tblOrdenes[anio],G$26,tblOrdenes[mes],G$27)</f>
        <v/>
      </c>
      <c r="H31" s="10">
        <f>SUMIFS(tblOrdenes[costo_total],tblOrdenes[sub_area],$A31,tblOrdenes[anio],H$26,tblOrdenes[mes],H$27)</f>
        <v/>
      </c>
      <c r="I31" s="10">
        <f>SUMIFS(tblOrdenes[costo_total],tblOrdenes[sub_area],$A31,tblOrdenes[anio],I$26,tblOrdenes[mes],I$27)</f>
        <v/>
      </c>
      <c r="J31" s="10">
        <f>SUMIFS(tblOrdenes[costo_total],tblOrdenes[sub_area],$A31,tblOrdenes[anio],J$26,tblOrdenes[mes],J$27)</f>
        <v/>
      </c>
      <c r="K31" s="10">
        <f>SUMIFS(tblOrdenes[costo_total],tblOrdenes[sub_area],$A31,tblOrdenes[anio],K$26,tblOrdenes[mes],K$27)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SUMIFS(tblOrdenes[costo_total],tblOrdenes[sub_area],$A32,tblOrdenes[anio],B$26,tblOrdenes[mes],B$27)</f>
        <v/>
      </c>
      <c r="C32" s="10">
        <f>SUMIFS(tblOrdenes[costo_total],tblOrdenes[sub_area],$A32,tblOrdenes[anio],C$26,tblOrdenes[mes],C$27)</f>
        <v/>
      </c>
      <c r="D32" s="10">
        <f>SUMIFS(tblOrdenes[costo_total],tblOrdenes[sub_area],$A32,tblOrdenes[anio],D$26,tblOrdenes[mes],D$27)</f>
        <v/>
      </c>
      <c r="E32" s="10">
        <f>SUMIFS(tblOrdenes[costo_total],tblOrdenes[sub_area],$A32,tblOrdenes[anio],E$26,tblOrdenes[mes],E$27)</f>
        <v/>
      </c>
      <c r="F32" s="10">
        <f>SUMIFS(tblOrdenes[costo_total],tblOrdenes[sub_area],$A32,tblOrdenes[anio],F$26,tblOrdenes[mes],F$27)</f>
        <v/>
      </c>
      <c r="G32" s="10">
        <f>SUMIFS(tblOrdenes[costo_total],tblOrdenes[sub_area],$A32,tblOrdenes[anio],G$26,tblOrdenes[mes],G$27)</f>
        <v/>
      </c>
      <c r="H32" s="10">
        <f>SUMIFS(tblOrdenes[costo_total],tblOrdenes[sub_area],$A32,tblOrdenes[anio],H$26,tblOrdenes[mes],H$27)</f>
        <v/>
      </c>
      <c r="I32" s="10">
        <f>SUMIFS(tblOrdenes[costo_total],tblOrdenes[sub_area],$A32,tblOrdenes[anio],I$26,tblOrdenes[mes],I$27)</f>
        <v/>
      </c>
      <c r="J32" s="10">
        <f>SUMIFS(tblOrdenes[costo_total],tblOrdenes[sub_area],$A32,tblOrdenes[anio],J$26,tblOrdenes[mes],J$27)</f>
        <v/>
      </c>
      <c r="K32" s="10">
        <f>SUMIFS(tblOrdenes[costo_total],tblOrdenes[sub_area],$A32,tblOrdenes[anio],K$26,tblOrdenes[mes],K$27)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SUMIFS(tblOrdenes[costo_total],tblOrdenes[sub_area],$A33,tblOrdenes[anio],B$26,tblOrdenes[mes],B$27)</f>
        <v/>
      </c>
      <c r="C33" s="10">
        <f>SUMIFS(tblOrdenes[costo_total],tblOrdenes[sub_area],$A33,tblOrdenes[anio],C$26,tblOrdenes[mes],C$27)</f>
        <v/>
      </c>
      <c r="D33" s="10">
        <f>SUMIFS(tblOrdenes[costo_total],tblOrdenes[sub_area],$A33,tblOrdenes[anio],D$26,tblOrdenes[mes],D$27)</f>
        <v/>
      </c>
      <c r="E33" s="10">
        <f>SUMIFS(tblOrdenes[costo_total],tblOrdenes[sub_area],$A33,tblOrdenes[anio],E$26,tblOrdenes[mes],E$27)</f>
        <v/>
      </c>
      <c r="F33" s="10">
        <f>SUMIFS(tblOrdenes[costo_total],tblOrdenes[sub_area],$A33,tblOrdenes[anio],F$26,tblOrdenes[mes],F$27)</f>
        <v/>
      </c>
      <c r="G33" s="10">
        <f>SUMIFS(tblOrdenes[costo_total],tblOrdenes[sub_area],$A33,tblOrdenes[anio],G$26,tblOrdenes[mes],G$27)</f>
        <v/>
      </c>
      <c r="H33" s="10">
        <f>SUMIFS(tblOrdenes[costo_total],tblOrdenes[sub_area],$A33,tblOrdenes[anio],H$26,tblOrdenes[mes],H$27)</f>
        <v/>
      </c>
      <c r="I33" s="10">
        <f>SUMIFS(tblOrdenes[costo_total],tblOrdenes[sub_area],$A33,tblOrdenes[anio],I$26,tblOrdenes[mes],I$27)</f>
        <v/>
      </c>
      <c r="J33" s="10">
        <f>SUMIFS(tblOrdenes[costo_total],tblOrdenes[sub_area],$A33,tblOrdenes[anio],J$26,tblOrdenes[mes],J$27)</f>
        <v/>
      </c>
      <c r="K33" s="10">
        <f>SUMIFS(tblOrdenes[costo_total],tblOrdenes[sub_area],$A33,tblOrdenes[anio],K$26,tblOrdenes[mes],K$27)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SUMIFS(tblOrdenes[costo_total],tblOrdenes[linea],$A39,tblOrdenes[anio],B$37,tblOrdenes[mes],B$38)</f>
        <v/>
      </c>
      <c r="C39" s="10">
        <f>SUMIFS(tblOrdenes[costo_total],tblOrdenes[linea],$A39,tblOrdenes[anio],C$37,tblOrdenes[mes],C$38)</f>
        <v/>
      </c>
      <c r="D39" s="10">
        <f>SUMIFS(tblOrdenes[costo_total],tblOrdenes[linea],$A39,tblOrdenes[anio],D$37,tblOrdenes[mes],D$38)</f>
        <v/>
      </c>
      <c r="E39" s="10">
        <f>SUMIFS(tblOrdenes[costo_total],tblOrdenes[linea],$A39,tblOrdenes[anio],E$37,tblOrdenes[mes],E$38)</f>
        <v/>
      </c>
      <c r="F39" s="10">
        <f>SUMIFS(tblOrdenes[costo_total],tblOrdenes[linea],$A39,tblOrdenes[anio],F$37,tblOrdenes[mes],F$38)</f>
        <v/>
      </c>
      <c r="G39" s="10">
        <f>SUMIFS(tblOrdenes[costo_total],tblOrdenes[linea],$A39,tblOrdenes[anio],G$37,tblOrdenes[mes],G$38)</f>
        <v/>
      </c>
      <c r="H39" s="10">
        <f>SUMIFS(tblOrdenes[costo_total],tblOrdenes[linea],$A39,tblOrdenes[anio],H$37,tblOrdenes[mes],H$38)</f>
        <v/>
      </c>
      <c r="I39" s="10">
        <f>SUMIFS(tblOrdenes[costo_total],tblOrdenes[linea],$A39,tblOrdenes[anio],I$37,tblOrdenes[mes],I$38)</f>
        <v/>
      </c>
      <c r="J39" s="10">
        <f>SUMIFS(tblOrdenes[costo_total],tblOrdenes[linea],$A39,tblOrdenes[anio],J$37,tblOrdenes[mes],J$38)</f>
        <v/>
      </c>
      <c r="K39" s="10">
        <f>SUMIFS(tblOrdenes[costo_total],tblOrdenes[linea],$A39,tblOrdenes[anio],K$37,tblOrdenes[mes],K$38)</f>
        <v/>
      </c>
      <c r="L39" s="10">
        <f>SUM(B39:K39)</f>
        <v/>
      </c>
    </row>
    <row r="40">
      <c r="A40" s="3" t="inlineStr">
        <is>
          <t>L2</t>
        </is>
      </c>
      <c r="B40" s="10">
        <f>SUMIFS(tblOrdenes[costo_total],tblOrdenes[linea],$A40,tblOrdenes[anio],B$37,tblOrdenes[mes],B$38)</f>
        <v/>
      </c>
      <c r="C40" s="10">
        <f>SUMIFS(tblOrdenes[costo_total],tblOrdenes[linea],$A40,tblOrdenes[anio],C$37,tblOrdenes[mes],C$38)</f>
        <v/>
      </c>
      <c r="D40" s="10">
        <f>SUMIFS(tblOrdenes[costo_total],tblOrdenes[linea],$A40,tblOrdenes[anio],D$37,tblOrdenes[mes],D$38)</f>
        <v/>
      </c>
      <c r="E40" s="10">
        <f>SUMIFS(tblOrdenes[costo_total],tblOrdenes[linea],$A40,tblOrdenes[anio],E$37,tblOrdenes[mes],E$38)</f>
        <v/>
      </c>
      <c r="F40" s="10">
        <f>SUMIFS(tblOrdenes[costo_total],tblOrdenes[linea],$A40,tblOrdenes[anio],F$37,tblOrdenes[mes],F$38)</f>
        <v/>
      </c>
      <c r="G40" s="10">
        <f>SUMIFS(tblOrdenes[costo_total],tblOrdenes[linea],$A40,tblOrdenes[anio],G$37,tblOrdenes[mes],G$38)</f>
        <v/>
      </c>
      <c r="H40" s="10">
        <f>SUMIFS(tblOrdenes[costo_total],tblOrdenes[linea],$A40,tblOrdenes[anio],H$37,tblOrdenes[mes],H$38)</f>
        <v/>
      </c>
      <c r="I40" s="10">
        <f>SUMIFS(tblOrdenes[costo_total],tblOrdenes[linea],$A40,tblOrdenes[anio],I$37,tblOrdenes[mes],I$38)</f>
        <v/>
      </c>
      <c r="J40" s="10">
        <f>SUMIFS(tblOrdenes[costo_total],tblOrdenes[linea],$A40,tblOrdenes[anio],J$37,tblOrdenes[mes],J$38)</f>
        <v/>
      </c>
      <c r="K40" s="10">
        <f>SUMIFS(tblOrdenes[costo_total],tblOrdenes[linea],$A40,tblOrdenes[anio],K$37,tblOrdenes[mes],K$38)</f>
        <v/>
      </c>
      <c r="L40" s="10">
        <f>SUM(B40:K40)</f>
        <v/>
      </c>
    </row>
    <row r="41">
      <c r="A41" s="3" t="inlineStr">
        <is>
          <t>L3</t>
        </is>
      </c>
      <c r="B41" s="10">
        <f>SUMIFS(tblOrdenes[costo_total],tblOrdenes[linea],$A41,tblOrdenes[anio],B$37,tblOrdenes[mes],B$38)</f>
        <v/>
      </c>
      <c r="C41" s="10">
        <f>SUMIFS(tblOrdenes[costo_total],tblOrdenes[linea],$A41,tblOrdenes[anio],C$37,tblOrdenes[mes],C$38)</f>
        <v/>
      </c>
      <c r="D41" s="10">
        <f>SUMIFS(tblOrdenes[costo_total],tblOrdenes[linea],$A41,tblOrdenes[anio],D$37,tblOrdenes[mes],D$38)</f>
        <v/>
      </c>
      <c r="E41" s="10">
        <f>SUMIFS(tblOrdenes[costo_total],tblOrdenes[linea],$A41,tblOrdenes[anio],E$37,tblOrdenes[mes],E$38)</f>
        <v/>
      </c>
      <c r="F41" s="10">
        <f>SUMIFS(tblOrdenes[costo_total],tblOrdenes[linea],$A41,tblOrdenes[anio],F$37,tblOrdenes[mes],F$38)</f>
        <v/>
      </c>
      <c r="G41" s="10">
        <f>SUMIFS(tblOrdenes[costo_total],tblOrdenes[linea],$A41,tblOrdenes[anio],G$37,tblOrdenes[mes],G$38)</f>
        <v/>
      </c>
      <c r="H41" s="10">
        <f>SUMIFS(tblOrdenes[costo_total],tblOrdenes[linea],$A41,tblOrdenes[anio],H$37,tblOrdenes[mes],H$38)</f>
        <v/>
      </c>
      <c r="I41" s="10">
        <f>SUMIFS(tblOrdenes[costo_total],tblOrdenes[linea],$A41,tblOrdenes[anio],I$37,tblOrdenes[mes],I$38)</f>
        <v/>
      </c>
      <c r="J41" s="10">
        <f>SUMIFS(tblOrdenes[costo_total],tblOrdenes[linea],$A41,tblOrdenes[anio],J$37,tblOrdenes[mes],J$38)</f>
        <v/>
      </c>
      <c r="K41" s="10">
        <f>SUMIFS(tblOrdenes[costo_total],tblOrdenes[linea],$A41,tblOrdenes[anio],K$37,tblOrdenes[mes],K$38)</f>
        <v/>
      </c>
      <c r="L41" s="10">
        <f>SUM(B41:K41)</f>
        <v/>
      </c>
    </row>
    <row r="42">
      <c r="A42" s="3" t="inlineStr">
        <is>
          <t>L4</t>
        </is>
      </c>
      <c r="B42" s="10">
        <f>SUMIFS(tblOrdenes[costo_total],tblOrdenes[linea],$A42,tblOrdenes[anio],B$37,tblOrdenes[mes],B$38)</f>
        <v/>
      </c>
      <c r="C42" s="10">
        <f>SUMIFS(tblOrdenes[costo_total],tblOrdenes[linea],$A42,tblOrdenes[anio],C$37,tblOrdenes[mes],C$38)</f>
        <v/>
      </c>
      <c r="D42" s="10">
        <f>SUMIFS(tblOrdenes[costo_total],tblOrdenes[linea],$A42,tblOrdenes[anio],D$37,tblOrdenes[mes],D$38)</f>
        <v/>
      </c>
      <c r="E42" s="10">
        <f>SUMIFS(tblOrdenes[costo_total],tblOrdenes[linea],$A42,tblOrdenes[anio],E$37,tblOrdenes[mes],E$38)</f>
        <v/>
      </c>
      <c r="F42" s="10">
        <f>SUMIFS(tblOrdenes[costo_total],tblOrdenes[linea],$A42,tblOrdenes[anio],F$37,tblOrdenes[mes],F$38)</f>
        <v/>
      </c>
      <c r="G42" s="10">
        <f>SUMIFS(tblOrdenes[costo_total],tblOrdenes[linea],$A42,tblOrdenes[anio],G$37,tblOrdenes[mes],G$38)</f>
        <v/>
      </c>
      <c r="H42" s="10">
        <f>SUMIFS(tblOrdenes[costo_total],tblOrdenes[linea],$A42,tblOrdenes[anio],H$37,tblOrdenes[mes],H$38)</f>
        <v/>
      </c>
      <c r="I42" s="10">
        <f>SUMIFS(tblOrdenes[costo_total],tblOrdenes[linea],$A42,tblOrdenes[anio],I$37,tblOrdenes[mes],I$38)</f>
        <v/>
      </c>
      <c r="J42" s="10">
        <f>SUMIFS(tblOrdenes[costo_total],tblOrdenes[linea],$A42,tblOrdenes[anio],J$37,tblOrdenes[mes],J$38)</f>
        <v/>
      </c>
      <c r="K42" s="10">
        <f>SUMIFS(tblOrdenes[costo_total],tblOrdenes[linea],$A42,tblOrdenes[anio],K$37,tblOrdenes[mes],K$38)</f>
        <v/>
      </c>
      <c r="L42" s="10">
        <f>SUM(B42:K42)</f>
        <v/>
      </c>
    </row>
    <row r="43">
      <c r="A43" s="3" t="inlineStr">
        <is>
          <t>SG</t>
        </is>
      </c>
      <c r="B43" s="10">
        <f>SUMIFS(tblOrdenes[costo_total],tblOrdenes[linea],$A43,tblOrdenes[anio],B$37,tblOrdenes[mes],B$38)</f>
        <v/>
      </c>
      <c r="C43" s="10">
        <f>SUMIFS(tblOrdenes[costo_total],tblOrdenes[linea],$A43,tblOrdenes[anio],C$37,tblOrdenes[mes],C$38)</f>
        <v/>
      </c>
      <c r="D43" s="10">
        <f>SUMIFS(tblOrdenes[costo_total],tblOrdenes[linea],$A43,tblOrdenes[anio],D$37,tblOrdenes[mes],D$38)</f>
        <v/>
      </c>
      <c r="E43" s="10">
        <f>SUMIFS(tblOrdenes[costo_total],tblOrdenes[linea],$A43,tblOrdenes[anio],E$37,tblOrdenes[mes],E$38)</f>
        <v/>
      </c>
      <c r="F43" s="10">
        <f>SUMIFS(tblOrdenes[costo_total],tblOrdenes[linea],$A43,tblOrdenes[anio],F$37,tblOrdenes[mes],F$38)</f>
        <v/>
      </c>
      <c r="G43" s="10">
        <f>SUMIFS(tblOrdenes[costo_total],tblOrdenes[linea],$A43,tblOrdenes[anio],G$37,tblOrdenes[mes],G$38)</f>
        <v/>
      </c>
      <c r="H43" s="10">
        <f>SUMIFS(tblOrdenes[costo_total],tblOrdenes[linea],$A43,tblOrdenes[anio],H$37,tblOrdenes[mes],H$38)</f>
        <v/>
      </c>
      <c r="I43" s="10">
        <f>SUMIFS(tblOrdenes[costo_total],tblOrdenes[linea],$A43,tblOrdenes[anio],I$37,tblOrdenes[mes],I$38)</f>
        <v/>
      </c>
      <c r="J43" s="10">
        <f>SUMIFS(tblOrdenes[costo_total],tblOrdenes[linea],$A43,tblOrdenes[anio],J$37,tblOrdenes[mes],J$38)</f>
        <v/>
      </c>
      <c r="K43" s="10">
        <f>SUMIFS(tblOrdenes[costo_total],tblOrdenes[linea],$A43,tblOrdenes[anio],K$37,tblOrdenes[mes],K$38)</f>
        <v/>
      </c>
      <c r="L43" s="10">
        <f>SUM(B43:K43)</f>
        <v/>
      </c>
    </row>
    <row r="44">
      <c r="A44" s="3" t="inlineStr">
        <is>
          <t>SG</t>
        </is>
      </c>
      <c r="B44" s="10">
        <f>SUMIFS(tblOrdenes[costo_total],tblOrdenes[linea],$A44,tblOrdenes[anio],B$37,tblOrdenes[mes],B$38)</f>
        <v/>
      </c>
      <c r="C44" s="10">
        <f>SUMIFS(tblOrdenes[costo_total],tblOrdenes[linea],$A44,tblOrdenes[anio],C$37,tblOrdenes[mes],C$38)</f>
        <v/>
      </c>
      <c r="D44" s="10">
        <f>SUMIFS(tblOrdenes[costo_total],tblOrdenes[linea],$A44,tblOrdenes[anio],D$37,tblOrdenes[mes],D$38)</f>
        <v/>
      </c>
      <c r="E44" s="10">
        <f>SUMIFS(tblOrdenes[costo_total],tblOrdenes[linea],$A44,tblOrdenes[anio],E$37,tblOrdenes[mes],E$38)</f>
        <v/>
      </c>
      <c r="F44" s="10">
        <f>SUMIFS(tblOrdenes[costo_total],tblOrdenes[linea],$A44,tblOrdenes[anio],F$37,tblOrdenes[mes],F$38)</f>
        <v/>
      </c>
      <c r="G44" s="10">
        <f>SUMIFS(tblOrdenes[costo_total],tblOrdenes[linea],$A44,tblOrdenes[anio],G$37,tblOrdenes[mes],G$38)</f>
        <v/>
      </c>
      <c r="H44" s="10">
        <f>SUMIFS(tblOrdenes[costo_total],tblOrdenes[linea],$A44,tblOrdenes[anio],H$37,tblOrdenes[mes],H$38)</f>
        <v/>
      </c>
      <c r="I44" s="10">
        <f>SUMIFS(tblOrdenes[costo_total],tblOrdenes[linea],$A44,tblOrdenes[anio],I$37,tblOrdenes[mes],I$38)</f>
        <v/>
      </c>
      <c r="J44" s="10">
        <f>SUMIFS(tblOrdenes[costo_total],tblOrdenes[linea],$A44,tblOrdenes[anio],J$37,tblOrdenes[mes],J$38)</f>
        <v/>
      </c>
      <c r="K44" s="10">
        <f>SUMIFS(tblOrdenes[costo_total],tblOrdenes[linea],$A44,tblOrdenes[anio],K$37,tblOrdenes[mes],K$38)</f>
        <v/>
      </c>
      <c r="L44" s="10">
        <f>SUM(B44:K44)</f>
        <v/>
      </c>
    </row>
    <row r="45">
      <c r="A45" s="3" t="inlineStr">
        <is>
          <t>TC</t>
        </is>
      </c>
      <c r="B45" s="10">
        <f>SUMIFS(tblOrdenes[costo_total],tblOrdenes[linea],$A45,tblOrdenes[anio],B$37,tblOrdenes[mes],B$38)</f>
        <v/>
      </c>
      <c r="C45" s="10">
        <f>SUMIFS(tblOrdenes[costo_total],tblOrdenes[linea],$A45,tblOrdenes[anio],C$37,tblOrdenes[mes],C$38)</f>
        <v/>
      </c>
      <c r="D45" s="10">
        <f>SUMIFS(tblOrdenes[costo_total],tblOrdenes[linea],$A45,tblOrdenes[anio],D$37,tblOrdenes[mes],D$38)</f>
        <v/>
      </c>
      <c r="E45" s="10">
        <f>SUMIFS(tblOrdenes[costo_total],tblOrdenes[linea],$A45,tblOrdenes[anio],E$37,tblOrdenes[mes],E$38)</f>
        <v/>
      </c>
      <c r="F45" s="10">
        <f>SUMIFS(tblOrdenes[costo_total],tblOrdenes[linea],$A45,tblOrdenes[anio],F$37,tblOrdenes[mes],F$38)</f>
        <v/>
      </c>
      <c r="G45" s="10">
        <f>SUMIFS(tblOrdenes[costo_total],tblOrdenes[linea],$A45,tblOrdenes[anio],G$37,tblOrdenes[mes],G$38)</f>
        <v/>
      </c>
      <c r="H45" s="10">
        <f>SUMIFS(tblOrdenes[costo_total],tblOrdenes[linea],$A45,tblOrdenes[anio],H$37,tblOrdenes[mes],H$38)</f>
        <v/>
      </c>
      <c r="I45" s="10">
        <f>SUMIFS(tblOrdenes[costo_total],tblOrdenes[linea],$A45,tblOrdenes[anio],I$37,tblOrdenes[mes],I$38)</f>
        <v/>
      </c>
      <c r="J45" s="10">
        <f>SUMIFS(tblOrdenes[costo_total],tblOrdenes[linea],$A45,tblOrdenes[anio],J$37,tblOrdenes[mes],J$38)</f>
        <v/>
      </c>
      <c r="K45" s="10">
        <f>SUMIFS(tblOrdenes[costo_total],tblOrdenes[linea],$A45,tblOrdenes[anio],K$37,tblOrdenes[mes],K$38)</f>
        <v/>
      </c>
      <c r="L45" s="10">
        <f>SUM(B45:K45)</f>
        <v/>
      </c>
    </row>
    <row r="46">
      <c r="A46" s="3" t="inlineStr">
        <is>
          <t>TC</t>
        </is>
      </c>
      <c r="B46" s="10">
        <f>SUMIFS(tblOrdenes[costo_total],tblOrdenes[linea],$A46,tblOrdenes[anio],B$37,tblOrdenes[mes],B$38)</f>
        <v/>
      </c>
      <c r="C46" s="10">
        <f>SUMIFS(tblOrdenes[costo_total],tblOrdenes[linea],$A46,tblOrdenes[anio],C$37,tblOrdenes[mes],C$38)</f>
        <v/>
      </c>
      <c r="D46" s="10">
        <f>SUMIFS(tblOrdenes[costo_total],tblOrdenes[linea],$A46,tblOrdenes[anio],D$37,tblOrdenes[mes],D$38)</f>
        <v/>
      </c>
      <c r="E46" s="10">
        <f>SUMIFS(tblOrdenes[costo_total],tblOrdenes[linea],$A46,tblOrdenes[anio],E$37,tblOrdenes[mes],E$38)</f>
        <v/>
      </c>
      <c r="F46" s="10">
        <f>SUMIFS(tblOrdenes[costo_total],tblOrdenes[linea],$A46,tblOrdenes[anio],F$37,tblOrdenes[mes],F$38)</f>
        <v/>
      </c>
      <c r="G46" s="10">
        <f>SUMIFS(tblOrdenes[costo_total],tblOrdenes[linea],$A46,tblOrdenes[anio],G$37,tblOrdenes[mes],G$38)</f>
        <v/>
      </c>
      <c r="H46" s="10">
        <f>SUMIFS(tblOrdenes[costo_total],tblOrdenes[linea],$A46,tblOrdenes[anio],H$37,tblOrdenes[mes],H$38)</f>
        <v/>
      </c>
      <c r="I46" s="10">
        <f>SUMIFS(tblOrdenes[costo_total],tblOrdenes[linea],$A46,tblOrdenes[anio],I$37,tblOrdenes[mes],I$38)</f>
        <v/>
      </c>
      <c r="J46" s="10">
        <f>SUMIFS(tblOrdenes[costo_total],tblOrdenes[linea],$A46,tblOrdenes[anio],J$37,tblOrdenes[mes],J$38)</f>
        <v/>
      </c>
      <c r="K46" s="10">
        <f>SUMIFS(tblOrdenes[costo_total],tblOrdenes[linea],$A46,tblOrdenes[anio],K$37,tblOrdenes[mes],K$38)</f>
        <v/>
      </c>
      <c r="L46" s="10">
        <f>SUM(B46:K46)</f>
        <v/>
      </c>
    </row>
    <row r="47">
      <c r="A47" s="3" t="inlineStr">
        <is>
          <t>CO</t>
        </is>
      </c>
      <c r="B47" s="10">
        <f>SUMIFS(tblOrdenes[costo_total],tblOrdenes[linea],$A47,tblOrdenes[anio],B$37,tblOrdenes[mes],B$38)</f>
        <v/>
      </c>
      <c r="C47" s="10">
        <f>SUMIFS(tblOrdenes[costo_total],tblOrdenes[linea],$A47,tblOrdenes[anio],C$37,tblOrdenes[mes],C$38)</f>
        <v/>
      </c>
      <c r="D47" s="10">
        <f>SUMIFS(tblOrdenes[costo_total],tblOrdenes[linea],$A47,tblOrdenes[anio],D$37,tblOrdenes[mes],D$38)</f>
        <v/>
      </c>
      <c r="E47" s="10">
        <f>SUMIFS(tblOrdenes[costo_total],tblOrdenes[linea],$A47,tblOrdenes[anio],E$37,tblOrdenes[mes],E$38)</f>
        <v/>
      </c>
      <c r="F47" s="10">
        <f>SUMIFS(tblOrdenes[costo_total],tblOrdenes[linea],$A47,tblOrdenes[anio],F$37,tblOrdenes[mes],F$38)</f>
        <v/>
      </c>
      <c r="G47" s="10">
        <f>SUMIFS(tblOrdenes[costo_total],tblOrdenes[linea],$A47,tblOrdenes[anio],G$37,tblOrdenes[mes],G$38)</f>
        <v/>
      </c>
      <c r="H47" s="10">
        <f>SUMIFS(tblOrdenes[costo_total],tblOrdenes[linea],$A47,tblOrdenes[anio],H$37,tblOrdenes[mes],H$38)</f>
        <v/>
      </c>
      <c r="I47" s="10">
        <f>SUMIFS(tblOrdenes[costo_total],tblOrdenes[linea],$A47,tblOrdenes[anio],I$37,tblOrdenes[mes],I$38)</f>
        <v/>
      </c>
      <c r="J47" s="10">
        <f>SUMIFS(tblOrdenes[costo_total],tblOrdenes[linea],$A47,tblOrdenes[anio],J$37,tblOrdenes[mes],J$38)</f>
        <v/>
      </c>
      <c r="K47" s="10">
        <f>SUMIFS(tblOrdenes[costo_total],tblOrdenes[linea],$A47,tblOrdenes[anio],K$37,tblOrdenes[mes],K$38)</f>
        <v/>
      </c>
      <c r="L47" s="10">
        <f>SUM(B47:K47)</f>
        <v/>
      </c>
    </row>
    <row r="48">
      <c r="A48" s="3" t="inlineStr">
        <is>
          <t>AC</t>
        </is>
      </c>
      <c r="B48" s="10">
        <f>SUMIFS(tblOrdenes[costo_total],tblOrdenes[linea],$A48,tblOrdenes[anio],B$37,tblOrdenes[mes],B$38)</f>
        <v/>
      </c>
      <c r="C48" s="10">
        <f>SUMIFS(tblOrdenes[costo_total],tblOrdenes[linea],$A48,tblOrdenes[anio],C$37,tblOrdenes[mes],C$38)</f>
        <v/>
      </c>
      <c r="D48" s="10">
        <f>SUMIFS(tblOrdenes[costo_total],tblOrdenes[linea],$A48,tblOrdenes[anio],D$37,tblOrdenes[mes],D$38)</f>
        <v/>
      </c>
      <c r="E48" s="10">
        <f>SUMIFS(tblOrdenes[costo_total],tblOrdenes[linea],$A48,tblOrdenes[anio],E$37,tblOrdenes[mes],E$38)</f>
        <v/>
      </c>
      <c r="F48" s="10">
        <f>SUMIFS(tblOrdenes[costo_total],tblOrdenes[linea],$A48,tblOrdenes[anio],F$37,tblOrdenes[mes],F$38)</f>
        <v/>
      </c>
      <c r="G48" s="10">
        <f>SUMIFS(tblOrdenes[costo_total],tblOrdenes[linea],$A48,tblOrdenes[anio],G$37,tblOrdenes[mes],G$38)</f>
        <v/>
      </c>
      <c r="H48" s="10">
        <f>SUMIFS(tblOrdenes[costo_total],tblOrdenes[linea],$A48,tblOrdenes[anio],H$37,tblOrdenes[mes],H$38)</f>
        <v/>
      </c>
      <c r="I48" s="10">
        <f>SUMIFS(tblOrdenes[costo_total],tblOrdenes[linea],$A48,tblOrdenes[anio],I$37,tblOrdenes[mes],I$38)</f>
        <v/>
      </c>
      <c r="J48" s="10">
        <f>SUMIFS(tblOrdenes[costo_total],tblOrdenes[linea],$A48,tblOrdenes[anio],J$37,tblOrdenes[mes],J$38)</f>
        <v/>
      </c>
      <c r="K48" s="10">
        <f>SUMIFS(tblOrdenes[costo_total],tblOrdenes[linea],$A48,tblOrdenes[anio],K$37,tblOrdenes[mes],K$38)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EMPAQUE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Vapor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Refrigeración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CO2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  <row r="31">
      <c r="A31" s="3" t="inlineStr">
        <is>
          <t>Aire comprimido</t>
        </is>
      </c>
      <c r="B31" s="3">
        <f>COUNTIFS(tblOrdenes[estado],"Pendiente",tblOrdenes[backlog_dias],"&gt;=0",tblOrdenes[backlog_dias],"&lt;=30",tblOrdenes[sub_area],$A31)</f>
        <v/>
      </c>
      <c r="C31" s="3">
        <f>COUNTIFS(tblOrdenes[estado],"Pendiente",tblOrdenes[backlog_dias],"&gt;=31",tblOrdenes[backlog_dias],"&lt;=60",tblOrdenes[sub_area],$A31)</f>
        <v/>
      </c>
      <c r="D31" s="3">
        <f>COUNTIFS(tblOrdenes[estado],"Pendiente",tblOrdenes[backlog_dias],"&gt;=61",tblOrdenes[backlog_dias],"&lt;=90",tblOrdenes[sub_area],$A31)</f>
        <v/>
      </c>
      <c r="E31" s="3">
        <f>COUNTIFS(tblOrdenes[estado],"Pendiente",tblOrdenes[backlog_dias],"&gt;90",tblOrdenes[sub_area],$A31)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SUMIFS(tblOrdenes[costo_total],tblOrdenes[equipo],$A5,tblOrdenes[anio],K$3,tblOrdenes[mes],K$4)</f>
        <v/>
      </c>
      <c r="L5" s="10">
        <f>SUM(B5:K5)</f>
        <v/>
      </c>
    </row>
    <row r="6">
      <c r="A6" s="3" t="inlineStr">
        <is>
          <t>EQ-106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SUMIFS(tblOrdenes[costo_total],tblOrdenes[equipo],$A6,tblOrdenes[anio],K$3,tblOrdenes[mes],K$4)</f>
        <v/>
      </c>
      <c r="L6" s="10">
        <f>SUM(B6:K6)</f>
        <v/>
      </c>
    </row>
    <row r="7">
      <c r="A7" s="3" t="inlineStr">
        <is>
          <t>EQ-103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SUMIFS(tblOrdenes[costo_total],tblOrdenes[equipo],$A7,tblOrdenes[anio],K$3,tblOrdenes[mes],K$4)</f>
        <v/>
      </c>
      <c r="L7" s="10">
        <f>SUM(B7:K7)</f>
        <v/>
      </c>
    </row>
    <row r="8">
      <c r="A8" s="3" t="inlineStr">
        <is>
          <t>EQ-102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SUMIFS(tblOrdenes[costo_total],tblOrdenes[equipo],$A8,tblOrdenes[anio],K$3,tblOrdenes[mes],K$4)</f>
        <v/>
      </c>
      <c r="L8" s="10">
        <f>SUM(B8:K8)</f>
        <v/>
      </c>
    </row>
    <row r="9">
      <c r="A9" s="3" t="inlineStr">
        <is>
          <t>EQ-105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SUMIFS(tblOrdenes[costo_total],tblOrdenes[equipo],$A9,tblOrdenes[anio],K$3,tblOrdenes[mes],K$4)</f>
        <v/>
      </c>
      <c r="L9" s="10">
        <f>SUM(B9:K9)</f>
        <v/>
      </c>
    </row>
    <row r="10">
      <c r="A10" s="3" t="inlineStr">
        <is>
          <t>EQ-108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SUMIFS(tblOrdenes[costo_total],tblOrdenes[equipo],$A10,tblOrdenes[anio],K$3,tblOrdenes[mes],K$4)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SUMIFS(tblOrdenes[costo_total],tblOrdenes[equipo],$A11,tblOrdenes[anio],K$3,tblOrdenes[mes],K$4)</f>
        <v/>
      </c>
      <c r="L11" s="10">
        <f>SUM(B11:K11)</f>
        <v/>
      </c>
    </row>
    <row r="12">
      <c r="A12" s="3" t="inlineStr">
        <is>
          <t>EQ-111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SUMIFS(tblOrdenes[costo_total],tblOrdenes[equipo],$A12,tblOrdenes[anio],K$3,tblOrdenes[mes],K$4)</f>
        <v/>
      </c>
      <c r="L12" s="10">
        <f>SUM(B12:K12)</f>
        <v/>
      </c>
    </row>
    <row r="13">
      <c r="A13" s="3" t="inlineStr">
        <is>
          <t>EQ-101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SUMIFS(tblOrdenes[costo_total],tblOrdenes[equipo],$A13,tblOrdenes[anio],K$3,tblOrdenes[mes],K$4)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SUMIFS(tblOrdenes[costo_total],tblOrdenes[equipo],$A14,tblOrdenes[anio],K$3,tblOrdenes[mes],K$4)</f>
        <v/>
      </c>
      <c r="L14" s="10">
        <f>SUM(B14:K14)</f>
        <v/>
      </c>
    </row>
    <row r="15">
      <c r="A15" s="3" t="inlineStr">
        <is>
          <t>EQ-104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SUMIFS(tblOrdenes[costo_total],tblOrdenes[equipo],$A15,tblOrdenes[anio],K$3,tblOrdenes[mes],K$4)</f>
        <v/>
      </c>
      <c r="L15" s="10">
        <f>SUM(B15:K15)</f>
        <v/>
      </c>
    </row>
    <row r="16">
      <c r="A16" s="3" t="inlineStr">
        <is>
          <t>EQ-112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SUMIFS(tblOrdenes[costo_total],tblOrdenes[equipo],$A16,tblOrdenes[anio],K$3,tblOrdenes[mes],K$4)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3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3">
        <f>IFERROR(INDEX(tblAjustes[horas_ajustadas],MATCH('ORDENES'!$AQ$4,tblAjustes[id_operacion],0)),IF('ORDENES'!$K$4="","",'ORDENES'!$K$4))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3">
        <f>IF('ORDENES'!$AE$4="","",IFERROR(INDEX(tblAsignaciones[turno],MATCH('ORDENES'!$O$4&amp;"|"&amp;'ORDENES'!$R$4&amp;"|"&amp;'ORDENES'!$AE$4,tblAsignaciones[clave],0)),""))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3">
        <f>IFERROR(INDEX(tblEjecucion[precio],MATCH('ORDENES'!$AQ$4,tblEjecucion[id_operacion],0)),0)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3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2026-07-22T04:56:23Z</dcterms:created>
  <dcterms:modified xsi:type="dcterms:W3CDTF">2026-07-22T04:56:25Z</dcterms:modified>
</cp:coreProperties>
</file>