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AMETROS" sheetId="2" state="visible" r:id="rId2"/>
    <sheet name="1_IMPORTAR_ORDENES" sheetId="3" state="visible" r:id="rId3"/>
    <sheet name="2_IMPORTAR_EJECUCION" sheetId="4" state="visible" r:id="rId4"/>
    <sheet name="ORDENES" sheetId="5" state="visible" r:id="rId5"/>
    <sheet name="TECNICOS" sheetId="6" state="visible" r:id="rId6"/>
    <sheet name="ASIGNACIONES" sheetId="7" state="visible" r:id="rId7"/>
    <sheet name="PERFIL_HH" sheetId="8" state="visible" r:id="rId8"/>
    <sheet name="PLAN_SEMANAL" sheetId="9" state="visible" r:id="rId9"/>
    <sheet name="ADHERENCIA" sheetId="10" state="visible" r:id="rId10"/>
    <sheet name="COSTOS" sheetId="11" state="visible" r:id="rId11"/>
    <sheet name="BACKLOG" sheetId="12" state="visible" r:id="rId12"/>
    <sheet name="EQUIPOS_CRITICOS" sheetId="13" state="visible" r:id="rId13"/>
    <sheet name="VALIDACION" sheetId="14" state="visible" r:id="rId14"/>
    <sheet name="CAT_CENTROS_COSTO" sheetId="15" state="visible" r:id="rId15"/>
    <sheet name="CAT_PUESTOS" sheetId="16" state="visible" r:id="rId16"/>
    <sheet name="CAT_ACTIVIDADES" sheetId="17" state="visible" r:id="rId17"/>
    <sheet name="CAT_TIPOS_OT" sheetId="18" state="visible" r:id="rId18"/>
    <sheet name="CAT_ESTADOS_ERP" sheetId="19" state="visible" r:id="rId19"/>
    <sheet name="EXPORTAR" sheetId="20" state="visible" r:id="rId20"/>
    <sheet name="_COMPATIBILIDAD" sheetId="21" state="visible" r:id="rId21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lista_turnos">PARAMETROS!$E$5:$E$10</definedName>
    <definedName name="lista_no_disponible">PARAMETROS!$G$5:$G$6</definedName>
    <definedName name="lista_dias">PARAMETROS!$I$5:$I$11</definedName>
    <definedName name="lista_tecnicos">TECNICOS!$B$4:$B$15</definedName>
    <definedName name="_xlnm._FilterDatabase" localSheetId="8" hidden="1">'PLAN_SEMANAL'!$A$8:$L$208</definedName>
    <definedName name="_xlnm.Print_Area" localSheetId="8">'PLAN_SEMANAL'!$A$1:$L$208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2" fontId="6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3" fillId="0" borderId="0" pivotButton="0" quotePrefix="0" xfId="0"/>
    <xf numFmtId="164" fontId="3" fillId="0" borderId="0" pivotButton="0" quotePrefix="0" xfId="0"/>
    <xf numFmtId="1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0" fontId="6" fillId="3" borderId="0" pivotButton="0" quotePrefix="0" xfId="0"/>
    <xf numFmtId="9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'ADHERENCIA'!$A$5:$A$8</f>
            </numRef>
          </cat>
          <val>
            <numRef>
              <f>'ADHERENCIA'!$D$5:$D$8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'ADHERENCIA'!$A$5:$A$8</f>
            </numRef>
          </cat>
          <val>
            <numRef>
              <f>'ADHERENCIA'!$H$5:$H$8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'COSTOS'!$B$5:$J$5</f>
            </numRef>
          </cat>
          <val>
            <numRef>
              <f>'COSTOS'!$B$9:$J$9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'COSTOS'!$B$5:$J$5</f>
            </numRef>
          </cat>
          <val>
            <numRef>
              <f>'COSTOS'!$B$17:$J$17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36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jecucion" displayName="tblEjecucion" ref="A8:J171" headerRowCount="1">
  <autoFilter ref="A8:J171"/>
  <tableColumns count="10">
    <tableColumn id="1" name="id_operacion"/>
    <tableColumn id="2" name="orden"/>
    <tableColumn id="3" name="operacion"/>
    <tableColumn id="4" name="estado_sistema"/>
    <tableColumn id="5" name="prioridad"/>
    <tableColumn id="6" name="estado_instalacion"/>
    <tableColumn id="7" name="precio"/>
    <tableColumn id="8" name="costo_real"/>
    <tableColumn id="9" name="costo_plan_total"/>
    <tableColumn id="10" name="estado_usuari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Ordenes" displayName="tblOrdenes" ref="A3:AK203" headerRowCount="1">
  <autoFilter ref="A3:AK203"/>
  <tableColumns count="37">
    <tableColumn id="1" name="orden"/>
    <tableColumn id="2" name="operacion"/>
    <tableColumn id="3" name="id_operacion"/>
    <tableColumn id="4" name="descripcion_general"/>
    <tableColumn id="5" name="descripcion_operacion"/>
    <tableColumn id="6" name="equipo"/>
    <tableColumn id="7" name="centro_costo"/>
    <tableColumn id="8" name="puesto_trabajo"/>
    <tableColumn id="9" name="cod_actividad"/>
    <tableColumn id="10" name="tipo_ot"/>
    <tableColumn id="11" name="fecha_inicio"/>
    <tableColumn id="12" name="horas_estimadas"/>
    <tableColumn id="13" name="costo_plan"/>
    <tableColumn id="14" name="estado"/>
    <tableColumn id="15" name="semana"/>
    <tableColumn id="16" name="anio"/>
    <tableColumn id="17" name="mes"/>
    <tableColumn id="18" name="dia_semana"/>
    <tableColumn id="19" name="clasificacion"/>
    <tableColumn id="20" name="linea"/>
    <tableColumn id="21" name="area"/>
    <tableColumn id="22" name="coordinador"/>
    <tableColumn id="23" name="especialidad"/>
    <tableColumn id="24" name="actividad"/>
    <tableColumn id="25" name="backlog_dias"/>
    <tableColumn id="26" name="estado_backlog"/>
    <tableColumn id="27" name="en_plan"/>
    <tableColumn id="28" name="tecnico_asignado"/>
    <tableColumn id="29" name="turno_asignado"/>
    <tableColumn id="30" name="costo_servicio"/>
    <tableColumn id="31" name="costo_materiales"/>
    <tableColumn id="32" name="costo_total"/>
    <tableColumn id="33" name="permiso_requerido"/>
    <tableColumn id="34" name="bloqueo_energia"/>
    <tableColumn id="35" name="link_checklist"/>
    <tableColumn id="36" name="abrir_checklist"/>
    <tableColumn id="37" name="observacion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Tecnicos" displayName="tblTecnicos" ref="A3:F15" headerRowCount="1">
  <autoFilter ref="A3:F15"/>
  <tableColumns count="6">
    <tableColumn id="1" name="id"/>
    <tableColumn id="2" name="nombre"/>
    <tableColumn id="3" name="especialidad"/>
    <tableColumn id="4" name="area"/>
    <tableColumn id="5" name="coordinador"/>
    <tableColumn id="6" name="ac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I339" headerRowCount="1">
  <autoFilter ref="A3:I339"/>
  <tableColumns count="9">
    <tableColumn id="1" name="semana"/>
    <tableColumn id="2" name="dia"/>
    <tableColumn id="3" name="tecnico"/>
    <tableColumn id="4" name="area"/>
    <tableColumn id="5" name="especialidad"/>
    <tableColumn id="6" name="turno"/>
    <tableColumn id="7" name="coordinador"/>
    <tableColumn id="8" name="horas_disponibles"/>
    <tableColumn id="9" name="clav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CECO" displayName="tblCECO" ref="A3:F9" headerRowCount="1">
  <autoFilter ref="A3:F9"/>
  <tableColumns count="6">
    <tableColumn id="1" name="codigo"/>
    <tableColumn id="2" name="descripcion"/>
    <tableColumn id="3" name="planta"/>
    <tableColumn id="4" name="area"/>
    <tableColumn id="5" name="linea"/>
    <tableColumn id="6" name="coordinador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Puestos" displayName="tblPuestos" ref="A3:C8" headerRowCount="1">
  <autoFilter ref="A3:C8"/>
  <tableColumns count="3">
    <tableColumn id="1" name="codigo"/>
    <tableColumn id="2" name="especialidad"/>
    <tableColumn id="3" name="descrip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Actividades" displayName="tblActividades" ref="A3:C8" headerRowCount="1">
  <autoFilter ref="A3:C8"/>
  <tableColumns count="3">
    <tableColumn id="1" name="codigo"/>
    <tableColumn id="2" name="descripcion"/>
    <tableColumn id="3" name="tip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TiposOT" displayName="tblTiposOT" ref="A3:C7" headerRowCount="1">
  <autoFilter ref="A3:C7"/>
  <tableColumns count="3">
    <tableColumn id="1" name="codigo"/>
    <tableColumn id="2" name="descripcion"/>
    <tableColumn id="3" name="clasificaci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Estados" displayName="tblEstados" ref="A3:B7" headerRowCount="1">
  <autoFilter ref="A3:B7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MantPlan — Planificador semanal de mantenimiento</t>
        </is>
      </c>
    </row>
    <row r="2">
      <c r="A2" s="2" t="inlineStr">
        <is>
          <t>Versión 1.0.0 · generado 2026-07-19 · datos 100 % sintéticos de ejemplo</t>
        </is>
      </c>
    </row>
    <row r="3">
      <c r="A3" s="3" t="inlineStr"/>
    </row>
    <row r="4">
      <c r="A4" s="4" t="inlineStr">
        <is>
          <t>PRINCIPIO RECTOR — separación entre lógica y datos:</t>
        </is>
      </c>
    </row>
    <row r="5">
      <c r="A5" s="3" t="inlineStr">
        <is>
          <t xml:space="preserve">  · MOTOR: las 10 reglas de negocio viven en las fórmulas de este libro y nunca cambian.</t>
        </is>
      </c>
    </row>
    <row r="6">
      <c r="A6" s="3" t="inlineStr">
        <is>
          <t xml:space="preserve">  · CATÁLOGOS: centros de costo, puestos, actividades, tipos de OT y estados se cargan por empresa.</t>
        </is>
      </c>
    </row>
    <row r="7">
      <c r="A7" s="3" t="inlineStr">
        <is>
          <t xml:space="preserve">  · PARÁMETROS: jornada, productividad, ventanas de backlog y metas se ajustan en PARAMETROS.</t>
        </is>
      </c>
    </row>
    <row r="8">
      <c r="A8" s="3" t="inlineStr">
        <is>
          <t xml:space="preserve">  · No hay macros, ni enlaces externos, ni códigos de empresa dentro de ninguna fórmula.</t>
        </is>
      </c>
    </row>
    <row r="9">
      <c r="A9" s="3" t="inlineStr"/>
    </row>
    <row r="10">
      <c r="A10" s="4" t="inlineStr">
        <is>
          <t>FLUJO DE USO EN 5 PASOS:</t>
        </is>
      </c>
    </row>
    <row r="11">
      <c r="A11" s="3" t="inlineStr">
        <is>
          <t xml:space="preserve">  1. Ajuste PARAMETROS y cargue los catálogos de su empresa (hojas CAT_*).</t>
        </is>
      </c>
    </row>
    <row r="12">
      <c r="A12" s="3" t="inlineStr">
        <is>
          <t xml:space="preserve">  2. Pegue la exportación de órdenes del ERP en 1_IMPORTAR_ORDENES y cópiela a la tabla ORDENES.</t>
        </is>
      </c>
    </row>
    <row r="13">
      <c r="A13" s="3" t="inlineStr">
        <is>
          <t xml:space="preserve">  3. Pegue la segunda exportación (estados y costos) en 2_IMPORTAR_EJECUCION.</t>
        </is>
      </c>
    </row>
    <row r="14">
      <c r="A14" s="3" t="inlineStr">
        <is>
          <t xml:space="preserve">  4. Complete TECNICOS y los turnos de ASIGNACIONES; asigne técnicos en ORDENES.</t>
        </is>
      </c>
    </row>
    <row r="15">
      <c r="A15" s="3" t="inlineStr">
        <is>
          <t xml:space="preserve">  5. Revise VALIDACION y trabaje con PERFIL_HH, PLAN_SEMANAL, ADHERENCIA, COSTOS y BACKLOG.</t>
        </is>
      </c>
    </row>
    <row r="16">
      <c r="A16" s="3" t="inlineStr"/>
    </row>
    <row r="17">
      <c r="A17" s="4" t="inlineStr">
        <is>
          <t>CONVENCIONES:</t>
        </is>
      </c>
    </row>
    <row r="18">
      <c r="A18" s="3" t="inlineStr">
        <is>
          <t xml:space="preserve">  · Celdas de texto azul = editables por el usuario. El resto se calcula solo.</t>
        </is>
      </c>
    </row>
    <row r="19">
      <c r="A19" s="3" t="inlineStr">
        <is>
          <t xml:space="preserve">  · El libro recalcula automáticamente al abrir (sin macros).</t>
        </is>
      </c>
    </row>
    <row r="20">
      <c r="A20" s="3" t="inlineStr">
        <is>
          <t xml:space="preserve">  · Las fórmulas usan XLOOKUP (Excel 2021/365). Para Excel 2016 vea la hoja _COMPATIBILIDAD.</t>
        </is>
      </c>
    </row>
    <row r="21">
      <c r="A21" s="3" t="inlineStr">
        <is>
          <t xml:space="preserve">  · Los filtros se hacen con los autofiltros de cada tabla y con los selectores de PLAN_SEMANAL.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</cols>
  <sheetData>
    <row r="1">
      <c r="A1" s="1" t="inlineStr">
        <is>
          <t>PARÁMETROS DEL MOTOR (Tabla 10)</t>
        </is>
      </c>
    </row>
    <row r="3">
      <c r="A3" s="5" t="inlineStr">
        <is>
          <t>parametro</t>
        </is>
      </c>
      <c r="B3" s="5" t="inlineStr">
        <is>
          <t>valor</t>
        </is>
      </c>
      <c r="C3" s="5" t="inlineStr">
        <is>
          <t>descripcion</t>
        </is>
      </c>
      <c r="E3" s="4" t="inlineStr">
        <is>
          <t>listas auxiliares</t>
        </is>
      </c>
    </row>
    <row r="4">
      <c r="A4" s="3" t="inlineStr">
        <is>
          <t>nombre_empresa</t>
        </is>
      </c>
      <c r="B4" s="6" t="inlineStr">
        <is>
          <t>Empresa Ejemplo S.A.</t>
        </is>
      </c>
      <c r="C4" s="2" t="inlineStr">
        <is>
          <t>Editable. Solo informativo, no participa en cálculos.</t>
        </is>
      </c>
      <c r="E4" s="2" t="inlineStr">
        <is>
          <t>turnos y códigos de ausencia:</t>
        </is>
      </c>
      <c r="G4" s="2" t="inlineStr">
        <is>
          <t>no disponible:</t>
        </is>
      </c>
      <c r="I4" s="2" t="inlineStr">
        <is>
          <t>días (1 = lunes):</t>
        </is>
      </c>
    </row>
    <row r="5">
      <c r="A5" s="3" t="inlineStr">
        <is>
          <t>nombre_planta</t>
        </is>
      </c>
      <c r="B5" s="6" t="inlineStr">
        <is>
          <t>Planta Ejemplo</t>
        </is>
      </c>
      <c r="C5" s="2" t="inlineStr">
        <is>
          <t>Editable. Solo informativo.</t>
        </is>
      </c>
      <c r="E5" s="3" t="inlineStr">
        <is>
          <t>B1</t>
        </is>
      </c>
      <c r="G5" s="3" t="inlineStr">
        <is>
          <t>VAC</t>
        </is>
      </c>
      <c r="I5" s="3" t="inlineStr">
        <is>
          <t>lunes</t>
        </is>
      </c>
    </row>
    <row r="6">
      <c r="A6" s="3" t="inlineStr">
        <is>
          <t>moneda</t>
        </is>
      </c>
      <c r="B6" s="6" t="inlineStr">
        <is>
          <t>USD</t>
        </is>
      </c>
      <c r="C6" s="2" t="inlineStr">
        <is>
          <t>Moneda de los costos.</t>
        </is>
      </c>
      <c r="E6" s="3" t="inlineStr">
        <is>
          <t>T1</t>
        </is>
      </c>
      <c r="G6" s="3" t="inlineStr">
        <is>
          <t>X</t>
        </is>
      </c>
      <c r="I6" s="3" t="inlineStr">
        <is>
          <t>martes</t>
        </is>
      </c>
    </row>
    <row r="7">
      <c r="A7" s="3" t="inlineStr">
        <is>
          <t>horas_jornada</t>
        </is>
      </c>
      <c r="B7" s="6" t="n">
        <v>7</v>
      </c>
      <c r="C7" s="2" t="inlineStr">
        <is>
          <t>Horas de trabajo por técnico y día (REGLA-5).</t>
        </is>
      </c>
      <c r="E7" s="3" t="inlineStr">
        <is>
          <t>T2</t>
        </is>
      </c>
      <c r="I7" s="3" t="inlineStr">
        <is>
          <t>miércoles</t>
        </is>
      </c>
    </row>
    <row r="8">
      <c r="A8" s="3" t="inlineStr">
        <is>
          <t>factor_productividad</t>
        </is>
      </c>
      <c r="B8" s="7" t="n">
        <v>0.87</v>
      </c>
      <c r="C8" s="2" t="inlineStr">
        <is>
          <t>Fracción productiva de la jornada (REGLA-6).</t>
        </is>
      </c>
      <c r="E8" s="3" t="inlineStr">
        <is>
          <t>T3</t>
        </is>
      </c>
      <c r="I8" s="3" t="inlineStr">
        <is>
          <t>jueves</t>
        </is>
      </c>
    </row>
    <row r="9">
      <c r="A9" s="3" t="inlineStr">
        <is>
          <t>turnos</t>
        </is>
      </c>
      <c r="B9" s="6" t="inlineStr">
        <is>
          <t>B1,T1,T2,T3</t>
        </is>
      </c>
      <c r="C9" s="2" t="inlineStr">
        <is>
          <t>Códigos de turno válidos (lista auxiliar a la derecha).</t>
        </is>
      </c>
      <c r="E9" s="3" t="inlineStr">
        <is>
          <t>VAC</t>
        </is>
      </c>
      <c r="I9" s="3" t="inlineStr">
        <is>
          <t>viernes</t>
        </is>
      </c>
    </row>
    <row r="10">
      <c r="A10" s="3" t="inlineStr">
        <is>
          <t>codigos_no_disponible</t>
        </is>
      </c>
      <c r="B10" s="6" t="inlineStr">
        <is>
          <t>VAC,X</t>
        </is>
      </c>
      <c r="C10" s="2" t="inlineStr">
        <is>
          <t>Códigos que anulan la disponibilidad (REGLA-5).</t>
        </is>
      </c>
      <c r="E10" s="3" t="inlineStr">
        <is>
          <t>X</t>
        </is>
      </c>
      <c r="I10" s="3" t="inlineStr">
        <is>
          <t>sábado</t>
        </is>
      </c>
    </row>
    <row r="11">
      <c r="A11" s="3" t="inlineStr">
        <is>
          <t>dias_backlog_max</t>
        </is>
      </c>
      <c r="B11" s="6" t="n">
        <v>30</v>
      </c>
      <c r="C11" s="2" t="inlineStr">
        <is>
          <t>Días hacia atrás que siguen siendo plan (REGLAS 3 y 4).</t>
        </is>
      </c>
      <c r="I11" s="3" t="inlineStr">
        <is>
          <t>domingo</t>
        </is>
      </c>
    </row>
    <row r="12">
      <c r="A12" s="3" t="inlineStr">
        <is>
          <t>dias_backlog_min</t>
        </is>
      </c>
      <c r="B12" s="6" t="n">
        <v>-92</v>
      </c>
      <c r="C12" s="2" t="inlineStr">
        <is>
          <t>Días hacia adelante (negativo) que entran al plan (REGLA-4).</t>
        </is>
      </c>
    </row>
    <row r="13">
      <c r="A13" s="3" t="inlineStr">
        <is>
          <t>meta_adherencia</t>
        </is>
      </c>
      <c r="B13" s="7" t="n">
        <v>0.95</v>
      </c>
      <c r="C13" s="2" t="inlineStr">
        <is>
          <t>Meta de adherencia semanal (REGLA-7).</t>
        </is>
      </c>
    </row>
    <row r="14">
      <c r="A14" s="3" t="inlineStr">
        <is>
          <t>meta_ratio_prev_corr</t>
        </is>
      </c>
      <c r="B14" s="7" t="n">
        <v>0.8</v>
      </c>
      <c r="C14" s="2" t="inlineStr">
        <is>
          <t>Meta: fracción preventiva mínima de las HH (REGLA-9).</t>
        </is>
      </c>
    </row>
    <row r="15">
      <c r="A15" s="3" t="inlineStr">
        <is>
          <t>primer_dia_semana</t>
        </is>
      </c>
      <c r="B15" s="6" t="inlineStr">
        <is>
          <t>lunes</t>
        </is>
      </c>
      <c r="C15" s="2" t="inlineStr">
        <is>
          <t>Inicio de semana. La semana ISO (REGLA-2) empieza en lunes.</t>
        </is>
      </c>
    </row>
    <row r="16">
      <c r="A16" s="3" t="inlineStr">
        <is>
          <t>ruta_base_checklists</t>
        </is>
      </c>
      <c r="B16" s="6" t="inlineStr">
        <is>
          <t>C:\MANTPLAN\checklists\</t>
        </is>
      </c>
      <c r="C16" s="2" t="inlineStr">
        <is>
          <t>Base para los hipervínculos de la columna link_checklist.</t>
        </is>
      </c>
    </row>
  </sheetData>
  <dataValidations count="3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" showDropDown="0" showInputMessage="0" showErrorMessage="0" allowBlank="0" type="decimal" operator="between">
      <formula1>1</formula1>
      <formula2>24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ZONA DE PEGADO — exportación de órdenes del ERP</t>
        </is>
      </c>
    </row>
    <row r="3">
      <c r="A3" s="2" t="inlineStr">
        <is>
          <t>Pegue aquí (desde la fila 9) la exportación de su ERP con estas cabeceras exactas.</t>
        </is>
      </c>
    </row>
    <row r="4">
      <c r="A4" s="2" t="inlineStr">
        <is>
          <t>operacion es opcional: si su ERP no maneja operaciones, déjela vacía y el sistema asume "0010".</t>
        </is>
      </c>
    </row>
    <row r="5">
      <c r="A5" s="2" t="inlineStr">
        <is>
          <t>Luego copie los valores dentro de la tabla ORDENES: orden y operacion → columnas A:B;</t>
        </is>
      </c>
    </row>
    <row r="6">
      <c r="A6" s="2" t="inlineStr">
        <is>
          <t>el resto (descripcion_general … costo_plan) → columnas D:M. Las demás columnas se calculan solas.</t>
        </is>
      </c>
    </row>
    <row r="7">
      <c r="A7" s="2" t="inlineStr">
        <is>
          <t>La validación de REGLA-10 (hoja VALIDACION) reporta problemas pero nunca bloquea la importación.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descripcion_general</t>
        </is>
      </c>
      <c r="D8" s="5" t="inlineStr">
        <is>
          <t>descripcion_operacion</t>
        </is>
      </c>
      <c r="E8" s="5" t="inlineStr">
        <is>
          <t>equipo</t>
        </is>
      </c>
      <c r="F8" s="5" t="inlineStr">
        <is>
          <t>centro_costo</t>
        </is>
      </c>
      <c r="G8" s="5" t="inlineStr">
        <is>
          <t>puesto_trabajo</t>
        </is>
      </c>
      <c r="H8" s="5" t="inlineStr">
        <is>
          <t>cod_actividad</t>
        </is>
      </c>
      <c r="I8" s="5" t="inlineStr">
        <is>
          <t>tipo_ot</t>
        </is>
      </c>
      <c r="J8" s="5" t="inlineStr">
        <is>
          <t>fecha_inicio</t>
        </is>
      </c>
      <c r="K8" s="5" t="inlineStr">
        <is>
          <t>horas_estimadas</t>
        </is>
      </c>
      <c r="L8" s="5" t="inlineStr">
        <is>
          <t>costo_plan</t>
        </is>
      </c>
    </row>
    <row r="9">
      <c r="A9" s="8" t="inlineStr">
        <is>
          <t>OT-000001</t>
        </is>
      </c>
      <c r="B9" s="8" t="inlineStr">
        <is>
          <t>0010</t>
        </is>
      </c>
      <c r="C9" s="8" t="inlineStr">
        <is>
          <t>Lubricación programada — EQ-102</t>
        </is>
      </c>
      <c r="D9" s="8" t="inlineStr">
        <is>
          <t>Lubricación programada en EQ-102</t>
        </is>
      </c>
      <c r="E9" s="8" t="inlineStr">
        <is>
          <t>EQ-102</t>
        </is>
      </c>
      <c r="F9" s="8" t="inlineStr">
        <is>
          <t>CC-110</t>
        </is>
      </c>
      <c r="G9" s="8" t="inlineStr">
        <is>
          <t>PU-MEC</t>
        </is>
      </c>
      <c r="H9" s="8" t="inlineStr">
        <is>
          <t>ACT-02</t>
        </is>
      </c>
      <c r="I9" s="8" t="inlineStr">
        <is>
          <t>TIPO-P2</t>
        </is>
      </c>
      <c r="J9" s="9" t="n">
        <v>46209</v>
      </c>
      <c r="K9" s="8" t="n">
        <v>10</v>
      </c>
      <c r="L9" s="8" t="n">
        <v>250</v>
      </c>
    </row>
    <row r="10">
      <c r="A10" s="8" t="inlineStr">
        <is>
          <t>OT-000002</t>
        </is>
      </c>
      <c r="B10" s="8" t="inlineStr">
        <is>
          <t>0010</t>
        </is>
      </c>
      <c r="C10" s="8" t="inlineStr">
        <is>
          <t>Análisis predictivo — EQ-108</t>
        </is>
      </c>
      <c r="D10" s="8" t="inlineStr">
        <is>
          <t>Análisis predictivo en EQ-108</t>
        </is>
      </c>
      <c r="E10" s="8" t="inlineStr">
        <is>
          <t>EQ-108</t>
        </is>
      </c>
      <c r="F10" s="8" t="inlineStr">
        <is>
          <t>CC-210</t>
        </is>
      </c>
      <c r="G10" s="8" t="inlineStr">
        <is>
          <t>PU-MEC</t>
        </is>
      </c>
      <c r="H10" s="8" t="inlineStr">
        <is>
          <t>ACT-04</t>
        </is>
      </c>
      <c r="I10" s="8" t="inlineStr">
        <is>
          <t>TIPO-P1</t>
        </is>
      </c>
      <c r="J10" s="9" t="n">
        <v>46210</v>
      </c>
      <c r="K10" s="8" t="n">
        <v>8</v>
      </c>
      <c r="L10" s="8" t="n">
        <v>200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J17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4" customWidth="1" min="4" max="4"/>
    <col width="11" customWidth="1" min="5" max="5"/>
    <col width="16" customWidth="1" min="6" max="6"/>
    <col width="10" customWidth="1" min="7" max="7"/>
    <col width="10" customWidth="1" min="8" max="8"/>
    <col width="15" customWidth="1" min="9" max="9"/>
    <col width="14" customWidth="1" min="10" max="10"/>
  </cols>
  <sheetData>
    <row r="1">
      <c r="A1" s="1" t="inlineStr">
        <is>
          <t>ZONA DE PEGADO — segunda exportación: estados y costos (tblEjecucion)</t>
        </is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id_operacion se calcula solo. El catálogo CAT_ESTADOS_ERP traduce estado_sistema a Cerrada/Pendiente.</t>
        </is>
      </c>
    </row>
    <row r="5">
      <c r="A5" s="2" t="inlineStr">
        <is>
          <t>Las órdenes sin par en esta tabla quedan como "Pendiente" (REGLA-10).</t>
        </is>
      </c>
    </row>
    <row r="8">
      <c r="A8" s="5" t="inlineStr">
        <is>
          <t>id_operacion</t>
        </is>
      </c>
      <c r="B8" s="5" t="inlineStr">
        <is>
          <t>orden</t>
        </is>
      </c>
      <c r="C8" s="5" t="inlineStr">
        <is>
          <t>operacion</t>
        </is>
      </c>
      <c r="D8" s="5" t="inlineStr">
        <is>
          <t>estado_sistema</t>
        </is>
      </c>
      <c r="E8" s="5" t="inlineStr">
        <is>
          <t>prioridad</t>
        </is>
      </c>
      <c r="F8" s="5" t="inlineStr">
        <is>
          <t>estado_instalacion</t>
        </is>
      </c>
      <c r="G8" s="5" t="inlineStr">
        <is>
          <t>precio</t>
        </is>
      </c>
      <c r="H8" s="5" t="inlineStr">
        <is>
          <t>costo_real</t>
        </is>
      </c>
      <c r="I8" s="5" t="inlineStr">
        <is>
          <t>costo_plan_total</t>
        </is>
      </c>
      <c r="J8" s="5" t="inlineStr">
        <is>
          <t>estado_usuario</t>
        </is>
      </c>
    </row>
    <row r="9">
      <c r="A9" s="3">
        <f>tblEjecucion[[#This Row],[orden]]&amp;IF(tblEjecucion[[#This Row],[operacion]]="","0010",tblEjecucion[[#This Row],[operacion]])</f>
        <v/>
      </c>
      <c r="B9" s="3" t="inlineStr">
        <is>
          <t>OT-000001</t>
        </is>
      </c>
      <c r="C9" s="3" t="inlineStr">
        <is>
          <t>0010</t>
        </is>
      </c>
      <c r="D9" s="3" t="inlineStr">
        <is>
          <t>LIB</t>
        </is>
      </c>
      <c r="E9" s="3" t="inlineStr">
        <is>
          <t>1-ALTA</t>
        </is>
      </c>
      <c r="F9" s="3" t="inlineStr">
        <is>
          <t>OPERATIVO</t>
        </is>
      </c>
      <c r="G9" s="10" t="n">
        <v>100</v>
      </c>
      <c r="H9" s="10" t="n">
        <v>0</v>
      </c>
      <c r="I9" s="10" t="n">
        <v>250</v>
      </c>
      <c r="J9" s="3" t="inlineStr">
        <is>
          <t>LIBERADA</t>
        </is>
      </c>
    </row>
    <row r="10">
      <c r="A10" s="3">
        <f>tblEjecucion[[#This Row],[orden]]&amp;IF(tblEjecucion[[#This Row],[operacion]]="","0010",tblEjecucion[[#This Row],[operacion]])</f>
        <v/>
      </c>
      <c r="B10" s="3" t="inlineStr">
        <is>
          <t>OT-000002</t>
        </is>
      </c>
      <c r="C10" s="3" t="inlineStr">
        <is>
          <t>0010</t>
        </is>
      </c>
      <c r="D10" s="3" t="inlineStr">
        <is>
          <t>CERR</t>
        </is>
      </c>
      <c r="E10" s="3" t="inlineStr">
        <is>
          <t>2-MEDIA</t>
        </is>
      </c>
      <c r="F10" s="3" t="inlineStr">
        <is>
          <t>PARADO</t>
        </is>
      </c>
      <c r="G10" s="10" t="n">
        <v>80</v>
      </c>
      <c r="H10" s="10" t="n">
        <v>200</v>
      </c>
      <c r="I10" s="10" t="n">
        <v>200</v>
      </c>
      <c r="J10" s="3" t="inlineStr">
        <is>
          <t>CERRADA</t>
        </is>
      </c>
    </row>
    <row r="11">
      <c r="A11" s="3">
        <f>tblEjecucion[[#This Row],[orden]]&amp;IF(tblEjecucion[[#This Row],[operacion]]="","0010",tblEjecucion[[#This Row],[operacion]])</f>
        <v/>
      </c>
      <c r="B11" s="3" t="inlineStr">
        <is>
          <t>OT-000003</t>
        </is>
      </c>
      <c r="C11" s="3" t="inlineStr">
        <is>
          <t>0010</t>
        </is>
      </c>
      <c r="D11" s="3" t="inlineStr">
        <is>
          <t>CERR</t>
        </is>
      </c>
      <c r="E11" s="3" t="inlineStr">
        <is>
          <t>3-BAJA</t>
        </is>
      </c>
      <c r="F11" s="3" t="inlineStr">
        <is>
          <t>OPERATIVO</t>
        </is>
      </c>
      <c r="G11" s="10" t="n">
        <v>60</v>
      </c>
      <c r="H11" s="10" t="n">
        <v>150</v>
      </c>
      <c r="I11" s="10" t="n">
        <v>150</v>
      </c>
      <c r="J11" s="3" t="inlineStr">
        <is>
          <t>CERRADA</t>
        </is>
      </c>
    </row>
    <row r="12">
      <c r="A12" s="3">
        <f>tblEjecucion[[#This Row],[orden]]&amp;IF(tblEjecucion[[#This Row],[operacion]]="","0010",tblEjecucion[[#This Row],[operacion]])</f>
        <v/>
      </c>
      <c r="B12" s="3" t="inlineStr">
        <is>
          <t>OT-000004</t>
        </is>
      </c>
      <c r="C12" s="3" t="inlineStr">
        <is>
          <t>0010</t>
        </is>
      </c>
      <c r="D12" s="3" t="inlineStr">
        <is>
          <t>CERR</t>
        </is>
      </c>
      <c r="E12" s="3" t="inlineStr">
        <is>
          <t>1-ALTA</t>
        </is>
      </c>
      <c r="F12" s="3" t="inlineStr">
        <is>
          <t>PARADO</t>
        </is>
      </c>
      <c r="G12" s="10" t="n">
        <v>100</v>
      </c>
      <c r="H12" s="10" t="n">
        <v>250</v>
      </c>
      <c r="I12" s="10" t="n">
        <v>250</v>
      </c>
      <c r="J12" s="3" t="inlineStr">
        <is>
          <t>CERRADA</t>
        </is>
      </c>
    </row>
    <row r="13">
      <c r="A13" s="3">
        <f>tblEjecucion[[#This Row],[orden]]&amp;IF(tblEjecucion[[#This Row],[operacion]]="","0010",tblEjecucion[[#This Row],[operacion]])</f>
        <v/>
      </c>
      <c r="B13" s="3" t="inlineStr">
        <is>
          <t>OT-000005</t>
        </is>
      </c>
      <c r="C13" s="3" t="inlineStr">
        <is>
          <t>0010</t>
        </is>
      </c>
      <c r="D13" s="3" t="inlineStr">
        <is>
          <t>CERR</t>
        </is>
      </c>
      <c r="E13" s="3" t="inlineStr">
        <is>
          <t>2-MEDIA</t>
        </is>
      </c>
      <c r="F13" s="3" t="inlineStr">
        <is>
          <t>OPERATIVO</t>
        </is>
      </c>
      <c r="G13" s="10" t="n">
        <v>80</v>
      </c>
      <c r="H13" s="10" t="n">
        <v>200</v>
      </c>
      <c r="I13" s="10" t="n">
        <v>200</v>
      </c>
      <c r="J13" s="3" t="inlineStr">
        <is>
          <t>CERRADA</t>
        </is>
      </c>
    </row>
    <row r="14">
      <c r="A14" s="3">
        <f>tblEjecucion[[#This Row],[orden]]&amp;IF(tblEjecucion[[#This Row],[operacion]]="","0010",tblEjecucion[[#This Row],[operacion]])</f>
        <v/>
      </c>
      <c r="B14" s="3" t="inlineStr">
        <is>
          <t>OT-000006</t>
        </is>
      </c>
      <c r="C14" s="3" t="inlineStr">
        <is>
          <t>0010</t>
        </is>
      </c>
      <c r="D14" s="3" t="inlineStr">
        <is>
          <t>CERR</t>
        </is>
      </c>
      <c r="E14" s="3" t="inlineStr">
        <is>
          <t>3-BAJA</t>
        </is>
      </c>
      <c r="F14" s="3" t="inlineStr">
        <is>
          <t>PARADO</t>
        </is>
      </c>
      <c r="G14" s="10" t="n">
        <v>60</v>
      </c>
      <c r="H14" s="10" t="n">
        <v>150</v>
      </c>
      <c r="I14" s="10" t="n">
        <v>150</v>
      </c>
      <c r="J14" s="3" t="inlineStr">
        <is>
          <t>CERRADA</t>
        </is>
      </c>
    </row>
    <row r="15">
      <c r="A15" s="3">
        <f>tblEjecucion[[#This Row],[orden]]&amp;IF(tblEjecucion[[#This Row],[operacion]]="","0010",tblEjecucion[[#This Row],[operacion]])</f>
        <v/>
      </c>
      <c r="B15" s="3" t="inlineStr">
        <is>
          <t>OT-000007</t>
        </is>
      </c>
      <c r="C15" s="3" t="inlineStr">
        <is>
          <t>0010</t>
        </is>
      </c>
      <c r="D15" s="3" t="inlineStr">
        <is>
          <t>CERR</t>
        </is>
      </c>
      <c r="E15" s="3" t="inlineStr">
        <is>
          <t>1-ALTA</t>
        </is>
      </c>
      <c r="F15" s="3" t="inlineStr">
        <is>
          <t>OPERATIVO</t>
        </is>
      </c>
      <c r="G15" s="10" t="n">
        <v>100</v>
      </c>
      <c r="H15" s="10" t="n">
        <v>250</v>
      </c>
      <c r="I15" s="10" t="n">
        <v>250</v>
      </c>
      <c r="J15" s="3" t="inlineStr">
        <is>
          <t>CERRADA</t>
        </is>
      </c>
    </row>
    <row r="16">
      <c r="A16" s="3">
        <f>tblEjecucion[[#This Row],[orden]]&amp;IF(tblEjecucion[[#This Row],[operacion]]="","0010",tblEjecucion[[#This Row],[operacion]])</f>
        <v/>
      </c>
      <c r="B16" s="3" t="inlineStr">
        <is>
          <t>OT-000008</t>
        </is>
      </c>
      <c r="C16" s="3" t="inlineStr">
        <is>
          <t>0010</t>
        </is>
      </c>
      <c r="D16" s="3" t="inlineStr">
        <is>
          <t>CERR</t>
        </is>
      </c>
      <c r="E16" s="3" t="inlineStr">
        <is>
          <t>2-MEDIA</t>
        </is>
      </c>
      <c r="F16" s="3" t="inlineStr">
        <is>
          <t>PARADO</t>
        </is>
      </c>
      <c r="G16" s="10" t="n">
        <v>80</v>
      </c>
      <c r="H16" s="10" t="n">
        <v>200</v>
      </c>
      <c r="I16" s="10" t="n">
        <v>200</v>
      </c>
      <c r="J16" s="3" t="inlineStr">
        <is>
          <t>CERRADA</t>
        </is>
      </c>
    </row>
    <row r="17">
      <c r="A17" s="3">
        <f>tblEjecucion[[#This Row],[orden]]&amp;IF(tblEjecucion[[#This Row],[operacion]]="","0010",tblEjecucion[[#This Row],[operacion]])</f>
        <v/>
      </c>
      <c r="B17" s="3" t="inlineStr">
        <is>
          <t>OT-000009</t>
        </is>
      </c>
      <c r="C17" s="3" t="inlineStr">
        <is>
          <t>0010</t>
        </is>
      </c>
      <c r="D17" s="3" t="inlineStr">
        <is>
          <t>CERR</t>
        </is>
      </c>
      <c r="E17" s="3" t="inlineStr">
        <is>
          <t>3-BAJA</t>
        </is>
      </c>
      <c r="F17" s="3" t="inlineStr">
        <is>
          <t>OPERATIVO</t>
        </is>
      </c>
      <c r="G17" s="10" t="n">
        <v>60</v>
      </c>
      <c r="H17" s="10" t="n">
        <v>150</v>
      </c>
      <c r="I17" s="10" t="n">
        <v>150</v>
      </c>
      <c r="J17" s="3" t="inlineStr">
        <is>
          <t>CERRADA</t>
        </is>
      </c>
    </row>
    <row r="18">
      <c r="A18" s="3">
        <f>tblEjecucion[[#This Row],[orden]]&amp;IF(tblEjecucion[[#This Row],[operacion]]="","0010",tblEjecucion[[#This Row],[operacion]])</f>
        <v/>
      </c>
      <c r="B18" s="3" t="inlineStr">
        <is>
          <t>OT-000010</t>
        </is>
      </c>
      <c r="C18" s="3" t="inlineStr">
        <is>
          <t>0010</t>
        </is>
      </c>
      <c r="D18" s="3" t="inlineStr">
        <is>
          <t>CERR</t>
        </is>
      </c>
      <c r="E18" s="3" t="inlineStr">
        <is>
          <t>1-ALTA</t>
        </is>
      </c>
      <c r="F18" s="3" t="inlineStr">
        <is>
          <t>PARADO</t>
        </is>
      </c>
      <c r="G18" s="10" t="n">
        <v>80</v>
      </c>
      <c r="H18" s="10" t="n">
        <v>200</v>
      </c>
      <c r="I18" s="10" t="n">
        <v>200</v>
      </c>
      <c r="J18" s="3" t="inlineStr">
        <is>
          <t>CERRADA</t>
        </is>
      </c>
    </row>
    <row r="19">
      <c r="A19" s="3">
        <f>tblEjecucion[[#This Row],[orden]]&amp;IF(tblEjecucion[[#This Row],[operacion]]="","0010",tblEjecucion[[#This Row],[operacion]])</f>
        <v/>
      </c>
      <c r="B19" s="3" t="inlineStr">
        <is>
          <t>OT-000011</t>
        </is>
      </c>
      <c r="C19" s="3" t="inlineStr">
        <is>
          <t>0010</t>
        </is>
      </c>
      <c r="D19" s="3" t="inlineStr">
        <is>
          <t>CERR</t>
        </is>
      </c>
      <c r="E19" s="3" t="inlineStr">
        <is>
          <t>2-MEDIA</t>
        </is>
      </c>
      <c r="F19" s="3" t="inlineStr">
        <is>
          <t>OPERATIVO</t>
        </is>
      </c>
      <c r="G19" s="10" t="n">
        <v>160</v>
      </c>
      <c r="H19" s="10" t="n">
        <v>400</v>
      </c>
      <c r="I19" s="10" t="n">
        <v>400</v>
      </c>
      <c r="J19" s="3" t="inlineStr">
        <is>
          <t>CERRADA</t>
        </is>
      </c>
    </row>
    <row r="20">
      <c r="A20" s="3">
        <f>tblEjecucion[[#This Row],[orden]]&amp;IF(tblEjecucion[[#This Row],[operacion]]="","0010",tblEjecucion[[#This Row],[operacion]])</f>
        <v/>
      </c>
      <c r="B20" s="3" t="inlineStr">
        <is>
          <t>OT-000012</t>
        </is>
      </c>
      <c r="C20" s="3" t="inlineStr">
        <is>
          <t>0010</t>
        </is>
      </c>
      <c r="D20" s="3" t="inlineStr">
        <is>
          <t>CERR</t>
        </is>
      </c>
      <c r="E20" s="3" t="inlineStr">
        <is>
          <t>3-BAJA</t>
        </is>
      </c>
      <c r="F20" s="3" t="inlineStr">
        <is>
          <t>PARADO</t>
        </is>
      </c>
      <c r="G20" s="10" t="n">
        <v>160</v>
      </c>
      <c r="H20" s="10" t="n">
        <v>400</v>
      </c>
      <c r="I20" s="10" t="n">
        <v>400</v>
      </c>
      <c r="J20" s="3" t="inlineStr">
        <is>
          <t>CERRADA</t>
        </is>
      </c>
    </row>
    <row r="21">
      <c r="A21" s="3">
        <f>tblEjecucion[[#This Row],[orden]]&amp;IF(tblEjecucion[[#This Row],[operacion]]="","0010",tblEjecucion[[#This Row],[operacion]])</f>
        <v/>
      </c>
      <c r="B21" s="3" t="inlineStr">
        <is>
          <t>OT-000013</t>
        </is>
      </c>
      <c r="C21" s="3" t="inlineStr">
        <is>
          <t>0010</t>
        </is>
      </c>
      <c r="D21" s="3" t="inlineStr">
        <is>
          <t>CERR</t>
        </is>
      </c>
      <c r="E21" s="3" t="inlineStr">
        <is>
          <t>1-ALTA</t>
        </is>
      </c>
      <c r="F21" s="3" t="inlineStr">
        <is>
          <t>OPERATIVO</t>
        </is>
      </c>
      <c r="G21" s="10" t="n">
        <v>100</v>
      </c>
      <c r="H21" s="10" t="n">
        <v>250</v>
      </c>
      <c r="I21" s="10" t="n">
        <v>250</v>
      </c>
      <c r="J21" s="3" t="inlineStr">
        <is>
          <t>CERRADA</t>
        </is>
      </c>
    </row>
    <row r="22">
      <c r="A22" s="3">
        <f>tblEjecucion[[#This Row],[orden]]&amp;IF(tblEjecucion[[#This Row],[operacion]]="","0010",tblEjecucion[[#This Row],[operacion]])</f>
        <v/>
      </c>
      <c r="B22" s="3" t="inlineStr">
        <is>
          <t>OT-000014</t>
        </is>
      </c>
      <c r="C22" s="3" t="inlineStr">
        <is>
          <t>0010</t>
        </is>
      </c>
      <c r="D22" s="3" t="inlineStr">
        <is>
          <t>EJEC</t>
        </is>
      </c>
      <c r="E22" s="3" t="inlineStr">
        <is>
          <t>2-MEDIA</t>
        </is>
      </c>
      <c r="F22" s="3" t="inlineStr">
        <is>
          <t>PARADO</t>
        </is>
      </c>
      <c r="G22" s="10" t="n">
        <v>80</v>
      </c>
      <c r="H22" s="10" t="n">
        <v>0</v>
      </c>
      <c r="I22" s="10" t="n">
        <v>200</v>
      </c>
      <c r="J22" s="3" t="inlineStr">
        <is>
          <t>EN EJECUCION</t>
        </is>
      </c>
    </row>
    <row r="23">
      <c r="A23" s="3">
        <f>tblEjecucion[[#This Row],[orden]]&amp;IF(tblEjecucion[[#This Row],[operacion]]="","0010",tblEjecucion[[#This Row],[operacion]])</f>
        <v/>
      </c>
      <c r="B23" s="3" t="inlineStr">
        <is>
          <t>OT-000015</t>
        </is>
      </c>
      <c r="C23" s="3" t="inlineStr">
        <is>
          <t>0010</t>
        </is>
      </c>
      <c r="D23" s="3" t="inlineStr">
        <is>
          <t>CERR</t>
        </is>
      </c>
      <c r="E23" s="3" t="inlineStr">
        <is>
          <t>3-BAJA</t>
        </is>
      </c>
      <c r="F23" s="3" t="inlineStr">
        <is>
          <t>OPERATIVO</t>
        </is>
      </c>
      <c r="G23" s="10" t="n">
        <v>60</v>
      </c>
      <c r="H23" s="10" t="n">
        <v>150</v>
      </c>
      <c r="I23" s="10" t="n">
        <v>150</v>
      </c>
      <c r="J23" s="3" t="inlineStr">
        <is>
          <t>CERRADA</t>
        </is>
      </c>
    </row>
    <row r="24">
      <c r="A24" s="3">
        <f>tblEjecucion[[#This Row],[orden]]&amp;IF(tblEjecucion[[#This Row],[operacion]]="","0010",tblEjecucion[[#This Row],[operacion]])</f>
        <v/>
      </c>
      <c r="B24" s="3" t="inlineStr">
        <is>
          <t>OT-000016</t>
        </is>
      </c>
      <c r="C24" s="3" t="inlineStr">
        <is>
          <t>0010</t>
        </is>
      </c>
      <c r="D24" s="3" t="inlineStr">
        <is>
          <t>EJEC</t>
        </is>
      </c>
      <c r="E24" s="3" t="inlineStr">
        <is>
          <t>1-ALTA</t>
        </is>
      </c>
      <c r="F24" s="3" t="inlineStr">
        <is>
          <t>PARADO</t>
        </is>
      </c>
      <c r="G24" s="10" t="n">
        <v>100</v>
      </c>
      <c r="H24" s="10" t="n">
        <v>0</v>
      </c>
      <c r="I24" s="10" t="n">
        <v>250</v>
      </c>
      <c r="J24" s="3" t="inlineStr">
        <is>
          <t>EN EJECUCION</t>
        </is>
      </c>
    </row>
    <row r="25">
      <c r="A25" s="3">
        <f>tblEjecucion[[#This Row],[orden]]&amp;IF(tblEjecucion[[#This Row],[operacion]]="","0010",tblEjecucion[[#This Row],[operacion]])</f>
        <v/>
      </c>
      <c r="B25" s="3" t="inlineStr">
        <is>
          <t>OT-000017</t>
        </is>
      </c>
      <c r="C25" s="3" t="inlineStr">
        <is>
          <t>0010</t>
        </is>
      </c>
      <c r="D25" s="3" t="inlineStr">
        <is>
          <t>CERR</t>
        </is>
      </c>
      <c r="E25" s="3" t="inlineStr">
        <is>
          <t>2-MEDIA</t>
        </is>
      </c>
      <c r="F25" s="3" t="inlineStr">
        <is>
          <t>OPERATIVO</t>
        </is>
      </c>
      <c r="G25" s="10" t="n">
        <v>80</v>
      </c>
      <c r="H25" s="10" t="n">
        <v>200</v>
      </c>
      <c r="I25" s="10" t="n">
        <v>200</v>
      </c>
      <c r="J25" s="3" t="inlineStr">
        <is>
          <t>CERRADA</t>
        </is>
      </c>
    </row>
    <row r="26">
      <c r="A26" s="3">
        <f>tblEjecucion[[#This Row],[orden]]&amp;IF(tblEjecucion[[#This Row],[operacion]]="","0010",tblEjecucion[[#This Row],[operacion]])</f>
        <v/>
      </c>
      <c r="B26" s="3" t="inlineStr">
        <is>
          <t>OT-000018</t>
        </is>
      </c>
      <c r="C26" s="3" t="inlineStr">
        <is>
          <t>0010</t>
        </is>
      </c>
      <c r="D26" s="3" t="inlineStr">
        <is>
          <t>EJEC</t>
        </is>
      </c>
      <c r="E26" s="3" t="inlineStr">
        <is>
          <t>3-BAJA</t>
        </is>
      </c>
      <c r="F26" s="3" t="inlineStr">
        <is>
          <t>PARADO</t>
        </is>
      </c>
      <c r="G26" s="10" t="n">
        <v>60</v>
      </c>
      <c r="H26" s="10" t="n">
        <v>0</v>
      </c>
      <c r="I26" s="10" t="n">
        <v>150</v>
      </c>
      <c r="J26" s="3" t="inlineStr">
        <is>
          <t>EN EJECUCION</t>
        </is>
      </c>
    </row>
    <row r="27">
      <c r="A27" s="3">
        <f>tblEjecucion[[#This Row],[orden]]&amp;IF(tblEjecucion[[#This Row],[operacion]]="","0010",tblEjecucion[[#This Row],[operacion]])</f>
        <v/>
      </c>
      <c r="B27" s="3" t="inlineStr">
        <is>
          <t>OT-000019</t>
        </is>
      </c>
      <c r="C27" s="3" t="inlineStr">
        <is>
          <t>0010</t>
        </is>
      </c>
      <c r="D27" s="3" t="inlineStr">
        <is>
          <t>CERR</t>
        </is>
      </c>
      <c r="E27" s="3" t="inlineStr">
        <is>
          <t>1-ALTA</t>
        </is>
      </c>
      <c r="F27" s="3" t="inlineStr">
        <is>
          <t>OPERATIVO</t>
        </is>
      </c>
      <c r="G27" s="10" t="n">
        <v>100</v>
      </c>
      <c r="H27" s="10" t="n">
        <v>250</v>
      </c>
      <c r="I27" s="10" t="n">
        <v>250</v>
      </c>
      <c r="J27" s="3" t="inlineStr">
        <is>
          <t>CERRADA</t>
        </is>
      </c>
    </row>
    <row r="28">
      <c r="A28" s="3">
        <f>tblEjecucion[[#This Row],[orden]]&amp;IF(tblEjecucion[[#This Row],[operacion]]="","0010",tblEjecucion[[#This Row],[operacion]])</f>
        <v/>
      </c>
      <c r="B28" s="3" t="inlineStr">
        <is>
          <t>OT-000020</t>
        </is>
      </c>
      <c r="C28" s="3" t="inlineStr">
        <is>
          <t>0010</t>
        </is>
      </c>
      <c r="D28" s="3" t="inlineStr">
        <is>
          <t>EJEC</t>
        </is>
      </c>
      <c r="E28" s="3" t="inlineStr">
        <is>
          <t>2-MEDIA</t>
        </is>
      </c>
      <c r="F28" s="3" t="inlineStr">
        <is>
          <t>PARADO</t>
        </is>
      </c>
      <c r="G28" s="10" t="n">
        <v>80</v>
      </c>
      <c r="H28" s="10" t="n">
        <v>0</v>
      </c>
      <c r="I28" s="10" t="n">
        <v>200</v>
      </c>
      <c r="J28" s="3" t="inlineStr">
        <is>
          <t>EN EJECUCION</t>
        </is>
      </c>
    </row>
    <row r="29">
      <c r="A29" s="3">
        <f>tblEjecucion[[#This Row],[orden]]&amp;IF(tblEjecucion[[#This Row],[operacion]]="","0010",tblEjecucion[[#This Row],[operacion]])</f>
        <v/>
      </c>
      <c r="B29" s="3" t="inlineStr">
        <is>
          <t>OT-000021</t>
        </is>
      </c>
      <c r="C29" s="3" t="inlineStr">
        <is>
          <t>0010</t>
        </is>
      </c>
      <c r="D29" s="3" t="inlineStr">
        <is>
          <t>CERR</t>
        </is>
      </c>
      <c r="E29" s="3" t="inlineStr">
        <is>
          <t>3-BAJA</t>
        </is>
      </c>
      <c r="F29" s="3" t="inlineStr">
        <is>
          <t>OPERATIVO</t>
        </is>
      </c>
      <c r="G29" s="10" t="n">
        <v>60</v>
      </c>
      <c r="H29" s="10" t="n">
        <v>150</v>
      </c>
      <c r="I29" s="10" t="n">
        <v>150</v>
      </c>
      <c r="J29" s="3" t="inlineStr">
        <is>
          <t>CERRADA</t>
        </is>
      </c>
    </row>
    <row r="30">
      <c r="A30" s="3">
        <f>tblEjecucion[[#This Row],[orden]]&amp;IF(tblEjecucion[[#This Row],[operacion]]="","0010",tblEjecucion[[#This Row],[operacion]])</f>
        <v/>
      </c>
      <c r="B30" s="3" t="inlineStr">
        <is>
          <t>OT-000022</t>
        </is>
      </c>
      <c r="C30" s="3" t="inlineStr">
        <is>
          <t>0010</t>
        </is>
      </c>
      <c r="D30" s="3" t="inlineStr">
        <is>
          <t>EJEC</t>
        </is>
      </c>
      <c r="E30" s="3" t="inlineStr">
        <is>
          <t>1-ALTA</t>
        </is>
      </c>
      <c r="F30" s="3" t="inlineStr">
        <is>
          <t>PARADO</t>
        </is>
      </c>
      <c r="G30" s="10" t="n">
        <v>80</v>
      </c>
      <c r="H30" s="10" t="n">
        <v>0</v>
      </c>
      <c r="I30" s="10" t="n">
        <v>200</v>
      </c>
      <c r="J30" s="3" t="inlineStr">
        <is>
          <t>EN EJECUCION</t>
        </is>
      </c>
    </row>
    <row r="31">
      <c r="A31" s="3">
        <f>tblEjecucion[[#This Row],[orden]]&amp;IF(tblEjecucion[[#This Row],[operacion]]="","0010",tblEjecucion[[#This Row],[operacion]])</f>
        <v/>
      </c>
      <c r="B31" s="3" t="inlineStr">
        <is>
          <t>OT-000023</t>
        </is>
      </c>
      <c r="C31" s="3" t="inlineStr">
        <is>
          <t>0010</t>
        </is>
      </c>
      <c r="D31" s="3" t="inlineStr">
        <is>
          <t>CERR</t>
        </is>
      </c>
      <c r="E31" s="3" t="inlineStr">
        <is>
          <t>2-MEDIA</t>
        </is>
      </c>
      <c r="F31" s="3" t="inlineStr">
        <is>
          <t>OPERATIVO</t>
        </is>
      </c>
      <c r="G31" s="10" t="n">
        <v>160</v>
      </c>
      <c r="H31" s="10" t="n">
        <v>400</v>
      </c>
      <c r="I31" s="10" t="n">
        <v>400</v>
      </c>
      <c r="J31" s="3" t="inlineStr">
        <is>
          <t>CERRADA</t>
        </is>
      </c>
    </row>
    <row r="32">
      <c r="A32" s="3">
        <f>tblEjecucion[[#This Row],[orden]]&amp;IF(tblEjecucion[[#This Row],[operacion]]="","0010",tblEjecucion[[#This Row],[operacion]])</f>
        <v/>
      </c>
      <c r="B32" s="3" t="inlineStr">
        <is>
          <t>OT-000024</t>
        </is>
      </c>
      <c r="C32" s="3" t="inlineStr">
        <is>
          <t>0010</t>
        </is>
      </c>
      <c r="D32" s="3" t="inlineStr">
        <is>
          <t>EJEC</t>
        </is>
      </c>
      <c r="E32" s="3" t="inlineStr">
        <is>
          <t>3-BAJA</t>
        </is>
      </c>
      <c r="F32" s="3" t="inlineStr">
        <is>
          <t>PARADO</t>
        </is>
      </c>
      <c r="G32" s="10" t="n">
        <v>128</v>
      </c>
      <c r="H32" s="10" t="n">
        <v>0</v>
      </c>
      <c r="I32" s="10" t="n">
        <v>320</v>
      </c>
      <c r="J32" s="3" t="inlineStr">
        <is>
          <t>EN EJECUCION</t>
        </is>
      </c>
    </row>
    <row r="33">
      <c r="A33" s="3">
        <f>tblEjecucion[[#This Row],[orden]]&amp;IF(tblEjecucion[[#This Row],[operacion]]="","0010",tblEjecucion[[#This Row],[operacion]])</f>
        <v/>
      </c>
      <c r="B33" s="3" t="inlineStr">
        <is>
          <t>OT-000025</t>
        </is>
      </c>
      <c r="C33" s="3" t="inlineStr">
        <is>
          <t>0010</t>
        </is>
      </c>
      <c r="D33" s="3" t="inlineStr">
        <is>
          <t>CERR</t>
        </is>
      </c>
      <c r="E33" s="3" t="inlineStr">
        <is>
          <t>1-ALTA</t>
        </is>
      </c>
      <c r="F33" s="3" t="inlineStr">
        <is>
          <t>OPERATIVO</t>
        </is>
      </c>
      <c r="G33" s="10" t="n">
        <v>112</v>
      </c>
      <c r="H33" s="10" t="n">
        <v>280</v>
      </c>
      <c r="I33" s="10" t="n">
        <v>280</v>
      </c>
      <c r="J33" s="3" t="inlineStr">
        <is>
          <t>CERRADA</t>
        </is>
      </c>
    </row>
    <row r="34">
      <c r="A34" s="3">
        <f>tblEjecucion[[#This Row],[orden]]&amp;IF(tblEjecucion[[#This Row],[operacion]]="","0010",tblEjecucion[[#This Row],[operacion]])</f>
        <v/>
      </c>
      <c r="B34" s="3" t="inlineStr">
        <is>
          <t>OT-000027</t>
        </is>
      </c>
      <c r="C34" s="3" t="inlineStr">
        <is>
          <t>0010</t>
        </is>
      </c>
      <c r="D34" s="3" t="inlineStr">
        <is>
          <t>LIB</t>
        </is>
      </c>
      <c r="E34" s="3" t="inlineStr">
        <is>
          <t>3-BAJA</t>
        </is>
      </c>
      <c r="F34" s="3" t="inlineStr">
        <is>
          <t>OPERATIVO</t>
        </is>
      </c>
      <c r="G34" s="10" t="n">
        <v>80</v>
      </c>
      <c r="H34" s="10" t="n">
        <v>0</v>
      </c>
      <c r="I34" s="10" t="n">
        <v>200</v>
      </c>
      <c r="J34" s="3" t="inlineStr">
        <is>
          <t>LIBERADA</t>
        </is>
      </c>
    </row>
    <row r="35">
      <c r="A35" s="3">
        <f>tblEjecucion[[#This Row],[orden]]&amp;IF(tblEjecucion[[#This Row],[operacion]]="","0010",tblEjecucion[[#This Row],[operacion]])</f>
        <v/>
      </c>
      <c r="B35" s="3" t="inlineStr">
        <is>
          <t>OT-000029</t>
        </is>
      </c>
      <c r="C35" s="3" t="inlineStr">
        <is>
          <t>0010</t>
        </is>
      </c>
      <c r="D35" s="3" t="inlineStr">
        <is>
          <t>LIB</t>
        </is>
      </c>
      <c r="E35" s="3" t="inlineStr">
        <is>
          <t>2-MEDIA</t>
        </is>
      </c>
      <c r="F35" s="3" t="inlineStr">
        <is>
          <t>OPERATIVO</t>
        </is>
      </c>
      <c r="G35" s="10" t="n">
        <v>100</v>
      </c>
      <c r="H35" s="10" t="n">
        <v>0</v>
      </c>
      <c r="I35" s="10" t="n">
        <v>250</v>
      </c>
      <c r="J35" s="3" t="inlineStr">
        <is>
          <t>LIBERADA</t>
        </is>
      </c>
    </row>
    <row r="36">
      <c r="A36" s="3">
        <f>tblEjecucion[[#This Row],[orden]]&amp;IF(tblEjecucion[[#This Row],[operacion]]="","0010",tblEjecucion[[#This Row],[operacion]])</f>
        <v/>
      </c>
      <c r="B36" s="3" t="inlineStr">
        <is>
          <t>OT-000031</t>
        </is>
      </c>
      <c r="C36" s="3" t="inlineStr">
        <is>
          <t>0010</t>
        </is>
      </c>
      <c r="D36" s="3" t="inlineStr">
        <is>
          <t>LIB</t>
        </is>
      </c>
      <c r="E36" s="3" t="inlineStr">
        <is>
          <t>1-ALTA</t>
        </is>
      </c>
      <c r="F36" s="3" t="inlineStr">
        <is>
          <t>OPERATIVO</t>
        </is>
      </c>
      <c r="G36" s="10" t="n">
        <v>60</v>
      </c>
      <c r="H36" s="10" t="n">
        <v>0</v>
      </c>
      <c r="I36" s="10" t="n">
        <v>150</v>
      </c>
      <c r="J36" s="3" t="inlineStr">
        <is>
          <t>LIBERADA</t>
        </is>
      </c>
    </row>
    <row r="37">
      <c r="A37" s="3">
        <f>tblEjecucion[[#This Row],[orden]]&amp;IF(tblEjecucion[[#This Row],[operacion]]="","0010",tblEjecucion[[#This Row],[operacion]])</f>
        <v/>
      </c>
      <c r="B37" s="3" t="inlineStr">
        <is>
          <t>OT-000033</t>
        </is>
      </c>
      <c r="C37" s="3" t="inlineStr">
        <is>
          <t>0010</t>
        </is>
      </c>
      <c r="D37" s="3" t="inlineStr">
        <is>
          <t>LIB</t>
        </is>
      </c>
      <c r="E37" s="3" t="inlineStr">
        <is>
          <t>3-BAJA</t>
        </is>
      </c>
      <c r="F37" s="3" t="inlineStr">
        <is>
          <t>OPERATIVO</t>
        </is>
      </c>
      <c r="G37" s="10" t="n">
        <v>80</v>
      </c>
      <c r="H37" s="10" t="n">
        <v>0</v>
      </c>
      <c r="I37" s="10" t="n">
        <v>200</v>
      </c>
      <c r="J37" s="3" t="inlineStr">
        <is>
          <t>LIBERADA</t>
        </is>
      </c>
    </row>
    <row r="38">
      <c r="A38" s="3">
        <f>tblEjecucion[[#This Row],[orden]]&amp;IF(tblEjecucion[[#This Row],[operacion]]="","0010",tblEjecucion[[#This Row],[operacion]])</f>
        <v/>
      </c>
      <c r="B38" s="3" t="inlineStr">
        <is>
          <t>OT-000035</t>
        </is>
      </c>
      <c r="C38" s="3" t="inlineStr">
        <is>
          <t>0010</t>
        </is>
      </c>
      <c r="D38" s="3" t="inlineStr">
        <is>
          <t>LIB</t>
        </is>
      </c>
      <c r="E38" s="3" t="inlineStr">
        <is>
          <t>2-MEDIA</t>
        </is>
      </c>
      <c r="F38" s="3" t="inlineStr">
        <is>
          <t>OPERATIVO</t>
        </is>
      </c>
      <c r="G38" s="10" t="n">
        <v>80</v>
      </c>
      <c r="H38" s="10" t="n">
        <v>0</v>
      </c>
      <c r="I38" s="10" t="n">
        <v>200</v>
      </c>
      <c r="J38" s="3" t="inlineStr">
        <is>
          <t>LIBERADA</t>
        </is>
      </c>
    </row>
    <row r="39">
      <c r="A39" s="3">
        <f>tblEjecucion[[#This Row],[orden]]&amp;IF(tblEjecucion[[#This Row],[operacion]]="","0010",tblEjecucion[[#This Row],[operacion]])</f>
        <v/>
      </c>
      <c r="B39" s="3" t="inlineStr">
        <is>
          <t>OT-000037</t>
        </is>
      </c>
      <c r="C39" s="3" t="inlineStr">
        <is>
          <t>0010</t>
        </is>
      </c>
      <c r="D39" s="3" t="inlineStr">
        <is>
          <t>LIB</t>
        </is>
      </c>
      <c r="E39" s="3" t="inlineStr">
        <is>
          <t>1-ALTA</t>
        </is>
      </c>
      <c r="F39" s="3" t="inlineStr">
        <is>
          <t>OPERATIVO</t>
        </is>
      </c>
      <c r="G39" s="10" t="n">
        <v>160</v>
      </c>
      <c r="H39" s="10" t="n">
        <v>0</v>
      </c>
      <c r="I39" s="10" t="n">
        <v>400</v>
      </c>
      <c r="J39" s="3" t="inlineStr">
        <is>
          <t>LIBERADA</t>
        </is>
      </c>
    </row>
    <row r="40">
      <c r="A40" s="3">
        <f>tblEjecucion[[#This Row],[orden]]&amp;IF(tblEjecucion[[#This Row],[operacion]]="","0010",tblEjecucion[[#This Row],[operacion]])</f>
        <v/>
      </c>
      <c r="B40" s="3" t="inlineStr">
        <is>
          <t>OT-000039</t>
        </is>
      </c>
      <c r="C40" s="3" t="inlineStr">
        <is>
          <t>0010</t>
        </is>
      </c>
      <c r="D40" s="3" t="inlineStr">
        <is>
          <t>LIB</t>
        </is>
      </c>
      <c r="E40" s="3" t="inlineStr">
        <is>
          <t>3-BAJA</t>
        </is>
      </c>
      <c r="F40" s="3" t="inlineStr">
        <is>
          <t>OPERATIVO</t>
        </is>
      </c>
      <c r="G40" s="10" t="n">
        <v>80</v>
      </c>
      <c r="H40" s="10" t="n">
        <v>0</v>
      </c>
      <c r="I40" s="10" t="n">
        <v>200</v>
      </c>
      <c r="J40" s="3" t="inlineStr">
        <is>
          <t>LIBERADA</t>
        </is>
      </c>
    </row>
    <row r="41">
      <c r="A41" s="3">
        <f>tblEjecucion[[#This Row],[orden]]&amp;IF(tblEjecucion[[#This Row],[operacion]]="","0010",tblEjecucion[[#This Row],[operacion]])</f>
        <v/>
      </c>
      <c r="B41" s="3" t="inlineStr">
        <is>
          <t>OT-000041</t>
        </is>
      </c>
      <c r="C41" s="3" t="inlineStr">
        <is>
          <t>0010</t>
        </is>
      </c>
      <c r="D41" s="3" t="inlineStr">
        <is>
          <t>LIB</t>
        </is>
      </c>
      <c r="E41" s="3" t="inlineStr">
        <is>
          <t>2-MEDIA</t>
        </is>
      </c>
      <c r="F41" s="3" t="inlineStr">
        <is>
          <t>OPERATIVO</t>
        </is>
      </c>
      <c r="G41" s="10" t="n">
        <v>100</v>
      </c>
      <c r="H41" s="10" t="n">
        <v>0</v>
      </c>
      <c r="I41" s="10" t="n">
        <v>250</v>
      </c>
      <c r="J41" s="3" t="inlineStr">
        <is>
          <t>LIBERADA</t>
        </is>
      </c>
    </row>
    <row r="42">
      <c r="A42" s="3">
        <f>tblEjecucion[[#This Row],[orden]]&amp;IF(tblEjecucion[[#This Row],[operacion]]="","0010",tblEjecucion[[#This Row],[operacion]])</f>
        <v/>
      </c>
      <c r="B42" s="3" t="inlineStr">
        <is>
          <t>OT-000043</t>
        </is>
      </c>
      <c r="C42" s="3" t="inlineStr">
        <is>
          <t>0010</t>
        </is>
      </c>
      <c r="D42" s="3" t="inlineStr">
        <is>
          <t>LIB</t>
        </is>
      </c>
      <c r="E42" s="3" t="inlineStr">
        <is>
          <t>1-ALTA</t>
        </is>
      </c>
      <c r="F42" s="3" t="inlineStr">
        <is>
          <t>OPERATIVO</t>
        </is>
      </c>
      <c r="G42" s="10" t="n">
        <v>60</v>
      </c>
      <c r="H42" s="10" t="n">
        <v>0</v>
      </c>
      <c r="I42" s="10" t="n">
        <v>150</v>
      </c>
      <c r="J42" s="3" t="inlineStr">
        <is>
          <t>LIBERADA</t>
        </is>
      </c>
    </row>
    <row r="43">
      <c r="A43" s="3">
        <f>tblEjecucion[[#This Row],[orden]]&amp;IF(tblEjecucion[[#This Row],[operacion]]="","0010",tblEjecucion[[#This Row],[operacion]])</f>
        <v/>
      </c>
      <c r="B43" s="3" t="inlineStr">
        <is>
          <t>OT-000045</t>
        </is>
      </c>
      <c r="C43" s="3" t="inlineStr">
        <is>
          <t>0010</t>
        </is>
      </c>
      <c r="D43" s="3" t="inlineStr">
        <is>
          <t>LIB</t>
        </is>
      </c>
      <c r="E43" s="3" t="inlineStr">
        <is>
          <t>3-BAJA</t>
        </is>
      </c>
      <c r="F43" s="3" t="inlineStr">
        <is>
          <t>OPERATIVO</t>
        </is>
      </c>
      <c r="G43" s="10" t="n">
        <v>80</v>
      </c>
      <c r="H43" s="10" t="n">
        <v>0</v>
      </c>
      <c r="I43" s="10" t="n">
        <v>200</v>
      </c>
      <c r="J43" s="3" t="inlineStr">
        <is>
          <t>LIBERADA</t>
        </is>
      </c>
    </row>
    <row r="44">
      <c r="A44" s="3">
        <f>tblEjecucion[[#This Row],[orden]]&amp;IF(tblEjecucion[[#This Row],[operacion]]="","0010",tblEjecucion[[#This Row],[operacion]])</f>
        <v/>
      </c>
      <c r="B44" s="3" t="inlineStr">
        <is>
          <t>OT-000047</t>
        </is>
      </c>
      <c r="C44" s="3" t="inlineStr">
        <is>
          <t>0010</t>
        </is>
      </c>
      <c r="D44" s="3" t="inlineStr">
        <is>
          <t>LIB</t>
        </is>
      </c>
      <c r="E44" s="3" t="inlineStr">
        <is>
          <t>2-MEDIA</t>
        </is>
      </c>
      <c r="F44" s="3" t="inlineStr">
        <is>
          <t>OPERATIVO</t>
        </is>
      </c>
      <c r="G44" s="10" t="n">
        <v>160</v>
      </c>
      <c r="H44" s="10" t="n">
        <v>0</v>
      </c>
      <c r="I44" s="10" t="n">
        <v>400</v>
      </c>
      <c r="J44" s="3" t="inlineStr">
        <is>
          <t>LIBERADA</t>
        </is>
      </c>
    </row>
    <row r="45">
      <c r="A45" s="3">
        <f>tblEjecucion[[#This Row],[orden]]&amp;IF(tblEjecucion[[#This Row],[operacion]]="","0010",tblEjecucion[[#This Row],[operacion]])</f>
        <v/>
      </c>
      <c r="B45" s="3" t="inlineStr">
        <is>
          <t>OT-000049</t>
        </is>
      </c>
      <c r="C45" s="3" t="inlineStr">
        <is>
          <t>0010</t>
        </is>
      </c>
      <c r="D45" s="3" t="inlineStr">
        <is>
          <t>LIB</t>
        </is>
      </c>
      <c r="E45" s="3" t="inlineStr">
        <is>
          <t>1-ALTA</t>
        </is>
      </c>
      <c r="F45" s="3" t="inlineStr">
        <is>
          <t>OPERATIVO</t>
        </is>
      </c>
      <c r="G45" s="10" t="n">
        <v>100</v>
      </c>
      <c r="H45" s="10" t="n">
        <v>0</v>
      </c>
      <c r="I45" s="10" t="n">
        <v>250</v>
      </c>
      <c r="J45" s="3" t="inlineStr">
        <is>
          <t>LIBERADA</t>
        </is>
      </c>
    </row>
    <row r="46">
      <c r="A46" s="3">
        <f>tblEjecucion[[#This Row],[orden]]&amp;IF(tblEjecucion[[#This Row],[operacion]]="","0010",tblEjecucion[[#This Row],[operacion]])</f>
        <v/>
      </c>
      <c r="B46" s="3" t="inlineStr">
        <is>
          <t>OT-000050</t>
        </is>
      </c>
      <c r="C46" s="3" t="inlineStr">
        <is>
          <t>0010</t>
        </is>
      </c>
      <c r="D46" s="3" t="inlineStr">
        <is>
          <t>CERR</t>
        </is>
      </c>
      <c r="E46" s="3" t="inlineStr">
        <is>
          <t>2-MEDIA</t>
        </is>
      </c>
      <c r="F46" s="3" t="inlineStr">
        <is>
          <t>PARADO</t>
        </is>
      </c>
      <c r="G46" s="10" t="n">
        <v>80</v>
      </c>
      <c r="H46" s="10" t="n">
        <v>200</v>
      </c>
      <c r="I46" s="10" t="n">
        <v>200</v>
      </c>
      <c r="J46" s="3" t="inlineStr">
        <is>
          <t>CERRADA</t>
        </is>
      </c>
    </row>
    <row r="47">
      <c r="A47" s="3">
        <f>tblEjecucion[[#This Row],[orden]]&amp;IF(tblEjecucion[[#This Row],[operacion]]="","0010",tblEjecucion[[#This Row],[operacion]])</f>
        <v/>
      </c>
      <c r="B47" s="3" t="inlineStr">
        <is>
          <t>OT-000051</t>
        </is>
      </c>
      <c r="C47" s="3" t="inlineStr">
        <is>
          <t>0010</t>
        </is>
      </c>
      <c r="D47" s="3" t="inlineStr">
        <is>
          <t>CERR</t>
        </is>
      </c>
      <c r="E47" s="3" t="inlineStr">
        <is>
          <t>3-BAJA</t>
        </is>
      </c>
      <c r="F47" s="3" t="inlineStr">
        <is>
          <t>OPERATIVO</t>
        </is>
      </c>
      <c r="G47" s="10" t="n">
        <v>60</v>
      </c>
      <c r="H47" s="10" t="n">
        <v>150</v>
      </c>
      <c r="I47" s="10" t="n">
        <v>150</v>
      </c>
      <c r="J47" s="3" t="inlineStr">
        <is>
          <t>CERRADA</t>
        </is>
      </c>
    </row>
    <row r="48">
      <c r="A48" s="3">
        <f>tblEjecucion[[#This Row],[orden]]&amp;IF(tblEjecucion[[#This Row],[operacion]]="","0010",tblEjecucion[[#This Row],[operacion]])</f>
        <v/>
      </c>
      <c r="B48" s="3" t="inlineStr">
        <is>
          <t>OT-000052</t>
        </is>
      </c>
      <c r="C48" s="3" t="inlineStr">
        <is>
          <t>0010</t>
        </is>
      </c>
      <c r="D48" s="3" t="inlineStr">
        <is>
          <t>CERR</t>
        </is>
      </c>
      <c r="E48" s="3" t="inlineStr">
        <is>
          <t>1-ALTA</t>
        </is>
      </c>
      <c r="F48" s="3" t="inlineStr">
        <is>
          <t>PARADO</t>
        </is>
      </c>
      <c r="G48" s="10" t="n">
        <v>100</v>
      </c>
      <c r="H48" s="10" t="n">
        <v>250</v>
      </c>
      <c r="I48" s="10" t="n">
        <v>250</v>
      </c>
      <c r="J48" s="3" t="inlineStr">
        <is>
          <t>CERRADA</t>
        </is>
      </c>
    </row>
    <row r="49">
      <c r="A49" s="3">
        <f>tblEjecucion[[#This Row],[orden]]&amp;IF(tblEjecucion[[#This Row],[operacion]]="","0010",tblEjecucion[[#This Row],[operacion]])</f>
        <v/>
      </c>
      <c r="B49" s="3" t="inlineStr">
        <is>
          <t>OT-000053</t>
        </is>
      </c>
      <c r="C49" s="3" t="inlineStr">
        <is>
          <t>0010</t>
        </is>
      </c>
      <c r="D49" s="3" t="inlineStr">
        <is>
          <t>CERR</t>
        </is>
      </c>
      <c r="E49" s="3" t="inlineStr">
        <is>
          <t>2-MEDIA</t>
        </is>
      </c>
      <c r="F49" s="3" t="inlineStr">
        <is>
          <t>OPERATIVO</t>
        </is>
      </c>
      <c r="G49" s="10" t="n">
        <v>80</v>
      </c>
      <c r="H49" s="10" t="n">
        <v>200</v>
      </c>
      <c r="I49" s="10" t="n">
        <v>200</v>
      </c>
      <c r="J49" s="3" t="inlineStr">
        <is>
          <t>CERRADA</t>
        </is>
      </c>
    </row>
    <row r="50">
      <c r="A50" s="3">
        <f>tblEjecucion[[#This Row],[orden]]&amp;IF(tblEjecucion[[#This Row],[operacion]]="","0010",tblEjecucion[[#This Row],[operacion]])</f>
        <v/>
      </c>
      <c r="B50" s="3" t="inlineStr">
        <is>
          <t>OT-000054</t>
        </is>
      </c>
      <c r="C50" s="3" t="inlineStr">
        <is>
          <t>0010</t>
        </is>
      </c>
      <c r="D50" s="3" t="inlineStr">
        <is>
          <t>CERR</t>
        </is>
      </c>
      <c r="E50" s="3" t="inlineStr">
        <is>
          <t>3-BAJA</t>
        </is>
      </c>
      <c r="F50" s="3" t="inlineStr">
        <is>
          <t>PARADO</t>
        </is>
      </c>
      <c r="G50" s="10" t="n">
        <v>60</v>
      </c>
      <c r="H50" s="10" t="n">
        <v>150</v>
      </c>
      <c r="I50" s="10" t="n">
        <v>150</v>
      </c>
      <c r="J50" s="3" t="inlineStr">
        <is>
          <t>CERRADA</t>
        </is>
      </c>
    </row>
    <row r="51">
      <c r="A51" s="3">
        <f>tblEjecucion[[#This Row],[orden]]&amp;IF(tblEjecucion[[#This Row],[operacion]]="","0010",tblEjecucion[[#This Row],[operacion]])</f>
        <v/>
      </c>
      <c r="B51" s="3" t="inlineStr">
        <is>
          <t>OT-000055</t>
        </is>
      </c>
      <c r="C51" s="3" t="inlineStr">
        <is>
          <t>0010</t>
        </is>
      </c>
      <c r="D51" s="3" t="inlineStr">
        <is>
          <t>CERR</t>
        </is>
      </c>
      <c r="E51" s="3" t="inlineStr">
        <is>
          <t>1-ALTA</t>
        </is>
      </c>
      <c r="F51" s="3" t="inlineStr">
        <is>
          <t>OPERATIVO</t>
        </is>
      </c>
      <c r="G51" s="10" t="n">
        <v>100</v>
      </c>
      <c r="H51" s="10" t="n">
        <v>250</v>
      </c>
      <c r="I51" s="10" t="n">
        <v>250</v>
      </c>
      <c r="J51" s="3" t="inlineStr">
        <is>
          <t>CERRADA</t>
        </is>
      </c>
    </row>
    <row r="52">
      <c r="A52" s="3">
        <f>tblEjecucion[[#This Row],[orden]]&amp;IF(tblEjecucion[[#This Row],[operacion]]="","0010",tblEjecucion[[#This Row],[operacion]])</f>
        <v/>
      </c>
      <c r="B52" s="3" t="inlineStr">
        <is>
          <t>OT-000056</t>
        </is>
      </c>
      <c r="C52" s="3" t="inlineStr">
        <is>
          <t>0010</t>
        </is>
      </c>
      <c r="D52" s="3" t="inlineStr">
        <is>
          <t>CERR</t>
        </is>
      </c>
      <c r="E52" s="3" t="inlineStr">
        <is>
          <t>2-MEDIA</t>
        </is>
      </c>
      <c r="F52" s="3" t="inlineStr">
        <is>
          <t>PARADO</t>
        </is>
      </c>
      <c r="G52" s="10" t="n">
        <v>20</v>
      </c>
      <c r="H52" s="10" t="n">
        <v>50</v>
      </c>
      <c r="I52" s="10" t="n">
        <v>50</v>
      </c>
      <c r="J52" s="3" t="inlineStr">
        <is>
          <t>CERRADA</t>
        </is>
      </c>
    </row>
    <row r="53">
      <c r="A53" s="3">
        <f>tblEjecucion[[#This Row],[orden]]&amp;IF(tblEjecucion[[#This Row],[operacion]]="","0010",tblEjecucion[[#This Row],[operacion]])</f>
        <v/>
      </c>
      <c r="B53" s="3" t="inlineStr">
        <is>
          <t>OT-000057</t>
        </is>
      </c>
      <c r="C53" s="3" t="inlineStr">
        <is>
          <t>0010</t>
        </is>
      </c>
      <c r="D53" s="3" t="inlineStr">
        <is>
          <t>CERR</t>
        </is>
      </c>
      <c r="E53" s="3" t="inlineStr">
        <is>
          <t>3-BAJA</t>
        </is>
      </c>
      <c r="F53" s="3" t="inlineStr">
        <is>
          <t>OPERATIVO</t>
        </is>
      </c>
      <c r="G53" s="10" t="n">
        <v>160</v>
      </c>
      <c r="H53" s="10" t="n">
        <v>400</v>
      </c>
      <c r="I53" s="10" t="n">
        <v>400</v>
      </c>
      <c r="J53" s="3" t="inlineStr">
        <is>
          <t>CERRADA</t>
        </is>
      </c>
    </row>
    <row r="54">
      <c r="A54" s="3">
        <f>tblEjecucion[[#This Row],[orden]]&amp;IF(tblEjecucion[[#This Row],[operacion]]="","0010",tblEjecucion[[#This Row],[operacion]])</f>
        <v/>
      </c>
      <c r="B54" s="3" t="inlineStr">
        <is>
          <t>OT-000058</t>
        </is>
      </c>
      <c r="C54" s="3" t="inlineStr">
        <is>
          <t>0010</t>
        </is>
      </c>
      <c r="D54" s="3" t="inlineStr">
        <is>
          <t>CERR</t>
        </is>
      </c>
      <c r="E54" s="3" t="inlineStr">
        <is>
          <t>1-ALTA</t>
        </is>
      </c>
      <c r="F54" s="3" t="inlineStr">
        <is>
          <t>PARADO</t>
        </is>
      </c>
      <c r="G54" s="10" t="n">
        <v>80</v>
      </c>
      <c r="H54" s="10" t="n">
        <v>200</v>
      </c>
      <c r="I54" s="10" t="n">
        <v>200</v>
      </c>
      <c r="J54" s="3" t="inlineStr">
        <is>
          <t>CERRADA</t>
        </is>
      </c>
    </row>
    <row r="55">
      <c r="A55" s="3">
        <f>tblEjecucion[[#This Row],[orden]]&amp;IF(tblEjecucion[[#This Row],[operacion]]="","0010",tblEjecucion[[#This Row],[operacion]])</f>
        <v/>
      </c>
      <c r="B55" s="3" t="inlineStr">
        <is>
          <t>OT-000059</t>
        </is>
      </c>
      <c r="C55" s="3" t="inlineStr">
        <is>
          <t>0010</t>
        </is>
      </c>
      <c r="D55" s="3" t="inlineStr">
        <is>
          <t>CERR</t>
        </is>
      </c>
      <c r="E55" s="3" t="inlineStr">
        <is>
          <t>2-MEDIA</t>
        </is>
      </c>
      <c r="F55" s="3" t="inlineStr">
        <is>
          <t>OPERATIVO</t>
        </is>
      </c>
      <c r="G55" s="10" t="n">
        <v>100</v>
      </c>
      <c r="H55" s="10" t="n">
        <v>250</v>
      </c>
      <c r="I55" s="10" t="n">
        <v>250</v>
      </c>
      <c r="J55" s="3" t="inlineStr">
        <is>
          <t>CERRADA</t>
        </is>
      </c>
    </row>
    <row r="56">
      <c r="A56" s="3">
        <f>tblEjecucion[[#This Row],[orden]]&amp;IF(tblEjecucion[[#This Row],[operacion]]="","0010",tblEjecucion[[#This Row],[operacion]])</f>
        <v/>
      </c>
      <c r="B56" s="3" t="inlineStr">
        <is>
          <t>OT-000060</t>
        </is>
      </c>
      <c r="C56" s="3" t="inlineStr">
        <is>
          <t>0010</t>
        </is>
      </c>
      <c r="D56" s="3" t="inlineStr">
        <is>
          <t>EJEC</t>
        </is>
      </c>
      <c r="E56" s="3" t="inlineStr">
        <is>
          <t>3-BAJA</t>
        </is>
      </c>
      <c r="F56" s="3" t="inlineStr">
        <is>
          <t>PARADO</t>
        </is>
      </c>
      <c r="G56" s="10" t="n">
        <v>80</v>
      </c>
      <c r="H56" s="10" t="n">
        <v>0</v>
      </c>
      <c r="I56" s="10" t="n">
        <v>200</v>
      </c>
      <c r="J56" s="3" t="inlineStr">
        <is>
          <t>EN EJECUCION</t>
        </is>
      </c>
    </row>
    <row r="57">
      <c r="A57" s="3">
        <f>tblEjecucion[[#This Row],[orden]]&amp;IF(tblEjecucion[[#This Row],[operacion]]="","0010",tblEjecucion[[#This Row],[operacion]])</f>
        <v/>
      </c>
      <c r="B57" s="3" t="inlineStr">
        <is>
          <t>OT-000061</t>
        </is>
      </c>
      <c r="C57" s="3" t="inlineStr">
        <is>
          <t>0010</t>
        </is>
      </c>
      <c r="D57" s="3" t="inlineStr">
        <is>
          <t>CERR</t>
        </is>
      </c>
      <c r="E57" s="3" t="inlineStr">
        <is>
          <t>1-ALTA</t>
        </is>
      </c>
      <c r="F57" s="3" t="inlineStr">
        <is>
          <t>OPERATIVO</t>
        </is>
      </c>
      <c r="G57" s="10" t="n">
        <v>60</v>
      </c>
      <c r="H57" s="10" t="n">
        <v>150</v>
      </c>
      <c r="I57" s="10" t="n">
        <v>150</v>
      </c>
      <c r="J57" s="3" t="inlineStr">
        <is>
          <t>CERRADA</t>
        </is>
      </c>
    </row>
    <row r="58">
      <c r="A58" s="3">
        <f>tblEjecucion[[#This Row],[orden]]&amp;IF(tblEjecucion[[#This Row],[operacion]]="","0010",tblEjecucion[[#This Row],[operacion]])</f>
        <v/>
      </c>
      <c r="B58" s="3" t="inlineStr">
        <is>
          <t>OT-000062</t>
        </is>
      </c>
      <c r="C58" s="3" t="inlineStr">
        <is>
          <t>0010</t>
        </is>
      </c>
      <c r="D58" s="3" t="inlineStr">
        <is>
          <t>EJEC</t>
        </is>
      </c>
      <c r="E58" s="3" t="inlineStr">
        <is>
          <t>2-MEDIA</t>
        </is>
      </c>
      <c r="F58" s="3" t="inlineStr">
        <is>
          <t>PARADO</t>
        </is>
      </c>
      <c r="G58" s="10" t="n">
        <v>100</v>
      </c>
      <c r="H58" s="10" t="n">
        <v>0</v>
      </c>
      <c r="I58" s="10" t="n">
        <v>250</v>
      </c>
      <c r="J58" s="3" t="inlineStr">
        <is>
          <t>EN EJECUCION</t>
        </is>
      </c>
    </row>
    <row r="59">
      <c r="A59" s="3">
        <f>tblEjecucion[[#This Row],[orden]]&amp;IF(tblEjecucion[[#This Row],[operacion]]="","0010",tblEjecucion[[#This Row],[operacion]])</f>
        <v/>
      </c>
      <c r="B59" s="3" t="inlineStr">
        <is>
          <t>OT-000063</t>
        </is>
      </c>
      <c r="C59" s="3" t="inlineStr">
        <is>
          <t>0010</t>
        </is>
      </c>
      <c r="D59" s="3" t="inlineStr">
        <is>
          <t>CERR</t>
        </is>
      </c>
      <c r="E59" s="3" t="inlineStr">
        <is>
          <t>3-BAJA</t>
        </is>
      </c>
      <c r="F59" s="3" t="inlineStr">
        <is>
          <t>OPERATIVO</t>
        </is>
      </c>
      <c r="G59" s="10" t="n">
        <v>80</v>
      </c>
      <c r="H59" s="10" t="n">
        <v>200</v>
      </c>
      <c r="I59" s="10" t="n">
        <v>200</v>
      </c>
      <c r="J59" s="3" t="inlineStr">
        <is>
          <t>CERRADA</t>
        </is>
      </c>
    </row>
    <row r="60">
      <c r="A60" s="3">
        <f>tblEjecucion[[#This Row],[orden]]&amp;IF(tblEjecucion[[#This Row],[operacion]]="","0010",tblEjecucion[[#This Row],[operacion]])</f>
        <v/>
      </c>
      <c r="B60" s="3" t="inlineStr">
        <is>
          <t>OT-000064</t>
        </is>
      </c>
      <c r="C60" s="3" t="inlineStr">
        <is>
          <t>0010</t>
        </is>
      </c>
      <c r="D60" s="3" t="inlineStr">
        <is>
          <t>EJEC</t>
        </is>
      </c>
      <c r="E60" s="3" t="inlineStr">
        <is>
          <t>1-ALTA</t>
        </is>
      </c>
      <c r="F60" s="3" t="inlineStr">
        <is>
          <t>PARADO</t>
        </is>
      </c>
      <c r="G60" s="10" t="n">
        <v>60</v>
      </c>
      <c r="H60" s="10" t="n">
        <v>0</v>
      </c>
      <c r="I60" s="10" t="n">
        <v>150</v>
      </c>
      <c r="J60" s="3" t="inlineStr">
        <is>
          <t>EN EJECUCION</t>
        </is>
      </c>
    </row>
    <row r="61">
      <c r="A61" s="3">
        <f>tblEjecucion[[#This Row],[orden]]&amp;IF(tblEjecucion[[#This Row],[operacion]]="","0010",tblEjecucion[[#This Row],[operacion]])</f>
        <v/>
      </c>
      <c r="B61" s="3" t="inlineStr">
        <is>
          <t>OT-000065</t>
        </is>
      </c>
      <c r="C61" s="3" t="inlineStr">
        <is>
          <t>0010</t>
        </is>
      </c>
      <c r="D61" s="3" t="inlineStr">
        <is>
          <t>CERR</t>
        </is>
      </c>
      <c r="E61" s="3" t="inlineStr">
        <is>
          <t>2-MEDIA</t>
        </is>
      </c>
      <c r="F61" s="3" t="inlineStr">
        <is>
          <t>OPERATIVO</t>
        </is>
      </c>
      <c r="G61" s="10" t="n">
        <v>100</v>
      </c>
      <c r="H61" s="10" t="n">
        <v>250</v>
      </c>
      <c r="I61" s="10" t="n">
        <v>250</v>
      </c>
      <c r="J61" s="3" t="inlineStr">
        <is>
          <t>CERRADA</t>
        </is>
      </c>
    </row>
    <row r="62">
      <c r="A62" s="3">
        <f>tblEjecucion[[#This Row],[orden]]&amp;IF(tblEjecucion[[#This Row],[operacion]]="","0010",tblEjecucion[[#This Row],[operacion]])</f>
        <v/>
      </c>
      <c r="B62" s="3" t="inlineStr">
        <is>
          <t>OT-000066</t>
        </is>
      </c>
      <c r="C62" s="3" t="inlineStr">
        <is>
          <t>0010</t>
        </is>
      </c>
      <c r="D62" s="3" t="inlineStr">
        <is>
          <t>EJEC</t>
        </is>
      </c>
      <c r="E62" s="3" t="inlineStr">
        <is>
          <t>3-BAJA</t>
        </is>
      </c>
      <c r="F62" s="3" t="inlineStr">
        <is>
          <t>PARADO</t>
        </is>
      </c>
      <c r="G62" s="10" t="n">
        <v>70</v>
      </c>
      <c r="H62" s="10" t="n">
        <v>0</v>
      </c>
      <c r="I62" s="10" t="n">
        <v>175</v>
      </c>
      <c r="J62" s="3" t="inlineStr">
        <is>
          <t>EN EJECUCION</t>
        </is>
      </c>
    </row>
    <row r="63">
      <c r="A63" s="3">
        <f>tblEjecucion[[#This Row],[orden]]&amp;IF(tblEjecucion[[#This Row],[operacion]]="","0010",tblEjecucion[[#This Row],[operacion]])</f>
        <v/>
      </c>
      <c r="B63" s="3" t="inlineStr">
        <is>
          <t>OT-000067</t>
        </is>
      </c>
      <c r="C63" s="3" t="inlineStr">
        <is>
          <t>0010</t>
        </is>
      </c>
      <c r="D63" s="3" t="inlineStr">
        <is>
          <t>CERR</t>
        </is>
      </c>
      <c r="E63" s="3" t="inlineStr">
        <is>
          <t>1-ALTA</t>
        </is>
      </c>
      <c r="F63" s="3" t="inlineStr">
        <is>
          <t>OPERATIVO</t>
        </is>
      </c>
      <c r="G63" s="10" t="n">
        <v>160</v>
      </c>
      <c r="H63" s="10" t="n">
        <v>400</v>
      </c>
      <c r="I63" s="10" t="n">
        <v>400</v>
      </c>
      <c r="J63" s="3" t="inlineStr">
        <is>
          <t>CERRADA</t>
        </is>
      </c>
    </row>
    <row r="64">
      <c r="A64" s="3">
        <f>tblEjecucion[[#This Row],[orden]]&amp;IF(tblEjecucion[[#This Row],[operacion]]="","0010",tblEjecucion[[#This Row],[operacion]])</f>
        <v/>
      </c>
      <c r="B64" s="3" t="inlineStr">
        <is>
          <t>OT-000068</t>
        </is>
      </c>
      <c r="C64" s="3" t="inlineStr">
        <is>
          <t>0010</t>
        </is>
      </c>
      <c r="D64" s="3" t="inlineStr">
        <is>
          <t>EJEC</t>
        </is>
      </c>
      <c r="E64" s="3" t="inlineStr">
        <is>
          <t>2-MEDIA</t>
        </is>
      </c>
      <c r="F64" s="3" t="inlineStr">
        <is>
          <t>PARADO</t>
        </is>
      </c>
      <c r="G64" s="10" t="n">
        <v>160</v>
      </c>
      <c r="H64" s="10" t="n">
        <v>0</v>
      </c>
      <c r="I64" s="10" t="n">
        <v>400</v>
      </c>
      <c r="J64" s="3" t="inlineStr">
        <is>
          <t>EN EJECUCION</t>
        </is>
      </c>
    </row>
    <row r="65">
      <c r="A65" s="3">
        <f>tblEjecucion[[#This Row],[orden]]&amp;IF(tblEjecucion[[#This Row],[operacion]]="","0010",tblEjecucion[[#This Row],[operacion]])</f>
        <v/>
      </c>
      <c r="B65" s="3" t="inlineStr">
        <is>
          <t>OT-000069</t>
        </is>
      </c>
      <c r="C65" s="3" t="inlineStr">
        <is>
          <t>0010</t>
        </is>
      </c>
      <c r="D65" s="3" t="inlineStr">
        <is>
          <t>LIB</t>
        </is>
      </c>
      <c r="E65" s="3" t="inlineStr">
        <is>
          <t>3-BAJA</t>
        </is>
      </c>
      <c r="F65" s="3" t="inlineStr">
        <is>
          <t>OPERATIVO</t>
        </is>
      </c>
      <c r="G65" s="10" t="n">
        <v>100</v>
      </c>
      <c r="H65" s="10" t="n">
        <v>0</v>
      </c>
      <c r="I65" s="10" t="n">
        <v>250</v>
      </c>
      <c r="J65" s="3" t="inlineStr">
        <is>
          <t>LIBERADA</t>
        </is>
      </c>
    </row>
    <row r="66">
      <c r="A66" s="3">
        <f>tblEjecucion[[#This Row],[orden]]&amp;IF(tblEjecucion[[#This Row],[operacion]]="","0010",tblEjecucion[[#This Row],[operacion]])</f>
        <v/>
      </c>
      <c r="B66" s="3" t="inlineStr">
        <is>
          <t>OT-000071</t>
        </is>
      </c>
      <c r="C66" s="3" t="inlineStr">
        <is>
          <t>0010</t>
        </is>
      </c>
      <c r="D66" s="3" t="inlineStr">
        <is>
          <t>LIB</t>
        </is>
      </c>
      <c r="E66" s="3" t="inlineStr">
        <is>
          <t>2-MEDIA</t>
        </is>
      </c>
      <c r="F66" s="3" t="inlineStr">
        <is>
          <t>OPERATIVO</t>
        </is>
      </c>
      <c r="G66" s="10" t="n">
        <v>60</v>
      </c>
      <c r="H66" s="10" t="n">
        <v>0</v>
      </c>
      <c r="I66" s="10" t="n">
        <v>150</v>
      </c>
      <c r="J66" s="3" t="inlineStr">
        <is>
          <t>LIBERADA</t>
        </is>
      </c>
    </row>
    <row r="67">
      <c r="A67" s="3">
        <f>tblEjecucion[[#This Row],[orden]]&amp;IF(tblEjecucion[[#This Row],[operacion]]="","0010",tblEjecucion[[#This Row],[operacion]])</f>
        <v/>
      </c>
      <c r="B67" s="3" t="inlineStr">
        <is>
          <t>OT-000073</t>
        </is>
      </c>
      <c r="C67" s="3" t="inlineStr">
        <is>
          <t>0010</t>
        </is>
      </c>
      <c r="D67" s="3" t="inlineStr">
        <is>
          <t>LIB</t>
        </is>
      </c>
      <c r="E67" s="3" t="inlineStr">
        <is>
          <t>1-ALTA</t>
        </is>
      </c>
      <c r="F67" s="3" t="inlineStr">
        <is>
          <t>OPERATIVO</t>
        </is>
      </c>
      <c r="G67" s="10" t="n">
        <v>80</v>
      </c>
      <c r="H67" s="10" t="n">
        <v>0</v>
      </c>
      <c r="I67" s="10" t="n">
        <v>200</v>
      </c>
      <c r="J67" s="3" t="inlineStr">
        <is>
          <t>LIBERADA</t>
        </is>
      </c>
    </row>
    <row r="68">
      <c r="A68" s="3">
        <f>tblEjecucion[[#This Row],[orden]]&amp;IF(tblEjecucion[[#This Row],[operacion]]="","0010",tblEjecucion[[#This Row],[operacion]])</f>
        <v/>
      </c>
      <c r="B68" s="3" t="inlineStr">
        <is>
          <t>OT-000075</t>
        </is>
      </c>
      <c r="C68" s="3" t="inlineStr">
        <is>
          <t>0010</t>
        </is>
      </c>
      <c r="D68" s="3" t="inlineStr">
        <is>
          <t>LIB</t>
        </is>
      </c>
      <c r="E68" s="3" t="inlineStr">
        <is>
          <t>3-BAJA</t>
        </is>
      </c>
      <c r="F68" s="3" t="inlineStr">
        <is>
          <t>OPERATIVO</t>
        </is>
      </c>
      <c r="G68" s="10" t="n">
        <v>100</v>
      </c>
      <c r="H68" s="10" t="n">
        <v>0</v>
      </c>
      <c r="I68" s="10" t="n">
        <v>250</v>
      </c>
      <c r="J68" s="3" t="inlineStr">
        <is>
          <t>LIBERADA</t>
        </is>
      </c>
    </row>
    <row r="69">
      <c r="A69" s="3">
        <f>tblEjecucion[[#This Row],[orden]]&amp;IF(tblEjecucion[[#This Row],[operacion]]="","0010",tblEjecucion[[#This Row],[operacion]])</f>
        <v/>
      </c>
      <c r="B69" s="3" t="inlineStr">
        <is>
          <t>OT-000077</t>
        </is>
      </c>
      <c r="C69" s="3" t="inlineStr">
        <is>
          <t>0010</t>
        </is>
      </c>
      <c r="D69" s="3" t="inlineStr">
        <is>
          <t>LIB</t>
        </is>
      </c>
      <c r="E69" s="3" t="inlineStr">
        <is>
          <t>2-MEDIA</t>
        </is>
      </c>
      <c r="F69" s="3" t="inlineStr">
        <is>
          <t>OPERATIVO</t>
        </is>
      </c>
      <c r="G69" s="10" t="n">
        <v>160</v>
      </c>
      <c r="H69" s="10" t="n">
        <v>0</v>
      </c>
      <c r="I69" s="10" t="n">
        <v>400</v>
      </c>
      <c r="J69" s="3" t="inlineStr">
        <is>
          <t>LIBERADA</t>
        </is>
      </c>
    </row>
    <row r="70">
      <c r="A70" s="3">
        <f>tblEjecucion[[#This Row],[orden]]&amp;IF(tblEjecucion[[#This Row],[operacion]]="","0010",tblEjecucion[[#This Row],[operacion]])</f>
        <v/>
      </c>
      <c r="B70" s="3" t="inlineStr">
        <is>
          <t>OT-000079</t>
        </is>
      </c>
      <c r="C70" s="3" t="inlineStr">
        <is>
          <t>0010</t>
        </is>
      </c>
      <c r="D70" s="3" t="inlineStr">
        <is>
          <t>LIB</t>
        </is>
      </c>
      <c r="E70" s="3" t="inlineStr">
        <is>
          <t>1-ALTA</t>
        </is>
      </c>
      <c r="F70" s="3" t="inlineStr">
        <is>
          <t>OPERATIVO</t>
        </is>
      </c>
      <c r="G70" s="10" t="n">
        <v>80</v>
      </c>
      <c r="H70" s="10" t="n">
        <v>0</v>
      </c>
      <c r="I70" s="10" t="n">
        <v>200</v>
      </c>
      <c r="J70" s="3" t="inlineStr">
        <is>
          <t>LIBERADA</t>
        </is>
      </c>
    </row>
    <row r="71">
      <c r="A71" s="3">
        <f>tblEjecucion[[#This Row],[orden]]&amp;IF(tblEjecucion[[#This Row],[operacion]]="","0010",tblEjecucion[[#This Row],[operacion]])</f>
        <v/>
      </c>
      <c r="B71" s="3" t="inlineStr">
        <is>
          <t>OT-000081</t>
        </is>
      </c>
      <c r="C71" s="3" t="inlineStr">
        <is>
          <t>0010</t>
        </is>
      </c>
      <c r="D71" s="3" t="inlineStr">
        <is>
          <t>LIB</t>
        </is>
      </c>
      <c r="E71" s="3" t="inlineStr">
        <is>
          <t>3-BAJA</t>
        </is>
      </c>
      <c r="F71" s="3" t="inlineStr">
        <is>
          <t>OPERATIVO</t>
        </is>
      </c>
      <c r="G71" s="10" t="n">
        <v>100</v>
      </c>
      <c r="H71" s="10" t="n">
        <v>0</v>
      </c>
      <c r="I71" s="10" t="n">
        <v>250</v>
      </c>
      <c r="J71" s="3" t="inlineStr">
        <is>
          <t>LIBERADA</t>
        </is>
      </c>
    </row>
    <row r="72">
      <c r="A72" s="3">
        <f>tblEjecucion[[#This Row],[orden]]&amp;IF(tblEjecucion[[#This Row],[operacion]]="","0010",tblEjecucion[[#This Row],[operacion]])</f>
        <v/>
      </c>
      <c r="B72" s="3" t="inlineStr">
        <is>
          <t>OT-000083</t>
        </is>
      </c>
      <c r="C72" s="3" t="inlineStr">
        <is>
          <t>0010</t>
        </is>
      </c>
      <c r="D72" s="3" t="inlineStr">
        <is>
          <t>LIB</t>
        </is>
      </c>
      <c r="E72" s="3" t="inlineStr">
        <is>
          <t>2-MEDIA</t>
        </is>
      </c>
      <c r="F72" s="3" t="inlineStr">
        <is>
          <t>OPERATIVO</t>
        </is>
      </c>
      <c r="G72" s="10" t="n">
        <v>80</v>
      </c>
      <c r="H72" s="10" t="n">
        <v>0</v>
      </c>
      <c r="I72" s="10" t="n">
        <v>200</v>
      </c>
      <c r="J72" s="3" t="inlineStr">
        <is>
          <t>LIBERADA</t>
        </is>
      </c>
    </row>
    <row r="73">
      <c r="A73" s="3">
        <f>tblEjecucion[[#This Row],[orden]]&amp;IF(tblEjecucion[[#This Row],[operacion]]="","0010",tblEjecucion[[#This Row],[operacion]])</f>
        <v/>
      </c>
      <c r="B73" s="3" t="inlineStr">
        <is>
          <t>OT-000085</t>
        </is>
      </c>
      <c r="C73" s="3" t="inlineStr">
        <is>
          <t>0010</t>
        </is>
      </c>
      <c r="D73" s="3" t="inlineStr">
        <is>
          <t>LIB</t>
        </is>
      </c>
      <c r="E73" s="3" t="inlineStr">
        <is>
          <t>1-ALTA</t>
        </is>
      </c>
      <c r="F73" s="3" t="inlineStr">
        <is>
          <t>OPERATIVO</t>
        </is>
      </c>
      <c r="G73" s="10" t="n">
        <v>100</v>
      </c>
      <c r="H73" s="10" t="n">
        <v>0</v>
      </c>
      <c r="I73" s="10" t="n">
        <v>250</v>
      </c>
      <c r="J73" s="3" t="inlineStr">
        <is>
          <t>LIBERADA</t>
        </is>
      </c>
    </row>
    <row r="74">
      <c r="A74" s="3">
        <f>tblEjecucion[[#This Row],[orden]]&amp;IF(tblEjecucion[[#This Row],[operacion]]="","0010",tblEjecucion[[#This Row],[operacion]])</f>
        <v/>
      </c>
      <c r="B74" s="3" t="inlineStr">
        <is>
          <t>OT-000086</t>
        </is>
      </c>
      <c r="C74" s="3" t="inlineStr">
        <is>
          <t>0010</t>
        </is>
      </c>
      <c r="D74" s="3" t="inlineStr">
        <is>
          <t>CERR</t>
        </is>
      </c>
      <c r="E74" s="3" t="inlineStr">
        <is>
          <t>2-MEDIA</t>
        </is>
      </c>
      <c r="F74" s="3" t="inlineStr">
        <is>
          <t>PARADO</t>
        </is>
      </c>
      <c r="G74" s="10" t="n">
        <v>80</v>
      </c>
      <c r="H74" s="10" t="n">
        <v>200</v>
      </c>
      <c r="I74" s="10" t="n">
        <v>200</v>
      </c>
      <c r="J74" s="3" t="inlineStr">
        <is>
          <t>CERRADA</t>
        </is>
      </c>
    </row>
    <row r="75">
      <c r="A75" s="3">
        <f>tblEjecucion[[#This Row],[orden]]&amp;IF(tblEjecucion[[#This Row],[operacion]]="","0010",tblEjecucion[[#This Row],[operacion]])</f>
        <v/>
      </c>
      <c r="B75" s="3" t="inlineStr">
        <is>
          <t>OT-000087</t>
        </is>
      </c>
      <c r="C75" s="3" t="inlineStr">
        <is>
          <t>0010</t>
        </is>
      </c>
      <c r="D75" s="3" t="inlineStr">
        <is>
          <t>CERR</t>
        </is>
      </c>
      <c r="E75" s="3" t="inlineStr">
        <is>
          <t>3-BAJA</t>
        </is>
      </c>
      <c r="F75" s="3" t="inlineStr">
        <is>
          <t>OPERATIVO</t>
        </is>
      </c>
      <c r="G75" s="10" t="n">
        <v>60</v>
      </c>
      <c r="H75" s="10" t="n">
        <v>150</v>
      </c>
      <c r="I75" s="10" t="n">
        <v>150</v>
      </c>
      <c r="J75" s="3" t="inlineStr">
        <is>
          <t>CERRADA</t>
        </is>
      </c>
    </row>
    <row r="76">
      <c r="A76" s="3">
        <f>tblEjecucion[[#This Row],[orden]]&amp;IF(tblEjecucion[[#This Row],[operacion]]="","0010",tblEjecucion[[#This Row],[operacion]])</f>
        <v/>
      </c>
      <c r="B76" s="3" t="inlineStr">
        <is>
          <t>OT-000088</t>
        </is>
      </c>
      <c r="C76" s="3" t="inlineStr">
        <is>
          <t>0010</t>
        </is>
      </c>
      <c r="D76" s="3" t="inlineStr">
        <is>
          <t>CERR</t>
        </is>
      </c>
      <c r="E76" s="3" t="inlineStr">
        <is>
          <t>1-ALTA</t>
        </is>
      </c>
      <c r="F76" s="3" t="inlineStr">
        <is>
          <t>PARADO</t>
        </is>
      </c>
      <c r="G76" s="10" t="n">
        <v>100</v>
      </c>
      <c r="H76" s="10" t="n">
        <v>250</v>
      </c>
      <c r="I76" s="10" t="n">
        <v>250</v>
      </c>
      <c r="J76" s="3" t="inlineStr">
        <is>
          <t>CERRADA</t>
        </is>
      </c>
    </row>
    <row r="77">
      <c r="A77" s="3">
        <f>tblEjecucion[[#This Row],[orden]]&amp;IF(tblEjecucion[[#This Row],[operacion]]="","0010",tblEjecucion[[#This Row],[operacion]])</f>
        <v/>
      </c>
      <c r="B77" s="3" t="inlineStr">
        <is>
          <t>OT-000089</t>
        </is>
      </c>
      <c r="C77" s="3" t="inlineStr">
        <is>
          <t>0010</t>
        </is>
      </c>
      <c r="D77" s="3" t="inlineStr">
        <is>
          <t>CERR</t>
        </is>
      </c>
      <c r="E77" s="3" t="inlineStr">
        <is>
          <t>2-MEDIA</t>
        </is>
      </c>
      <c r="F77" s="3" t="inlineStr">
        <is>
          <t>OPERATIVO</t>
        </is>
      </c>
      <c r="G77" s="10" t="n">
        <v>60</v>
      </c>
      <c r="H77" s="10" t="n">
        <v>150</v>
      </c>
      <c r="I77" s="10" t="n">
        <v>150</v>
      </c>
      <c r="J77" s="3" t="inlineStr">
        <is>
          <t>CERRADA</t>
        </is>
      </c>
    </row>
    <row r="78">
      <c r="A78" s="3">
        <f>tblEjecucion[[#This Row],[orden]]&amp;IF(tblEjecucion[[#This Row],[operacion]]="","0010",tblEjecucion[[#This Row],[operacion]])</f>
        <v/>
      </c>
      <c r="B78" s="3" t="inlineStr">
        <is>
          <t>OT-000090</t>
        </is>
      </c>
      <c r="C78" s="3" t="inlineStr">
        <is>
          <t>0010</t>
        </is>
      </c>
      <c r="D78" s="3" t="inlineStr">
        <is>
          <t>CERR</t>
        </is>
      </c>
      <c r="E78" s="3" t="inlineStr">
        <is>
          <t>3-BAJA</t>
        </is>
      </c>
      <c r="F78" s="3" t="inlineStr">
        <is>
          <t>PARADO</t>
        </is>
      </c>
      <c r="G78" s="10" t="n">
        <v>160</v>
      </c>
      <c r="H78" s="10" t="n">
        <v>400</v>
      </c>
      <c r="I78" s="10" t="n">
        <v>400</v>
      </c>
      <c r="J78" s="3" t="inlineStr">
        <is>
          <t>CERRADA</t>
        </is>
      </c>
    </row>
    <row r="79">
      <c r="A79" s="3">
        <f>tblEjecucion[[#This Row],[orden]]&amp;IF(tblEjecucion[[#This Row],[operacion]]="","0010",tblEjecucion[[#This Row],[operacion]])</f>
        <v/>
      </c>
      <c r="B79" s="3" t="inlineStr">
        <is>
          <t>OT-000091</t>
        </is>
      </c>
      <c r="C79" s="3" t="inlineStr">
        <is>
          <t>0010</t>
        </is>
      </c>
      <c r="D79" s="3" t="inlineStr">
        <is>
          <t>CERR</t>
        </is>
      </c>
      <c r="E79" s="3" t="inlineStr">
        <is>
          <t>1-ALTA</t>
        </is>
      </c>
      <c r="F79" s="3" t="inlineStr">
        <is>
          <t>OPERATIVO</t>
        </is>
      </c>
      <c r="G79" s="10" t="n">
        <v>100</v>
      </c>
      <c r="H79" s="10" t="n">
        <v>250</v>
      </c>
      <c r="I79" s="10" t="n">
        <v>250</v>
      </c>
      <c r="J79" s="3" t="inlineStr">
        <is>
          <t>CERRADA</t>
        </is>
      </c>
    </row>
    <row r="80">
      <c r="A80" s="3">
        <f>tblEjecucion[[#This Row],[orden]]&amp;IF(tblEjecucion[[#This Row],[operacion]]="","0010",tblEjecucion[[#This Row],[operacion]])</f>
        <v/>
      </c>
      <c r="B80" s="3" t="inlineStr">
        <is>
          <t>OT-000092</t>
        </is>
      </c>
      <c r="C80" s="3" t="inlineStr">
        <is>
          <t>0010</t>
        </is>
      </c>
      <c r="D80" s="3" t="inlineStr">
        <is>
          <t>EJEC</t>
        </is>
      </c>
      <c r="E80" s="3" t="inlineStr">
        <is>
          <t>2-MEDIA</t>
        </is>
      </c>
      <c r="F80" s="3" t="inlineStr">
        <is>
          <t>PARADO</t>
        </is>
      </c>
      <c r="G80" s="10" t="n">
        <v>80</v>
      </c>
      <c r="H80" s="10" t="n">
        <v>0</v>
      </c>
      <c r="I80" s="10" t="n">
        <v>200</v>
      </c>
      <c r="J80" s="3" t="inlineStr">
        <is>
          <t>EN EJECUCION</t>
        </is>
      </c>
    </row>
    <row r="81">
      <c r="A81" s="3">
        <f>tblEjecucion[[#This Row],[orden]]&amp;IF(tblEjecucion[[#This Row],[operacion]]="","0010",tblEjecucion[[#This Row],[operacion]])</f>
        <v/>
      </c>
      <c r="B81" s="3" t="inlineStr">
        <is>
          <t>OT-000093</t>
        </is>
      </c>
      <c r="C81" s="3" t="inlineStr">
        <is>
          <t>0010</t>
        </is>
      </c>
      <c r="D81" s="3" t="inlineStr">
        <is>
          <t>CERR</t>
        </is>
      </c>
      <c r="E81" s="3" t="inlineStr">
        <is>
          <t>3-BAJA</t>
        </is>
      </c>
      <c r="F81" s="3" t="inlineStr">
        <is>
          <t>OPERATIVO</t>
        </is>
      </c>
      <c r="G81" s="10" t="n">
        <v>60</v>
      </c>
      <c r="H81" s="10" t="n">
        <v>150</v>
      </c>
      <c r="I81" s="10" t="n">
        <v>150</v>
      </c>
      <c r="J81" s="3" t="inlineStr">
        <is>
          <t>CERRADA</t>
        </is>
      </c>
    </row>
    <row r="82">
      <c r="A82" s="3">
        <f>tblEjecucion[[#This Row],[orden]]&amp;IF(tblEjecucion[[#This Row],[operacion]]="","0010",tblEjecucion[[#This Row],[operacion]])</f>
        <v/>
      </c>
      <c r="B82" s="3" t="inlineStr">
        <is>
          <t>OT-000094</t>
        </is>
      </c>
      <c r="C82" s="3" t="inlineStr">
        <is>
          <t>0010</t>
        </is>
      </c>
      <c r="D82" s="3" t="inlineStr">
        <is>
          <t>EJEC</t>
        </is>
      </c>
      <c r="E82" s="3" t="inlineStr">
        <is>
          <t>1-ALTA</t>
        </is>
      </c>
      <c r="F82" s="3" t="inlineStr">
        <is>
          <t>PARADO</t>
        </is>
      </c>
      <c r="G82" s="10" t="n">
        <v>100</v>
      </c>
      <c r="H82" s="10" t="n">
        <v>0</v>
      </c>
      <c r="I82" s="10" t="n">
        <v>250</v>
      </c>
      <c r="J82" s="3" t="inlineStr">
        <is>
          <t>EN EJECUCION</t>
        </is>
      </c>
    </row>
    <row r="83">
      <c r="A83" s="3">
        <f>tblEjecucion[[#This Row],[orden]]&amp;IF(tblEjecucion[[#This Row],[operacion]]="","0010",tblEjecucion[[#This Row],[operacion]])</f>
        <v/>
      </c>
      <c r="B83" s="3" t="inlineStr">
        <is>
          <t>OT-000095</t>
        </is>
      </c>
      <c r="C83" s="3" t="inlineStr">
        <is>
          <t>0010</t>
        </is>
      </c>
      <c r="D83" s="3" t="inlineStr">
        <is>
          <t>CERR</t>
        </is>
      </c>
      <c r="E83" s="3" t="inlineStr">
        <is>
          <t>2-MEDIA</t>
        </is>
      </c>
      <c r="F83" s="3" t="inlineStr">
        <is>
          <t>OPERATIVO</t>
        </is>
      </c>
      <c r="G83" s="10" t="n">
        <v>110</v>
      </c>
      <c r="H83" s="10" t="n">
        <v>275</v>
      </c>
      <c r="I83" s="10" t="n">
        <v>275</v>
      </c>
      <c r="J83" s="3" t="inlineStr">
        <is>
          <t>CERRADA</t>
        </is>
      </c>
    </row>
    <row r="84">
      <c r="A84" s="3">
        <f>tblEjecucion[[#This Row],[orden]]&amp;IF(tblEjecucion[[#This Row],[operacion]]="","0010",tblEjecucion[[#This Row],[operacion]])</f>
        <v/>
      </c>
      <c r="B84" s="3" t="inlineStr">
        <is>
          <t>OT-000096</t>
        </is>
      </c>
      <c r="C84" s="3" t="inlineStr">
        <is>
          <t>0010</t>
        </is>
      </c>
      <c r="D84" s="3" t="inlineStr">
        <is>
          <t>EJEC</t>
        </is>
      </c>
      <c r="E84" s="3" t="inlineStr">
        <is>
          <t>3-BAJA</t>
        </is>
      </c>
      <c r="F84" s="3" t="inlineStr">
        <is>
          <t>PARADO</t>
        </is>
      </c>
      <c r="G84" s="10" t="n">
        <v>160</v>
      </c>
      <c r="H84" s="10" t="n">
        <v>0</v>
      </c>
      <c r="I84" s="10" t="n">
        <v>400</v>
      </c>
      <c r="J84" s="3" t="inlineStr">
        <is>
          <t>EN EJECUCION</t>
        </is>
      </c>
    </row>
    <row r="85">
      <c r="A85" s="3">
        <f>tblEjecucion[[#This Row],[orden]]&amp;IF(tblEjecucion[[#This Row],[operacion]]="","0010",tblEjecucion[[#This Row],[operacion]])</f>
        <v/>
      </c>
      <c r="B85" s="3" t="inlineStr">
        <is>
          <t>OT-000097</t>
        </is>
      </c>
      <c r="C85" s="3" t="inlineStr">
        <is>
          <t>0010</t>
        </is>
      </c>
      <c r="D85" s="3" t="inlineStr">
        <is>
          <t>LIB</t>
        </is>
      </c>
      <c r="E85" s="3" t="inlineStr">
        <is>
          <t>1-ALTA</t>
        </is>
      </c>
      <c r="F85" s="3" t="inlineStr">
        <is>
          <t>OPERATIVO</t>
        </is>
      </c>
      <c r="G85" s="10" t="n">
        <v>100</v>
      </c>
      <c r="H85" s="10" t="n">
        <v>0</v>
      </c>
      <c r="I85" s="10" t="n">
        <v>250</v>
      </c>
      <c r="J85" s="3" t="inlineStr">
        <is>
          <t>LIBERADA</t>
        </is>
      </c>
    </row>
    <row r="86">
      <c r="A86" s="3">
        <f>tblEjecucion[[#This Row],[orden]]&amp;IF(tblEjecucion[[#This Row],[operacion]]="","0010",tblEjecucion[[#This Row],[operacion]])</f>
        <v/>
      </c>
      <c r="B86" s="3" t="inlineStr">
        <is>
          <t>OT-000099</t>
        </is>
      </c>
      <c r="C86" s="3" t="inlineStr">
        <is>
          <t>0010</t>
        </is>
      </c>
      <c r="D86" s="3" t="inlineStr">
        <is>
          <t>LIB</t>
        </is>
      </c>
      <c r="E86" s="3" t="inlineStr">
        <is>
          <t>3-BAJA</t>
        </is>
      </c>
      <c r="F86" s="3" t="inlineStr">
        <is>
          <t>OPERATIVO</t>
        </is>
      </c>
      <c r="G86" s="10" t="n">
        <v>60</v>
      </c>
      <c r="H86" s="10" t="n">
        <v>0</v>
      </c>
      <c r="I86" s="10" t="n">
        <v>150</v>
      </c>
      <c r="J86" s="3" t="inlineStr">
        <is>
          <t>LIBERADA</t>
        </is>
      </c>
    </row>
    <row r="87">
      <c r="A87" s="3">
        <f>tblEjecucion[[#This Row],[orden]]&amp;IF(tblEjecucion[[#This Row],[operacion]]="","0010",tblEjecucion[[#This Row],[operacion]])</f>
        <v/>
      </c>
      <c r="B87" s="3" t="inlineStr">
        <is>
          <t>OT-000101</t>
        </is>
      </c>
      <c r="C87" s="3" t="inlineStr">
        <is>
          <t>0010</t>
        </is>
      </c>
      <c r="D87" s="3" t="inlineStr">
        <is>
          <t>LIB</t>
        </is>
      </c>
      <c r="E87" s="3" t="inlineStr">
        <is>
          <t>2-MEDIA</t>
        </is>
      </c>
      <c r="F87" s="3" t="inlineStr">
        <is>
          <t>OPERATIVO</t>
        </is>
      </c>
      <c r="G87" s="10" t="n">
        <v>112</v>
      </c>
      <c r="H87" s="10" t="n">
        <v>0</v>
      </c>
      <c r="I87" s="10" t="n">
        <v>280</v>
      </c>
      <c r="J87" s="3" t="inlineStr">
        <is>
          <t>LIBERADA</t>
        </is>
      </c>
    </row>
    <row r="88">
      <c r="A88" s="3">
        <f>tblEjecucion[[#This Row],[orden]]&amp;IF(tblEjecucion[[#This Row],[operacion]]="","0010",tblEjecucion[[#This Row],[operacion]])</f>
        <v/>
      </c>
      <c r="B88" s="3" t="inlineStr">
        <is>
          <t>OT-000103</t>
        </is>
      </c>
      <c r="C88" s="3" t="inlineStr">
        <is>
          <t>0010</t>
        </is>
      </c>
      <c r="D88" s="3" t="inlineStr">
        <is>
          <t>LIB</t>
        </is>
      </c>
      <c r="E88" s="3" t="inlineStr">
        <is>
          <t>1-ALTA</t>
        </is>
      </c>
      <c r="F88" s="3" t="inlineStr">
        <is>
          <t>OPERATIVO</t>
        </is>
      </c>
      <c r="G88" s="10" t="n">
        <v>80</v>
      </c>
      <c r="H88" s="10" t="n">
        <v>0</v>
      </c>
      <c r="I88" s="10" t="n">
        <v>200</v>
      </c>
      <c r="J88" s="3" t="inlineStr">
        <is>
          <t>LIBERADA</t>
        </is>
      </c>
    </row>
    <row r="89">
      <c r="A89" s="3">
        <f>tblEjecucion[[#This Row],[orden]]&amp;IF(tblEjecucion[[#This Row],[operacion]]="","0010",tblEjecucion[[#This Row],[operacion]])</f>
        <v/>
      </c>
      <c r="B89" s="3" t="inlineStr">
        <is>
          <t>OT-000105</t>
        </is>
      </c>
      <c r="C89" s="3" t="inlineStr">
        <is>
          <t>0010</t>
        </is>
      </c>
      <c r="D89" s="3" t="inlineStr">
        <is>
          <t>LIB</t>
        </is>
      </c>
      <c r="E89" s="3" t="inlineStr">
        <is>
          <t>3-BAJA</t>
        </is>
      </c>
      <c r="F89" s="3" t="inlineStr">
        <is>
          <t>OPERATIVO</t>
        </is>
      </c>
      <c r="G89" s="10" t="n">
        <v>60</v>
      </c>
      <c r="H89" s="10" t="n">
        <v>0</v>
      </c>
      <c r="I89" s="10" t="n">
        <v>150</v>
      </c>
      <c r="J89" s="3" t="inlineStr">
        <is>
          <t>LIBERADA</t>
        </is>
      </c>
    </row>
    <row r="90">
      <c r="A90" s="3">
        <f>tblEjecucion[[#This Row],[orden]]&amp;IF(tblEjecucion[[#This Row],[operacion]]="","0010",tblEjecucion[[#This Row],[operacion]])</f>
        <v/>
      </c>
      <c r="B90" s="3" t="inlineStr">
        <is>
          <t>OT-000107</t>
        </is>
      </c>
      <c r="C90" s="3" t="inlineStr">
        <is>
          <t>0010</t>
        </is>
      </c>
      <c r="D90" s="3" t="inlineStr">
        <is>
          <t>CERR</t>
        </is>
      </c>
      <c r="E90" s="3" t="inlineStr">
        <is>
          <t>2-MEDIA</t>
        </is>
      </c>
      <c r="F90" s="3" t="inlineStr">
        <is>
          <t>OPERATIVO</t>
        </is>
      </c>
      <c r="G90" s="10" t="n">
        <v>100</v>
      </c>
      <c r="H90" s="10" t="n">
        <v>250</v>
      </c>
      <c r="I90" s="10" t="n">
        <v>250</v>
      </c>
      <c r="J90" s="3" t="inlineStr">
        <is>
          <t>CERRADA</t>
        </is>
      </c>
    </row>
    <row r="91">
      <c r="A91" s="3">
        <f>tblEjecucion[[#This Row],[orden]]&amp;IF(tblEjecucion[[#This Row],[operacion]]="","0010",tblEjecucion[[#This Row],[operacion]])</f>
        <v/>
      </c>
      <c r="B91" s="3" t="inlineStr">
        <is>
          <t>OT-000108</t>
        </is>
      </c>
      <c r="C91" s="3" t="inlineStr">
        <is>
          <t>0010</t>
        </is>
      </c>
      <c r="D91" s="3" t="inlineStr">
        <is>
          <t>CERR</t>
        </is>
      </c>
      <c r="E91" s="3" t="inlineStr">
        <is>
          <t>3-BAJA</t>
        </is>
      </c>
      <c r="F91" s="3" t="inlineStr">
        <is>
          <t>PARADO</t>
        </is>
      </c>
      <c r="G91" s="10" t="n">
        <v>80</v>
      </c>
      <c r="H91" s="10" t="n">
        <v>200</v>
      </c>
      <c r="I91" s="10" t="n">
        <v>200</v>
      </c>
      <c r="J91" s="3" t="inlineStr">
        <is>
          <t>CERRADA</t>
        </is>
      </c>
    </row>
    <row r="92">
      <c r="A92" s="3">
        <f>tblEjecucion[[#This Row],[orden]]&amp;IF(tblEjecucion[[#This Row],[operacion]]="","0010",tblEjecucion[[#This Row],[operacion]])</f>
        <v/>
      </c>
      <c r="B92" s="3" t="inlineStr">
        <is>
          <t>OT-000109</t>
        </is>
      </c>
      <c r="C92" s="3" t="inlineStr">
        <is>
          <t>0010</t>
        </is>
      </c>
      <c r="D92" s="3" t="inlineStr">
        <is>
          <t>LIB</t>
        </is>
      </c>
      <c r="E92" s="3" t="inlineStr">
        <is>
          <t>1-ALTA</t>
        </is>
      </c>
      <c r="F92" s="3" t="inlineStr">
        <is>
          <t>OPERATIVO</t>
        </is>
      </c>
      <c r="G92" s="10" t="n">
        <v>60</v>
      </c>
      <c r="H92" s="10" t="n">
        <v>0</v>
      </c>
      <c r="I92" s="10" t="n">
        <v>150</v>
      </c>
      <c r="J92" s="3" t="inlineStr">
        <is>
          <t>LIBERADA</t>
        </is>
      </c>
    </row>
    <row r="93">
      <c r="A93" s="3">
        <f>tblEjecucion[[#This Row],[orden]]&amp;IF(tblEjecucion[[#This Row],[operacion]]="","0010",tblEjecucion[[#This Row],[operacion]])</f>
        <v/>
      </c>
      <c r="B93" s="3" t="inlineStr">
        <is>
          <t>OT-000110</t>
        </is>
      </c>
      <c r="C93" s="3" t="inlineStr">
        <is>
          <t>0010</t>
        </is>
      </c>
      <c r="D93" s="3" t="inlineStr">
        <is>
          <t>CERR</t>
        </is>
      </c>
      <c r="E93" s="3" t="inlineStr">
        <is>
          <t>2-MEDIA</t>
        </is>
      </c>
      <c r="F93" s="3" t="inlineStr">
        <is>
          <t>PARADO</t>
        </is>
      </c>
      <c r="G93" s="10" t="n">
        <v>60</v>
      </c>
      <c r="H93" s="10" t="n">
        <v>150</v>
      </c>
      <c r="I93" s="10" t="n">
        <v>150</v>
      </c>
      <c r="J93" s="3" t="inlineStr">
        <is>
          <t>CERRADA</t>
        </is>
      </c>
    </row>
    <row r="94">
      <c r="A94" s="3">
        <f>tblEjecucion[[#This Row],[orden]]&amp;IF(tblEjecucion[[#This Row],[operacion]]="","0010",tblEjecucion[[#This Row],[operacion]])</f>
        <v/>
      </c>
      <c r="B94" s="3" t="inlineStr">
        <is>
          <t>OT-000111</t>
        </is>
      </c>
      <c r="C94" s="3" t="inlineStr">
        <is>
          <t>0010</t>
        </is>
      </c>
      <c r="D94" s="3" t="inlineStr">
        <is>
          <t>CERR</t>
        </is>
      </c>
      <c r="E94" s="3" t="inlineStr">
        <is>
          <t>3-BAJA</t>
        </is>
      </c>
      <c r="F94" s="3" t="inlineStr">
        <is>
          <t>OPERATIVO</t>
        </is>
      </c>
      <c r="G94" s="10" t="n">
        <v>128</v>
      </c>
      <c r="H94" s="10" t="n">
        <v>320</v>
      </c>
      <c r="I94" s="10" t="n">
        <v>320</v>
      </c>
      <c r="J94" s="3" t="inlineStr">
        <is>
          <t>CERRADA</t>
        </is>
      </c>
    </row>
    <row r="95">
      <c r="A95" s="3">
        <f>tblEjecucion[[#This Row],[orden]]&amp;IF(tblEjecucion[[#This Row],[operacion]]="","0010",tblEjecucion[[#This Row],[operacion]])</f>
        <v/>
      </c>
      <c r="B95" s="3" t="inlineStr">
        <is>
          <t>OT-000112</t>
        </is>
      </c>
      <c r="C95" s="3" t="inlineStr">
        <is>
          <t>0010</t>
        </is>
      </c>
      <c r="D95" s="3" t="inlineStr">
        <is>
          <t>EJEC</t>
        </is>
      </c>
      <c r="E95" s="3" t="inlineStr">
        <is>
          <t>1-ALTA</t>
        </is>
      </c>
      <c r="F95" s="3" t="inlineStr">
        <is>
          <t>PARADO</t>
        </is>
      </c>
      <c r="G95" s="10" t="n">
        <v>100</v>
      </c>
      <c r="H95" s="10" t="n">
        <v>0</v>
      </c>
      <c r="I95" s="10" t="n">
        <v>250</v>
      </c>
      <c r="J95" s="3" t="inlineStr">
        <is>
          <t>EN EJECUCION</t>
        </is>
      </c>
    </row>
    <row r="96">
      <c r="A96" s="3">
        <f>tblEjecucion[[#This Row],[orden]]&amp;IF(tblEjecucion[[#This Row],[operacion]]="","0010",tblEjecucion[[#This Row],[operacion]])</f>
        <v/>
      </c>
      <c r="B96" s="3" t="inlineStr">
        <is>
          <t>OT-000113</t>
        </is>
      </c>
      <c r="C96" s="3" t="inlineStr">
        <is>
          <t>0010</t>
        </is>
      </c>
      <c r="D96" s="3" t="inlineStr">
        <is>
          <t>CERR</t>
        </is>
      </c>
      <c r="E96" s="3" t="inlineStr">
        <is>
          <t>2-MEDIA</t>
        </is>
      </c>
      <c r="F96" s="3" t="inlineStr">
        <is>
          <t>OPERATIVO</t>
        </is>
      </c>
      <c r="G96" s="10" t="n">
        <v>80</v>
      </c>
      <c r="H96" s="10" t="n">
        <v>200</v>
      </c>
      <c r="I96" s="10" t="n">
        <v>200</v>
      </c>
      <c r="J96" s="3" t="inlineStr">
        <is>
          <t>CERRADA</t>
        </is>
      </c>
    </row>
    <row r="97">
      <c r="A97" s="3">
        <f>tblEjecucion[[#This Row],[orden]]&amp;IF(tblEjecucion[[#This Row],[operacion]]="","0010",tblEjecucion[[#This Row],[operacion]])</f>
        <v/>
      </c>
      <c r="B97" s="3" t="inlineStr">
        <is>
          <t>OT-000114</t>
        </is>
      </c>
      <c r="C97" s="3" t="inlineStr">
        <is>
          <t>0010</t>
        </is>
      </c>
      <c r="D97" s="3" t="inlineStr">
        <is>
          <t>EJEC</t>
        </is>
      </c>
      <c r="E97" s="3" t="inlineStr">
        <is>
          <t>3-BAJA</t>
        </is>
      </c>
      <c r="F97" s="3" t="inlineStr">
        <is>
          <t>PARADO</t>
        </is>
      </c>
      <c r="G97" s="10" t="n">
        <v>60</v>
      </c>
      <c r="H97" s="10" t="n">
        <v>0</v>
      </c>
      <c r="I97" s="10" t="n">
        <v>150</v>
      </c>
      <c r="J97" s="3" t="inlineStr">
        <is>
          <t>EN EJECUCION</t>
        </is>
      </c>
    </row>
    <row r="98">
      <c r="A98" s="3">
        <f>tblEjecucion[[#This Row],[orden]]&amp;IF(tblEjecucion[[#This Row],[operacion]]="","0010",tblEjecucion[[#This Row],[operacion]])</f>
        <v/>
      </c>
      <c r="B98" s="3" t="inlineStr">
        <is>
          <t>OT-000115</t>
        </is>
      </c>
      <c r="C98" s="3" t="inlineStr">
        <is>
          <t>0010</t>
        </is>
      </c>
      <c r="D98" s="3" t="inlineStr">
        <is>
          <t>CERR</t>
        </is>
      </c>
      <c r="E98" s="3" t="inlineStr">
        <is>
          <t>1-ALTA</t>
        </is>
      </c>
      <c r="F98" s="3" t="inlineStr">
        <is>
          <t>OPERATIVO</t>
        </is>
      </c>
      <c r="G98" s="10" t="n">
        <v>100</v>
      </c>
      <c r="H98" s="10" t="n">
        <v>250</v>
      </c>
      <c r="I98" s="10" t="n">
        <v>250</v>
      </c>
      <c r="J98" s="3" t="inlineStr">
        <is>
          <t>CERRADA</t>
        </is>
      </c>
    </row>
    <row r="99">
      <c r="A99" s="3">
        <f>tblEjecucion[[#This Row],[orden]]&amp;IF(tblEjecucion[[#This Row],[operacion]]="","0010",tblEjecucion[[#This Row],[operacion]])</f>
        <v/>
      </c>
      <c r="B99" s="3" t="inlineStr">
        <is>
          <t>OT-000116</t>
        </is>
      </c>
      <c r="C99" s="3" t="inlineStr">
        <is>
          <t>0010</t>
        </is>
      </c>
      <c r="D99" s="3" t="inlineStr">
        <is>
          <t>EJEC</t>
        </is>
      </c>
      <c r="E99" s="3" t="inlineStr">
        <is>
          <t>2-MEDIA</t>
        </is>
      </c>
      <c r="F99" s="3" t="inlineStr">
        <is>
          <t>PARADO</t>
        </is>
      </c>
      <c r="G99" s="10" t="n">
        <v>20</v>
      </c>
      <c r="H99" s="10" t="n">
        <v>0</v>
      </c>
      <c r="I99" s="10" t="n">
        <v>50</v>
      </c>
      <c r="J99" s="3" t="inlineStr">
        <is>
          <t>EN EJECUCION</t>
        </is>
      </c>
    </row>
    <row r="100">
      <c r="A100" s="3">
        <f>tblEjecucion[[#This Row],[orden]]&amp;IF(tblEjecucion[[#This Row],[operacion]]="","0010",tblEjecucion[[#This Row],[operacion]])</f>
        <v/>
      </c>
      <c r="B100" s="3" t="inlineStr">
        <is>
          <t>OT-000117</t>
        </is>
      </c>
      <c r="C100" s="3" t="inlineStr">
        <is>
          <t>0010</t>
        </is>
      </c>
      <c r="D100" s="3" t="inlineStr">
        <is>
          <t>CERR</t>
        </is>
      </c>
      <c r="E100" s="3" t="inlineStr">
        <is>
          <t>3-BAJA</t>
        </is>
      </c>
      <c r="F100" s="3" t="inlineStr">
        <is>
          <t>OPERATIVO</t>
        </is>
      </c>
      <c r="G100" s="10" t="n">
        <v>144</v>
      </c>
      <c r="H100" s="10" t="n">
        <v>360</v>
      </c>
      <c r="I100" s="10" t="n">
        <v>360</v>
      </c>
      <c r="J100" s="3" t="inlineStr">
        <is>
          <t>CERRADA</t>
        </is>
      </c>
    </row>
    <row r="101">
      <c r="A101" s="3">
        <f>tblEjecucion[[#This Row],[orden]]&amp;IF(tblEjecucion[[#This Row],[operacion]]="","0010",tblEjecucion[[#This Row],[operacion]])</f>
        <v/>
      </c>
      <c r="B101" s="3" t="inlineStr">
        <is>
          <t>OT-000119</t>
        </is>
      </c>
      <c r="C101" s="3" t="inlineStr">
        <is>
          <t>0010</t>
        </is>
      </c>
      <c r="D101" s="3" t="inlineStr">
        <is>
          <t>LIB</t>
        </is>
      </c>
      <c r="E101" s="3" t="inlineStr">
        <is>
          <t>2-MEDIA</t>
        </is>
      </c>
      <c r="F101" s="3" t="inlineStr">
        <is>
          <t>OPERATIVO</t>
        </is>
      </c>
      <c r="G101" s="10" t="n">
        <v>80</v>
      </c>
      <c r="H101" s="10" t="n">
        <v>0</v>
      </c>
      <c r="I101" s="10" t="n">
        <v>200</v>
      </c>
      <c r="J101" s="3" t="inlineStr">
        <is>
          <t>LIBERADA</t>
        </is>
      </c>
    </row>
    <row r="102">
      <c r="A102" s="3">
        <f>tblEjecucion[[#This Row],[orden]]&amp;IF(tblEjecucion[[#This Row],[operacion]]="","0010",tblEjecucion[[#This Row],[operacion]])</f>
        <v/>
      </c>
      <c r="B102" s="3" t="inlineStr">
        <is>
          <t>OT-000121</t>
        </is>
      </c>
      <c r="C102" s="3" t="inlineStr">
        <is>
          <t>0010</t>
        </is>
      </c>
      <c r="D102" s="3" t="inlineStr">
        <is>
          <t>LIB</t>
        </is>
      </c>
      <c r="E102" s="3" t="inlineStr">
        <is>
          <t>1-ALTA</t>
        </is>
      </c>
      <c r="F102" s="3" t="inlineStr">
        <is>
          <t>OPERATIVO</t>
        </is>
      </c>
      <c r="G102" s="10" t="n">
        <v>112</v>
      </c>
      <c r="H102" s="10" t="n">
        <v>0</v>
      </c>
      <c r="I102" s="10" t="n">
        <v>280</v>
      </c>
      <c r="J102" s="3" t="inlineStr">
        <is>
          <t>LIBERADA</t>
        </is>
      </c>
    </row>
    <row r="103">
      <c r="A103" s="3">
        <f>tblEjecucion[[#This Row],[orden]]&amp;IF(tblEjecucion[[#This Row],[operacion]]="","0010",tblEjecucion[[#This Row],[operacion]])</f>
        <v/>
      </c>
      <c r="B103" s="3" t="inlineStr">
        <is>
          <t>OT-000123</t>
        </is>
      </c>
      <c r="C103" s="3" t="inlineStr">
        <is>
          <t>0010</t>
        </is>
      </c>
      <c r="D103" s="3" t="inlineStr">
        <is>
          <t>LIB</t>
        </is>
      </c>
      <c r="E103" s="3" t="inlineStr">
        <is>
          <t>3-BAJA</t>
        </is>
      </c>
      <c r="F103" s="3" t="inlineStr">
        <is>
          <t>OPERATIVO</t>
        </is>
      </c>
      <c r="G103" s="10" t="n">
        <v>80</v>
      </c>
      <c r="H103" s="10" t="n">
        <v>0</v>
      </c>
      <c r="I103" s="10" t="n">
        <v>200</v>
      </c>
      <c r="J103" s="3" t="inlineStr">
        <is>
          <t>LIBERADA</t>
        </is>
      </c>
    </row>
    <row r="104">
      <c r="A104" s="3">
        <f>tblEjecucion[[#This Row],[orden]]&amp;IF(tblEjecucion[[#This Row],[operacion]]="","0010",tblEjecucion[[#This Row],[operacion]])</f>
        <v/>
      </c>
      <c r="B104" s="3" t="inlineStr">
        <is>
          <t>OT-000125</t>
        </is>
      </c>
      <c r="C104" s="3" t="inlineStr">
        <is>
          <t>0010</t>
        </is>
      </c>
      <c r="D104" s="3" t="inlineStr">
        <is>
          <t>LIB</t>
        </is>
      </c>
      <c r="E104" s="3" t="inlineStr">
        <is>
          <t>2-MEDIA</t>
        </is>
      </c>
      <c r="F104" s="3" t="inlineStr">
        <is>
          <t>OPERATIVO</t>
        </is>
      </c>
      <c r="G104" s="10" t="n">
        <v>96</v>
      </c>
      <c r="H104" s="10" t="n">
        <v>0</v>
      </c>
      <c r="I104" s="10" t="n">
        <v>240</v>
      </c>
      <c r="J104" s="3" t="inlineStr">
        <is>
          <t>LIBERADA</t>
        </is>
      </c>
    </row>
    <row r="105">
      <c r="A105" s="3">
        <f>tblEjecucion[[#This Row],[orden]]&amp;IF(tblEjecucion[[#This Row],[operacion]]="","0010",tblEjecucion[[#This Row],[operacion]])</f>
        <v/>
      </c>
      <c r="B105" s="3" t="inlineStr">
        <is>
          <t>OT-000126</t>
        </is>
      </c>
      <c r="C105" s="3" t="inlineStr">
        <is>
          <t>0010</t>
        </is>
      </c>
      <c r="D105" s="3" t="inlineStr">
        <is>
          <t>EJEC</t>
        </is>
      </c>
      <c r="E105" s="3" t="inlineStr">
        <is>
          <t>3-BAJA</t>
        </is>
      </c>
      <c r="F105" s="3" t="inlineStr">
        <is>
          <t>PARADO</t>
        </is>
      </c>
      <c r="G105" s="10" t="n">
        <v>100</v>
      </c>
      <c r="H105" s="10" t="n">
        <v>0</v>
      </c>
      <c r="I105" s="10" t="n">
        <v>250</v>
      </c>
      <c r="J105" s="3" t="inlineStr">
        <is>
          <t>EN EJECUCION</t>
        </is>
      </c>
    </row>
    <row r="106">
      <c r="A106" s="3">
        <f>tblEjecucion[[#This Row],[orden]]&amp;IF(tblEjecucion[[#This Row],[operacion]]="","0010",tblEjecucion[[#This Row],[operacion]])</f>
        <v/>
      </c>
      <c r="B106" s="3" t="inlineStr">
        <is>
          <t>OT-000127</t>
        </is>
      </c>
      <c r="C106" s="3" t="inlineStr">
        <is>
          <t>0010</t>
        </is>
      </c>
      <c r="D106" s="3" t="inlineStr">
        <is>
          <t>CERR</t>
        </is>
      </c>
      <c r="E106" s="3" t="inlineStr">
        <is>
          <t>1-ALTA</t>
        </is>
      </c>
      <c r="F106" s="3" t="inlineStr">
        <is>
          <t>OPERATIVO</t>
        </is>
      </c>
      <c r="G106" s="10" t="n">
        <v>60</v>
      </c>
      <c r="H106" s="10" t="n">
        <v>150</v>
      </c>
      <c r="I106" s="10" t="n">
        <v>150</v>
      </c>
      <c r="J106" s="3" t="inlineStr">
        <is>
          <t>CERRADA</t>
        </is>
      </c>
    </row>
    <row r="107">
      <c r="A107" s="3">
        <f>tblEjecucion[[#This Row],[orden]]&amp;IF(tblEjecucion[[#This Row],[operacion]]="","0010",tblEjecucion[[#This Row],[operacion]])</f>
        <v/>
      </c>
      <c r="B107" s="3" t="inlineStr">
        <is>
          <t>OT-000129</t>
        </is>
      </c>
      <c r="C107" s="3" t="inlineStr">
        <is>
          <t>0010</t>
        </is>
      </c>
      <c r="D107" s="3" t="inlineStr">
        <is>
          <t>LIB</t>
        </is>
      </c>
      <c r="E107" s="3" t="inlineStr">
        <is>
          <t>3-BAJA</t>
        </is>
      </c>
      <c r="F107" s="3" t="inlineStr">
        <is>
          <t>OPERATIVO</t>
        </is>
      </c>
      <c r="G107" s="10" t="n">
        <v>20</v>
      </c>
      <c r="H107" s="10" t="n">
        <v>0</v>
      </c>
      <c r="I107" s="10" t="n">
        <v>50</v>
      </c>
      <c r="J107" s="3" t="inlineStr">
        <is>
          <t>LIBERADA</t>
        </is>
      </c>
    </row>
    <row r="108">
      <c r="A108" s="3">
        <f>tblEjecucion[[#This Row],[orden]]&amp;IF(tblEjecucion[[#This Row],[operacion]]="","0010",tblEjecucion[[#This Row],[operacion]])</f>
        <v/>
      </c>
      <c r="B108" s="3" t="inlineStr">
        <is>
          <t>OT-000001</t>
        </is>
      </c>
      <c r="C108" s="3" t="inlineStr">
        <is>
          <t>0020</t>
        </is>
      </c>
      <c r="D108" s="3" t="inlineStr">
        <is>
          <t>CERR</t>
        </is>
      </c>
      <c r="E108" s="3" t="inlineStr">
        <is>
          <t>1-ALTA</t>
        </is>
      </c>
      <c r="F108" s="3" t="inlineStr">
        <is>
          <t>PARADO</t>
        </is>
      </c>
      <c r="G108" s="10" t="n">
        <v>20</v>
      </c>
      <c r="H108" s="10" t="n">
        <v>50</v>
      </c>
      <c r="I108" s="10" t="n">
        <v>50</v>
      </c>
      <c r="J108" s="3" t="inlineStr">
        <is>
          <t>CERRADA</t>
        </is>
      </c>
    </row>
    <row r="109">
      <c r="A109" s="3">
        <f>tblEjecucion[[#This Row],[orden]]&amp;IF(tblEjecucion[[#This Row],[operacion]]="","0010",tblEjecucion[[#This Row],[operacion]])</f>
        <v/>
      </c>
      <c r="B109" s="3" t="inlineStr">
        <is>
          <t>OT-000041</t>
        </is>
      </c>
      <c r="C109" s="3" t="inlineStr">
        <is>
          <t>0020</t>
        </is>
      </c>
      <c r="D109" s="3" t="inlineStr">
        <is>
          <t>LIB</t>
        </is>
      </c>
      <c r="E109" s="3" t="inlineStr">
        <is>
          <t>2-MEDIA</t>
        </is>
      </c>
      <c r="F109" s="3" t="inlineStr">
        <is>
          <t>OPERATIVO</t>
        </is>
      </c>
      <c r="G109" s="10" t="n">
        <v>20</v>
      </c>
      <c r="H109" s="10" t="n">
        <v>0</v>
      </c>
      <c r="I109" s="10" t="n">
        <v>50</v>
      </c>
      <c r="J109" s="3" t="inlineStr">
        <is>
          <t>LIBERADA</t>
        </is>
      </c>
    </row>
    <row r="110">
      <c r="A110" s="3">
        <f>tblEjecucion[[#This Row],[orden]]&amp;IF(tblEjecucion[[#This Row],[operacion]]="","0010",tblEjecucion[[#This Row],[operacion]])</f>
        <v/>
      </c>
      <c r="B110" s="3" t="inlineStr">
        <is>
          <t>OT-000121</t>
        </is>
      </c>
      <c r="C110" s="3" t="inlineStr">
        <is>
          <t>0020</t>
        </is>
      </c>
      <c r="D110" s="3" t="inlineStr">
        <is>
          <t>LIB</t>
        </is>
      </c>
      <c r="E110" s="3" t="inlineStr">
        <is>
          <t>1-ALTA</t>
        </is>
      </c>
      <c r="F110" s="3" t="inlineStr">
        <is>
          <t>OPERATIVO</t>
        </is>
      </c>
      <c r="G110" s="10" t="n">
        <v>32</v>
      </c>
      <c r="H110" s="10" t="n">
        <v>0</v>
      </c>
      <c r="I110" s="10" t="n">
        <v>80</v>
      </c>
      <c r="J110" s="3" t="inlineStr">
        <is>
          <t>LIBERADA</t>
        </is>
      </c>
    </row>
    <row r="111">
      <c r="A111" s="3">
        <f>tblEjecucion[[#This Row],[orden]]&amp;IF(tblEjecucion[[#This Row],[operacion]]="","0010",tblEjecucion[[#This Row],[operacion]])</f>
        <v/>
      </c>
      <c r="B111" s="3" t="inlineStr">
        <is>
          <t>OT-000134</t>
        </is>
      </c>
      <c r="C111" s="3" t="inlineStr">
        <is>
          <t>0010</t>
        </is>
      </c>
      <c r="D111" s="3" t="inlineStr">
        <is>
          <t>ABIE</t>
        </is>
      </c>
      <c r="E111" s="3" t="inlineStr">
        <is>
          <t>2-MEDIA</t>
        </is>
      </c>
      <c r="F111" s="3" t="inlineStr">
        <is>
          <t>PARADO</t>
        </is>
      </c>
      <c r="G111" s="10" t="n">
        <v>64</v>
      </c>
      <c r="H111" s="10" t="n">
        <v>0</v>
      </c>
      <c r="I111" s="10" t="n">
        <v>160</v>
      </c>
      <c r="J111" s="3" t="inlineStr">
        <is>
          <t>ABIERTA</t>
        </is>
      </c>
    </row>
    <row r="112">
      <c r="A112" s="3">
        <f>tblEjecucion[[#This Row],[orden]]&amp;IF(tblEjecucion[[#This Row],[operacion]]="","0010",tblEjecucion[[#This Row],[operacion]])</f>
        <v/>
      </c>
      <c r="B112" s="3" t="inlineStr">
        <is>
          <t>OT-000135</t>
        </is>
      </c>
      <c r="C112" s="3" t="inlineStr">
        <is>
          <t>0010</t>
        </is>
      </c>
      <c r="D112" s="3" t="inlineStr">
        <is>
          <t>EJEC</t>
        </is>
      </c>
      <c r="E112" s="3" t="inlineStr">
        <is>
          <t>3-BAJA</t>
        </is>
      </c>
      <c r="F112" s="3" t="inlineStr">
        <is>
          <t>OPERATIVO</t>
        </is>
      </c>
      <c r="G112" s="10" t="n">
        <v>96</v>
      </c>
      <c r="H112" s="10" t="n">
        <v>0</v>
      </c>
      <c r="I112" s="10" t="n">
        <v>240</v>
      </c>
      <c r="J112" s="3" t="inlineStr">
        <is>
          <t>EN EJECUCION</t>
        </is>
      </c>
    </row>
    <row r="113">
      <c r="A113" s="3">
        <f>tblEjecucion[[#This Row],[orden]]&amp;IF(tblEjecucion[[#This Row],[operacion]]="","0010",tblEjecucion[[#This Row],[operacion]])</f>
        <v/>
      </c>
      <c r="B113" s="3" t="inlineStr">
        <is>
          <t>OT-000136</t>
        </is>
      </c>
      <c r="C113" s="3" t="inlineStr">
        <is>
          <t>0010</t>
        </is>
      </c>
      <c r="D113" s="3" t="inlineStr">
        <is>
          <t>ABIE</t>
        </is>
      </c>
      <c r="E113" s="3" t="inlineStr">
        <is>
          <t>1-ALTA</t>
        </is>
      </c>
      <c r="F113" s="3" t="inlineStr">
        <is>
          <t>PARADO</t>
        </is>
      </c>
      <c r="G113" s="10" t="n">
        <v>128</v>
      </c>
      <c r="H113" s="10" t="n">
        <v>0</v>
      </c>
      <c r="I113" s="10" t="n">
        <v>320</v>
      </c>
      <c r="J113" s="3" t="inlineStr">
        <is>
          <t>ABIERTA</t>
        </is>
      </c>
    </row>
    <row r="114">
      <c r="A114" s="3">
        <f>tblEjecucion[[#This Row],[orden]]&amp;IF(tblEjecucion[[#This Row],[operacion]]="","0010",tblEjecucion[[#This Row],[operacion]])</f>
        <v/>
      </c>
      <c r="B114" s="3" t="inlineStr">
        <is>
          <t>OT-000137</t>
        </is>
      </c>
      <c r="C114" s="3" t="inlineStr">
        <is>
          <t>0010</t>
        </is>
      </c>
      <c r="D114" s="3" t="inlineStr">
        <is>
          <t>EJEC</t>
        </is>
      </c>
      <c r="E114" s="3" t="inlineStr">
        <is>
          <t>2-MEDIA</t>
        </is>
      </c>
      <c r="F114" s="3" t="inlineStr">
        <is>
          <t>OPERATIVO</t>
        </is>
      </c>
      <c r="G114" s="10" t="n">
        <v>40</v>
      </c>
      <c r="H114" s="10" t="n">
        <v>0</v>
      </c>
      <c r="I114" s="10" t="n">
        <v>100</v>
      </c>
      <c r="J114" s="3" t="inlineStr">
        <is>
          <t>EN EJECUCION</t>
        </is>
      </c>
    </row>
    <row r="115">
      <c r="A115" s="3">
        <f>tblEjecucion[[#This Row],[orden]]&amp;IF(tblEjecucion[[#This Row],[operacion]]="","0010",tblEjecucion[[#This Row],[operacion]])</f>
        <v/>
      </c>
      <c r="B115" s="3" t="inlineStr">
        <is>
          <t>OT-000138</t>
        </is>
      </c>
      <c r="C115" s="3" t="inlineStr">
        <is>
          <t>0010</t>
        </is>
      </c>
      <c r="D115" s="3" t="inlineStr">
        <is>
          <t>ABIE</t>
        </is>
      </c>
      <c r="E115" s="3" t="inlineStr">
        <is>
          <t>3-BAJA</t>
        </is>
      </c>
      <c r="F115" s="3" t="inlineStr">
        <is>
          <t>PARADO</t>
        </is>
      </c>
      <c r="G115" s="10" t="n">
        <v>96</v>
      </c>
      <c r="H115" s="10" t="n">
        <v>0</v>
      </c>
      <c r="I115" s="10" t="n">
        <v>240</v>
      </c>
      <c r="J115" s="3" t="inlineStr">
        <is>
          <t>ABIERTA</t>
        </is>
      </c>
    </row>
    <row r="116">
      <c r="A116" s="3">
        <f>tblEjecucion[[#This Row],[orden]]&amp;IF(tblEjecucion[[#This Row],[operacion]]="","0010",tblEjecucion[[#This Row],[operacion]])</f>
        <v/>
      </c>
      <c r="B116" s="3" t="inlineStr">
        <is>
          <t>OT-000139</t>
        </is>
      </c>
      <c r="C116" s="3" t="inlineStr">
        <is>
          <t>0010</t>
        </is>
      </c>
      <c r="D116" s="3" t="inlineStr">
        <is>
          <t>EJEC</t>
        </is>
      </c>
      <c r="E116" s="3" t="inlineStr">
        <is>
          <t>1-ALTA</t>
        </is>
      </c>
      <c r="F116" s="3" t="inlineStr">
        <is>
          <t>OPERATIVO</t>
        </is>
      </c>
      <c r="G116" s="10" t="n">
        <v>128</v>
      </c>
      <c r="H116" s="10" t="n">
        <v>0</v>
      </c>
      <c r="I116" s="10" t="n">
        <v>320</v>
      </c>
      <c r="J116" s="3" t="inlineStr">
        <is>
          <t>EN EJECUCION</t>
        </is>
      </c>
    </row>
    <row r="117">
      <c r="A117" s="3">
        <f>tblEjecucion[[#This Row],[orden]]&amp;IF(tblEjecucion[[#This Row],[operacion]]="","0010",tblEjecucion[[#This Row],[operacion]])</f>
        <v/>
      </c>
      <c r="B117" s="3" t="inlineStr">
        <is>
          <t>OT-000140</t>
        </is>
      </c>
      <c r="C117" s="3" t="inlineStr">
        <is>
          <t>0010</t>
        </is>
      </c>
      <c r="D117" s="3" t="inlineStr">
        <is>
          <t>ABIE</t>
        </is>
      </c>
      <c r="E117" s="3" t="inlineStr">
        <is>
          <t>2-MEDIA</t>
        </is>
      </c>
      <c r="F117" s="3" t="inlineStr">
        <is>
          <t>PARADO</t>
        </is>
      </c>
      <c r="G117" s="10" t="n">
        <v>64</v>
      </c>
      <c r="H117" s="10" t="n">
        <v>0</v>
      </c>
      <c r="I117" s="10" t="n">
        <v>160</v>
      </c>
      <c r="J117" s="3" t="inlineStr">
        <is>
          <t>ABIERTA</t>
        </is>
      </c>
    </row>
    <row r="118">
      <c r="A118" s="3">
        <f>tblEjecucion[[#This Row],[orden]]&amp;IF(tblEjecucion[[#This Row],[operacion]]="","0010",tblEjecucion[[#This Row],[operacion]])</f>
        <v/>
      </c>
      <c r="B118" s="3" t="inlineStr">
        <is>
          <t>OT-000141</t>
        </is>
      </c>
      <c r="C118" s="3" t="inlineStr">
        <is>
          <t>0010</t>
        </is>
      </c>
      <c r="D118" s="3" t="inlineStr">
        <is>
          <t>EJEC</t>
        </is>
      </c>
      <c r="E118" s="3" t="inlineStr">
        <is>
          <t>3-BAJA</t>
        </is>
      </c>
      <c r="F118" s="3" t="inlineStr">
        <is>
          <t>OPERATIVO</t>
        </is>
      </c>
      <c r="G118" s="10" t="n">
        <v>60</v>
      </c>
      <c r="H118" s="10" t="n">
        <v>0</v>
      </c>
      <c r="I118" s="10" t="n">
        <v>150</v>
      </c>
      <c r="J118" s="3" t="inlineStr">
        <is>
          <t>EN EJECUCION</t>
        </is>
      </c>
    </row>
    <row r="119">
      <c r="A119" s="3">
        <f>tblEjecucion[[#This Row],[orden]]&amp;IF(tblEjecucion[[#This Row],[operacion]]="","0010",tblEjecucion[[#This Row],[operacion]])</f>
        <v/>
      </c>
      <c r="B119" s="3" t="inlineStr">
        <is>
          <t>OT-000142</t>
        </is>
      </c>
      <c r="C119" s="3" t="inlineStr">
        <is>
          <t>0010</t>
        </is>
      </c>
      <c r="D119" s="3" t="inlineStr">
        <is>
          <t>ABIE</t>
        </is>
      </c>
      <c r="E119" s="3" t="inlineStr">
        <is>
          <t>1-ALTA</t>
        </is>
      </c>
      <c r="F119" s="3" t="inlineStr">
        <is>
          <t>PARADO</t>
        </is>
      </c>
      <c r="G119" s="10" t="n">
        <v>64</v>
      </c>
      <c r="H119" s="10" t="n">
        <v>0</v>
      </c>
      <c r="I119" s="10" t="n">
        <v>160</v>
      </c>
      <c r="J119" s="3" t="inlineStr">
        <is>
          <t>ABIERTA</t>
        </is>
      </c>
    </row>
    <row r="120">
      <c r="A120" s="3">
        <f>tblEjecucion[[#This Row],[orden]]&amp;IF(tblEjecucion[[#This Row],[operacion]]="","0010",tblEjecucion[[#This Row],[operacion]])</f>
        <v/>
      </c>
      <c r="B120" s="3" t="inlineStr">
        <is>
          <t>OT-000143</t>
        </is>
      </c>
      <c r="C120" s="3" t="inlineStr">
        <is>
          <t>0010</t>
        </is>
      </c>
      <c r="D120" s="3" t="inlineStr">
        <is>
          <t>EJEC</t>
        </is>
      </c>
      <c r="E120" s="3" t="inlineStr">
        <is>
          <t>2-MEDIA</t>
        </is>
      </c>
      <c r="F120" s="3" t="inlineStr">
        <is>
          <t>OPERATIVO</t>
        </is>
      </c>
      <c r="G120" s="10" t="n">
        <v>96</v>
      </c>
      <c r="H120" s="10" t="n">
        <v>0</v>
      </c>
      <c r="I120" s="10" t="n">
        <v>240</v>
      </c>
      <c r="J120" s="3" t="inlineStr">
        <is>
          <t>EN EJECUCION</t>
        </is>
      </c>
    </row>
    <row r="121">
      <c r="A121" s="3">
        <f>tblEjecucion[[#This Row],[orden]]&amp;IF(tblEjecucion[[#This Row],[operacion]]="","0010",tblEjecucion[[#This Row],[operacion]])</f>
        <v/>
      </c>
      <c r="B121" s="3" t="inlineStr">
        <is>
          <t>OT-000144</t>
        </is>
      </c>
      <c r="C121" s="3" t="inlineStr">
        <is>
          <t>0010</t>
        </is>
      </c>
      <c r="D121" s="3" t="inlineStr">
        <is>
          <t>ABIE</t>
        </is>
      </c>
      <c r="E121" s="3" t="inlineStr">
        <is>
          <t>3-BAJA</t>
        </is>
      </c>
      <c r="F121" s="3" t="inlineStr">
        <is>
          <t>PARADO</t>
        </is>
      </c>
      <c r="G121" s="10" t="n">
        <v>128</v>
      </c>
      <c r="H121" s="10" t="n">
        <v>0</v>
      </c>
      <c r="I121" s="10" t="n">
        <v>320</v>
      </c>
      <c r="J121" s="3" t="inlineStr">
        <is>
          <t>ABIERTA</t>
        </is>
      </c>
    </row>
    <row r="122">
      <c r="A122" s="3">
        <f>tblEjecucion[[#This Row],[orden]]&amp;IF(tblEjecucion[[#This Row],[operacion]]="","0010",tblEjecucion[[#This Row],[operacion]])</f>
        <v/>
      </c>
      <c r="B122" s="3" t="inlineStr">
        <is>
          <t>OT-000145</t>
        </is>
      </c>
      <c r="C122" s="3" t="inlineStr">
        <is>
          <t>0010</t>
        </is>
      </c>
      <c r="D122" s="3" t="inlineStr">
        <is>
          <t>EJEC</t>
        </is>
      </c>
      <c r="E122" s="3" t="inlineStr">
        <is>
          <t>1-ALTA</t>
        </is>
      </c>
      <c r="F122" s="3" t="inlineStr">
        <is>
          <t>OPERATIVO</t>
        </is>
      </c>
      <c r="G122" s="10" t="n">
        <v>40</v>
      </c>
      <c r="H122" s="10" t="n">
        <v>0</v>
      </c>
      <c r="I122" s="10" t="n">
        <v>100</v>
      </c>
      <c r="J122" s="3" t="inlineStr">
        <is>
          <t>EN EJECUCION</t>
        </is>
      </c>
    </row>
    <row r="123">
      <c r="A123" s="3">
        <f>tblEjecucion[[#This Row],[orden]]&amp;IF(tblEjecucion[[#This Row],[operacion]]="","0010",tblEjecucion[[#This Row],[operacion]])</f>
        <v/>
      </c>
      <c r="B123" s="3" t="inlineStr">
        <is>
          <t>OT-000146</t>
        </is>
      </c>
      <c r="C123" s="3" t="inlineStr">
        <is>
          <t>0010</t>
        </is>
      </c>
      <c r="D123" s="3" t="inlineStr">
        <is>
          <t>ABIE</t>
        </is>
      </c>
      <c r="E123" s="3" t="inlineStr">
        <is>
          <t>2-MEDIA</t>
        </is>
      </c>
      <c r="F123" s="3" t="inlineStr">
        <is>
          <t>PARADO</t>
        </is>
      </c>
      <c r="G123" s="10" t="n">
        <v>96</v>
      </c>
      <c r="H123" s="10" t="n">
        <v>0</v>
      </c>
      <c r="I123" s="10" t="n">
        <v>240</v>
      </c>
      <c r="J123" s="3" t="inlineStr">
        <is>
          <t>ABIERTA</t>
        </is>
      </c>
    </row>
    <row r="124">
      <c r="A124" s="3">
        <f>tblEjecucion[[#This Row],[orden]]&amp;IF(tblEjecucion[[#This Row],[operacion]]="","0010",tblEjecucion[[#This Row],[operacion]])</f>
        <v/>
      </c>
      <c r="B124" s="3" t="inlineStr">
        <is>
          <t>OT-000147</t>
        </is>
      </c>
      <c r="C124" s="3" t="inlineStr">
        <is>
          <t>0010</t>
        </is>
      </c>
      <c r="D124" s="3" t="inlineStr">
        <is>
          <t>EJEC</t>
        </is>
      </c>
      <c r="E124" s="3" t="inlineStr">
        <is>
          <t>3-BAJA</t>
        </is>
      </c>
      <c r="F124" s="3" t="inlineStr">
        <is>
          <t>OPERATIVO</t>
        </is>
      </c>
      <c r="G124" s="10" t="n">
        <v>128</v>
      </c>
      <c r="H124" s="10" t="n">
        <v>0</v>
      </c>
      <c r="I124" s="10" t="n">
        <v>320</v>
      </c>
      <c r="J124" s="3" t="inlineStr">
        <is>
          <t>EN EJECUCION</t>
        </is>
      </c>
    </row>
    <row r="125">
      <c r="A125" s="3">
        <f>tblEjecucion[[#This Row],[orden]]&amp;IF(tblEjecucion[[#This Row],[operacion]]="","0010",tblEjecucion[[#This Row],[operacion]])</f>
        <v/>
      </c>
      <c r="B125" s="3" t="inlineStr">
        <is>
          <t>OT-000148</t>
        </is>
      </c>
      <c r="C125" s="3" t="inlineStr">
        <is>
          <t>0010</t>
        </is>
      </c>
      <c r="D125" s="3" t="inlineStr">
        <is>
          <t>ABIE</t>
        </is>
      </c>
      <c r="E125" s="3" t="inlineStr">
        <is>
          <t>1-ALTA</t>
        </is>
      </c>
      <c r="F125" s="3" t="inlineStr">
        <is>
          <t>PARADO</t>
        </is>
      </c>
      <c r="G125" s="10" t="n">
        <v>64</v>
      </c>
      <c r="H125" s="10" t="n">
        <v>0</v>
      </c>
      <c r="I125" s="10" t="n">
        <v>160</v>
      </c>
      <c r="J125" s="3" t="inlineStr">
        <is>
          <t>ABIERTA</t>
        </is>
      </c>
    </row>
    <row r="126">
      <c r="A126" s="3">
        <f>tblEjecucion[[#This Row],[orden]]&amp;IF(tblEjecucion[[#This Row],[operacion]]="","0010",tblEjecucion[[#This Row],[operacion]])</f>
        <v/>
      </c>
      <c r="B126" s="3" t="inlineStr">
        <is>
          <t>OT-000149</t>
        </is>
      </c>
      <c r="C126" s="3" t="inlineStr">
        <is>
          <t>0010</t>
        </is>
      </c>
      <c r="D126" s="3" t="inlineStr">
        <is>
          <t>EJEC</t>
        </is>
      </c>
      <c r="E126" s="3" t="inlineStr">
        <is>
          <t>2-MEDIA</t>
        </is>
      </c>
      <c r="F126" s="3" t="inlineStr">
        <is>
          <t>OPERATIVO</t>
        </is>
      </c>
      <c r="G126" s="10" t="n">
        <v>96</v>
      </c>
      <c r="H126" s="10" t="n">
        <v>0</v>
      </c>
      <c r="I126" s="10" t="n">
        <v>240</v>
      </c>
      <c r="J126" s="3" t="inlineStr">
        <is>
          <t>EN EJECUCION</t>
        </is>
      </c>
    </row>
    <row r="127">
      <c r="A127" s="3">
        <f>tblEjecucion[[#This Row],[orden]]&amp;IF(tblEjecucion[[#This Row],[operacion]]="","0010",tblEjecucion[[#This Row],[operacion]])</f>
        <v/>
      </c>
      <c r="B127" s="3" t="inlineStr">
        <is>
          <t>OT-000150</t>
        </is>
      </c>
      <c r="C127" s="3" t="inlineStr">
        <is>
          <t>0010</t>
        </is>
      </c>
      <c r="D127" s="3" t="inlineStr">
        <is>
          <t>ABIE</t>
        </is>
      </c>
      <c r="E127" s="3" t="inlineStr">
        <is>
          <t>3-BAJA</t>
        </is>
      </c>
      <c r="F127" s="3" t="inlineStr">
        <is>
          <t>PARADO</t>
        </is>
      </c>
      <c r="G127" s="10" t="n">
        <v>128</v>
      </c>
      <c r="H127" s="10" t="n">
        <v>0</v>
      </c>
      <c r="I127" s="10" t="n">
        <v>320</v>
      </c>
      <c r="J127" s="3" t="inlineStr">
        <is>
          <t>ABIERTA</t>
        </is>
      </c>
    </row>
    <row r="128">
      <c r="A128" s="3">
        <f>tblEjecucion[[#This Row],[orden]]&amp;IF(tblEjecucion[[#This Row],[operacion]]="","0010",tblEjecucion[[#This Row],[operacion]])</f>
        <v/>
      </c>
      <c r="B128" s="3" t="inlineStr">
        <is>
          <t>OT-000151</t>
        </is>
      </c>
      <c r="C128" s="3" t="inlineStr">
        <is>
          <t>0010</t>
        </is>
      </c>
      <c r="D128" s="3" t="inlineStr">
        <is>
          <t>EJEC</t>
        </is>
      </c>
      <c r="E128" s="3" t="inlineStr">
        <is>
          <t>1-ALTA</t>
        </is>
      </c>
      <c r="F128" s="3" t="inlineStr">
        <is>
          <t>OPERATIVO</t>
        </is>
      </c>
      <c r="G128" s="10" t="n">
        <v>40</v>
      </c>
      <c r="H128" s="10" t="n">
        <v>0</v>
      </c>
      <c r="I128" s="10" t="n">
        <v>100</v>
      </c>
      <c r="J128" s="3" t="inlineStr">
        <is>
          <t>EN EJECUCION</t>
        </is>
      </c>
    </row>
    <row r="129">
      <c r="A129" s="3">
        <f>tblEjecucion[[#This Row],[orden]]&amp;IF(tblEjecucion[[#This Row],[operacion]]="","0010",tblEjecucion[[#This Row],[operacion]])</f>
        <v/>
      </c>
      <c r="B129" s="3" t="inlineStr">
        <is>
          <t>OT-000152</t>
        </is>
      </c>
      <c r="C129" s="3" t="inlineStr">
        <is>
          <t>0010</t>
        </is>
      </c>
      <c r="D129" s="3" t="inlineStr">
        <is>
          <t>ABIE</t>
        </is>
      </c>
      <c r="E129" s="3" t="inlineStr">
        <is>
          <t>2-MEDIA</t>
        </is>
      </c>
      <c r="F129" s="3" t="inlineStr">
        <is>
          <t>PARADO</t>
        </is>
      </c>
      <c r="G129" s="10" t="n">
        <v>96</v>
      </c>
      <c r="H129" s="10" t="n">
        <v>0</v>
      </c>
      <c r="I129" s="10" t="n">
        <v>240</v>
      </c>
      <c r="J129" s="3" t="inlineStr">
        <is>
          <t>ABIERTA</t>
        </is>
      </c>
    </row>
    <row r="130">
      <c r="A130" s="3">
        <f>tblEjecucion[[#This Row],[orden]]&amp;IF(tblEjecucion[[#This Row],[operacion]]="","0010",tblEjecucion[[#This Row],[operacion]])</f>
        <v/>
      </c>
      <c r="B130" s="3" t="inlineStr">
        <is>
          <t>OT-000153</t>
        </is>
      </c>
      <c r="C130" s="3" t="inlineStr">
        <is>
          <t>0010</t>
        </is>
      </c>
      <c r="D130" s="3" t="inlineStr">
        <is>
          <t>EJEC</t>
        </is>
      </c>
      <c r="E130" s="3" t="inlineStr">
        <is>
          <t>3-BAJA</t>
        </is>
      </c>
      <c r="F130" s="3" t="inlineStr">
        <is>
          <t>OPERATIVO</t>
        </is>
      </c>
      <c r="G130" s="10" t="n">
        <v>128</v>
      </c>
      <c r="H130" s="10" t="n">
        <v>0</v>
      </c>
      <c r="I130" s="10" t="n">
        <v>320</v>
      </c>
      <c r="J130" s="3" t="inlineStr">
        <is>
          <t>EN EJECUCION</t>
        </is>
      </c>
    </row>
    <row r="131">
      <c r="A131" s="3">
        <f>tblEjecucion[[#This Row],[orden]]&amp;IF(tblEjecucion[[#This Row],[operacion]]="","0010",tblEjecucion[[#This Row],[operacion]])</f>
        <v/>
      </c>
      <c r="B131" s="3" t="inlineStr">
        <is>
          <t>OT-000154</t>
        </is>
      </c>
      <c r="C131" s="3" t="inlineStr">
        <is>
          <t>0010</t>
        </is>
      </c>
      <c r="D131" s="3" t="inlineStr">
        <is>
          <t>ABIE</t>
        </is>
      </c>
      <c r="E131" s="3" t="inlineStr">
        <is>
          <t>1-ALTA</t>
        </is>
      </c>
      <c r="F131" s="3" t="inlineStr">
        <is>
          <t>PARADO</t>
        </is>
      </c>
      <c r="G131" s="10" t="n">
        <v>64</v>
      </c>
      <c r="H131" s="10" t="n">
        <v>0</v>
      </c>
      <c r="I131" s="10" t="n">
        <v>160</v>
      </c>
      <c r="J131" s="3" t="inlineStr">
        <is>
          <t>ABIERTA</t>
        </is>
      </c>
    </row>
    <row r="132">
      <c r="A132" s="3">
        <f>tblEjecucion[[#This Row],[orden]]&amp;IF(tblEjecucion[[#This Row],[operacion]]="","0010",tblEjecucion[[#This Row],[operacion]])</f>
        <v/>
      </c>
      <c r="B132" s="3" t="inlineStr">
        <is>
          <t>OT-000155</t>
        </is>
      </c>
      <c r="C132" s="3" t="inlineStr">
        <is>
          <t>0010</t>
        </is>
      </c>
      <c r="D132" s="3" t="inlineStr">
        <is>
          <t>EJEC</t>
        </is>
      </c>
      <c r="E132" s="3" t="inlineStr">
        <is>
          <t>2-MEDIA</t>
        </is>
      </c>
      <c r="F132" s="3" t="inlineStr">
        <is>
          <t>OPERATIVO</t>
        </is>
      </c>
      <c r="G132" s="10" t="n">
        <v>96</v>
      </c>
      <c r="H132" s="10" t="n">
        <v>0</v>
      </c>
      <c r="I132" s="10" t="n">
        <v>240</v>
      </c>
      <c r="J132" s="3" t="inlineStr">
        <is>
          <t>EN EJECUCION</t>
        </is>
      </c>
    </row>
    <row r="133">
      <c r="A133" s="3">
        <f>tblEjecucion[[#This Row],[orden]]&amp;IF(tblEjecucion[[#This Row],[operacion]]="","0010",tblEjecucion[[#This Row],[operacion]])</f>
        <v/>
      </c>
      <c r="B133" s="3" t="inlineStr">
        <is>
          <t>OT-000156</t>
        </is>
      </c>
      <c r="C133" s="3" t="inlineStr">
        <is>
          <t>0010</t>
        </is>
      </c>
      <c r="D133" s="3" t="inlineStr">
        <is>
          <t>ABIE</t>
        </is>
      </c>
      <c r="E133" s="3" t="inlineStr">
        <is>
          <t>3-BAJA</t>
        </is>
      </c>
      <c r="F133" s="3" t="inlineStr">
        <is>
          <t>PARADO</t>
        </is>
      </c>
      <c r="G133" s="10" t="n">
        <v>128</v>
      </c>
      <c r="H133" s="10" t="n">
        <v>0</v>
      </c>
      <c r="I133" s="10" t="n">
        <v>320</v>
      </c>
      <c r="J133" s="3" t="inlineStr">
        <is>
          <t>ABIERTA</t>
        </is>
      </c>
    </row>
    <row r="134">
      <c r="A134" s="3">
        <f>tblEjecucion[[#This Row],[orden]]&amp;IF(tblEjecucion[[#This Row],[operacion]]="","0010",tblEjecucion[[#This Row],[operacion]])</f>
        <v/>
      </c>
      <c r="B134" s="3" t="inlineStr">
        <is>
          <t>OT-000157</t>
        </is>
      </c>
      <c r="C134" s="3" t="inlineStr">
        <is>
          <t>0010</t>
        </is>
      </c>
      <c r="D134" s="3" t="inlineStr">
        <is>
          <t>EJEC</t>
        </is>
      </c>
      <c r="E134" s="3" t="inlineStr">
        <is>
          <t>1-ALTA</t>
        </is>
      </c>
      <c r="F134" s="3" t="inlineStr">
        <is>
          <t>OPERATIVO</t>
        </is>
      </c>
      <c r="G134" s="10" t="n">
        <v>40</v>
      </c>
      <c r="H134" s="10" t="n">
        <v>0</v>
      </c>
      <c r="I134" s="10" t="n">
        <v>100</v>
      </c>
      <c r="J134" s="3" t="inlineStr">
        <is>
          <t>EN EJECUCION</t>
        </is>
      </c>
    </row>
    <row r="135">
      <c r="A135" s="3">
        <f>tblEjecucion[[#This Row],[orden]]&amp;IF(tblEjecucion[[#This Row],[operacion]]="","0010",tblEjecucion[[#This Row],[operacion]])</f>
        <v/>
      </c>
      <c r="B135" s="3" t="inlineStr">
        <is>
          <t>OT-000158</t>
        </is>
      </c>
      <c r="C135" s="3" t="inlineStr">
        <is>
          <t>0010</t>
        </is>
      </c>
      <c r="D135" s="3" t="inlineStr">
        <is>
          <t>ABIE</t>
        </is>
      </c>
      <c r="E135" s="3" t="inlineStr">
        <is>
          <t>2-MEDIA</t>
        </is>
      </c>
      <c r="F135" s="3" t="inlineStr">
        <is>
          <t>PARADO</t>
        </is>
      </c>
      <c r="G135" s="10" t="n">
        <v>64</v>
      </c>
      <c r="H135" s="10" t="n">
        <v>0</v>
      </c>
      <c r="I135" s="10" t="n">
        <v>160</v>
      </c>
      <c r="J135" s="3" t="inlineStr">
        <is>
          <t>ABIERTA</t>
        </is>
      </c>
    </row>
    <row r="136">
      <c r="A136" s="3">
        <f>tblEjecucion[[#This Row],[orden]]&amp;IF(tblEjecucion[[#This Row],[operacion]]="","0010",tblEjecucion[[#This Row],[operacion]])</f>
        <v/>
      </c>
      <c r="B136" s="3" t="inlineStr">
        <is>
          <t>OT-000159</t>
        </is>
      </c>
      <c r="C136" s="3" t="inlineStr">
        <is>
          <t>0010</t>
        </is>
      </c>
      <c r="D136" s="3" t="inlineStr">
        <is>
          <t>EJEC</t>
        </is>
      </c>
      <c r="E136" s="3" t="inlineStr">
        <is>
          <t>3-BAJA</t>
        </is>
      </c>
      <c r="F136" s="3" t="inlineStr">
        <is>
          <t>OPERATIVO</t>
        </is>
      </c>
      <c r="G136" s="10" t="n">
        <v>96</v>
      </c>
      <c r="H136" s="10" t="n">
        <v>0</v>
      </c>
      <c r="I136" s="10" t="n">
        <v>240</v>
      </c>
      <c r="J136" s="3" t="inlineStr">
        <is>
          <t>EN EJECUCION</t>
        </is>
      </c>
    </row>
    <row r="137">
      <c r="A137" s="3">
        <f>tblEjecucion[[#This Row],[orden]]&amp;IF(tblEjecucion[[#This Row],[operacion]]="","0010",tblEjecucion[[#This Row],[operacion]])</f>
        <v/>
      </c>
      <c r="B137" s="3" t="inlineStr">
        <is>
          <t>OT-000160</t>
        </is>
      </c>
      <c r="C137" s="3" t="inlineStr">
        <is>
          <t>0010</t>
        </is>
      </c>
      <c r="D137" s="3" t="inlineStr">
        <is>
          <t>ABIE</t>
        </is>
      </c>
      <c r="E137" s="3" t="inlineStr">
        <is>
          <t>1-ALTA</t>
        </is>
      </c>
      <c r="F137" s="3" t="inlineStr">
        <is>
          <t>PARADO</t>
        </is>
      </c>
      <c r="G137" s="10" t="n">
        <v>128</v>
      </c>
      <c r="H137" s="10" t="n">
        <v>0</v>
      </c>
      <c r="I137" s="10" t="n">
        <v>320</v>
      </c>
      <c r="J137" s="3" t="inlineStr">
        <is>
          <t>ABIERTA</t>
        </is>
      </c>
    </row>
    <row r="138">
      <c r="A138" s="3">
        <f>tblEjecucion[[#This Row],[orden]]&amp;IF(tblEjecucion[[#This Row],[operacion]]="","0010",tblEjecucion[[#This Row],[operacion]])</f>
        <v/>
      </c>
      <c r="B138" s="3" t="inlineStr">
        <is>
          <t>OT-000161</t>
        </is>
      </c>
      <c r="C138" s="3" t="inlineStr">
        <is>
          <t>0010</t>
        </is>
      </c>
      <c r="D138" s="3" t="inlineStr">
        <is>
          <t>EJEC</t>
        </is>
      </c>
      <c r="E138" s="3" t="inlineStr">
        <is>
          <t>2-MEDIA</t>
        </is>
      </c>
      <c r="F138" s="3" t="inlineStr">
        <is>
          <t>OPERATIVO</t>
        </is>
      </c>
      <c r="G138" s="10" t="n">
        <v>40</v>
      </c>
      <c r="H138" s="10" t="n">
        <v>0</v>
      </c>
      <c r="I138" s="10" t="n">
        <v>100</v>
      </c>
      <c r="J138" s="3" t="inlineStr">
        <is>
          <t>EN EJECUCION</t>
        </is>
      </c>
    </row>
    <row r="139">
      <c r="A139" s="3">
        <f>tblEjecucion[[#This Row],[orden]]&amp;IF(tblEjecucion[[#This Row],[operacion]]="","0010",tblEjecucion[[#This Row],[operacion]])</f>
        <v/>
      </c>
      <c r="B139" s="3" t="inlineStr">
        <is>
          <t>OT-000162</t>
        </is>
      </c>
      <c r="C139" s="3" t="inlineStr">
        <is>
          <t>0010</t>
        </is>
      </c>
      <c r="D139" s="3" t="inlineStr">
        <is>
          <t>CERR</t>
        </is>
      </c>
      <c r="E139" s="3" t="inlineStr">
        <is>
          <t>3-BAJA</t>
        </is>
      </c>
      <c r="F139" s="3" t="inlineStr">
        <is>
          <t>PARADO</t>
        </is>
      </c>
      <c r="G139" s="10" t="n">
        <v>200</v>
      </c>
      <c r="H139" s="10" t="n">
        <v>100</v>
      </c>
      <c r="I139" s="10" t="n">
        <v>100</v>
      </c>
      <c r="J139" s="3" t="inlineStr">
        <is>
          <t>CERRADA</t>
        </is>
      </c>
    </row>
    <row r="140">
      <c r="A140" s="3">
        <f>tblEjecucion[[#This Row],[orden]]&amp;IF(tblEjecucion[[#This Row],[operacion]]="","0010",tblEjecucion[[#This Row],[operacion]])</f>
        <v/>
      </c>
      <c r="B140" s="3" t="inlineStr">
        <is>
          <t>OT-000163</t>
        </is>
      </c>
      <c r="C140" s="3" t="inlineStr">
        <is>
          <t>0010</t>
        </is>
      </c>
      <c r="D140" s="3" t="inlineStr">
        <is>
          <t>CERR</t>
        </is>
      </c>
      <c r="E140" s="3" t="inlineStr">
        <is>
          <t>1-ALTA</t>
        </is>
      </c>
      <c r="F140" s="3" t="inlineStr">
        <is>
          <t>OPERATIVO</t>
        </is>
      </c>
      <c r="G140" s="10" t="n">
        <v>96</v>
      </c>
      <c r="H140" s="10" t="n">
        <v>240</v>
      </c>
      <c r="I140" s="10" t="n">
        <v>240</v>
      </c>
      <c r="J140" s="3" t="inlineStr">
        <is>
          <t>CERRADA</t>
        </is>
      </c>
    </row>
    <row r="141">
      <c r="A141" s="3">
        <f>tblEjecucion[[#This Row],[orden]]&amp;IF(tblEjecucion[[#This Row],[operacion]]="","0010",tblEjecucion[[#This Row],[operacion]])</f>
        <v/>
      </c>
      <c r="B141" s="3" t="inlineStr">
        <is>
          <t>OT-000164</t>
        </is>
      </c>
      <c r="C141" s="3" t="inlineStr">
        <is>
          <t>0010</t>
        </is>
      </c>
      <c r="D141" s="3" t="inlineStr">
        <is>
          <t>CERR</t>
        </is>
      </c>
      <c r="E141" s="3" t="inlineStr">
        <is>
          <t>2-MEDIA</t>
        </is>
      </c>
      <c r="F141" s="3" t="inlineStr">
        <is>
          <t>PARADO</t>
        </is>
      </c>
      <c r="G141" s="10" t="n">
        <v>80</v>
      </c>
      <c r="H141" s="10" t="n">
        <v>200</v>
      </c>
      <c r="I141" s="10" t="n">
        <v>200</v>
      </c>
      <c r="J141" s="3" t="inlineStr">
        <is>
          <t>CERRADA</t>
        </is>
      </c>
    </row>
    <row r="142">
      <c r="A142" s="3">
        <f>tblEjecucion[[#This Row],[orden]]&amp;IF(tblEjecucion[[#This Row],[operacion]]="","0010",tblEjecucion[[#This Row],[operacion]])</f>
        <v/>
      </c>
      <c r="B142" s="3" t="inlineStr">
        <is>
          <t>OT-000165</t>
        </is>
      </c>
      <c r="C142" s="3" t="inlineStr">
        <is>
          <t>0010</t>
        </is>
      </c>
      <c r="D142" s="3" t="inlineStr">
        <is>
          <t>CERR</t>
        </is>
      </c>
      <c r="E142" s="3" t="inlineStr">
        <is>
          <t>3-BAJA</t>
        </is>
      </c>
      <c r="F142" s="3" t="inlineStr">
        <is>
          <t>OPERATIVO</t>
        </is>
      </c>
      <c r="G142" s="10" t="n">
        <v>64</v>
      </c>
      <c r="H142" s="10" t="n">
        <v>160</v>
      </c>
      <c r="I142" s="10" t="n">
        <v>160</v>
      </c>
      <c r="J142" s="3" t="inlineStr">
        <is>
          <t>CERRADA</t>
        </is>
      </c>
    </row>
    <row r="143">
      <c r="A143" s="3">
        <f>tblEjecucion[[#This Row],[orden]]&amp;IF(tblEjecucion[[#This Row],[operacion]]="","0010",tblEjecucion[[#This Row],[operacion]])</f>
        <v/>
      </c>
      <c r="B143" s="3" t="inlineStr">
        <is>
          <t>OT-000166</t>
        </is>
      </c>
      <c r="C143" s="3" t="inlineStr">
        <is>
          <t>0010</t>
        </is>
      </c>
      <c r="D143" s="3" t="inlineStr">
        <is>
          <t>CERR</t>
        </is>
      </c>
      <c r="E143" s="3" t="inlineStr">
        <is>
          <t>1-ALTA</t>
        </is>
      </c>
      <c r="F143" s="3" t="inlineStr">
        <is>
          <t>PARADO</t>
        </is>
      </c>
      <c r="G143" s="10" t="n">
        <v>60</v>
      </c>
      <c r="H143" s="10" t="n">
        <v>150</v>
      </c>
      <c r="I143" s="10" t="n">
        <v>150</v>
      </c>
      <c r="J143" s="3" t="inlineStr">
        <is>
          <t>CERRADA</t>
        </is>
      </c>
    </row>
    <row r="144">
      <c r="A144" s="3">
        <f>tblEjecucion[[#This Row],[orden]]&amp;IF(tblEjecucion[[#This Row],[operacion]]="","0010",tblEjecucion[[#This Row],[operacion]])</f>
        <v/>
      </c>
      <c r="B144" s="3" t="inlineStr">
        <is>
          <t>OT-000167</t>
        </is>
      </c>
      <c r="C144" s="3" t="inlineStr">
        <is>
          <t>0010</t>
        </is>
      </c>
      <c r="D144" s="3" t="inlineStr">
        <is>
          <t>CERR</t>
        </is>
      </c>
      <c r="E144" s="3" t="inlineStr">
        <is>
          <t>2-MEDIA</t>
        </is>
      </c>
      <c r="F144" s="3" t="inlineStr">
        <is>
          <t>OPERATIVO</t>
        </is>
      </c>
      <c r="G144" s="10" t="n">
        <v>128</v>
      </c>
      <c r="H144" s="10" t="n">
        <v>320</v>
      </c>
      <c r="I144" s="10" t="n">
        <v>320</v>
      </c>
      <c r="J144" s="3" t="inlineStr">
        <is>
          <t>CERRADA</t>
        </is>
      </c>
    </row>
    <row r="145">
      <c r="A145" s="3">
        <f>tblEjecucion[[#This Row],[orden]]&amp;IF(tblEjecucion[[#This Row],[operacion]]="","0010",tblEjecucion[[#This Row],[operacion]])</f>
        <v/>
      </c>
      <c r="B145" s="3" t="inlineStr">
        <is>
          <t>OT-000168</t>
        </is>
      </c>
      <c r="C145" s="3" t="inlineStr">
        <is>
          <t>0010</t>
        </is>
      </c>
      <c r="D145" s="3" t="inlineStr">
        <is>
          <t>CERR</t>
        </is>
      </c>
      <c r="E145" s="3" t="inlineStr">
        <is>
          <t>3-BAJA</t>
        </is>
      </c>
      <c r="F145" s="3" t="inlineStr">
        <is>
          <t>PARADO</t>
        </is>
      </c>
      <c r="G145" s="10" t="n">
        <v>40</v>
      </c>
      <c r="H145" s="10" t="n">
        <v>100</v>
      </c>
      <c r="I145" s="10" t="n">
        <v>100</v>
      </c>
      <c r="J145" s="3" t="inlineStr">
        <is>
          <t>CERRADA</t>
        </is>
      </c>
    </row>
    <row r="146">
      <c r="A146" s="3">
        <f>tblEjecucion[[#This Row],[orden]]&amp;IF(tblEjecucion[[#This Row],[operacion]]="","0010",tblEjecucion[[#This Row],[operacion]])</f>
        <v/>
      </c>
      <c r="B146" s="3" t="inlineStr">
        <is>
          <t>OT-000169</t>
        </is>
      </c>
      <c r="C146" s="3" t="inlineStr">
        <is>
          <t>0010</t>
        </is>
      </c>
      <c r="D146" s="3" t="inlineStr">
        <is>
          <t>CERR</t>
        </is>
      </c>
      <c r="E146" s="3" t="inlineStr">
        <is>
          <t>1-ALTA</t>
        </is>
      </c>
      <c r="F146" s="3" t="inlineStr">
        <is>
          <t>OPERATIVO</t>
        </is>
      </c>
      <c r="G146" s="10" t="n">
        <v>340</v>
      </c>
      <c r="H146" s="10" t="n">
        <v>240</v>
      </c>
      <c r="I146" s="10" t="n">
        <v>240</v>
      </c>
      <c r="J146" s="3" t="inlineStr">
        <is>
          <t>CERRADA</t>
        </is>
      </c>
    </row>
    <row r="147">
      <c r="A147" s="3">
        <f>tblEjecucion[[#This Row],[orden]]&amp;IF(tblEjecucion[[#This Row],[operacion]]="","0010",tblEjecucion[[#This Row],[operacion]])</f>
        <v/>
      </c>
      <c r="B147" s="3" t="inlineStr">
        <is>
          <t>OT-000170</t>
        </is>
      </c>
      <c r="C147" s="3" t="inlineStr">
        <is>
          <t>0010</t>
        </is>
      </c>
      <c r="D147" s="3" t="inlineStr">
        <is>
          <t>CERR</t>
        </is>
      </c>
      <c r="E147" s="3" t="inlineStr">
        <is>
          <t>2-MEDIA</t>
        </is>
      </c>
      <c r="F147" s="3" t="inlineStr">
        <is>
          <t>PARADO</t>
        </is>
      </c>
      <c r="G147" s="10" t="n">
        <v>80</v>
      </c>
      <c r="H147" s="10" t="n">
        <v>200</v>
      </c>
      <c r="I147" s="10" t="n">
        <v>200</v>
      </c>
      <c r="J147" s="3" t="inlineStr">
        <is>
          <t>CERRADA</t>
        </is>
      </c>
    </row>
    <row r="148">
      <c r="A148" s="3">
        <f>tblEjecucion[[#This Row],[orden]]&amp;IF(tblEjecucion[[#This Row],[operacion]]="","0010",tblEjecucion[[#This Row],[operacion]])</f>
        <v/>
      </c>
      <c r="B148" s="3" t="inlineStr">
        <is>
          <t>OT-000171</t>
        </is>
      </c>
      <c r="C148" s="3" t="inlineStr">
        <is>
          <t>0010</t>
        </is>
      </c>
      <c r="D148" s="3" t="inlineStr">
        <is>
          <t>CERR</t>
        </is>
      </c>
      <c r="E148" s="3" t="inlineStr">
        <is>
          <t>3-BAJA</t>
        </is>
      </c>
      <c r="F148" s="3" t="inlineStr">
        <is>
          <t>OPERATIVO</t>
        </is>
      </c>
      <c r="G148" s="10" t="n">
        <v>64</v>
      </c>
      <c r="H148" s="10" t="n">
        <v>160</v>
      </c>
      <c r="I148" s="10" t="n">
        <v>160</v>
      </c>
      <c r="J148" s="3" t="inlineStr">
        <is>
          <t>CERRADA</t>
        </is>
      </c>
    </row>
    <row r="149">
      <c r="A149" s="3">
        <f>tblEjecucion[[#This Row],[orden]]&amp;IF(tblEjecucion[[#This Row],[operacion]]="","0010",tblEjecucion[[#This Row],[operacion]])</f>
        <v/>
      </c>
      <c r="B149" s="3" t="inlineStr">
        <is>
          <t>OT-000172</t>
        </is>
      </c>
      <c r="C149" s="3" t="inlineStr">
        <is>
          <t>0010</t>
        </is>
      </c>
      <c r="D149" s="3" t="inlineStr">
        <is>
          <t>CERR</t>
        </is>
      </c>
      <c r="E149" s="3" t="inlineStr">
        <is>
          <t>1-ALTA</t>
        </is>
      </c>
      <c r="F149" s="3" t="inlineStr">
        <is>
          <t>PARADO</t>
        </is>
      </c>
      <c r="G149" s="10" t="n">
        <v>60</v>
      </c>
      <c r="H149" s="10" t="n">
        <v>150</v>
      </c>
      <c r="I149" s="10" t="n">
        <v>150</v>
      </c>
      <c r="J149" s="3" t="inlineStr">
        <is>
          <t>CERRADA</t>
        </is>
      </c>
    </row>
    <row r="150">
      <c r="A150" s="3">
        <f>tblEjecucion[[#This Row],[orden]]&amp;IF(tblEjecucion[[#This Row],[operacion]]="","0010",tblEjecucion[[#This Row],[operacion]])</f>
        <v/>
      </c>
      <c r="B150" s="3" t="inlineStr">
        <is>
          <t>OT-000173</t>
        </is>
      </c>
      <c r="C150" s="3" t="inlineStr">
        <is>
          <t>0010</t>
        </is>
      </c>
      <c r="D150" s="3" t="inlineStr">
        <is>
          <t>CERR</t>
        </is>
      </c>
      <c r="E150" s="3" t="inlineStr">
        <is>
          <t>2-MEDIA</t>
        </is>
      </c>
      <c r="F150" s="3" t="inlineStr">
        <is>
          <t>OPERATIVO</t>
        </is>
      </c>
      <c r="G150" s="10" t="n">
        <v>128</v>
      </c>
      <c r="H150" s="10" t="n">
        <v>320</v>
      </c>
      <c r="I150" s="10" t="n">
        <v>320</v>
      </c>
      <c r="J150" s="3" t="inlineStr">
        <is>
          <t>CERRADA</t>
        </is>
      </c>
    </row>
    <row r="151">
      <c r="A151" s="3">
        <f>tblEjecucion[[#This Row],[orden]]&amp;IF(tblEjecucion[[#This Row],[operacion]]="","0010",tblEjecucion[[#This Row],[operacion]])</f>
        <v/>
      </c>
      <c r="B151" s="3" t="inlineStr">
        <is>
          <t>OT-000174</t>
        </is>
      </c>
      <c r="C151" s="3" t="inlineStr">
        <is>
          <t>0010</t>
        </is>
      </c>
      <c r="D151" s="3" t="inlineStr">
        <is>
          <t>CERR</t>
        </is>
      </c>
      <c r="E151" s="3" t="inlineStr">
        <is>
          <t>3-BAJA</t>
        </is>
      </c>
      <c r="F151" s="3" t="inlineStr">
        <is>
          <t>PARADO</t>
        </is>
      </c>
      <c r="G151" s="10" t="n">
        <v>40</v>
      </c>
      <c r="H151" s="10" t="n">
        <v>100</v>
      </c>
      <c r="I151" s="10" t="n">
        <v>100</v>
      </c>
      <c r="J151" s="3" t="inlineStr">
        <is>
          <t>CERRADA</t>
        </is>
      </c>
    </row>
    <row r="152">
      <c r="A152" s="3">
        <f>tblEjecucion[[#This Row],[orden]]&amp;IF(tblEjecucion[[#This Row],[operacion]]="","0010",tblEjecucion[[#This Row],[operacion]])</f>
        <v/>
      </c>
      <c r="B152" s="3" t="inlineStr">
        <is>
          <t>OT-000175</t>
        </is>
      </c>
      <c r="C152" s="3" t="inlineStr">
        <is>
          <t>0010</t>
        </is>
      </c>
      <c r="D152" s="3" t="inlineStr">
        <is>
          <t>CERR</t>
        </is>
      </c>
      <c r="E152" s="3" t="inlineStr">
        <is>
          <t>1-ALTA</t>
        </is>
      </c>
      <c r="F152" s="3" t="inlineStr">
        <is>
          <t>OPERATIVO</t>
        </is>
      </c>
      <c r="G152" s="10" t="n">
        <v>96</v>
      </c>
      <c r="H152" s="10" t="n">
        <v>240</v>
      </c>
      <c r="I152" s="10" t="n">
        <v>240</v>
      </c>
      <c r="J152" s="3" t="inlineStr">
        <is>
          <t>CERRADA</t>
        </is>
      </c>
    </row>
    <row r="153">
      <c r="A153" s="3">
        <f>tblEjecucion[[#This Row],[orden]]&amp;IF(tblEjecucion[[#This Row],[operacion]]="","0010",tblEjecucion[[#This Row],[operacion]])</f>
        <v/>
      </c>
      <c r="B153" s="3" t="inlineStr">
        <is>
          <t>OT-000176</t>
        </is>
      </c>
      <c r="C153" s="3" t="inlineStr">
        <is>
          <t>0010</t>
        </is>
      </c>
      <c r="D153" s="3" t="inlineStr">
        <is>
          <t>CERR</t>
        </is>
      </c>
      <c r="E153" s="3" t="inlineStr">
        <is>
          <t>2-MEDIA</t>
        </is>
      </c>
      <c r="F153" s="3" t="inlineStr">
        <is>
          <t>PARADO</t>
        </is>
      </c>
      <c r="G153" s="10" t="n">
        <v>80</v>
      </c>
      <c r="H153" s="10" t="n">
        <v>200</v>
      </c>
      <c r="I153" s="10" t="n">
        <v>200</v>
      </c>
      <c r="J153" s="3" t="inlineStr">
        <is>
          <t>CERRADA</t>
        </is>
      </c>
    </row>
    <row r="154">
      <c r="A154" s="3">
        <f>tblEjecucion[[#This Row],[orden]]&amp;IF(tblEjecucion[[#This Row],[operacion]]="","0010",tblEjecucion[[#This Row],[operacion]])</f>
        <v/>
      </c>
      <c r="B154" s="3" t="inlineStr">
        <is>
          <t>OT-000900</t>
        </is>
      </c>
      <c r="C154" s="3" t="inlineStr">
        <is>
          <t>0010</t>
        </is>
      </c>
      <c r="D154" s="3" t="inlineStr">
        <is>
          <t>EJEC</t>
        </is>
      </c>
      <c r="E154" s="3" t="inlineStr">
        <is>
          <t>3-BAJA</t>
        </is>
      </c>
      <c r="F154" s="3" t="inlineStr">
        <is>
          <t>OPERATIVO</t>
        </is>
      </c>
      <c r="G154" s="10" t="n">
        <v>96</v>
      </c>
      <c r="H154" s="10" t="n">
        <v>0</v>
      </c>
      <c r="I154" s="10" t="n">
        <v>240</v>
      </c>
      <c r="J154" s="3" t="inlineStr">
        <is>
          <t>EN EJECUCION</t>
        </is>
      </c>
    </row>
    <row r="155">
      <c r="A155" s="3">
        <f>tblEjecucion[[#This Row],[orden]]&amp;IF(tblEjecucion[[#This Row],[operacion]]="","0010",tblEjecucion[[#This Row],[operacion]])</f>
        <v/>
      </c>
      <c r="B155" s="3" t="inlineStr">
        <is>
          <t>OT-000903</t>
        </is>
      </c>
      <c r="C155" s="3" t="inlineStr">
        <is>
          <t>0010</t>
        </is>
      </c>
      <c r="D155" s="3" t="inlineStr">
        <is>
          <t>EJEC</t>
        </is>
      </c>
      <c r="E155" s="3" t="inlineStr">
        <is>
          <t>1-ALTA</t>
        </is>
      </c>
      <c r="F155" s="3" t="inlineStr">
        <is>
          <t>OPERATIVO</t>
        </is>
      </c>
      <c r="G155" s="10" t="n">
        <v>0</v>
      </c>
      <c r="H155" s="10" t="n">
        <v>0</v>
      </c>
      <c r="I155" s="10" t="n">
        <v>0</v>
      </c>
      <c r="J155" s="3" t="inlineStr">
        <is>
          <t>EN EJECUCION</t>
        </is>
      </c>
    </row>
    <row r="156">
      <c r="A156" s="3">
        <f>tblEjecucion[[#This Row],[orden]]&amp;IF(tblEjecucion[[#This Row],[operacion]]="","0010",tblEjecucion[[#This Row],[operacion]])</f>
        <v/>
      </c>
      <c r="B156" s="3" t="inlineStr">
        <is>
          <t>OT-000904</t>
        </is>
      </c>
      <c r="C156" s="3" t="inlineStr">
        <is>
          <t>0010</t>
        </is>
      </c>
      <c r="D156" s="3" t="inlineStr">
        <is>
          <t>EJEC</t>
        </is>
      </c>
      <c r="E156" s="3" t="inlineStr">
        <is>
          <t>2-MEDIA</t>
        </is>
      </c>
      <c r="F156" s="3" t="inlineStr">
        <is>
          <t>PARADO</t>
        </is>
      </c>
      <c r="G156" s="10" t="n">
        <v>0</v>
      </c>
      <c r="H156" s="10" t="n">
        <v>0</v>
      </c>
      <c r="I156" s="10" t="n">
        <v>0</v>
      </c>
      <c r="J156" s="3" t="inlineStr">
        <is>
          <t>EN EJECUCION</t>
        </is>
      </c>
    </row>
    <row r="157">
      <c r="A157" s="3">
        <f>tblEjecucion[[#This Row],[orden]]&amp;IF(tblEjecucion[[#This Row],[operacion]]="","0010",tblEjecucion[[#This Row],[operacion]])</f>
        <v/>
      </c>
      <c r="B157" s="3" t="inlineStr">
        <is>
          <t>OT-000905</t>
        </is>
      </c>
      <c r="C157" s="3" t="inlineStr">
        <is>
          <t>0010</t>
        </is>
      </c>
      <c r="D157" s="3" t="inlineStr">
        <is>
          <t>EJEC</t>
        </is>
      </c>
      <c r="E157" s="3" t="inlineStr">
        <is>
          <t>3-BAJA</t>
        </is>
      </c>
      <c r="F157" s="3" t="inlineStr">
        <is>
          <t>OPERATIVO</t>
        </is>
      </c>
      <c r="G157" s="10" t="n">
        <v>64</v>
      </c>
      <c r="H157" s="10" t="n">
        <v>0</v>
      </c>
      <c r="I157" s="10" t="n">
        <v>160</v>
      </c>
      <c r="J157" s="3" t="inlineStr">
        <is>
          <t>EN EJECUCION</t>
        </is>
      </c>
    </row>
    <row r="158">
      <c r="A158" s="3">
        <f>tblEjecucion[[#This Row],[orden]]&amp;IF(tblEjecucion[[#This Row],[operacion]]="","0010",tblEjecucion[[#This Row],[operacion]])</f>
        <v/>
      </c>
      <c r="B158" s="3" t="inlineStr">
        <is>
          <t>OT-000906</t>
        </is>
      </c>
      <c r="C158" s="3" t="inlineStr">
        <is>
          <t>0010</t>
        </is>
      </c>
      <c r="D158" s="3" t="inlineStr">
        <is>
          <t>EJEC</t>
        </is>
      </c>
      <c r="E158" s="3" t="inlineStr">
        <is>
          <t>1-ALTA</t>
        </is>
      </c>
      <c r="F158" s="3" t="inlineStr">
        <is>
          <t>PARADO</t>
        </is>
      </c>
      <c r="G158" s="10" t="n">
        <v>64</v>
      </c>
      <c r="H158" s="10" t="n">
        <v>0</v>
      </c>
      <c r="I158" s="10" t="n">
        <v>160</v>
      </c>
      <c r="J158" s="3" t="inlineStr">
        <is>
          <t>EN EJECUCION</t>
        </is>
      </c>
    </row>
    <row r="159">
      <c r="A159" s="3">
        <f>tblEjecucion[[#This Row],[orden]]&amp;IF(tblEjecucion[[#This Row],[operacion]]="","0010",tblEjecucion[[#This Row],[operacion]])</f>
        <v/>
      </c>
      <c r="B159" s="3" t="inlineStr">
        <is>
          <t>OT-000907</t>
        </is>
      </c>
      <c r="C159" s="3" t="inlineStr">
        <is>
          <t>0010</t>
        </is>
      </c>
      <c r="D159" s="3" t="inlineStr">
        <is>
          <t>EJEC</t>
        </is>
      </c>
      <c r="E159" s="3" t="inlineStr">
        <is>
          <t>2-MEDIA</t>
        </is>
      </c>
      <c r="F159" s="3" t="inlineStr">
        <is>
          <t>OPERATIVO</t>
        </is>
      </c>
      <c r="G159" s="10" t="n">
        <v>64</v>
      </c>
      <c r="H159" s="10" t="n">
        <v>0</v>
      </c>
      <c r="I159" s="10" t="n">
        <v>160</v>
      </c>
      <c r="J159" s="3" t="inlineStr">
        <is>
          <t>EN EJECUCION</t>
        </is>
      </c>
    </row>
    <row r="160">
      <c r="A160" s="3">
        <f>tblEjecucion[[#This Row],[orden]]&amp;IF(tblEjecucion[[#This Row],[operacion]]="","0010",tblEjecucion[[#This Row],[operacion]])</f>
        <v/>
      </c>
      <c r="B160" s="3" t="inlineStr">
        <is>
          <t>OT-000908</t>
        </is>
      </c>
      <c r="C160" s="3" t="inlineStr">
        <is>
          <t>0010</t>
        </is>
      </c>
      <c r="D160" s="3" t="inlineStr">
        <is>
          <t>EJEC</t>
        </is>
      </c>
      <c r="E160" s="3" t="inlineStr">
        <is>
          <t>3-BAJA</t>
        </is>
      </c>
      <c r="F160" s="3" t="inlineStr">
        <is>
          <t>PARADO</t>
        </is>
      </c>
      <c r="G160" s="10" t="n">
        <v>64</v>
      </c>
      <c r="H160" s="10" t="n">
        <v>0</v>
      </c>
      <c r="I160" s="10" t="n">
        <v>160</v>
      </c>
      <c r="J160" s="3" t="inlineStr">
        <is>
          <t>EN EJECUCION</t>
        </is>
      </c>
    </row>
    <row r="161">
      <c r="A161" s="3">
        <f>tblEjecucion[[#This Row],[orden]]&amp;IF(tblEjecucion[[#This Row],[operacion]]="","0010",tblEjecucion[[#This Row],[operacion]])</f>
        <v/>
      </c>
      <c r="B161" s="3" t="inlineStr">
        <is>
          <t>OT-000909</t>
        </is>
      </c>
      <c r="C161" s="3" t="inlineStr">
        <is>
          <t>0010</t>
        </is>
      </c>
      <c r="D161" s="3" t="inlineStr">
        <is>
          <t>EJEC</t>
        </is>
      </c>
      <c r="E161" s="3" t="inlineStr">
        <is>
          <t>1-ALTA</t>
        </is>
      </c>
      <c r="F161" s="3" t="inlineStr">
        <is>
          <t>OPERATIVO</t>
        </is>
      </c>
      <c r="G161" s="10" t="n">
        <v>64</v>
      </c>
      <c r="H161" s="10" t="n">
        <v>0</v>
      </c>
      <c r="I161" s="10" t="n">
        <v>160</v>
      </c>
      <c r="J161" s="3" t="inlineStr">
        <is>
          <t>EN EJECUCION</t>
        </is>
      </c>
    </row>
    <row r="162">
      <c r="A162" s="3">
        <f>tblEjecucion[[#This Row],[orden]]&amp;IF(tblEjecucion[[#This Row],[operacion]]="","0010",tblEjecucion[[#This Row],[operacion]])</f>
        <v/>
      </c>
      <c r="B162" s="3" t="inlineStr">
        <is>
          <t>OT-000194</t>
        </is>
      </c>
      <c r="C162" s="3" t="inlineStr">
        <is>
          <t>0010</t>
        </is>
      </c>
      <c r="D162" s="3" t="inlineStr">
        <is>
          <t>ABIE</t>
        </is>
      </c>
      <c r="E162" s="3" t="inlineStr">
        <is>
          <t>2-MEDIA</t>
        </is>
      </c>
      <c r="F162" s="3" t="inlineStr">
        <is>
          <t>PARADO</t>
        </is>
      </c>
      <c r="G162" s="10" t="n">
        <v>32</v>
      </c>
      <c r="H162" s="10" t="n">
        <v>0</v>
      </c>
      <c r="I162" s="10" t="n">
        <v>80</v>
      </c>
      <c r="J162" s="3" t="inlineStr">
        <is>
          <t>ABIERTA</t>
        </is>
      </c>
    </row>
    <row r="163">
      <c r="A163" s="3">
        <f>tblEjecucion[[#This Row],[orden]]&amp;IF(tblEjecucion[[#This Row],[operacion]]="","0010",tblEjecucion[[#This Row],[operacion]])</f>
        <v/>
      </c>
      <c r="B163" s="3" t="inlineStr">
        <is>
          <t>OT-000195</t>
        </is>
      </c>
      <c r="C163" s="3" t="inlineStr">
        <is>
          <t>0010</t>
        </is>
      </c>
      <c r="D163" s="3" t="inlineStr">
        <is>
          <t>EJEC</t>
        </is>
      </c>
      <c r="E163" s="3" t="inlineStr">
        <is>
          <t>3-BAJA</t>
        </is>
      </c>
      <c r="F163" s="3" t="inlineStr">
        <is>
          <t>OPERATIVO</t>
        </is>
      </c>
      <c r="G163" s="10" t="n">
        <v>32</v>
      </c>
      <c r="H163" s="10" t="n">
        <v>0</v>
      </c>
      <c r="I163" s="10" t="n">
        <v>80</v>
      </c>
      <c r="J163" s="3" t="inlineStr">
        <is>
          <t>EN EJECUCION</t>
        </is>
      </c>
    </row>
    <row r="164">
      <c r="A164" s="3">
        <f>tblEjecucion[[#This Row],[orden]]&amp;IF(tblEjecucion[[#This Row],[operacion]]="","0010",tblEjecucion[[#This Row],[operacion]])</f>
        <v/>
      </c>
      <c r="B164" s="3" t="inlineStr">
        <is>
          <t>OT-000196</t>
        </is>
      </c>
      <c r="C164" s="3" t="inlineStr">
        <is>
          <t>0010</t>
        </is>
      </c>
      <c r="D164" s="3" t="inlineStr">
        <is>
          <t>ABIE</t>
        </is>
      </c>
      <c r="E164" s="3" t="inlineStr">
        <is>
          <t>1-ALTA</t>
        </is>
      </c>
      <c r="F164" s="3" t="inlineStr">
        <is>
          <t>PARADO</t>
        </is>
      </c>
      <c r="G164" s="10" t="n">
        <v>32</v>
      </c>
      <c r="H164" s="10" t="n">
        <v>0</v>
      </c>
      <c r="I164" s="10" t="n">
        <v>80</v>
      </c>
      <c r="J164" s="3" t="inlineStr">
        <is>
          <t>ABIERTA</t>
        </is>
      </c>
    </row>
    <row r="165">
      <c r="A165" s="3">
        <f>tblEjecucion[[#This Row],[orden]]&amp;IF(tblEjecucion[[#This Row],[operacion]]="","0010",tblEjecucion[[#This Row],[operacion]])</f>
        <v/>
      </c>
      <c r="B165" s="3" t="inlineStr">
        <is>
          <t>OT-000197</t>
        </is>
      </c>
      <c r="C165" s="3" t="inlineStr">
        <is>
          <t>0010</t>
        </is>
      </c>
      <c r="D165" s="3" t="inlineStr">
        <is>
          <t>EJEC</t>
        </is>
      </c>
      <c r="E165" s="3" t="inlineStr">
        <is>
          <t>2-MEDIA</t>
        </is>
      </c>
      <c r="F165" s="3" t="inlineStr">
        <is>
          <t>OPERATIVO</t>
        </is>
      </c>
      <c r="G165" s="10" t="n">
        <v>32</v>
      </c>
      <c r="H165" s="10" t="n">
        <v>0</v>
      </c>
      <c r="I165" s="10" t="n">
        <v>80</v>
      </c>
      <c r="J165" s="3" t="inlineStr">
        <is>
          <t>EN EJECUCION</t>
        </is>
      </c>
    </row>
    <row r="166">
      <c r="A166" s="3">
        <f>tblEjecucion[[#This Row],[orden]]&amp;IF(tblEjecucion[[#This Row],[operacion]]="","0010",tblEjecucion[[#This Row],[operacion]])</f>
        <v/>
      </c>
      <c r="B166" s="3" t="inlineStr">
        <is>
          <t>OT-000198</t>
        </is>
      </c>
      <c r="C166" s="3" t="inlineStr">
        <is>
          <t>0010</t>
        </is>
      </c>
      <c r="D166" s="3" t="inlineStr">
        <is>
          <t>ABIE</t>
        </is>
      </c>
      <c r="E166" s="3" t="inlineStr">
        <is>
          <t>3-BAJA</t>
        </is>
      </c>
      <c r="F166" s="3" t="inlineStr">
        <is>
          <t>PARADO</t>
        </is>
      </c>
      <c r="G166" s="10" t="n">
        <v>32</v>
      </c>
      <c r="H166" s="10" t="n">
        <v>0</v>
      </c>
      <c r="I166" s="10" t="n">
        <v>80</v>
      </c>
      <c r="J166" s="3" t="inlineStr">
        <is>
          <t>ABIERTA</t>
        </is>
      </c>
    </row>
    <row r="167">
      <c r="A167" s="3">
        <f>tblEjecucion[[#This Row],[orden]]&amp;IF(tblEjecucion[[#This Row],[operacion]]="","0010",tblEjecucion[[#This Row],[operacion]])</f>
        <v/>
      </c>
      <c r="B167" s="3" t="inlineStr">
        <is>
          <t>OT-000199</t>
        </is>
      </c>
      <c r="C167" s="3" t="inlineStr">
        <is>
          <t>0010</t>
        </is>
      </c>
      <c r="D167" s="3" t="inlineStr">
        <is>
          <t>EJEC</t>
        </is>
      </c>
      <c r="E167" s="3" t="inlineStr">
        <is>
          <t>1-ALTA</t>
        </is>
      </c>
      <c r="F167" s="3" t="inlineStr">
        <is>
          <t>OPERATIVO</t>
        </is>
      </c>
      <c r="G167" s="10" t="n">
        <v>32</v>
      </c>
      <c r="H167" s="10" t="n">
        <v>0</v>
      </c>
      <c r="I167" s="10" t="n">
        <v>80</v>
      </c>
      <c r="J167" s="3" t="inlineStr">
        <is>
          <t>EN EJECUCION</t>
        </is>
      </c>
    </row>
    <row r="168">
      <c r="A168" s="3">
        <f>tblEjecucion[[#This Row],[orden]]&amp;IF(tblEjecucion[[#This Row],[operacion]]="","0010",tblEjecucion[[#This Row],[operacion]])</f>
        <v/>
      </c>
      <c r="B168" s="3" t="inlineStr">
        <is>
          <t>OT-000200</t>
        </is>
      </c>
      <c r="C168" s="3" t="inlineStr">
        <is>
          <t>0010</t>
        </is>
      </c>
      <c r="D168" s="3" t="inlineStr">
        <is>
          <t>ABIE</t>
        </is>
      </c>
      <c r="E168" s="3" t="inlineStr">
        <is>
          <t>2-MEDIA</t>
        </is>
      </c>
      <c r="F168" s="3" t="inlineStr">
        <is>
          <t>PARADO</t>
        </is>
      </c>
      <c r="G168" s="10" t="n">
        <v>32</v>
      </c>
      <c r="H168" s="10" t="n">
        <v>0</v>
      </c>
      <c r="I168" s="10" t="n">
        <v>80</v>
      </c>
      <c r="J168" s="3" t="inlineStr">
        <is>
          <t>ABIERTA</t>
        </is>
      </c>
    </row>
    <row r="169">
      <c r="A169" s="3">
        <f>tblEjecucion[[#This Row],[orden]]&amp;IF(tblEjecucion[[#This Row],[operacion]]="","0010",tblEjecucion[[#This Row],[operacion]])</f>
        <v/>
      </c>
      <c r="B169" s="3" t="inlineStr">
        <is>
          <t>OT-000990</t>
        </is>
      </c>
      <c r="C169" s="3" t="inlineStr">
        <is>
          <t>0010</t>
        </is>
      </c>
      <c r="D169" s="3" t="inlineStr">
        <is>
          <t>LIB</t>
        </is>
      </c>
      <c r="E169" s="3" t="inlineStr">
        <is>
          <t>2-MEDIA</t>
        </is>
      </c>
      <c r="F169" s="3" t="inlineStr">
        <is>
          <t>OPERATIVO</t>
        </is>
      </c>
      <c r="G169" s="10" t="n">
        <v>50</v>
      </c>
      <c r="H169" s="10" t="n">
        <v>0</v>
      </c>
      <c r="I169" s="10" t="n">
        <v>150</v>
      </c>
      <c r="J169" s="3" t="inlineStr">
        <is>
          <t>LIBERADA</t>
        </is>
      </c>
    </row>
    <row r="170">
      <c r="A170" s="3">
        <f>tblEjecucion[[#This Row],[orden]]&amp;IF(tblEjecucion[[#This Row],[operacion]]="","0010",tblEjecucion[[#This Row],[operacion]])</f>
        <v/>
      </c>
      <c r="B170" s="3" t="inlineStr">
        <is>
          <t>OT-000991</t>
        </is>
      </c>
      <c r="C170" s="3" t="inlineStr">
        <is>
          <t>0010</t>
        </is>
      </c>
      <c r="D170" s="3" t="inlineStr">
        <is>
          <t>LIB</t>
        </is>
      </c>
      <c r="E170" s="3" t="inlineStr">
        <is>
          <t>2-MEDIA</t>
        </is>
      </c>
      <c r="F170" s="3" t="inlineStr">
        <is>
          <t>OPERATIVO</t>
        </is>
      </c>
      <c r="G170" s="10" t="n">
        <v>50</v>
      </c>
      <c r="H170" s="10" t="n">
        <v>0</v>
      </c>
      <c r="I170" s="10" t="n">
        <v>150</v>
      </c>
      <c r="J170" s="3" t="inlineStr">
        <is>
          <t>LIBERADA</t>
        </is>
      </c>
    </row>
    <row r="171">
      <c r="A171" s="3">
        <f>tblEjecucion[[#This Row],[orden]]&amp;IF(tblEjecucion[[#This Row],[operacion]]="","0010",tblEjecucion[[#This Row],[operacion]])</f>
        <v/>
      </c>
      <c r="B171" s="3" t="inlineStr">
        <is>
          <t>OT-000992</t>
        </is>
      </c>
      <c r="C171" s="3" t="inlineStr">
        <is>
          <t>0010</t>
        </is>
      </c>
      <c r="D171" s="3" t="inlineStr">
        <is>
          <t>LIB</t>
        </is>
      </c>
      <c r="E171" s="3" t="inlineStr">
        <is>
          <t>2-MEDIA</t>
        </is>
      </c>
      <c r="F171" s="3" t="inlineStr">
        <is>
          <t>OPERATIVO</t>
        </is>
      </c>
      <c r="G171" s="10" t="n">
        <v>50</v>
      </c>
      <c r="H171" s="10" t="n">
        <v>0</v>
      </c>
      <c r="I171" s="10" t="n">
        <v>150</v>
      </c>
      <c r="J171" s="3" t="inlineStr">
        <is>
          <t>LIBERADA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AK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0" customWidth="1" min="4" max="4"/>
    <col width="30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2" customWidth="1" min="27" max="27"/>
    <col width="14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</cols>
  <sheetData>
    <row r="1">
      <c r="A1" s="4" t="inlineStr">
        <is>
          <t>ORDENES — tabla madre (tblOrdenes). Azul = editable; el resto se calcula solo.</t>
        </is>
      </c>
    </row>
    <row r="3">
      <c r="A3" s="5" t="inlineStr">
        <is>
          <t>orden</t>
        </is>
      </c>
      <c r="B3" s="5" t="inlineStr">
        <is>
          <t>operacion</t>
        </is>
      </c>
      <c r="C3" s="5" t="inlineStr">
        <is>
          <t>id_operacion</t>
        </is>
      </c>
      <c r="D3" s="5" t="inlineStr">
        <is>
          <t>descripcion_general</t>
        </is>
      </c>
      <c r="E3" s="5" t="inlineStr">
        <is>
          <t>descripcion_operacion</t>
        </is>
      </c>
      <c r="F3" s="5" t="inlineStr">
        <is>
          <t>equipo</t>
        </is>
      </c>
      <c r="G3" s="5" t="inlineStr">
        <is>
          <t>centro_costo</t>
        </is>
      </c>
      <c r="H3" s="5" t="inlineStr">
        <is>
          <t>puesto_trabajo</t>
        </is>
      </c>
      <c r="I3" s="5" t="inlineStr">
        <is>
          <t>cod_actividad</t>
        </is>
      </c>
      <c r="J3" s="5" t="inlineStr">
        <is>
          <t>tipo_ot</t>
        </is>
      </c>
      <c r="K3" s="5" t="inlineStr">
        <is>
          <t>fecha_inicio</t>
        </is>
      </c>
      <c r="L3" s="5" t="inlineStr">
        <is>
          <t>horas_estimadas</t>
        </is>
      </c>
      <c r="M3" s="5" t="inlineStr">
        <is>
          <t>costo_plan</t>
        </is>
      </c>
      <c r="N3" s="5" t="inlineStr">
        <is>
          <t>estado</t>
        </is>
      </c>
      <c r="O3" s="5" t="inlineStr">
        <is>
          <t>semana</t>
        </is>
      </c>
      <c r="P3" s="5" t="inlineStr">
        <is>
          <t>anio</t>
        </is>
      </c>
      <c r="Q3" s="5" t="inlineStr">
        <is>
          <t>mes</t>
        </is>
      </c>
      <c r="R3" s="5" t="inlineStr">
        <is>
          <t>dia_semana</t>
        </is>
      </c>
      <c r="S3" s="5" t="inlineStr">
        <is>
          <t>clasificacion</t>
        </is>
      </c>
      <c r="T3" s="5" t="inlineStr">
        <is>
          <t>linea</t>
        </is>
      </c>
      <c r="U3" s="5" t="inlineStr">
        <is>
          <t>area</t>
        </is>
      </c>
      <c r="V3" s="5" t="inlineStr">
        <is>
          <t>coordinador</t>
        </is>
      </c>
      <c r="W3" s="5" t="inlineStr">
        <is>
          <t>especialidad</t>
        </is>
      </c>
      <c r="X3" s="5" t="inlineStr">
        <is>
          <t>actividad</t>
        </is>
      </c>
      <c r="Y3" s="5" t="inlineStr">
        <is>
          <t>backlog_dias</t>
        </is>
      </c>
      <c r="Z3" s="5" t="inlineStr">
        <is>
          <t>estado_backlog</t>
        </is>
      </c>
      <c r="AA3" s="5" t="inlineStr">
        <is>
          <t>en_plan</t>
        </is>
      </c>
      <c r="AB3" s="5" t="inlineStr">
        <is>
          <t>tecnico_asignado</t>
        </is>
      </c>
      <c r="AC3" s="5" t="inlineStr">
        <is>
          <t>turno_asignado</t>
        </is>
      </c>
      <c r="AD3" s="5" t="inlineStr">
        <is>
          <t>costo_servicio</t>
        </is>
      </c>
      <c r="AE3" s="5" t="inlineStr">
        <is>
          <t>costo_materiales</t>
        </is>
      </c>
      <c r="AF3" s="5" t="inlineStr">
        <is>
          <t>costo_total</t>
        </is>
      </c>
      <c r="AG3" s="5" t="inlineStr">
        <is>
          <t>permiso_requerido</t>
        </is>
      </c>
      <c r="AH3" s="5" t="inlineStr">
        <is>
          <t>bloqueo_energia</t>
        </is>
      </c>
      <c r="AI3" s="5" t="inlineStr">
        <is>
          <t>link_checklist</t>
        </is>
      </c>
      <c r="AJ3" s="5" t="inlineStr">
        <is>
          <t>abrir_checklist</t>
        </is>
      </c>
      <c r="AK3" s="5" t="inlineStr">
        <is>
          <t>observaciones</t>
        </is>
      </c>
    </row>
    <row r="4">
      <c r="A4" s="3" t="inlineStr">
        <is>
          <t>OT-000001</t>
        </is>
      </c>
      <c r="B4" s="3" t="inlineStr">
        <is>
          <t>0010</t>
        </is>
      </c>
      <c r="C4" s="3">
        <f>tblOrdenes[[#This Row],[orden]]&amp;IF(tblOrdenes[[#This Row],[operacion]]="","0010",tblOrdenes[[#This Row],[operacion]])</f>
        <v/>
      </c>
      <c r="D4" s="3" t="inlineStr">
        <is>
          <t>Lubricación programada — EQ-102</t>
        </is>
      </c>
      <c r="E4" s="3" t="inlineStr">
        <is>
          <t>Lubricación programada en EQ-102</t>
        </is>
      </c>
      <c r="F4" s="3" t="inlineStr">
        <is>
          <t>EQ-102</t>
        </is>
      </c>
      <c r="G4" s="3" t="inlineStr">
        <is>
          <t>CC-110</t>
        </is>
      </c>
      <c r="H4" s="3" t="inlineStr">
        <is>
          <t>PU-MEC</t>
        </is>
      </c>
      <c r="I4" s="3" t="inlineStr">
        <is>
          <t>ACT-02</t>
        </is>
      </c>
      <c r="J4" s="3" t="inlineStr">
        <is>
          <t>TIPO-P2</t>
        </is>
      </c>
      <c r="K4" s="11" t="n">
        <v>46209</v>
      </c>
      <c r="L4" s="3" t="n">
        <v>10</v>
      </c>
      <c r="M4" s="10" t="n">
        <v>250</v>
      </c>
      <c r="N4" s="3">
        <f>_xlfn.XLOOKUP(_xlfn.XLOOKUP(tblOrdenes[[#This Row],[id_operacion]],tblEjecucion[id_operacion],tblEjecucion[estado_sistema],""),tblEstados[estado_sistema],tblEstados[estado_normalizado],"Pendiente")</f>
        <v/>
      </c>
      <c r="O4" s="3">
        <f>IF(tblOrdenes[[#This Row],[fecha_inicio]]="","","S"&amp;IF(_xlfn.ISOWEEKNUM(tblOrdenes[[#This Row],[fecha_inicio]])=53,1,_xlfn.ISOWEEKNUM(tblOrdenes[[#This Row],[fecha_inicio]])))</f>
        <v/>
      </c>
      <c r="P4" s="3">
        <f>IF(tblOrdenes[[#This Row],[fecha_inicio]]="","",YEAR(tblOrdenes[[#This Row],[fecha_inicio]]))</f>
        <v/>
      </c>
      <c r="Q4" s="3">
        <f>IF(tblOrdenes[[#This Row],[fecha_inicio]]="","",MONTH(tblOrdenes[[#This Row],[fecha_inicio]]))</f>
        <v/>
      </c>
      <c r="R4" s="3">
        <f>IF(tblOrdenes[[#This Row],[fecha_inicio]]="","",INDEX(lista_dias,WEEKDAY(tblOrdenes[[#This Row],[fecha_inicio]],2)))</f>
        <v/>
      </c>
      <c r="S4" s="3">
        <f>_xlfn.XLOOKUP(tblOrdenes[[#This Row],[tipo_ot]],tblTiposOT[codigo],tblTiposOT[clasificacion],"sin_clasificar")</f>
        <v/>
      </c>
      <c r="T4" s="3">
        <f>_xlfn.XLOOKUP(tblOrdenes[[#This Row],[centro_costo]],tblCECO[codigo],tblCECO[linea],"(sin catálogo)")</f>
        <v/>
      </c>
      <c r="U4" s="3">
        <f>_xlfn.XLOOKUP(tblOrdenes[[#This Row],[centro_costo]],tblCECO[codigo],tblCECO[area],"(sin catálogo)")</f>
        <v/>
      </c>
      <c r="V4" s="3">
        <f>_xlfn.XLOOKUP(tblOrdenes[[#This Row],[centro_costo]],tblCECO[codigo],tblCECO[coordinador],"(sin catálogo)")</f>
        <v/>
      </c>
      <c r="W4" s="3">
        <f>_xlfn.XLOOKUP(tblOrdenes[[#This Row],[puesto_trabajo]],tblPuestos[codigo],tblPuestos[especialidad],"(sin catálogo)")</f>
        <v/>
      </c>
      <c r="X4" s="3">
        <f>_xlfn.XLOOKUP(tblOrdenes[[#This Row],[cod_actividad]],tblActividades[codigo],tblActividades[descripcion],"(sin catálogo)")</f>
        <v/>
      </c>
      <c r="Y4" s="12">
        <f>IF(tblOrdenes[[#This Row],[fecha_inicio]]="","",TODAY()-tblOrdenes[[#This Row],[fecha_inicio]])</f>
        <v/>
      </c>
      <c r="Z4" s="3">
        <f>IF(tblOrdenes[[#This Row],[backlog_dias]]="","",IF(tblOrdenes[[#This Row],[backlog_dias]]&lt;0,"FUTURO",IF(tblOrdenes[[#This Row],[backlog_dias]]&gt;p_dias_backlog_max,"BACKLOG","MES CORRIENTE")))</f>
        <v/>
      </c>
      <c r="AA4" s="3">
        <f>IF(tblOrdenes[[#This Row],[backlog_dias]]="",FALSE,AND(tblOrdenes[[#This Row],[backlog_dias]]&gt;p_dias_backlog_min,tblOrdenes[[#This Row],[backlog_dias]]&lt;=p_dias_backlog_max))</f>
        <v/>
      </c>
      <c r="AB4" s="6" t="inlineStr">
        <is>
          <t>Técnico 01</t>
        </is>
      </c>
      <c r="AC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" s="10">
        <f>_xlfn.XLOOKUP(tblOrdenes[[#This Row],[id_operacion]],tblEjecucion[id_operacion],tblEjecucion[precio],0)</f>
        <v/>
      </c>
      <c r="AE4" s="10">
        <f>MAX(0,_xlfn.XLOOKUP(tblOrdenes[[#This Row],[id_operacion]],tblEjecucion[id_operacion],tblEjecucion[costo_plan_total],0)-tblOrdenes[[#This Row],[costo_servicio]])</f>
        <v/>
      </c>
      <c r="AF4" s="10">
        <f>tblOrdenes[[#This Row],[costo_servicio]]+tblOrdenes[[#This Row],[costo_materiales]]</f>
        <v/>
      </c>
      <c r="AG4" s="6" t="inlineStr"/>
      <c r="AH4" s="6" t="inlineStr"/>
      <c r="AI4" s="6" t="inlineStr">
        <is>
          <t>ACT-02.pdf</t>
        </is>
      </c>
      <c r="AJ4" s="3">
        <f>IF(tblOrdenes[[#This Row],[link_checklist]]="","",HYPERLINK(p_ruta_base_checklists&amp;tblOrdenes[[#This Row],[link_checklist]],"abrir"))</f>
        <v/>
      </c>
      <c r="AK4" s="6" t="inlineStr"/>
    </row>
    <row r="5">
      <c r="A5" s="3" t="inlineStr">
        <is>
          <t>OT-000002</t>
        </is>
      </c>
      <c r="B5" s="3" t="inlineStr">
        <is>
          <t>0010</t>
        </is>
      </c>
      <c r="C5" s="3">
        <f>tblOrdenes[[#This Row],[orden]]&amp;IF(tblOrdenes[[#This Row],[operacion]]="","0010",tblOrdenes[[#This Row],[operacion]])</f>
        <v/>
      </c>
      <c r="D5" s="3" t="inlineStr">
        <is>
          <t>Análisis predictivo — EQ-108</t>
        </is>
      </c>
      <c r="E5" s="3" t="inlineStr">
        <is>
          <t>Análisis predictivo en EQ-108</t>
        </is>
      </c>
      <c r="F5" s="3" t="inlineStr">
        <is>
          <t>EQ-108</t>
        </is>
      </c>
      <c r="G5" s="3" t="inlineStr">
        <is>
          <t>CC-210</t>
        </is>
      </c>
      <c r="H5" s="3" t="inlineStr">
        <is>
          <t>PU-MEC</t>
        </is>
      </c>
      <c r="I5" s="3" t="inlineStr">
        <is>
          <t>ACT-04</t>
        </is>
      </c>
      <c r="J5" s="3" t="inlineStr">
        <is>
          <t>TIPO-P1</t>
        </is>
      </c>
      <c r="K5" s="11" t="n">
        <v>46210</v>
      </c>
      <c r="L5" s="3" t="n">
        <v>8</v>
      </c>
      <c r="M5" s="10" t="n">
        <v>200</v>
      </c>
      <c r="N5" s="3">
        <f>_xlfn.XLOOKUP(_xlfn.XLOOKUP(tblOrdenes[[#This Row],[id_operacion]],tblEjecucion[id_operacion],tblEjecucion[estado_sistema],""),tblEstados[estado_sistema],tblEstados[estado_normalizado],"Pendiente")</f>
        <v/>
      </c>
      <c r="O5" s="3">
        <f>IF(tblOrdenes[[#This Row],[fecha_inicio]]="","","S"&amp;IF(_xlfn.ISOWEEKNUM(tblOrdenes[[#This Row],[fecha_inicio]])=53,1,_xlfn.ISOWEEKNUM(tblOrdenes[[#This Row],[fecha_inicio]])))</f>
        <v/>
      </c>
      <c r="P5" s="3">
        <f>IF(tblOrdenes[[#This Row],[fecha_inicio]]="","",YEAR(tblOrdenes[[#This Row],[fecha_inicio]]))</f>
        <v/>
      </c>
      <c r="Q5" s="3">
        <f>IF(tblOrdenes[[#This Row],[fecha_inicio]]="","",MONTH(tblOrdenes[[#This Row],[fecha_inicio]]))</f>
        <v/>
      </c>
      <c r="R5" s="3">
        <f>IF(tblOrdenes[[#This Row],[fecha_inicio]]="","",INDEX(lista_dias,WEEKDAY(tblOrdenes[[#This Row],[fecha_inicio]],2)))</f>
        <v/>
      </c>
      <c r="S5" s="3">
        <f>_xlfn.XLOOKUP(tblOrdenes[[#This Row],[tipo_ot]],tblTiposOT[codigo],tblTiposOT[clasificacion],"sin_clasificar")</f>
        <v/>
      </c>
      <c r="T5" s="3">
        <f>_xlfn.XLOOKUP(tblOrdenes[[#This Row],[centro_costo]],tblCECO[codigo],tblCECO[linea],"(sin catálogo)")</f>
        <v/>
      </c>
      <c r="U5" s="3">
        <f>_xlfn.XLOOKUP(tblOrdenes[[#This Row],[centro_costo]],tblCECO[codigo],tblCECO[area],"(sin catálogo)")</f>
        <v/>
      </c>
      <c r="V5" s="3">
        <f>_xlfn.XLOOKUP(tblOrdenes[[#This Row],[centro_costo]],tblCECO[codigo],tblCECO[coordinador],"(sin catálogo)")</f>
        <v/>
      </c>
      <c r="W5" s="3">
        <f>_xlfn.XLOOKUP(tblOrdenes[[#This Row],[puesto_trabajo]],tblPuestos[codigo],tblPuestos[especialidad],"(sin catálogo)")</f>
        <v/>
      </c>
      <c r="X5" s="3">
        <f>_xlfn.XLOOKUP(tblOrdenes[[#This Row],[cod_actividad]],tblActividades[codigo],tblActividades[descripcion],"(sin catálogo)")</f>
        <v/>
      </c>
      <c r="Y5" s="12">
        <f>IF(tblOrdenes[[#This Row],[fecha_inicio]]="","",TODAY()-tblOrdenes[[#This Row],[fecha_inicio]])</f>
        <v/>
      </c>
      <c r="Z5" s="3">
        <f>IF(tblOrdenes[[#This Row],[backlog_dias]]="","",IF(tblOrdenes[[#This Row],[backlog_dias]]&lt;0,"FUTURO",IF(tblOrdenes[[#This Row],[backlog_dias]]&gt;p_dias_backlog_max,"BACKLOG","MES CORRIENTE")))</f>
        <v/>
      </c>
      <c r="AA5" s="3">
        <f>IF(tblOrdenes[[#This Row],[backlog_dias]]="",FALSE,AND(tblOrdenes[[#This Row],[backlog_dias]]&gt;p_dias_backlog_min,tblOrdenes[[#This Row],[backlog_dias]]&lt;=p_dias_backlog_max))</f>
        <v/>
      </c>
      <c r="AB5" s="6" t="inlineStr">
        <is>
          <t>Técnico 02</t>
        </is>
      </c>
      <c r="AC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" s="10">
        <f>_xlfn.XLOOKUP(tblOrdenes[[#This Row],[id_operacion]],tblEjecucion[id_operacion],tblEjecucion[precio],0)</f>
        <v/>
      </c>
      <c r="AE5" s="10">
        <f>MAX(0,_xlfn.XLOOKUP(tblOrdenes[[#This Row],[id_operacion]],tblEjecucion[id_operacion],tblEjecucion[costo_plan_total],0)-tblOrdenes[[#This Row],[costo_servicio]])</f>
        <v/>
      </c>
      <c r="AF5" s="10">
        <f>tblOrdenes[[#This Row],[costo_servicio]]+tblOrdenes[[#This Row],[costo_materiales]]</f>
        <v/>
      </c>
      <c r="AG5" s="6" t="inlineStr"/>
      <c r="AH5" s="6" t="inlineStr"/>
      <c r="AI5" s="6" t="inlineStr">
        <is>
          <t>ACT-04.pdf</t>
        </is>
      </c>
      <c r="AJ5" s="3">
        <f>IF(tblOrdenes[[#This Row],[link_checklist]]="","",HYPERLINK(p_ruta_base_checklists&amp;tblOrdenes[[#This Row],[link_checklist]],"abrir"))</f>
        <v/>
      </c>
      <c r="AK5" s="6" t="inlineStr"/>
    </row>
    <row r="6">
      <c r="A6" s="3" t="inlineStr">
        <is>
          <t>OT-000003</t>
        </is>
      </c>
      <c r="B6" s="3" t="inlineStr">
        <is>
          <t>0010</t>
        </is>
      </c>
      <c r="C6" s="3">
        <f>tblOrdenes[[#This Row],[orden]]&amp;IF(tblOrdenes[[#This Row],[operacion]]="","0010",tblOrdenes[[#This Row],[operacion]])</f>
        <v/>
      </c>
      <c r="D6" s="3" t="inlineStr">
        <is>
          <t>Inspección de rutina — EQ-110</t>
        </is>
      </c>
      <c r="E6" s="3" t="inlineStr">
        <is>
          <t>Inspección de rutina en EQ-110</t>
        </is>
      </c>
      <c r="F6" s="3" t="inlineStr">
        <is>
          <t>EQ-110</t>
        </is>
      </c>
      <c r="G6" s="3" t="inlineStr">
        <is>
          <t>CC-310</t>
        </is>
      </c>
      <c r="H6" s="3" t="inlineStr">
        <is>
          <t>PU-MEC</t>
        </is>
      </c>
      <c r="I6" s="3" t="inlineStr">
        <is>
          <t>ACT-01</t>
        </is>
      </c>
      <c r="J6" s="3" t="inlineStr">
        <is>
          <t>TIPO-P2</t>
        </is>
      </c>
      <c r="K6" s="11" t="n">
        <v>46211</v>
      </c>
      <c r="L6" s="3" t="n">
        <v>6</v>
      </c>
      <c r="M6" s="10" t="n">
        <v>150</v>
      </c>
      <c r="N6" s="3">
        <f>_xlfn.XLOOKUP(_xlfn.XLOOKUP(tblOrdenes[[#This Row],[id_operacion]],tblEjecucion[id_operacion],tblEjecucion[estado_sistema],""),tblEstados[estado_sistema],tblEstados[estado_normalizado],"Pendiente")</f>
        <v/>
      </c>
      <c r="O6" s="3">
        <f>IF(tblOrdenes[[#This Row],[fecha_inicio]]="","","S"&amp;IF(_xlfn.ISOWEEKNUM(tblOrdenes[[#This Row],[fecha_inicio]])=53,1,_xlfn.ISOWEEKNUM(tblOrdenes[[#This Row],[fecha_inicio]])))</f>
        <v/>
      </c>
      <c r="P6" s="3">
        <f>IF(tblOrdenes[[#This Row],[fecha_inicio]]="","",YEAR(tblOrdenes[[#This Row],[fecha_inicio]]))</f>
        <v/>
      </c>
      <c r="Q6" s="3">
        <f>IF(tblOrdenes[[#This Row],[fecha_inicio]]="","",MONTH(tblOrdenes[[#This Row],[fecha_inicio]]))</f>
        <v/>
      </c>
      <c r="R6" s="3">
        <f>IF(tblOrdenes[[#This Row],[fecha_inicio]]="","",INDEX(lista_dias,WEEKDAY(tblOrdenes[[#This Row],[fecha_inicio]],2)))</f>
        <v/>
      </c>
      <c r="S6" s="3">
        <f>_xlfn.XLOOKUP(tblOrdenes[[#This Row],[tipo_ot]],tblTiposOT[codigo],tblTiposOT[clasificacion],"sin_clasificar")</f>
        <v/>
      </c>
      <c r="T6" s="3">
        <f>_xlfn.XLOOKUP(tblOrdenes[[#This Row],[centro_costo]],tblCECO[codigo],tblCECO[linea],"(sin catálogo)")</f>
        <v/>
      </c>
      <c r="U6" s="3">
        <f>_xlfn.XLOOKUP(tblOrdenes[[#This Row],[centro_costo]],tblCECO[codigo],tblCECO[area],"(sin catálogo)")</f>
        <v/>
      </c>
      <c r="V6" s="3">
        <f>_xlfn.XLOOKUP(tblOrdenes[[#This Row],[centro_costo]],tblCECO[codigo],tblCECO[coordinador],"(sin catálogo)")</f>
        <v/>
      </c>
      <c r="W6" s="3">
        <f>_xlfn.XLOOKUP(tblOrdenes[[#This Row],[puesto_trabajo]],tblPuestos[codigo],tblPuestos[especialidad],"(sin catálogo)")</f>
        <v/>
      </c>
      <c r="X6" s="3">
        <f>_xlfn.XLOOKUP(tblOrdenes[[#This Row],[cod_actividad]],tblActividades[codigo],tblActividades[descripcion],"(sin catálogo)")</f>
        <v/>
      </c>
      <c r="Y6" s="12">
        <f>IF(tblOrdenes[[#This Row],[fecha_inicio]]="","",TODAY()-tblOrdenes[[#This Row],[fecha_inicio]])</f>
        <v/>
      </c>
      <c r="Z6" s="3">
        <f>IF(tblOrdenes[[#This Row],[backlog_dias]]="","",IF(tblOrdenes[[#This Row],[backlog_dias]]&lt;0,"FUTURO",IF(tblOrdenes[[#This Row],[backlog_dias]]&gt;p_dias_backlog_max,"BACKLOG","MES CORRIENTE")))</f>
        <v/>
      </c>
      <c r="AA6" s="3">
        <f>IF(tblOrdenes[[#This Row],[backlog_dias]]="",FALSE,AND(tblOrdenes[[#This Row],[backlog_dias]]&gt;p_dias_backlog_min,tblOrdenes[[#This Row],[backlog_dias]]&lt;=p_dias_backlog_max))</f>
        <v/>
      </c>
      <c r="AB6" s="6" t="inlineStr">
        <is>
          <t>Técnico 03</t>
        </is>
      </c>
      <c r="AC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" s="10">
        <f>_xlfn.XLOOKUP(tblOrdenes[[#This Row],[id_operacion]],tblEjecucion[id_operacion],tblEjecucion[precio],0)</f>
        <v/>
      </c>
      <c r="AE6" s="10">
        <f>MAX(0,_xlfn.XLOOKUP(tblOrdenes[[#This Row],[id_operacion]],tblEjecucion[id_operacion],tblEjecucion[costo_plan_total],0)-tblOrdenes[[#This Row],[costo_servicio]])</f>
        <v/>
      </c>
      <c r="AF6" s="10">
        <f>tblOrdenes[[#This Row],[costo_servicio]]+tblOrdenes[[#This Row],[costo_materiales]]</f>
        <v/>
      </c>
      <c r="AG6" s="6" t="inlineStr"/>
      <c r="AH6" s="6" t="inlineStr"/>
      <c r="AI6" s="6" t="inlineStr">
        <is>
          <t>ACT-01.pdf</t>
        </is>
      </c>
      <c r="AJ6" s="3">
        <f>IF(tblOrdenes[[#This Row],[link_checklist]]="","",HYPERLINK(p_ruta_base_checklists&amp;tblOrdenes[[#This Row],[link_checklist]],"abrir"))</f>
        <v/>
      </c>
      <c r="AK6" s="6" t="inlineStr"/>
    </row>
    <row r="7">
      <c r="A7" s="3" t="inlineStr">
        <is>
          <t>OT-000004</t>
        </is>
      </c>
      <c r="B7" s="3" t="inlineStr">
        <is>
          <t>0010</t>
        </is>
      </c>
      <c r="C7" s="3">
        <f>tblOrdenes[[#This Row],[orden]]&amp;IF(tblOrdenes[[#This Row],[operacion]]="","0010",tblOrdenes[[#This Row],[operacion]])</f>
        <v/>
      </c>
      <c r="D7" s="3" t="inlineStr">
        <is>
          <t>Lubricación programada — EQ-105</t>
        </is>
      </c>
      <c r="E7" s="3" t="inlineStr">
        <is>
          <t>Lubricación programada en EQ-105</t>
        </is>
      </c>
      <c r="F7" s="3" t="inlineStr">
        <is>
          <t>EQ-105</t>
        </is>
      </c>
      <c r="G7" s="3" t="inlineStr">
        <is>
          <t>CC-110</t>
        </is>
      </c>
      <c r="H7" s="3" t="inlineStr">
        <is>
          <t>PU-MEC</t>
        </is>
      </c>
      <c r="I7" s="3" t="inlineStr">
        <is>
          <t>ACT-02</t>
        </is>
      </c>
      <c r="J7" s="3" t="inlineStr">
        <is>
          <t>TIPO-P1</t>
        </is>
      </c>
      <c r="K7" s="11" t="n">
        <v>46212</v>
      </c>
      <c r="L7" s="3" t="n">
        <v>10</v>
      </c>
      <c r="M7" s="10" t="n">
        <v>250</v>
      </c>
      <c r="N7" s="3">
        <f>_xlfn.XLOOKUP(_xlfn.XLOOKUP(tblOrdenes[[#This Row],[id_operacion]],tblEjecucion[id_operacion],tblEjecucion[estado_sistema],""),tblEstados[estado_sistema],tblEstados[estado_normalizado],"Pendiente")</f>
        <v/>
      </c>
      <c r="O7" s="3">
        <f>IF(tblOrdenes[[#This Row],[fecha_inicio]]="","","S"&amp;IF(_xlfn.ISOWEEKNUM(tblOrdenes[[#This Row],[fecha_inicio]])=53,1,_xlfn.ISOWEEKNUM(tblOrdenes[[#This Row],[fecha_inicio]])))</f>
        <v/>
      </c>
      <c r="P7" s="3">
        <f>IF(tblOrdenes[[#This Row],[fecha_inicio]]="","",YEAR(tblOrdenes[[#This Row],[fecha_inicio]]))</f>
        <v/>
      </c>
      <c r="Q7" s="3">
        <f>IF(tblOrdenes[[#This Row],[fecha_inicio]]="","",MONTH(tblOrdenes[[#This Row],[fecha_inicio]]))</f>
        <v/>
      </c>
      <c r="R7" s="3">
        <f>IF(tblOrdenes[[#This Row],[fecha_inicio]]="","",INDEX(lista_dias,WEEKDAY(tblOrdenes[[#This Row],[fecha_inicio]],2)))</f>
        <v/>
      </c>
      <c r="S7" s="3">
        <f>_xlfn.XLOOKUP(tblOrdenes[[#This Row],[tipo_ot]],tblTiposOT[codigo],tblTiposOT[clasificacion],"sin_clasificar")</f>
        <v/>
      </c>
      <c r="T7" s="3">
        <f>_xlfn.XLOOKUP(tblOrdenes[[#This Row],[centro_costo]],tblCECO[codigo],tblCECO[linea],"(sin catálogo)")</f>
        <v/>
      </c>
      <c r="U7" s="3">
        <f>_xlfn.XLOOKUP(tblOrdenes[[#This Row],[centro_costo]],tblCECO[codigo],tblCECO[area],"(sin catálogo)")</f>
        <v/>
      </c>
      <c r="V7" s="3">
        <f>_xlfn.XLOOKUP(tblOrdenes[[#This Row],[centro_costo]],tblCECO[codigo],tblCECO[coordinador],"(sin catálogo)")</f>
        <v/>
      </c>
      <c r="W7" s="3">
        <f>_xlfn.XLOOKUP(tblOrdenes[[#This Row],[puesto_trabajo]],tblPuestos[codigo],tblPuestos[especialidad],"(sin catálogo)")</f>
        <v/>
      </c>
      <c r="X7" s="3">
        <f>_xlfn.XLOOKUP(tblOrdenes[[#This Row],[cod_actividad]],tblActividades[codigo],tblActividades[descripcion],"(sin catálogo)")</f>
        <v/>
      </c>
      <c r="Y7" s="12">
        <f>IF(tblOrdenes[[#This Row],[fecha_inicio]]="","",TODAY()-tblOrdenes[[#This Row],[fecha_inicio]])</f>
        <v/>
      </c>
      <c r="Z7" s="3">
        <f>IF(tblOrdenes[[#This Row],[backlog_dias]]="","",IF(tblOrdenes[[#This Row],[backlog_dias]]&lt;0,"FUTURO",IF(tblOrdenes[[#This Row],[backlog_dias]]&gt;p_dias_backlog_max,"BACKLOG","MES CORRIENTE")))</f>
        <v/>
      </c>
      <c r="AA7" s="3">
        <f>IF(tblOrdenes[[#This Row],[backlog_dias]]="",FALSE,AND(tblOrdenes[[#This Row],[backlog_dias]]&gt;p_dias_backlog_min,tblOrdenes[[#This Row],[backlog_dias]]&lt;=p_dias_backlog_max))</f>
        <v/>
      </c>
      <c r="AB7" s="6" t="inlineStr">
        <is>
          <t>Técnico 04</t>
        </is>
      </c>
      <c r="AC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" s="10">
        <f>_xlfn.XLOOKUP(tblOrdenes[[#This Row],[id_operacion]],tblEjecucion[id_operacion],tblEjecucion[precio],0)</f>
        <v/>
      </c>
      <c r="AE7" s="10">
        <f>MAX(0,_xlfn.XLOOKUP(tblOrdenes[[#This Row],[id_operacion]],tblEjecucion[id_operacion],tblEjecucion[costo_plan_total],0)-tblOrdenes[[#This Row],[costo_servicio]])</f>
        <v/>
      </c>
      <c r="AF7" s="10">
        <f>tblOrdenes[[#This Row],[costo_servicio]]+tblOrdenes[[#This Row],[costo_materiales]]</f>
        <v/>
      </c>
      <c r="AG7" s="6" t="inlineStr"/>
      <c r="AH7" s="6" t="inlineStr"/>
      <c r="AI7" s="6" t="inlineStr">
        <is>
          <t>ACT-02.pdf</t>
        </is>
      </c>
      <c r="AJ7" s="3">
        <f>IF(tblOrdenes[[#This Row],[link_checklist]]="","",HYPERLINK(p_ruta_base_checklists&amp;tblOrdenes[[#This Row],[link_checklist]],"abrir"))</f>
        <v/>
      </c>
      <c r="AK7" s="6" t="inlineStr"/>
    </row>
    <row r="8">
      <c r="A8" s="3" t="inlineStr">
        <is>
          <t>OT-000005</t>
        </is>
      </c>
      <c r="B8" s="3" t="inlineStr">
        <is>
          <t>0010</t>
        </is>
      </c>
      <c r="C8" s="3">
        <f>tblOrdenes[[#This Row],[orden]]&amp;IF(tblOrdenes[[#This Row],[operacion]]="","0010",tblOrdenes[[#This Row],[operacion]])</f>
        <v/>
      </c>
      <c r="D8" s="3" t="inlineStr">
        <is>
          <t>Análisis predictivo — EQ-107</t>
        </is>
      </c>
      <c r="E8" s="3" t="inlineStr">
        <is>
          <t>Análisis predictivo en EQ-107</t>
        </is>
      </c>
      <c r="F8" s="3" t="inlineStr">
        <is>
          <t>EQ-107</t>
        </is>
      </c>
      <c r="G8" s="3" t="inlineStr">
        <is>
          <t>CC-210</t>
        </is>
      </c>
      <c r="H8" s="3" t="inlineStr">
        <is>
          <t>PU-MEC</t>
        </is>
      </c>
      <c r="I8" s="3" t="inlineStr">
        <is>
          <t>ACT-04</t>
        </is>
      </c>
      <c r="J8" s="3" t="inlineStr">
        <is>
          <t>TIPO-P2</t>
        </is>
      </c>
      <c r="K8" s="11" t="n">
        <v>46213</v>
      </c>
      <c r="L8" s="3" t="n">
        <v>8</v>
      </c>
      <c r="M8" s="10" t="n">
        <v>200</v>
      </c>
      <c r="N8" s="3">
        <f>_xlfn.XLOOKUP(_xlfn.XLOOKUP(tblOrdenes[[#This Row],[id_operacion]],tblEjecucion[id_operacion],tblEjecucion[estado_sistema],""),tblEstados[estado_sistema],tblEstados[estado_normalizado],"Pendiente")</f>
        <v/>
      </c>
      <c r="O8" s="3">
        <f>IF(tblOrdenes[[#This Row],[fecha_inicio]]="","","S"&amp;IF(_xlfn.ISOWEEKNUM(tblOrdenes[[#This Row],[fecha_inicio]])=53,1,_xlfn.ISOWEEKNUM(tblOrdenes[[#This Row],[fecha_inicio]])))</f>
        <v/>
      </c>
      <c r="P8" s="3">
        <f>IF(tblOrdenes[[#This Row],[fecha_inicio]]="","",YEAR(tblOrdenes[[#This Row],[fecha_inicio]]))</f>
        <v/>
      </c>
      <c r="Q8" s="3">
        <f>IF(tblOrdenes[[#This Row],[fecha_inicio]]="","",MONTH(tblOrdenes[[#This Row],[fecha_inicio]]))</f>
        <v/>
      </c>
      <c r="R8" s="3">
        <f>IF(tblOrdenes[[#This Row],[fecha_inicio]]="","",INDEX(lista_dias,WEEKDAY(tblOrdenes[[#This Row],[fecha_inicio]],2)))</f>
        <v/>
      </c>
      <c r="S8" s="3">
        <f>_xlfn.XLOOKUP(tblOrdenes[[#This Row],[tipo_ot]],tblTiposOT[codigo],tblTiposOT[clasificacion],"sin_clasificar")</f>
        <v/>
      </c>
      <c r="T8" s="3">
        <f>_xlfn.XLOOKUP(tblOrdenes[[#This Row],[centro_costo]],tblCECO[codigo],tblCECO[linea],"(sin catálogo)")</f>
        <v/>
      </c>
      <c r="U8" s="3">
        <f>_xlfn.XLOOKUP(tblOrdenes[[#This Row],[centro_costo]],tblCECO[codigo],tblCECO[area],"(sin catálogo)")</f>
        <v/>
      </c>
      <c r="V8" s="3">
        <f>_xlfn.XLOOKUP(tblOrdenes[[#This Row],[centro_costo]],tblCECO[codigo],tblCECO[coordinador],"(sin catálogo)")</f>
        <v/>
      </c>
      <c r="W8" s="3">
        <f>_xlfn.XLOOKUP(tblOrdenes[[#This Row],[puesto_trabajo]],tblPuestos[codigo],tblPuestos[especialidad],"(sin catálogo)")</f>
        <v/>
      </c>
      <c r="X8" s="3">
        <f>_xlfn.XLOOKUP(tblOrdenes[[#This Row],[cod_actividad]],tblActividades[codigo],tblActividades[descripcion],"(sin catálogo)")</f>
        <v/>
      </c>
      <c r="Y8" s="12">
        <f>IF(tblOrdenes[[#This Row],[fecha_inicio]]="","",TODAY()-tblOrdenes[[#This Row],[fecha_inicio]])</f>
        <v/>
      </c>
      <c r="Z8" s="3">
        <f>IF(tblOrdenes[[#This Row],[backlog_dias]]="","",IF(tblOrdenes[[#This Row],[backlog_dias]]&lt;0,"FUTURO",IF(tblOrdenes[[#This Row],[backlog_dias]]&gt;p_dias_backlog_max,"BACKLOG","MES CORRIENTE")))</f>
        <v/>
      </c>
      <c r="AA8" s="3">
        <f>IF(tblOrdenes[[#This Row],[backlog_dias]]="",FALSE,AND(tblOrdenes[[#This Row],[backlog_dias]]&gt;p_dias_backlog_min,tblOrdenes[[#This Row],[backlog_dias]]&lt;=p_dias_backlog_max))</f>
        <v/>
      </c>
      <c r="AB8" s="6" t="inlineStr">
        <is>
          <t>Técnico 01</t>
        </is>
      </c>
      <c r="AC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" s="10">
        <f>_xlfn.XLOOKUP(tblOrdenes[[#This Row],[id_operacion]],tblEjecucion[id_operacion],tblEjecucion[precio],0)</f>
        <v/>
      </c>
      <c r="AE8" s="10">
        <f>MAX(0,_xlfn.XLOOKUP(tblOrdenes[[#This Row],[id_operacion]],tblEjecucion[id_operacion],tblEjecucion[costo_plan_total],0)-tblOrdenes[[#This Row],[costo_servicio]])</f>
        <v/>
      </c>
      <c r="AF8" s="10">
        <f>tblOrdenes[[#This Row],[costo_servicio]]+tblOrdenes[[#This Row],[costo_materiales]]</f>
        <v/>
      </c>
      <c r="AG8" s="6" t="inlineStr"/>
      <c r="AH8" s="6" t="inlineStr"/>
      <c r="AI8" s="6" t="inlineStr">
        <is>
          <t>ACT-04.pdf</t>
        </is>
      </c>
      <c r="AJ8" s="3">
        <f>IF(tblOrdenes[[#This Row],[link_checklist]]="","",HYPERLINK(p_ruta_base_checklists&amp;tblOrdenes[[#This Row],[link_checklist]],"abrir"))</f>
        <v/>
      </c>
      <c r="AK8" s="6" t="inlineStr"/>
    </row>
    <row r="9">
      <c r="A9" s="3" t="inlineStr">
        <is>
          <t>OT-000006</t>
        </is>
      </c>
      <c r="B9" s="3" t="inlineStr">
        <is>
          <t>0010</t>
        </is>
      </c>
      <c r="C9" s="3">
        <f>tblOrdenes[[#This Row],[orden]]&amp;IF(tblOrdenes[[#This Row],[operacion]]="","0010",tblOrdenes[[#This Row],[operacion]])</f>
        <v/>
      </c>
      <c r="D9" s="3" t="inlineStr">
        <is>
          <t>Inspección de rutina — EQ-110</t>
        </is>
      </c>
      <c r="E9" s="3" t="inlineStr">
        <is>
          <t>Inspección de rutina en EQ-110</t>
        </is>
      </c>
      <c r="F9" s="3" t="inlineStr">
        <is>
          <t>EQ-110</t>
        </is>
      </c>
      <c r="G9" s="3" t="inlineStr">
        <is>
          <t>CC-310</t>
        </is>
      </c>
      <c r="H9" s="3" t="inlineStr">
        <is>
          <t>PU-MEC</t>
        </is>
      </c>
      <c r="I9" s="3" t="inlineStr">
        <is>
          <t>ACT-01</t>
        </is>
      </c>
      <c r="J9" s="3" t="inlineStr">
        <is>
          <t>TIPO-P1</t>
        </is>
      </c>
      <c r="K9" s="11" t="n">
        <v>46209</v>
      </c>
      <c r="L9" s="3" t="n">
        <v>6</v>
      </c>
      <c r="M9" s="10" t="n">
        <v>150</v>
      </c>
      <c r="N9" s="3">
        <f>_xlfn.XLOOKUP(_xlfn.XLOOKUP(tblOrdenes[[#This Row],[id_operacion]],tblEjecucion[id_operacion],tblEjecucion[estado_sistema],""),tblEstados[estado_sistema],tblEstados[estado_normalizado],"Pendiente")</f>
        <v/>
      </c>
      <c r="O9" s="3">
        <f>IF(tblOrdenes[[#This Row],[fecha_inicio]]="","","S"&amp;IF(_xlfn.ISOWEEKNUM(tblOrdenes[[#This Row],[fecha_inicio]])=53,1,_xlfn.ISOWEEKNUM(tblOrdenes[[#This Row],[fecha_inicio]])))</f>
        <v/>
      </c>
      <c r="P9" s="3">
        <f>IF(tblOrdenes[[#This Row],[fecha_inicio]]="","",YEAR(tblOrdenes[[#This Row],[fecha_inicio]]))</f>
        <v/>
      </c>
      <c r="Q9" s="3">
        <f>IF(tblOrdenes[[#This Row],[fecha_inicio]]="","",MONTH(tblOrdenes[[#This Row],[fecha_inicio]]))</f>
        <v/>
      </c>
      <c r="R9" s="3">
        <f>IF(tblOrdenes[[#This Row],[fecha_inicio]]="","",INDEX(lista_dias,WEEKDAY(tblOrdenes[[#This Row],[fecha_inicio]],2)))</f>
        <v/>
      </c>
      <c r="S9" s="3">
        <f>_xlfn.XLOOKUP(tblOrdenes[[#This Row],[tipo_ot]],tblTiposOT[codigo],tblTiposOT[clasificacion],"sin_clasificar")</f>
        <v/>
      </c>
      <c r="T9" s="3">
        <f>_xlfn.XLOOKUP(tblOrdenes[[#This Row],[centro_costo]],tblCECO[codigo],tblCECO[linea],"(sin catálogo)")</f>
        <v/>
      </c>
      <c r="U9" s="3">
        <f>_xlfn.XLOOKUP(tblOrdenes[[#This Row],[centro_costo]],tblCECO[codigo],tblCECO[area],"(sin catálogo)")</f>
        <v/>
      </c>
      <c r="V9" s="3">
        <f>_xlfn.XLOOKUP(tblOrdenes[[#This Row],[centro_costo]],tblCECO[codigo],tblCECO[coordinador],"(sin catálogo)")</f>
        <v/>
      </c>
      <c r="W9" s="3">
        <f>_xlfn.XLOOKUP(tblOrdenes[[#This Row],[puesto_trabajo]],tblPuestos[codigo],tblPuestos[especialidad],"(sin catálogo)")</f>
        <v/>
      </c>
      <c r="X9" s="3">
        <f>_xlfn.XLOOKUP(tblOrdenes[[#This Row],[cod_actividad]],tblActividades[codigo],tblActividades[descripcion],"(sin catálogo)")</f>
        <v/>
      </c>
      <c r="Y9" s="12">
        <f>IF(tblOrdenes[[#This Row],[fecha_inicio]]="","",TODAY()-tblOrdenes[[#This Row],[fecha_inicio]])</f>
        <v/>
      </c>
      <c r="Z9" s="3">
        <f>IF(tblOrdenes[[#This Row],[backlog_dias]]="","",IF(tblOrdenes[[#This Row],[backlog_dias]]&lt;0,"FUTURO",IF(tblOrdenes[[#This Row],[backlog_dias]]&gt;p_dias_backlog_max,"BACKLOG","MES CORRIENTE")))</f>
        <v/>
      </c>
      <c r="AA9" s="3">
        <f>IF(tblOrdenes[[#This Row],[backlog_dias]]="",FALSE,AND(tblOrdenes[[#This Row],[backlog_dias]]&gt;p_dias_backlog_min,tblOrdenes[[#This Row],[backlog_dias]]&lt;=p_dias_backlog_max))</f>
        <v/>
      </c>
      <c r="AB9" s="6" t="inlineStr">
        <is>
          <t>Técnico 02</t>
        </is>
      </c>
      <c r="AC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" s="10">
        <f>_xlfn.XLOOKUP(tblOrdenes[[#This Row],[id_operacion]],tblEjecucion[id_operacion],tblEjecucion[precio],0)</f>
        <v/>
      </c>
      <c r="AE9" s="10">
        <f>MAX(0,_xlfn.XLOOKUP(tblOrdenes[[#This Row],[id_operacion]],tblEjecucion[id_operacion],tblEjecucion[costo_plan_total],0)-tblOrdenes[[#This Row],[costo_servicio]])</f>
        <v/>
      </c>
      <c r="AF9" s="10">
        <f>tblOrdenes[[#This Row],[costo_servicio]]+tblOrdenes[[#This Row],[costo_materiales]]</f>
        <v/>
      </c>
      <c r="AG9" s="6" t="inlineStr"/>
      <c r="AH9" s="6" t="inlineStr"/>
      <c r="AI9" s="6" t="inlineStr">
        <is>
          <t>ACT-01.pdf</t>
        </is>
      </c>
      <c r="AJ9" s="3">
        <f>IF(tblOrdenes[[#This Row],[link_checklist]]="","",HYPERLINK(p_ruta_base_checklists&amp;tblOrdenes[[#This Row],[link_checklist]],"abrir"))</f>
        <v/>
      </c>
      <c r="AK9" s="6" t="inlineStr"/>
    </row>
    <row r="10">
      <c r="A10" s="3" t="inlineStr">
        <is>
          <t>OT-000007</t>
        </is>
      </c>
      <c r="B10" s="3" t="inlineStr">
        <is>
          <t>0010</t>
        </is>
      </c>
      <c r="C10" s="3">
        <f>tblOrdenes[[#This Row],[orden]]&amp;IF(tblOrdenes[[#This Row],[operacion]]="","0010",tblOrdenes[[#This Row],[operacion]])</f>
        <v/>
      </c>
      <c r="D10" s="3" t="inlineStr">
        <is>
          <t>Lubricación programada — EQ-103</t>
        </is>
      </c>
      <c r="E10" s="3" t="inlineStr">
        <is>
          <t>Lubricación programada en EQ-103</t>
        </is>
      </c>
      <c r="F10" s="3" t="inlineStr">
        <is>
          <t>EQ-103</t>
        </is>
      </c>
      <c r="G10" s="3" t="inlineStr">
        <is>
          <t>CC-110</t>
        </is>
      </c>
      <c r="H10" s="3" t="inlineStr">
        <is>
          <t>PU-MEC</t>
        </is>
      </c>
      <c r="I10" s="3" t="inlineStr">
        <is>
          <t>ACT-02</t>
        </is>
      </c>
      <c r="J10" s="3" t="inlineStr">
        <is>
          <t>TIPO-P2</t>
        </is>
      </c>
      <c r="K10" s="11" t="n">
        <v>46210</v>
      </c>
      <c r="L10" s="3" t="n">
        <v>10</v>
      </c>
      <c r="M10" s="10" t="n">
        <v>250</v>
      </c>
      <c r="N10" s="3">
        <f>_xlfn.XLOOKUP(_xlfn.XLOOKUP(tblOrdenes[[#This Row],[id_operacion]],tblEjecucion[id_operacion],tblEjecucion[estado_sistema],""),tblEstados[estado_sistema],tblEstados[estado_normalizado],"Pendiente")</f>
        <v/>
      </c>
      <c r="O10" s="3">
        <f>IF(tblOrdenes[[#This Row],[fecha_inicio]]="","","S"&amp;IF(_xlfn.ISOWEEKNUM(tblOrdenes[[#This Row],[fecha_inicio]])=53,1,_xlfn.ISOWEEKNUM(tblOrdenes[[#This Row],[fecha_inicio]])))</f>
        <v/>
      </c>
      <c r="P10" s="3">
        <f>IF(tblOrdenes[[#This Row],[fecha_inicio]]="","",YEAR(tblOrdenes[[#This Row],[fecha_inicio]]))</f>
        <v/>
      </c>
      <c r="Q10" s="3">
        <f>IF(tblOrdenes[[#This Row],[fecha_inicio]]="","",MONTH(tblOrdenes[[#This Row],[fecha_inicio]]))</f>
        <v/>
      </c>
      <c r="R10" s="3">
        <f>IF(tblOrdenes[[#This Row],[fecha_inicio]]="","",INDEX(lista_dias,WEEKDAY(tblOrdenes[[#This Row],[fecha_inicio]],2)))</f>
        <v/>
      </c>
      <c r="S10" s="3">
        <f>_xlfn.XLOOKUP(tblOrdenes[[#This Row],[tipo_ot]],tblTiposOT[codigo],tblTiposOT[clasificacion],"sin_clasificar")</f>
        <v/>
      </c>
      <c r="T10" s="3">
        <f>_xlfn.XLOOKUP(tblOrdenes[[#This Row],[centro_costo]],tblCECO[codigo],tblCECO[linea],"(sin catálogo)")</f>
        <v/>
      </c>
      <c r="U10" s="3">
        <f>_xlfn.XLOOKUP(tblOrdenes[[#This Row],[centro_costo]],tblCECO[codigo],tblCECO[area],"(sin catálogo)")</f>
        <v/>
      </c>
      <c r="V10" s="3">
        <f>_xlfn.XLOOKUP(tblOrdenes[[#This Row],[centro_costo]],tblCECO[codigo],tblCECO[coordinador],"(sin catálogo)")</f>
        <v/>
      </c>
      <c r="W10" s="3">
        <f>_xlfn.XLOOKUP(tblOrdenes[[#This Row],[puesto_trabajo]],tblPuestos[codigo],tblPuestos[especialidad],"(sin catálogo)")</f>
        <v/>
      </c>
      <c r="X10" s="3">
        <f>_xlfn.XLOOKUP(tblOrdenes[[#This Row],[cod_actividad]],tblActividades[codigo],tblActividades[descripcion],"(sin catálogo)")</f>
        <v/>
      </c>
      <c r="Y10" s="12">
        <f>IF(tblOrdenes[[#This Row],[fecha_inicio]]="","",TODAY()-tblOrdenes[[#This Row],[fecha_inicio]])</f>
        <v/>
      </c>
      <c r="Z10" s="3">
        <f>IF(tblOrdenes[[#This Row],[backlog_dias]]="","",IF(tblOrdenes[[#This Row],[backlog_dias]]&lt;0,"FUTURO",IF(tblOrdenes[[#This Row],[backlog_dias]]&gt;p_dias_backlog_max,"BACKLOG","MES CORRIENTE")))</f>
        <v/>
      </c>
      <c r="AA10" s="3">
        <f>IF(tblOrdenes[[#This Row],[backlog_dias]]="",FALSE,AND(tblOrdenes[[#This Row],[backlog_dias]]&gt;p_dias_backlog_min,tblOrdenes[[#This Row],[backlog_dias]]&lt;=p_dias_backlog_max))</f>
        <v/>
      </c>
      <c r="AB10" s="6" t="inlineStr">
        <is>
          <t>Técnico 03</t>
        </is>
      </c>
      <c r="AC1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" s="10">
        <f>_xlfn.XLOOKUP(tblOrdenes[[#This Row],[id_operacion]],tblEjecucion[id_operacion],tblEjecucion[precio],0)</f>
        <v/>
      </c>
      <c r="AE10" s="10">
        <f>MAX(0,_xlfn.XLOOKUP(tblOrdenes[[#This Row],[id_operacion]],tblEjecucion[id_operacion],tblEjecucion[costo_plan_total],0)-tblOrdenes[[#This Row],[costo_servicio]])</f>
        <v/>
      </c>
      <c r="AF10" s="10">
        <f>tblOrdenes[[#This Row],[costo_servicio]]+tblOrdenes[[#This Row],[costo_materiales]]</f>
        <v/>
      </c>
      <c r="AG10" s="6" t="inlineStr"/>
      <c r="AH10" s="6" t="inlineStr"/>
      <c r="AI10" s="6" t="inlineStr">
        <is>
          <t>ACT-02.pdf</t>
        </is>
      </c>
      <c r="AJ10" s="3">
        <f>IF(tblOrdenes[[#This Row],[link_checklist]]="","",HYPERLINK(p_ruta_base_checklists&amp;tblOrdenes[[#This Row],[link_checklist]],"abrir"))</f>
        <v/>
      </c>
      <c r="AK10" s="6" t="inlineStr"/>
    </row>
    <row r="11">
      <c r="A11" s="3" t="inlineStr">
        <is>
          <t>OT-000008</t>
        </is>
      </c>
      <c r="B11" s="3" t="inlineStr">
        <is>
          <t>0010</t>
        </is>
      </c>
      <c r="C11" s="3">
        <f>tblOrdenes[[#This Row],[orden]]&amp;IF(tblOrdenes[[#This Row],[operacion]]="","0010",tblOrdenes[[#This Row],[operacion]])</f>
        <v/>
      </c>
      <c r="D11" s="3" t="inlineStr">
        <is>
          <t>Análisis predictivo — EQ-106</t>
        </is>
      </c>
      <c r="E11" s="3" t="inlineStr">
        <is>
          <t>Análisis predictivo en EQ-106</t>
        </is>
      </c>
      <c r="F11" s="3" t="inlineStr">
        <is>
          <t>EQ-106</t>
        </is>
      </c>
      <c r="G11" s="3" t="inlineStr">
        <is>
          <t>CC-210</t>
        </is>
      </c>
      <c r="H11" s="3" t="inlineStr">
        <is>
          <t>PU-MEC</t>
        </is>
      </c>
      <c r="I11" s="3" t="inlineStr">
        <is>
          <t>ACT-04</t>
        </is>
      </c>
      <c r="J11" s="3" t="inlineStr">
        <is>
          <t>TIPO-P1</t>
        </is>
      </c>
      <c r="K11" s="11" t="n">
        <v>46211</v>
      </c>
      <c r="L11" s="3" t="n">
        <v>8</v>
      </c>
      <c r="M11" s="10" t="n">
        <v>200</v>
      </c>
      <c r="N11" s="3">
        <f>_xlfn.XLOOKUP(_xlfn.XLOOKUP(tblOrdenes[[#This Row],[id_operacion]],tblEjecucion[id_operacion],tblEjecucion[estado_sistema],""),tblEstados[estado_sistema],tblEstados[estado_normalizado],"Pendiente")</f>
        <v/>
      </c>
      <c r="O11" s="3">
        <f>IF(tblOrdenes[[#This Row],[fecha_inicio]]="","","S"&amp;IF(_xlfn.ISOWEEKNUM(tblOrdenes[[#This Row],[fecha_inicio]])=53,1,_xlfn.ISOWEEKNUM(tblOrdenes[[#This Row],[fecha_inicio]])))</f>
        <v/>
      </c>
      <c r="P11" s="3">
        <f>IF(tblOrdenes[[#This Row],[fecha_inicio]]="","",YEAR(tblOrdenes[[#This Row],[fecha_inicio]]))</f>
        <v/>
      </c>
      <c r="Q11" s="3">
        <f>IF(tblOrdenes[[#This Row],[fecha_inicio]]="","",MONTH(tblOrdenes[[#This Row],[fecha_inicio]]))</f>
        <v/>
      </c>
      <c r="R11" s="3">
        <f>IF(tblOrdenes[[#This Row],[fecha_inicio]]="","",INDEX(lista_dias,WEEKDAY(tblOrdenes[[#This Row],[fecha_inicio]],2)))</f>
        <v/>
      </c>
      <c r="S11" s="3">
        <f>_xlfn.XLOOKUP(tblOrdenes[[#This Row],[tipo_ot]],tblTiposOT[codigo],tblTiposOT[clasificacion],"sin_clasificar")</f>
        <v/>
      </c>
      <c r="T11" s="3">
        <f>_xlfn.XLOOKUP(tblOrdenes[[#This Row],[centro_costo]],tblCECO[codigo],tblCECO[linea],"(sin catálogo)")</f>
        <v/>
      </c>
      <c r="U11" s="3">
        <f>_xlfn.XLOOKUP(tblOrdenes[[#This Row],[centro_costo]],tblCECO[codigo],tblCECO[area],"(sin catálogo)")</f>
        <v/>
      </c>
      <c r="V11" s="3">
        <f>_xlfn.XLOOKUP(tblOrdenes[[#This Row],[centro_costo]],tblCECO[codigo],tblCECO[coordinador],"(sin catálogo)")</f>
        <v/>
      </c>
      <c r="W11" s="3">
        <f>_xlfn.XLOOKUP(tblOrdenes[[#This Row],[puesto_trabajo]],tblPuestos[codigo],tblPuestos[especialidad],"(sin catálogo)")</f>
        <v/>
      </c>
      <c r="X11" s="3">
        <f>_xlfn.XLOOKUP(tblOrdenes[[#This Row],[cod_actividad]],tblActividades[codigo],tblActividades[descripcion],"(sin catálogo)")</f>
        <v/>
      </c>
      <c r="Y11" s="12">
        <f>IF(tblOrdenes[[#This Row],[fecha_inicio]]="","",TODAY()-tblOrdenes[[#This Row],[fecha_inicio]])</f>
        <v/>
      </c>
      <c r="Z11" s="3">
        <f>IF(tblOrdenes[[#This Row],[backlog_dias]]="","",IF(tblOrdenes[[#This Row],[backlog_dias]]&lt;0,"FUTURO",IF(tblOrdenes[[#This Row],[backlog_dias]]&gt;p_dias_backlog_max,"BACKLOG","MES CORRIENTE")))</f>
        <v/>
      </c>
      <c r="AA11" s="3">
        <f>IF(tblOrdenes[[#This Row],[backlog_dias]]="",FALSE,AND(tblOrdenes[[#This Row],[backlog_dias]]&gt;p_dias_backlog_min,tblOrdenes[[#This Row],[backlog_dias]]&lt;=p_dias_backlog_max))</f>
        <v/>
      </c>
      <c r="AB11" s="6" t="inlineStr">
        <is>
          <t>Técnico 04</t>
        </is>
      </c>
      <c r="AC1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" s="10">
        <f>_xlfn.XLOOKUP(tblOrdenes[[#This Row],[id_operacion]],tblEjecucion[id_operacion],tblEjecucion[precio],0)</f>
        <v/>
      </c>
      <c r="AE11" s="10">
        <f>MAX(0,_xlfn.XLOOKUP(tblOrdenes[[#This Row],[id_operacion]],tblEjecucion[id_operacion],tblEjecucion[costo_plan_total],0)-tblOrdenes[[#This Row],[costo_servicio]])</f>
        <v/>
      </c>
      <c r="AF11" s="10">
        <f>tblOrdenes[[#This Row],[costo_servicio]]+tblOrdenes[[#This Row],[costo_materiales]]</f>
        <v/>
      </c>
      <c r="AG11" s="6" t="inlineStr"/>
      <c r="AH11" s="6" t="inlineStr"/>
      <c r="AI11" s="6" t="inlineStr">
        <is>
          <t>ACT-04.pdf</t>
        </is>
      </c>
      <c r="AJ11" s="3">
        <f>IF(tblOrdenes[[#This Row],[link_checklist]]="","",HYPERLINK(p_ruta_base_checklists&amp;tblOrdenes[[#This Row],[link_checklist]],"abrir"))</f>
        <v/>
      </c>
      <c r="AK11" s="6" t="inlineStr"/>
    </row>
    <row r="12">
      <c r="A12" s="3" t="inlineStr">
        <is>
          <t>OT-000009</t>
        </is>
      </c>
      <c r="B12" s="3" t="inlineStr">
        <is>
          <t>0010</t>
        </is>
      </c>
      <c r="C12" s="3">
        <f>tblOrdenes[[#This Row],[orden]]&amp;IF(tblOrdenes[[#This Row],[operacion]]="","0010",tblOrdenes[[#This Row],[operacion]])</f>
        <v/>
      </c>
      <c r="D12" s="3" t="inlineStr">
        <is>
          <t>Inspección de rutina — EQ-110</t>
        </is>
      </c>
      <c r="E12" s="3" t="inlineStr">
        <is>
          <t>Inspección de rutina en EQ-110</t>
        </is>
      </c>
      <c r="F12" s="3" t="inlineStr">
        <is>
          <t>EQ-110</t>
        </is>
      </c>
      <c r="G12" s="3" t="inlineStr">
        <is>
          <t>CC-310</t>
        </is>
      </c>
      <c r="H12" s="3" t="inlineStr">
        <is>
          <t>PU-MEC</t>
        </is>
      </c>
      <c r="I12" s="3" t="inlineStr">
        <is>
          <t>ACT-01</t>
        </is>
      </c>
      <c r="J12" s="3" t="inlineStr">
        <is>
          <t>TIPO-P2</t>
        </is>
      </c>
      <c r="K12" s="11" t="n">
        <v>46212</v>
      </c>
      <c r="L12" s="3" t="n">
        <v>6</v>
      </c>
      <c r="M12" s="10" t="n">
        <v>150</v>
      </c>
      <c r="N12" s="3">
        <f>_xlfn.XLOOKUP(_xlfn.XLOOKUP(tblOrdenes[[#This Row],[id_operacion]],tblEjecucion[id_operacion],tblEjecucion[estado_sistema],""),tblEstados[estado_sistema],tblEstados[estado_normalizado],"Pendiente")</f>
        <v/>
      </c>
      <c r="O12" s="3">
        <f>IF(tblOrdenes[[#This Row],[fecha_inicio]]="","","S"&amp;IF(_xlfn.ISOWEEKNUM(tblOrdenes[[#This Row],[fecha_inicio]])=53,1,_xlfn.ISOWEEKNUM(tblOrdenes[[#This Row],[fecha_inicio]])))</f>
        <v/>
      </c>
      <c r="P12" s="3">
        <f>IF(tblOrdenes[[#This Row],[fecha_inicio]]="","",YEAR(tblOrdenes[[#This Row],[fecha_inicio]]))</f>
        <v/>
      </c>
      <c r="Q12" s="3">
        <f>IF(tblOrdenes[[#This Row],[fecha_inicio]]="","",MONTH(tblOrdenes[[#This Row],[fecha_inicio]]))</f>
        <v/>
      </c>
      <c r="R12" s="3">
        <f>IF(tblOrdenes[[#This Row],[fecha_inicio]]="","",INDEX(lista_dias,WEEKDAY(tblOrdenes[[#This Row],[fecha_inicio]],2)))</f>
        <v/>
      </c>
      <c r="S12" s="3">
        <f>_xlfn.XLOOKUP(tblOrdenes[[#This Row],[tipo_ot]],tblTiposOT[codigo],tblTiposOT[clasificacion],"sin_clasificar")</f>
        <v/>
      </c>
      <c r="T12" s="3">
        <f>_xlfn.XLOOKUP(tblOrdenes[[#This Row],[centro_costo]],tblCECO[codigo],tblCECO[linea],"(sin catálogo)")</f>
        <v/>
      </c>
      <c r="U12" s="3">
        <f>_xlfn.XLOOKUP(tblOrdenes[[#This Row],[centro_costo]],tblCECO[codigo],tblCECO[area],"(sin catálogo)")</f>
        <v/>
      </c>
      <c r="V12" s="3">
        <f>_xlfn.XLOOKUP(tblOrdenes[[#This Row],[centro_costo]],tblCECO[codigo],tblCECO[coordinador],"(sin catálogo)")</f>
        <v/>
      </c>
      <c r="W12" s="3">
        <f>_xlfn.XLOOKUP(tblOrdenes[[#This Row],[puesto_trabajo]],tblPuestos[codigo],tblPuestos[especialidad],"(sin catálogo)")</f>
        <v/>
      </c>
      <c r="X12" s="3">
        <f>_xlfn.XLOOKUP(tblOrdenes[[#This Row],[cod_actividad]],tblActividades[codigo],tblActividades[descripcion],"(sin catálogo)")</f>
        <v/>
      </c>
      <c r="Y12" s="12">
        <f>IF(tblOrdenes[[#This Row],[fecha_inicio]]="","",TODAY()-tblOrdenes[[#This Row],[fecha_inicio]])</f>
        <v/>
      </c>
      <c r="Z12" s="3">
        <f>IF(tblOrdenes[[#This Row],[backlog_dias]]="","",IF(tblOrdenes[[#This Row],[backlog_dias]]&lt;0,"FUTURO",IF(tblOrdenes[[#This Row],[backlog_dias]]&gt;p_dias_backlog_max,"BACKLOG","MES CORRIENTE")))</f>
        <v/>
      </c>
      <c r="AA12" s="3">
        <f>IF(tblOrdenes[[#This Row],[backlog_dias]]="",FALSE,AND(tblOrdenes[[#This Row],[backlog_dias]]&gt;p_dias_backlog_min,tblOrdenes[[#This Row],[backlog_dias]]&lt;=p_dias_backlog_max))</f>
        <v/>
      </c>
      <c r="AB12" s="6" t="inlineStr">
        <is>
          <t>Técnico 01</t>
        </is>
      </c>
      <c r="AC1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" s="10">
        <f>_xlfn.XLOOKUP(tblOrdenes[[#This Row],[id_operacion]],tblEjecucion[id_operacion],tblEjecucion[precio],0)</f>
        <v/>
      </c>
      <c r="AE12" s="10">
        <f>MAX(0,_xlfn.XLOOKUP(tblOrdenes[[#This Row],[id_operacion]],tblEjecucion[id_operacion],tblEjecucion[costo_plan_total],0)-tblOrdenes[[#This Row],[costo_servicio]])</f>
        <v/>
      </c>
      <c r="AF12" s="10">
        <f>tblOrdenes[[#This Row],[costo_servicio]]+tblOrdenes[[#This Row],[costo_materiales]]</f>
        <v/>
      </c>
      <c r="AG12" s="6" t="inlineStr"/>
      <c r="AH12" s="6" t="inlineStr"/>
      <c r="AI12" s="6" t="inlineStr">
        <is>
          <t>ACT-01.pdf</t>
        </is>
      </c>
      <c r="AJ12" s="3">
        <f>IF(tblOrdenes[[#This Row],[link_checklist]]="","",HYPERLINK(p_ruta_base_checklists&amp;tblOrdenes[[#This Row],[link_checklist]],"abrir"))</f>
        <v/>
      </c>
      <c r="AK12" s="6" t="inlineStr"/>
    </row>
    <row r="13">
      <c r="A13" s="3" t="inlineStr">
        <is>
          <t>OT-000010</t>
        </is>
      </c>
      <c r="B13" s="3" t="inlineStr">
        <is>
          <t>0010</t>
        </is>
      </c>
      <c r="C13" s="3">
        <f>tblOrdenes[[#This Row],[orden]]&amp;IF(tblOrdenes[[#This Row],[operacion]]="","0010",tblOrdenes[[#This Row],[operacion]])</f>
        <v/>
      </c>
      <c r="D13" s="3" t="inlineStr">
        <is>
          <t>Lubricación programada — EQ-101</t>
        </is>
      </c>
      <c r="E13" s="3" t="inlineStr">
        <is>
          <t>Lubricación programada en EQ-101</t>
        </is>
      </c>
      <c r="F13" s="3" t="inlineStr">
        <is>
          <t>EQ-101</t>
        </is>
      </c>
      <c r="G13" s="3" t="inlineStr">
        <is>
          <t>CC-110</t>
        </is>
      </c>
      <c r="H13" s="3" t="inlineStr">
        <is>
          <t>PU-MEC</t>
        </is>
      </c>
      <c r="I13" s="3" t="inlineStr">
        <is>
          <t>ACT-02</t>
        </is>
      </c>
      <c r="J13" s="3" t="inlineStr">
        <is>
          <t>TIPO-P1</t>
        </is>
      </c>
      <c r="K13" s="11" t="n">
        <v>46213</v>
      </c>
      <c r="L13" s="3" t="n">
        <v>8</v>
      </c>
      <c r="M13" s="10" t="n">
        <v>200</v>
      </c>
      <c r="N13" s="3">
        <f>_xlfn.XLOOKUP(_xlfn.XLOOKUP(tblOrdenes[[#This Row],[id_operacion]],tblEjecucion[id_operacion],tblEjecucion[estado_sistema],""),tblEstados[estado_sistema],tblEstados[estado_normalizado],"Pendiente")</f>
        <v/>
      </c>
      <c r="O13" s="3">
        <f>IF(tblOrdenes[[#This Row],[fecha_inicio]]="","","S"&amp;IF(_xlfn.ISOWEEKNUM(tblOrdenes[[#This Row],[fecha_inicio]])=53,1,_xlfn.ISOWEEKNUM(tblOrdenes[[#This Row],[fecha_inicio]])))</f>
        <v/>
      </c>
      <c r="P13" s="3">
        <f>IF(tblOrdenes[[#This Row],[fecha_inicio]]="","",YEAR(tblOrdenes[[#This Row],[fecha_inicio]]))</f>
        <v/>
      </c>
      <c r="Q13" s="3">
        <f>IF(tblOrdenes[[#This Row],[fecha_inicio]]="","",MONTH(tblOrdenes[[#This Row],[fecha_inicio]]))</f>
        <v/>
      </c>
      <c r="R13" s="3">
        <f>IF(tblOrdenes[[#This Row],[fecha_inicio]]="","",INDEX(lista_dias,WEEKDAY(tblOrdenes[[#This Row],[fecha_inicio]],2)))</f>
        <v/>
      </c>
      <c r="S13" s="3">
        <f>_xlfn.XLOOKUP(tblOrdenes[[#This Row],[tipo_ot]],tblTiposOT[codigo],tblTiposOT[clasificacion],"sin_clasificar")</f>
        <v/>
      </c>
      <c r="T13" s="3">
        <f>_xlfn.XLOOKUP(tblOrdenes[[#This Row],[centro_costo]],tblCECO[codigo],tblCECO[linea],"(sin catálogo)")</f>
        <v/>
      </c>
      <c r="U13" s="3">
        <f>_xlfn.XLOOKUP(tblOrdenes[[#This Row],[centro_costo]],tblCECO[codigo],tblCECO[area],"(sin catálogo)")</f>
        <v/>
      </c>
      <c r="V13" s="3">
        <f>_xlfn.XLOOKUP(tblOrdenes[[#This Row],[centro_costo]],tblCECO[codigo],tblCECO[coordinador],"(sin catálogo)")</f>
        <v/>
      </c>
      <c r="W13" s="3">
        <f>_xlfn.XLOOKUP(tblOrdenes[[#This Row],[puesto_trabajo]],tblPuestos[codigo],tblPuestos[especialidad],"(sin catálogo)")</f>
        <v/>
      </c>
      <c r="X13" s="3">
        <f>_xlfn.XLOOKUP(tblOrdenes[[#This Row],[cod_actividad]],tblActividades[codigo],tblActividades[descripcion],"(sin catálogo)")</f>
        <v/>
      </c>
      <c r="Y13" s="12">
        <f>IF(tblOrdenes[[#This Row],[fecha_inicio]]="","",TODAY()-tblOrdenes[[#This Row],[fecha_inicio]])</f>
        <v/>
      </c>
      <c r="Z13" s="3">
        <f>IF(tblOrdenes[[#This Row],[backlog_dias]]="","",IF(tblOrdenes[[#This Row],[backlog_dias]]&lt;0,"FUTURO",IF(tblOrdenes[[#This Row],[backlog_dias]]&gt;p_dias_backlog_max,"BACKLOG","MES CORRIENTE")))</f>
        <v/>
      </c>
      <c r="AA13" s="3">
        <f>IF(tblOrdenes[[#This Row],[backlog_dias]]="",FALSE,AND(tblOrdenes[[#This Row],[backlog_dias]]&gt;p_dias_backlog_min,tblOrdenes[[#This Row],[backlog_dias]]&lt;=p_dias_backlog_max))</f>
        <v/>
      </c>
      <c r="AB13" s="6" t="inlineStr">
        <is>
          <t>Técnico 02</t>
        </is>
      </c>
      <c r="AC1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" s="10">
        <f>_xlfn.XLOOKUP(tblOrdenes[[#This Row],[id_operacion]],tblEjecucion[id_operacion],tblEjecucion[precio],0)</f>
        <v/>
      </c>
      <c r="AE13" s="10">
        <f>MAX(0,_xlfn.XLOOKUP(tblOrdenes[[#This Row],[id_operacion]],tblEjecucion[id_operacion],tblEjecucion[costo_plan_total],0)-tblOrdenes[[#This Row],[costo_servicio]])</f>
        <v/>
      </c>
      <c r="AF13" s="10">
        <f>tblOrdenes[[#This Row],[costo_servicio]]+tblOrdenes[[#This Row],[costo_materiales]]</f>
        <v/>
      </c>
      <c r="AG13" s="6" t="inlineStr"/>
      <c r="AH13" s="6" t="inlineStr"/>
      <c r="AI13" s="6" t="inlineStr">
        <is>
          <t>ACT-02.pdf</t>
        </is>
      </c>
      <c r="AJ13" s="3">
        <f>IF(tblOrdenes[[#This Row],[link_checklist]]="","",HYPERLINK(p_ruta_base_checklists&amp;tblOrdenes[[#This Row],[link_checklist]],"abrir"))</f>
        <v/>
      </c>
      <c r="AK13" s="6" t="inlineStr"/>
    </row>
    <row r="14">
      <c r="A14" s="3" t="inlineStr">
        <is>
          <t>OT-000011</t>
        </is>
      </c>
      <c r="B14" s="3" t="inlineStr">
        <is>
          <t>0010</t>
        </is>
      </c>
      <c r="C14" s="3">
        <f>tblOrdenes[[#This Row],[orden]]&amp;IF(tblOrdenes[[#This Row],[operacion]]="","0010",tblOrdenes[[#This Row],[operacion]])</f>
        <v/>
      </c>
      <c r="D14" s="3" t="inlineStr">
        <is>
          <t>Reparación de falla — EQ-109</t>
        </is>
      </c>
      <c r="E14" s="3" t="inlineStr">
        <is>
          <t>Reparación de falla en EQ-109</t>
        </is>
      </c>
      <c r="F14" s="3" t="inlineStr">
        <is>
          <t>EQ-109</t>
        </is>
      </c>
      <c r="G14" s="3" t="inlineStr">
        <is>
          <t>CC-210</t>
        </is>
      </c>
      <c r="H14" s="3" t="inlineStr">
        <is>
          <t>PU-MEC</t>
        </is>
      </c>
      <c r="I14" s="3" t="inlineStr">
        <is>
          <t>ACT-03</t>
        </is>
      </c>
      <c r="J14" s="3" t="inlineStr">
        <is>
          <t>TIPO-C2</t>
        </is>
      </c>
      <c r="K14" s="11" t="n">
        <v>46209</v>
      </c>
      <c r="L14" s="3" t="n">
        <v>10</v>
      </c>
      <c r="M14" s="10" t="n">
        <v>400</v>
      </c>
      <c r="N14" s="3">
        <f>_xlfn.XLOOKUP(_xlfn.XLOOKUP(tblOrdenes[[#This Row],[id_operacion]],tblEjecucion[id_operacion],tblEjecucion[estado_sistema],""),tblEstados[estado_sistema],tblEstados[estado_normalizado],"Pendiente")</f>
        <v/>
      </c>
      <c r="O14" s="3">
        <f>IF(tblOrdenes[[#This Row],[fecha_inicio]]="","","S"&amp;IF(_xlfn.ISOWEEKNUM(tblOrdenes[[#This Row],[fecha_inicio]])=53,1,_xlfn.ISOWEEKNUM(tblOrdenes[[#This Row],[fecha_inicio]])))</f>
        <v/>
      </c>
      <c r="P14" s="3">
        <f>IF(tblOrdenes[[#This Row],[fecha_inicio]]="","",YEAR(tblOrdenes[[#This Row],[fecha_inicio]]))</f>
        <v/>
      </c>
      <c r="Q14" s="3">
        <f>IF(tblOrdenes[[#This Row],[fecha_inicio]]="","",MONTH(tblOrdenes[[#This Row],[fecha_inicio]]))</f>
        <v/>
      </c>
      <c r="R14" s="3">
        <f>IF(tblOrdenes[[#This Row],[fecha_inicio]]="","",INDEX(lista_dias,WEEKDAY(tblOrdenes[[#This Row],[fecha_inicio]],2)))</f>
        <v/>
      </c>
      <c r="S14" s="3">
        <f>_xlfn.XLOOKUP(tblOrdenes[[#This Row],[tipo_ot]],tblTiposOT[codigo],tblTiposOT[clasificacion],"sin_clasificar")</f>
        <v/>
      </c>
      <c r="T14" s="3">
        <f>_xlfn.XLOOKUP(tblOrdenes[[#This Row],[centro_costo]],tblCECO[codigo],tblCECO[linea],"(sin catálogo)")</f>
        <v/>
      </c>
      <c r="U14" s="3">
        <f>_xlfn.XLOOKUP(tblOrdenes[[#This Row],[centro_costo]],tblCECO[codigo],tblCECO[area],"(sin catálogo)")</f>
        <v/>
      </c>
      <c r="V14" s="3">
        <f>_xlfn.XLOOKUP(tblOrdenes[[#This Row],[centro_costo]],tblCECO[codigo],tblCECO[coordinador],"(sin catálogo)")</f>
        <v/>
      </c>
      <c r="W14" s="3">
        <f>_xlfn.XLOOKUP(tblOrdenes[[#This Row],[puesto_trabajo]],tblPuestos[codigo],tblPuestos[especialidad],"(sin catálogo)")</f>
        <v/>
      </c>
      <c r="X14" s="3">
        <f>_xlfn.XLOOKUP(tblOrdenes[[#This Row],[cod_actividad]],tblActividades[codigo],tblActividades[descripcion],"(sin catálogo)")</f>
        <v/>
      </c>
      <c r="Y14" s="12">
        <f>IF(tblOrdenes[[#This Row],[fecha_inicio]]="","",TODAY()-tblOrdenes[[#This Row],[fecha_inicio]])</f>
        <v/>
      </c>
      <c r="Z14" s="3">
        <f>IF(tblOrdenes[[#This Row],[backlog_dias]]="","",IF(tblOrdenes[[#This Row],[backlog_dias]]&lt;0,"FUTURO",IF(tblOrdenes[[#This Row],[backlog_dias]]&gt;p_dias_backlog_max,"BACKLOG","MES CORRIENTE")))</f>
        <v/>
      </c>
      <c r="AA14" s="3">
        <f>IF(tblOrdenes[[#This Row],[backlog_dias]]="",FALSE,AND(tblOrdenes[[#This Row],[backlog_dias]]&gt;p_dias_backlog_min,tblOrdenes[[#This Row],[backlog_dias]]&lt;=p_dias_backlog_max))</f>
        <v/>
      </c>
      <c r="AB14" s="6" t="inlineStr">
        <is>
          <t>Técnico 03</t>
        </is>
      </c>
      <c r="AC1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" s="10">
        <f>_xlfn.XLOOKUP(tblOrdenes[[#This Row],[id_operacion]],tblEjecucion[id_operacion],tblEjecucion[precio],0)</f>
        <v/>
      </c>
      <c r="AE14" s="10">
        <f>MAX(0,_xlfn.XLOOKUP(tblOrdenes[[#This Row],[id_operacion]],tblEjecucion[id_operacion],tblEjecucion[costo_plan_total],0)-tblOrdenes[[#This Row],[costo_servicio]])</f>
        <v/>
      </c>
      <c r="AF14" s="10">
        <f>tblOrdenes[[#This Row],[costo_servicio]]+tblOrdenes[[#This Row],[costo_materiales]]</f>
        <v/>
      </c>
      <c r="AG14" s="6" t="inlineStr"/>
      <c r="AH14" s="6" t="inlineStr"/>
      <c r="AI14" s="6" t="inlineStr"/>
      <c r="AJ14" s="3">
        <f>IF(tblOrdenes[[#This Row],[link_checklist]]="","",HYPERLINK(p_ruta_base_checklists&amp;tblOrdenes[[#This Row],[link_checklist]],"abrir"))</f>
        <v/>
      </c>
      <c r="AK14" s="6" t="inlineStr"/>
    </row>
    <row r="15">
      <c r="A15" s="3" t="inlineStr">
        <is>
          <t>OT-000012</t>
        </is>
      </c>
      <c r="B15" s="3" t="inlineStr">
        <is>
          <t>0010</t>
        </is>
      </c>
      <c r="C15" s="3">
        <f>tblOrdenes[[#This Row],[orden]]&amp;IF(tblOrdenes[[#This Row],[operacion]]="","0010",tblOrdenes[[#This Row],[operacion]])</f>
        <v/>
      </c>
      <c r="D15" s="3" t="inlineStr">
        <is>
          <t>Reparación de falla — EQ-110</t>
        </is>
      </c>
      <c r="E15" s="3" t="inlineStr">
        <is>
          <t>Reparación de falla en EQ-110</t>
        </is>
      </c>
      <c r="F15" s="3" t="inlineStr">
        <is>
          <t>EQ-110</t>
        </is>
      </c>
      <c r="G15" s="3" t="inlineStr">
        <is>
          <t>CC-310</t>
        </is>
      </c>
      <c r="H15" s="3" t="inlineStr">
        <is>
          <t>PU-MEC</t>
        </is>
      </c>
      <c r="I15" s="3" t="inlineStr">
        <is>
          <t>ACT-03</t>
        </is>
      </c>
      <c r="J15" s="3" t="inlineStr">
        <is>
          <t>TIPO-C1</t>
        </is>
      </c>
      <c r="K15" s="11" t="n">
        <v>46210</v>
      </c>
      <c r="L15" s="3" t="n">
        <v>10</v>
      </c>
      <c r="M15" s="10" t="n">
        <v>400</v>
      </c>
      <c r="N15" s="3">
        <f>_xlfn.XLOOKUP(_xlfn.XLOOKUP(tblOrdenes[[#This Row],[id_operacion]],tblEjecucion[id_operacion],tblEjecucion[estado_sistema],""),tblEstados[estado_sistema],tblEstados[estado_normalizado],"Pendiente")</f>
        <v/>
      </c>
      <c r="O15" s="3">
        <f>IF(tblOrdenes[[#This Row],[fecha_inicio]]="","","S"&amp;IF(_xlfn.ISOWEEKNUM(tblOrdenes[[#This Row],[fecha_inicio]])=53,1,_xlfn.ISOWEEKNUM(tblOrdenes[[#This Row],[fecha_inicio]])))</f>
        <v/>
      </c>
      <c r="P15" s="3">
        <f>IF(tblOrdenes[[#This Row],[fecha_inicio]]="","",YEAR(tblOrdenes[[#This Row],[fecha_inicio]]))</f>
        <v/>
      </c>
      <c r="Q15" s="3">
        <f>IF(tblOrdenes[[#This Row],[fecha_inicio]]="","",MONTH(tblOrdenes[[#This Row],[fecha_inicio]]))</f>
        <v/>
      </c>
      <c r="R15" s="3">
        <f>IF(tblOrdenes[[#This Row],[fecha_inicio]]="","",INDEX(lista_dias,WEEKDAY(tblOrdenes[[#This Row],[fecha_inicio]],2)))</f>
        <v/>
      </c>
      <c r="S15" s="3">
        <f>_xlfn.XLOOKUP(tblOrdenes[[#This Row],[tipo_ot]],tblTiposOT[codigo],tblTiposOT[clasificacion],"sin_clasificar")</f>
        <v/>
      </c>
      <c r="T15" s="3">
        <f>_xlfn.XLOOKUP(tblOrdenes[[#This Row],[centro_costo]],tblCECO[codigo],tblCECO[linea],"(sin catálogo)")</f>
        <v/>
      </c>
      <c r="U15" s="3">
        <f>_xlfn.XLOOKUP(tblOrdenes[[#This Row],[centro_costo]],tblCECO[codigo],tblCECO[area],"(sin catálogo)")</f>
        <v/>
      </c>
      <c r="V15" s="3">
        <f>_xlfn.XLOOKUP(tblOrdenes[[#This Row],[centro_costo]],tblCECO[codigo],tblCECO[coordinador],"(sin catálogo)")</f>
        <v/>
      </c>
      <c r="W15" s="3">
        <f>_xlfn.XLOOKUP(tblOrdenes[[#This Row],[puesto_trabajo]],tblPuestos[codigo],tblPuestos[especialidad],"(sin catálogo)")</f>
        <v/>
      </c>
      <c r="X15" s="3">
        <f>_xlfn.XLOOKUP(tblOrdenes[[#This Row],[cod_actividad]],tblActividades[codigo],tblActividades[descripcion],"(sin catálogo)")</f>
        <v/>
      </c>
      <c r="Y15" s="12">
        <f>IF(tblOrdenes[[#This Row],[fecha_inicio]]="","",TODAY()-tblOrdenes[[#This Row],[fecha_inicio]])</f>
        <v/>
      </c>
      <c r="Z15" s="3">
        <f>IF(tblOrdenes[[#This Row],[backlog_dias]]="","",IF(tblOrdenes[[#This Row],[backlog_dias]]&lt;0,"FUTURO",IF(tblOrdenes[[#This Row],[backlog_dias]]&gt;p_dias_backlog_max,"BACKLOG","MES CORRIENTE")))</f>
        <v/>
      </c>
      <c r="AA15" s="3">
        <f>IF(tblOrdenes[[#This Row],[backlog_dias]]="",FALSE,AND(tblOrdenes[[#This Row],[backlog_dias]]&gt;p_dias_backlog_min,tblOrdenes[[#This Row],[backlog_dias]]&lt;=p_dias_backlog_max))</f>
        <v/>
      </c>
      <c r="AB15" s="6" t="inlineStr"/>
      <c r="AC1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" s="10">
        <f>_xlfn.XLOOKUP(tblOrdenes[[#This Row],[id_operacion]],tblEjecucion[id_operacion],tblEjecucion[precio],0)</f>
        <v/>
      </c>
      <c r="AE15" s="10">
        <f>MAX(0,_xlfn.XLOOKUP(tblOrdenes[[#This Row],[id_operacion]],tblEjecucion[id_operacion],tblEjecucion[costo_plan_total],0)-tblOrdenes[[#This Row],[costo_servicio]])</f>
        <v/>
      </c>
      <c r="AF15" s="10">
        <f>tblOrdenes[[#This Row],[costo_servicio]]+tblOrdenes[[#This Row],[costo_materiales]]</f>
        <v/>
      </c>
      <c r="AG15" s="6" t="inlineStr">
        <is>
          <t>PT-CALIENTE</t>
        </is>
      </c>
      <c r="AH15" s="6" t="inlineStr">
        <is>
          <t>LOTO</t>
        </is>
      </c>
      <c r="AI15" s="6" t="inlineStr"/>
      <c r="AJ15" s="3">
        <f>IF(tblOrdenes[[#This Row],[link_checklist]]="","",HYPERLINK(p_ruta_base_checklists&amp;tblOrdenes[[#This Row],[link_checklist]],"abrir"))</f>
        <v/>
      </c>
      <c r="AK15" s="6" t="inlineStr"/>
    </row>
    <row r="16">
      <c r="A16" s="3" t="inlineStr">
        <is>
          <t>OT-000013</t>
        </is>
      </c>
      <c r="B16" s="3" t="inlineStr">
        <is>
          <t>0010</t>
        </is>
      </c>
      <c r="C16" s="3">
        <f>tblOrdenes[[#This Row],[orden]]&amp;IF(tblOrdenes[[#This Row],[operacion]]="","0010",tblOrdenes[[#This Row],[operacion]])</f>
        <v/>
      </c>
      <c r="D16" s="3" t="inlineStr">
        <is>
          <t>Lubricación programada — EQ-104</t>
        </is>
      </c>
      <c r="E16" s="3" t="inlineStr">
        <is>
          <t>Lubricación programada en EQ-104</t>
        </is>
      </c>
      <c r="F16" s="3" t="inlineStr">
        <is>
          <t>EQ-104</t>
        </is>
      </c>
      <c r="G16" s="3" t="inlineStr">
        <is>
          <t>CC-110</t>
        </is>
      </c>
      <c r="H16" s="3" t="inlineStr">
        <is>
          <t>PU-MEC</t>
        </is>
      </c>
      <c r="I16" s="3" t="inlineStr">
        <is>
          <t>ACT-02</t>
        </is>
      </c>
      <c r="J16" s="3" t="inlineStr">
        <is>
          <t>TIPO-P2</t>
        </is>
      </c>
      <c r="K16" s="11" t="n">
        <v>46218</v>
      </c>
      <c r="L16" s="3" t="n">
        <v>10</v>
      </c>
      <c r="M16" s="10" t="n">
        <v>250</v>
      </c>
      <c r="N16" s="3">
        <f>_xlfn.XLOOKUP(_xlfn.XLOOKUP(tblOrdenes[[#This Row],[id_operacion]],tblEjecucion[id_operacion],tblEjecucion[estado_sistema],""),tblEstados[estado_sistema],tblEstados[estado_normalizado],"Pendiente")</f>
        <v/>
      </c>
      <c r="O16" s="3">
        <f>IF(tblOrdenes[[#This Row],[fecha_inicio]]="","","S"&amp;IF(_xlfn.ISOWEEKNUM(tblOrdenes[[#This Row],[fecha_inicio]])=53,1,_xlfn.ISOWEEKNUM(tblOrdenes[[#This Row],[fecha_inicio]])))</f>
        <v/>
      </c>
      <c r="P16" s="3">
        <f>IF(tblOrdenes[[#This Row],[fecha_inicio]]="","",YEAR(tblOrdenes[[#This Row],[fecha_inicio]]))</f>
        <v/>
      </c>
      <c r="Q16" s="3">
        <f>IF(tblOrdenes[[#This Row],[fecha_inicio]]="","",MONTH(tblOrdenes[[#This Row],[fecha_inicio]]))</f>
        <v/>
      </c>
      <c r="R16" s="3">
        <f>IF(tblOrdenes[[#This Row],[fecha_inicio]]="","",INDEX(lista_dias,WEEKDAY(tblOrdenes[[#This Row],[fecha_inicio]],2)))</f>
        <v/>
      </c>
      <c r="S16" s="3">
        <f>_xlfn.XLOOKUP(tblOrdenes[[#This Row],[tipo_ot]],tblTiposOT[codigo],tblTiposOT[clasificacion],"sin_clasificar")</f>
        <v/>
      </c>
      <c r="T16" s="3">
        <f>_xlfn.XLOOKUP(tblOrdenes[[#This Row],[centro_costo]],tblCECO[codigo],tblCECO[linea],"(sin catálogo)")</f>
        <v/>
      </c>
      <c r="U16" s="3">
        <f>_xlfn.XLOOKUP(tblOrdenes[[#This Row],[centro_costo]],tblCECO[codigo],tblCECO[area],"(sin catálogo)")</f>
        <v/>
      </c>
      <c r="V16" s="3">
        <f>_xlfn.XLOOKUP(tblOrdenes[[#This Row],[centro_costo]],tblCECO[codigo],tblCECO[coordinador],"(sin catálogo)")</f>
        <v/>
      </c>
      <c r="W16" s="3">
        <f>_xlfn.XLOOKUP(tblOrdenes[[#This Row],[puesto_trabajo]],tblPuestos[codigo],tblPuestos[especialidad],"(sin catálogo)")</f>
        <v/>
      </c>
      <c r="X16" s="3">
        <f>_xlfn.XLOOKUP(tblOrdenes[[#This Row],[cod_actividad]],tblActividades[codigo],tblActividades[descripcion],"(sin catálogo)")</f>
        <v/>
      </c>
      <c r="Y16" s="12">
        <f>IF(tblOrdenes[[#This Row],[fecha_inicio]]="","",TODAY()-tblOrdenes[[#This Row],[fecha_inicio]])</f>
        <v/>
      </c>
      <c r="Z16" s="3">
        <f>IF(tblOrdenes[[#This Row],[backlog_dias]]="","",IF(tblOrdenes[[#This Row],[backlog_dias]]&lt;0,"FUTURO",IF(tblOrdenes[[#This Row],[backlog_dias]]&gt;p_dias_backlog_max,"BACKLOG","MES CORRIENTE")))</f>
        <v/>
      </c>
      <c r="AA16" s="3">
        <f>IF(tblOrdenes[[#This Row],[backlog_dias]]="",FALSE,AND(tblOrdenes[[#This Row],[backlog_dias]]&gt;p_dias_backlog_min,tblOrdenes[[#This Row],[backlog_dias]]&lt;=p_dias_backlog_max))</f>
        <v/>
      </c>
      <c r="AB16" s="6" t="inlineStr">
        <is>
          <t>Técnico 01</t>
        </is>
      </c>
      <c r="AC1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" s="10">
        <f>_xlfn.XLOOKUP(tblOrdenes[[#This Row],[id_operacion]],tblEjecucion[id_operacion],tblEjecucion[precio],0)</f>
        <v/>
      </c>
      <c r="AE16" s="10">
        <f>MAX(0,_xlfn.XLOOKUP(tblOrdenes[[#This Row],[id_operacion]],tblEjecucion[id_operacion],tblEjecucion[costo_plan_total],0)-tblOrdenes[[#This Row],[costo_servicio]])</f>
        <v/>
      </c>
      <c r="AF16" s="10">
        <f>tblOrdenes[[#This Row],[costo_servicio]]+tblOrdenes[[#This Row],[costo_materiales]]</f>
        <v/>
      </c>
      <c r="AG16" s="6" t="inlineStr"/>
      <c r="AH16" s="6" t="inlineStr"/>
      <c r="AI16" s="6" t="inlineStr">
        <is>
          <t>ACT-02.pdf</t>
        </is>
      </c>
      <c r="AJ16" s="3">
        <f>IF(tblOrdenes[[#This Row],[link_checklist]]="","",HYPERLINK(p_ruta_base_checklists&amp;tblOrdenes[[#This Row],[link_checklist]],"abrir"))</f>
        <v/>
      </c>
      <c r="AK16" s="6" t="inlineStr"/>
    </row>
    <row r="17">
      <c r="A17" s="3" t="inlineStr">
        <is>
          <t>OT-000014</t>
        </is>
      </c>
      <c r="B17" s="3" t="inlineStr">
        <is>
          <t>0010</t>
        </is>
      </c>
      <c r="C17" s="3">
        <f>tblOrdenes[[#This Row],[orden]]&amp;IF(tblOrdenes[[#This Row],[operacion]]="","0010",tblOrdenes[[#This Row],[operacion]])</f>
        <v/>
      </c>
      <c r="D17" s="3" t="inlineStr">
        <is>
          <t>Análisis predictivo — EQ-108</t>
        </is>
      </c>
      <c r="E17" s="3" t="inlineStr">
        <is>
          <t>Análisis predictivo en EQ-108</t>
        </is>
      </c>
      <c r="F17" s="3" t="inlineStr">
        <is>
          <t>EQ-108</t>
        </is>
      </c>
      <c r="G17" s="3" t="inlineStr">
        <is>
          <t>CC-210</t>
        </is>
      </c>
      <c r="H17" s="3" t="inlineStr">
        <is>
          <t>PU-MEC</t>
        </is>
      </c>
      <c r="I17" s="3" t="inlineStr">
        <is>
          <t>ACT-04</t>
        </is>
      </c>
      <c r="J17" s="3" t="inlineStr">
        <is>
          <t>TIPO-P1</t>
        </is>
      </c>
      <c r="K17" s="11" t="n">
        <v>46219</v>
      </c>
      <c r="L17" s="3" t="n">
        <v>8</v>
      </c>
      <c r="M17" s="10" t="n">
        <v>200</v>
      </c>
      <c r="N17" s="3">
        <f>_xlfn.XLOOKUP(_xlfn.XLOOKUP(tblOrdenes[[#This Row],[id_operacion]],tblEjecucion[id_operacion],tblEjecucion[estado_sistema],""),tblEstados[estado_sistema],tblEstados[estado_normalizado],"Pendiente")</f>
        <v/>
      </c>
      <c r="O17" s="3">
        <f>IF(tblOrdenes[[#This Row],[fecha_inicio]]="","","S"&amp;IF(_xlfn.ISOWEEKNUM(tblOrdenes[[#This Row],[fecha_inicio]])=53,1,_xlfn.ISOWEEKNUM(tblOrdenes[[#This Row],[fecha_inicio]])))</f>
        <v/>
      </c>
      <c r="P17" s="3">
        <f>IF(tblOrdenes[[#This Row],[fecha_inicio]]="","",YEAR(tblOrdenes[[#This Row],[fecha_inicio]]))</f>
        <v/>
      </c>
      <c r="Q17" s="3">
        <f>IF(tblOrdenes[[#This Row],[fecha_inicio]]="","",MONTH(tblOrdenes[[#This Row],[fecha_inicio]]))</f>
        <v/>
      </c>
      <c r="R17" s="3">
        <f>IF(tblOrdenes[[#This Row],[fecha_inicio]]="","",INDEX(lista_dias,WEEKDAY(tblOrdenes[[#This Row],[fecha_inicio]],2)))</f>
        <v/>
      </c>
      <c r="S17" s="3">
        <f>_xlfn.XLOOKUP(tblOrdenes[[#This Row],[tipo_ot]],tblTiposOT[codigo],tblTiposOT[clasificacion],"sin_clasificar")</f>
        <v/>
      </c>
      <c r="T17" s="3">
        <f>_xlfn.XLOOKUP(tblOrdenes[[#This Row],[centro_costo]],tblCECO[codigo],tblCECO[linea],"(sin catálogo)")</f>
        <v/>
      </c>
      <c r="U17" s="3">
        <f>_xlfn.XLOOKUP(tblOrdenes[[#This Row],[centro_costo]],tblCECO[codigo],tblCECO[area],"(sin catálogo)")</f>
        <v/>
      </c>
      <c r="V17" s="3">
        <f>_xlfn.XLOOKUP(tblOrdenes[[#This Row],[centro_costo]],tblCECO[codigo],tblCECO[coordinador],"(sin catálogo)")</f>
        <v/>
      </c>
      <c r="W17" s="3">
        <f>_xlfn.XLOOKUP(tblOrdenes[[#This Row],[puesto_trabajo]],tblPuestos[codigo],tblPuestos[especialidad],"(sin catálogo)")</f>
        <v/>
      </c>
      <c r="X17" s="3">
        <f>_xlfn.XLOOKUP(tblOrdenes[[#This Row],[cod_actividad]],tblActividades[codigo],tblActividades[descripcion],"(sin catálogo)")</f>
        <v/>
      </c>
      <c r="Y17" s="12">
        <f>IF(tblOrdenes[[#This Row],[fecha_inicio]]="","",TODAY()-tblOrdenes[[#This Row],[fecha_inicio]])</f>
        <v/>
      </c>
      <c r="Z17" s="3">
        <f>IF(tblOrdenes[[#This Row],[backlog_dias]]="","",IF(tblOrdenes[[#This Row],[backlog_dias]]&lt;0,"FUTURO",IF(tblOrdenes[[#This Row],[backlog_dias]]&gt;p_dias_backlog_max,"BACKLOG","MES CORRIENTE")))</f>
        <v/>
      </c>
      <c r="AA17" s="3">
        <f>IF(tblOrdenes[[#This Row],[backlog_dias]]="",FALSE,AND(tblOrdenes[[#This Row],[backlog_dias]]&gt;p_dias_backlog_min,tblOrdenes[[#This Row],[backlog_dias]]&lt;=p_dias_backlog_max))</f>
        <v/>
      </c>
      <c r="AB17" s="6" t="inlineStr">
        <is>
          <t>Técnico 02</t>
        </is>
      </c>
      <c r="AC1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" s="10">
        <f>_xlfn.XLOOKUP(tblOrdenes[[#This Row],[id_operacion]],tblEjecucion[id_operacion],tblEjecucion[precio],0)</f>
        <v/>
      </c>
      <c r="AE17" s="10">
        <f>MAX(0,_xlfn.XLOOKUP(tblOrdenes[[#This Row],[id_operacion]],tblEjecucion[id_operacion],tblEjecucion[costo_plan_total],0)-tblOrdenes[[#This Row],[costo_servicio]])</f>
        <v/>
      </c>
      <c r="AF17" s="10">
        <f>tblOrdenes[[#This Row],[costo_servicio]]+tblOrdenes[[#This Row],[costo_materiales]]</f>
        <v/>
      </c>
      <c r="AG17" s="6" t="inlineStr"/>
      <c r="AH17" s="6" t="inlineStr"/>
      <c r="AI17" s="6" t="inlineStr">
        <is>
          <t>ACT-04.pdf</t>
        </is>
      </c>
      <c r="AJ17" s="3">
        <f>IF(tblOrdenes[[#This Row],[link_checklist]]="","",HYPERLINK(p_ruta_base_checklists&amp;tblOrdenes[[#This Row],[link_checklist]],"abrir"))</f>
        <v/>
      </c>
      <c r="AK17" s="6" t="inlineStr"/>
    </row>
    <row r="18">
      <c r="A18" s="3" t="inlineStr">
        <is>
          <t>OT-000015</t>
        </is>
      </c>
      <c r="B18" s="3" t="inlineStr">
        <is>
          <t>0010</t>
        </is>
      </c>
      <c r="C18" s="3">
        <f>tblOrdenes[[#This Row],[orden]]&amp;IF(tblOrdenes[[#This Row],[operacion]]="","0010",tblOrdenes[[#This Row],[operacion]])</f>
        <v/>
      </c>
      <c r="D18" s="3" t="inlineStr">
        <is>
          <t>Inspección de rutina — EQ-110</t>
        </is>
      </c>
      <c r="E18" s="3" t="inlineStr">
        <is>
          <t>Inspección de rutina en EQ-110</t>
        </is>
      </c>
      <c r="F18" s="3" t="inlineStr">
        <is>
          <t>EQ-110</t>
        </is>
      </c>
      <c r="G18" s="3" t="inlineStr">
        <is>
          <t>CC-310</t>
        </is>
      </c>
      <c r="H18" s="3" t="inlineStr">
        <is>
          <t>PU-MEC</t>
        </is>
      </c>
      <c r="I18" s="3" t="inlineStr">
        <is>
          <t>ACT-01</t>
        </is>
      </c>
      <c r="J18" s="3" t="inlineStr">
        <is>
          <t>TIPO-P2</t>
        </is>
      </c>
      <c r="K18" s="11" t="n">
        <v>46220</v>
      </c>
      <c r="L18" s="3" t="n">
        <v>6</v>
      </c>
      <c r="M18" s="10" t="n">
        <v>150</v>
      </c>
      <c r="N18" s="3">
        <f>_xlfn.XLOOKUP(_xlfn.XLOOKUP(tblOrdenes[[#This Row],[id_operacion]],tblEjecucion[id_operacion],tblEjecucion[estado_sistema],""),tblEstados[estado_sistema],tblEstados[estado_normalizado],"Pendiente")</f>
        <v/>
      </c>
      <c r="O18" s="3">
        <f>IF(tblOrdenes[[#This Row],[fecha_inicio]]="","","S"&amp;IF(_xlfn.ISOWEEKNUM(tblOrdenes[[#This Row],[fecha_inicio]])=53,1,_xlfn.ISOWEEKNUM(tblOrdenes[[#This Row],[fecha_inicio]])))</f>
        <v/>
      </c>
      <c r="P18" s="3">
        <f>IF(tblOrdenes[[#This Row],[fecha_inicio]]="","",YEAR(tblOrdenes[[#This Row],[fecha_inicio]]))</f>
        <v/>
      </c>
      <c r="Q18" s="3">
        <f>IF(tblOrdenes[[#This Row],[fecha_inicio]]="","",MONTH(tblOrdenes[[#This Row],[fecha_inicio]]))</f>
        <v/>
      </c>
      <c r="R18" s="3">
        <f>IF(tblOrdenes[[#This Row],[fecha_inicio]]="","",INDEX(lista_dias,WEEKDAY(tblOrdenes[[#This Row],[fecha_inicio]],2)))</f>
        <v/>
      </c>
      <c r="S18" s="3">
        <f>_xlfn.XLOOKUP(tblOrdenes[[#This Row],[tipo_ot]],tblTiposOT[codigo],tblTiposOT[clasificacion],"sin_clasificar")</f>
        <v/>
      </c>
      <c r="T18" s="3">
        <f>_xlfn.XLOOKUP(tblOrdenes[[#This Row],[centro_costo]],tblCECO[codigo],tblCECO[linea],"(sin catálogo)")</f>
        <v/>
      </c>
      <c r="U18" s="3">
        <f>_xlfn.XLOOKUP(tblOrdenes[[#This Row],[centro_costo]],tblCECO[codigo],tblCECO[area],"(sin catálogo)")</f>
        <v/>
      </c>
      <c r="V18" s="3">
        <f>_xlfn.XLOOKUP(tblOrdenes[[#This Row],[centro_costo]],tblCECO[codigo],tblCECO[coordinador],"(sin catálogo)")</f>
        <v/>
      </c>
      <c r="W18" s="3">
        <f>_xlfn.XLOOKUP(tblOrdenes[[#This Row],[puesto_trabajo]],tblPuestos[codigo],tblPuestos[especialidad],"(sin catálogo)")</f>
        <v/>
      </c>
      <c r="X18" s="3">
        <f>_xlfn.XLOOKUP(tblOrdenes[[#This Row],[cod_actividad]],tblActividades[codigo],tblActividades[descripcion],"(sin catálogo)")</f>
        <v/>
      </c>
      <c r="Y18" s="12">
        <f>IF(tblOrdenes[[#This Row],[fecha_inicio]]="","",TODAY()-tblOrdenes[[#This Row],[fecha_inicio]])</f>
        <v/>
      </c>
      <c r="Z18" s="3">
        <f>IF(tblOrdenes[[#This Row],[backlog_dias]]="","",IF(tblOrdenes[[#This Row],[backlog_dias]]&lt;0,"FUTURO",IF(tblOrdenes[[#This Row],[backlog_dias]]&gt;p_dias_backlog_max,"BACKLOG","MES CORRIENTE")))</f>
        <v/>
      </c>
      <c r="AA18" s="3">
        <f>IF(tblOrdenes[[#This Row],[backlog_dias]]="",FALSE,AND(tblOrdenes[[#This Row],[backlog_dias]]&gt;p_dias_backlog_min,tblOrdenes[[#This Row],[backlog_dias]]&lt;=p_dias_backlog_max))</f>
        <v/>
      </c>
      <c r="AB18" s="6" t="inlineStr">
        <is>
          <t>Técnico 03</t>
        </is>
      </c>
      <c r="AC1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" s="10">
        <f>_xlfn.XLOOKUP(tblOrdenes[[#This Row],[id_operacion]],tblEjecucion[id_operacion],tblEjecucion[precio],0)</f>
        <v/>
      </c>
      <c r="AE18" s="10">
        <f>MAX(0,_xlfn.XLOOKUP(tblOrdenes[[#This Row],[id_operacion]],tblEjecucion[id_operacion],tblEjecucion[costo_plan_total],0)-tblOrdenes[[#This Row],[costo_servicio]])</f>
        <v/>
      </c>
      <c r="AF18" s="10">
        <f>tblOrdenes[[#This Row],[costo_servicio]]+tblOrdenes[[#This Row],[costo_materiales]]</f>
        <v/>
      </c>
      <c r="AG18" s="6" t="inlineStr"/>
      <c r="AH18" s="6" t="inlineStr"/>
      <c r="AI18" s="6" t="inlineStr">
        <is>
          <t>ACT-01.pdf</t>
        </is>
      </c>
      <c r="AJ18" s="3">
        <f>IF(tblOrdenes[[#This Row],[link_checklist]]="","",HYPERLINK(p_ruta_base_checklists&amp;tblOrdenes[[#This Row],[link_checklist]],"abrir"))</f>
        <v/>
      </c>
      <c r="AK18" s="6" t="inlineStr"/>
    </row>
    <row r="19">
      <c r="A19" s="3" t="inlineStr">
        <is>
          <t>OT-000016</t>
        </is>
      </c>
      <c r="B19" s="3" t="inlineStr">
        <is>
          <t>0010</t>
        </is>
      </c>
      <c r="C19" s="3">
        <f>tblOrdenes[[#This Row],[orden]]&amp;IF(tblOrdenes[[#This Row],[operacion]]="","0010",tblOrdenes[[#This Row],[operacion]])</f>
        <v/>
      </c>
      <c r="D19" s="3" t="inlineStr">
        <is>
          <t>Lubricación programada — EQ-102</t>
        </is>
      </c>
      <c r="E19" s="3" t="inlineStr">
        <is>
          <t>Lubricación programada en EQ-102</t>
        </is>
      </c>
      <c r="F19" s="3" t="inlineStr">
        <is>
          <t>EQ-102</t>
        </is>
      </c>
      <c r="G19" s="3" t="inlineStr">
        <is>
          <t>CC-110</t>
        </is>
      </c>
      <c r="H19" s="3" t="inlineStr">
        <is>
          <t>PU-MEC</t>
        </is>
      </c>
      <c r="I19" s="3" t="inlineStr">
        <is>
          <t>ACT-02</t>
        </is>
      </c>
      <c r="J19" s="3" t="inlineStr">
        <is>
          <t>TIPO-P1</t>
        </is>
      </c>
      <c r="K19" s="11" t="n">
        <v>46216</v>
      </c>
      <c r="L19" s="3" t="n">
        <v>10</v>
      </c>
      <c r="M19" s="10" t="n">
        <v>250</v>
      </c>
      <c r="N19" s="3">
        <f>_xlfn.XLOOKUP(_xlfn.XLOOKUP(tblOrdenes[[#This Row],[id_operacion]],tblEjecucion[id_operacion],tblEjecucion[estado_sistema],""),tblEstados[estado_sistema],tblEstados[estado_normalizado],"Pendiente")</f>
        <v/>
      </c>
      <c r="O19" s="3">
        <f>IF(tblOrdenes[[#This Row],[fecha_inicio]]="","","S"&amp;IF(_xlfn.ISOWEEKNUM(tblOrdenes[[#This Row],[fecha_inicio]])=53,1,_xlfn.ISOWEEKNUM(tblOrdenes[[#This Row],[fecha_inicio]])))</f>
        <v/>
      </c>
      <c r="P19" s="3">
        <f>IF(tblOrdenes[[#This Row],[fecha_inicio]]="","",YEAR(tblOrdenes[[#This Row],[fecha_inicio]]))</f>
        <v/>
      </c>
      <c r="Q19" s="3">
        <f>IF(tblOrdenes[[#This Row],[fecha_inicio]]="","",MONTH(tblOrdenes[[#This Row],[fecha_inicio]]))</f>
        <v/>
      </c>
      <c r="R19" s="3">
        <f>IF(tblOrdenes[[#This Row],[fecha_inicio]]="","",INDEX(lista_dias,WEEKDAY(tblOrdenes[[#This Row],[fecha_inicio]],2)))</f>
        <v/>
      </c>
      <c r="S19" s="3">
        <f>_xlfn.XLOOKUP(tblOrdenes[[#This Row],[tipo_ot]],tblTiposOT[codigo],tblTiposOT[clasificacion],"sin_clasificar")</f>
        <v/>
      </c>
      <c r="T19" s="3">
        <f>_xlfn.XLOOKUP(tblOrdenes[[#This Row],[centro_costo]],tblCECO[codigo],tblCECO[linea],"(sin catálogo)")</f>
        <v/>
      </c>
      <c r="U19" s="3">
        <f>_xlfn.XLOOKUP(tblOrdenes[[#This Row],[centro_costo]],tblCECO[codigo],tblCECO[area],"(sin catálogo)")</f>
        <v/>
      </c>
      <c r="V19" s="3">
        <f>_xlfn.XLOOKUP(tblOrdenes[[#This Row],[centro_costo]],tblCECO[codigo],tblCECO[coordinador],"(sin catálogo)")</f>
        <v/>
      </c>
      <c r="W19" s="3">
        <f>_xlfn.XLOOKUP(tblOrdenes[[#This Row],[puesto_trabajo]],tblPuestos[codigo],tblPuestos[especialidad],"(sin catálogo)")</f>
        <v/>
      </c>
      <c r="X19" s="3">
        <f>_xlfn.XLOOKUP(tblOrdenes[[#This Row],[cod_actividad]],tblActividades[codigo],tblActividades[descripcion],"(sin catálogo)")</f>
        <v/>
      </c>
      <c r="Y19" s="12">
        <f>IF(tblOrdenes[[#This Row],[fecha_inicio]]="","",TODAY()-tblOrdenes[[#This Row],[fecha_inicio]])</f>
        <v/>
      </c>
      <c r="Z19" s="3">
        <f>IF(tblOrdenes[[#This Row],[backlog_dias]]="","",IF(tblOrdenes[[#This Row],[backlog_dias]]&lt;0,"FUTURO",IF(tblOrdenes[[#This Row],[backlog_dias]]&gt;p_dias_backlog_max,"BACKLOG","MES CORRIENTE")))</f>
        <v/>
      </c>
      <c r="AA19" s="3">
        <f>IF(tblOrdenes[[#This Row],[backlog_dias]]="",FALSE,AND(tblOrdenes[[#This Row],[backlog_dias]]&gt;p_dias_backlog_min,tblOrdenes[[#This Row],[backlog_dias]]&lt;=p_dias_backlog_max))</f>
        <v/>
      </c>
      <c r="AB19" s="6" t="inlineStr">
        <is>
          <t>Técnico 04</t>
        </is>
      </c>
      <c r="AC1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" s="10">
        <f>_xlfn.XLOOKUP(tblOrdenes[[#This Row],[id_operacion]],tblEjecucion[id_operacion],tblEjecucion[precio],0)</f>
        <v/>
      </c>
      <c r="AE19" s="10">
        <f>MAX(0,_xlfn.XLOOKUP(tblOrdenes[[#This Row],[id_operacion]],tblEjecucion[id_operacion],tblEjecucion[costo_plan_total],0)-tblOrdenes[[#This Row],[costo_servicio]])</f>
        <v/>
      </c>
      <c r="AF19" s="10">
        <f>tblOrdenes[[#This Row],[costo_servicio]]+tblOrdenes[[#This Row],[costo_materiales]]</f>
        <v/>
      </c>
      <c r="AG19" s="6" t="inlineStr"/>
      <c r="AH19" s="6" t="inlineStr"/>
      <c r="AI19" s="6" t="inlineStr">
        <is>
          <t>ACT-02.pdf</t>
        </is>
      </c>
      <c r="AJ19" s="3">
        <f>IF(tblOrdenes[[#This Row],[link_checklist]]="","",HYPERLINK(p_ruta_base_checklists&amp;tblOrdenes[[#This Row],[link_checklist]],"abrir"))</f>
        <v/>
      </c>
      <c r="AK19" s="6" t="inlineStr"/>
    </row>
    <row r="20">
      <c r="A20" s="3" t="inlineStr">
        <is>
          <t>OT-000017</t>
        </is>
      </c>
      <c r="B20" s="3" t="inlineStr">
        <is>
          <t>0010</t>
        </is>
      </c>
      <c r="C20" s="3">
        <f>tblOrdenes[[#This Row],[orden]]&amp;IF(tblOrdenes[[#This Row],[operacion]]="","0010",tblOrdenes[[#This Row],[operacion]])</f>
        <v/>
      </c>
      <c r="D20" s="3" t="inlineStr">
        <is>
          <t>Análisis predictivo — EQ-107</t>
        </is>
      </c>
      <c r="E20" s="3" t="inlineStr">
        <is>
          <t>Análisis predictivo en EQ-107</t>
        </is>
      </c>
      <c r="F20" s="3" t="inlineStr">
        <is>
          <t>EQ-107</t>
        </is>
      </c>
      <c r="G20" s="3" t="inlineStr">
        <is>
          <t>CC-210</t>
        </is>
      </c>
      <c r="H20" s="3" t="inlineStr">
        <is>
          <t>PU-MEC</t>
        </is>
      </c>
      <c r="I20" s="3" t="inlineStr">
        <is>
          <t>ACT-04</t>
        </is>
      </c>
      <c r="J20" s="3" t="inlineStr">
        <is>
          <t>TIPO-P2</t>
        </is>
      </c>
      <c r="K20" s="11" t="n">
        <v>46217</v>
      </c>
      <c r="L20" s="3" t="n">
        <v>8</v>
      </c>
      <c r="M20" s="10" t="n">
        <v>200</v>
      </c>
      <c r="N20" s="3">
        <f>_xlfn.XLOOKUP(_xlfn.XLOOKUP(tblOrdenes[[#This Row],[id_operacion]],tblEjecucion[id_operacion],tblEjecucion[estado_sistema],""),tblEstados[estado_sistema],tblEstados[estado_normalizado],"Pendiente")</f>
        <v/>
      </c>
      <c r="O20" s="3">
        <f>IF(tblOrdenes[[#This Row],[fecha_inicio]]="","","S"&amp;IF(_xlfn.ISOWEEKNUM(tblOrdenes[[#This Row],[fecha_inicio]])=53,1,_xlfn.ISOWEEKNUM(tblOrdenes[[#This Row],[fecha_inicio]])))</f>
        <v/>
      </c>
      <c r="P20" s="3">
        <f>IF(tblOrdenes[[#This Row],[fecha_inicio]]="","",YEAR(tblOrdenes[[#This Row],[fecha_inicio]]))</f>
        <v/>
      </c>
      <c r="Q20" s="3">
        <f>IF(tblOrdenes[[#This Row],[fecha_inicio]]="","",MONTH(tblOrdenes[[#This Row],[fecha_inicio]]))</f>
        <v/>
      </c>
      <c r="R20" s="3">
        <f>IF(tblOrdenes[[#This Row],[fecha_inicio]]="","",INDEX(lista_dias,WEEKDAY(tblOrdenes[[#This Row],[fecha_inicio]],2)))</f>
        <v/>
      </c>
      <c r="S20" s="3">
        <f>_xlfn.XLOOKUP(tblOrdenes[[#This Row],[tipo_ot]],tblTiposOT[codigo],tblTiposOT[clasificacion],"sin_clasificar")</f>
        <v/>
      </c>
      <c r="T20" s="3">
        <f>_xlfn.XLOOKUP(tblOrdenes[[#This Row],[centro_costo]],tblCECO[codigo],tblCECO[linea],"(sin catálogo)")</f>
        <v/>
      </c>
      <c r="U20" s="3">
        <f>_xlfn.XLOOKUP(tblOrdenes[[#This Row],[centro_costo]],tblCECO[codigo],tblCECO[area],"(sin catálogo)")</f>
        <v/>
      </c>
      <c r="V20" s="3">
        <f>_xlfn.XLOOKUP(tblOrdenes[[#This Row],[centro_costo]],tblCECO[codigo],tblCECO[coordinador],"(sin catálogo)")</f>
        <v/>
      </c>
      <c r="W20" s="3">
        <f>_xlfn.XLOOKUP(tblOrdenes[[#This Row],[puesto_trabajo]],tblPuestos[codigo],tblPuestos[especialidad],"(sin catálogo)")</f>
        <v/>
      </c>
      <c r="X20" s="3">
        <f>_xlfn.XLOOKUP(tblOrdenes[[#This Row],[cod_actividad]],tblActividades[codigo],tblActividades[descripcion],"(sin catálogo)")</f>
        <v/>
      </c>
      <c r="Y20" s="12">
        <f>IF(tblOrdenes[[#This Row],[fecha_inicio]]="","",TODAY()-tblOrdenes[[#This Row],[fecha_inicio]])</f>
        <v/>
      </c>
      <c r="Z20" s="3">
        <f>IF(tblOrdenes[[#This Row],[backlog_dias]]="","",IF(tblOrdenes[[#This Row],[backlog_dias]]&lt;0,"FUTURO",IF(tblOrdenes[[#This Row],[backlog_dias]]&gt;p_dias_backlog_max,"BACKLOG","MES CORRIENTE")))</f>
        <v/>
      </c>
      <c r="AA20" s="3">
        <f>IF(tblOrdenes[[#This Row],[backlog_dias]]="",FALSE,AND(tblOrdenes[[#This Row],[backlog_dias]]&gt;p_dias_backlog_min,tblOrdenes[[#This Row],[backlog_dias]]&lt;=p_dias_backlog_max))</f>
        <v/>
      </c>
      <c r="AB20" s="6" t="inlineStr">
        <is>
          <t>Técnico 01</t>
        </is>
      </c>
      <c r="AC2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0" s="10">
        <f>_xlfn.XLOOKUP(tblOrdenes[[#This Row],[id_operacion]],tblEjecucion[id_operacion],tblEjecucion[precio],0)</f>
        <v/>
      </c>
      <c r="AE20" s="10">
        <f>MAX(0,_xlfn.XLOOKUP(tblOrdenes[[#This Row],[id_operacion]],tblEjecucion[id_operacion],tblEjecucion[costo_plan_total],0)-tblOrdenes[[#This Row],[costo_servicio]])</f>
        <v/>
      </c>
      <c r="AF20" s="10">
        <f>tblOrdenes[[#This Row],[costo_servicio]]+tblOrdenes[[#This Row],[costo_materiales]]</f>
        <v/>
      </c>
      <c r="AG20" s="6" t="inlineStr"/>
      <c r="AH20" s="6" t="inlineStr"/>
      <c r="AI20" s="6" t="inlineStr">
        <is>
          <t>ACT-04.pdf</t>
        </is>
      </c>
      <c r="AJ20" s="3">
        <f>IF(tblOrdenes[[#This Row],[link_checklist]]="","",HYPERLINK(p_ruta_base_checklists&amp;tblOrdenes[[#This Row],[link_checklist]],"abrir"))</f>
        <v/>
      </c>
      <c r="AK20" s="6" t="inlineStr"/>
    </row>
    <row r="21">
      <c r="A21" s="3" t="inlineStr">
        <is>
          <t>OT-000018</t>
        </is>
      </c>
      <c r="B21" s="3" t="inlineStr">
        <is>
          <t>0010</t>
        </is>
      </c>
      <c r="C21" s="3">
        <f>tblOrdenes[[#This Row],[orden]]&amp;IF(tblOrdenes[[#This Row],[operacion]]="","0010",tblOrdenes[[#This Row],[operacion]])</f>
        <v/>
      </c>
      <c r="D21" s="3" t="inlineStr">
        <is>
          <t>Inspección de rutina — EQ-110</t>
        </is>
      </c>
      <c r="E21" s="3" t="inlineStr">
        <is>
          <t>Inspección de rutina en EQ-110</t>
        </is>
      </c>
      <c r="F21" s="3" t="inlineStr">
        <is>
          <t>EQ-110</t>
        </is>
      </c>
      <c r="G21" s="3" t="inlineStr">
        <is>
          <t>CC-310</t>
        </is>
      </c>
      <c r="H21" s="3" t="inlineStr">
        <is>
          <t>PU-MEC</t>
        </is>
      </c>
      <c r="I21" s="3" t="inlineStr">
        <is>
          <t>ACT-01</t>
        </is>
      </c>
      <c r="J21" s="3" t="inlineStr">
        <is>
          <t>TIPO-P1</t>
        </is>
      </c>
      <c r="K21" s="11" t="n">
        <v>46218</v>
      </c>
      <c r="L21" s="3" t="n">
        <v>6</v>
      </c>
      <c r="M21" s="10" t="n">
        <v>150</v>
      </c>
      <c r="N21" s="3">
        <f>_xlfn.XLOOKUP(_xlfn.XLOOKUP(tblOrdenes[[#This Row],[id_operacion]],tblEjecucion[id_operacion],tblEjecucion[estado_sistema],""),tblEstados[estado_sistema],tblEstados[estado_normalizado],"Pendiente")</f>
        <v/>
      </c>
      <c r="O21" s="3">
        <f>IF(tblOrdenes[[#This Row],[fecha_inicio]]="","","S"&amp;IF(_xlfn.ISOWEEKNUM(tblOrdenes[[#This Row],[fecha_inicio]])=53,1,_xlfn.ISOWEEKNUM(tblOrdenes[[#This Row],[fecha_inicio]])))</f>
        <v/>
      </c>
      <c r="P21" s="3">
        <f>IF(tblOrdenes[[#This Row],[fecha_inicio]]="","",YEAR(tblOrdenes[[#This Row],[fecha_inicio]]))</f>
        <v/>
      </c>
      <c r="Q21" s="3">
        <f>IF(tblOrdenes[[#This Row],[fecha_inicio]]="","",MONTH(tblOrdenes[[#This Row],[fecha_inicio]]))</f>
        <v/>
      </c>
      <c r="R21" s="3">
        <f>IF(tblOrdenes[[#This Row],[fecha_inicio]]="","",INDEX(lista_dias,WEEKDAY(tblOrdenes[[#This Row],[fecha_inicio]],2)))</f>
        <v/>
      </c>
      <c r="S21" s="3">
        <f>_xlfn.XLOOKUP(tblOrdenes[[#This Row],[tipo_ot]],tblTiposOT[codigo],tblTiposOT[clasificacion],"sin_clasificar")</f>
        <v/>
      </c>
      <c r="T21" s="3">
        <f>_xlfn.XLOOKUP(tblOrdenes[[#This Row],[centro_costo]],tblCECO[codigo],tblCECO[linea],"(sin catálogo)")</f>
        <v/>
      </c>
      <c r="U21" s="3">
        <f>_xlfn.XLOOKUP(tblOrdenes[[#This Row],[centro_costo]],tblCECO[codigo],tblCECO[area],"(sin catálogo)")</f>
        <v/>
      </c>
      <c r="V21" s="3">
        <f>_xlfn.XLOOKUP(tblOrdenes[[#This Row],[centro_costo]],tblCECO[codigo],tblCECO[coordinador],"(sin catálogo)")</f>
        <v/>
      </c>
      <c r="W21" s="3">
        <f>_xlfn.XLOOKUP(tblOrdenes[[#This Row],[puesto_trabajo]],tblPuestos[codigo],tblPuestos[especialidad],"(sin catálogo)")</f>
        <v/>
      </c>
      <c r="X21" s="3">
        <f>_xlfn.XLOOKUP(tblOrdenes[[#This Row],[cod_actividad]],tblActividades[codigo],tblActividades[descripcion],"(sin catálogo)")</f>
        <v/>
      </c>
      <c r="Y21" s="12">
        <f>IF(tblOrdenes[[#This Row],[fecha_inicio]]="","",TODAY()-tblOrdenes[[#This Row],[fecha_inicio]])</f>
        <v/>
      </c>
      <c r="Z21" s="3">
        <f>IF(tblOrdenes[[#This Row],[backlog_dias]]="","",IF(tblOrdenes[[#This Row],[backlog_dias]]&lt;0,"FUTURO",IF(tblOrdenes[[#This Row],[backlog_dias]]&gt;p_dias_backlog_max,"BACKLOG","MES CORRIENTE")))</f>
        <v/>
      </c>
      <c r="AA21" s="3">
        <f>IF(tblOrdenes[[#This Row],[backlog_dias]]="",FALSE,AND(tblOrdenes[[#This Row],[backlog_dias]]&gt;p_dias_backlog_min,tblOrdenes[[#This Row],[backlog_dias]]&lt;=p_dias_backlog_max))</f>
        <v/>
      </c>
      <c r="AB21" s="6" t="inlineStr">
        <is>
          <t>Técnico 02</t>
        </is>
      </c>
      <c r="AC2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1" s="10">
        <f>_xlfn.XLOOKUP(tblOrdenes[[#This Row],[id_operacion]],tblEjecucion[id_operacion],tblEjecucion[precio],0)</f>
        <v/>
      </c>
      <c r="AE21" s="10">
        <f>MAX(0,_xlfn.XLOOKUP(tblOrdenes[[#This Row],[id_operacion]],tblEjecucion[id_operacion],tblEjecucion[costo_plan_total],0)-tblOrdenes[[#This Row],[costo_servicio]])</f>
        <v/>
      </c>
      <c r="AF21" s="10">
        <f>tblOrdenes[[#This Row],[costo_servicio]]+tblOrdenes[[#This Row],[costo_materiales]]</f>
        <v/>
      </c>
      <c r="AG21" s="6" t="inlineStr"/>
      <c r="AH21" s="6" t="inlineStr"/>
      <c r="AI21" s="6" t="inlineStr">
        <is>
          <t>ACT-01.pdf</t>
        </is>
      </c>
      <c r="AJ21" s="3">
        <f>IF(tblOrdenes[[#This Row],[link_checklist]]="","",HYPERLINK(p_ruta_base_checklists&amp;tblOrdenes[[#This Row],[link_checklist]],"abrir"))</f>
        <v/>
      </c>
      <c r="AK21" s="6" t="inlineStr"/>
    </row>
    <row r="22">
      <c r="A22" s="3" t="inlineStr">
        <is>
          <t>OT-000019</t>
        </is>
      </c>
      <c r="B22" s="3" t="inlineStr">
        <is>
          <t>0010</t>
        </is>
      </c>
      <c r="C22" s="3">
        <f>tblOrdenes[[#This Row],[orden]]&amp;IF(tblOrdenes[[#This Row],[operacion]]="","0010",tblOrdenes[[#This Row],[operacion]])</f>
        <v/>
      </c>
      <c r="D22" s="3" t="inlineStr">
        <is>
          <t>Lubricación programada — EQ-105</t>
        </is>
      </c>
      <c r="E22" s="3" t="inlineStr">
        <is>
          <t>Lubricación programada en EQ-105</t>
        </is>
      </c>
      <c r="F22" s="3" t="inlineStr">
        <is>
          <t>EQ-105</t>
        </is>
      </c>
      <c r="G22" s="3" t="inlineStr">
        <is>
          <t>CC-110</t>
        </is>
      </c>
      <c r="H22" s="3" t="inlineStr">
        <is>
          <t>PU-MEC</t>
        </is>
      </c>
      <c r="I22" s="3" t="inlineStr">
        <is>
          <t>ACT-02</t>
        </is>
      </c>
      <c r="J22" s="3" t="inlineStr">
        <is>
          <t>TIPO-P2</t>
        </is>
      </c>
      <c r="K22" s="11" t="n">
        <v>46219</v>
      </c>
      <c r="L22" s="3" t="n">
        <v>10</v>
      </c>
      <c r="M22" s="10" t="n">
        <v>250</v>
      </c>
      <c r="N22" s="3">
        <f>_xlfn.XLOOKUP(_xlfn.XLOOKUP(tblOrdenes[[#This Row],[id_operacion]],tblEjecucion[id_operacion],tblEjecucion[estado_sistema],""),tblEstados[estado_sistema],tblEstados[estado_normalizado],"Pendiente")</f>
        <v/>
      </c>
      <c r="O22" s="3">
        <f>IF(tblOrdenes[[#This Row],[fecha_inicio]]="","","S"&amp;IF(_xlfn.ISOWEEKNUM(tblOrdenes[[#This Row],[fecha_inicio]])=53,1,_xlfn.ISOWEEKNUM(tblOrdenes[[#This Row],[fecha_inicio]])))</f>
        <v/>
      </c>
      <c r="P22" s="3">
        <f>IF(tblOrdenes[[#This Row],[fecha_inicio]]="","",YEAR(tblOrdenes[[#This Row],[fecha_inicio]]))</f>
        <v/>
      </c>
      <c r="Q22" s="3">
        <f>IF(tblOrdenes[[#This Row],[fecha_inicio]]="","",MONTH(tblOrdenes[[#This Row],[fecha_inicio]]))</f>
        <v/>
      </c>
      <c r="R22" s="3">
        <f>IF(tblOrdenes[[#This Row],[fecha_inicio]]="","",INDEX(lista_dias,WEEKDAY(tblOrdenes[[#This Row],[fecha_inicio]],2)))</f>
        <v/>
      </c>
      <c r="S22" s="3">
        <f>_xlfn.XLOOKUP(tblOrdenes[[#This Row],[tipo_ot]],tblTiposOT[codigo],tblTiposOT[clasificacion],"sin_clasificar")</f>
        <v/>
      </c>
      <c r="T22" s="3">
        <f>_xlfn.XLOOKUP(tblOrdenes[[#This Row],[centro_costo]],tblCECO[codigo],tblCECO[linea],"(sin catálogo)")</f>
        <v/>
      </c>
      <c r="U22" s="3">
        <f>_xlfn.XLOOKUP(tblOrdenes[[#This Row],[centro_costo]],tblCECO[codigo],tblCECO[area],"(sin catálogo)")</f>
        <v/>
      </c>
      <c r="V22" s="3">
        <f>_xlfn.XLOOKUP(tblOrdenes[[#This Row],[centro_costo]],tblCECO[codigo],tblCECO[coordinador],"(sin catálogo)")</f>
        <v/>
      </c>
      <c r="W22" s="3">
        <f>_xlfn.XLOOKUP(tblOrdenes[[#This Row],[puesto_trabajo]],tblPuestos[codigo],tblPuestos[especialidad],"(sin catálogo)")</f>
        <v/>
      </c>
      <c r="X22" s="3">
        <f>_xlfn.XLOOKUP(tblOrdenes[[#This Row],[cod_actividad]],tblActividades[codigo],tblActividades[descripcion],"(sin catálogo)")</f>
        <v/>
      </c>
      <c r="Y22" s="12">
        <f>IF(tblOrdenes[[#This Row],[fecha_inicio]]="","",TODAY()-tblOrdenes[[#This Row],[fecha_inicio]])</f>
        <v/>
      </c>
      <c r="Z22" s="3">
        <f>IF(tblOrdenes[[#This Row],[backlog_dias]]="","",IF(tblOrdenes[[#This Row],[backlog_dias]]&lt;0,"FUTURO",IF(tblOrdenes[[#This Row],[backlog_dias]]&gt;p_dias_backlog_max,"BACKLOG","MES CORRIENTE")))</f>
        <v/>
      </c>
      <c r="AA22" s="3">
        <f>IF(tblOrdenes[[#This Row],[backlog_dias]]="",FALSE,AND(tblOrdenes[[#This Row],[backlog_dias]]&gt;p_dias_backlog_min,tblOrdenes[[#This Row],[backlog_dias]]&lt;=p_dias_backlog_max))</f>
        <v/>
      </c>
      <c r="AB22" s="6" t="inlineStr">
        <is>
          <t>Técnico 03</t>
        </is>
      </c>
      <c r="AC2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2" s="10">
        <f>_xlfn.XLOOKUP(tblOrdenes[[#This Row],[id_operacion]],tblEjecucion[id_operacion],tblEjecucion[precio],0)</f>
        <v/>
      </c>
      <c r="AE22" s="10">
        <f>MAX(0,_xlfn.XLOOKUP(tblOrdenes[[#This Row],[id_operacion]],tblEjecucion[id_operacion],tblEjecucion[costo_plan_total],0)-tblOrdenes[[#This Row],[costo_servicio]])</f>
        <v/>
      </c>
      <c r="AF22" s="10">
        <f>tblOrdenes[[#This Row],[costo_servicio]]+tblOrdenes[[#This Row],[costo_materiales]]</f>
        <v/>
      </c>
      <c r="AG22" s="6" t="inlineStr"/>
      <c r="AH22" s="6" t="inlineStr"/>
      <c r="AI22" s="6" t="inlineStr">
        <is>
          <t>ACT-02.pdf</t>
        </is>
      </c>
      <c r="AJ22" s="3">
        <f>IF(tblOrdenes[[#This Row],[link_checklist]]="","",HYPERLINK(p_ruta_base_checklists&amp;tblOrdenes[[#This Row],[link_checklist]],"abrir"))</f>
        <v/>
      </c>
      <c r="AK22" s="6" t="inlineStr"/>
    </row>
    <row r="23">
      <c r="A23" s="3" t="inlineStr">
        <is>
          <t>OT-000020</t>
        </is>
      </c>
      <c r="B23" s="3" t="inlineStr">
        <is>
          <t>0010</t>
        </is>
      </c>
      <c r="C23" s="3">
        <f>tblOrdenes[[#This Row],[orden]]&amp;IF(tblOrdenes[[#This Row],[operacion]]="","0010",tblOrdenes[[#This Row],[operacion]])</f>
        <v/>
      </c>
      <c r="D23" s="3" t="inlineStr">
        <is>
          <t>Análisis predictivo — EQ-106</t>
        </is>
      </c>
      <c r="E23" s="3" t="inlineStr">
        <is>
          <t>Análisis predictivo en EQ-106</t>
        </is>
      </c>
      <c r="F23" s="3" t="inlineStr">
        <is>
          <t>EQ-106</t>
        </is>
      </c>
      <c r="G23" s="3" t="inlineStr">
        <is>
          <t>CC-210</t>
        </is>
      </c>
      <c r="H23" s="3" t="inlineStr">
        <is>
          <t>PU-MEC</t>
        </is>
      </c>
      <c r="I23" s="3" t="inlineStr">
        <is>
          <t>ACT-04</t>
        </is>
      </c>
      <c r="J23" s="3" t="inlineStr">
        <is>
          <t>TIPO-P1</t>
        </is>
      </c>
      <c r="K23" s="11" t="n">
        <v>46220</v>
      </c>
      <c r="L23" s="3" t="n">
        <v>8</v>
      </c>
      <c r="M23" s="10" t="n">
        <v>200</v>
      </c>
      <c r="N23" s="3">
        <f>_xlfn.XLOOKUP(_xlfn.XLOOKUP(tblOrdenes[[#This Row],[id_operacion]],tblEjecucion[id_operacion],tblEjecucion[estado_sistema],""),tblEstados[estado_sistema],tblEstados[estado_normalizado],"Pendiente")</f>
        <v/>
      </c>
      <c r="O23" s="3">
        <f>IF(tblOrdenes[[#This Row],[fecha_inicio]]="","","S"&amp;IF(_xlfn.ISOWEEKNUM(tblOrdenes[[#This Row],[fecha_inicio]])=53,1,_xlfn.ISOWEEKNUM(tblOrdenes[[#This Row],[fecha_inicio]])))</f>
        <v/>
      </c>
      <c r="P23" s="3">
        <f>IF(tblOrdenes[[#This Row],[fecha_inicio]]="","",YEAR(tblOrdenes[[#This Row],[fecha_inicio]]))</f>
        <v/>
      </c>
      <c r="Q23" s="3">
        <f>IF(tblOrdenes[[#This Row],[fecha_inicio]]="","",MONTH(tblOrdenes[[#This Row],[fecha_inicio]]))</f>
        <v/>
      </c>
      <c r="R23" s="3">
        <f>IF(tblOrdenes[[#This Row],[fecha_inicio]]="","",INDEX(lista_dias,WEEKDAY(tblOrdenes[[#This Row],[fecha_inicio]],2)))</f>
        <v/>
      </c>
      <c r="S23" s="3">
        <f>_xlfn.XLOOKUP(tblOrdenes[[#This Row],[tipo_ot]],tblTiposOT[codigo],tblTiposOT[clasificacion],"sin_clasificar")</f>
        <v/>
      </c>
      <c r="T23" s="3">
        <f>_xlfn.XLOOKUP(tblOrdenes[[#This Row],[centro_costo]],tblCECO[codigo],tblCECO[linea],"(sin catálogo)")</f>
        <v/>
      </c>
      <c r="U23" s="3">
        <f>_xlfn.XLOOKUP(tblOrdenes[[#This Row],[centro_costo]],tblCECO[codigo],tblCECO[area],"(sin catálogo)")</f>
        <v/>
      </c>
      <c r="V23" s="3">
        <f>_xlfn.XLOOKUP(tblOrdenes[[#This Row],[centro_costo]],tblCECO[codigo],tblCECO[coordinador],"(sin catálogo)")</f>
        <v/>
      </c>
      <c r="W23" s="3">
        <f>_xlfn.XLOOKUP(tblOrdenes[[#This Row],[puesto_trabajo]],tblPuestos[codigo],tblPuestos[especialidad],"(sin catálogo)")</f>
        <v/>
      </c>
      <c r="X23" s="3">
        <f>_xlfn.XLOOKUP(tblOrdenes[[#This Row],[cod_actividad]],tblActividades[codigo],tblActividades[descripcion],"(sin catálogo)")</f>
        <v/>
      </c>
      <c r="Y23" s="12">
        <f>IF(tblOrdenes[[#This Row],[fecha_inicio]]="","",TODAY()-tblOrdenes[[#This Row],[fecha_inicio]])</f>
        <v/>
      </c>
      <c r="Z23" s="3">
        <f>IF(tblOrdenes[[#This Row],[backlog_dias]]="","",IF(tblOrdenes[[#This Row],[backlog_dias]]&lt;0,"FUTURO",IF(tblOrdenes[[#This Row],[backlog_dias]]&gt;p_dias_backlog_max,"BACKLOG","MES CORRIENTE")))</f>
        <v/>
      </c>
      <c r="AA23" s="3">
        <f>IF(tblOrdenes[[#This Row],[backlog_dias]]="",FALSE,AND(tblOrdenes[[#This Row],[backlog_dias]]&gt;p_dias_backlog_min,tblOrdenes[[#This Row],[backlog_dias]]&lt;=p_dias_backlog_max))</f>
        <v/>
      </c>
      <c r="AB23" s="6" t="inlineStr">
        <is>
          <t>Técnico 04</t>
        </is>
      </c>
      <c r="AC2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3" s="10">
        <f>_xlfn.XLOOKUP(tblOrdenes[[#This Row],[id_operacion]],tblEjecucion[id_operacion],tblEjecucion[precio],0)</f>
        <v/>
      </c>
      <c r="AE23" s="10">
        <f>MAX(0,_xlfn.XLOOKUP(tblOrdenes[[#This Row],[id_operacion]],tblEjecucion[id_operacion],tblEjecucion[costo_plan_total],0)-tblOrdenes[[#This Row],[costo_servicio]])</f>
        <v/>
      </c>
      <c r="AF23" s="10">
        <f>tblOrdenes[[#This Row],[costo_servicio]]+tblOrdenes[[#This Row],[costo_materiales]]</f>
        <v/>
      </c>
      <c r="AG23" s="6" t="inlineStr"/>
      <c r="AH23" s="6" t="inlineStr"/>
      <c r="AI23" s="6" t="inlineStr">
        <is>
          <t>ACT-04.pdf</t>
        </is>
      </c>
      <c r="AJ23" s="3">
        <f>IF(tblOrdenes[[#This Row],[link_checklist]]="","",HYPERLINK(p_ruta_base_checklists&amp;tblOrdenes[[#This Row],[link_checklist]],"abrir"))</f>
        <v/>
      </c>
      <c r="AK23" s="6" t="inlineStr"/>
    </row>
    <row r="24">
      <c r="A24" s="3" t="inlineStr">
        <is>
          <t>OT-000021</t>
        </is>
      </c>
      <c r="B24" s="3" t="inlineStr">
        <is>
          <t>0010</t>
        </is>
      </c>
      <c r="C24" s="3">
        <f>tblOrdenes[[#This Row],[orden]]&amp;IF(tblOrdenes[[#This Row],[operacion]]="","0010",tblOrdenes[[#This Row],[operacion]])</f>
        <v/>
      </c>
      <c r="D24" s="3" t="inlineStr">
        <is>
          <t>Inspección de rutina — EQ-110</t>
        </is>
      </c>
      <c r="E24" s="3" t="inlineStr">
        <is>
          <t>Inspección de rutina en EQ-110</t>
        </is>
      </c>
      <c r="F24" s="3" t="inlineStr">
        <is>
          <t>EQ-110</t>
        </is>
      </c>
      <c r="G24" s="3" t="inlineStr">
        <is>
          <t>CC-310</t>
        </is>
      </c>
      <c r="H24" s="3" t="inlineStr">
        <is>
          <t>PU-MEC</t>
        </is>
      </c>
      <c r="I24" s="3" t="inlineStr">
        <is>
          <t>ACT-01</t>
        </is>
      </c>
      <c r="J24" s="3" t="inlineStr">
        <is>
          <t>TIPO-P2</t>
        </is>
      </c>
      <c r="K24" s="11" t="n">
        <v>46216</v>
      </c>
      <c r="L24" s="3" t="n">
        <v>6</v>
      </c>
      <c r="M24" s="10" t="n">
        <v>150</v>
      </c>
      <c r="N24" s="3">
        <f>_xlfn.XLOOKUP(_xlfn.XLOOKUP(tblOrdenes[[#This Row],[id_operacion]],tblEjecucion[id_operacion],tblEjecucion[estado_sistema],""),tblEstados[estado_sistema],tblEstados[estado_normalizado],"Pendiente")</f>
        <v/>
      </c>
      <c r="O24" s="3">
        <f>IF(tblOrdenes[[#This Row],[fecha_inicio]]="","","S"&amp;IF(_xlfn.ISOWEEKNUM(tblOrdenes[[#This Row],[fecha_inicio]])=53,1,_xlfn.ISOWEEKNUM(tblOrdenes[[#This Row],[fecha_inicio]])))</f>
        <v/>
      </c>
      <c r="P24" s="3">
        <f>IF(tblOrdenes[[#This Row],[fecha_inicio]]="","",YEAR(tblOrdenes[[#This Row],[fecha_inicio]]))</f>
        <v/>
      </c>
      <c r="Q24" s="3">
        <f>IF(tblOrdenes[[#This Row],[fecha_inicio]]="","",MONTH(tblOrdenes[[#This Row],[fecha_inicio]]))</f>
        <v/>
      </c>
      <c r="R24" s="3">
        <f>IF(tblOrdenes[[#This Row],[fecha_inicio]]="","",INDEX(lista_dias,WEEKDAY(tblOrdenes[[#This Row],[fecha_inicio]],2)))</f>
        <v/>
      </c>
      <c r="S24" s="3">
        <f>_xlfn.XLOOKUP(tblOrdenes[[#This Row],[tipo_ot]],tblTiposOT[codigo],tblTiposOT[clasificacion],"sin_clasificar")</f>
        <v/>
      </c>
      <c r="T24" s="3">
        <f>_xlfn.XLOOKUP(tblOrdenes[[#This Row],[centro_costo]],tblCECO[codigo],tblCECO[linea],"(sin catálogo)")</f>
        <v/>
      </c>
      <c r="U24" s="3">
        <f>_xlfn.XLOOKUP(tblOrdenes[[#This Row],[centro_costo]],tblCECO[codigo],tblCECO[area],"(sin catálogo)")</f>
        <v/>
      </c>
      <c r="V24" s="3">
        <f>_xlfn.XLOOKUP(tblOrdenes[[#This Row],[centro_costo]],tblCECO[codigo],tblCECO[coordinador],"(sin catálogo)")</f>
        <v/>
      </c>
      <c r="W24" s="3">
        <f>_xlfn.XLOOKUP(tblOrdenes[[#This Row],[puesto_trabajo]],tblPuestos[codigo],tblPuestos[especialidad],"(sin catálogo)")</f>
        <v/>
      </c>
      <c r="X24" s="3">
        <f>_xlfn.XLOOKUP(tblOrdenes[[#This Row],[cod_actividad]],tblActividades[codigo],tblActividades[descripcion],"(sin catálogo)")</f>
        <v/>
      </c>
      <c r="Y24" s="12">
        <f>IF(tblOrdenes[[#This Row],[fecha_inicio]]="","",TODAY()-tblOrdenes[[#This Row],[fecha_inicio]])</f>
        <v/>
      </c>
      <c r="Z24" s="3">
        <f>IF(tblOrdenes[[#This Row],[backlog_dias]]="","",IF(tblOrdenes[[#This Row],[backlog_dias]]&lt;0,"FUTURO",IF(tblOrdenes[[#This Row],[backlog_dias]]&gt;p_dias_backlog_max,"BACKLOG","MES CORRIENTE")))</f>
        <v/>
      </c>
      <c r="AA24" s="3">
        <f>IF(tblOrdenes[[#This Row],[backlog_dias]]="",FALSE,AND(tblOrdenes[[#This Row],[backlog_dias]]&gt;p_dias_backlog_min,tblOrdenes[[#This Row],[backlog_dias]]&lt;=p_dias_backlog_max))</f>
        <v/>
      </c>
      <c r="AB24" s="6" t="inlineStr">
        <is>
          <t>Técnico 01</t>
        </is>
      </c>
      <c r="AC2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4" s="10">
        <f>_xlfn.XLOOKUP(tblOrdenes[[#This Row],[id_operacion]],tblEjecucion[id_operacion],tblEjecucion[precio],0)</f>
        <v/>
      </c>
      <c r="AE24" s="10">
        <f>MAX(0,_xlfn.XLOOKUP(tblOrdenes[[#This Row],[id_operacion]],tblEjecucion[id_operacion],tblEjecucion[costo_plan_total],0)-tblOrdenes[[#This Row],[costo_servicio]])</f>
        <v/>
      </c>
      <c r="AF24" s="10">
        <f>tblOrdenes[[#This Row],[costo_servicio]]+tblOrdenes[[#This Row],[costo_materiales]]</f>
        <v/>
      </c>
      <c r="AG24" s="6" t="inlineStr"/>
      <c r="AH24" s="6" t="inlineStr"/>
      <c r="AI24" s="6" t="inlineStr">
        <is>
          <t>ACT-01.pdf</t>
        </is>
      </c>
      <c r="AJ24" s="3">
        <f>IF(tblOrdenes[[#This Row],[link_checklist]]="","",HYPERLINK(p_ruta_base_checklists&amp;tblOrdenes[[#This Row],[link_checklist]],"abrir"))</f>
        <v/>
      </c>
      <c r="AK24" s="6" t="inlineStr"/>
    </row>
    <row r="25">
      <c r="A25" s="3" t="inlineStr">
        <is>
          <t>OT-000022</t>
        </is>
      </c>
      <c r="B25" s="3" t="inlineStr">
        <is>
          <t>0010</t>
        </is>
      </c>
      <c r="C25" s="3">
        <f>tblOrdenes[[#This Row],[orden]]&amp;IF(tblOrdenes[[#This Row],[operacion]]="","0010",tblOrdenes[[#This Row],[operacion]])</f>
        <v/>
      </c>
      <c r="D25" s="3" t="inlineStr">
        <is>
          <t>Lubricación programada — EQ-103</t>
        </is>
      </c>
      <c r="E25" s="3" t="inlineStr">
        <is>
          <t>Lubricación programada en EQ-103</t>
        </is>
      </c>
      <c r="F25" s="3" t="inlineStr">
        <is>
          <t>EQ-103</t>
        </is>
      </c>
      <c r="G25" s="3" t="inlineStr">
        <is>
          <t>CC-110</t>
        </is>
      </c>
      <c r="H25" s="3" t="inlineStr">
        <is>
          <t>PU-MEC</t>
        </is>
      </c>
      <c r="I25" s="3" t="inlineStr">
        <is>
          <t>ACT-02</t>
        </is>
      </c>
      <c r="J25" s="3" t="inlineStr">
        <is>
          <t>TIPO-P1</t>
        </is>
      </c>
      <c r="K25" s="11" t="n">
        <v>46217</v>
      </c>
      <c r="L25" s="3" t="n">
        <v>8</v>
      </c>
      <c r="M25" s="10" t="n">
        <v>200</v>
      </c>
      <c r="N25" s="3">
        <f>_xlfn.XLOOKUP(_xlfn.XLOOKUP(tblOrdenes[[#This Row],[id_operacion]],tblEjecucion[id_operacion],tblEjecucion[estado_sistema],""),tblEstados[estado_sistema],tblEstados[estado_normalizado],"Pendiente")</f>
        <v/>
      </c>
      <c r="O25" s="3">
        <f>IF(tblOrdenes[[#This Row],[fecha_inicio]]="","","S"&amp;IF(_xlfn.ISOWEEKNUM(tblOrdenes[[#This Row],[fecha_inicio]])=53,1,_xlfn.ISOWEEKNUM(tblOrdenes[[#This Row],[fecha_inicio]])))</f>
        <v/>
      </c>
      <c r="P25" s="3">
        <f>IF(tblOrdenes[[#This Row],[fecha_inicio]]="","",YEAR(tblOrdenes[[#This Row],[fecha_inicio]]))</f>
        <v/>
      </c>
      <c r="Q25" s="3">
        <f>IF(tblOrdenes[[#This Row],[fecha_inicio]]="","",MONTH(tblOrdenes[[#This Row],[fecha_inicio]]))</f>
        <v/>
      </c>
      <c r="R25" s="3">
        <f>IF(tblOrdenes[[#This Row],[fecha_inicio]]="","",INDEX(lista_dias,WEEKDAY(tblOrdenes[[#This Row],[fecha_inicio]],2)))</f>
        <v/>
      </c>
      <c r="S25" s="3">
        <f>_xlfn.XLOOKUP(tblOrdenes[[#This Row],[tipo_ot]],tblTiposOT[codigo],tblTiposOT[clasificacion],"sin_clasificar")</f>
        <v/>
      </c>
      <c r="T25" s="3">
        <f>_xlfn.XLOOKUP(tblOrdenes[[#This Row],[centro_costo]],tblCECO[codigo],tblCECO[linea],"(sin catálogo)")</f>
        <v/>
      </c>
      <c r="U25" s="3">
        <f>_xlfn.XLOOKUP(tblOrdenes[[#This Row],[centro_costo]],tblCECO[codigo],tblCECO[area],"(sin catálogo)")</f>
        <v/>
      </c>
      <c r="V25" s="3">
        <f>_xlfn.XLOOKUP(tblOrdenes[[#This Row],[centro_costo]],tblCECO[codigo],tblCECO[coordinador],"(sin catálogo)")</f>
        <v/>
      </c>
      <c r="W25" s="3">
        <f>_xlfn.XLOOKUP(tblOrdenes[[#This Row],[puesto_trabajo]],tblPuestos[codigo],tblPuestos[especialidad],"(sin catálogo)")</f>
        <v/>
      </c>
      <c r="X25" s="3">
        <f>_xlfn.XLOOKUP(tblOrdenes[[#This Row],[cod_actividad]],tblActividades[codigo],tblActividades[descripcion],"(sin catálogo)")</f>
        <v/>
      </c>
      <c r="Y25" s="12">
        <f>IF(tblOrdenes[[#This Row],[fecha_inicio]]="","",TODAY()-tblOrdenes[[#This Row],[fecha_inicio]])</f>
        <v/>
      </c>
      <c r="Z25" s="3">
        <f>IF(tblOrdenes[[#This Row],[backlog_dias]]="","",IF(tblOrdenes[[#This Row],[backlog_dias]]&lt;0,"FUTURO",IF(tblOrdenes[[#This Row],[backlog_dias]]&gt;p_dias_backlog_max,"BACKLOG","MES CORRIENTE")))</f>
        <v/>
      </c>
      <c r="AA25" s="3">
        <f>IF(tblOrdenes[[#This Row],[backlog_dias]]="",FALSE,AND(tblOrdenes[[#This Row],[backlog_dias]]&gt;p_dias_backlog_min,tblOrdenes[[#This Row],[backlog_dias]]&lt;=p_dias_backlog_max))</f>
        <v/>
      </c>
      <c r="AB25" s="6" t="inlineStr">
        <is>
          <t>Técnico 02</t>
        </is>
      </c>
      <c r="AC2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5" s="10">
        <f>_xlfn.XLOOKUP(tblOrdenes[[#This Row],[id_operacion]],tblEjecucion[id_operacion],tblEjecucion[precio],0)</f>
        <v/>
      </c>
      <c r="AE25" s="10">
        <f>MAX(0,_xlfn.XLOOKUP(tblOrdenes[[#This Row],[id_operacion]],tblEjecucion[id_operacion],tblEjecucion[costo_plan_total],0)-tblOrdenes[[#This Row],[costo_servicio]])</f>
        <v/>
      </c>
      <c r="AF25" s="10">
        <f>tblOrdenes[[#This Row],[costo_servicio]]+tblOrdenes[[#This Row],[costo_materiales]]</f>
        <v/>
      </c>
      <c r="AG25" s="6" t="inlineStr"/>
      <c r="AH25" s="6" t="inlineStr"/>
      <c r="AI25" s="6" t="inlineStr">
        <is>
          <t>ACT-02.pdf</t>
        </is>
      </c>
      <c r="AJ25" s="3">
        <f>IF(tblOrdenes[[#This Row],[link_checklist]]="","",HYPERLINK(p_ruta_base_checklists&amp;tblOrdenes[[#This Row],[link_checklist]],"abrir"))</f>
        <v/>
      </c>
      <c r="AK25" s="6" t="inlineStr"/>
    </row>
    <row r="26">
      <c r="A26" s="3" t="inlineStr">
        <is>
          <t>OT-000023</t>
        </is>
      </c>
      <c r="B26" s="3" t="inlineStr">
        <is>
          <t>0010</t>
        </is>
      </c>
      <c r="C26" s="3">
        <f>tblOrdenes[[#This Row],[orden]]&amp;IF(tblOrdenes[[#This Row],[operacion]]="","0010",tblOrdenes[[#This Row],[operacion]])</f>
        <v/>
      </c>
      <c r="D26" s="3" t="inlineStr">
        <is>
          <t>Reparación de falla — EQ-109</t>
        </is>
      </c>
      <c r="E26" s="3" t="inlineStr">
        <is>
          <t>Reparación de falla en EQ-109</t>
        </is>
      </c>
      <c r="F26" s="3" t="inlineStr">
        <is>
          <t>EQ-109</t>
        </is>
      </c>
      <c r="G26" s="3" t="inlineStr">
        <is>
          <t>CC-210</t>
        </is>
      </c>
      <c r="H26" s="3" t="inlineStr">
        <is>
          <t>PU-MEC</t>
        </is>
      </c>
      <c r="I26" s="3" t="inlineStr">
        <is>
          <t>ACT-03</t>
        </is>
      </c>
      <c r="J26" s="3" t="inlineStr">
        <is>
          <t>TIPO-C2</t>
        </is>
      </c>
      <c r="K26" s="11" t="n">
        <v>46218</v>
      </c>
      <c r="L26" s="3" t="n">
        <v>10</v>
      </c>
      <c r="M26" s="10" t="n">
        <v>400</v>
      </c>
      <c r="N26" s="3">
        <f>_xlfn.XLOOKUP(_xlfn.XLOOKUP(tblOrdenes[[#This Row],[id_operacion]],tblEjecucion[id_operacion],tblEjecucion[estado_sistema],""),tblEstados[estado_sistema],tblEstados[estado_normalizado],"Pendiente")</f>
        <v/>
      </c>
      <c r="O26" s="3">
        <f>IF(tblOrdenes[[#This Row],[fecha_inicio]]="","","S"&amp;IF(_xlfn.ISOWEEKNUM(tblOrdenes[[#This Row],[fecha_inicio]])=53,1,_xlfn.ISOWEEKNUM(tblOrdenes[[#This Row],[fecha_inicio]])))</f>
        <v/>
      </c>
      <c r="P26" s="3">
        <f>IF(tblOrdenes[[#This Row],[fecha_inicio]]="","",YEAR(tblOrdenes[[#This Row],[fecha_inicio]]))</f>
        <v/>
      </c>
      <c r="Q26" s="3">
        <f>IF(tblOrdenes[[#This Row],[fecha_inicio]]="","",MONTH(tblOrdenes[[#This Row],[fecha_inicio]]))</f>
        <v/>
      </c>
      <c r="R26" s="3">
        <f>IF(tblOrdenes[[#This Row],[fecha_inicio]]="","",INDEX(lista_dias,WEEKDAY(tblOrdenes[[#This Row],[fecha_inicio]],2)))</f>
        <v/>
      </c>
      <c r="S26" s="3">
        <f>_xlfn.XLOOKUP(tblOrdenes[[#This Row],[tipo_ot]],tblTiposOT[codigo],tblTiposOT[clasificacion],"sin_clasificar")</f>
        <v/>
      </c>
      <c r="T26" s="3">
        <f>_xlfn.XLOOKUP(tblOrdenes[[#This Row],[centro_costo]],tblCECO[codigo],tblCECO[linea],"(sin catálogo)")</f>
        <v/>
      </c>
      <c r="U26" s="3">
        <f>_xlfn.XLOOKUP(tblOrdenes[[#This Row],[centro_costo]],tblCECO[codigo],tblCECO[area],"(sin catálogo)")</f>
        <v/>
      </c>
      <c r="V26" s="3">
        <f>_xlfn.XLOOKUP(tblOrdenes[[#This Row],[centro_costo]],tblCECO[codigo],tblCECO[coordinador],"(sin catálogo)")</f>
        <v/>
      </c>
      <c r="W26" s="3">
        <f>_xlfn.XLOOKUP(tblOrdenes[[#This Row],[puesto_trabajo]],tblPuestos[codigo],tblPuestos[especialidad],"(sin catálogo)")</f>
        <v/>
      </c>
      <c r="X26" s="3">
        <f>_xlfn.XLOOKUP(tblOrdenes[[#This Row],[cod_actividad]],tblActividades[codigo],tblActividades[descripcion],"(sin catálogo)")</f>
        <v/>
      </c>
      <c r="Y26" s="12">
        <f>IF(tblOrdenes[[#This Row],[fecha_inicio]]="","",TODAY()-tblOrdenes[[#This Row],[fecha_inicio]])</f>
        <v/>
      </c>
      <c r="Z26" s="3">
        <f>IF(tblOrdenes[[#This Row],[backlog_dias]]="","",IF(tblOrdenes[[#This Row],[backlog_dias]]&lt;0,"FUTURO",IF(tblOrdenes[[#This Row],[backlog_dias]]&gt;p_dias_backlog_max,"BACKLOG","MES CORRIENTE")))</f>
        <v/>
      </c>
      <c r="AA26" s="3">
        <f>IF(tblOrdenes[[#This Row],[backlog_dias]]="",FALSE,AND(tblOrdenes[[#This Row],[backlog_dias]]&gt;p_dias_backlog_min,tblOrdenes[[#This Row],[backlog_dias]]&lt;=p_dias_backlog_max))</f>
        <v/>
      </c>
      <c r="AB26" s="6" t="inlineStr">
        <is>
          <t>Técnico 03</t>
        </is>
      </c>
      <c r="AC2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6" s="10">
        <f>_xlfn.XLOOKUP(tblOrdenes[[#This Row],[id_operacion]],tblEjecucion[id_operacion],tblEjecucion[precio],0)</f>
        <v/>
      </c>
      <c r="AE26" s="10">
        <f>MAX(0,_xlfn.XLOOKUP(tblOrdenes[[#This Row],[id_operacion]],tblEjecucion[id_operacion],tblEjecucion[costo_plan_total],0)-tblOrdenes[[#This Row],[costo_servicio]])</f>
        <v/>
      </c>
      <c r="AF26" s="10">
        <f>tblOrdenes[[#This Row],[costo_servicio]]+tblOrdenes[[#This Row],[costo_materiales]]</f>
        <v/>
      </c>
      <c r="AG26" s="6" t="inlineStr"/>
      <c r="AH26" s="6" t="inlineStr"/>
      <c r="AI26" s="6" t="inlineStr"/>
      <c r="AJ26" s="3">
        <f>IF(tblOrdenes[[#This Row],[link_checklist]]="","",HYPERLINK(p_ruta_base_checklists&amp;tblOrdenes[[#This Row],[link_checklist]],"abrir"))</f>
        <v/>
      </c>
      <c r="AK26" s="6" t="inlineStr"/>
    </row>
    <row r="27">
      <c r="A27" s="3" t="inlineStr">
        <is>
          <t>OT-000024</t>
        </is>
      </c>
      <c r="B27" s="3" t="inlineStr">
        <is>
          <t>0010</t>
        </is>
      </c>
      <c r="C27" s="3">
        <f>tblOrdenes[[#This Row],[orden]]&amp;IF(tblOrdenes[[#This Row],[operacion]]="","0010",tblOrdenes[[#This Row],[operacion]])</f>
        <v/>
      </c>
      <c r="D27" s="3" t="inlineStr">
        <is>
          <t>Reparación de falla — EQ-110</t>
        </is>
      </c>
      <c r="E27" s="3" t="inlineStr">
        <is>
          <t>Reparación de falla en EQ-110</t>
        </is>
      </c>
      <c r="F27" s="3" t="inlineStr">
        <is>
          <t>EQ-110</t>
        </is>
      </c>
      <c r="G27" s="3" t="inlineStr">
        <is>
          <t>CC-310</t>
        </is>
      </c>
      <c r="H27" s="3" t="inlineStr">
        <is>
          <t>PU-MEC</t>
        </is>
      </c>
      <c r="I27" s="3" t="inlineStr">
        <is>
          <t>ACT-03</t>
        </is>
      </c>
      <c r="J27" s="3" t="inlineStr">
        <is>
          <t>TIPO-C1</t>
        </is>
      </c>
      <c r="K27" s="11" t="n">
        <v>46219</v>
      </c>
      <c r="L27" s="3" t="n">
        <v>8</v>
      </c>
      <c r="M27" s="10" t="n">
        <v>320</v>
      </c>
      <c r="N27" s="3">
        <f>_xlfn.XLOOKUP(_xlfn.XLOOKUP(tblOrdenes[[#This Row],[id_operacion]],tblEjecucion[id_operacion],tblEjecucion[estado_sistema],""),tblEstados[estado_sistema],tblEstados[estado_normalizado],"Pendiente")</f>
        <v/>
      </c>
      <c r="O27" s="3">
        <f>IF(tblOrdenes[[#This Row],[fecha_inicio]]="","","S"&amp;IF(_xlfn.ISOWEEKNUM(tblOrdenes[[#This Row],[fecha_inicio]])=53,1,_xlfn.ISOWEEKNUM(tblOrdenes[[#This Row],[fecha_inicio]])))</f>
        <v/>
      </c>
      <c r="P27" s="3">
        <f>IF(tblOrdenes[[#This Row],[fecha_inicio]]="","",YEAR(tblOrdenes[[#This Row],[fecha_inicio]]))</f>
        <v/>
      </c>
      <c r="Q27" s="3">
        <f>IF(tblOrdenes[[#This Row],[fecha_inicio]]="","",MONTH(tblOrdenes[[#This Row],[fecha_inicio]]))</f>
        <v/>
      </c>
      <c r="R27" s="3">
        <f>IF(tblOrdenes[[#This Row],[fecha_inicio]]="","",INDEX(lista_dias,WEEKDAY(tblOrdenes[[#This Row],[fecha_inicio]],2)))</f>
        <v/>
      </c>
      <c r="S27" s="3">
        <f>_xlfn.XLOOKUP(tblOrdenes[[#This Row],[tipo_ot]],tblTiposOT[codigo],tblTiposOT[clasificacion],"sin_clasificar")</f>
        <v/>
      </c>
      <c r="T27" s="3">
        <f>_xlfn.XLOOKUP(tblOrdenes[[#This Row],[centro_costo]],tblCECO[codigo],tblCECO[linea],"(sin catálogo)")</f>
        <v/>
      </c>
      <c r="U27" s="3">
        <f>_xlfn.XLOOKUP(tblOrdenes[[#This Row],[centro_costo]],tblCECO[codigo],tblCECO[area],"(sin catálogo)")</f>
        <v/>
      </c>
      <c r="V27" s="3">
        <f>_xlfn.XLOOKUP(tblOrdenes[[#This Row],[centro_costo]],tblCECO[codigo],tblCECO[coordinador],"(sin catálogo)")</f>
        <v/>
      </c>
      <c r="W27" s="3">
        <f>_xlfn.XLOOKUP(tblOrdenes[[#This Row],[puesto_trabajo]],tblPuestos[codigo],tblPuestos[especialidad],"(sin catálogo)")</f>
        <v/>
      </c>
      <c r="X27" s="3">
        <f>_xlfn.XLOOKUP(tblOrdenes[[#This Row],[cod_actividad]],tblActividades[codigo],tblActividades[descripcion],"(sin catálogo)")</f>
        <v/>
      </c>
      <c r="Y27" s="12">
        <f>IF(tblOrdenes[[#This Row],[fecha_inicio]]="","",TODAY()-tblOrdenes[[#This Row],[fecha_inicio]])</f>
        <v/>
      </c>
      <c r="Z27" s="3">
        <f>IF(tblOrdenes[[#This Row],[backlog_dias]]="","",IF(tblOrdenes[[#This Row],[backlog_dias]]&lt;0,"FUTURO",IF(tblOrdenes[[#This Row],[backlog_dias]]&gt;p_dias_backlog_max,"BACKLOG","MES CORRIENTE")))</f>
        <v/>
      </c>
      <c r="AA27" s="3">
        <f>IF(tblOrdenes[[#This Row],[backlog_dias]]="",FALSE,AND(tblOrdenes[[#This Row],[backlog_dias]]&gt;p_dias_backlog_min,tblOrdenes[[#This Row],[backlog_dias]]&lt;=p_dias_backlog_max))</f>
        <v/>
      </c>
      <c r="AB27" s="6" t="inlineStr"/>
      <c r="AC2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7" s="10">
        <f>_xlfn.XLOOKUP(tblOrdenes[[#This Row],[id_operacion]],tblEjecucion[id_operacion],tblEjecucion[precio],0)</f>
        <v/>
      </c>
      <c r="AE27" s="10">
        <f>MAX(0,_xlfn.XLOOKUP(tblOrdenes[[#This Row],[id_operacion]],tblEjecucion[id_operacion],tblEjecucion[costo_plan_total],0)-tblOrdenes[[#This Row],[costo_servicio]])</f>
        <v/>
      </c>
      <c r="AF27" s="10">
        <f>tblOrdenes[[#This Row],[costo_servicio]]+tblOrdenes[[#This Row],[costo_materiales]]</f>
        <v/>
      </c>
      <c r="AG27" s="6" t="inlineStr">
        <is>
          <t>PT-CALIENTE</t>
        </is>
      </c>
      <c r="AH27" s="6" t="inlineStr">
        <is>
          <t>LOTO</t>
        </is>
      </c>
      <c r="AI27" s="6" t="inlineStr"/>
      <c r="AJ27" s="3">
        <f>IF(tblOrdenes[[#This Row],[link_checklist]]="","",HYPERLINK(p_ruta_base_checklists&amp;tblOrdenes[[#This Row],[link_checklist]],"abrir"))</f>
        <v/>
      </c>
      <c r="AK27" s="6" t="inlineStr"/>
    </row>
    <row r="28">
      <c r="A28" s="3" t="inlineStr">
        <is>
          <t>OT-000025</t>
        </is>
      </c>
      <c r="B28" s="3" t="inlineStr">
        <is>
          <t>0010</t>
        </is>
      </c>
      <c r="C28" s="3">
        <f>tblOrdenes[[#This Row],[orden]]&amp;IF(tblOrdenes[[#This Row],[operacion]]="","0010",tblOrdenes[[#This Row],[operacion]])</f>
        <v/>
      </c>
      <c r="D28" s="3" t="inlineStr">
        <is>
          <t>Reparación de falla — EQ-101</t>
        </is>
      </c>
      <c r="E28" s="3" t="inlineStr">
        <is>
          <t>Reparación de falla en EQ-101</t>
        </is>
      </c>
      <c r="F28" s="3" t="inlineStr">
        <is>
          <t>EQ-101</t>
        </is>
      </c>
      <c r="G28" s="3" t="inlineStr">
        <is>
          <t>CC-110</t>
        </is>
      </c>
      <c r="H28" s="3" t="inlineStr">
        <is>
          <t>PU-MEC</t>
        </is>
      </c>
      <c r="I28" s="3" t="inlineStr">
        <is>
          <t>ACT-03</t>
        </is>
      </c>
      <c r="J28" s="3" t="inlineStr">
        <is>
          <t>TIPO-C2</t>
        </is>
      </c>
      <c r="K28" s="11" t="n">
        <v>46220</v>
      </c>
      <c r="L28" s="3" t="n">
        <v>7</v>
      </c>
      <c r="M28" s="10" t="n">
        <v>280</v>
      </c>
      <c r="N28" s="3">
        <f>_xlfn.XLOOKUP(_xlfn.XLOOKUP(tblOrdenes[[#This Row],[id_operacion]],tblEjecucion[id_operacion],tblEjecucion[estado_sistema],""),tblEstados[estado_sistema],tblEstados[estado_normalizado],"Pendiente")</f>
        <v/>
      </c>
      <c r="O28" s="3">
        <f>IF(tblOrdenes[[#This Row],[fecha_inicio]]="","","S"&amp;IF(_xlfn.ISOWEEKNUM(tblOrdenes[[#This Row],[fecha_inicio]])=53,1,_xlfn.ISOWEEKNUM(tblOrdenes[[#This Row],[fecha_inicio]])))</f>
        <v/>
      </c>
      <c r="P28" s="3">
        <f>IF(tblOrdenes[[#This Row],[fecha_inicio]]="","",YEAR(tblOrdenes[[#This Row],[fecha_inicio]]))</f>
        <v/>
      </c>
      <c r="Q28" s="3">
        <f>IF(tblOrdenes[[#This Row],[fecha_inicio]]="","",MONTH(tblOrdenes[[#This Row],[fecha_inicio]]))</f>
        <v/>
      </c>
      <c r="R28" s="3">
        <f>IF(tblOrdenes[[#This Row],[fecha_inicio]]="","",INDEX(lista_dias,WEEKDAY(tblOrdenes[[#This Row],[fecha_inicio]],2)))</f>
        <v/>
      </c>
      <c r="S28" s="3">
        <f>_xlfn.XLOOKUP(tblOrdenes[[#This Row],[tipo_ot]],tblTiposOT[codigo],tblTiposOT[clasificacion],"sin_clasificar")</f>
        <v/>
      </c>
      <c r="T28" s="3">
        <f>_xlfn.XLOOKUP(tblOrdenes[[#This Row],[centro_costo]],tblCECO[codigo],tblCECO[linea],"(sin catálogo)")</f>
        <v/>
      </c>
      <c r="U28" s="3">
        <f>_xlfn.XLOOKUP(tblOrdenes[[#This Row],[centro_costo]],tblCECO[codigo],tblCECO[area],"(sin catálogo)")</f>
        <v/>
      </c>
      <c r="V28" s="3">
        <f>_xlfn.XLOOKUP(tblOrdenes[[#This Row],[centro_costo]],tblCECO[codigo],tblCECO[coordinador],"(sin catálogo)")</f>
        <v/>
      </c>
      <c r="W28" s="3">
        <f>_xlfn.XLOOKUP(tblOrdenes[[#This Row],[puesto_trabajo]],tblPuestos[codigo],tblPuestos[especialidad],"(sin catálogo)")</f>
        <v/>
      </c>
      <c r="X28" s="3">
        <f>_xlfn.XLOOKUP(tblOrdenes[[#This Row],[cod_actividad]],tblActividades[codigo],tblActividades[descripcion],"(sin catálogo)")</f>
        <v/>
      </c>
      <c r="Y28" s="12">
        <f>IF(tblOrdenes[[#This Row],[fecha_inicio]]="","",TODAY()-tblOrdenes[[#This Row],[fecha_inicio]])</f>
        <v/>
      </c>
      <c r="Z28" s="3">
        <f>IF(tblOrdenes[[#This Row],[backlog_dias]]="","",IF(tblOrdenes[[#This Row],[backlog_dias]]&lt;0,"FUTURO",IF(tblOrdenes[[#This Row],[backlog_dias]]&gt;p_dias_backlog_max,"BACKLOG","MES CORRIENTE")))</f>
        <v/>
      </c>
      <c r="AA28" s="3">
        <f>IF(tblOrdenes[[#This Row],[backlog_dias]]="",FALSE,AND(tblOrdenes[[#This Row],[backlog_dias]]&gt;p_dias_backlog_min,tblOrdenes[[#This Row],[backlog_dias]]&lt;=p_dias_backlog_max))</f>
        <v/>
      </c>
      <c r="AB28" s="6" t="inlineStr">
        <is>
          <t>Técnico 01</t>
        </is>
      </c>
      <c r="AC2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8" s="10">
        <f>_xlfn.XLOOKUP(tblOrdenes[[#This Row],[id_operacion]],tblEjecucion[id_operacion],tblEjecucion[precio],0)</f>
        <v/>
      </c>
      <c r="AE28" s="10">
        <f>MAX(0,_xlfn.XLOOKUP(tblOrdenes[[#This Row],[id_operacion]],tblEjecucion[id_operacion],tblEjecucion[costo_plan_total],0)-tblOrdenes[[#This Row],[costo_servicio]])</f>
        <v/>
      </c>
      <c r="AF28" s="10">
        <f>tblOrdenes[[#This Row],[costo_servicio]]+tblOrdenes[[#This Row],[costo_materiales]]</f>
        <v/>
      </c>
      <c r="AG28" s="6" t="inlineStr"/>
      <c r="AH28" s="6" t="inlineStr"/>
      <c r="AI28" s="6" t="inlineStr"/>
      <c r="AJ28" s="3">
        <f>IF(tblOrdenes[[#This Row],[link_checklist]]="","",HYPERLINK(p_ruta_base_checklists&amp;tblOrdenes[[#This Row],[link_checklist]],"abrir"))</f>
        <v/>
      </c>
      <c r="AK28" s="6" t="inlineStr"/>
    </row>
    <row r="29">
      <c r="A29" s="3" t="inlineStr">
        <is>
          <t>OT-000026</t>
        </is>
      </c>
      <c r="B29" s="3" t="inlineStr">
        <is>
          <t>0010</t>
        </is>
      </c>
      <c r="C29" s="3">
        <f>tblOrdenes[[#This Row],[orden]]&amp;IF(tblOrdenes[[#This Row],[operacion]]="","0010",tblOrdenes[[#This Row],[operacion]])</f>
        <v/>
      </c>
      <c r="D29" s="3" t="inlineStr">
        <is>
          <t>Análisis predictivo — EQ-108</t>
        </is>
      </c>
      <c r="E29" s="3" t="inlineStr">
        <is>
          <t>Análisis predictivo en EQ-108</t>
        </is>
      </c>
      <c r="F29" s="3" t="inlineStr">
        <is>
          <t>EQ-108</t>
        </is>
      </c>
      <c r="G29" s="3" t="inlineStr">
        <is>
          <t>CC-210</t>
        </is>
      </c>
      <c r="H29" s="3" t="inlineStr">
        <is>
          <t>PU-MEC</t>
        </is>
      </c>
      <c r="I29" s="3" t="inlineStr">
        <is>
          <t>ACT-04</t>
        </is>
      </c>
      <c r="J29" s="3" t="inlineStr">
        <is>
          <t>TIPO-P1</t>
        </is>
      </c>
      <c r="K29" s="11" t="n">
        <v>46223</v>
      </c>
      <c r="L29" s="3" t="n">
        <v>10</v>
      </c>
      <c r="M29" s="10" t="n">
        <v>250</v>
      </c>
      <c r="N29" s="3">
        <f>_xlfn.XLOOKUP(_xlfn.XLOOKUP(tblOrdenes[[#This Row],[id_operacion]],tblEjecucion[id_operacion],tblEjecucion[estado_sistema],""),tblEstados[estado_sistema],tblEstados[estado_normalizado],"Pendiente")</f>
        <v/>
      </c>
      <c r="O29" s="3">
        <f>IF(tblOrdenes[[#This Row],[fecha_inicio]]="","","S"&amp;IF(_xlfn.ISOWEEKNUM(tblOrdenes[[#This Row],[fecha_inicio]])=53,1,_xlfn.ISOWEEKNUM(tblOrdenes[[#This Row],[fecha_inicio]])))</f>
        <v/>
      </c>
      <c r="P29" s="3">
        <f>IF(tblOrdenes[[#This Row],[fecha_inicio]]="","",YEAR(tblOrdenes[[#This Row],[fecha_inicio]]))</f>
        <v/>
      </c>
      <c r="Q29" s="3">
        <f>IF(tblOrdenes[[#This Row],[fecha_inicio]]="","",MONTH(tblOrdenes[[#This Row],[fecha_inicio]]))</f>
        <v/>
      </c>
      <c r="R29" s="3">
        <f>IF(tblOrdenes[[#This Row],[fecha_inicio]]="","",INDEX(lista_dias,WEEKDAY(tblOrdenes[[#This Row],[fecha_inicio]],2)))</f>
        <v/>
      </c>
      <c r="S29" s="3">
        <f>_xlfn.XLOOKUP(tblOrdenes[[#This Row],[tipo_ot]],tblTiposOT[codigo],tblTiposOT[clasificacion],"sin_clasificar")</f>
        <v/>
      </c>
      <c r="T29" s="3">
        <f>_xlfn.XLOOKUP(tblOrdenes[[#This Row],[centro_costo]],tblCECO[codigo],tblCECO[linea],"(sin catálogo)")</f>
        <v/>
      </c>
      <c r="U29" s="3">
        <f>_xlfn.XLOOKUP(tblOrdenes[[#This Row],[centro_costo]],tblCECO[codigo],tblCECO[area],"(sin catálogo)")</f>
        <v/>
      </c>
      <c r="V29" s="3">
        <f>_xlfn.XLOOKUP(tblOrdenes[[#This Row],[centro_costo]],tblCECO[codigo],tblCECO[coordinador],"(sin catálogo)")</f>
        <v/>
      </c>
      <c r="W29" s="3">
        <f>_xlfn.XLOOKUP(tblOrdenes[[#This Row],[puesto_trabajo]],tblPuestos[codigo],tblPuestos[especialidad],"(sin catálogo)")</f>
        <v/>
      </c>
      <c r="X29" s="3">
        <f>_xlfn.XLOOKUP(tblOrdenes[[#This Row],[cod_actividad]],tblActividades[codigo],tblActividades[descripcion],"(sin catálogo)")</f>
        <v/>
      </c>
      <c r="Y29" s="12">
        <f>IF(tblOrdenes[[#This Row],[fecha_inicio]]="","",TODAY()-tblOrdenes[[#This Row],[fecha_inicio]])</f>
        <v/>
      </c>
      <c r="Z29" s="3">
        <f>IF(tblOrdenes[[#This Row],[backlog_dias]]="","",IF(tblOrdenes[[#This Row],[backlog_dias]]&lt;0,"FUTURO",IF(tblOrdenes[[#This Row],[backlog_dias]]&gt;p_dias_backlog_max,"BACKLOG","MES CORRIENTE")))</f>
        <v/>
      </c>
      <c r="AA29" s="3">
        <f>IF(tblOrdenes[[#This Row],[backlog_dias]]="",FALSE,AND(tblOrdenes[[#This Row],[backlog_dias]]&gt;p_dias_backlog_min,tblOrdenes[[#This Row],[backlog_dias]]&lt;=p_dias_backlog_max))</f>
        <v/>
      </c>
      <c r="AB29" s="6" t="inlineStr">
        <is>
          <t>Técnico 02</t>
        </is>
      </c>
      <c r="AC2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9" s="10">
        <f>_xlfn.XLOOKUP(tblOrdenes[[#This Row],[id_operacion]],tblEjecucion[id_operacion],tblEjecucion[precio],0)</f>
        <v/>
      </c>
      <c r="AE29" s="10">
        <f>MAX(0,_xlfn.XLOOKUP(tblOrdenes[[#This Row],[id_operacion]],tblEjecucion[id_operacion],tblEjecucion[costo_plan_total],0)-tblOrdenes[[#This Row],[costo_servicio]])</f>
        <v/>
      </c>
      <c r="AF29" s="10">
        <f>tblOrdenes[[#This Row],[costo_servicio]]+tblOrdenes[[#This Row],[costo_materiales]]</f>
        <v/>
      </c>
      <c r="AG29" s="6" t="inlineStr"/>
      <c r="AH29" s="6" t="inlineStr"/>
      <c r="AI29" s="6" t="inlineStr">
        <is>
          <t>ACT-04.pdf</t>
        </is>
      </c>
      <c r="AJ29" s="3">
        <f>IF(tblOrdenes[[#This Row],[link_checklist]]="","",HYPERLINK(p_ruta_base_checklists&amp;tblOrdenes[[#This Row],[link_checklist]],"abrir"))</f>
        <v/>
      </c>
      <c r="AK29" s="6" t="inlineStr"/>
    </row>
    <row r="30">
      <c r="A30" s="3" t="inlineStr">
        <is>
          <t>OT-000027</t>
        </is>
      </c>
      <c r="B30" s="3" t="inlineStr">
        <is>
          <t>0010</t>
        </is>
      </c>
      <c r="C30" s="3">
        <f>tblOrdenes[[#This Row],[orden]]&amp;IF(tblOrdenes[[#This Row],[operacion]]="","0010",tblOrdenes[[#This Row],[operacion]])</f>
        <v/>
      </c>
      <c r="D30" s="3" t="inlineStr">
        <is>
          <t>Inspección de rutina — EQ-110</t>
        </is>
      </c>
      <c r="E30" s="3" t="inlineStr">
        <is>
          <t>Inspección de rutina en EQ-110</t>
        </is>
      </c>
      <c r="F30" s="3" t="inlineStr">
        <is>
          <t>EQ-110</t>
        </is>
      </c>
      <c r="G30" s="3" t="inlineStr">
        <is>
          <t>CC-310</t>
        </is>
      </c>
      <c r="H30" s="3" t="inlineStr">
        <is>
          <t>PU-MEC</t>
        </is>
      </c>
      <c r="I30" s="3" t="inlineStr">
        <is>
          <t>ACT-01</t>
        </is>
      </c>
      <c r="J30" s="3" t="inlineStr">
        <is>
          <t>TIPO-P2</t>
        </is>
      </c>
      <c r="K30" s="11" t="n">
        <v>46224</v>
      </c>
      <c r="L30" s="3" t="n">
        <v>8</v>
      </c>
      <c r="M30" s="10" t="n">
        <v>200</v>
      </c>
      <c r="N30" s="3">
        <f>_xlfn.XLOOKUP(_xlfn.XLOOKUP(tblOrdenes[[#This Row],[id_operacion]],tblEjecucion[id_operacion],tblEjecucion[estado_sistema],""),tblEstados[estado_sistema],tblEstados[estado_normalizado],"Pendiente")</f>
        <v/>
      </c>
      <c r="O30" s="3">
        <f>IF(tblOrdenes[[#This Row],[fecha_inicio]]="","","S"&amp;IF(_xlfn.ISOWEEKNUM(tblOrdenes[[#This Row],[fecha_inicio]])=53,1,_xlfn.ISOWEEKNUM(tblOrdenes[[#This Row],[fecha_inicio]])))</f>
        <v/>
      </c>
      <c r="P30" s="3">
        <f>IF(tblOrdenes[[#This Row],[fecha_inicio]]="","",YEAR(tblOrdenes[[#This Row],[fecha_inicio]]))</f>
        <v/>
      </c>
      <c r="Q30" s="3">
        <f>IF(tblOrdenes[[#This Row],[fecha_inicio]]="","",MONTH(tblOrdenes[[#This Row],[fecha_inicio]]))</f>
        <v/>
      </c>
      <c r="R30" s="3">
        <f>IF(tblOrdenes[[#This Row],[fecha_inicio]]="","",INDEX(lista_dias,WEEKDAY(tblOrdenes[[#This Row],[fecha_inicio]],2)))</f>
        <v/>
      </c>
      <c r="S30" s="3">
        <f>_xlfn.XLOOKUP(tblOrdenes[[#This Row],[tipo_ot]],tblTiposOT[codigo],tblTiposOT[clasificacion],"sin_clasificar")</f>
        <v/>
      </c>
      <c r="T30" s="3">
        <f>_xlfn.XLOOKUP(tblOrdenes[[#This Row],[centro_costo]],tblCECO[codigo],tblCECO[linea],"(sin catálogo)")</f>
        <v/>
      </c>
      <c r="U30" s="3">
        <f>_xlfn.XLOOKUP(tblOrdenes[[#This Row],[centro_costo]],tblCECO[codigo],tblCECO[area],"(sin catálogo)")</f>
        <v/>
      </c>
      <c r="V30" s="3">
        <f>_xlfn.XLOOKUP(tblOrdenes[[#This Row],[centro_costo]],tblCECO[codigo],tblCECO[coordinador],"(sin catálogo)")</f>
        <v/>
      </c>
      <c r="W30" s="3">
        <f>_xlfn.XLOOKUP(tblOrdenes[[#This Row],[puesto_trabajo]],tblPuestos[codigo],tblPuestos[especialidad],"(sin catálogo)")</f>
        <v/>
      </c>
      <c r="X30" s="3">
        <f>_xlfn.XLOOKUP(tblOrdenes[[#This Row],[cod_actividad]],tblActividades[codigo],tblActividades[descripcion],"(sin catálogo)")</f>
        <v/>
      </c>
      <c r="Y30" s="12">
        <f>IF(tblOrdenes[[#This Row],[fecha_inicio]]="","",TODAY()-tblOrdenes[[#This Row],[fecha_inicio]])</f>
        <v/>
      </c>
      <c r="Z30" s="3">
        <f>IF(tblOrdenes[[#This Row],[backlog_dias]]="","",IF(tblOrdenes[[#This Row],[backlog_dias]]&lt;0,"FUTURO",IF(tblOrdenes[[#This Row],[backlog_dias]]&gt;p_dias_backlog_max,"BACKLOG","MES CORRIENTE")))</f>
        <v/>
      </c>
      <c r="AA30" s="3">
        <f>IF(tblOrdenes[[#This Row],[backlog_dias]]="",FALSE,AND(tblOrdenes[[#This Row],[backlog_dias]]&gt;p_dias_backlog_min,tblOrdenes[[#This Row],[backlog_dias]]&lt;=p_dias_backlog_max))</f>
        <v/>
      </c>
      <c r="AB30" s="6" t="inlineStr">
        <is>
          <t>Técnico 03</t>
        </is>
      </c>
      <c r="AC3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0" s="10">
        <f>_xlfn.XLOOKUP(tblOrdenes[[#This Row],[id_operacion]],tblEjecucion[id_operacion],tblEjecucion[precio],0)</f>
        <v/>
      </c>
      <c r="AE30" s="10">
        <f>MAX(0,_xlfn.XLOOKUP(tblOrdenes[[#This Row],[id_operacion]],tblEjecucion[id_operacion],tblEjecucion[costo_plan_total],0)-tblOrdenes[[#This Row],[costo_servicio]])</f>
        <v/>
      </c>
      <c r="AF30" s="10">
        <f>tblOrdenes[[#This Row],[costo_servicio]]+tblOrdenes[[#This Row],[costo_materiales]]</f>
        <v/>
      </c>
      <c r="AG30" s="6" t="inlineStr"/>
      <c r="AH30" s="6" t="inlineStr"/>
      <c r="AI30" s="6" t="inlineStr">
        <is>
          <t>ACT-01.pdf</t>
        </is>
      </c>
      <c r="AJ30" s="3">
        <f>IF(tblOrdenes[[#This Row],[link_checklist]]="","",HYPERLINK(p_ruta_base_checklists&amp;tblOrdenes[[#This Row],[link_checklist]],"abrir"))</f>
        <v/>
      </c>
      <c r="AK30" s="6" t="inlineStr"/>
    </row>
    <row r="31">
      <c r="A31" s="3" t="inlineStr">
        <is>
          <t>OT-000028</t>
        </is>
      </c>
      <c r="B31" s="3" t="inlineStr">
        <is>
          <t>0010</t>
        </is>
      </c>
      <c r="C31" s="3">
        <f>tblOrdenes[[#This Row],[orden]]&amp;IF(tblOrdenes[[#This Row],[operacion]]="","0010",tblOrdenes[[#This Row],[operacion]])</f>
        <v/>
      </c>
      <c r="D31" s="3" t="inlineStr">
        <is>
          <t>Lubricación programada — EQ-104</t>
        </is>
      </c>
      <c r="E31" s="3" t="inlineStr">
        <is>
          <t>Lubricación programada en EQ-104</t>
        </is>
      </c>
      <c r="F31" s="3" t="inlineStr">
        <is>
          <t>EQ-104</t>
        </is>
      </c>
      <c r="G31" s="3" t="inlineStr">
        <is>
          <t>CC-110</t>
        </is>
      </c>
      <c r="H31" s="3" t="inlineStr">
        <is>
          <t>PU-MEC</t>
        </is>
      </c>
      <c r="I31" s="3" t="inlineStr">
        <is>
          <t>ACT-02</t>
        </is>
      </c>
      <c r="J31" s="3" t="inlineStr">
        <is>
          <t>TIPO-P1</t>
        </is>
      </c>
      <c r="K31" s="11" t="n">
        <v>46225</v>
      </c>
      <c r="L31" s="3" t="n">
        <v>6</v>
      </c>
      <c r="M31" s="10" t="n">
        <v>150</v>
      </c>
      <c r="N31" s="3">
        <f>_xlfn.XLOOKUP(_xlfn.XLOOKUP(tblOrdenes[[#This Row],[id_operacion]],tblEjecucion[id_operacion],tblEjecucion[estado_sistema],""),tblEstados[estado_sistema],tblEstados[estado_normalizado],"Pendiente")</f>
        <v/>
      </c>
      <c r="O31" s="3">
        <f>IF(tblOrdenes[[#This Row],[fecha_inicio]]="","","S"&amp;IF(_xlfn.ISOWEEKNUM(tblOrdenes[[#This Row],[fecha_inicio]])=53,1,_xlfn.ISOWEEKNUM(tblOrdenes[[#This Row],[fecha_inicio]])))</f>
        <v/>
      </c>
      <c r="P31" s="3">
        <f>IF(tblOrdenes[[#This Row],[fecha_inicio]]="","",YEAR(tblOrdenes[[#This Row],[fecha_inicio]]))</f>
        <v/>
      </c>
      <c r="Q31" s="3">
        <f>IF(tblOrdenes[[#This Row],[fecha_inicio]]="","",MONTH(tblOrdenes[[#This Row],[fecha_inicio]]))</f>
        <v/>
      </c>
      <c r="R31" s="3">
        <f>IF(tblOrdenes[[#This Row],[fecha_inicio]]="","",INDEX(lista_dias,WEEKDAY(tblOrdenes[[#This Row],[fecha_inicio]],2)))</f>
        <v/>
      </c>
      <c r="S31" s="3">
        <f>_xlfn.XLOOKUP(tblOrdenes[[#This Row],[tipo_ot]],tblTiposOT[codigo],tblTiposOT[clasificacion],"sin_clasificar")</f>
        <v/>
      </c>
      <c r="T31" s="3">
        <f>_xlfn.XLOOKUP(tblOrdenes[[#This Row],[centro_costo]],tblCECO[codigo],tblCECO[linea],"(sin catálogo)")</f>
        <v/>
      </c>
      <c r="U31" s="3">
        <f>_xlfn.XLOOKUP(tblOrdenes[[#This Row],[centro_costo]],tblCECO[codigo],tblCECO[area],"(sin catálogo)")</f>
        <v/>
      </c>
      <c r="V31" s="3">
        <f>_xlfn.XLOOKUP(tblOrdenes[[#This Row],[centro_costo]],tblCECO[codigo],tblCECO[coordinador],"(sin catálogo)")</f>
        <v/>
      </c>
      <c r="W31" s="3">
        <f>_xlfn.XLOOKUP(tblOrdenes[[#This Row],[puesto_trabajo]],tblPuestos[codigo],tblPuestos[especialidad],"(sin catálogo)")</f>
        <v/>
      </c>
      <c r="X31" s="3">
        <f>_xlfn.XLOOKUP(tblOrdenes[[#This Row],[cod_actividad]],tblActividades[codigo],tblActividades[descripcion],"(sin catálogo)")</f>
        <v/>
      </c>
      <c r="Y31" s="12">
        <f>IF(tblOrdenes[[#This Row],[fecha_inicio]]="","",TODAY()-tblOrdenes[[#This Row],[fecha_inicio]])</f>
        <v/>
      </c>
      <c r="Z31" s="3">
        <f>IF(tblOrdenes[[#This Row],[backlog_dias]]="","",IF(tblOrdenes[[#This Row],[backlog_dias]]&lt;0,"FUTURO",IF(tblOrdenes[[#This Row],[backlog_dias]]&gt;p_dias_backlog_max,"BACKLOG","MES CORRIENTE")))</f>
        <v/>
      </c>
      <c r="AA31" s="3">
        <f>IF(tblOrdenes[[#This Row],[backlog_dias]]="",FALSE,AND(tblOrdenes[[#This Row],[backlog_dias]]&gt;p_dias_backlog_min,tblOrdenes[[#This Row],[backlog_dias]]&lt;=p_dias_backlog_max))</f>
        <v/>
      </c>
      <c r="AB31" s="6" t="inlineStr">
        <is>
          <t>Técnico 01</t>
        </is>
      </c>
      <c r="AC3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1" s="10">
        <f>_xlfn.XLOOKUP(tblOrdenes[[#This Row],[id_operacion]],tblEjecucion[id_operacion],tblEjecucion[precio],0)</f>
        <v/>
      </c>
      <c r="AE31" s="10">
        <f>MAX(0,_xlfn.XLOOKUP(tblOrdenes[[#This Row],[id_operacion]],tblEjecucion[id_operacion],tblEjecucion[costo_plan_total],0)-tblOrdenes[[#This Row],[costo_servicio]])</f>
        <v/>
      </c>
      <c r="AF31" s="10">
        <f>tblOrdenes[[#This Row],[costo_servicio]]+tblOrdenes[[#This Row],[costo_materiales]]</f>
        <v/>
      </c>
      <c r="AG31" s="6" t="inlineStr"/>
      <c r="AH31" s="6" t="inlineStr"/>
      <c r="AI31" s="6" t="inlineStr">
        <is>
          <t>ACT-02.pdf</t>
        </is>
      </c>
      <c r="AJ31" s="3">
        <f>IF(tblOrdenes[[#This Row],[link_checklist]]="","",HYPERLINK(p_ruta_base_checklists&amp;tblOrdenes[[#This Row],[link_checklist]],"abrir"))</f>
        <v/>
      </c>
      <c r="AK31" s="6" t="inlineStr"/>
    </row>
    <row r="32">
      <c r="A32" s="3" t="inlineStr">
        <is>
          <t>OT-000029</t>
        </is>
      </c>
      <c r="B32" s="3" t="inlineStr">
        <is>
          <t>0010</t>
        </is>
      </c>
      <c r="C32" s="3">
        <f>tblOrdenes[[#This Row],[orden]]&amp;IF(tblOrdenes[[#This Row],[operacion]]="","0010",tblOrdenes[[#This Row],[operacion]])</f>
        <v/>
      </c>
      <c r="D32" s="3" t="inlineStr">
        <is>
          <t>Análisis predictivo — EQ-107</t>
        </is>
      </c>
      <c r="E32" s="3" t="inlineStr">
        <is>
          <t>Análisis predictivo en EQ-107</t>
        </is>
      </c>
      <c r="F32" s="3" t="inlineStr">
        <is>
          <t>EQ-107</t>
        </is>
      </c>
      <c r="G32" s="3" t="inlineStr">
        <is>
          <t>CC-210</t>
        </is>
      </c>
      <c r="H32" s="3" t="inlineStr">
        <is>
          <t>PU-MEC</t>
        </is>
      </c>
      <c r="I32" s="3" t="inlineStr">
        <is>
          <t>ACT-04</t>
        </is>
      </c>
      <c r="J32" s="3" t="inlineStr">
        <is>
          <t>TIPO-P2</t>
        </is>
      </c>
      <c r="K32" s="11" t="n">
        <v>46226</v>
      </c>
      <c r="L32" s="3" t="n">
        <v>10</v>
      </c>
      <c r="M32" s="10" t="n">
        <v>250</v>
      </c>
      <c r="N32" s="3">
        <f>_xlfn.XLOOKUP(_xlfn.XLOOKUP(tblOrdenes[[#This Row],[id_operacion]],tblEjecucion[id_operacion],tblEjecucion[estado_sistema],""),tblEstados[estado_sistema],tblEstados[estado_normalizado],"Pendiente")</f>
        <v/>
      </c>
      <c r="O32" s="3">
        <f>IF(tblOrdenes[[#This Row],[fecha_inicio]]="","","S"&amp;IF(_xlfn.ISOWEEKNUM(tblOrdenes[[#This Row],[fecha_inicio]])=53,1,_xlfn.ISOWEEKNUM(tblOrdenes[[#This Row],[fecha_inicio]])))</f>
        <v/>
      </c>
      <c r="P32" s="3">
        <f>IF(tblOrdenes[[#This Row],[fecha_inicio]]="","",YEAR(tblOrdenes[[#This Row],[fecha_inicio]]))</f>
        <v/>
      </c>
      <c r="Q32" s="3">
        <f>IF(tblOrdenes[[#This Row],[fecha_inicio]]="","",MONTH(tblOrdenes[[#This Row],[fecha_inicio]]))</f>
        <v/>
      </c>
      <c r="R32" s="3">
        <f>IF(tblOrdenes[[#This Row],[fecha_inicio]]="","",INDEX(lista_dias,WEEKDAY(tblOrdenes[[#This Row],[fecha_inicio]],2)))</f>
        <v/>
      </c>
      <c r="S32" s="3">
        <f>_xlfn.XLOOKUP(tblOrdenes[[#This Row],[tipo_ot]],tblTiposOT[codigo],tblTiposOT[clasificacion],"sin_clasificar")</f>
        <v/>
      </c>
      <c r="T32" s="3">
        <f>_xlfn.XLOOKUP(tblOrdenes[[#This Row],[centro_costo]],tblCECO[codigo],tblCECO[linea],"(sin catálogo)")</f>
        <v/>
      </c>
      <c r="U32" s="3">
        <f>_xlfn.XLOOKUP(tblOrdenes[[#This Row],[centro_costo]],tblCECO[codigo],tblCECO[area],"(sin catálogo)")</f>
        <v/>
      </c>
      <c r="V32" s="3">
        <f>_xlfn.XLOOKUP(tblOrdenes[[#This Row],[centro_costo]],tblCECO[codigo],tblCECO[coordinador],"(sin catálogo)")</f>
        <v/>
      </c>
      <c r="W32" s="3">
        <f>_xlfn.XLOOKUP(tblOrdenes[[#This Row],[puesto_trabajo]],tblPuestos[codigo],tblPuestos[especialidad],"(sin catálogo)")</f>
        <v/>
      </c>
      <c r="X32" s="3">
        <f>_xlfn.XLOOKUP(tblOrdenes[[#This Row],[cod_actividad]],tblActividades[codigo],tblActividades[descripcion],"(sin catálogo)")</f>
        <v/>
      </c>
      <c r="Y32" s="12">
        <f>IF(tblOrdenes[[#This Row],[fecha_inicio]]="","",TODAY()-tblOrdenes[[#This Row],[fecha_inicio]])</f>
        <v/>
      </c>
      <c r="Z32" s="3">
        <f>IF(tblOrdenes[[#This Row],[backlog_dias]]="","",IF(tblOrdenes[[#This Row],[backlog_dias]]&lt;0,"FUTURO",IF(tblOrdenes[[#This Row],[backlog_dias]]&gt;p_dias_backlog_max,"BACKLOG","MES CORRIENTE")))</f>
        <v/>
      </c>
      <c r="AA32" s="3">
        <f>IF(tblOrdenes[[#This Row],[backlog_dias]]="",FALSE,AND(tblOrdenes[[#This Row],[backlog_dias]]&gt;p_dias_backlog_min,tblOrdenes[[#This Row],[backlog_dias]]&lt;=p_dias_backlog_max))</f>
        <v/>
      </c>
      <c r="AB32" s="6" t="inlineStr">
        <is>
          <t>Técnico 02</t>
        </is>
      </c>
      <c r="AC3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2" s="10">
        <f>_xlfn.XLOOKUP(tblOrdenes[[#This Row],[id_operacion]],tblEjecucion[id_operacion],tblEjecucion[precio],0)</f>
        <v/>
      </c>
      <c r="AE32" s="10">
        <f>MAX(0,_xlfn.XLOOKUP(tblOrdenes[[#This Row],[id_operacion]],tblEjecucion[id_operacion],tblEjecucion[costo_plan_total],0)-tblOrdenes[[#This Row],[costo_servicio]])</f>
        <v/>
      </c>
      <c r="AF32" s="10">
        <f>tblOrdenes[[#This Row],[costo_servicio]]+tblOrdenes[[#This Row],[costo_materiales]]</f>
        <v/>
      </c>
      <c r="AG32" s="6" t="inlineStr"/>
      <c r="AH32" s="6" t="inlineStr"/>
      <c r="AI32" s="6" t="inlineStr">
        <is>
          <t>ACT-04.pdf</t>
        </is>
      </c>
      <c r="AJ32" s="3">
        <f>IF(tblOrdenes[[#This Row],[link_checklist]]="","",HYPERLINK(p_ruta_base_checklists&amp;tblOrdenes[[#This Row],[link_checklist]],"abrir"))</f>
        <v/>
      </c>
      <c r="AK32" s="6" t="inlineStr"/>
    </row>
    <row r="33">
      <c r="A33" s="3" t="inlineStr">
        <is>
          <t>OT-000030</t>
        </is>
      </c>
      <c r="B33" s="3" t="inlineStr">
        <is>
          <t>0010</t>
        </is>
      </c>
      <c r="C33" s="3">
        <f>tblOrdenes[[#This Row],[orden]]&amp;IF(tblOrdenes[[#This Row],[operacion]]="","0010",tblOrdenes[[#This Row],[operacion]])</f>
        <v/>
      </c>
      <c r="D33" s="3" t="inlineStr">
        <is>
          <t>Inspección de rutina — EQ-110</t>
        </is>
      </c>
      <c r="E33" s="3" t="inlineStr">
        <is>
          <t>Inspección de rutina en EQ-110</t>
        </is>
      </c>
      <c r="F33" s="3" t="inlineStr">
        <is>
          <t>EQ-110</t>
        </is>
      </c>
      <c r="G33" s="3" t="inlineStr">
        <is>
          <t>CC-310</t>
        </is>
      </c>
      <c r="H33" s="3" t="inlineStr">
        <is>
          <t>PU-MEC</t>
        </is>
      </c>
      <c r="I33" s="3" t="inlineStr">
        <is>
          <t>ACT-01</t>
        </is>
      </c>
      <c r="J33" s="3" t="inlineStr">
        <is>
          <t>TIPO-P1</t>
        </is>
      </c>
      <c r="K33" s="11" t="n">
        <v>46227</v>
      </c>
      <c r="L33" s="3" t="n">
        <v>8</v>
      </c>
      <c r="M33" s="10" t="n">
        <v>200</v>
      </c>
      <c r="N33" s="3">
        <f>_xlfn.XLOOKUP(_xlfn.XLOOKUP(tblOrdenes[[#This Row],[id_operacion]],tblEjecucion[id_operacion],tblEjecucion[estado_sistema],""),tblEstados[estado_sistema],tblEstados[estado_normalizado],"Pendiente")</f>
        <v/>
      </c>
      <c r="O33" s="3">
        <f>IF(tblOrdenes[[#This Row],[fecha_inicio]]="","","S"&amp;IF(_xlfn.ISOWEEKNUM(tblOrdenes[[#This Row],[fecha_inicio]])=53,1,_xlfn.ISOWEEKNUM(tblOrdenes[[#This Row],[fecha_inicio]])))</f>
        <v/>
      </c>
      <c r="P33" s="3">
        <f>IF(tblOrdenes[[#This Row],[fecha_inicio]]="","",YEAR(tblOrdenes[[#This Row],[fecha_inicio]]))</f>
        <v/>
      </c>
      <c r="Q33" s="3">
        <f>IF(tblOrdenes[[#This Row],[fecha_inicio]]="","",MONTH(tblOrdenes[[#This Row],[fecha_inicio]]))</f>
        <v/>
      </c>
      <c r="R33" s="3">
        <f>IF(tblOrdenes[[#This Row],[fecha_inicio]]="","",INDEX(lista_dias,WEEKDAY(tblOrdenes[[#This Row],[fecha_inicio]],2)))</f>
        <v/>
      </c>
      <c r="S33" s="3">
        <f>_xlfn.XLOOKUP(tblOrdenes[[#This Row],[tipo_ot]],tblTiposOT[codigo],tblTiposOT[clasificacion],"sin_clasificar")</f>
        <v/>
      </c>
      <c r="T33" s="3">
        <f>_xlfn.XLOOKUP(tblOrdenes[[#This Row],[centro_costo]],tblCECO[codigo],tblCECO[linea],"(sin catálogo)")</f>
        <v/>
      </c>
      <c r="U33" s="3">
        <f>_xlfn.XLOOKUP(tblOrdenes[[#This Row],[centro_costo]],tblCECO[codigo],tblCECO[area],"(sin catálogo)")</f>
        <v/>
      </c>
      <c r="V33" s="3">
        <f>_xlfn.XLOOKUP(tblOrdenes[[#This Row],[centro_costo]],tblCECO[codigo],tblCECO[coordinador],"(sin catálogo)")</f>
        <v/>
      </c>
      <c r="W33" s="3">
        <f>_xlfn.XLOOKUP(tblOrdenes[[#This Row],[puesto_trabajo]],tblPuestos[codigo],tblPuestos[especialidad],"(sin catálogo)")</f>
        <v/>
      </c>
      <c r="X33" s="3">
        <f>_xlfn.XLOOKUP(tblOrdenes[[#This Row],[cod_actividad]],tblActividades[codigo],tblActividades[descripcion],"(sin catálogo)")</f>
        <v/>
      </c>
      <c r="Y33" s="12">
        <f>IF(tblOrdenes[[#This Row],[fecha_inicio]]="","",TODAY()-tblOrdenes[[#This Row],[fecha_inicio]])</f>
        <v/>
      </c>
      <c r="Z33" s="3">
        <f>IF(tblOrdenes[[#This Row],[backlog_dias]]="","",IF(tblOrdenes[[#This Row],[backlog_dias]]&lt;0,"FUTURO",IF(tblOrdenes[[#This Row],[backlog_dias]]&gt;p_dias_backlog_max,"BACKLOG","MES CORRIENTE")))</f>
        <v/>
      </c>
      <c r="AA33" s="3">
        <f>IF(tblOrdenes[[#This Row],[backlog_dias]]="",FALSE,AND(tblOrdenes[[#This Row],[backlog_dias]]&gt;p_dias_backlog_min,tblOrdenes[[#This Row],[backlog_dias]]&lt;=p_dias_backlog_max))</f>
        <v/>
      </c>
      <c r="AB33" s="6" t="inlineStr">
        <is>
          <t>Técnico 03</t>
        </is>
      </c>
      <c r="AC3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3" s="10">
        <f>_xlfn.XLOOKUP(tblOrdenes[[#This Row],[id_operacion]],tblEjecucion[id_operacion],tblEjecucion[precio],0)</f>
        <v/>
      </c>
      <c r="AE33" s="10">
        <f>MAX(0,_xlfn.XLOOKUP(tblOrdenes[[#This Row],[id_operacion]],tblEjecucion[id_operacion],tblEjecucion[costo_plan_total],0)-tblOrdenes[[#This Row],[costo_servicio]])</f>
        <v/>
      </c>
      <c r="AF33" s="10">
        <f>tblOrdenes[[#This Row],[costo_servicio]]+tblOrdenes[[#This Row],[costo_materiales]]</f>
        <v/>
      </c>
      <c r="AG33" s="6" t="inlineStr"/>
      <c r="AH33" s="6" t="inlineStr"/>
      <c r="AI33" s="6" t="inlineStr">
        <is>
          <t>ACT-01.pdf</t>
        </is>
      </c>
      <c r="AJ33" s="3">
        <f>IF(tblOrdenes[[#This Row],[link_checklist]]="","",HYPERLINK(p_ruta_base_checklists&amp;tblOrdenes[[#This Row],[link_checklist]],"abrir"))</f>
        <v/>
      </c>
      <c r="AK33" s="6" t="inlineStr"/>
    </row>
    <row r="34">
      <c r="A34" s="3" t="inlineStr">
        <is>
          <t>OT-000031</t>
        </is>
      </c>
      <c r="B34" s="3" t="inlineStr">
        <is>
          <t>0010</t>
        </is>
      </c>
      <c r="C34" s="3">
        <f>tblOrdenes[[#This Row],[orden]]&amp;IF(tblOrdenes[[#This Row],[operacion]]="","0010",tblOrdenes[[#This Row],[operacion]])</f>
        <v/>
      </c>
      <c r="D34" s="3" t="inlineStr">
        <is>
          <t>Lubricación programada — EQ-102</t>
        </is>
      </c>
      <c r="E34" s="3" t="inlineStr">
        <is>
          <t>Lubricación programada en EQ-102</t>
        </is>
      </c>
      <c r="F34" s="3" t="inlineStr">
        <is>
          <t>EQ-102</t>
        </is>
      </c>
      <c r="G34" s="3" t="inlineStr">
        <is>
          <t>CC-110</t>
        </is>
      </c>
      <c r="H34" s="3" t="inlineStr">
        <is>
          <t>PU-MEC</t>
        </is>
      </c>
      <c r="I34" s="3" t="inlineStr">
        <is>
          <t>ACT-02</t>
        </is>
      </c>
      <c r="J34" s="3" t="inlineStr">
        <is>
          <t>TIPO-P2</t>
        </is>
      </c>
      <c r="K34" s="11" t="n">
        <v>46223</v>
      </c>
      <c r="L34" s="3" t="n">
        <v>6</v>
      </c>
      <c r="M34" s="10" t="n">
        <v>150</v>
      </c>
      <c r="N34" s="3">
        <f>_xlfn.XLOOKUP(_xlfn.XLOOKUP(tblOrdenes[[#This Row],[id_operacion]],tblEjecucion[id_operacion],tblEjecucion[estado_sistema],""),tblEstados[estado_sistema],tblEstados[estado_normalizado],"Pendiente")</f>
        <v/>
      </c>
      <c r="O34" s="3">
        <f>IF(tblOrdenes[[#This Row],[fecha_inicio]]="","","S"&amp;IF(_xlfn.ISOWEEKNUM(tblOrdenes[[#This Row],[fecha_inicio]])=53,1,_xlfn.ISOWEEKNUM(tblOrdenes[[#This Row],[fecha_inicio]])))</f>
        <v/>
      </c>
      <c r="P34" s="3">
        <f>IF(tblOrdenes[[#This Row],[fecha_inicio]]="","",YEAR(tblOrdenes[[#This Row],[fecha_inicio]]))</f>
        <v/>
      </c>
      <c r="Q34" s="3">
        <f>IF(tblOrdenes[[#This Row],[fecha_inicio]]="","",MONTH(tblOrdenes[[#This Row],[fecha_inicio]]))</f>
        <v/>
      </c>
      <c r="R34" s="3">
        <f>IF(tblOrdenes[[#This Row],[fecha_inicio]]="","",INDEX(lista_dias,WEEKDAY(tblOrdenes[[#This Row],[fecha_inicio]],2)))</f>
        <v/>
      </c>
      <c r="S34" s="3">
        <f>_xlfn.XLOOKUP(tblOrdenes[[#This Row],[tipo_ot]],tblTiposOT[codigo],tblTiposOT[clasificacion],"sin_clasificar")</f>
        <v/>
      </c>
      <c r="T34" s="3">
        <f>_xlfn.XLOOKUP(tblOrdenes[[#This Row],[centro_costo]],tblCECO[codigo],tblCECO[linea],"(sin catálogo)")</f>
        <v/>
      </c>
      <c r="U34" s="3">
        <f>_xlfn.XLOOKUP(tblOrdenes[[#This Row],[centro_costo]],tblCECO[codigo],tblCECO[area],"(sin catálogo)")</f>
        <v/>
      </c>
      <c r="V34" s="3">
        <f>_xlfn.XLOOKUP(tblOrdenes[[#This Row],[centro_costo]],tblCECO[codigo],tblCECO[coordinador],"(sin catálogo)")</f>
        <v/>
      </c>
      <c r="W34" s="3">
        <f>_xlfn.XLOOKUP(tblOrdenes[[#This Row],[puesto_trabajo]],tblPuestos[codigo],tblPuestos[especialidad],"(sin catálogo)")</f>
        <v/>
      </c>
      <c r="X34" s="3">
        <f>_xlfn.XLOOKUP(tblOrdenes[[#This Row],[cod_actividad]],tblActividades[codigo],tblActividades[descripcion],"(sin catálogo)")</f>
        <v/>
      </c>
      <c r="Y34" s="12">
        <f>IF(tblOrdenes[[#This Row],[fecha_inicio]]="","",TODAY()-tblOrdenes[[#This Row],[fecha_inicio]])</f>
        <v/>
      </c>
      <c r="Z34" s="3">
        <f>IF(tblOrdenes[[#This Row],[backlog_dias]]="","",IF(tblOrdenes[[#This Row],[backlog_dias]]&lt;0,"FUTURO",IF(tblOrdenes[[#This Row],[backlog_dias]]&gt;p_dias_backlog_max,"BACKLOG","MES CORRIENTE")))</f>
        <v/>
      </c>
      <c r="AA34" s="3">
        <f>IF(tblOrdenes[[#This Row],[backlog_dias]]="",FALSE,AND(tblOrdenes[[#This Row],[backlog_dias]]&gt;p_dias_backlog_min,tblOrdenes[[#This Row],[backlog_dias]]&lt;=p_dias_backlog_max))</f>
        <v/>
      </c>
      <c r="AB34" s="6" t="inlineStr">
        <is>
          <t>Técnico 01</t>
        </is>
      </c>
      <c r="AC3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4" s="10">
        <f>_xlfn.XLOOKUP(tblOrdenes[[#This Row],[id_operacion]],tblEjecucion[id_operacion],tblEjecucion[precio],0)</f>
        <v/>
      </c>
      <c r="AE34" s="10">
        <f>MAX(0,_xlfn.XLOOKUP(tblOrdenes[[#This Row],[id_operacion]],tblEjecucion[id_operacion],tblEjecucion[costo_plan_total],0)-tblOrdenes[[#This Row],[costo_servicio]])</f>
        <v/>
      </c>
      <c r="AF34" s="10">
        <f>tblOrdenes[[#This Row],[costo_servicio]]+tblOrdenes[[#This Row],[costo_materiales]]</f>
        <v/>
      </c>
      <c r="AG34" s="6" t="inlineStr"/>
      <c r="AH34" s="6" t="inlineStr"/>
      <c r="AI34" s="6" t="inlineStr">
        <is>
          <t>ACT-02.pdf</t>
        </is>
      </c>
      <c r="AJ34" s="3">
        <f>IF(tblOrdenes[[#This Row],[link_checklist]]="","",HYPERLINK(p_ruta_base_checklists&amp;tblOrdenes[[#This Row],[link_checklist]],"abrir"))</f>
        <v/>
      </c>
      <c r="AK34" s="6" t="inlineStr"/>
    </row>
    <row r="35">
      <c r="A35" s="3" t="inlineStr">
        <is>
          <t>OT-000032</t>
        </is>
      </c>
      <c r="B35" s="3" t="inlineStr">
        <is>
          <t>0010</t>
        </is>
      </c>
      <c r="C35" s="3">
        <f>tblOrdenes[[#This Row],[orden]]&amp;IF(tblOrdenes[[#This Row],[operacion]]="","0010",tblOrdenes[[#This Row],[operacion]])</f>
        <v/>
      </c>
      <c r="D35" s="3" t="inlineStr">
        <is>
          <t>Análisis predictivo — EQ-106</t>
        </is>
      </c>
      <c r="E35" s="3" t="inlineStr">
        <is>
          <t>Análisis predictivo en EQ-106</t>
        </is>
      </c>
      <c r="F35" s="3" t="inlineStr">
        <is>
          <t>EQ-106</t>
        </is>
      </c>
      <c r="G35" s="3" t="inlineStr">
        <is>
          <t>CC-210</t>
        </is>
      </c>
      <c r="H35" s="3" t="inlineStr">
        <is>
          <t>PU-MEC</t>
        </is>
      </c>
      <c r="I35" s="3" t="inlineStr">
        <is>
          <t>ACT-04</t>
        </is>
      </c>
      <c r="J35" s="3" t="inlineStr">
        <is>
          <t>TIPO-P1</t>
        </is>
      </c>
      <c r="K35" s="11" t="n">
        <v>46224</v>
      </c>
      <c r="L35" s="3" t="n">
        <v>10</v>
      </c>
      <c r="M35" s="10" t="n">
        <v>250</v>
      </c>
      <c r="N35" s="3">
        <f>_xlfn.XLOOKUP(_xlfn.XLOOKUP(tblOrdenes[[#This Row],[id_operacion]],tblEjecucion[id_operacion],tblEjecucion[estado_sistema],""),tblEstados[estado_sistema],tblEstados[estado_normalizado],"Pendiente")</f>
        <v/>
      </c>
      <c r="O35" s="3">
        <f>IF(tblOrdenes[[#This Row],[fecha_inicio]]="","","S"&amp;IF(_xlfn.ISOWEEKNUM(tblOrdenes[[#This Row],[fecha_inicio]])=53,1,_xlfn.ISOWEEKNUM(tblOrdenes[[#This Row],[fecha_inicio]])))</f>
        <v/>
      </c>
      <c r="P35" s="3">
        <f>IF(tblOrdenes[[#This Row],[fecha_inicio]]="","",YEAR(tblOrdenes[[#This Row],[fecha_inicio]]))</f>
        <v/>
      </c>
      <c r="Q35" s="3">
        <f>IF(tblOrdenes[[#This Row],[fecha_inicio]]="","",MONTH(tblOrdenes[[#This Row],[fecha_inicio]]))</f>
        <v/>
      </c>
      <c r="R35" s="3">
        <f>IF(tblOrdenes[[#This Row],[fecha_inicio]]="","",INDEX(lista_dias,WEEKDAY(tblOrdenes[[#This Row],[fecha_inicio]],2)))</f>
        <v/>
      </c>
      <c r="S35" s="3">
        <f>_xlfn.XLOOKUP(tblOrdenes[[#This Row],[tipo_ot]],tblTiposOT[codigo],tblTiposOT[clasificacion],"sin_clasificar")</f>
        <v/>
      </c>
      <c r="T35" s="3">
        <f>_xlfn.XLOOKUP(tblOrdenes[[#This Row],[centro_costo]],tblCECO[codigo],tblCECO[linea],"(sin catálogo)")</f>
        <v/>
      </c>
      <c r="U35" s="3">
        <f>_xlfn.XLOOKUP(tblOrdenes[[#This Row],[centro_costo]],tblCECO[codigo],tblCECO[area],"(sin catálogo)")</f>
        <v/>
      </c>
      <c r="V35" s="3">
        <f>_xlfn.XLOOKUP(tblOrdenes[[#This Row],[centro_costo]],tblCECO[codigo],tblCECO[coordinador],"(sin catálogo)")</f>
        <v/>
      </c>
      <c r="W35" s="3">
        <f>_xlfn.XLOOKUP(tblOrdenes[[#This Row],[puesto_trabajo]],tblPuestos[codigo],tblPuestos[especialidad],"(sin catálogo)")</f>
        <v/>
      </c>
      <c r="X35" s="3">
        <f>_xlfn.XLOOKUP(tblOrdenes[[#This Row],[cod_actividad]],tblActividades[codigo],tblActividades[descripcion],"(sin catálogo)")</f>
        <v/>
      </c>
      <c r="Y35" s="12">
        <f>IF(tblOrdenes[[#This Row],[fecha_inicio]]="","",TODAY()-tblOrdenes[[#This Row],[fecha_inicio]])</f>
        <v/>
      </c>
      <c r="Z35" s="3">
        <f>IF(tblOrdenes[[#This Row],[backlog_dias]]="","",IF(tblOrdenes[[#This Row],[backlog_dias]]&lt;0,"FUTURO",IF(tblOrdenes[[#This Row],[backlog_dias]]&gt;p_dias_backlog_max,"BACKLOG","MES CORRIENTE")))</f>
        <v/>
      </c>
      <c r="AA35" s="3">
        <f>IF(tblOrdenes[[#This Row],[backlog_dias]]="",FALSE,AND(tblOrdenes[[#This Row],[backlog_dias]]&gt;p_dias_backlog_min,tblOrdenes[[#This Row],[backlog_dias]]&lt;=p_dias_backlog_max))</f>
        <v/>
      </c>
      <c r="AB35" s="6" t="inlineStr">
        <is>
          <t>Técnico 02</t>
        </is>
      </c>
      <c r="AC3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5" s="10">
        <f>_xlfn.XLOOKUP(tblOrdenes[[#This Row],[id_operacion]],tblEjecucion[id_operacion],tblEjecucion[precio],0)</f>
        <v/>
      </c>
      <c r="AE35" s="10">
        <f>MAX(0,_xlfn.XLOOKUP(tblOrdenes[[#This Row],[id_operacion]],tblEjecucion[id_operacion],tblEjecucion[costo_plan_total],0)-tblOrdenes[[#This Row],[costo_servicio]])</f>
        <v/>
      </c>
      <c r="AF35" s="10">
        <f>tblOrdenes[[#This Row],[costo_servicio]]+tblOrdenes[[#This Row],[costo_materiales]]</f>
        <v/>
      </c>
      <c r="AG35" s="6" t="inlineStr"/>
      <c r="AH35" s="6" t="inlineStr"/>
      <c r="AI35" s="6" t="inlineStr">
        <is>
          <t>ACT-04.pdf</t>
        </is>
      </c>
      <c r="AJ35" s="3">
        <f>IF(tblOrdenes[[#This Row],[link_checklist]]="","",HYPERLINK(p_ruta_base_checklists&amp;tblOrdenes[[#This Row],[link_checklist]],"abrir"))</f>
        <v/>
      </c>
      <c r="AK35" s="6" t="inlineStr"/>
    </row>
    <row r="36">
      <c r="A36" s="3" t="inlineStr">
        <is>
          <t>OT-000033</t>
        </is>
      </c>
      <c r="B36" s="3" t="inlineStr">
        <is>
          <t>0010</t>
        </is>
      </c>
      <c r="C36" s="3">
        <f>tblOrdenes[[#This Row],[orden]]&amp;IF(tblOrdenes[[#This Row],[operacion]]="","0010",tblOrdenes[[#This Row],[operacion]])</f>
        <v/>
      </c>
      <c r="D36" s="3" t="inlineStr">
        <is>
          <t>Inspección de rutina — EQ-110</t>
        </is>
      </c>
      <c r="E36" s="3" t="inlineStr">
        <is>
          <t>Inspección de rutina en EQ-110</t>
        </is>
      </c>
      <c r="F36" s="3" t="inlineStr">
        <is>
          <t>EQ-110</t>
        </is>
      </c>
      <c r="G36" s="3" t="inlineStr">
        <is>
          <t>CC-310</t>
        </is>
      </c>
      <c r="H36" s="3" t="inlineStr">
        <is>
          <t>PU-MEC</t>
        </is>
      </c>
      <c r="I36" s="3" t="inlineStr">
        <is>
          <t>ACT-01</t>
        </is>
      </c>
      <c r="J36" s="3" t="inlineStr">
        <is>
          <t>TIPO-P2</t>
        </is>
      </c>
      <c r="K36" s="11" t="n">
        <v>46225</v>
      </c>
      <c r="L36" s="3" t="n">
        <v>8</v>
      </c>
      <c r="M36" s="10" t="n">
        <v>200</v>
      </c>
      <c r="N36" s="3">
        <f>_xlfn.XLOOKUP(_xlfn.XLOOKUP(tblOrdenes[[#This Row],[id_operacion]],tblEjecucion[id_operacion],tblEjecucion[estado_sistema],""),tblEstados[estado_sistema],tblEstados[estado_normalizado],"Pendiente")</f>
        <v/>
      </c>
      <c r="O36" s="3">
        <f>IF(tblOrdenes[[#This Row],[fecha_inicio]]="","","S"&amp;IF(_xlfn.ISOWEEKNUM(tblOrdenes[[#This Row],[fecha_inicio]])=53,1,_xlfn.ISOWEEKNUM(tblOrdenes[[#This Row],[fecha_inicio]])))</f>
        <v/>
      </c>
      <c r="P36" s="3">
        <f>IF(tblOrdenes[[#This Row],[fecha_inicio]]="","",YEAR(tblOrdenes[[#This Row],[fecha_inicio]]))</f>
        <v/>
      </c>
      <c r="Q36" s="3">
        <f>IF(tblOrdenes[[#This Row],[fecha_inicio]]="","",MONTH(tblOrdenes[[#This Row],[fecha_inicio]]))</f>
        <v/>
      </c>
      <c r="R36" s="3">
        <f>IF(tblOrdenes[[#This Row],[fecha_inicio]]="","",INDEX(lista_dias,WEEKDAY(tblOrdenes[[#This Row],[fecha_inicio]],2)))</f>
        <v/>
      </c>
      <c r="S36" s="3">
        <f>_xlfn.XLOOKUP(tblOrdenes[[#This Row],[tipo_ot]],tblTiposOT[codigo],tblTiposOT[clasificacion],"sin_clasificar")</f>
        <v/>
      </c>
      <c r="T36" s="3">
        <f>_xlfn.XLOOKUP(tblOrdenes[[#This Row],[centro_costo]],tblCECO[codigo],tblCECO[linea],"(sin catálogo)")</f>
        <v/>
      </c>
      <c r="U36" s="3">
        <f>_xlfn.XLOOKUP(tblOrdenes[[#This Row],[centro_costo]],tblCECO[codigo],tblCECO[area],"(sin catálogo)")</f>
        <v/>
      </c>
      <c r="V36" s="3">
        <f>_xlfn.XLOOKUP(tblOrdenes[[#This Row],[centro_costo]],tblCECO[codigo],tblCECO[coordinador],"(sin catálogo)")</f>
        <v/>
      </c>
      <c r="W36" s="3">
        <f>_xlfn.XLOOKUP(tblOrdenes[[#This Row],[puesto_trabajo]],tblPuestos[codigo],tblPuestos[especialidad],"(sin catálogo)")</f>
        <v/>
      </c>
      <c r="X36" s="3">
        <f>_xlfn.XLOOKUP(tblOrdenes[[#This Row],[cod_actividad]],tblActividades[codigo],tblActividades[descripcion],"(sin catálogo)")</f>
        <v/>
      </c>
      <c r="Y36" s="12">
        <f>IF(tblOrdenes[[#This Row],[fecha_inicio]]="","",TODAY()-tblOrdenes[[#This Row],[fecha_inicio]])</f>
        <v/>
      </c>
      <c r="Z36" s="3">
        <f>IF(tblOrdenes[[#This Row],[backlog_dias]]="","",IF(tblOrdenes[[#This Row],[backlog_dias]]&lt;0,"FUTURO",IF(tblOrdenes[[#This Row],[backlog_dias]]&gt;p_dias_backlog_max,"BACKLOG","MES CORRIENTE")))</f>
        <v/>
      </c>
      <c r="AA36" s="3">
        <f>IF(tblOrdenes[[#This Row],[backlog_dias]]="",FALSE,AND(tblOrdenes[[#This Row],[backlog_dias]]&gt;p_dias_backlog_min,tblOrdenes[[#This Row],[backlog_dias]]&lt;=p_dias_backlog_max))</f>
        <v/>
      </c>
      <c r="AB36" s="6" t="inlineStr">
        <is>
          <t>Técnico 03</t>
        </is>
      </c>
      <c r="AC3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6" s="10">
        <f>_xlfn.XLOOKUP(tblOrdenes[[#This Row],[id_operacion]],tblEjecucion[id_operacion],tblEjecucion[precio],0)</f>
        <v/>
      </c>
      <c r="AE36" s="10">
        <f>MAX(0,_xlfn.XLOOKUP(tblOrdenes[[#This Row],[id_operacion]],tblEjecucion[id_operacion],tblEjecucion[costo_plan_total],0)-tblOrdenes[[#This Row],[costo_servicio]])</f>
        <v/>
      </c>
      <c r="AF36" s="10">
        <f>tblOrdenes[[#This Row],[costo_servicio]]+tblOrdenes[[#This Row],[costo_materiales]]</f>
        <v/>
      </c>
      <c r="AG36" s="6" t="inlineStr"/>
      <c r="AH36" s="6" t="inlineStr"/>
      <c r="AI36" s="6" t="inlineStr">
        <is>
          <t>ACT-01.pdf</t>
        </is>
      </c>
      <c r="AJ36" s="3">
        <f>IF(tblOrdenes[[#This Row],[link_checklist]]="","",HYPERLINK(p_ruta_base_checklists&amp;tblOrdenes[[#This Row],[link_checklist]],"abrir"))</f>
        <v/>
      </c>
      <c r="AK36" s="6" t="inlineStr"/>
    </row>
    <row r="37">
      <c r="A37" s="3" t="inlineStr">
        <is>
          <t>OT-000034</t>
        </is>
      </c>
      <c r="B37" s="3" t="inlineStr">
        <is>
          <t>0010</t>
        </is>
      </c>
      <c r="C37" s="3">
        <f>tblOrdenes[[#This Row],[orden]]&amp;IF(tblOrdenes[[#This Row],[operacion]]="","0010",tblOrdenes[[#This Row],[operacion]])</f>
        <v/>
      </c>
      <c r="D37" s="3" t="inlineStr">
        <is>
          <t>Lubricación programada — EQ-105</t>
        </is>
      </c>
      <c r="E37" s="3" t="inlineStr">
        <is>
          <t>Lubricación programada en EQ-105</t>
        </is>
      </c>
      <c r="F37" s="3" t="inlineStr">
        <is>
          <t>EQ-105</t>
        </is>
      </c>
      <c r="G37" s="3" t="inlineStr">
        <is>
          <t>CC-110</t>
        </is>
      </c>
      <c r="H37" s="3" t="inlineStr">
        <is>
          <t>PU-MEC</t>
        </is>
      </c>
      <c r="I37" s="3" t="inlineStr">
        <is>
          <t>ACT-02</t>
        </is>
      </c>
      <c r="J37" s="3" t="inlineStr">
        <is>
          <t>TIPO-P1</t>
        </is>
      </c>
      <c r="K37" s="11" t="n">
        <v>46226</v>
      </c>
      <c r="L37" s="3" t="n">
        <v>6</v>
      </c>
      <c r="M37" s="10" t="n">
        <v>150</v>
      </c>
      <c r="N37" s="3">
        <f>_xlfn.XLOOKUP(_xlfn.XLOOKUP(tblOrdenes[[#This Row],[id_operacion]],tblEjecucion[id_operacion],tblEjecucion[estado_sistema],""),tblEstados[estado_sistema],tblEstados[estado_normalizado],"Pendiente")</f>
        <v/>
      </c>
      <c r="O37" s="3">
        <f>IF(tblOrdenes[[#This Row],[fecha_inicio]]="","","S"&amp;IF(_xlfn.ISOWEEKNUM(tblOrdenes[[#This Row],[fecha_inicio]])=53,1,_xlfn.ISOWEEKNUM(tblOrdenes[[#This Row],[fecha_inicio]])))</f>
        <v/>
      </c>
      <c r="P37" s="3">
        <f>IF(tblOrdenes[[#This Row],[fecha_inicio]]="","",YEAR(tblOrdenes[[#This Row],[fecha_inicio]]))</f>
        <v/>
      </c>
      <c r="Q37" s="3">
        <f>IF(tblOrdenes[[#This Row],[fecha_inicio]]="","",MONTH(tblOrdenes[[#This Row],[fecha_inicio]]))</f>
        <v/>
      </c>
      <c r="R37" s="3">
        <f>IF(tblOrdenes[[#This Row],[fecha_inicio]]="","",INDEX(lista_dias,WEEKDAY(tblOrdenes[[#This Row],[fecha_inicio]],2)))</f>
        <v/>
      </c>
      <c r="S37" s="3">
        <f>_xlfn.XLOOKUP(tblOrdenes[[#This Row],[tipo_ot]],tblTiposOT[codigo],tblTiposOT[clasificacion],"sin_clasificar")</f>
        <v/>
      </c>
      <c r="T37" s="3">
        <f>_xlfn.XLOOKUP(tblOrdenes[[#This Row],[centro_costo]],tblCECO[codigo],tblCECO[linea],"(sin catálogo)")</f>
        <v/>
      </c>
      <c r="U37" s="3">
        <f>_xlfn.XLOOKUP(tblOrdenes[[#This Row],[centro_costo]],tblCECO[codigo],tblCECO[area],"(sin catálogo)")</f>
        <v/>
      </c>
      <c r="V37" s="3">
        <f>_xlfn.XLOOKUP(tblOrdenes[[#This Row],[centro_costo]],tblCECO[codigo],tblCECO[coordinador],"(sin catálogo)")</f>
        <v/>
      </c>
      <c r="W37" s="3">
        <f>_xlfn.XLOOKUP(tblOrdenes[[#This Row],[puesto_trabajo]],tblPuestos[codigo],tblPuestos[especialidad],"(sin catálogo)")</f>
        <v/>
      </c>
      <c r="X37" s="3">
        <f>_xlfn.XLOOKUP(tblOrdenes[[#This Row],[cod_actividad]],tblActividades[codigo],tblActividades[descripcion],"(sin catálogo)")</f>
        <v/>
      </c>
      <c r="Y37" s="12">
        <f>IF(tblOrdenes[[#This Row],[fecha_inicio]]="","",TODAY()-tblOrdenes[[#This Row],[fecha_inicio]])</f>
        <v/>
      </c>
      <c r="Z37" s="3">
        <f>IF(tblOrdenes[[#This Row],[backlog_dias]]="","",IF(tblOrdenes[[#This Row],[backlog_dias]]&lt;0,"FUTURO",IF(tblOrdenes[[#This Row],[backlog_dias]]&gt;p_dias_backlog_max,"BACKLOG","MES CORRIENTE")))</f>
        <v/>
      </c>
      <c r="AA37" s="3">
        <f>IF(tblOrdenes[[#This Row],[backlog_dias]]="",FALSE,AND(tblOrdenes[[#This Row],[backlog_dias]]&gt;p_dias_backlog_min,tblOrdenes[[#This Row],[backlog_dias]]&lt;=p_dias_backlog_max))</f>
        <v/>
      </c>
      <c r="AB37" s="6" t="inlineStr">
        <is>
          <t>Técnico 01</t>
        </is>
      </c>
      <c r="AC3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7" s="10">
        <f>_xlfn.XLOOKUP(tblOrdenes[[#This Row],[id_operacion]],tblEjecucion[id_operacion],tblEjecucion[precio],0)</f>
        <v/>
      </c>
      <c r="AE37" s="10">
        <f>MAX(0,_xlfn.XLOOKUP(tblOrdenes[[#This Row],[id_operacion]],tblEjecucion[id_operacion],tblEjecucion[costo_plan_total],0)-tblOrdenes[[#This Row],[costo_servicio]])</f>
        <v/>
      </c>
      <c r="AF37" s="10">
        <f>tblOrdenes[[#This Row],[costo_servicio]]+tblOrdenes[[#This Row],[costo_materiales]]</f>
        <v/>
      </c>
      <c r="AG37" s="6" t="inlineStr"/>
      <c r="AH37" s="6" t="inlineStr"/>
      <c r="AI37" s="6" t="inlineStr">
        <is>
          <t>ACT-02.pdf</t>
        </is>
      </c>
      <c r="AJ37" s="3">
        <f>IF(tblOrdenes[[#This Row],[link_checklist]]="","",HYPERLINK(p_ruta_base_checklists&amp;tblOrdenes[[#This Row],[link_checklist]],"abrir"))</f>
        <v/>
      </c>
      <c r="AK37" s="6" t="inlineStr"/>
    </row>
    <row r="38">
      <c r="A38" s="3" t="inlineStr">
        <is>
          <t>OT-000035</t>
        </is>
      </c>
      <c r="B38" s="3" t="inlineStr">
        <is>
          <t>0010</t>
        </is>
      </c>
      <c r="C38" s="3">
        <f>tblOrdenes[[#This Row],[orden]]&amp;IF(tblOrdenes[[#This Row],[operacion]]="","0010",tblOrdenes[[#This Row],[operacion]])</f>
        <v/>
      </c>
      <c r="D38" s="3" t="inlineStr">
        <is>
          <t>Análisis predictivo — EQ-109</t>
        </is>
      </c>
      <c r="E38" s="3" t="inlineStr">
        <is>
          <t>Análisis predictivo en EQ-109</t>
        </is>
      </c>
      <c r="F38" s="3" t="inlineStr">
        <is>
          <t>EQ-109</t>
        </is>
      </c>
      <c r="G38" s="3" t="inlineStr">
        <is>
          <t>CC-210</t>
        </is>
      </c>
      <c r="H38" s="3" t="inlineStr">
        <is>
          <t>PU-MEC</t>
        </is>
      </c>
      <c r="I38" s="3" t="inlineStr">
        <is>
          <t>ACT-04</t>
        </is>
      </c>
      <c r="J38" s="3" t="inlineStr">
        <is>
          <t>TIPO-P2</t>
        </is>
      </c>
      <c r="K38" s="11" t="n">
        <v>46227</v>
      </c>
      <c r="L38" s="3" t="n">
        <v>8</v>
      </c>
      <c r="M38" s="10" t="n">
        <v>200</v>
      </c>
      <c r="N38" s="3">
        <f>_xlfn.XLOOKUP(_xlfn.XLOOKUP(tblOrdenes[[#This Row],[id_operacion]],tblEjecucion[id_operacion],tblEjecucion[estado_sistema],""),tblEstados[estado_sistema],tblEstados[estado_normalizado],"Pendiente")</f>
        <v/>
      </c>
      <c r="O38" s="3">
        <f>IF(tblOrdenes[[#This Row],[fecha_inicio]]="","","S"&amp;IF(_xlfn.ISOWEEKNUM(tblOrdenes[[#This Row],[fecha_inicio]])=53,1,_xlfn.ISOWEEKNUM(tblOrdenes[[#This Row],[fecha_inicio]])))</f>
        <v/>
      </c>
      <c r="P38" s="3">
        <f>IF(tblOrdenes[[#This Row],[fecha_inicio]]="","",YEAR(tblOrdenes[[#This Row],[fecha_inicio]]))</f>
        <v/>
      </c>
      <c r="Q38" s="3">
        <f>IF(tblOrdenes[[#This Row],[fecha_inicio]]="","",MONTH(tblOrdenes[[#This Row],[fecha_inicio]]))</f>
        <v/>
      </c>
      <c r="R38" s="3">
        <f>IF(tblOrdenes[[#This Row],[fecha_inicio]]="","",INDEX(lista_dias,WEEKDAY(tblOrdenes[[#This Row],[fecha_inicio]],2)))</f>
        <v/>
      </c>
      <c r="S38" s="3">
        <f>_xlfn.XLOOKUP(tblOrdenes[[#This Row],[tipo_ot]],tblTiposOT[codigo],tblTiposOT[clasificacion],"sin_clasificar")</f>
        <v/>
      </c>
      <c r="T38" s="3">
        <f>_xlfn.XLOOKUP(tblOrdenes[[#This Row],[centro_costo]],tblCECO[codigo],tblCECO[linea],"(sin catálogo)")</f>
        <v/>
      </c>
      <c r="U38" s="3">
        <f>_xlfn.XLOOKUP(tblOrdenes[[#This Row],[centro_costo]],tblCECO[codigo],tblCECO[area],"(sin catálogo)")</f>
        <v/>
      </c>
      <c r="V38" s="3">
        <f>_xlfn.XLOOKUP(tblOrdenes[[#This Row],[centro_costo]],tblCECO[codigo],tblCECO[coordinador],"(sin catálogo)")</f>
        <v/>
      </c>
      <c r="W38" s="3">
        <f>_xlfn.XLOOKUP(tblOrdenes[[#This Row],[puesto_trabajo]],tblPuestos[codigo],tblPuestos[especialidad],"(sin catálogo)")</f>
        <v/>
      </c>
      <c r="X38" s="3">
        <f>_xlfn.XLOOKUP(tblOrdenes[[#This Row],[cod_actividad]],tblActividades[codigo],tblActividades[descripcion],"(sin catálogo)")</f>
        <v/>
      </c>
      <c r="Y38" s="12">
        <f>IF(tblOrdenes[[#This Row],[fecha_inicio]]="","",TODAY()-tblOrdenes[[#This Row],[fecha_inicio]])</f>
        <v/>
      </c>
      <c r="Z38" s="3">
        <f>IF(tblOrdenes[[#This Row],[backlog_dias]]="","",IF(tblOrdenes[[#This Row],[backlog_dias]]&lt;0,"FUTURO",IF(tblOrdenes[[#This Row],[backlog_dias]]&gt;p_dias_backlog_max,"BACKLOG","MES CORRIENTE")))</f>
        <v/>
      </c>
      <c r="AA38" s="3">
        <f>IF(tblOrdenes[[#This Row],[backlog_dias]]="",FALSE,AND(tblOrdenes[[#This Row],[backlog_dias]]&gt;p_dias_backlog_min,tblOrdenes[[#This Row],[backlog_dias]]&lt;=p_dias_backlog_max))</f>
        <v/>
      </c>
      <c r="AB38" s="6" t="inlineStr">
        <is>
          <t>Técnico 02</t>
        </is>
      </c>
      <c r="AC3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8" s="10">
        <f>_xlfn.XLOOKUP(tblOrdenes[[#This Row],[id_operacion]],tblEjecucion[id_operacion],tblEjecucion[precio],0)</f>
        <v/>
      </c>
      <c r="AE38" s="10">
        <f>MAX(0,_xlfn.XLOOKUP(tblOrdenes[[#This Row],[id_operacion]],tblEjecucion[id_operacion],tblEjecucion[costo_plan_total],0)-tblOrdenes[[#This Row],[costo_servicio]])</f>
        <v/>
      </c>
      <c r="AF38" s="10">
        <f>tblOrdenes[[#This Row],[costo_servicio]]+tblOrdenes[[#This Row],[costo_materiales]]</f>
        <v/>
      </c>
      <c r="AG38" s="6" t="inlineStr"/>
      <c r="AH38" s="6" t="inlineStr"/>
      <c r="AI38" s="6" t="inlineStr">
        <is>
          <t>ACT-04.pdf</t>
        </is>
      </c>
      <c r="AJ38" s="3">
        <f>IF(tblOrdenes[[#This Row],[link_checklist]]="","",HYPERLINK(p_ruta_base_checklists&amp;tblOrdenes[[#This Row],[link_checklist]],"abrir"))</f>
        <v/>
      </c>
      <c r="AK38" s="6" t="inlineStr"/>
    </row>
    <row r="39">
      <c r="A39" s="3" t="inlineStr">
        <is>
          <t>OT-000036</t>
        </is>
      </c>
      <c r="B39" s="3" t="inlineStr">
        <is>
          <t>0010</t>
        </is>
      </c>
      <c r="C39" s="3">
        <f>tblOrdenes[[#This Row],[orden]]&amp;IF(tblOrdenes[[#This Row],[operacion]]="","0010",tblOrdenes[[#This Row],[operacion]])</f>
        <v/>
      </c>
      <c r="D39" s="3" t="inlineStr">
        <is>
          <t>Reparación de falla — EQ-110</t>
        </is>
      </c>
      <c r="E39" s="3" t="inlineStr">
        <is>
          <t>Reparación de falla en EQ-110</t>
        </is>
      </c>
      <c r="F39" s="3" t="inlineStr">
        <is>
          <t>EQ-110</t>
        </is>
      </c>
      <c r="G39" s="3" t="inlineStr">
        <is>
          <t>CC-310</t>
        </is>
      </c>
      <c r="H39" s="3" t="inlineStr">
        <is>
          <t>PU-MEC</t>
        </is>
      </c>
      <c r="I39" s="3" t="inlineStr">
        <is>
          <t>ACT-03</t>
        </is>
      </c>
      <c r="J39" s="3" t="inlineStr">
        <is>
          <t>TIPO-C1</t>
        </is>
      </c>
      <c r="K39" s="11" t="n">
        <v>46223</v>
      </c>
      <c r="L39" s="3" t="n">
        <v>10</v>
      </c>
      <c r="M39" s="10" t="n">
        <v>400</v>
      </c>
      <c r="N39" s="3">
        <f>_xlfn.XLOOKUP(_xlfn.XLOOKUP(tblOrdenes[[#This Row],[id_operacion]],tblEjecucion[id_operacion],tblEjecucion[estado_sistema],""),tblEstados[estado_sistema],tblEstados[estado_normalizado],"Pendiente")</f>
        <v/>
      </c>
      <c r="O39" s="3">
        <f>IF(tblOrdenes[[#This Row],[fecha_inicio]]="","","S"&amp;IF(_xlfn.ISOWEEKNUM(tblOrdenes[[#This Row],[fecha_inicio]])=53,1,_xlfn.ISOWEEKNUM(tblOrdenes[[#This Row],[fecha_inicio]])))</f>
        <v/>
      </c>
      <c r="P39" s="3">
        <f>IF(tblOrdenes[[#This Row],[fecha_inicio]]="","",YEAR(tblOrdenes[[#This Row],[fecha_inicio]]))</f>
        <v/>
      </c>
      <c r="Q39" s="3">
        <f>IF(tblOrdenes[[#This Row],[fecha_inicio]]="","",MONTH(tblOrdenes[[#This Row],[fecha_inicio]]))</f>
        <v/>
      </c>
      <c r="R39" s="3">
        <f>IF(tblOrdenes[[#This Row],[fecha_inicio]]="","",INDEX(lista_dias,WEEKDAY(tblOrdenes[[#This Row],[fecha_inicio]],2)))</f>
        <v/>
      </c>
      <c r="S39" s="3">
        <f>_xlfn.XLOOKUP(tblOrdenes[[#This Row],[tipo_ot]],tblTiposOT[codigo],tblTiposOT[clasificacion],"sin_clasificar")</f>
        <v/>
      </c>
      <c r="T39" s="3">
        <f>_xlfn.XLOOKUP(tblOrdenes[[#This Row],[centro_costo]],tblCECO[codigo],tblCECO[linea],"(sin catálogo)")</f>
        <v/>
      </c>
      <c r="U39" s="3">
        <f>_xlfn.XLOOKUP(tblOrdenes[[#This Row],[centro_costo]],tblCECO[codigo],tblCECO[area],"(sin catálogo)")</f>
        <v/>
      </c>
      <c r="V39" s="3">
        <f>_xlfn.XLOOKUP(tblOrdenes[[#This Row],[centro_costo]],tblCECO[codigo],tblCECO[coordinador],"(sin catálogo)")</f>
        <v/>
      </c>
      <c r="W39" s="3">
        <f>_xlfn.XLOOKUP(tblOrdenes[[#This Row],[puesto_trabajo]],tblPuestos[codigo],tblPuestos[especialidad],"(sin catálogo)")</f>
        <v/>
      </c>
      <c r="X39" s="3">
        <f>_xlfn.XLOOKUP(tblOrdenes[[#This Row],[cod_actividad]],tblActividades[codigo],tblActividades[descripcion],"(sin catálogo)")</f>
        <v/>
      </c>
      <c r="Y39" s="12">
        <f>IF(tblOrdenes[[#This Row],[fecha_inicio]]="","",TODAY()-tblOrdenes[[#This Row],[fecha_inicio]])</f>
        <v/>
      </c>
      <c r="Z39" s="3">
        <f>IF(tblOrdenes[[#This Row],[backlog_dias]]="","",IF(tblOrdenes[[#This Row],[backlog_dias]]&lt;0,"FUTURO",IF(tblOrdenes[[#This Row],[backlog_dias]]&gt;p_dias_backlog_max,"BACKLOG","MES CORRIENTE")))</f>
        <v/>
      </c>
      <c r="AA39" s="3">
        <f>IF(tblOrdenes[[#This Row],[backlog_dias]]="",FALSE,AND(tblOrdenes[[#This Row],[backlog_dias]]&gt;p_dias_backlog_min,tblOrdenes[[#This Row],[backlog_dias]]&lt;=p_dias_backlog_max))</f>
        <v/>
      </c>
      <c r="AB39" s="6" t="inlineStr"/>
      <c r="AC3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9" s="10">
        <f>_xlfn.XLOOKUP(tblOrdenes[[#This Row],[id_operacion]],tblEjecucion[id_operacion],tblEjecucion[precio],0)</f>
        <v/>
      </c>
      <c r="AE39" s="10">
        <f>MAX(0,_xlfn.XLOOKUP(tblOrdenes[[#This Row],[id_operacion]],tblEjecucion[id_operacion],tblEjecucion[costo_plan_total],0)-tblOrdenes[[#This Row],[costo_servicio]])</f>
        <v/>
      </c>
      <c r="AF39" s="10">
        <f>tblOrdenes[[#This Row],[costo_servicio]]+tblOrdenes[[#This Row],[costo_materiales]]</f>
        <v/>
      </c>
      <c r="AG39" s="6" t="inlineStr">
        <is>
          <t>PT-CALIENTE</t>
        </is>
      </c>
      <c r="AH39" s="6" t="inlineStr">
        <is>
          <t>LOTO</t>
        </is>
      </c>
      <c r="AI39" s="6" t="inlineStr"/>
      <c r="AJ39" s="3">
        <f>IF(tblOrdenes[[#This Row],[link_checklist]]="","",HYPERLINK(p_ruta_base_checklists&amp;tblOrdenes[[#This Row],[link_checklist]],"abrir"))</f>
        <v/>
      </c>
      <c r="AK39" s="6" t="inlineStr"/>
    </row>
    <row r="40">
      <c r="A40" s="3" t="inlineStr">
        <is>
          <t>OT-000037</t>
        </is>
      </c>
      <c r="B40" s="3" t="inlineStr">
        <is>
          <t>0010</t>
        </is>
      </c>
      <c r="C40" s="3">
        <f>tblOrdenes[[#This Row],[orden]]&amp;IF(tblOrdenes[[#This Row],[operacion]]="","0010",tblOrdenes[[#This Row],[operacion]])</f>
        <v/>
      </c>
      <c r="D40" s="3" t="inlineStr">
        <is>
          <t>Reparación de falla — EQ-103</t>
        </is>
      </c>
      <c r="E40" s="3" t="inlineStr">
        <is>
          <t>Reparación de falla en EQ-103</t>
        </is>
      </c>
      <c r="F40" s="3" t="inlineStr">
        <is>
          <t>EQ-103</t>
        </is>
      </c>
      <c r="G40" s="3" t="inlineStr">
        <is>
          <t>CC-110</t>
        </is>
      </c>
      <c r="H40" s="3" t="inlineStr">
        <is>
          <t>PU-MEC</t>
        </is>
      </c>
      <c r="I40" s="3" t="inlineStr">
        <is>
          <t>ACT-03</t>
        </is>
      </c>
      <c r="J40" s="3" t="inlineStr">
        <is>
          <t>TIPO-C2</t>
        </is>
      </c>
      <c r="K40" s="11" t="n">
        <v>46224</v>
      </c>
      <c r="L40" s="3" t="n">
        <v>10</v>
      </c>
      <c r="M40" s="10" t="n">
        <v>400</v>
      </c>
      <c r="N40" s="3">
        <f>_xlfn.XLOOKUP(_xlfn.XLOOKUP(tblOrdenes[[#This Row],[id_operacion]],tblEjecucion[id_operacion],tblEjecucion[estado_sistema],""),tblEstados[estado_sistema],tblEstados[estado_normalizado],"Pendiente")</f>
        <v/>
      </c>
      <c r="O40" s="3">
        <f>IF(tblOrdenes[[#This Row],[fecha_inicio]]="","","S"&amp;IF(_xlfn.ISOWEEKNUM(tblOrdenes[[#This Row],[fecha_inicio]])=53,1,_xlfn.ISOWEEKNUM(tblOrdenes[[#This Row],[fecha_inicio]])))</f>
        <v/>
      </c>
      <c r="P40" s="3">
        <f>IF(tblOrdenes[[#This Row],[fecha_inicio]]="","",YEAR(tblOrdenes[[#This Row],[fecha_inicio]]))</f>
        <v/>
      </c>
      <c r="Q40" s="3">
        <f>IF(tblOrdenes[[#This Row],[fecha_inicio]]="","",MONTH(tblOrdenes[[#This Row],[fecha_inicio]]))</f>
        <v/>
      </c>
      <c r="R40" s="3">
        <f>IF(tblOrdenes[[#This Row],[fecha_inicio]]="","",INDEX(lista_dias,WEEKDAY(tblOrdenes[[#This Row],[fecha_inicio]],2)))</f>
        <v/>
      </c>
      <c r="S40" s="3">
        <f>_xlfn.XLOOKUP(tblOrdenes[[#This Row],[tipo_ot]],tblTiposOT[codigo],tblTiposOT[clasificacion],"sin_clasificar")</f>
        <v/>
      </c>
      <c r="T40" s="3">
        <f>_xlfn.XLOOKUP(tblOrdenes[[#This Row],[centro_costo]],tblCECO[codigo],tblCECO[linea],"(sin catálogo)")</f>
        <v/>
      </c>
      <c r="U40" s="3">
        <f>_xlfn.XLOOKUP(tblOrdenes[[#This Row],[centro_costo]],tblCECO[codigo],tblCECO[area],"(sin catálogo)")</f>
        <v/>
      </c>
      <c r="V40" s="3">
        <f>_xlfn.XLOOKUP(tblOrdenes[[#This Row],[centro_costo]],tblCECO[codigo],tblCECO[coordinador],"(sin catálogo)")</f>
        <v/>
      </c>
      <c r="W40" s="3">
        <f>_xlfn.XLOOKUP(tblOrdenes[[#This Row],[puesto_trabajo]],tblPuestos[codigo],tblPuestos[especialidad],"(sin catálogo)")</f>
        <v/>
      </c>
      <c r="X40" s="3">
        <f>_xlfn.XLOOKUP(tblOrdenes[[#This Row],[cod_actividad]],tblActividades[codigo],tblActividades[descripcion],"(sin catálogo)")</f>
        <v/>
      </c>
      <c r="Y40" s="12">
        <f>IF(tblOrdenes[[#This Row],[fecha_inicio]]="","",TODAY()-tblOrdenes[[#This Row],[fecha_inicio]])</f>
        <v/>
      </c>
      <c r="Z40" s="3">
        <f>IF(tblOrdenes[[#This Row],[backlog_dias]]="","",IF(tblOrdenes[[#This Row],[backlog_dias]]&lt;0,"FUTURO",IF(tblOrdenes[[#This Row],[backlog_dias]]&gt;p_dias_backlog_max,"BACKLOG","MES CORRIENTE")))</f>
        <v/>
      </c>
      <c r="AA40" s="3">
        <f>IF(tblOrdenes[[#This Row],[backlog_dias]]="",FALSE,AND(tblOrdenes[[#This Row],[backlog_dias]]&gt;p_dias_backlog_min,tblOrdenes[[#This Row],[backlog_dias]]&lt;=p_dias_backlog_max))</f>
        <v/>
      </c>
      <c r="AB40" s="6" t="inlineStr">
        <is>
          <t>Técnico 01</t>
        </is>
      </c>
      <c r="AC4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0" s="10">
        <f>_xlfn.XLOOKUP(tblOrdenes[[#This Row],[id_operacion]],tblEjecucion[id_operacion],tblEjecucion[precio],0)</f>
        <v/>
      </c>
      <c r="AE40" s="10">
        <f>MAX(0,_xlfn.XLOOKUP(tblOrdenes[[#This Row],[id_operacion]],tblEjecucion[id_operacion],tblEjecucion[costo_plan_total],0)-tblOrdenes[[#This Row],[costo_servicio]])</f>
        <v/>
      </c>
      <c r="AF40" s="10">
        <f>tblOrdenes[[#This Row],[costo_servicio]]+tblOrdenes[[#This Row],[costo_materiales]]</f>
        <v/>
      </c>
      <c r="AG40" s="6" t="inlineStr"/>
      <c r="AH40" s="6" t="inlineStr"/>
      <c r="AI40" s="6" t="inlineStr"/>
      <c r="AJ40" s="3">
        <f>IF(tblOrdenes[[#This Row],[link_checklist]]="","",HYPERLINK(p_ruta_base_checklists&amp;tblOrdenes[[#This Row],[link_checklist]],"abrir"))</f>
        <v/>
      </c>
      <c r="AK40" s="6" t="inlineStr"/>
    </row>
    <row r="41">
      <c r="A41" s="3" t="inlineStr">
        <is>
          <t>OT-000038</t>
        </is>
      </c>
      <c r="B41" s="3" t="inlineStr">
        <is>
          <t>0010</t>
        </is>
      </c>
      <c r="C41" s="3">
        <f>tblOrdenes[[#This Row],[orden]]&amp;IF(tblOrdenes[[#This Row],[operacion]]="","0010",tblOrdenes[[#This Row],[operacion]])</f>
        <v/>
      </c>
      <c r="D41" s="3" t="inlineStr">
        <is>
          <t>Análisis predictivo — EQ-108</t>
        </is>
      </c>
      <c r="E41" s="3" t="inlineStr">
        <is>
          <t>Análisis predictivo en EQ-108</t>
        </is>
      </c>
      <c r="F41" s="3" t="inlineStr">
        <is>
          <t>EQ-108</t>
        </is>
      </c>
      <c r="G41" s="3" t="inlineStr">
        <is>
          <t>CC-210</t>
        </is>
      </c>
      <c r="H41" s="3" t="inlineStr">
        <is>
          <t>PU-MEC</t>
        </is>
      </c>
      <c r="I41" s="3" t="inlineStr">
        <is>
          <t>ACT-04</t>
        </is>
      </c>
      <c r="J41" s="3" t="inlineStr">
        <is>
          <t>TIPO-P1</t>
        </is>
      </c>
      <c r="K41" s="11" t="n">
        <v>46232</v>
      </c>
      <c r="L41" s="3" t="n">
        <v>10</v>
      </c>
      <c r="M41" s="10" t="n">
        <v>250</v>
      </c>
      <c r="N41" s="3">
        <f>_xlfn.XLOOKUP(_xlfn.XLOOKUP(tblOrdenes[[#This Row],[id_operacion]],tblEjecucion[id_operacion],tblEjecucion[estado_sistema],""),tblEstados[estado_sistema],tblEstados[estado_normalizado],"Pendiente")</f>
        <v/>
      </c>
      <c r="O41" s="3">
        <f>IF(tblOrdenes[[#This Row],[fecha_inicio]]="","","S"&amp;IF(_xlfn.ISOWEEKNUM(tblOrdenes[[#This Row],[fecha_inicio]])=53,1,_xlfn.ISOWEEKNUM(tblOrdenes[[#This Row],[fecha_inicio]])))</f>
        <v/>
      </c>
      <c r="P41" s="3">
        <f>IF(tblOrdenes[[#This Row],[fecha_inicio]]="","",YEAR(tblOrdenes[[#This Row],[fecha_inicio]]))</f>
        <v/>
      </c>
      <c r="Q41" s="3">
        <f>IF(tblOrdenes[[#This Row],[fecha_inicio]]="","",MONTH(tblOrdenes[[#This Row],[fecha_inicio]]))</f>
        <v/>
      </c>
      <c r="R41" s="3">
        <f>IF(tblOrdenes[[#This Row],[fecha_inicio]]="","",INDEX(lista_dias,WEEKDAY(tblOrdenes[[#This Row],[fecha_inicio]],2)))</f>
        <v/>
      </c>
      <c r="S41" s="3">
        <f>_xlfn.XLOOKUP(tblOrdenes[[#This Row],[tipo_ot]],tblTiposOT[codigo],tblTiposOT[clasificacion],"sin_clasificar")</f>
        <v/>
      </c>
      <c r="T41" s="3">
        <f>_xlfn.XLOOKUP(tblOrdenes[[#This Row],[centro_costo]],tblCECO[codigo],tblCECO[linea],"(sin catálogo)")</f>
        <v/>
      </c>
      <c r="U41" s="3">
        <f>_xlfn.XLOOKUP(tblOrdenes[[#This Row],[centro_costo]],tblCECO[codigo],tblCECO[area],"(sin catálogo)")</f>
        <v/>
      </c>
      <c r="V41" s="3">
        <f>_xlfn.XLOOKUP(tblOrdenes[[#This Row],[centro_costo]],tblCECO[codigo],tblCECO[coordinador],"(sin catálogo)")</f>
        <v/>
      </c>
      <c r="W41" s="3">
        <f>_xlfn.XLOOKUP(tblOrdenes[[#This Row],[puesto_trabajo]],tblPuestos[codigo],tblPuestos[especialidad],"(sin catálogo)")</f>
        <v/>
      </c>
      <c r="X41" s="3">
        <f>_xlfn.XLOOKUP(tblOrdenes[[#This Row],[cod_actividad]],tblActividades[codigo],tblActividades[descripcion],"(sin catálogo)")</f>
        <v/>
      </c>
      <c r="Y41" s="12">
        <f>IF(tblOrdenes[[#This Row],[fecha_inicio]]="","",TODAY()-tblOrdenes[[#This Row],[fecha_inicio]])</f>
        <v/>
      </c>
      <c r="Z41" s="3">
        <f>IF(tblOrdenes[[#This Row],[backlog_dias]]="","",IF(tblOrdenes[[#This Row],[backlog_dias]]&lt;0,"FUTURO",IF(tblOrdenes[[#This Row],[backlog_dias]]&gt;p_dias_backlog_max,"BACKLOG","MES CORRIENTE")))</f>
        <v/>
      </c>
      <c r="AA41" s="3">
        <f>IF(tblOrdenes[[#This Row],[backlog_dias]]="",FALSE,AND(tblOrdenes[[#This Row],[backlog_dias]]&gt;p_dias_backlog_min,tblOrdenes[[#This Row],[backlog_dias]]&lt;=p_dias_backlog_max))</f>
        <v/>
      </c>
      <c r="AB41" s="6" t="inlineStr">
        <is>
          <t>Técnico 02</t>
        </is>
      </c>
      <c r="AC4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1" s="10">
        <f>_xlfn.XLOOKUP(tblOrdenes[[#This Row],[id_operacion]],tblEjecucion[id_operacion],tblEjecucion[precio],0)</f>
        <v/>
      </c>
      <c r="AE41" s="10">
        <f>MAX(0,_xlfn.XLOOKUP(tblOrdenes[[#This Row],[id_operacion]],tblEjecucion[id_operacion],tblEjecucion[costo_plan_total],0)-tblOrdenes[[#This Row],[costo_servicio]])</f>
        <v/>
      </c>
      <c r="AF41" s="10">
        <f>tblOrdenes[[#This Row],[costo_servicio]]+tblOrdenes[[#This Row],[costo_materiales]]</f>
        <v/>
      </c>
      <c r="AG41" s="6" t="inlineStr"/>
      <c r="AH41" s="6" t="inlineStr"/>
      <c r="AI41" s="6" t="inlineStr">
        <is>
          <t>ACT-04.pdf</t>
        </is>
      </c>
      <c r="AJ41" s="3">
        <f>IF(tblOrdenes[[#This Row],[link_checklist]]="","",HYPERLINK(p_ruta_base_checklists&amp;tblOrdenes[[#This Row],[link_checklist]],"abrir"))</f>
        <v/>
      </c>
      <c r="AK41" s="6" t="inlineStr"/>
    </row>
    <row r="42">
      <c r="A42" s="3" t="inlineStr">
        <is>
          <t>OT-000039</t>
        </is>
      </c>
      <c r="B42" s="3" t="inlineStr">
        <is>
          <t>0010</t>
        </is>
      </c>
      <c r="C42" s="3">
        <f>tblOrdenes[[#This Row],[orden]]&amp;IF(tblOrdenes[[#This Row],[operacion]]="","0010",tblOrdenes[[#This Row],[operacion]])</f>
        <v/>
      </c>
      <c r="D42" s="3" t="inlineStr">
        <is>
          <t>Inspección de rutina — EQ-110</t>
        </is>
      </c>
      <c r="E42" s="3" t="inlineStr">
        <is>
          <t>Inspección de rutina en EQ-110</t>
        </is>
      </c>
      <c r="F42" s="3" t="inlineStr">
        <is>
          <t>EQ-110</t>
        </is>
      </c>
      <c r="G42" s="3" t="inlineStr">
        <is>
          <t>CC-310</t>
        </is>
      </c>
      <c r="H42" s="3" t="inlineStr">
        <is>
          <t>PU-MEC</t>
        </is>
      </c>
      <c r="I42" s="3" t="inlineStr">
        <is>
          <t>ACT-01</t>
        </is>
      </c>
      <c r="J42" s="3" t="inlineStr">
        <is>
          <t>TIPO-P2</t>
        </is>
      </c>
      <c r="K42" s="11" t="n">
        <v>46233</v>
      </c>
      <c r="L42" s="3" t="n">
        <v>8</v>
      </c>
      <c r="M42" s="10" t="n">
        <v>200</v>
      </c>
      <c r="N42" s="3">
        <f>_xlfn.XLOOKUP(_xlfn.XLOOKUP(tblOrdenes[[#This Row],[id_operacion]],tblEjecucion[id_operacion],tblEjecucion[estado_sistema],""),tblEstados[estado_sistema],tblEstados[estado_normalizado],"Pendiente")</f>
        <v/>
      </c>
      <c r="O42" s="3">
        <f>IF(tblOrdenes[[#This Row],[fecha_inicio]]="","","S"&amp;IF(_xlfn.ISOWEEKNUM(tblOrdenes[[#This Row],[fecha_inicio]])=53,1,_xlfn.ISOWEEKNUM(tblOrdenes[[#This Row],[fecha_inicio]])))</f>
        <v/>
      </c>
      <c r="P42" s="3">
        <f>IF(tblOrdenes[[#This Row],[fecha_inicio]]="","",YEAR(tblOrdenes[[#This Row],[fecha_inicio]]))</f>
        <v/>
      </c>
      <c r="Q42" s="3">
        <f>IF(tblOrdenes[[#This Row],[fecha_inicio]]="","",MONTH(tblOrdenes[[#This Row],[fecha_inicio]]))</f>
        <v/>
      </c>
      <c r="R42" s="3">
        <f>IF(tblOrdenes[[#This Row],[fecha_inicio]]="","",INDEX(lista_dias,WEEKDAY(tblOrdenes[[#This Row],[fecha_inicio]],2)))</f>
        <v/>
      </c>
      <c r="S42" s="3">
        <f>_xlfn.XLOOKUP(tblOrdenes[[#This Row],[tipo_ot]],tblTiposOT[codigo],tblTiposOT[clasificacion],"sin_clasificar")</f>
        <v/>
      </c>
      <c r="T42" s="3">
        <f>_xlfn.XLOOKUP(tblOrdenes[[#This Row],[centro_costo]],tblCECO[codigo],tblCECO[linea],"(sin catálogo)")</f>
        <v/>
      </c>
      <c r="U42" s="3">
        <f>_xlfn.XLOOKUP(tblOrdenes[[#This Row],[centro_costo]],tblCECO[codigo],tblCECO[area],"(sin catálogo)")</f>
        <v/>
      </c>
      <c r="V42" s="3">
        <f>_xlfn.XLOOKUP(tblOrdenes[[#This Row],[centro_costo]],tblCECO[codigo],tblCECO[coordinador],"(sin catálogo)")</f>
        <v/>
      </c>
      <c r="W42" s="3">
        <f>_xlfn.XLOOKUP(tblOrdenes[[#This Row],[puesto_trabajo]],tblPuestos[codigo],tblPuestos[especialidad],"(sin catálogo)")</f>
        <v/>
      </c>
      <c r="X42" s="3">
        <f>_xlfn.XLOOKUP(tblOrdenes[[#This Row],[cod_actividad]],tblActividades[codigo],tblActividades[descripcion],"(sin catálogo)")</f>
        <v/>
      </c>
      <c r="Y42" s="12">
        <f>IF(tblOrdenes[[#This Row],[fecha_inicio]]="","",TODAY()-tblOrdenes[[#This Row],[fecha_inicio]])</f>
        <v/>
      </c>
      <c r="Z42" s="3">
        <f>IF(tblOrdenes[[#This Row],[backlog_dias]]="","",IF(tblOrdenes[[#This Row],[backlog_dias]]&lt;0,"FUTURO",IF(tblOrdenes[[#This Row],[backlog_dias]]&gt;p_dias_backlog_max,"BACKLOG","MES CORRIENTE")))</f>
        <v/>
      </c>
      <c r="AA42" s="3">
        <f>IF(tblOrdenes[[#This Row],[backlog_dias]]="",FALSE,AND(tblOrdenes[[#This Row],[backlog_dias]]&gt;p_dias_backlog_min,tblOrdenes[[#This Row],[backlog_dias]]&lt;=p_dias_backlog_max))</f>
        <v/>
      </c>
      <c r="AB42" s="6" t="inlineStr">
        <is>
          <t>Técnico 03</t>
        </is>
      </c>
      <c r="AC4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2" s="10">
        <f>_xlfn.XLOOKUP(tblOrdenes[[#This Row],[id_operacion]],tblEjecucion[id_operacion],tblEjecucion[precio],0)</f>
        <v/>
      </c>
      <c r="AE42" s="10">
        <f>MAX(0,_xlfn.XLOOKUP(tblOrdenes[[#This Row],[id_operacion]],tblEjecucion[id_operacion],tblEjecucion[costo_plan_total],0)-tblOrdenes[[#This Row],[costo_servicio]])</f>
        <v/>
      </c>
      <c r="AF42" s="10">
        <f>tblOrdenes[[#This Row],[costo_servicio]]+tblOrdenes[[#This Row],[costo_materiales]]</f>
        <v/>
      </c>
      <c r="AG42" s="6" t="inlineStr"/>
      <c r="AH42" s="6" t="inlineStr"/>
      <c r="AI42" s="6" t="inlineStr">
        <is>
          <t>ACT-01.pdf</t>
        </is>
      </c>
      <c r="AJ42" s="3">
        <f>IF(tblOrdenes[[#This Row],[link_checklist]]="","",HYPERLINK(p_ruta_base_checklists&amp;tblOrdenes[[#This Row],[link_checklist]],"abrir"))</f>
        <v/>
      </c>
      <c r="AK42" s="6" t="inlineStr"/>
    </row>
    <row r="43">
      <c r="A43" s="3" t="inlineStr">
        <is>
          <t>OT-000040</t>
        </is>
      </c>
      <c r="B43" s="3" t="inlineStr">
        <is>
          <t>0010</t>
        </is>
      </c>
      <c r="C43" s="3">
        <f>tblOrdenes[[#This Row],[orden]]&amp;IF(tblOrdenes[[#This Row],[operacion]]="","0010",tblOrdenes[[#This Row],[operacion]])</f>
        <v/>
      </c>
      <c r="D43" s="3" t="inlineStr">
        <is>
          <t>Lubricación programada — EQ-101</t>
        </is>
      </c>
      <c r="E43" s="3" t="inlineStr">
        <is>
          <t>Lubricación programada en EQ-101</t>
        </is>
      </c>
      <c r="F43" s="3" t="inlineStr">
        <is>
          <t>EQ-101</t>
        </is>
      </c>
      <c r="G43" s="3" t="inlineStr">
        <is>
          <t>CC-110</t>
        </is>
      </c>
      <c r="H43" s="3" t="inlineStr">
        <is>
          <t>PU-MEC</t>
        </is>
      </c>
      <c r="I43" s="3" t="inlineStr">
        <is>
          <t>ACT-02</t>
        </is>
      </c>
      <c r="J43" s="3" t="inlineStr">
        <is>
          <t>TIPO-P1</t>
        </is>
      </c>
      <c r="K43" s="11" t="n">
        <v>46234</v>
      </c>
      <c r="L43" s="3" t="n">
        <v>6</v>
      </c>
      <c r="M43" s="10" t="n">
        <v>150</v>
      </c>
      <c r="N43" s="3">
        <f>_xlfn.XLOOKUP(_xlfn.XLOOKUP(tblOrdenes[[#This Row],[id_operacion]],tblEjecucion[id_operacion],tblEjecucion[estado_sistema],""),tblEstados[estado_sistema],tblEstados[estado_normalizado],"Pendiente")</f>
        <v/>
      </c>
      <c r="O43" s="3">
        <f>IF(tblOrdenes[[#This Row],[fecha_inicio]]="","","S"&amp;IF(_xlfn.ISOWEEKNUM(tblOrdenes[[#This Row],[fecha_inicio]])=53,1,_xlfn.ISOWEEKNUM(tblOrdenes[[#This Row],[fecha_inicio]])))</f>
        <v/>
      </c>
      <c r="P43" s="3">
        <f>IF(tblOrdenes[[#This Row],[fecha_inicio]]="","",YEAR(tblOrdenes[[#This Row],[fecha_inicio]]))</f>
        <v/>
      </c>
      <c r="Q43" s="3">
        <f>IF(tblOrdenes[[#This Row],[fecha_inicio]]="","",MONTH(tblOrdenes[[#This Row],[fecha_inicio]]))</f>
        <v/>
      </c>
      <c r="R43" s="3">
        <f>IF(tblOrdenes[[#This Row],[fecha_inicio]]="","",INDEX(lista_dias,WEEKDAY(tblOrdenes[[#This Row],[fecha_inicio]],2)))</f>
        <v/>
      </c>
      <c r="S43" s="3">
        <f>_xlfn.XLOOKUP(tblOrdenes[[#This Row],[tipo_ot]],tblTiposOT[codigo],tblTiposOT[clasificacion],"sin_clasificar")</f>
        <v/>
      </c>
      <c r="T43" s="3">
        <f>_xlfn.XLOOKUP(tblOrdenes[[#This Row],[centro_costo]],tblCECO[codigo],tblCECO[linea],"(sin catálogo)")</f>
        <v/>
      </c>
      <c r="U43" s="3">
        <f>_xlfn.XLOOKUP(tblOrdenes[[#This Row],[centro_costo]],tblCECO[codigo],tblCECO[area],"(sin catálogo)")</f>
        <v/>
      </c>
      <c r="V43" s="3">
        <f>_xlfn.XLOOKUP(tblOrdenes[[#This Row],[centro_costo]],tblCECO[codigo],tblCECO[coordinador],"(sin catálogo)")</f>
        <v/>
      </c>
      <c r="W43" s="3">
        <f>_xlfn.XLOOKUP(tblOrdenes[[#This Row],[puesto_trabajo]],tblPuestos[codigo],tblPuestos[especialidad],"(sin catálogo)")</f>
        <v/>
      </c>
      <c r="X43" s="3">
        <f>_xlfn.XLOOKUP(tblOrdenes[[#This Row],[cod_actividad]],tblActividades[codigo],tblActividades[descripcion],"(sin catálogo)")</f>
        <v/>
      </c>
      <c r="Y43" s="12">
        <f>IF(tblOrdenes[[#This Row],[fecha_inicio]]="","",TODAY()-tblOrdenes[[#This Row],[fecha_inicio]])</f>
        <v/>
      </c>
      <c r="Z43" s="3">
        <f>IF(tblOrdenes[[#This Row],[backlog_dias]]="","",IF(tblOrdenes[[#This Row],[backlog_dias]]&lt;0,"FUTURO",IF(tblOrdenes[[#This Row],[backlog_dias]]&gt;p_dias_backlog_max,"BACKLOG","MES CORRIENTE")))</f>
        <v/>
      </c>
      <c r="AA43" s="3">
        <f>IF(tblOrdenes[[#This Row],[backlog_dias]]="",FALSE,AND(tblOrdenes[[#This Row],[backlog_dias]]&gt;p_dias_backlog_min,tblOrdenes[[#This Row],[backlog_dias]]&lt;=p_dias_backlog_max))</f>
        <v/>
      </c>
      <c r="AB43" s="6" t="inlineStr">
        <is>
          <t>Técnico 04</t>
        </is>
      </c>
      <c r="AC4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3" s="10">
        <f>_xlfn.XLOOKUP(tblOrdenes[[#This Row],[id_operacion]],tblEjecucion[id_operacion],tblEjecucion[precio],0)</f>
        <v/>
      </c>
      <c r="AE43" s="10">
        <f>MAX(0,_xlfn.XLOOKUP(tblOrdenes[[#This Row],[id_operacion]],tblEjecucion[id_operacion],tblEjecucion[costo_plan_total],0)-tblOrdenes[[#This Row],[costo_servicio]])</f>
        <v/>
      </c>
      <c r="AF43" s="10">
        <f>tblOrdenes[[#This Row],[costo_servicio]]+tblOrdenes[[#This Row],[costo_materiales]]</f>
        <v/>
      </c>
      <c r="AG43" s="6" t="inlineStr"/>
      <c r="AH43" s="6" t="inlineStr"/>
      <c r="AI43" s="6" t="inlineStr">
        <is>
          <t>ACT-02.pdf</t>
        </is>
      </c>
      <c r="AJ43" s="3">
        <f>IF(tblOrdenes[[#This Row],[link_checklist]]="","",HYPERLINK(p_ruta_base_checklists&amp;tblOrdenes[[#This Row],[link_checklist]],"abrir"))</f>
        <v/>
      </c>
      <c r="AK43" s="6" t="inlineStr"/>
    </row>
    <row r="44">
      <c r="A44" s="3" t="inlineStr">
        <is>
          <t>OT-000041</t>
        </is>
      </c>
      <c r="B44" s="3" t="inlineStr">
        <is>
          <t>0010</t>
        </is>
      </c>
      <c r="C44" s="3">
        <f>tblOrdenes[[#This Row],[orden]]&amp;IF(tblOrdenes[[#This Row],[operacion]]="","0010",tblOrdenes[[#This Row],[operacion]])</f>
        <v/>
      </c>
      <c r="D44" s="3" t="inlineStr">
        <is>
          <t>Análisis predictivo — EQ-107</t>
        </is>
      </c>
      <c r="E44" s="3" t="inlineStr">
        <is>
          <t>Análisis predictivo en EQ-107</t>
        </is>
      </c>
      <c r="F44" s="3" t="inlineStr">
        <is>
          <t>EQ-107</t>
        </is>
      </c>
      <c r="G44" s="3" t="inlineStr">
        <is>
          <t>CC-210</t>
        </is>
      </c>
      <c r="H44" s="3" t="inlineStr">
        <is>
          <t>PU-MEC</t>
        </is>
      </c>
      <c r="I44" s="3" t="inlineStr">
        <is>
          <t>ACT-04</t>
        </is>
      </c>
      <c r="J44" s="3" t="inlineStr">
        <is>
          <t>TIPO-P2</t>
        </is>
      </c>
      <c r="K44" s="11" t="n">
        <v>46230</v>
      </c>
      <c r="L44" s="3" t="n">
        <v>10</v>
      </c>
      <c r="M44" s="10" t="n">
        <v>250</v>
      </c>
      <c r="N44" s="3">
        <f>_xlfn.XLOOKUP(_xlfn.XLOOKUP(tblOrdenes[[#This Row],[id_operacion]],tblEjecucion[id_operacion],tblEjecucion[estado_sistema],""),tblEstados[estado_sistema],tblEstados[estado_normalizado],"Pendiente")</f>
        <v/>
      </c>
      <c r="O44" s="3">
        <f>IF(tblOrdenes[[#This Row],[fecha_inicio]]="","","S"&amp;IF(_xlfn.ISOWEEKNUM(tblOrdenes[[#This Row],[fecha_inicio]])=53,1,_xlfn.ISOWEEKNUM(tblOrdenes[[#This Row],[fecha_inicio]])))</f>
        <v/>
      </c>
      <c r="P44" s="3">
        <f>IF(tblOrdenes[[#This Row],[fecha_inicio]]="","",YEAR(tblOrdenes[[#This Row],[fecha_inicio]]))</f>
        <v/>
      </c>
      <c r="Q44" s="3">
        <f>IF(tblOrdenes[[#This Row],[fecha_inicio]]="","",MONTH(tblOrdenes[[#This Row],[fecha_inicio]]))</f>
        <v/>
      </c>
      <c r="R44" s="3">
        <f>IF(tblOrdenes[[#This Row],[fecha_inicio]]="","",INDEX(lista_dias,WEEKDAY(tblOrdenes[[#This Row],[fecha_inicio]],2)))</f>
        <v/>
      </c>
      <c r="S44" s="3">
        <f>_xlfn.XLOOKUP(tblOrdenes[[#This Row],[tipo_ot]],tblTiposOT[codigo],tblTiposOT[clasificacion],"sin_clasificar")</f>
        <v/>
      </c>
      <c r="T44" s="3">
        <f>_xlfn.XLOOKUP(tblOrdenes[[#This Row],[centro_costo]],tblCECO[codigo],tblCECO[linea],"(sin catálogo)")</f>
        <v/>
      </c>
      <c r="U44" s="3">
        <f>_xlfn.XLOOKUP(tblOrdenes[[#This Row],[centro_costo]],tblCECO[codigo],tblCECO[area],"(sin catálogo)")</f>
        <v/>
      </c>
      <c r="V44" s="3">
        <f>_xlfn.XLOOKUP(tblOrdenes[[#This Row],[centro_costo]],tblCECO[codigo],tblCECO[coordinador],"(sin catálogo)")</f>
        <v/>
      </c>
      <c r="W44" s="3">
        <f>_xlfn.XLOOKUP(tblOrdenes[[#This Row],[puesto_trabajo]],tblPuestos[codigo],tblPuestos[especialidad],"(sin catálogo)")</f>
        <v/>
      </c>
      <c r="X44" s="3">
        <f>_xlfn.XLOOKUP(tblOrdenes[[#This Row],[cod_actividad]],tblActividades[codigo],tblActividades[descripcion],"(sin catálogo)")</f>
        <v/>
      </c>
      <c r="Y44" s="12">
        <f>IF(tblOrdenes[[#This Row],[fecha_inicio]]="","",TODAY()-tblOrdenes[[#This Row],[fecha_inicio]])</f>
        <v/>
      </c>
      <c r="Z44" s="3">
        <f>IF(tblOrdenes[[#This Row],[backlog_dias]]="","",IF(tblOrdenes[[#This Row],[backlog_dias]]&lt;0,"FUTURO",IF(tblOrdenes[[#This Row],[backlog_dias]]&gt;p_dias_backlog_max,"BACKLOG","MES CORRIENTE")))</f>
        <v/>
      </c>
      <c r="AA44" s="3">
        <f>IF(tblOrdenes[[#This Row],[backlog_dias]]="",FALSE,AND(tblOrdenes[[#This Row],[backlog_dias]]&gt;p_dias_backlog_min,tblOrdenes[[#This Row],[backlog_dias]]&lt;=p_dias_backlog_max))</f>
        <v/>
      </c>
      <c r="AB44" s="6" t="inlineStr">
        <is>
          <t>Técnico 01</t>
        </is>
      </c>
      <c r="AC4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4" s="10">
        <f>_xlfn.XLOOKUP(tblOrdenes[[#This Row],[id_operacion]],tblEjecucion[id_operacion],tblEjecucion[precio],0)</f>
        <v/>
      </c>
      <c r="AE44" s="10">
        <f>MAX(0,_xlfn.XLOOKUP(tblOrdenes[[#This Row],[id_operacion]],tblEjecucion[id_operacion],tblEjecucion[costo_plan_total],0)-tblOrdenes[[#This Row],[costo_servicio]])</f>
        <v/>
      </c>
      <c r="AF44" s="10">
        <f>tblOrdenes[[#This Row],[costo_servicio]]+tblOrdenes[[#This Row],[costo_materiales]]</f>
        <v/>
      </c>
      <c r="AG44" s="6" t="inlineStr"/>
      <c r="AH44" s="6" t="inlineStr"/>
      <c r="AI44" s="6" t="inlineStr">
        <is>
          <t>ACT-04.pdf</t>
        </is>
      </c>
      <c r="AJ44" s="3">
        <f>IF(tblOrdenes[[#This Row],[link_checklist]]="","",HYPERLINK(p_ruta_base_checklists&amp;tblOrdenes[[#This Row],[link_checklist]],"abrir"))</f>
        <v/>
      </c>
      <c r="AK44" s="6" t="inlineStr"/>
    </row>
    <row r="45">
      <c r="A45" s="3" t="inlineStr">
        <is>
          <t>OT-000042</t>
        </is>
      </c>
      <c r="B45" s="3" t="inlineStr">
        <is>
          <t>0010</t>
        </is>
      </c>
      <c r="C45" s="3">
        <f>tblOrdenes[[#This Row],[orden]]&amp;IF(tblOrdenes[[#This Row],[operacion]]="","0010",tblOrdenes[[#This Row],[operacion]])</f>
        <v/>
      </c>
      <c r="D45" s="3" t="inlineStr">
        <is>
          <t>Inspección de rutina — EQ-110</t>
        </is>
      </c>
      <c r="E45" s="3" t="inlineStr">
        <is>
          <t>Inspección de rutina en EQ-110</t>
        </is>
      </c>
      <c r="F45" s="3" t="inlineStr">
        <is>
          <t>EQ-110</t>
        </is>
      </c>
      <c r="G45" s="3" t="inlineStr">
        <is>
          <t>CC-310</t>
        </is>
      </c>
      <c r="H45" s="3" t="inlineStr">
        <is>
          <t>PU-MEC</t>
        </is>
      </c>
      <c r="I45" s="3" t="inlineStr">
        <is>
          <t>ACT-01</t>
        </is>
      </c>
      <c r="J45" s="3" t="inlineStr">
        <is>
          <t>TIPO-P1</t>
        </is>
      </c>
      <c r="K45" s="11" t="n">
        <v>46231</v>
      </c>
      <c r="L45" s="3" t="n">
        <v>8</v>
      </c>
      <c r="M45" s="10" t="n">
        <v>200</v>
      </c>
      <c r="N45" s="3">
        <f>_xlfn.XLOOKUP(_xlfn.XLOOKUP(tblOrdenes[[#This Row],[id_operacion]],tblEjecucion[id_operacion],tblEjecucion[estado_sistema],""),tblEstados[estado_sistema],tblEstados[estado_normalizado],"Pendiente")</f>
        <v/>
      </c>
      <c r="O45" s="3">
        <f>IF(tblOrdenes[[#This Row],[fecha_inicio]]="","","S"&amp;IF(_xlfn.ISOWEEKNUM(tblOrdenes[[#This Row],[fecha_inicio]])=53,1,_xlfn.ISOWEEKNUM(tblOrdenes[[#This Row],[fecha_inicio]])))</f>
        <v/>
      </c>
      <c r="P45" s="3">
        <f>IF(tblOrdenes[[#This Row],[fecha_inicio]]="","",YEAR(tblOrdenes[[#This Row],[fecha_inicio]]))</f>
        <v/>
      </c>
      <c r="Q45" s="3">
        <f>IF(tblOrdenes[[#This Row],[fecha_inicio]]="","",MONTH(tblOrdenes[[#This Row],[fecha_inicio]]))</f>
        <v/>
      </c>
      <c r="R45" s="3">
        <f>IF(tblOrdenes[[#This Row],[fecha_inicio]]="","",INDEX(lista_dias,WEEKDAY(tblOrdenes[[#This Row],[fecha_inicio]],2)))</f>
        <v/>
      </c>
      <c r="S45" s="3">
        <f>_xlfn.XLOOKUP(tblOrdenes[[#This Row],[tipo_ot]],tblTiposOT[codigo],tblTiposOT[clasificacion],"sin_clasificar")</f>
        <v/>
      </c>
      <c r="T45" s="3">
        <f>_xlfn.XLOOKUP(tblOrdenes[[#This Row],[centro_costo]],tblCECO[codigo],tblCECO[linea],"(sin catálogo)")</f>
        <v/>
      </c>
      <c r="U45" s="3">
        <f>_xlfn.XLOOKUP(tblOrdenes[[#This Row],[centro_costo]],tblCECO[codigo],tblCECO[area],"(sin catálogo)")</f>
        <v/>
      </c>
      <c r="V45" s="3">
        <f>_xlfn.XLOOKUP(tblOrdenes[[#This Row],[centro_costo]],tblCECO[codigo],tblCECO[coordinador],"(sin catálogo)")</f>
        <v/>
      </c>
      <c r="W45" s="3">
        <f>_xlfn.XLOOKUP(tblOrdenes[[#This Row],[puesto_trabajo]],tblPuestos[codigo],tblPuestos[especialidad],"(sin catálogo)")</f>
        <v/>
      </c>
      <c r="X45" s="3">
        <f>_xlfn.XLOOKUP(tblOrdenes[[#This Row],[cod_actividad]],tblActividades[codigo],tblActividades[descripcion],"(sin catálogo)")</f>
        <v/>
      </c>
      <c r="Y45" s="12">
        <f>IF(tblOrdenes[[#This Row],[fecha_inicio]]="","",TODAY()-tblOrdenes[[#This Row],[fecha_inicio]])</f>
        <v/>
      </c>
      <c r="Z45" s="3">
        <f>IF(tblOrdenes[[#This Row],[backlog_dias]]="","",IF(tblOrdenes[[#This Row],[backlog_dias]]&lt;0,"FUTURO",IF(tblOrdenes[[#This Row],[backlog_dias]]&gt;p_dias_backlog_max,"BACKLOG","MES CORRIENTE")))</f>
        <v/>
      </c>
      <c r="AA45" s="3">
        <f>IF(tblOrdenes[[#This Row],[backlog_dias]]="",FALSE,AND(tblOrdenes[[#This Row],[backlog_dias]]&gt;p_dias_backlog_min,tblOrdenes[[#This Row],[backlog_dias]]&lt;=p_dias_backlog_max))</f>
        <v/>
      </c>
      <c r="AB45" s="6" t="inlineStr">
        <is>
          <t>Técnico 02</t>
        </is>
      </c>
      <c r="AC4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5" s="10">
        <f>_xlfn.XLOOKUP(tblOrdenes[[#This Row],[id_operacion]],tblEjecucion[id_operacion],tblEjecucion[precio],0)</f>
        <v/>
      </c>
      <c r="AE45" s="10">
        <f>MAX(0,_xlfn.XLOOKUP(tblOrdenes[[#This Row],[id_operacion]],tblEjecucion[id_operacion],tblEjecucion[costo_plan_total],0)-tblOrdenes[[#This Row],[costo_servicio]])</f>
        <v/>
      </c>
      <c r="AF45" s="10">
        <f>tblOrdenes[[#This Row],[costo_servicio]]+tblOrdenes[[#This Row],[costo_materiales]]</f>
        <v/>
      </c>
      <c r="AG45" s="6" t="inlineStr"/>
      <c r="AH45" s="6" t="inlineStr"/>
      <c r="AI45" s="6" t="inlineStr">
        <is>
          <t>ACT-01.pdf</t>
        </is>
      </c>
      <c r="AJ45" s="3">
        <f>IF(tblOrdenes[[#This Row],[link_checklist]]="","",HYPERLINK(p_ruta_base_checklists&amp;tblOrdenes[[#This Row],[link_checklist]],"abrir"))</f>
        <v/>
      </c>
      <c r="AK45" s="6" t="inlineStr"/>
    </row>
    <row r="46">
      <c r="A46" s="3" t="inlineStr">
        <is>
          <t>OT-000043</t>
        </is>
      </c>
      <c r="B46" s="3" t="inlineStr">
        <is>
          <t>0010</t>
        </is>
      </c>
      <c r="C46" s="3">
        <f>tblOrdenes[[#This Row],[orden]]&amp;IF(tblOrdenes[[#This Row],[operacion]]="","0010",tblOrdenes[[#This Row],[operacion]])</f>
        <v/>
      </c>
      <c r="D46" s="3" t="inlineStr">
        <is>
          <t>Lubricación programada — EQ-104</t>
        </is>
      </c>
      <c r="E46" s="3" t="inlineStr">
        <is>
          <t>Lubricación programada en EQ-104</t>
        </is>
      </c>
      <c r="F46" s="3" t="inlineStr">
        <is>
          <t>EQ-104</t>
        </is>
      </c>
      <c r="G46" s="3" t="inlineStr">
        <is>
          <t>CC-110</t>
        </is>
      </c>
      <c r="H46" s="3" t="inlineStr">
        <is>
          <t>PU-MEC</t>
        </is>
      </c>
      <c r="I46" s="3" t="inlineStr">
        <is>
          <t>ACT-02</t>
        </is>
      </c>
      <c r="J46" s="3" t="inlineStr">
        <is>
          <t>TIPO-P2</t>
        </is>
      </c>
      <c r="K46" s="11" t="n">
        <v>46232</v>
      </c>
      <c r="L46" s="3" t="n">
        <v>6</v>
      </c>
      <c r="M46" s="10" t="n">
        <v>150</v>
      </c>
      <c r="N46" s="3">
        <f>_xlfn.XLOOKUP(_xlfn.XLOOKUP(tblOrdenes[[#This Row],[id_operacion]],tblEjecucion[id_operacion],tblEjecucion[estado_sistema],""),tblEstados[estado_sistema],tblEstados[estado_normalizado],"Pendiente")</f>
        <v/>
      </c>
      <c r="O46" s="3">
        <f>IF(tblOrdenes[[#This Row],[fecha_inicio]]="","","S"&amp;IF(_xlfn.ISOWEEKNUM(tblOrdenes[[#This Row],[fecha_inicio]])=53,1,_xlfn.ISOWEEKNUM(tblOrdenes[[#This Row],[fecha_inicio]])))</f>
        <v/>
      </c>
      <c r="P46" s="3">
        <f>IF(tblOrdenes[[#This Row],[fecha_inicio]]="","",YEAR(tblOrdenes[[#This Row],[fecha_inicio]]))</f>
        <v/>
      </c>
      <c r="Q46" s="3">
        <f>IF(tblOrdenes[[#This Row],[fecha_inicio]]="","",MONTH(tblOrdenes[[#This Row],[fecha_inicio]]))</f>
        <v/>
      </c>
      <c r="R46" s="3">
        <f>IF(tblOrdenes[[#This Row],[fecha_inicio]]="","",INDEX(lista_dias,WEEKDAY(tblOrdenes[[#This Row],[fecha_inicio]],2)))</f>
        <v/>
      </c>
      <c r="S46" s="3">
        <f>_xlfn.XLOOKUP(tblOrdenes[[#This Row],[tipo_ot]],tblTiposOT[codigo],tblTiposOT[clasificacion],"sin_clasificar")</f>
        <v/>
      </c>
      <c r="T46" s="3">
        <f>_xlfn.XLOOKUP(tblOrdenes[[#This Row],[centro_costo]],tblCECO[codigo],tblCECO[linea],"(sin catálogo)")</f>
        <v/>
      </c>
      <c r="U46" s="3">
        <f>_xlfn.XLOOKUP(tblOrdenes[[#This Row],[centro_costo]],tblCECO[codigo],tblCECO[area],"(sin catálogo)")</f>
        <v/>
      </c>
      <c r="V46" s="3">
        <f>_xlfn.XLOOKUP(tblOrdenes[[#This Row],[centro_costo]],tblCECO[codigo],tblCECO[coordinador],"(sin catálogo)")</f>
        <v/>
      </c>
      <c r="W46" s="3">
        <f>_xlfn.XLOOKUP(tblOrdenes[[#This Row],[puesto_trabajo]],tblPuestos[codigo],tblPuestos[especialidad],"(sin catálogo)")</f>
        <v/>
      </c>
      <c r="X46" s="3">
        <f>_xlfn.XLOOKUP(tblOrdenes[[#This Row],[cod_actividad]],tblActividades[codigo],tblActividades[descripcion],"(sin catálogo)")</f>
        <v/>
      </c>
      <c r="Y46" s="12">
        <f>IF(tblOrdenes[[#This Row],[fecha_inicio]]="","",TODAY()-tblOrdenes[[#This Row],[fecha_inicio]])</f>
        <v/>
      </c>
      <c r="Z46" s="3">
        <f>IF(tblOrdenes[[#This Row],[backlog_dias]]="","",IF(tblOrdenes[[#This Row],[backlog_dias]]&lt;0,"FUTURO",IF(tblOrdenes[[#This Row],[backlog_dias]]&gt;p_dias_backlog_max,"BACKLOG","MES CORRIENTE")))</f>
        <v/>
      </c>
      <c r="AA46" s="3">
        <f>IF(tblOrdenes[[#This Row],[backlog_dias]]="",FALSE,AND(tblOrdenes[[#This Row],[backlog_dias]]&gt;p_dias_backlog_min,tblOrdenes[[#This Row],[backlog_dias]]&lt;=p_dias_backlog_max))</f>
        <v/>
      </c>
      <c r="AB46" s="6" t="inlineStr">
        <is>
          <t>Técnico 03</t>
        </is>
      </c>
      <c r="AC4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6" s="10">
        <f>_xlfn.XLOOKUP(tblOrdenes[[#This Row],[id_operacion]],tblEjecucion[id_operacion],tblEjecucion[precio],0)</f>
        <v/>
      </c>
      <c r="AE46" s="10">
        <f>MAX(0,_xlfn.XLOOKUP(tblOrdenes[[#This Row],[id_operacion]],tblEjecucion[id_operacion],tblEjecucion[costo_plan_total],0)-tblOrdenes[[#This Row],[costo_servicio]])</f>
        <v/>
      </c>
      <c r="AF46" s="10">
        <f>tblOrdenes[[#This Row],[costo_servicio]]+tblOrdenes[[#This Row],[costo_materiales]]</f>
        <v/>
      </c>
      <c r="AG46" s="6" t="inlineStr"/>
      <c r="AH46" s="6" t="inlineStr"/>
      <c r="AI46" s="6" t="inlineStr">
        <is>
          <t>ACT-02.pdf</t>
        </is>
      </c>
      <c r="AJ46" s="3">
        <f>IF(tblOrdenes[[#This Row],[link_checklist]]="","",HYPERLINK(p_ruta_base_checklists&amp;tblOrdenes[[#This Row],[link_checklist]],"abrir"))</f>
        <v/>
      </c>
      <c r="AK46" s="6" t="inlineStr"/>
    </row>
    <row r="47">
      <c r="A47" s="3" t="inlineStr">
        <is>
          <t>OT-000044</t>
        </is>
      </c>
      <c r="B47" s="3" t="inlineStr">
        <is>
          <t>0010</t>
        </is>
      </c>
      <c r="C47" s="3">
        <f>tblOrdenes[[#This Row],[orden]]&amp;IF(tblOrdenes[[#This Row],[operacion]]="","0010",tblOrdenes[[#This Row],[operacion]])</f>
        <v/>
      </c>
      <c r="D47" s="3" t="inlineStr">
        <is>
          <t>Análisis predictivo — EQ-106</t>
        </is>
      </c>
      <c r="E47" s="3" t="inlineStr">
        <is>
          <t>Análisis predictivo en EQ-106</t>
        </is>
      </c>
      <c r="F47" s="3" t="inlineStr">
        <is>
          <t>EQ-106</t>
        </is>
      </c>
      <c r="G47" s="3" t="inlineStr">
        <is>
          <t>CC-210</t>
        </is>
      </c>
      <c r="H47" s="3" t="inlineStr">
        <is>
          <t>PU-MEC</t>
        </is>
      </c>
      <c r="I47" s="3" t="inlineStr">
        <is>
          <t>ACT-04</t>
        </is>
      </c>
      <c r="J47" s="3" t="inlineStr">
        <is>
          <t>TIPO-P1</t>
        </is>
      </c>
      <c r="K47" s="11" t="n">
        <v>46233</v>
      </c>
      <c r="L47" s="3" t="n">
        <v>10</v>
      </c>
      <c r="M47" s="10" t="n">
        <v>250</v>
      </c>
      <c r="N47" s="3">
        <f>_xlfn.XLOOKUP(_xlfn.XLOOKUP(tblOrdenes[[#This Row],[id_operacion]],tblEjecucion[id_operacion],tblEjecucion[estado_sistema],""),tblEstados[estado_sistema],tblEstados[estado_normalizado],"Pendiente")</f>
        <v/>
      </c>
      <c r="O47" s="3">
        <f>IF(tblOrdenes[[#This Row],[fecha_inicio]]="","","S"&amp;IF(_xlfn.ISOWEEKNUM(tblOrdenes[[#This Row],[fecha_inicio]])=53,1,_xlfn.ISOWEEKNUM(tblOrdenes[[#This Row],[fecha_inicio]])))</f>
        <v/>
      </c>
      <c r="P47" s="3">
        <f>IF(tblOrdenes[[#This Row],[fecha_inicio]]="","",YEAR(tblOrdenes[[#This Row],[fecha_inicio]]))</f>
        <v/>
      </c>
      <c r="Q47" s="3">
        <f>IF(tblOrdenes[[#This Row],[fecha_inicio]]="","",MONTH(tblOrdenes[[#This Row],[fecha_inicio]]))</f>
        <v/>
      </c>
      <c r="R47" s="3">
        <f>IF(tblOrdenes[[#This Row],[fecha_inicio]]="","",INDEX(lista_dias,WEEKDAY(tblOrdenes[[#This Row],[fecha_inicio]],2)))</f>
        <v/>
      </c>
      <c r="S47" s="3">
        <f>_xlfn.XLOOKUP(tblOrdenes[[#This Row],[tipo_ot]],tblTiposOT[codigo],tblTiposOT[clasificacion],"sin_clasificar")</f>
        <v/>
      </c>
      <c r="T47" s="3">
        <f>_xlfn.XLOOKUP(tblOrdenes[[#This Row],[centro_costo]],tblCECO[codigo],tblCECO[linea],"(sin catálogo)")</f>
        <v/>
      </c>
      <c r="U47" s="3">
        <f>_xlfn.XLOOKUP(tblOrdenes[[#This Row],[centro_costo]],tblCECO[codigo],tblCECO[area],"(sin catálogo)")</f>
        <v/>
      </c>
      <c r="V47" s="3">
        <f>_xlfn.XLOOKUP(tblOrdenes[[#This Row],[centro_costo]],tblCECO[codigo],tblCECO[coordinador],"(sin catálogo)")</f>
        <v/>
      </c>
      <c r="W47" s="3">
        <f>_xlfn.XLOOKUP(tblOrdenes[[#This Row],[puesto_trabajo]],tblPuestos[codigo],tblPuestos[especialidad],"(sin catálogo)")</f>
        <v/>
      </c>
      <c r="X47" s="3">
        <f>_xlfn.XLOOKUP(tblOrdenes[[#This Row],[cod_actividad]],tblActividades[codigo],tblActividades[descripcion],"(sin catálogo)")</f>
        <v/>
      </c>
      <c r="Y47" s="12">
        <f>IF(tblOrdenes[[#This Row],[fecha_inicio]]="","",TODAY()-tblOrdenes[[#This Row],[fecha_inicio]])</f>
        <v/>
      </c>
      <c r="Z47" s="3">
        <f>IF(tblOrdenes[[#This Row],[backlog_dias]]="","",IF(tblOrdenes[[#This Row],[backlog_dias]]&lt;0,"FUTURO",IF(tblOrdenes[[#This Row],[backlog_dias]]&gt;p_dias_backlog_max,"BACKLOG","MES CORRIENTE")))</f>
        <v/>
      </c>
      <c r="AA47" s="3">
        <f>IF(tblOrdenes[[#This Row],[backlog_dias]]="",FALSE,AND(tblOrdenes[[#This Row],[backlog_dias]]&gt;p_dias_backlog_min,tblOrdenes[[#This Row],[backlog_dias]]&lt;=p_dias_backlog_max))</f>
        <v/>
      </c>
      <c r="AB47" s="6" t="inlineStr">
        <is>
          <t>Técnico 04</t>
        </is>
      </c>
      <c r="AC4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7" s="10">
        <f>_xlfn.XLOOKUP(tblOrdenes[[#This Row],[id_operacion]],tblEjecucion[id_operacion],tblEjecucion[precio],0)</f>
        <v/>
      </c>
      <c r="AE47" s="10">
        <f>MAX(0,_xlfn.XLOOKUP(tblOrdenes[[#This Row],[id_operacion]],tblEjecucion[id_operacion],tblEjecucion[costo_plan_total],0)-tblOrdenes[[#This Row],[costo_servicio]])</f>
        <v/>
      </c>
      <c r="AF47" s="10">
        <f>tblOrdenes[[#This Row],[costo_servicio]]+tblOrdenes[[#This Row],[costo_materiales]]</f>
        <v/>
      </c>
      <c r="AG47" s="6" t="inlineStr"/>
      <c r="AH47" s="6" t="inlineStr"/>
      <c r="AI47" s="6" t="inlineStr">
        <is>
          <t>ACT-04.pdf</t>
        </is>
      </c>
      <c r="AJ47" s="3">
        <f>IF(tblOrdenes[[#This Row],[link_checklist]]="","",HYPERLINK(p_ruta_base_checklists&amp;tblOrdenes[[#This Row],[link_checklist]],"abrir"))</f>
        <v/>
      </c>
      <c r="AK47" s="6" t="inlineStr"/>
    </row>
    <row r="48">
      <c r="A48" s="3" t="inlineStr">
        <is>
          <t>OT-000045</t>
        </is>
      </c>
      <c r="B48" s="3" t="inlineStr">
        <is>
          <t>0010</t>
        </is>
      </c>
      <c r="C48" s="3">
        <f>tblOrdenes[[#This Row],[orden]]&amp;IF(tblOrdenes[[#This Row],[operacion]]="","0010",tblOrdenes[[#This Row],[operacion]])</f>
        <v/>
      </c>
      <c r="D48" s="3" t="inlineStr">
        <is>
          <t>Inspección de rutina — EQ-110</t>
        </is>
      </c>
      <c r="E48" s="3" t="inlineStr">
        <is>
          <t>Inspección de rutina en EQ-110</t>
        </is>
      </c>
      <c r="F48" s="3" t="inlineStr">
        <is>
          <t>EQ-110</t>
        </is>
      </c>
      <c r="G48" s="3" t="inlineStr">
        <is>
          <t>CC-310</t>
        </is>
      </c>
      <c r="H48" s="3" t="inlineStr">
        <is>
          <t>PU-MEC</t>
        </is>
      </c>
      <c r="I48" s="3" t="inlineStr">
        <is>
          <t>ACT-01</t>
        </is>
      </c>
      <c r="J48" s="3" t="inlineStr">
        <is>
          <t>TIPO-P2</t>
        </is>
      </c>
      <c r="K48" s="11" t="n">
        <v>46234</v>
      </c>
      <c r="L48" s="3" t="n">
        <v>8</v>
      </c>
      <c r="M48" s="10" t="n">
        <v>200</v>
      </c>
      <c r="N48" s="3">
        <f>_xlfn.XLOOKUP(_xlfn.XLOOKUP(tblOrdenes[[#This Row],[id_operacion]],tblEjecucion[id_operacion],tblEjecucion[estado_sistema],""),tblEstados[estado_sistema],tblEstados[estado_normalizado],"Pendiente")</f>
        <v/>
      </c>
      <c r="O48" s="3">
        <f>IF(tblOrdenes[[#This Row],[fecha_inicio]]="","","S"&amp;IF(_xlfn.ISOWEEKNUM(tblOrdenes[[#This Row],[fecha_inicio]])=53,1,_xlfn.ISOWEEKNUM(tblOrdenes[[#This Row],[fecha_inicio]])))</f>
        <v/>
      </c>
      <c r="P48" s="3">
        <f>IF(tblOrdenes[[#This Row],[fecha_inicio]]="","",YEAR(tblOrdenes[[#This Row],[fecha_inicio]]))</f>
        <v/>
      </c>
      <c r="Q48" s="3">
        <f>IF(tblOrdenes[[#This Row],[fecha_inicio]]="","",MONTH(tblOrdenes[[#This Row],[fecha_inicio]]))</f>
        <v/>
      </c>
      <c r="R48" s="3">
        <f>IF(tblOrdenes[[#This Row],[fecha_inicio]]="","",INDEX(lista_dias,WEEKDAY(tblOrdenes[[#This Row],[fecha_inicio]],2)))</f>
        <v/>
      </c>
      <c r="S48" s="3">
        <f>_xlfn.XLOOKUP(tblOrdenes[[#This Row],[tipo_ot]],tblTiposOT[codigo],tblTiposOT[clasificacion],"sin_clasificar")</f>
        <v/>
      </c>
      <c r="T48" s="3">
        <f>_xlfn.XLOOKUP(tblOrdenes[[#This Row],[centro_costo]],tblCECO[codigo],tblCECO[linea],"(sin catálogo)")</f>
        <v/>
      </c>
      <c r="U48" s="3">
        <f>_xlfn.XLOOKUP(tblOrdenes[[#This Row],[centro_costo]],tblCECO[codigo],tblCECO[area],"(sin catálogo)")</f>
        <v/>
      </c>
      <c r="V48" s="3">
        <f>_xlfn.XLOOKUP(tblOrdenes[[#This Row],[centro_costo]],tblCECO[codigo],tblCECO[coordinador],"(sin catálogo)")</f>
        <v/>
      </c>
      <c r="W48" s="3">
        <f>_xlfn.XLOOKUP(tblOrdenes[[#This Row],[puesto_trabajo]],tblPuestos[codigo],tblPuestos[especialidad],"(sin catálogo)")</f>
        <v/>
      </c>
      <c r="X48" s="3">
        <f>_xlfn.XLOOKUP(tblOrdenes[[#This Row],[cod_actividad]],tblActividades[codigo],tblActividades[descripcion],"(sin catálogo)")</f>
        <v/>
      </c>
      <c r="Y48" s="12">
        <f>IF(tblOrdenes[[#This Row],[fecha_inicio]]="","",TODAY()-tblOrdenes[[#This Row],[fecha_inicio]])</f>
        <v/>
      </c>
      <c r="Z48" s="3">
        <f>IF(tblOrdenes[[#This Row],[backlog_dias]]="","",IF(tblOrdenes[[#This Row],[backlog_dias]]&lt;0,"FUTURO",IF(tblOrdenes[[#This Row],[backlog_dias]]&gt;p_dias_backlog_max,"BACKLOG","MES CORRIENTE")))</f>
        <v/>
      </c>
      <c r="AA48" s="3">
        <f>IF(tblOrdenes[[#This Row],[backlog_dias]]="",FALSE,AND(tblOrdenes[[#This Row],[backlog_dias]]&gt;p_dias_backlog_min,tblOrdenes[[#This Row],[backlog_dias]]&lt;=p_dias_backlog_max))</f>
        <v/>
      </c>
      <c r="AB48" s="6" t="inlineStr">
        <is>
          <t>Técnico 01</t>
        </is>
      </c>
      <c r="AC4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8" s="10">
        <f>_xlfn.XLOOKUP(tblOrdenes[[#This Row],[id_operacion]],tblEjecucion[id_operacion],tblEjecucion[precio],0)</f>
        <v/>
      </c>
      <c r="AE48" s="10">
        <f>MAX(0,_xlfn.XLOOKUP(tblOrdenes[[#This Row],[id_operacion]],tblEjecucion[id_operacion],tblEjecucion[costo_plan_total],0)-tblOrdenes[[#This Row],[costo_servicio]])</f>
        <v/>
      </c>
      <c r="AF48" s="10">
        <f>tblOrdenes[[#This Row],[costo_servicio]]+tblOrdenes[[#This Row],[costo_materiales]]</f>
        <v/>
      </c>
      <c r="AG48" s="6" t="inlineStr"/>
      <c r="AH48" s="6" t="inlineStr"/>
      <c r="AI48" s="6" t="inlineStr">
        <is>
          <t>ACT-01.pdf</t>
        </is>
      </c>
      <c r="AJ48" s="3">
        <f>IF(tblOrdenes[[#This Row],[link_checklist]]="","",HYPERLINK(p_ruta_base_checklists&amp;tblOrdenes[[#This Row],[link_checklist]],"abrir"))</f>
        <v/>
      </c>
      <c r="AK48" s="6" t="inlineStr"/>
    </row>
    <row r="49">
      <c r="A49" s="3" t="inlineStr">
        <is>
          <t>OT-000046</t>
        </is>
      </c>
      <c r="B49" s="3" t="inlineStr">
        <is>
          <t>0010</t>
        </is>
      </c>
      <c r="C49" s="3">
        <f>tblOrdenes[[#This Row],[orden]]&amp;IF(tblOrdenes[[#This Row],[operacion]]="","0010",tblOrdenes[[#This Row],[operacion]])</f>
        <v/>
      </c>
      <c r="D49" s="3" t="inlineStr">
        <is>
          <t>Lubricación programada — EQ-102</t>
        </is>
      </c>
      <c r="E49" s="3" t="inlineStr">
        <is>
          <t>Lubricación programada en EQ-102</t>
        </is>
      </c>
      <c r="F49" s="3" t="inlineStr">
        <is>
          <t>EQ-102</t>
        </is>
      </c>
      <c r="G49" s="3" t="inlineStr">
        <is>
          <t>CC-110</t>
        </is>
      </c>
      <c r="H49" s="3" t="inlineStr">
        <is>
          <t>PU-MEC</t>
        </is>
      </c>
      <c r="I49" s="3" t="inlineStr">
        <is>
          <t>ACT-02</t>
        </is>
      </c>
      <c r="J49" s="3" t="inlineStr">
        <is>
          <t>TIPO-P1</t>
        </is>
      </c>
      <c r="K49" s="11" t="n">
        <v>46230</v>
      </c>
      <c r="L49" s="3" t="n">
        <v>4</v>
      </c>
      <c r="M49" s="10" t="n">
        <v>100</v>
      </c>
      <c r="N49" s="3">
        <f>_xlfn.XLOOKUP(_xlfn.XLOOKUP(tblOrdenes[[#This Row],[id_operacion]],tblEjecucion[id_operacion],tblEjecucion[estado_sistema],""),tblEstados[estado_sistema],tblEstados[estado_normalizado],"Pendiente")</f>
        <v/>
      </c>
      <c r="O49" s="3">
        <f>IF(tblOrdenes[[#This Row],[fecha_inicio]]="","","S"&amp;IF(_xlfn.ISOWEEKNUM(tblOrdenes[[#This Row],[fecha_inicio]])=53,1,_xlfn.ISOWEEKNUM(tblOrdenes[[#This Row],[fecha_inicio]])))</f>
        <v/>
      </c>
      <c r="P49" s="3">
        <f>IF(tblOrdenes[[#This Row],[fecha_inicio]]="","",YEAR(tblOrdenes[[#This Row],[fecha_inicio]]))</f>
        <v/>
      </c>
      <c r="Q49" s="3">
        <f>IF(tblOrdenes[[#This Row],[fecha_inicio]]="","",MONTH(tblOrdenes[[#This Row],[fecha_inicio]]))</f>
        <v/>
      </c>
      <c r="R49" s="3">
        <f>IF(tblOrdenes[[#This Row],[fecha_inicio]]="","",INDEX(lista_dias,WEEKDAY(tblOrdenes[[#This Row],[fecha_inicio]],2)))</f>
        <v/>
      </c>
      <c r="S49" s="3">
        <f>_xlfn.XLOOKUP(tblOrdenes[[#This Row],[tipo_ot]],tblTiposOT[codigo],tblTiposOT[clasificacion],"sin_clasificar")</f>
        <v/>
      </c>
      <c r="T49" s="3">
        <f>_xlfn.XLOOKUP(tblOrdenes[[#This Row],[centro_costo]],tblCECO[codigo],tblCECO[linea],"(sin catálogo)")</f>
        <v/>
      </c>
      <c r="U49" s="3">
        <f>_xlfn.XLOOKUP(tblOrdenes[[#This Row],[centro_costo]],tblCECO[codigo],tblCECO[area],"(sin catálogo)")</f>
        <v/>
      </c>
      <c r="V49" s="3">
        <f>_xlfn.XLOOKUP(tblOrdenes[[#This Row],[centro_costo]],tblCECO[codigo],tblCECO[coordinador],"(sin catálogo)")</f>
        <v/>
      </c>
      <c r="W49" s="3">
        <f>_xlfn.XLOOKUP(tblOrdenes[[#This Row],[puesto_trabajo]],tblPuestos[codigo],tblPuestos[especialidad],"(sin catálogo)")</f>
        <v/>
      </c>
      <c r="X49" s="3">
        <f>_xlfn.XLOOKUP(tblOrdenes[[#This Row],[cod_actividad]],tblActividades[codigo],tblActividades[descripcion],"(sin catálogo)")</f>
        <v/>
      </c>
      <c r="Y49" s="12">
        <f>IF(tblOrdenes[[#This Row],[fecha_inicio]]="","",TODAY()-tblOrdenes[[#This Row],[fecha_inicio]])</f>
        <v/>
      </c>
      <c r="Z49" s="3">
        <f>IF(tblOrdenes[[#This Row],[backlog_dias]]="","",IF(tblOrdenes[[#This Row],[backlog_dias]]&lt;0,"FUTURO",IF(tblOrdenes[[#This Row],[backlog_dias]]&gt;p_dias_backlog_max,"BACKLOG","MES CORRIENTE")))</f>
        <v/>
      </c>
      <c r="AA49" s="3">
        <f>IF(tblOrdenes[[#This Row],[backlog_dias]]="",FALSE,AND(tblOrdenes[[#This Row],[backlog_dias]]&gt;p_dias_backlog_min,tblOrdenes[[#This Row],[backlog_dias]]&lt;=p_dias_backlog_max))</f>
        <v/>
      </c>
      <c r="AB49" s="6" t="inlineStr">
        <is>
          <t>Técnico 02</t>
        </is>
      </c>
      <c r="AC4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9" s="10">
        <f>_xlfn.XLOOKUP(tblOrdenes[[#This Row],[id_operacion]],tblEjecucion[id_operacion],tblEjecucion[precio],0)</f>
        <v/>
      </c>
      <c r="AE49" s="10">
        <f>MAX(0,_xlfn.XLOOKUP(tblOrdenes[[#This Row],[id_operacion]],tblEjecucion[id_operacion],tblEjecucion[costo_plan_total],0)-tblOrdenes[[#This Row],[costo_servicio]])</f>
        <v/>
      </c>
      <c r="AF49" s="10">
        <f>tblOrdenes[[#This Row],[costo_servicio]]+tblOrdenes[[#This Row],[costo_materiales]]</f>
        <v/>
      </c>
      <c r="AG49" s="6" t="inlineStr"/>
      <c r="AH49" s="6" t="inlineStr"/>
      <c r="AI49" s="6" t="inlineStr">
        <is>
          <t>ACT-02.pdf</t>
        </is>
      </c>
      <c r="AJ49" s="3">
        <f>IF(tblOrdenes[[#This Row],[link_checklist]]="","",HYPERLINK(p_ruta_base_checklists&amp;tblOrdenes[[#This Row],[link_checklist]],"abrir"))</f>
        <v/>
      </c>
      <c r="AK49" s="6" t="inlineStr"/>
    </row>
    <row r="50">
      <c r="A50" s="3" t="inlineStr">
        <is>
          <t>OT-000047</t>
        </is>
      </c>
      <c r="B50" s="3" t="inlineStr">
        <is>
          <t>0010</t>
        </is>
      </c>
      <c r="C50" s="3">
        <f>tblOrdenes[[#This Row],[orden]]&amp;IF(tblOrdenes[[#This Row],[operacion]]="","0010",tblOrdenes[[#This Row],[operacion]])</f>
        <v/>
      </c>
      <c r="D50" s="3" t="inlineStr">
        <is>
          <t>Reparación de falla — EQ-109</t>
        </is>
      </c>
      <c r="E50" s="3" t="inlineStr">
        <is>
          <t>Reparación de falla en EQ-109</t>
        </is>
      </c>
      <c r="F50" s="3" t="inlineStr">
        <is>
          <t>EQ-109</t>
        </is>
      </c>
      <c r="G50" s="3" t="inlineStr">
        <is>
          <t>CC-210</t>
        </is>
      </c>
      <c r="H50" s="3" t="inlineStr">
        <is>
          <t>PU-MEC</t>
        </is>
      </c>
      <c r="I50" s="3" t="inlineStr">
        <is>
          <t>ACT-03</t>
        </is>
      </c>
      <c r="J50" s="3" t="inlineStr">
        <is>
          <t>TIPO-C2</t>
        </is>
      </c>
      <c r="K50" s="11" t="n">
        <v>46231</v>
      </c>
      <c r="L50" s="3" t="n">
        <v>10</v>
      </c>
      <c r="M50" s="10" t="n">
        <v>400</v>
      </c>
      <c r="N50" s="3">
        <f>_xlfn.XLOOKUP(_xlfn.XLOOKUP(tblOrdenes[[#This Row],[id_operacion]],tblEjecucion[id_operacion],tblEjecucion[estado_sistema],""),tblEstados[estado_sistema],tblEstados[estado_normalizado],"Pendiente")</f>
        <v/>
      </c>
      <c r="O50" s="3">
        <f>IF(tblOrdenes[[#This Row],[fecha_inicio]]="","","S"&amp;IF(_xlfn.ISOWEEKNUM(tblOrdenes[[#This Row],[fecha_inicio]])=53,1,_xlfn.ISOWEEKNUM(tblOrdenes[[#This Row],[fecha_inicio]])))</f>
        <v/>
      </c>
      <c r="P50" s="3">
        <f>IF(tblOrdenes[[#This Row],[fecha_inicio]]="","",YEAR(tblOrdenes[[#This Row],[fecha_inicio]]))</f>
        <v/>
      </c>
      <c r="Q50" s="3">
        <f>IF(tblOrdenes[[#This Row],[fecha_inicio]]="","",MONTH(tblOrdenes[[#This Row],[fecha_inicio]]))</f>
        <v/>
      </c>
      <c r="R50" s="3">
        <f>IF(tblOrdenes[[#This Row],[fecha_inicio]]="","",INDEX(lista_dias,WEEKDAY(tblOrdenes[[#This Row],[fecha_inicio]],2)))</f>
        <v/>
      </c>
      <c r="S50" s="3">
        <f>_xlfn.XLOOKUP(tblOrdenes[[#This Row],[tipo_ot]],tblTiposOT[codigo],tblTiposOT[clasificacion],"sin_clasificar")</f>
        <v/>
      </c>
      <c r="T50" s="3">
        <f>_xlfn.XLOOKUP(tblOrdenes[[#This Row],[centro_costo]],tblCECO[codigo],tblCECO[linea],"(sin catálogo)")</f>
        <v/>
      </c>
      <c r="U50" s="3">
        <f>_xlfn.XLOOKUP(tblOrdenes[[#This Row],[centro_costo]],tblCECO[codigo],tblCECO[area],"(sin catálogo)")</f>
        <v/>
      </c>
      <c r="V50" s="3">
        <f>_xlfn.XLOOKUP(tblOrdenes[[#This Row],[centro_costo]],tblCECO[codigo],tblCECO[coordinador],"(sin catálogo)")</f>
        <v/>
      </c>
      <c r="W50" s="3">
        <f>_xlfn.XLOOKUP(tblOrdenes[[#This Row],[puesto_trabajo]],tblPuestos[codigo],tblPuestos[especialidad],"(sin catálogo)")</f>
        <v/>
      </c>
      <c r="X50" s="3">
        <f>_xlfn.XLOOKUP(tblOrdenes[[#This Row],[cod_actividad]],tblActividades[codigo],tblActividades[descripcion],"(sin catálogo)")</f>
        <v/>
      </c>
      <c r="Y50" s="12">
        <f>IF(tblOrdenes[[#This Row],[fecha_inicio]]="","",TODAY()-tblOrdenes[[#This Row],[fecha_inicio]])</f>
        <v/>
      </c>
      <c r="Z50" s="3">
        <f>IF(tblOrdenes[[#This Row],[backlog_dias]]="","",IF(tblOrdenes[[#This Row],[backlog_dias]]&lt;0,"FUTURO",IF(tblOrdenes[[#This Row],[backlog_dias]]&gt;p_dias_backlog_max,"BACKLOG","MES CORRIENTE")))</f>
        <v/>
      </c>
      <c r="AA50" s="3">
        <f>IF(tblOrdenes[[#This Row],[backlog_dias]]="",FALSE,AND(tblOrdenes[[#This Row],[backlog_dias]]&gt;p_dias_backlog_min,tblOrdenes[[#This Row],[backlog_dias]]&lt;=p_dias_backlog_max))</f>
        <v/>
      </c>
      <c r="AB50" s="6" t="inlineStr">
        <is>
          <t>Técnico 03</t>
        </is>
      </c>
      <c r="AC5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0" s="10">
        <f>_xlfn.XLOOKUP(tblOrdenes[[#This Row],[id_operacion]],tblEjecucion[id_operacion],tblEjecucion[precio],0)</f>
        <v/>
      </c>
      <c r="AE50" s="10">
        <f>MAX(0,_xlfn.XLOOKUP(tblOrdenes[[#This Row],[id_operacion]],tblEjecucion[id_operacion],tblEjecucion[costo_plan_total],0)-tblOrdenes[[#This Row],[costo_servicio]])</f>
        <v/>
      </c>
      <c r="AF50" s="10">
        <f>tblOrdenes[[#This Row],[costo_servicio]]+tblOrdenes[[#This Row],[costo_materiales]]</f>
        <v/>
      </c>
      <c r="AG50" s="6" t="inlineStr"/>
      <c r="AH50" s="6" t="inlineStr"/>
      <c r="AI50" s="6" t="inlineStr"/>
      <c r="AJ50" s="3">
        <f>IF(tblOrdenes[[#This Row],[link_checklist]]="","",HYPERLINK(p_ruta_base_checklists&amp;tblOrdenes[[#This Row],[link_checklist]],"abrir"))</f>
        <v/>
      </c>
      <c r="AK50" s="6" t="inlineStr"/>
    </row>
    <row r="51">
      <c r="A51" s="3" t="inlineStr">
        <is>
          <t>OT-000048</t>
        </is>
      </c>
      <c r="B51" s="3" t="inlineStr">
        <is>
          <t>0010</t>
        </is>
      </c>
      <c r="C51" s="3">
        <f>tblOrdenes[[#This Row],[orden]]&amp;IF(tblOrdenes[[#This Row],[operacion]]="","0010",tblOrdenes[[#This Row],[operacion]])</f>
        <v/>
      </c>
      <c r="D51" s="3" t="inlineStr">
        <is>
          <t>Reparación de falla — EQ-110</t>
        </is>
      </c>
      <c r="E51" s="3" t="inlineStr">
        <is>
          <t>Reparación de falla en EQ-110</t>
        </is>
      </c>
      <c r="F51" s="3" t="inlineStr">
        <is>
          <t>EQ-110</t>
        </is>
      </c>
      <c r="G51" s="3" t="inlineStr">
        <is>
          <t>CC-310</t>
        </is>
      </c>
      <c r="H51" s="3" t="inlineStr">
        <is>
          <t>PU-MEC</t>
        </is>
      </c>
      <c r="I51" s="3" t="inlineStr">
        <is>
          <t>ACT-03</t>
        </is>
      </c>
      <c r="J51" s="3" t="inlineStr">
        <is>
          <t>TIPO-C1</t>
        </is>
      </c>
      <c r="K51" s="11" t="n">
        <v>46232</v>
      </c>
      <c r="L51" s="3" t="n">
        <v>4</v>
      </c>
      <c r="M51" s="10" t="n">
        <v>160</v>
      </c>
      <c r="N51" s="3">
        <f>_xlfn.XLOOKUP(_xlfn.XLOOKUP(tblOrdenes[[#This Row],[id_operacion]],tblEjecucion[id_operacion],tblEjecucion[estado_sistema],""),tblEstados[estado_sistema],tblEstados[estado_normalizado],"Pendiente")</f>
        <v/>
      </c>
      <c r="O51" s="3">
        <f>IF(tblOrdenes[[#This Row],[fecha_inicio]]="","","S"&amp;IF(_xlfn.ISOWEEKNUM(tblOrdenes[[#This Row],[fecha_inicio]])=53,1,_xlfn.ISOWEEKNUM(tblOrdenes[[#This Row],[fecha_inicio]])))</f>
        <v/>
      </c>
      <c r="P51" s="3">
        <f>IF(tblOrdenes[[#This Row],[fecha_inicio]]="","",YEAR(tblOrdenes[[#This Row],[fecha_inicio]]))</f>
        <v/>
      </c>
      <c r="Q51" s="3">
        <f>IF(tblOrdenes[[#This Row],[fecha_inicio]]="","",MONTH(tblOrdenes[[#This Row],[fecha_inicio]]))</f>
        <v/>
      </c>
      <c r="R51" s="3">
        <f>IF(tblOrdenes[[#This Row],[fecha_inicio]]="","",INDEX(lista_dias,WEEKDAY(tblOrdenes[[#This Row],[fecha_inicio]],2)))</f>
        <v/>
      </c>
      <c r="S51" s="3">
        <f>_xlfn.XLOOKUP(tblOrdenes[[#This Row],[tipo_ot]],tblTiposOT[codigo],tblTiposOT[clasificacion],"sin_clasificar")</f>
        <v/>
      </c>
      <c r="T51" s="3">
        <f>_xlfn.XLOOKUP(tblOrdenes[[#This Row],[centro_costo]],tblCECO[codigo],tblCECO[linea],"(sin catálogo)")</f>
        <v/>
      </c>
      <c r="U51" s="3">
        <f>_xlfn.XLOOKUP(tblOrdenes[[#This Row],[centro_costo]],tblCECO[codigo],tblCECO[area],"(sin catálogo)")</f>
        <v/>
      </c>
      <c r="V51" s="3">
        <f>_xlfn.XLOOKUP(tblOrdenes[[#This Row],[centro_costo]],tblCECO[codigo],tblCECO[coordinador],"(sin catálogo)")</f>
        <v/>
      </c>
      <c r="W51" s="3">
        <f>_xlfn.XLOOKUP(tblOrdenes[[#This Row],[puesto_trabajo]],tblPuestos[codigo],tblPuestos[especialidad],"(sin catálogo)")</f>
        <v/>
      </c>
      <c r="X51" s="3">
        <f>_xlfn.XLOOKUP(tblOrdenes[[#This Row],[cod_actividad]],tblActividades[codigo],tblActividades[descripcion],"(sin catálogo)")</f>
        <v/>
      </c>
      <c r="Y51" s="12">
        <f>IF(tblOrdenes[[#This Row],[fecha_inicio]]="","",TODAY()-tblOrdenes[[#This Row],[fecha_inicio]])</f>
        <v/>
      </c>
      <c r="Z51" s="3">
        <f>IF(tblOrdenes[[#This Row],[backlog_dias]]="","",IF(tblOrdenes[[#This Row],[backlog_dias]]&lt;0,"FUTURO",IF(tblOrdenes[[#This Row],[backlog_dias]]&gt;p_dias_backlog_max,"BACKLOG","MES CORRIENTE")))</f>
        <v/>
      </c>
      <c r="AA51" s="3">
        <f>IF(tblOrdenes[[#This Row],[backlog_dias]]="",FALSE,AND(tblOrdenes[[#This Row],[backlog_dias]]&gt;p_dias_backlog_min,tblOrdenes[[#This Row],[backlog_dias]]&lt;=p_dias_backlog_max))</f>
        <v/>
      </c>
      <c r="AB51" s="6" t="inlineStr"/>
      <c r="AC5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1" s="10">
        <f>_xlfn.XLOOKUP(tblOrdenes[[#This Row],[id_operacion]],tblEjecucion[id_operacion],tblEjecucion[precio],0)</f>
        <v/>
      </c>
      <c r="AE51" s="10">
        <f>MAX(0,_xlfn.XLOOKUP(tblOrdenes[[#This Row],[id_operacion]],tblEjecucion[id_operacion],tblEjecucion[costo_plan_total],0)-tblOrdenes[[#This Row],[costo_servicio]])</f>
        <v/>
      </c>
      <c r="AF51" s="10">
        <f>tblOrdenes[[#This Row],[costo_servicio]]+tblOrdenes[[#This Row],[costo_materiales]]</f>
        <v/>
      </c>
      <c r="AG51" s="6" t="inlineStr">
        <is>
          <t>PT-CALIENTE</t>
        </is>
      </c>
      <c r="AH51" s="6" t="inlineStr">
        <is>
          <t>LOTO</t>
        </is>
      </c>
      <c r="AI51" s="6" t="inlineStr"/>
      <c r="AJ51" s="3">
        <f>IF(tblOrdenes[[#This Row],[link_checklist]]="","",HYPERLINK(p_ruta_base_checklists&amp;tblOrdenes[[#This Row],[link_checklist]],"abrir"))</f>
        <v/>
      </c>
      <c r="AK51" s="6" t="inlineStr"/>
    </row>
    <row r="52">
      <c r="A52" s="3" t="inlineStr">
        <is>
          <t>OT-000049</t>
        </is>
      </c>
      <c r="B52" s="3" t="inlineStr">
        <is>
          <t>0010</t>
        </is>
      </c>
      <c r="C52" s="3">
        <f>tblOrdenes[[#This Row],[orden]]&amp;IF(tblOrdenes[[#This Row],[operacion]]="","0010",tblOrdenes[[#This Row],[operacion]])</f>
        <v/>
      </c>
      <c r="D52" s="3" t="inlineStr">
        <is>
          <t>Lubricación programada — EQ-105</t>
        </is>
      </c>
      <c r="E52" s="3" t="inlineStr">
        <is>
          <t>Lubricación programada en EQ-105</t>
        </is>
      </c>
      <c r="F52" s="3" t="inlineStr">
        <is>
          <t>EQ-105</t>
        </is>
      </c>
      <c r="G52" s="3" t="inlineStr">
        <is>
          <t>CC-120</t>
        </is>
      </c>
      <c r="H52" s="3" t="inlineStr">
        <is>
          <t>PU-ELE</t>
        </is>
      </c>
      <c r="I52" s="3" t="inlineStr">
        <is>
          <t>ACT-02</t>
        </is>
      </c>
      <c r="J52" s="3" t="inlineStr">
        <is>
          <t>TIPO-P2</t>
        </is>
      </c>
      <c r="K52" s="11" t="n">
        <v>46212</v>
      </c>
      <c r="L52" s="3" t="n">
        <v>10</v>
      </c>
      <c r="M52" s="10" t="n">
        <v>250</v>
      </c>
      <c r="N52" s="3">
        <f>_xlfn.XLOOKUP(_xlfn.XLOOKUP(tblOrdenes[[#This Row],[id_operacion]],tblEjecucion[id_operacion],tblEjecucion[estado_sistema],""),tblEstados[estado_sistema],tblEstados[estado_normalizado],"Pendiente")</f>
        <v/>
      </c>
      <c r="O52" s="3">
        <f>IF(tblOrdenes[[#This Row],[fecha_inicio]]="","","S"&amp;IF(_xlfn.ISOWEEKNUM(tblOrdenes[[#This Row],[fecha_inicio]])=53,1,_xlfn.ISOWEEKNUM(tblOrdenes[[#This Row],[fecha_inicio]])))</f>
        <v/>
      </c>
      <c r="P52" s="3">
        <f>IF(tblOrdenes[[#This Row],[fecha_inicio]]="","",YEAR(tblOrdenes[[#This Row],[fecha_inicio]]))</f>
        <v/>
      </c>
      <c r="Q52" s="3">
        <f>IF(tblOrdenes[[#This Row],[fecha_inicio]]="","",MONTH(tblOrdenes[[#This Row],[fecha_inicio]]))</f>
        <v/>
      </c>
      <c r="R52" s="3">
        <f>IF(tblOrdenes[[#This Row],[fecha_inicio]]="","",INDEX(lista_dias,WEEKDAY(tblOrdenes[[#This Row],[fecha_inicio]],2)))</f>
        <v/>
      </c>
      <c r="S52" s="3">
        <f>_xlfn.XLOOKUP(tblOrdenes[[#This Row],[tipo_ot]],tblTiposOT[codigo],tblTiposOT[clasificacion],"sin_clasificar")</f>
        <v/>
      </c>
      <c r="T52" s="3">
        <f>_xlfn.XLOOKUP(tblOrdenes[[#This Row],[centro_costo]],tblCECO[codigo],tblCECO[linea],"(sin catálogo)")</f>
        <v/>
      </c>
      <c r="U52" s="3">
        <f>_xlfn.XLOOKUP(tblOrdenes[[#This Row],[centro_costo]],tblCECO[codigo],tblCECO[area],"(sin catálogo)")</f>
        <v/>
      </c>
      <c r="V52" s="3">
        <f>_xlfn.XLOOKUP(tblOrdenes[[#This Row],[centro_costo]],tblCECO[codigo],tblCECO[coordinador],"(sin catálogo)")</f>
        <v/>
      </c>
      <c r="W52" s="3">
        <f>_xlfn.XLOOKUP(tblOrdenes[[#This Row],[puesto_trabajo]],tblPuestos[codigo],tblPuestos[especialidad],"(sin catálogo)")</f>
        <v/>
      </c>
      <c r="X52" s="3">
        <f>_xlfn.XLOOKUP(tblOrdenes[[#This Row],[cod_actividad]],tblActividades[codigo],tblActividades[descripcion],"(sin catálogo)")</f>
        <v/>
      </c>
      <c r="Y52" s="12">
        <f>IF(tblOrdenes[[#This Row],[fecha_inicio]]="","",TODAY()-tblOrdenes[[#This Row],[fecha_inicio]])</f>
        <v/>
      </c>
      <c r="Z52" s="3">
        <f>IF(tblOrdenes[[#This Row],[backlog_dias]]="","",IF(tblOrdenes[[#This Row],[backlog_dias]]&lt;0,"FUTURO",IF(tblOrdenes[[#This Row],[backlog_dias]]&gt;p_dias_backlog_max,"BACKLOG","MES CORRIENTE")))</f>
        <v/>
      </c>
      <c r="AA52" s="3">
        <f>IF(tblOrdenes[[#This Row],[backlog_dias]]="",FALSE,AND(tblOrdenes[[#This Row],[backlog_dias]]&gt;p_dias_backlog_min,tblOrdenes[[#This Row],[backlog_dias]]&lt;=p_dias_backlog_max))</f>
        <v/>
      </c>
      <c r="AB52" s="6" t="inlineStr">
        <is>
          <t>Técnico 05</t>
        </is>
      </c>
      <c r="AC5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2" s="10">
        <f>_xlfn.XLOOKUP(tblOrdenes[[#This Row],[id_operacion]],tblEjecucion[id_operacion],tblEjecucion[precio],0)</f>
        <v/>
      </c>
      <c r="AE52" s="10">
        <f>MAX(0,_xlfn.XLOOKUP(tblOrdenes[[#This Row],[id_operacion]],tblEjecucion[id_operacion],tblEjecucion[costo_plan_total],0)-tblOrdenes[[#This Row],[costo_servicio]])</f>
        <v/>
      </c>
      <c r="AF52" s="10">
        <f>tblOrdenes[[#This Row],[costo_servicio]]+tblOrdenes[[#This Row],[costo_materiales]]</f>
        <v/>
      </c>
      <c r="AG52" s="6" t="inlineStr"/>
      <c r="AH52" s="6" t="inlineStr"/>
      <c r="AI52" s="6" t="inlineStr">
        <is>
          <t>ACT-02.pdf</t>
        </is>
      </c>
      <c r="AJ52" s="3">
        <f>IF(tblOrdenes[[#This Row],[link_checklist]]="","",HYPERLINK(p_ruta_base_checklists&amp;tblOrdenes[[#This Row],[link_checklist]],"abrir"))</f>
        <v/>
      </c>
      <c r="AK52" s="6" t="inlineStr"/>
    </row>
    <row r="53">
      <c r="A53" s="3" t="inlineStr">
        <is>
          <t>OT-000050</t>
        </is>
      </c>
      <c r="B53" s="3" t="inlineStr">
        <is>
          <t>0010</t>
        </is>
      </c>
      <c r="C53" s="3">
        <f>tblOrdenes[[#This Row],[orden]]&amp;IF(tblOrdenes[[#This Row],[operacion]]="","0010",tblOrdenes[[#This Row],[operacion]])</f>
        <v/>
      </c>
      <c r="D53" s="3" t="inlineStr">
        <is>
          <t>Análisis predictivo — EQ-108</t>
        </is>
      </c>
      <c r="E53" s="3" t="inlineStr">
        <is>
          <t>Análisis predictivo en EQ-108</t>
        </is>
      </c>
      <c r="F53" s="3" t="inlineStr">
        <is>
          <t>EQ-108</t>
        </is>
      </c>
      <c r="G53" s="3" t="inlineStr">
        <is>
          <t>CC-220</t>
        </is>
      </c>
      <c r="H53" s="3" t="inlineStr">
        <is>
          <t>PU-ELE</t>
        </is>
      </c>
      <c r="I53" s="3" t="inlineStr">
        <is>
          <t>ACT-04</t>
        </is>
      </c>
      <c r="J53" s="3" t="inlineStr">
        <is>
          <t>TIPO-P1</t>
        </is>
      </c>
      <c r="K53" s="11" t="n">
        <v>46213</v>
      </c>
      <c r="L53" s="3" t="n">
        <v>8</v>
      </c>
      <c r="M53" s="10" t="n">
        <v>200</v>
      </c>
      <c r="N53" s="3">
        <f>_xlfn.XLOOKUP(_xlfn.XLOOKUP(tblOrdenes[[#This Row],[id_operacion]],tblEjecucion[id_operacion],tblEjecucion[estado_sistema],""),tblEstados[estado_sistema],tblEstados[estado_normalizado],"Pendiente")</f>
        <v/>
      </c>
      <c r="O53" s="3">
        <f>IF(tblOrdenes[[#This Row],[fecha_inicio]]="","","S"&amp;IF(_xlfn.ISOWEEKNUM(tblOrdenes[[#This Row],[fecha_inicio]])=53,1,_xlfn.ISOWEEKNUM(tblOrdenes[[#This Row],[fecha_inicio]])))</f>
        <v/>
      </c>
      <c r="P53" s="3">
        <f>IF(tblOrdenes[[#This Row],[fecha_inicio]]="","",YEAR(tblOrdenes[[#This Row],[fecha_inicio]]))</f>
        <v/>
      </c>
      <c r="Q53" s="3">
        <f>IF(tblOrdenes[[#This Row],[fecha_inicio]]="","",MONTH(tblOrdenes[[#This Row],[fecha_inicio]]))</f>
        <v/>
      </c>
      <c r="R53" s="3">
        <f>IF(tblOrdenes[[#This Row],[fecha_inicio]]="","",INDEX(lista_dias,WEEKDAY(tblOrdenes[[#This Row],[fecha_inicio]],2)))</f>
        <v/>
      </c>
      <c r="S53" s="3">
        <f>_xlfn.XLOOKUP(tblOrdenes[[#This Row],[tipo_ot]],tblTiposOT[codigo],tblTiposOT[clasificacion],"sin_clasificar")</f>
        <v/>
      </c>
      <c r="T53" s="3">
        <f>_xlfn.XLOOKUP(tblOrdenes[[#This Row],[centro_costo]],tblCECO[codigo],tblCECO[linea],"(sin catálogo)")</f>
        <v/>
      </c>
      <c r="U53" s="3">
        <f>_xlfn.XLOOKUP(tblOrdenes[[#This Row],[centro_costo]],tblCECO[codigo],tblCECO[area],"(sin catálogo)")</f>
        <v/>
      </c>
      <c r="V53" s="3">
        <f>_xlfn.XLOOKUP(tblOrdenes[[#This Row],[centro_costo]],tblCECO[codigo],tblCECO[coordinador],"(sin catálogo)")</f>
        <v/>
      </c>
      <c r="W53" s="3">
        <f>_xlfn.XLOOKUP(tblOrdenes[[#This Row],[puesto_trabajo]],tblPuestos[codigo],tblPuestos[especialidad],"(sin catálogo)")</f>
        <v/>
      </c>
      <c r="X53" s="3">
        <f>_xlfn.XLOOKUP(tblOrdenes[[#This Row],[cod_actividad]],tblActividades[codigo],tblActividades[descripcion],"(sin catálogo)")</f>
        <v/>
      </c>
      <c r="Y53" s="12">
        <f>IF(tblOrdenes[[#This Row],[fecha_inicio]]="","",TODAY()-tblOrdenes[[#This Row],[fecha_inicio]])</f>
        <v/>
      </c>
      <c r="Z53" s="3">
        <f>IF(tblOrdenes[[#This Row],[backlog_dias]]="","",IF(tblOrdenes[[#This Row],[backlog_dias]]&lt;0,"FUTURO",IF(tblOrdenes[[#This Row],[backlog_dias]]&gt;p_dias_backlog_max,"BACKLOG","MES CORRIENTE")))</f>
        <v/>
      </c>
      <c r="AA53" s="3">
        <f>IF(tblOrdenes[[#This Row],[backlog_dias]]="",FALSE,AND(tblOrdenes[[#This Row],[backlog_dias]]&gt;p_dias_backlog_min,tblOrdenes[[#This Row],[backlog_dias]]&lt;=p_dias_backlog_max))</f>
        <v/>
      </c>
      <c r="AB53" s="6" t="inlineStr">
        <is>
          <t>Técnico 06</t>
        </is>
      </c>
      <c r="AC5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3" s="10">
        <f>_xlfn.XLOOKUP(tblOrdenes[[#This Row],[id_operacion]],tblEjecucion[id_operacion],tblEjecucion[precio],0)</f>
        <v/>
      </c>
      <c r="AE53" s="10">
        <f>MAX(0,_xlfn.XLOOKUP(tblOrdenes[[#This Row],[id_operacion]],tblEjecucion[id_operacion],tblEjecucion[costo_plan_total],0)-tblOrdenes[[#This Row],[costo_servicio]])</f>
        <v/>
      </c>
      <c r="AF53" s="10">
        <f>tblOrdenes[[#This Row],[costo_servicio]]+tblOrdenes[[#This Row],[costo_materiales]]</f>
        <v/>
      </c>
      <c r="AG53" s="6" t="inlineStr"/>
      <c r="AH53" s="6" t="inlineStr"/>
      <c r="AI53" s="6" t="inlineStr">
        <is>
          <t>ACT-04.pdf</t>
        </is>
      </c>
      <c r="AJ53" s="3">
        <f>IF(tblOrdenes[[#This Row],[link_checklist]]="","",HYPERLINK(p_ruta_base_checklists&amp;tblOrdenes[[#This Row],[link_checklist]],"abrir"))</f>
        <v/>
      </c>
      <c r="AK53" s="6" t="inlineStr"/>
    </row>
    <row r="54">
      <c r="A54" s="3" t="inlineStr">
        <is>
          <t>OT-000051</t>
        </is>
      </c>
      <c r="B54" s="3" t="inlineStr">
        <is>
          <t>0010</t>
        </is>
      </c>
      <c r="C54" s="3">
        <f>tblOrdenes[[#This Row],[orden]]&amp;IF(tblOrdenes[[#This Row],[operacion]]="","0010",tblOrdenes[[#This Row],[operacion]])</f>
        <v/>
      </c>
      <c r="D54" s="3" t="inlineStr">
        <is>
          <t>Inspección de rutina — EQ-102</t>
        </is>
      </c>
      <c r="E54" s="3" t="inlineStr">
        <is>
          <t>Inspección de rutina en EQ-102</t>
        </is>
      </c>
      <c r="F54" s="3" t="inlineStr">
        <is>
          <t>EQ-102</t>
        </is>
      </c>
      <c r="G54" s="3" t="inlineStr">
        <is>
          <t>CC-120</t>
        </is>
      </c>
      <c r="H54" s="3" t="inlineStr">
        <is>
          <t>PU-ELE</t>
        </is>
      </c>
      <c r="I54" s="3" t="inlineStr">
        <is>
          <t>ACT-01</t>
        </is>
      </c>
      <c r="J54" s="3" t="inlineStr">
        <is>
          <t>TIPO-P2</t>
        </is>
      </c>
      <c r="K54" s="11" t="n">
        <v>46209</v>
      </c>
      <c r="L54" s="3" t="n">
        <v>6</v>
      </c>
      <c r="M54" s="10" t="n">
        <v>150</v>
      </c>
      <c r="N54" s="3">
        <f>_xlfn.XLOOKUP(_xlfn.XLOOKUP(tblOrdenes[[#This Row],[id_operacion]],tblEjecucion[id_operacion],tblEjecucion[estado_sistema],""),tblEstados[estado_sistema],tblEstados[estado_normalizado],"Pendiente")</f>
        <v/>
      </c>
      <c r="O54" s="3">
        <f>IF(tblOrdenes[[#This Row],[fecha_inicio]]="","","S"&amp;IF(_xlfn.ISOWEEKNUM(tblOrdenes[[#This Row],[fecha_inicio]])=53,1,_xlfn.ISOWEEKNUM(tblOrdenes[[#This Row],[fecha_inicio]])))</f>
        <v/>
      </c>
      <c r="P54" s="3">
        <f>IF(tblOrdenes[[#This Row],[fecha_inicio]]="","",YEAR(tblOrdenes[[#This Row],[fecha_inicio]]))</f>
        <v/>
      </c>
      <c r="Q54" s="3">
        <f>IF(tblOrdenes[[#This Row],[fecha_inicio]]="","",MONTH(tblOrdenes[[#This Row],[fecha_inicio]]))</f>
        <v/>
      </c>
      <c r="R54" s="3">
        <f>IF(tblOrdenes[[#This Row],[fecha_inicio]]="","",INDEX(lista_dias,WEEKDAY(tblOrdenes[[#This Row],[fecha_inicio]],2)))</f>
        <v/>
      </c>
      <c r="S54" s="3">
        <f>_xlfn.XLOOKUP(tblOrdenes[[#This Row],[tipo_ot]],tblTiposOT[codigo],tblTiposOT[clasificacion],"sin_clasificar")</f>
        <v/>
      </c>
      <c r="T54" s="3">
        <f>_xlfn.XLOOKUP(tblOrdenes[[#This Row],[centro_costo]],tblCECO[codigo],tblCECO[linea],"(sin catálogo)")</f>
        <v/>
      </c>
      <c r="U54" s="3">
        <f>_xlfn.XLOOKUP(tblOrdenes[[#This Row],[centro_costo]],tblCECO[codigo],tblCECO[area],"(sin catálogo)")</f>
        <v/>
      </c>
      <c r="V54" s="3">
        <f>_xlfn.XLOOKUP(tblOrdenes[[#This Row],[centro_costo]],tblCECO[codigo],tblCECO[coordinador],"(sin catálogo)")</f>
        <v/>
      </c>
      <c r="W54" s="3">
        <f>_xlfn.XLOOKUP(tblOrdenes[[#This Row],[puesto_trabajo]],tblPuestos[codigo],tblPuestos[especialidad],"(sin catálogo)")</f>
        <v/>
      </c>
      <c r="X54" s="3">
        <f>_xlfn.XLOOKUP(tblOrdenes[[#This Row],[cod_actividad]],tblActividades[codigo],tblActividades[descripcion],"(sin catálogo)")</f>
        <v/>
      </c>
      <c r="Y54" s="12">
        <f>IF(tblOrdenes[[#This Row],[fecha_inicio]]="","",TODAY()-tblOrdenes[[#This Row],[fecha_inicio]])</f>
        <v/>
      </c>
      <c r="Z54" s="3">
        <f>IF(tblOrdenes[[#This Row],[backlog_dias]]="","",IF(tblOrdenes[[#This Row],[backlog_dias]]&lt;0,"FUTURO",IF(tblOrdenes[[#This Row],[backlog_dias]]&gt;p_dias_backlog_max,"BACKLOG","MES CORRIENTE")))</f>
        <v/>
      </c>
      <c r="AA54" s="3">
        <f>IF(tblOrdenes[[#This Row],[backlog_dias]]="",FALSE,AND(tblOrdenes[[#This Row],[backlog_dias]]&gt;p_dias_backlog_min,tblOrdenes[[#This Row],[backlog_dias]]&lt;=p_dias_backlog_max))</f>
        <v/>
      </c>
      <c r="AB54" s="6" t="inlineStr">
        <is>
          <t>Técnico 07</t>
        </is>
      </c>
      <c r="AC5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4" s="10">
        <f>_xlfn.XLOOKUP(tblOrdenes[[#This Row],[id_operacion]],tblEjecucion[id_operacion],tblEjecucion[precio],0)</f>
        <v/>
      </c>
      <c r="AE54" s="10">
        <f>MAX(0,_xlfn.XLOOKUP(tblOrdenes[[#This Row],[id_operacion]],tblEjecucion[id_operacion],tblEjecucion[costo_plan_total],0)-tblOrdenes[[#This Row],[costo_servicio]])</f>
        <v/>
      </c>
      <c r="AF54" s="10">
        <f>tblOrdenes[[#This Row],[costo_servicio]]+tblOrdenes[[#This Row],[costo_materiales]]</f>
        <v/>
      </c>
      <c r="AG54" s="6" t="inlineStr"/>
      <c r="AH54" s="6" t="inlineStr"/>
      <c r="AI54" s="6" t="inlineStr">
        <is>
          <t>ACT-01.pdf</t>
        </is>
      </c>
      <c r="AJ54" s="3">
        <f>IF(tblOrdenes[[#This Row],[link_checklist]]="","",HYPERLINK(p_ruta_base_checklists&amp;tblOrdenes[[#This Row],[link_checklist]],"abrir"))</f>
        <v/>
      </c>
      <c r="AK54" s="6" t="inlineStr"/>
    </row>
    <row r="55">
      <c r="A55" s="3" t="inlineStr">
        <is>
          <t>OT-000052</t>
        </is>
      </c>
      <c r="B55" s="3" t="inlineStr">
        <is>
          <t>0010</t>
        </is>
      </c>
      <c r="C55" s="3">
        <f>tblOrdenes[[#This Row],[orden]]&amp;IF(tblOrdenes[[#This Row],[operacion]]="","0010",tblOrdenes[[#This Row],[operacion]])</f>
        <v/>
      </c>
      <c r="D55" s="3" t="inlineStr">
        <is>
          <t>Lubricación programada — EQ-106</t>
        </is>
      </c>
      <c r="E55" s="3" t="inlineStr">
        <is>
          <t>Lubricación programada en EQ-106</t>
        </is>
      </c>
      <c r="F55" s="3" t="inlineStr">
        <is>
          <t>EQ-106</t>
        </is>
      </c>
      <c r="G55" s="3" t="inlineStr">
        <is>
          <t>CC-220</t>
        </is>
      </c>
      <c r="H55" s="3" t="inlineStr">
        <is>
          <t>PU-ELE</t>
        </is>
      </c>
      <c r="I55" s="3" t="inlineStr">
        <is>
          <t>ACT-02</t>
        </is>
      </c>
      <c r="J55" s="3" t="inlineStr">
        <is>
          <t>TIPO-P1</t>
        </is>
      </c>
      <c r="K55" s="11" t="n">
        <v>46210</v>
      </c>
      <c r="L55" s="3" t="n">
        <v>10</v>
      </c>
      <c r="M55" s="10" t="n">
        <v>250</v>
      </c>
      <c r="N55" s="3">
        <f>_xlfn.XLOOKUP(_xlfn.XLOOKUP(tblOrdenes[[#This Row],[id_operacion]],tblEjecucion[id_operacion],tblEjecucion[estado_sistema],""),tblEstados[estado_sistema],tblEstados[estado_normalizado],"Pendiente")</f>
        <v/>
      </c>
      <c r="O55" s="3">
        <f>IF(tblOrdenes[[#This Row],[fecha_inicio]]="","","S"&amp;IF(_xlfn.ISOWEEKNUM(tblOrdenes[[#This Row],[fecha_inicio]])=53,1,_xlfn.ISOWEEKNUM(tblOrdenes[[#This Row],[fecha_inicio]])))</f>
        <v/>
      </c>
      <c r="P55" s="3">
        <f>IF(tblOrdenes[[#This Row],[fecha_inicio]]="","",YEAR(tblOrdenes[[#This Row],[fecha_inicio]]))</f>
        <v/>
      </c>
      <c r="Q55" s="3">
        <f>IF(tblOrdenes[[#This Row],[fecha_inicio]]="","",MONTH(tblOrdenes[[#This Row],[fecha_inicio]]))</f>
        <v/>
      </c>
      <c r="R55" s="3">
        <f>IF(tblOrdenes[[#This Row],[fecha_inicio]]="","",INDEX(lista_dias,WEEKDAY(tblOrdenes[[#This Row],[fecha_inicio]],2)))</f>
        <v/>
      </c>
      <c r="S55" s="3">
        <f>_xlfn.XLOOKUP(tblOrdenes[[#This Row],[tipo_ot]],tblTiposOT[codigo],tblTiposOT[clasificacion],"sin_clasificar")</f>
        <v/>
      </c>
      <c r="T55" s="3">
        <f>_xlfn.XLOOKUP(tblOrdenes[[#This Row],[centro_costo]],tblCECO[codigo],tblCECO[linea],"(sin catálogo)")</f>
        <v/>
      </c>
      <c r="U55" s="3">
        <f>_xlfn.XLOOKUP(tblOrdenes[[#This Row],[centro_costo]],tblCECO[codigo],tblCECO[area],"(sin catálogo)")</f>
        <v/>
      </c>
      <c r="V55" s="3">
        <f>_xlfn.XLOOKUP(tblOrdenes[[#This Row],[centro_costo]],tblCECO[codigo],tblCECO[coordinador],"(sin catálogo)")</f>
        <v/>
      </c>
      <c r="W55" s="3">
        <f>_xlfn.XLOOKUP(tblOrdenes[[#This Row],[puesto_trabajo]],tblPuestos[codigo],tblPuestos[especialidad],"(sin catálogo)")</f>
        <v/>
      </c>
      <c r="X55" s="3">
        <f>_xlfn.XLOOKUP(tblOrdenes[[#This Row],[cod_actividad]],tblActividades[codigo],tblActividades[descripcion],"(sin catálogo)")</f>
        <v/>
      </c>
      <c r="Y55" s="12">
        <f>IF(tblOrdenes[[#This Row],[fecha_inicio]]="","",TODAY()-tblOrdenes[[#This Row],[fecha_inicio]])</f>
        <v/>
      </c>
      <c r="Z55" s="3">
        <f>IF(tblOrdenes[[#This Row],[backlog_dias]]="","",IF(tblOrdenes[[#This Row],[backlog_dias]]&lt;0,"FUTURO",IF(tblOrdenes[[#This Row],[backlog_dias]]&gt;p_dias_backlog_max,"BACKLOG","MES CORRIENTE")))</f>
        <v/>
      </c>
      <c r="AA55" s="3">
        <f>IF(tblOrdenes[[#This Row],[backlog_dias]]="",FALSE,AND(tblOrdenes[[#This Row],[backlog_dias]]&gt;p_dias_backlog_min,tblOrdenes[[#This Row],[backlog_dias]]&lt;=p_dias_backlog_max))</f>
        <v/>
      </c>
      <c r="AB55" s="6" t="inlineStr">
        <is>
          <t>Técnico 05</t>
        </is>
      </c>
      <c r="AC5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5" s="10">
        <f>_xlfn.XLOOKUP(tblOrdenes[[#This Row],[id_operacion]],tblEjecucion[id_operacion],tblEjecucion[precio],0)</f>
        <v/>
      </c>
      <c r="AE55" s="10">
        <f>MAX(0,_xlfn.XLOOKUP(tblOrdenes[[#This Row],[id_operacion]],tblEjecucion[id_operacion],tblEjecucion[costo_plan_total],0)-tblOrdenes[[#This Row],[costo_servicio]])</f>
        <v/>
      </c>
      <c r="AF55" s="10">
        <f>tblOrdenes[[#This Row],[costo_servicio]]+tblOrdenes[[#This Row],[costo_materiales]]</f>
        <v/>
      </c>
      <c r="AG55" s="6" t="inlineStr"/>
      <c r="AH55" s="6" t="inlineStr"/>
      <c r="AI55" s="6" t="inlineStr">
        <is>
          <t>ACT-02.pdf</t>
        </is>
      </c>
      <c r="AJ55" s="3">
        <f>IF(tblOrdenes[[#This Row],[link_checklist]]="","",HYPERLINK(p_ruta_base_checklists&amp;tblOrdenes[[#This Row],[link_checklist]],"abrir"))</f>
        <v/>
      </c>
      <c r="AK55" s="6" t="inlineStr"/>
    </row>
    <row r="56">
      <c r="A56" s="3" t="inlineStr">
        <is>
          <t>OT-000053</t>
        </is>
      </c>
      <c r="B56" s="3" t="inlineStr">
        <is>
          <t>0010</t>
        </is>
      </c>
      <c r="C56" s="3">
        <f>tblOrdenes[[#This Row],[orden]]&amp;IF(tblOrdenes[[#This Row],[operacion]]="","0010",tblOrdenes[[#This Row],[operacion]])</f>
        <v/>
      </c>
      <c r="D56" s="3" t="inlineStr">
        <is>
          <t>Análisis predictivo — EQ-104</t>
        </is>
      </c>
      <c r="E56" s="3" t="inlineStr">
        <is>
          <t>Análisis predictivo en EQ-104</t>
        </is>
      </c>
      <c r="F56" s="3" t="inlineStr">
        <is>
          <t>EQ-104</t>
        </is>
      </c>
      <c r="G56" s="3" t="inlineStr">
        <is>
          <t>CC-120</t>
        </is>
      </c>
      <c r="H56" s="3" t="inlineStr">
        <is>
          <t>PU-ELE</t>
        </is>
      </c>
      <c r="I56" s="3" t="inlineStr">
        <is>
          <t>ACT-04</t>
        </is>
      </c>
      <c r="J56" s="3" t="inlineStr">
        <is>
          <t>TIPO-P2</t>
        </is>
      </c>
      <c r="K56" s="11" t="n">
        <v>46211</v>
      </c>
      <c r="L56" s="3" t="n">
        <v>8</v>
      </c>
      <c r="M56" s="10" t="n">
        <v>200</v>
      </c>
      <c r="N56" s="3">
        <f>_xlfn.XLOOKUP(_xlfn.XLOOKUP(tblOrdenes[[#This Row],[id_operacion]],tblEjecucion[id_operacion],tblEjecucion[estado_sistema],""),tblEstados[estado_sistema],tblEstados[estado_normalizado],"Pendiente")</f>
        <v/>
      </c>
      <c r="O56" s="3">
        <f>IF(tblOrdenes[[#This Row],[fecha_inicio]]="","","S"&amp;IF(_xlfn.ISOWEEKNUM(tblOrdenes[[#This Row],[fecha_inicio]])=53,1,_xlfn.ISOWEEKNUM(tblOrdenes[[#This Row],[fecha_inicio]])))</f>
        <v/>
      </c>
      <c r="P56" s="3">
        <f>IF(tblOrdenes[[#This Row],[fecha_inicio]]="","",YEAR(tblOrdenes[[#This Row],[fecha_inicio]]))</f>
        <v/>
      </c>
      <c r="Q56" s="3">
        <f>IF(tblOrdenes[[#This Row],[fecha_inicio]]="","",MONTH(tblOrdenes[[#This Row],[fecha_inicio]]))</f>
        <v/>
      </c>
      <c r="R56" s="3">
        <f>IF(tblOrdenes[[#This Row],[fecha_inicio]]="","",INDEX(lista_dias,WEEKDAY(tblOrdenes[[#This Row],[fecha_inicio]],2)))</f>
        <v/>
      </c>
      <c r="S56" s="3">
        <f>_xlfn.XLOOKUP(tblOrdenes[[#This Row],[tipo_ot]],tblTiposOT[codigo],tblTiposOT[clasificacion],"sin_clasificar")</f>
        <v/>
      </c>
      <c r="T56" s="3">
        <f>_xlfn.XLOOKUP(tblOrdenes[[#This Row],[centro_costo]],tblCECO[codigo],tblCECO[linea],"(sin catálogo)")</f>
        <v/>
      </c>
      <c r="U56" s="3">
        <f>_xlfn.XLOOKUP(tblOrdenes[[#This Row],[centro_costo]],tblCECO[codigo],tblCECO[area],"(sin catálogo)")</f>
        <v/>
      </c>
      <c r="V56" s="3">
        <f>_xlfn.XLOOKUP(tblOrdenes[[#This Row],[centro_costo]],tblCECO[codigo],tblCECO[coordinador],"(sin catálogo)")</f>
        <v/>
      </c>
      <c r="W56" s="3">
        <f>_xlfn.XLOOKUP(tblOrdenes[[#This Row],[puesto_trabajo]],tblPuestos[codigo],tblPuestos[especialidad],"(sin catálogo)")</f>
        <v/>
      </c>
      <c r="X56" s="3">
        <f>_xlfn.XLOOKUP(tblOrdenes[[#This Row],[cod_actividad]],tblActividades[codigo],tblActividades[descripcion],"(sin catálogo)")</f>
        <v/>
      </c>
      <c r="Y56" s="12">
        <f>IF(tblOrdenes[[#This Row],[fecha_inicio]]="","",TODAY()-tblOrdenes[[#This Row],[fecha_inicio]])</f>
        <v/>
      </c>
      <c r="Z56" s="3">
        <f>IF(tblOrdenes[[#This Row],[backlog_dias]]="","",IF(tblOrdenes[[#This Row],[backlog_dias]]&lt;0,"FUTURO",IF(tblOrdenes[[#This Row],[backlog_dias]]&gt;p_dias_backlog_max,"BACKLOG","MES CORRIENTE")))</f>
        <v/>
      </c>
      <c r="AA56" s="3">
        <f>IF(tblOrdenes[[#This Row],[backlog_dias]]="",FALSE,AND(tblOrdenes[[#This Row],[backlog_dias]]&gt;p_dias_backlog_min,tblOrdenes[[#This Row],[backlog_dias]]&lt;=p_dias_backlog_max))</f>
        <v/>
      </c>
      <c r="AB56" s="6" t="inlineStr">
        <is>
          <t>Técnico 06</t>
        </is>
      </c>
      <c r="AC5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6" s="10">
        <f>_xlfn.XLOOKUP(tblOrdenes[[#This Row],[id_operacion]],tblEjecucion[id_operacion],tblEjecucion[precio],0)</f>
        <v/>
      </c>
      <c r="AE56" s="10">
        <f>MAX(0,_xlfn.XLOOKUP(tblOrdenes[[#This Row],[id_operacion]],tblEjecucion[id_operacion],tblEjecucion[costo_plan_total],0)-tblOrdenes[[#This Row],[costo_servicio]])</f>
        <v/>
      </c>
      <c r="AF56" s="10">
        <f>tblOrdenes[[#This Row],[costo_servicio]]+tblOrdenes[[#This Row],[costo_materiales]]</f>
        <v/>
      </c>
      <c r="AG56" s="6" t="inlineStr"/>
      <c r="AH56" s="6" t="inlineStr"/>
      <c r="AI56" s="6" t="inlineStr">
        <is>
          <t>ACT-04.pdf</t>
        </is>
      </c>
      <c r="AJ56" s="3">
        <f>IF(tblOrdenes[[#This Row],[link_checklist]]="","",HYPERLINK(p_ruta_base_checklists&amp;tblOrdenes[[#This Row],[link_checklist]],"abrir"))</f>
        <v/>
      </c>
      <c r="AK56" s="6" t="inlineStr"/>
    </row>
    <row r="57">
      <c r="A57" s="3" t="inlineStr">
        <is>
          <t>OT-000054</t>
        </is>
      </c>
      <c r="B57" s="3" t="inlineStr">
        <is>
          <t>0010</t>
        </is>
      </c>
      <c r="C57" s="3">
        <f>tblOrdenes[[#This Row],[orden]]&amp;IF(tblOrdenes[[#This Row],[operacion]]="","0010",tblOrdenes[[#This Row],[operacion]])</f>
        <v/>
      </c>
      <c r="D57" s="3" t="inlineStr">
        <is>
          <t>Inspección de rutina — EQ-108</t>
        </is>
      </c>
      <c r="E57" s="3" t="inlineStr">
        <is>
          <t>Inspección de rutina en EQ-108</t>
        </is>
      </c>
      <c r="F57" s="3" t="inlineStr">
        <is>
          <t>EQ-108</t>
        </is>
      </c>
      <c r="G57" s="3" t="inlineStr">
        <is>
          <t>CC-220</t>
        </is>
      </c>
      <c r="H57" s="3" t="inlineStr">
        <is>
          <t>PU-ELE</t>
        </is>
      </c>
      <c r="I57" s="3" t="inlineStr">
        <is>
          <t>ACT-01</t>
        </is>
      </c>
      <c r="J57" s="3" t="inlineStr">
        <is>
          <t>TIPO-P1</t>
        </is>
      </c>
      <c r="K57" s="11" t="n">
        <v>46212</v>
      </c>
      <c r="L57" s="3" t="n">
        <v>6</v>
      </c>
      <c r="M57" s="10" t="n">
        <v>150</v>
      </c>
      <c r="N57" s="3">
        <f>_xlfn.XLOOKUP(_xlfn.XLOOKUP(tblOrdenes[[#This Row],[id_operacion]],tblEjecucion[id_operacion],tblEjecucion[estado_sistema],""),tblEstados[estado_sistema],tblEstados[estado_normalizado],"Pendiente")</f>
        <v/>
      </c>
      <c r="O57" s="3">
        <f>IF(tblOrdenes[[#This Row],[fecha_inicio]]="","","S"&amp;IF(_xlfn.ISOWEEKNUM(tblOrdenes[[#This Row],[fecha_inicio]])=53,1,_xlfn.ISOWEEKNUM(tblOrdenes[[#This Row],[fecha_inicio]])))</f>
        <v/>
      </c>
      <c r="P57" s="3">
        <f>IF(tblOrdenes[[#This Row],[fecha_inicio]]="","",YEAR(tblOrdenes[[#This Row],[fecha_inicio]]))</f>
        <v/>
      </c>
      <c r="Q57" s="3">
        <f>IF(tblOrdenes[[#This Row],[fecha_inicio]]="","",MONTH(tblOrdenes[[#This Row],[fecha_inicio]]))</f>
        <v/>
      </c>
      <c r="R57" s="3">
        <f>IF(tblOrdenes[[#This Row],[fecha_inicio]]="","",INDEX(lista_dias,WEEKDAY(tblOrdenes[[#This Row],[fecha_inicio]],2)))</f>
        <v/>
      </c>
      <c r="S57" s="3">
        <f>_xlfn.XLOOKUP(tblOrdenes[[#This Row],[tipo_ot]],tblTiposOT[codigo],tblTiposOT[clasificacion],"sin_clasificar")</f>
        <v/>
      </c>
      <c r="T57" s="3">
        <f>_xlfn.XLOOKUP(tblOrdenes[[#This Row],[centro_costo]],tblCECO[codigo],tblCECO[linea],"(sin catálogo)")</f>
        <v/>
      </c>
      <c r="U57" s="3">
        <f>_xlfn.XLOOKUP(tblOrdenes[[#This Row],[centro_costo]],tblCECO[codigo],tblCECO[area],"(sin catálogo)")</f>
        <v/>
      </c>
      <c r="V57" s="3">
        <f>_xlfn.XLOOKUP(tblOrdenes[[#This Row],[centro_costo]],tblCECO[codigo],tblCECO[coordinador],"(sin catálogo)")</f>
        <v/>
      </c>
      <c r="W57" s="3">
        <f>_xlfn.XLOOKUP(tblOrdenes[[#This Row],[puesto_trabajo]],tblPuestos[codigo],tblPuestos[especialidad],"(sin catálogo)")</f>
        <v/>
      </c>
      <c r="X57" s="3">
        <f>_xlfn.XLOOKUP(tblOrdenes[[#This Row],[cod_actividad]],tblActividades[codigo],tblActividades[descripcion],"(sin catálogo)")</f>
        <v/>
      </c>
      <c r="Y57" s="12">
        <f>IF(tblOrdenes[[#This Row],[fecha_inicio]]="","",TODAY()-tblOrdenes[[#This Row],[fecha_inicio]])</f>
        <v/>
      </c>
      <c r="Z57" s="3">
        <f>IF(tblOrdenes[[#This Row],[backlog_dias]]="","",IF(tblOrdenes[[#This Row],[backlog_dias]]&lt;0,"FUTURO",IF(tblOrdenes[[#This Row],[backlog_dias]]&gt;p_dias_backlog_max,"BACKLOG","MES CORRIENTE")))</f>
        <v/>
      </c>
      <c r="AA57" s="3">
        <f>IF(tblOrdenes[[#This Row],[backlog_dias]]="",FALSE,AND(tblOrdenes[[#This Row],[backlog_dias]]&gt;p_dias_backlog_min,tblOrdenes[[#This Row],[backlog_dias]]&lt;=p_dias_backlog_max))</f>
        <v/>
      </c>
      <c r="AB57" s="6" t="inlineStr">
        <is>
          <t>Técnico 07</t>
        </is>
      </c>
      <c r="AC5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7" s="10">
        <f>_xlfn.XLOOKUP(tblOrdenes[[#This Row],[id_operacion]],tblEjecucion[id_operacion],tblEjecucion[precio],0)</f>
        <v/>
      </c>
      <c r="AE57" s="10">
        <f>MAX(0,_xlfn.XLOOKUP(tblOrdenes[[#This Row],[id_operacion]],tblEjecucion[id_operacion],tblEjecucion[costo_plan_total],0)-tblOrdenes[[#This Row],[costo_servicio]])</f>
        <v/>
      </c>
      <c r="AF57" s="10">
        <f>tblOrdenes[[#This Row],[costo_servicio]]+tblOrdenes[[#This Row],[costo_materiales]]</f>
        <v/>
      </c>
      <c r="AG57" s="6" t="inlineStr"/>
      <c r="AH57" s="6" t="inlineStr"/>
      <c r="AI57" s="6" t="inlineStr">
        <is>
          <t>ACT-01.pdf</t>
        </is>
      </c>
      <c r="AJ57" s="3">
        <f>IF(tblOrdenes[[#This Row],[link_checklist]]="","",HYPERLINK(p_ruta_base_checklists&amp;tblOrdenes[[#This Row],[link_checklist]],"abrir"))</f>
        <v/>
      </c>
      <c r="AK57" s="6" t="inlineStr"/>
    </row>
    <row r="58">
      <c r="A58" s="3" t="inlineStr">
        <is>
          <t>OT-000055</t>
        </is>
      </c>
      <c r="B58" s="3" t="inlineStr">
        <is>
          <t>0010</t>
        </is>
      </c>
      <c r="C58" s="3">
        <f>tblOrdenes[[#This Row],[orden]]&amp;IF(tblOrdenes[[#This Row],[operacion]]="","0010",tblOrdenes[[#This Row],[operacion]])</f>
        <v/>
      </c>
      <c r="D58" s="3" t="inlineStr">
        <is>
          <t>Lubricación programada — EQ-101</t>
        </is>
      </c>
      <c r="E58" s="3" t="inlineStr">
        <is>
          <t>Lubricación programada en EQ-101</t>
        </is>
      </c>
      <c r="F58" s="3" t="inlineStr">
        <is>
          <t>EQ-101</t>
        </is>
      </c>
      <c r="G58" s="3" t="inlineStr">
        <is>
          <t>CC-120</t>
        </is>
      </c>
      <c r="H58" s="3" t="inlineStr">
        <is>
          <t>PU-ELE</t>
        </is>
      </c>
      <c r="I58" s="3" t="inlineStr">
        <is>
          <t>ACT-02</t>
        </is>
      </c>
      <c r="J58" s="3" t="inlineStr">
        <is>
          <t>TIPO-P2</t>
        </is>
      </c>
      <c r="K58" s="11" t="n">
        <v>46213</v>
      </c>
      <c r="L58" s="3" t="n">
        <v>10</v>
      </c>
      <c r="M58" s="10" t="n">
        <v>250</v>
      </c>
      <c r="N58" s="3">
        <f>_xlfn.XLOOKUP(_xlfn.XLOOKUP(tblOrdenes[[#This Row],[id_operacion]],tblEjecucion[id_operacion],tblEjecucion[estado_sistema],""),tblEstados[estado_sistema],tblEstados[estado_normalizado],"Pendiente")</f>
        <v/>
      </c>
      <c r="O58" s="3">
        <f>IF(tblOrdenes[[#This Row],[fecha_inicio]]="","","S"&amp;IF(_xlfn.ISOWEEKNUM(tblOrdenes[[#This Row],[fecha_inicio]])=53,1,_xlfn.ISOWEEKNUM(tblOrdenes[[#This Row],[fecha_inicio]])))</f>
        <v/>
      </c>
      <c r="P58" s="3">
        <f>IF(tblOrdenes[[#This Row],[fecha_inicio]]="","",YEAR(tblOrdenes[[#This Row],[fecha_inicio]]))</f>
        <v/>
      </c>
      <c r="Q58" s="3">
        <f>IF(tblOrdenes[[#This Row],[fecha_inicio]]="","",MONTH(tblOrdenes[[#This Row],[fecha_inicio]]))</f>
        <v/>
      </c>
      <c r="R58" s="3">
        <f>IF(tblOrdenes[[#This Row],[fecha_inicio]]="","",INDEX(lista_dias,WEEKDAY(tblOrdenes[[#This Row],[fecha_inicio]],2)))</f>
        <v/>
      </c>
      <c r="S58" s="3">
        <f>_xlfn.XLOOKUP(tblOrdenes[[#This Row],[tipo_ot]],tblTiposOT[codigo],tblTiposOT[clasificacion],"sin_clasificar")</f>
        <v/>
      </c>
      <c r="T58" s="3">
        <f>_xlfn.XLOOKUP(tblOrdenes[[#This Row],[centro_costo]],tblCECO[codigo],tblCECO[linea],"(sin catálogo)")</f>
        <v/>
      </c>
      <c r="U58" s="3">
        <f>_xlfn.XLOOKUP(tblOrdenes[[#This Row],[centro_costo]],tblCECO[codigo],tblCECO[area],"(sin catálogo)")</f>
        <v/>
      </c>
      <c r="V58" s="3">
        <f>_xlfn.XLOOKUP(tblOrdenes[[#This Row],[centro_costo]],tblCECO[codigo],tblCECO[coordinador],"(sin catálogo)")</f>
        <v/>
      </c>
      <c r="W58" s="3">
        <f>_xlfn.XLOOKUP(tblOrdenes[[#This Row],[puesto_trabajo]],tblPuestos[codigo],tblPuestos[especialidad],"(sin catálogo)")</f>
        <v/>
      </c>
      <c r="X58" s="3">
        <f>_xlfn.XLOOKUP(tblOrdenes[[#This Row],[cod_actividad]],tblActividades[codigo],tblActividades[descripcion],"(sin catálogo)")</f>
        <v/>
      </c>
      <c r="Y58" s="12">
        <f>IF(tblOrdenes[[#This Row],[fecha_inicio]]="","",TODAY()-tblOrdenes[[#This Row],[fecha_inicio]])</f>
        <v/>
      </c>
      <c r="Z58" s="3">
        <f>IF(tblOrdenes[[#This Row],[backlog_dias]]="","",IF(tblOrdenes[[#This Row],[backlog_dias]]&lt;0,"FUTURO",IF(tblOrdenes[[#This Row],[backlog_dias]]&gt;p_dias_backlog_max,"BACKLOG","MES CORRIENTE")))</f>
        <v/>
      </c>
      <c r="AA58" s="3">
        <f>IF(tblOrdenes[[#This Row],[backlog_dias]]="",FALSE,AND(tblOrdenes[[#This Row],[backlog_dias]]&gt;p_dias_backlog_min,tblOrdenes[[#This Row],[backlog_dias]]&lt;=p_dias_backlog_max))</f>
        <v/>
      </c>
      <c r="AB58" s="6" t="inlineStr">
        <is>
          <t>Técnico 05</t>
        </is>
      </c>
      <c r="AC5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8" s="10">
        <f>_xlfn.XLOOKUP(tblOrdenes[[#This Row],[id_operacion]],tblEjecucion[id_operacion],tblEjecucion[precio],0)</f>
        <v/>
      </c>
      <c r="AE58" s="10">
        <f>MAX(0,_xlfn.XLOOKUP(tblOrdenes[[#This Row],[id_operacion]],tblEjecucion[id_operacion],tblEjecucion[costo_plan_total],0)-tblOrdenes[[#This Row],[costo_servicio]])</f>
        <v/>
      </c>
      <c r="AF58" s="10">
        <f>tblOrdenes[[#This Row],[costo_servicio]]+tblOrdenes[[#This Row],[costo_materiales]]</f>
        <v/>
      </c>
      <c r="AG58" s="6" t="inlineStr"/>
      <c r="AH58" s="6" t="inlineStr"/>
      <c r="AI58" s="6" t="inlineStr">
        <is>
          <t>ACT-02.pdf</t>
        </is>
      </c>
      <c r="AJ58" s="3">
        <f>IF(tblOrdenes[[#This Row],[link_checklist]]="","",HYPERLINK(p_ruta_base_checklists&amp;tblOrdenes[[#This Row],[link_checklist]],"abrir"))</f>
        <v/>
      </c>
      <c r="AK58" s="6" t="inlineStr"/>
    </row>
    <row r="59">
      <c r="A59" s="3" t="inlineStr">
        <is>
          <t>OT-000056</t>
        </is>
      </c>
      <c r="B59" s="3" t="inlineStr">
        <is>
          <t>0010</t>
        </is>
      </c>
      <c r="C59" s="3">
        <f>tblOrdenes[[#This Row],[orden]]&amp;IF(tblOrdenes[[#This Row],[operacion]]="","0010",tblOrdenes[[#This Row],[operacion]])</f>
        <v/>
      </c>
      <c r="D59" s="3" t="inlineStr">
        <is>
          <t>Análisis predictivo — EQ-106</t>
        </is>
      </c>
      <c r="E59" s="3" t="inlineStr">
        <is>
          <t>Análisis predictivo en EQ-106</t>
        </is>
      </c>
      <c r="F59" s="3" t="inlineStr">
        <is>
          <t>EQ-106</t>
        </is>
      </c>
      <c r="G59" s="3" t="inlineStr">
        <is>
          <t>CC-220</t>
        </is>
      </c>
      <c r="H59" s="3" t="inlineStr">
        <is>
          <t>PU-ELE</t>
        </is>
      </c>
      <c r="I59" s="3" t="inlineStr">
        <is>
          <t>ACT-04</t>
        </is>
      </c>
      <c r="J59" s="3" t="inlineStr">
        <is>
          <t>TIPO-P1</t>
        </is>
      </c>
      <c r="K59" s="11" t="n">
        <v>46209</v>
      </c>
      <c r="L59" s="3" t="n">
        <v>2</v>
      </c>
      <c r="M59" s="10" t="n">
        <v>50</v>
      </c>
      <c r="N59" s="3">
        <f>_xlfn.XLOOKUP(_xlfn.XLOOKUP(tblOrdenes[[#This Row],[id_operacion]],tblEjecucion[id_operacion],tblEjecucion[estado_sistema],""),tblEstados[estado_sistema],tblEstados[estado_normalizado],"Pendiente")</f>
        <v/>
      </c>
      <c r="O59" s="3">
        <f>IF(tblOrdenes[[#This Row],[fecha_inicio]]="","","S"&amp;IF(_xlfn.ISOWEEKNUM(tblOrdenes[[#This Row],[fecha_inicio]])=53,1,_xlfn.ISOWEEKNUM(tblOrdenes[[#This Row],[fecha_inicio]])))</f>
        <v/>
      </c>
      <c r="P59" s="3">
        <f>IF(tblOrdenes[[#This Row],[fecha_inicio]]="","",YEAR(tblOrdenes[[#This Row],[fecha_inicio]]))</f>
        <v/>
      </c>
      <c r="Q59" s="3">
        <f>IF(tblOrdenes[[#This Row],[fecha_inicio]]="","",MONTH(tblOrdenes[[#This Row],[fecha_inicio]]))</f>
        <v/>
      </c>
      <c r="R59" s="3">
        <f>IF(tblOrdenes[[#This Row],[fecha_inicio]]="","",INDEX(lista_dias,WEEKDAY(tblOrdenes[[#This Row],[fecha_inicio]],2)))</f>
        <v/>
      </c>
      <c r="S59" s="3">
        <f>_xlfn.XLOOKUP(tblOrdenes[[#This Row],[tipo_ot]],tblTiposOT[codigo],tblTiposOT[clasificacion],"sin_clasificar")</f>
        <v/>
      </c>
      <c r="T59" s="3">
        <f>_xlfn.XLOOKUP(tblOrdenes[[#This Row],[centro_costo]],tblCECO[codigo],tblCECO[linea],"(sin catálogo)")</f>
        <v/>
      </c>
      <c r="U59" s="3">
        <f>_xlfn.XLOOKUP(tblOrdenes[[#This Row],[centro_costo]],tblCECO[codigo],tblCECO[area],"(sin catálogo)")</f>
        <v/>
      </c>
      <c r="V59" s="3">
        <f>_xlfn.XLOOKUP(tblOrdenes[[#This Row],[centro_costo]],tblCECO[codigo],tblCECO[coordinador],"(sin catálogo)")</f>
        <v/>
      </c>
      <c r="W59" s="3">
        <f>_xlfn.XLOOKUP(tblOrdenes[[#This Row],[puesto_trabajo]],tblPuestos[codigo],tblPuestos[especialidad],"(sin catálogo)")</f>
        <v/>
      </c>
      <c r="X59" s="3">
        <f>_xlfn.XLOOKUP(tblOrdenes[[#This Row],[cod_actividad]],tblActividades[codigo],tblActividades[descripcion],"(sin catálogo)")</f>
        <v/>
      </c>
      <c r="Y59" s="12">
        <f>IF(tblOrdenes[[#This Row],[fecha_inicio]]="","",TODAY()-tblOrdenes[[#This Row],[fecha_inicio]])</f>
        <v/>
      </c>
      <c r="Z59" s="3">
        <f>IF(tblOrdenes[[#This Row],[backlog_dias]]="","",IF(tblOrdenes[[#This Row],[backlog_dias]]&lt;0,"FUTURO",IF(tblOrdenes[[#This Row],[backlog_dias]]&gt;p_dias_backlog_max,"BACKLOG","MES CORRIENTE")))</f>
        <v/>
      </c>
      <c r="AA59" s="3">
        <f>IF(tblOrdenes[[#This Row],[backlog_dias]]="",FALSE,AND(tblOrdenes[[#This Row],[backlog_dias]]&gt;p_dias_backlog_min,tblOrdenes[[#This Row],[backlog_dias]]&lt;=p_dias_backlog_max))</f>
        <v/>
      </c>
      <c r="AB59" s="6" t="inlineStr">
        <is>
          <t>Técnico 06</t>
        </is>
      </c>
      <c r="AC5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9" s="10">
        <f>_xlfn.XLOOKUP(tblOrdenes[[#This Row],[id_operacion]],tblEjecucion[id_operacion],tblEjecucion[precio],0)</f>
        <v/>
      </c>
      <c r="AE59" s="10">
        <f>MAX(0,_xlfn.XLOOKUP(tblOrdenes[[#This Row],[id_operacion]],tblEjecucion[id_operacion],tblEjecucion[costo_plan_total],0)-tblOrdenes[[#This Row],[costo_servicio]])</f>
        <v/>
      </c>
      <c r="AF59" s="10">
        <f>tblOrdenes[[#This Row],[costo_servicio]]+tblOrdenes[[#This Row],[costo_materiales]]</f>
        <v/>
      </c>
      <c r="AG59" s="6" t="inlineStr"/>
      <c r="AH59" s="6" t="inlineStr"/>
      <c r="AI59" s="6" t="inlineStr">
        <is>
          <t>ACT-04.pdf</t>
        </is>
      </c>
      <c r="AJ59" s="3">
        <f>IF(tblOrdenes[[#This Row],[link_checklist]]="","",HYPERLINK(p_ruta_base_checklists&amp;tblOrdenes[[#This Row],[link_checklist]],"abrir"))</f>
        <v/>
      </c>
      <c r="AK59" s="6" t="inlineStr"/>
    </row>
    <row r="60">
      <c r="A60" s="3" t="inlineStr">
        <is>
          <t>OT-000057</t>
        </is>
      </c>
      <c r="B60" s="3" t="inlineStr">
        <is>
          <t>0010</t>
        </is>
      </c>
      <c r="C60" s="3">
        <f>tblOrdenes[[#This Row],[orden]]&amp;IF(tblOrdenes[[#This Row],[operacion]]="","0010",tblOrdenes[[#This Row],[operacion]])</f>
        <v/>
      </c>
      <c r="D60" s="3" t="inlineStr">
        <is>
          <t>Reparación de falla — EQ-103</t>
        </is>
      </c>
      <c r="E60" s="3" t="inlineStr">
        <is>
          <t>Reparación de falla en EQ-103</t>
        </is>
      </c>
      <c r="F60" s="3" t="inlineStr">
        <is>
          <t>EQ-103</t>
        </is>
      </c>
      <c r="G60" s="3" t="inlineStr">
        <is>
          <t>CC-120</t>
        </is>
      </c>
      <c r="H60" s="3" t="inlineStr">
        <is>
          <t>PU-ELE</t>
        </is>
      </c>
      <c r="I60" s="3" t="inlineStr">
        <is>
          <t>ACT-03</t>
        </is>
      </c>
      <c r="J60" s="3" t="inlineStr">
        <is>
          <t>TIPO-C2</t>
        </is>
      </c>
      <c r="K60" s="11" t="n">
        <v>46210</v>
      </c>
      <c r="L60" s="3" t="n">
        <v>10</v>
      </c>
      <c r="M60" s="10" t="n">
        <v>400</v>
      </c>
      <c r="N60" s="3">
        <f>_xlfn.XLOOKUP(_xlfn.XLOOKUP(tblOrdenes[[#This Row],[id_operacion]],tblEjecucion[id_operacion],tblEjecucion[estado_sistema],""),tblEstados[estado_sistema],tblEstados[estado_normalizado],"Pendiente")</f>
        <v/>
      </c>
      <c r="O60" s="3">
        <f>IF(tblOrdenes[[#This Row],[fecha_inicio]]="","","S"&amp;IF(_xlfn.ISOWEEKNUM(tblOrdenes[[#This Row],[fecha_inicio]])=53,1,_xlfn.ISOWEEKNUM(tblOrdenes[[#This Row],[fecha_inicio]])))</f>
        <v/>
      </c>
      <c r="P60" s="3">
        <f>IF(tblOrdenes[[#This Row],[fecha_inicio]]="","",YEAR(tblOrdenes[[#This Row],[fecha_inicio]]))</f>
        <v/>
      </c>
      <c r="Q60" s="3">
        <f>IF(tblOrdenes[[#This Row],[fecha_inicio]]="","",MONTH(tblOrdenes[[#This Row],[fecha_inicio]]))</f>
        <v/>
      </c>
      <c r="R60" s="3">
        <f>IF(tblOrdenes[[#This Row],[fecha_inicio]]="","",INDEX(lista_dias,WEEKDAY(tblOrdenes[[#This Row],[fecha_inicio]],2)))</f>
        <v/>
      </c>
      <c r="S60" s="3">
        <f>_xlfn.XLOOKUP(tblOrdenes[[#This Row],[tipo_ot]],tblTiposOT[codigo],tblTiposOT[clasificacion],"sin_clasificar")</f>
        <v/>
      </c>
      <c r="T60" s="3">
        <f>_xlfn.XLOOKUP(tblOrdenes[[#This Row],[centro_costo]],tblCECO[codigo],tblCECO[linea],"(sin catálogo)")</f>
        <v/>
      </c>
      <c r="U60" s="3">
        <f>_xlfn.XLOOKUP(tblOrdenes[[#This Row],[centro_costo]],tblCECO[codigo],tblCECO[area],"(sin catálogo)")</f>
        <v/>
      </c>
      <c r="V60" s="3">
        <f>_xlfn.XLOOKUP(tblOrdenes[[#This Row],[centro_costo]],tblCECO[codigo],tblCECO[coordinador],"(sin catálogo)")</f>
        <v/>
      </c>
      <c r="W60" s="3">
        <f>_xlfn.XLOOKUP(tblOrdenes[[#This Row],[puesto_trabajo]],tblPuestos[codigo],tblPuestos[especialidad],"(sin catálogo)")</f>
        <v/>
      </c>
      <c r="X60" s="3">
        <f>_xlfn.XLOOKUP(tblOrdenes[[#This Row],[cod_actividad]],tblActividades[codigo],tblActividades[descripcion],"(sin catálogo)")</f>
        <v/>
      </c>
      <c r="Y60" s="12">
        <f>IF(tblOrdenes[[#This Row],[fecha_inicio]]="","",TODAY()-tblOrdenes[[#This Row],[fecha_inicio]])</f>
        <v/>
      </c>
      <c r="Z60" s="3">
        <f>IF(tblOrdenes[[#This Row],[backlog_dias]]="","",IF(tblOrdenes[[#This Row],[backlog_dias]]&lt;0,"FUTURO",IF(tblOrdenes[[#This Row],[backlog_dias]]&gt;p_dias_backlog_max,"BACKLOG","MES CORRIENTE")))</f>
        <v/>
      </c>
      <c r="AA60" s="3">
        <f>IF(tblOrdenes[[#This Row],[backlog_dias]]="",FALSE,AND(tblOrdenes[[#This Row],[backlog_dias]]&gt;p_dias_backlog_min,tblOrdenes[[#This Row],[backlog_dias]]&lt;=p_dias_backlog_max))</f>
        <v/>
      </c>
      <c r="AB60" s="6" t="inlineStr">
        <is>
          <t>Técnico 07</t>
        </is>
      </c>
      <c r="AC6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0" s="10">
        <f>_xlfn.XLOOKUP(tblOrdenes[[#This Row],[id_operacion]],tblEjecucion[id_operacion],tblEjecucion[precio],0)</f>
        <v/>
      </c>
      <c r="AE60" s="10">
        <f>MAX(0,_xlfn.XLOOKUP(tblOrdenes[[#This Row],[id_operacion]],tblEjecucion[id_operacion],tblEjecucion[costo_plan_total],0)-tblOrdenes[[#This Row],[costo_servicio]])</f>
        <v/>
      </c>
      <c r="AF60" s="10">
        <f>tblOrdenes[[#This Row],[costo_servicio]]+tblOrdenes[[#This Row],[costo_materiales]]</f>
        <v/>
      </c>
      <c r="AG60" s="6" t="inlineStr"/>
      <c r="AH60" s="6" t="inlineStr"/>
      <c r="AI60" s="6" t="inlineStr"/>
      <c r="AJ60" s="3">
        <f>IF(tblOrdenes[[#This Row],[link_checklist]]="","",HYPERLINK(p_ruta_base_checklists&amp;tblOrdenes[[#This Row],[link_checklist]],"abrir"))</f>
        <v/>
      </c>
      <c r="AK60" s="6" t="inlineStr"/>
    </row>
    <row r="61">
      <c r="A61" s="3" t="inlineStr">
        <is>
          <t>OT-000058</t>
        </is>
      </c>
      <c r="B61" s="3" t="inlineStr">
        <is>
          <t>0010</t>
        </is>
      </c>
      <c r="C61" s="3">
        <f>tblOrdenes[[#This Row],[orden]]&amp;IF(tblOrdenes[[#This Row],[operacion]]="","0010",tblOrdenes[[#This Row],[operacion]])</f>
        <v/>
      </c>
      <c r="D61" s="3" t="inlineStr">
        <is>
          <t>Reparación de falla — EQ-108</t>
        </is>
      </c>
      <c r="E61" s="3" t="inlineStr">
        <is>
          <t>Reparación de falla en EQ-108</t>
        </is>
      </c>
      <c r="F61" s="3" t="inlineStr">
        <is>
          <t>EQ-108</t>
        </is>
      </c>
      <c r="G61" s="3" t="inlineStr">
        <is>
          <t>CC-220</t>
        </is>
      </c>
      <c r="H61" s="3" t="inlineStr">
        <is>
          <t>PU-ELE</t>
        </is>
      </c>
      <c r="I61" s="3" t="inlineStr">
        <is>
          <t>ACT-03</t>
        </is>
      </c>
      <c r="J61" s="3" t="inlineStr">
        <is>
          <t>TIPO-C1</t>
        </is>
      </c>
      <c r="K61" s="11" t="n">
        <v>46211</v>
      </c>
      <c r="L61" s="3" t="n">
        <v>5</v>
      </c>
      <c r="M61" s="10" t="n">
        <v>200</v>
      </c>
      <c r="N61" s="3">
        <f>_xlfn.XLOOKUP(_xlfn.XLOOKUP(tblOrdenes[[#This Row],[id_operacion]],tblEjecucion[id_operacion],tblEjecucion[estado_sistema],""),tblEstados[estado_sistema],tblEstados[estado_normalizado],"Pendiente")</f>
        <v/>
      </c>
      <c r="O61" s="3">
        <f>IF(tblOrdenes[[#This Row],[fecha_inicio]]="","","S"&amp;IF(_xlfn.ISOWEEKNUM(tblOrdenes[[#This Row],[fecha_inicio]])=53,1,_xlfn.ISOWEEKNUM(tblOrdenes[[#This Row],[fecha_inicio]])))</f>
        <v/>
      </c>
      <c r="P61" s="3">
        <f>IF(tblOrdenes[[#This Row],[fecha_inicio]]="","",YEAR(tblOrdenes[[#This Row],[fecha_inicio]]))</f>
        <v/>
      </c>
      <c r="Q61" s="3">
        <f>IF(tblOrdenes[[#This Row],[fecha_inicio]]="","",MONTH(tblOrdenes[[#This Row],[fecha_inicio]]))</f>
        <v/>
      </c>
      <c r="R61" s="3">
        <f>IF(tblOrdenes[[#This Row],[fecha_inicio]]="","",INDEX(lista_dias,WEEKDAY(tblOrdenes[[#This Row],[fecha_inicio]],2)))</f>
        <v/>
      </c>
      <c r="S61" s="3">
        <f>_xlfn.XLOOKUP(tblOrdenes[[#This Row],[tipo_ot]],tblTiposOT[codigo],tblTiposOT[clasificacion],"sin_clasificar")</f>
        <v/>
      </c>
      <c r="T61" s="3">
        <f>_xlfn.XLOOKUP(tblOrdenes[[#This Row],[centro_costo]],tblCECO[codigo],tblCECO[linea],"(sin catálogo)")</f>
        <v/>
      </c>
      <c r="U61" s="3">
        <f>_xlfn.XLOOKUP(tblOrdenes[[#This Row],[centro_costo]],tblCECO[codigo],tblCECO[area],"(sin catálogo)")</f>
        <v/>
      </c>
      <c r="V61" s="3">
        <f>_xlfn.XLOOKUP(tblOrdenes[[#This Row],[centro_costo]],tblCECO[codigo],tblCECO[coordinador],"(sin catálogo)")</f>
        <v/>
      </c>
      <c r="W61" s="3">
        <f>_xlfn.XLOOKUP(tblOrdenes[[#This Row],[puesto_trabajo]],tblPuestos[codigo],tblPuestos[especialidad],"(sin catálogo)")</f>
        <v/>
      </c>
      <c r="X61" s="3">
        <f>_xlfn.XLOOKUP(tblOrdenes[[#This Row],[cod_actividad]],tblActividades[codigo],tblActividades[descripcion],"(sin catálogo)")</f>
        <v/>
      </c>
      <c r="Y61" s="12">
        <f>IF(tblOrdenes[[#This Row],[fecha_inicio]]="","",TODAY()-tblOrdenes[[#This Row],[fecha_inicio]])</f>
        <v/>
      </c>
      <c r="Z61" s="3">
        <f>IF(tblOrdenes[[#This Row],[backlog_dias]]="","",IF(tblOrdenes[[#This Row],[backlog_dias]]&lt;0,"FUTURO",IF(tblOrdenes[[#This Row],[backlog_dias]]&gt;p_dias_backlog_max,"BACKLOG","MES CORRIENTE")))</f>
        <v/>
      </c>
      <c r="AA61" s="3">
        <f>IF(tblOrdenes[[#This Row],[backlog_dias]]="",FALSE,AND(tblOrdenes[[#This Row],[backlog_dias]]&gt;p_dias_backlog_min,tblOrdenes[[#This Row],[backlog_dias]]&lt;=p_dias_backlog_max))</f>
        <v/>
      </c>
      <c r="AB61" s="6" t="inlineStr">
        <is>
          <t>Técnico 05</t>
        </is>
      </c>
      <c r="AC6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1" s="10">
        <f>_xlfn.XLOOKUP(tblOrdenes[[#This Row],[id_operacion]],tblEjecucion[id_operacion],tblEjecucion[precio],0)</f>
        <v/>
      </c>
      <c r="AE61" s="10">
        <f>MAX(0,_xlfn.XLOOKUP(tblOrdenes[[#This Row],[id_operacion]],tblEjecucion[id_operacion],tblEjecucion[costo_plan_total],0)-tblOrdenes[[#This Row],[costo_servicio]])</f>
        <v/>
      </c>
      <c r="AF61" s="10">
        <f>tblOrdenes[[#This Row],[costo_servicio]]+tblOrdenes[[#This Row],[costo_materiales]]</f>
        <v/>
      </c>
      <c r="AG61" s="6" t="inlineStr"/>
      <c r="AH61" s="6" t="inlineStr"/>
      <c r="AI61" s="6" t="inlineStr"/>
      <c r="AJ61" s="3">
        <f>IF(tblOrdenes[[#This Row],[link_checklist]]="","",HYPERLINK(p_ruta_base_checklists&amp;tblOrdenes[[#This Row],[link_checklist]],"abrir"))</f>
        <v/>
      </c>
      <c r="AK61" s="6" t="inlineStr"/>
    </row>
    <row r="62">
      <c r="A62" s="3" t="inlineStr">
        <is>
          <t>OT-000059</t>
        </is>
      </c>
      <c r="B62" s="3" t="inlineStr">
        <is>
          <t>0010</t>
        </is>
      </c>
      <c r="C62" s="3">
        <f>tblOrdenes[[#This Row],[orden]]&amp;IF(tblOrdenes[[#This Row],[operacion]]="","0010",tblOrdenes[[#This Row],[operacion]])</f>
        <v/>
      </c>
      <c r="D62" s="3" t="inlineStr">
        <is>
          <t>Análisis predictivo — EQ-105</t>
        </is>
      </c>
      <c r="E62" s="3" t="inlineStr">
        <is>
          <t>Análisis predictivo en EQ-105</t>
        </is>
      </c>
      <c r="F62" s="3" t="inlineStr">
        <is>
          <t>EQ-105</t>
        </is>
      </c>
      <c r="G62" s="3" t="inlineStr">
        <is>
          <t>CC-120</t>
        </is>
      </c>
      <c r="H62" s="3" t="inlineStr">
        <is>
          <t>PU-ELE</t>
        </is>
      </c>
      <c r="I62" s="3" t="inlineStr">
        <is>
          <t>ACT-04</t>
        </is>
      </c>
      <c r="J62" s="3" t="inlineStr">
        <is>
          <t>TIPO-P2</t>
        </is>
      </c>
      <c r="K62" s="11" t="n">
        <v>46219</v>
      </c>
      <c r="L62" s="3" t="n">
        <v>10</v>
      </c>
      <c r="M62" s="10" t="n">
        <v>250</v>
      </c>
      <c r="N62" s="3">
        <f>_xlfn.XLOOKUP(_xlfn.XLOOKUP(tblOrdenes[[#This Row],[id_operacion]],tblEjecucion[id_operacion],tblEjecucion[estado_sistema],""),tblEstados[estado_sistema],tblEstados[estado_normalizado],"Pendiente")</f>
        <v/>
      </c>
      <c r="O62" s="3">
        <f>IF(tblOrdenes[[#This Row],[fecha_inicio]]="","","S"&amp;IF(_xlfn.ISOWEEKNUM(tblOrdenes[[#This Row],[fecha_inicio]])=53,1,_xlfn.ISOWEEKNUM(tblOrdenes[[#This Row],[fecha_inicio]])))</f>
        <v/>
      </c>
      <c r="P62" s="3">
        <f>IF(tblOrdenes[[#This Row],[fecha_inicio]]="","",YEAR(tblOrdenes[[#This Row],[fecha_inicio]]))</f>
        <v/>
      </c>
      <c r="Q62" s="3">
        <f>IF(tblOrdenes[[#This Row],[fecha_inicio]]="","",MONTH(tblOrdenes[[#This Row],[fecha_inicio]]))</f>
        <v/>
      </c>
      <c r="R62" s="3">
        <f>IF(tblOrdenes[[#This Row],[fecha_inicio]]="","",INDEX(lista_dias,WEEKDAY(tblOrdenes[[#This Row],[fecha_inicio]],2)))</f>
        <v/>
      </c>
      <c r="S62" s="3">
        <f>_xlfn.XLOOKUP(tblOrdenes[[#This Row],[tipo_ot]],tblTiposOT[codigo],tblTiposOT[clasificacion],"sin_clasificar")</f>
        <v/>
      </c>
      <c r="T62" s="3">
        <f>_xlfn.XLOOKUP(tblOrdenes[[#This Row],[centro_costo]],tblCECO[codigo],tblCECO[linea],"(sin catálogo)")</f>
        <v/>
      </c>
      <c r="U62" s="3">
        <f>_xlfn.XLOOKUP(tblOrdenes[[#This Row],[centro_costo]],tblCECO[codigo],tblCECO[area],"(sin catálogo)")</f>
        <v/>
      </c>
      <c r="V62" s="3">
        <f>_xlfn.XLOOKUP(tblOrdenes[[#This Row],[centro_costo]],tblCECO[codigo],tblCECO[coordinador],"(sin catálogo)")</f>
        <v/>
      </c>
      <c r="W62" s="3">
        <f>_xlfn.XLOOKUP(tblOrdenes[[#This Row],[puesto_trabajo]],tblPuestos[codigo],tblPuestos[especialidad],"(sin catálogo)")</f>
        <v/>
      </c>
      <c r="X62" s="3">
        <f>_xlfn.XLOOKUP(tblOrdenes[[#This Row],[cod_actividad]],tblActividades[codigo],tblActividades[descripcion],"(sin catálogo)")</f>
        <v/>
      </c>
      <c r="Y62" s="12">
        <f>IF(tblOrdenes[[#This Row],[fecha_inicio]]="","",TODAY()-tblOrdenes[[#This Row],[fecha_inicio]])</f>
        <v/>
      </c>
      <c r="Z62" s="3">
        <f>IF(tblOrdenes[[#This Row],[backlog_dias]]="","",IF(tblOrdenes[[#This Row],[backlog_dias]]&lt;0,"FUTURO",IF(tblOrdenes[[#This Row],[backlog_dias]]&gt;p_dias_backlog_max,"BACKLOG","MES CORRIENTE")))</f>
        <v/>
      </c>
      <c r="AA62" s="3">
        <f>IF(tblOrdenes[[#This Row],[backlog_dias]]="",FALSE,AND(tblOrdenes[[#This Row],[backlog_dias]]&gt;p_dias_backlog_min,tblOrdenes[[#This Row],[backlog_dias]]&lt;=p_dias_backlog_max))</f>
        <v/>
      </c>
      <c r="AB62" s="6" t="inlineStr">
        <is>
          <t>Técnico 06</t>
        </is>
      </c>
      <c r="AC6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2" s="10">
        <f>_xlfn.XLOOKUP(tblOrdenes[[#This Row],[id_operacion]],tblEjecucion[id_operacion],tblEjecucion[precio],0)</f>
        <v/>
      </c>
      <c r="AE62" s="10">
        <f>MAX(0,_xlfn.XLOOKUP(tblOrdenes[[#This Row],[id_operacion]],tblEjecucion[id_operacion],tblEjecucion[costo_plan_total],0)-tblOrdenes[[#This Row],[costo_servicio]])</f>
        <v/>
      </c>
      <c r="AF62" s="10">
        <f>tblOrdenes[[#This Row],[costo_servicio]]+tblOrdenes[[#This Row],[costo_materiales]]</f>
        <v/>
      </c>
      <c r="AG62" s="6" t="inlineStr"/>
      <c r="AH62" s="6" t="inlineStr"/>
      <c r="AI62" s="6" t="inlineStr">
        <is>
          <t>ACT-04.pdf</t>
        </is>
      </c>
      <c r="AJ62" s="3">
        <f>IF(tblOrdenes[[#This Row],[link_checklist]]="","",HYPERLINK(p_ruta_base_checklists&amp;tblOrdenes[[#This Row],[link_checklist]],"abrir"))</f>
        <v/>
      </c>
      <c r="AK62" s="6" t="inlineStr"/>
    </row>
    <row r="63">
      <c r="A63" s="3" t="inlineStr">
        <is>
          <t>OT-000060</t>
        </is>
      </c>
      <c r="B63" s="3" t="inlineStr">
        <is>
          <t>0010</t>
        </is>
      </c>
      <c r="C63" s="3">
        <f>tblOrdenes[[#This Row],[orden]]&amp;IF(tblOrdenes[[#This Row],[operacion]]="","0010",tblOrdenes[[#This Row],[operacion]])</f>
        <v/>
      </c>
      <c r="D63" s="3" t="inlineStr">
        <is>
          <t>Inspección de rutina — EQ-106</t>
        </is>
      </c>
      <c r="E63" s="3" t="inlineStr">
        <is>
          <t>Inspección de rutina en EQ-106</t>
        </is>
      </c>
      <c r="F63" s="3" t="inlineStr">
        <is>
          <t>EQ-106</t>
        </is>
      </c>
      <c r="G63" s="3" t="inlineStr">
        <is>
          <t>CC-220</t>
        </is>
      </c>
      <c r="H63" s="3" t="inlineStr">
        <is>
          <t>PU-ELE</t>
        </is>
      </c>
      <c r="I63" s="3" t="inlineStr">
        <is>
          <t>ACT-01</t>
        </is>
      </c>
      <c r="J63" s="3" t="inlineStr">
        <is>
          <t>TIPO-P1</t>
        </is>
      </c>
      <c r="K63" s="11" t="n">
        <v>46219</v>
      </c>
      <c r="L63" s="3" t="n">
        <v>8</v>
      </c>
      <c r="M63" s="10" t="n">
        <v>200</v>
      </c>
      <c r="N63" s="3">
        <f>_xlfn.XLOOKUP(_xlfn.XLOOKUP(tblOrdenes[[#This Row],[id_operacion]],tblEjecucion[id_operacion],tblEjecucion[estado_sistema],""),tblEstados[estado_sistema],tblEstados[estado_normalizado],"Pendiente")</f>
        <v/>
      </c>
      <c r="O63" s="3">
        <f>IF(tblOrdenes[[#This Row],[fecha_inicio]]="","","S"&amp;IF(_xlfn.ISOWEEKNUM(tblOrdenes[[#This Row],[fecha_inicio]])=53,1,_xlfn.ISOWEEKNUM(tblOrdenes[[#This Row],[fecha_inicio]])))</f>
        <v/>
      </c>
      <c r="P63" s="3">
        <f>IF(tblOrdenes[[#This Row],[fecha_inicio]]="","",YEAR(tblOrdenes[[#This Row],[fecha_inicio]]))</f>
        <v/>
      </c>
      <c r="Q63" s="3">
        <f>IF(tblOrdenes[[#This Row],[fecha_inicio]]="","",MONTH(tblOrdenes[[#This Row],[fecha_inicio]]))</f>
        <v/>
      </c>
      <c r="R63" s="3">
        <f>IF(tblOrdenes[[#This Row],[fecha_inicio]]="","",INDEX(lista_dias,WEEKDAY(tblOrdenes[[#This Row],[fecha_inicio]],2)))</f>
        <v/>
      </c>
      <c r="S63" s="3">
        <f>_xlfn.XLOOKUP(tblOrdenes[[#This Row],[tipo_ot]],tblTiposOT[codigo],tblTiposOT[clasificacion],"sin_clasificar")</f>
        <v/>
      </c>
      <c r="T63" s="3">
        <f>_xlfn.XLOOKUP(tblOrdenes[[#This Row],[centro_costo]],tblCECO[codigo],tblCECO[linea],"(sin catálogo)")</f>
        <v/>
      </c>
      <c r="U63" s="3">
        <f>_xlfn.XLOOKUP(tblOrdenes[[#This Row],[centro_costo]],tblCECO[codigo],tblCECO[area],"(sin catálogo)")</f>
        <v/>
      </c>
      <c r="V63" s="3">
        <f>_xlfn.XLOOKUP(tblOrdenes[[#This Row],[centro_costo]],tblCECO[codigo],tblCECO[coordinador],"(sin catálogo)")</f>
        <v/>
      </c>
      <c r="W63" s="3">
        <f>_xlfn.XLOOKUP(tblOrdenes[[#This Row],[puesto_trabajo]],tblPuestos[codigo],tblPuestos[especialidad],"(sin catálogo)")</f>
        <v/>
      </c>
      <c r="X63" s="3">
        <f>_xlfn.XLOOKUP(tblOrdenes[[#This Row],[cod_actividad]],tblActividades[codigo],tblActividades[descripcion],"(sin catálogo)")</f>
        <v/>
      </c>
      <c r="Y63" s="12">
        <f>IF(tblOrdenes[[#This Row],[fecha_inicio]]="","",TODAY()-tblOrdenes[[#This Row],[fecha_inicio]])</f>
        <v/>
      </c>
      <c r="Z63" s="3">
        <f>IF(tblOrdenes[[#This Row],[backlog_dias]]="","",IF(tblOrdenes[[#This Row],[backlog_dias]]&lt;0,"FUTURO",IF(tblOrdenes[[#This Row],[backlog_dias]]&gt;p_dias_backlog_max,"BACKLOG","MES CORRIENTE")))</f>
        <v/>
      </c>
      <c r="AA63" s="3">
        <f>IF(tblOrdenes[[#This Row],[backlog_dias]]="",FALSE,AND(tblOrdenes[[#This Row],[backlog_dias]]&gt;p_dias_backlog_min,tblOrdenes[[#This Row],[backlog_dias]]&lt;=p_dias_backlog_max))</f>
        <v/>
      </c>
      <c r="AB63" s="6" t="inlineStr"/>
      <c r="AC6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3" s="10">
        <f>_xlfn.XLOOKUP(tblOrdenes[[#This Row],[id_operacion]],tblEjecucion[id_operacion],tblEjecucion[precio],0)</f>
        <v/>
      </c>
      <c r="AE63" s="10">
        <f>MAX(0,_xlfn.XLOOKUP(tblOrdenes[[#This Row],[id_operacion]],tblEjecucion[id_operacion],tblEjecucion[costo_plan_total],0)-tblOrdenes[[#This Row],[costo_servicio]])</f>
        <v/>
      </c>
      <c r="AF63" s="10">
        <f>tblOrdenes[[#This Row],[costo_servicio]]+tblOrdenes[[#This Row],[costo_materiales]]</f>
        <v/>
      </c>
      <c r="AG63" s="6" t="inlineStr"/>
      <c r="AH63" s="6" t="inlineStr"/>
      <c r="AI63" s="6" t="inlineStr">
        <is>
          <t>ACT-01.pdf</t>
        </is>
      </c>
      <c r="AJ63" s="3">
        <f>IF(tblOrdenes[[#This Row],[link_checklist]]="","",HYPERLINK(p_ruta_base_checklists&amp;tblOrdenes[[#This Row],[link_checklist]],"abrir"))</f>
        <v/>
      </c>
      <c r="AK63" s="6" t="inlineStr"/>
    </row>
    <row r="64">
      <c r="A64" s="3" t="inlineStr">
        <is>
          <t>OT-000061</t>
        </is>
      </c>
      <c r="B64" s="3" t="inlineStr">
        <is>
          <t>0010</t>
        </is>
      </c>
      <c r="C64" s="3">
        <f>tblOrdenes[[#This Row],[orden]]&amp;IF(tblOrdenes[[#This Row],[operacion]]="","0010",tblOrdenes[[#This Row],[operacion]])</f>
        <v/>
      </c>
      <c r="D64" s="3" t="inlineStr">
        <is>
          <t>Lubricación programada — EQ-102</t>
        </is>
      </c>
      <c r="E64" s="3" t="inlineStr">
        <is>
          <t>Lubricación programada en EQ-102</t>
        </is>
      </c>
      <c r="F64" s="3" t="inlineStr">
        <is>
          <t>EQ-102</t>
        </is>
      </c>
      <c r="G64" s="3" t="inlineStr">
        <is>
          <t>CC-120</t>
        </is>
      </c>
      <c r="H64" s="3" t="inlineStr">
        <is>
          <t>PU-ELE</t>
        </is>
      </c>
      <c r="I64" s="3" t="inlineStr">
        <is>
          <t>ACT-02</t>
        </is>
      </c>
      <c r="J64" s="3" t="inlineStr">
        <is>
          <t>TIPO-P2</t>
        </is>
      </c>
      <c r="K64" s="11" t="n">
        <v>46216</v>
      </c>
      <c r="L64" s="3" t="n">
        <v>6</v>
      </c>
      <c r="M64" s="10" t="n">
        <v>150</v>
      </c>
      <c r="N64" s="3">
        <f>_xlfn.XLOOKUP(_xlfn.XLOOKUP(tblOrdenes[[#This Row],[id_operacion]],tblEjecucion[id_operacion],tblEjecucion[estado_sistema],""),tblEstados[estado_sistema],tblEstados[estado_normalizado],"Pendiente")</f>
        <v/>
      </c>
      <c r="O64" s="3">
        <f>IF(tblOrdenes[[#This Row],[fecha_inicio]]="","","S"&amp;IF(_xlfn.ISOWEEKNUM(tblOrdenes[[#This Row],[fecha_inicio]])=53,1,_xlfn.ISOWEEKNUM(tblOrdenes[[#This Row],[fecha_inicio]])))</f>
        <v/>
      </c>
      <c r="P64" s="3">
        <f>IF(tblOrdenes[[#This Row],[fecha_inicio]]="","",YEAR(tblOrdenes[[#This Row],[fecha_inicio]]))</f>
        <v/>
      </c>
      <c r="Q64" s="3">
        <f>IF(tblOrdenes[[#This Row],[fecha_inicio]]="","",MONTH(tblOrdenes[[#This Row],[fecha_inicio]]))</f>
        <v/>
      </c>
      <c r="R64" s="3">
        <f>IF(tblOrdenes[[#This Row],[fecha_inicio]]="","",INDEX(lista_dias,WEEKDAY(tblOrdenes[[#This Row],[fecha_inicio]],2)))</f>
        <v/>
      </c>
      <c r="S64" s="3">
        <f>_xlfn.XLOOKUP(tblOrdenes[[#This Row],[tipo_ot]],tblTiposOT[codigo],tblTiposOT[clasificacion],"sin_clasificar")</f>
        <v/>
      </c>
      <c r="T64" s="3">
        <f>_xlfn.XLOOKUP(tblOrdenes[[#This Row],[centro_costo]],tblCECO[codigo],tblCECO[linea],"(sin catálogo)")</f>
        <v/>
      </c>
      <c r="U64" s="3">
        <f>_xlfn.XLOOKUP(tblOrdenes[[#This Row],[centro_costo]],tblCECO[codigo],tblCECO[area],"(sin catálogo)")</f>
        <v/>
      </c>
      <c r="V64" s="3">
        <f>_xlfn.XLOOKUP(tblOrdenes[[#This Row],[centro_costo]],tblCECO[codigo],tblCECO[coordinador],"(sin catálogo)")</f>
        <v/>
      </c>
      <c r="W64" s="3">
        <f>_xlfn.XLOOKUP(tblOrdenes[[#This Row],[puesto_trabajo]],tblPuestos[codigo],tblPuestos[especialidad],"(sin catálogo)")</f>
        <v/>
      </c>
      <c r="X64" s="3">
        <f>_xlfn.XLOOKUP(tblOrdenes[[#This Row],[cod_actividad]],tblActividades[codigo],tblActividades[descripcion],"(sin catálogo)")</f>
        <v/>
      </c>
      <c r="Y64" s="12">
        <f>IF(tblOrdenes[[#This Row],[fecha_inicio]]="","",TODAY()-tblOrdenes[[#This Row],[fecha_inicio]])</f>
        <v/>
      </c>
      <c r="Z64" s="3">
        <f>IF(tblOrdenes[[#This Row],[backlog_dias]]="","",IF(tblOrdenes[[#This Row],[backlog_dias]]&lt;0,"FUTURO",IF(tblOrdenes[[#This Row],[backlog_dias]]&gt;p_dias_backlog_max,"BACKLOG","MES CORRIENTE")))</f>
        <v/>
      </c>
      <c r="AA64" s="3">
        <f>IF(tblOrdenes[[#This Row],[backlog_dias]]="",FALSE,AND(tblOrdenes[[#This Row],[backlog_dias]]&gt;p_dias_backlog_min,tblOrdenes[[#This Row],[backlog_dias]]&lt;=p_dias_backlog_max))</f>
        <v/>
      </c>
      <c r="AB64" s="6" t="inlineStr">
        <is>
          <t>Técnico 05</t>
        </is>
      </c>
      <c r="AC6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4" s="10">
        <f>_xlfn.XLOOKUP(tblOrdenes[[#This Row],[id_operacion]],tblEjecucion[id_operacion],tblEjecucion[precio],0)</f>
        <v/>
      </c>
      <c r="AE64" s="10">
        <f>MAX(0,_xlfn.XLOOKUP(tblOrdenes[[#This Row],[id_operacion]],tblEjecucion[id_operacion],tblEjecucion[costo_plan_total],0)-tblOrdenes[[#This Row],[costo_servicio]])</f>
        <v/>
      </c>
      <c r="AF64" s="10">
        <f>tblOrdenes[[#This Row],[costo_servicio]]+tblOrdenes[[#This Row],[costo_materiales]]</f>
        <v/>
      </c>
      <c r="AG64" s="6" t="inlineStr"/>
      <c r="AH64" s="6" t="inlineStr"/>
      <c r="AI64" s="6" t="inlineStr">
        <is>
          <t>ACT-02.pdf</t>
        </is>
      </c>
      <c r="AJ64" s="3">
        <f>IF(tblOrdenes[[#This Row],[link_checklist]]="","",HYPERLINK(p_ruta_base_checklists&amp;tblOrdenes[[#This Row],[link_checklist]],"abrir"))</f>
        <v/>
      </c>
      <c r="AK64" s="6" t="inlineStr"/>
    </row>
    <row r="65">
      <c r="A65" s="3" t="inlineStr">
        <is>
          <t>OT-000062</t>
        </is>
      </c>
      <c r="B65" s="3" t="inlineStr">
        <is>
          <t>0010</t>
        </is>
      </c>
      <c r="C65" s="3">
        <f>tblOrdenes[[#This Row],[orden]]&amp;IF(tblOrdenes[[#This Row],[operacion]]="","0010",tblOrdenes[[#This Row],[operacion]])</f>
        <v/>
      </c>
      <c r="D65" s="3" t="inlineStr">
        <is>
          <t>Análisis predictivo — EQ-108</t>
        </is>
      </c>
      <c r="E65" s="3" t="inlineStr">
        <is>
          <t>Análisis predictivo en EQ-108</t>
        </is>
      </c>
      <c r="F65" s="3" t="inlineStr">
        <is>
          <t>EQ-108</t>
        </is>
      </c>
      <c r="G65" s="3" t="inlineStr">
        <is>
          <t>CC-220</t>
        </is>
      </c>
      <c r="H65" s="3" t="inlineStr">
        <is>
          <t>PU-ELE</t>
        </is>
      </c>
      <c r="I65" s="3" t="inlineStr">
        <is>
          <t>ACT-04</t>
        </is>
      </c>
      <c r="J65" s="3" t="inlineStr">
        <is>
          <t>TIPO-P1</t>
        </is>
      </c>
      <c r="K65" s="11" t="n">
        <v>46217</v>
      </c>
      <c r="L65" s="3" t="n">
        <v>10</v>
      </c>
      <c r="M65" s="10" t="n">
        <v>250</v>
      </c>
      <c r="N65" s="3">
        <f>_xlfn.XLOOKUP(_xlfn.XLOOKUP(tblOrdenes[[#This Row],[id_operacion]],tblEjecucion[id_operacion],tblEjecucion[estado_sistema],""),tblEstados[estado_sistema],tblEstados[estado_normalizado],"Pendiente")</f>
        <v/>
      </c>
      <c r="O65" s="3">
        <f>IF(tblOrdenes[[#This Row],[fecha_inicio]]="","","S"&amp;IF(_xlfn.ISOWEEKNUM(tblOrdenes[[#This Row],[fecha_inicio]])=53,1,_xlfn.ISOWEEKNUM(tblOrdenes[[#This Row],[fecha_inicio]])))</f>
        <v/>
      </c>
      <c r="P65" s="3">
        <f>IF(tblOrdenes[[#This Row],[fecha_inicio]]="","",YEAR(tblOrdenes[[#This Row],[fecha_inicio]]))</f>
        <v/>
      </c>
      <c r="Q65" s="3">
        <f>IF(tblOrdenes[[#This Row],[fecha_inicio]]="","",MONTH(tblOrdenes[[#This Row],[fecha_inicio]]))</f>
        <v/>
      </c>
      <c r="R65" s="3">
        <f>IF(tblOrdenes[[#This Row],[fecha_inicio]]="","",INDEX(lista_dias,WEEKDAY(tblOrdenes[[#This Row],[fecha_inicio]],2)))</f>
        <v/>
      </c>
      <c r="S65" s="3">
        <f>_xlfn.XLOOKUP(tblOrdenes[[#This Row],[tipo_ot]],tblTiposOT[codigo],tblTiposOT[clasificacion],"sin_clasificar")</f>
        <v/>
      </c>
      <c r="T65" s="3">
        <f>_xlfn.XLOOKUP(tblOrdenes[[#This Row],[centro_costo]],tblCECO[codigo],tblCECO[linea],"(sin catálogo)")</f>
        <v/>
      </c>
      <c r="U65" s="3">
        <f>_xlfn.XLOOKUP(tblOrdenes[[#This Row],[centro_costo]],tblCECO[codigo],tblCECO[area],"(sin catálogo)")</f>
        <v/>
      </c>
      <c r="V65" s="3">
        <f>_xlfn.XLOOKUP(tblOrdenes[[#This Row],[centro_costo]],tblCECO[codigo],tblCECO[coordinador],"(sin catálogo)")</f>
        <v/>
      </c>
      <c r="W65" s="3">
        <f>_xlfn.XLOOKUP(tblOrdenes[[#This Row],[puesto_trabajo]],tblPuestos[codigo],tblPuestos[especialidad],"(sin catálogo)")</f>
        <v/>
      </c>
      <c r="X65" s="3">
        <f>_xlfn.XLOOKUP(tblOrdenes[[#This Row],[cod_actividad]],tblActividades[codigo],tblActividades[descripcion],"(sin catálogo)")</f>
        <v/>
      </c>
      <c r="Y65" s="12">
        <f>IF(tblOrdenes[[#This Row],[fecha_inicio]]="","",TODAY()-tblOrdenes[[#This Row],[fecha_inicio]])</f>
        <v/>
      </c>
      <c r="Z65" s="3">
        <f>IF(tblOrdenes[[#This Row],[backlog_dias]]="","",IF(tblOrdenes[[#This Row],[backlog_dias]]&lt;0,"FUTURO",IF(tblOrdenes[[#This Row],[backlog_dias]]&gt;p_dias_backlog_max,"BACKLOG","MES CORRIENTE")))</f>
        <v/>
      </c>
      <c r="AA65" s="3">
        <f>IF(tblOrdenes[[#This Row],[backlog_dias]]="",FALSE,AND(tblOrdenes[[#This Row],[backlog_dias]]&gt;p_dias_backlog_min,tblOrdenes[[#This Row],[backlog_dias]]&lt;=p_dias_backlog_max))</f>
        <v/>
      </c>
      <c r="AB65" s="6" t="inlineStr">
        <is>
          <t>Técnico 06</t>
        </is>
      </c>
      <c r="AC6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5" s="10">
        <f>_xlfn.XLOOKUP(tblOrdenes[[#This Row],[id_operacion]],tblEjecucion[id_operacion],tblEjecucion[precio],0)</f>
        <v/>
      </c>
      <c r="AE65" s="10">
        <f>MAX(0,_xlfn.XLOOKUP(tblOrdenes[[#This Row],[id_operacion]],tblEjecucion[id_operacion],tblEjecucion[costo_plan_total],0)-tblOrdenes[[#This Row],[costo_servicio]])</f>
        <v/>
      </c>
      <c r="AF65" s="10">
        <f>tblOrdenes[[#This Row],[costo_servicio]]+tblOrdenes[[#This Row],[costo_materiales]]</f>
        <v/>
      </c>
      <c r="AG65" s="6" t="inlineStr"/>
      <c r="AH65" s="6" t="inlineStr"/>
      <c r="AI65" s="6" t="inlineStr">
        <is>
          <t>ACT-04.pdf</t>
        </is>
      </c>
      <c r="AJ65" s="3">
        <f>IF(tblOrdenes[[#This Row],[link_checklist]]="","",HYPERLINK(p_ruta_base_checklists&amp;tblOrdenes[[#This Row],[link_checklist]],"abrir"))</f>
        <v/>
      </c>
      <c r="AK65" s="6" t="inlineStr"/>
    </row>
    <row r="66">
      <c r="A66" s="3" t="inlineStr">
        <is>
          <t>OT-000063</t>
        </is>
      </c>
      <c r="B66" s="3" t="inlineStr">
        <is>
          <t>0010</t>
        </is>
      </c>
      <c r="C66" s="3">
        <f>tblOrdenes[[#This Row],[orden]]&amp;IF(tblOrdenes[[#This Row],[operacion]]="","0010",tblOrdenes[[#This Row],[operacion]])</f>
        <v/>
      </c>
      <c r="D66" s="3" t="inlineStr">
        <is>
          <t>Inspección de rutina — EQ-104</t>
        </is>
      </c>
      <c r="E66" s="3" t="inlineStr">
        <is>
          <t>Inspección de rutina en EQ-104</t>
        </is>
      </c>
      <c r="F66" s="3" t="inlineStr">
        <is>
          <t>EQ-104</t>
        </is>
      </c>
      <c r="G66" s="3" t="inlineStr">
        <is>
          <t>CC-120</t>
        </is>
      </c>
      <c r="H66" s="3" t="inlineStr">
        <is>
          <t>PU-ELE</t>
        </is>
      </c>
      <c r="I66" s="3" t="inlineStr">
        <is>
          <t>ACT-01</t>
        </is>
      </c>
      <c r="J66" s="3" t="inlineStr">
        <is>
          <t>TIPO-P2</t>
        </is>
      </c>
      <c r="K66" s="11" t="n">
        <v>46218</v>
      </c>
      <c r="L66" s="3" t="n">
        <v>8</v>
      </c>
      <c r="M66" s="10" t="n">
        <v>200</v>
      </c>
      <c r="N66" s="3">
        <f>_xlfn.XLOOKUP(_xlfn.XLOOKUP(tblOrdenes[[#This Row],[id_operacion]],tblEjecucion[id_operacion],tblEjecucion[estado_sistema],""),tblEstados[estado_sistema],tblEstados[estado_normalizado],"Pendiente")</f>
        <v/>
      </c>
      <c r="O66" s="3">
        <f>IF(tblOrdenes[[#This Row],[fecha_inicio]]="","","S"&amp;IF(_xlfn.ISOWEEKNUM(tblOrdenes[[#This Row],[fecha_inicio]])=53,1,_xlfn.ISOWEEKNUM(tblOrdenes[[#This Row],[fecha_inicio]])))</f>
        <v/>
      </c>
      <c r="P66" s="3">
        <f>IF(tblOrdenes[[#This Row],[fecha_inicio]]="","",YEAR(tblOrdenes[[#This Row],[fecha_inicio]]))</f>
        <v/>
      </c>
      <c r="Q66" s="3">
        <f>IF(tblOrdenes[[#This Row],[fecha_inicio]]="","",MONTH(tblOrdenes[[#This Row],[fecha_inicio]]))</f>
        <v/>
      </c>
      <c r="R66" s="3">
        <f>IF(tblOrdenes[[#This Row],[fecha_inicio]]="","",INDEX(lista_dias,WEEKDAY(tblOrdenes[[#This Row],[fecha_inicio]],2)))</f>
        <v/>
      </c>
      <c r="S66" s="3">
        <f>_xlfn.XLOOKUP(tblOrdenes[[#This Row],[tipo_ot]],tblTiposOT[codigo],tblTiposOT[clasificacion],"sin_clasificar")</f>
        <v/>
      </c>
      <c r="T66" s="3">
        <f>_xlfn.XLOOKUP(tblOrdenes[[#This Row],[centro_costo]],tblCECO[codigo],tblCECO[linea],"(sin catálogo)")</f>
        <v/>
      </c>
      <c r="U66" s="3">
        <f>_xlfn.XLOOKUP(tblOrdenes[[#This Row],[centro_costo]],tblCECO[codigo],tblCECO[area],"(sin catálogo)")</f>
        <v/>
      </c>
      <c r="V66" s="3">
        <f>_xlfn.XLOOKUP(tblOrdenes[[#This Row],[centro_costo]],tblCECO[codigo],tblCECO[coordinador],"(sin catálogo)")</f>
        <v/>
      </c>
      <c r="W66" s="3">
        <f>_xlfn.XLOOKUP(tblOrdenes[[#This Row],[puesto_trabajo]],tblPuestos[codigo],tblPuestos[especialidad],"(sin catálogo)")</f>
        <v/>
      </c>
      <c r="X66" s="3">
        <f>_xlfn.XLOOKUP(tblOrdenes[[#This Row],[cod_actividad]],tblActividades[codigo],tblActividades[descripcion],"(sin catálogo)")</f>
        <v/>
      </c>
      <c r="Y66" s="12">
        <f>IF(tblOrdenes[[#This Row],[fecha_inicio]]="","",TODAY()-tblOrdenes[[#This Row],[fecha_inicio]])</f>
        <v/>
      </c>
      <c r="Z66" s="3">
        <f>IF(tblOrdenes[[#This Row],[backlog_dias]]="","",IF(tblOrdenes[[#This Row],[backlog_dias]]&lt;0,"FUTURO",IF(tblOrdenes[[#This Row],[backlog_dias]]&gt;p_dias_backlog_max,"BACKLOG","MES CORRIENTE")))</f>
        <v/>
      </c>
      <c r="AA66" s="3">
        <f>IF(tblOrdenes[[#This Row],[backlog_dias]]="",FALSE,AND(tblOrdenes[[#This Row],[backlog_dias]]&gt;p_dias_backlog_min,tblOrdenes[[#This Row],[backlog_dias]]&lt;=p_dias_backlog_max))</f>
        <v/>
      </c>
      <c r="AB66" s="6" t="inlineStr">
        <is>
          <t>Técnico 07</t>
        </is>
      </c>
      <c r="AC6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6" s="10">
        <f>_xlfn.XLOOKUP(tblOrdenes[[#This Row],[id_operacion]],tblEjecucion[id_operacion],tblEjecucion[precio],0)</f>
        <v/>
      </c>
      <c r="AE66" s="10">
        <f>MAX(0,_xlfn.XLOOKUP(tblOrdenes[[#This Row],[id_operacion]],tblEjecucion[id_operacion],tblEjecucion[costo_plan_total],0)-tblOrdenes[[#This Row],[costo_servicio]])</f>
        <v/>
      </c>
      <c r="AF66" s="10">
        <f>tblOrdenes[[#This Row],[costo_servicio]]+tblOrdenes[[#This Row],[costo_materiales]]</f>
        <v/>
      </c>
      <c r="AG66" s="6" t="inlineStr"/>
      <c r="AH66" s="6" t="inlineStr"/>
      <c r="AI66" s="6" t="inlineStr">
        <is>
          <t>ACT-01.pdf</t>
        </is>
      </c>
      <c r="AJ66" s="3">
        <f>IF(tblOrdenes[[#This Row],[link_checklist]]="","",HYPERLINK(p_ruta_base_checklists&amp;tblOrdenes[[#This Row],[link_checklist]],"abrir"))</f>
        <v/>
      </c>
      <c r="AK66" s="6" t="inlineStr"/>
    </row>
    <row r="67">
      <c r="A67" s="3" t="inlineStr">
        <is>
          <t>OT-000064</t>
        </is>
      </c>
      <c r="B67" s="3" t="inlineStr">
        <is>
          <t>0010</t>
        </is>
      </c>
      <c r="C67" s="3">
        <f>tblOrdenes[[#This Row],[orden]]&amp;IF(tblOrdenes[[#This Row],[operacion]]="","0010",tblOrdenes[[#This Row],[operacion]])</f>
        <v/>
      </c>
      <c r="D67" s="3" t="inlineStr">
        <is>
          <t>Lubricación programada — EQ-106</t>
        </is>
      </c>
      <c r="E67" s="3" t="inlineStr">
        <is>
          <t>Lubricación programada en EQ-106</t>
        </is>
      </c>
      <c r="F67" s="3" t="inlineStr">
        <is>
          <t>EQ-106</t>
        </is>
      </c>
      <c r="G67" s="3" t="inlineStr">
        <is>
          <t>CC-220</t>
        </is>
      </c>
      <c r="H67" s="3" t="inlineStr">
        <is>
          <t>PU-ELE</t>
        </is>
      </c>
      <c r="I67" s="3" t="inlineStr">
        <is>
          <t>ACT-02</t>
        </is>
      </c>
      <c r="J67" s="3" t="inlineStr">
        <is>
          <t>TIPO-P1</t>
        </is>
      </c>
      <c r="K67" s="11" t="n">
        <v>46219</v>
      </c>
      <c r="L67" s="3" t="n">
        <v>6</v>
      </c>
      <c r="M67" s="10" t="n">
        <v>150</v>
      </c>
      <c r="N67" s="3">
        <f>_xlfn.XLOOKUP(_xlfn.XLOOKUP(tblOrdenes[[#This Row],[id_operacion]],tblEjecucion[id_operacion],tblEjecucion[estado_sistema],""),tblEstados[estado_sistema],tblEstados[estado_normalizado],"Pendiente")</f>
        <v/>
      </c>
      <c r="O67" s="3">
        <f>IF(tblOrdenes[[#This Row],[fecha_inicio]]="","","S"&amp;IF(_xlfn.ISOWEEKNUM(tblOrdenes[[#This Row],[fecha_inicio]])=53,1,_xlfn.ISOWEEKNUM(tblOrdenes[[#This Row],[fecha_inicio]])))</f>
        <v/>
      </c>
      <c r="P67" s="3">
        <f>IF(tblOrdenes[[#This Row],[fecha_inicio]]="","",YEAR(tblOrdenes[[#This Row],[fecha_inicio]]))</f>
        <v/>
      </c>
      <c r="Q67" s="3">
        <f>IF(tblOrdenes[[#This Row],[fecha_inicio]]="","",MONTH(tblOrdenes[[#This Row],[fecha_inicio]]))</f>
        <v/>
      </c>
      <c r="R67" s="3">
        <f>IF(tblOrdenes[[#This Row],[fecha_inicio]]="","",INDEX(lista_dias,WEEKDAY(tblOrdenes[[#This Row],[fecha_inicio]],2)))</f>
        <v/>
      </c>
      <c r="S67" s="3">
        <f>_xlfn.XLOOKUP(tblOrdenes[[#This Row],[tipo_ot]],tblTiposOT[codigo],tblTiposOT[clasificacion],"sin_clasificar")</f>
        <v/>
      </c>
      <c r="T67" s="3">
        <f>_xlfn.XLOOKUP(tblOrdenes[[#This Row],[centro_costo]],tblCECO[codigo],tblCECO[linea],"(sin catálogo)")</f>
        <v/>
      </c>
      <c r="U67" s="3">
        <f>_xlfn.XLOOKUP(tblOrdenes[[#This Row],[centro_costo]],tblCECO[codigo],tblCECO[area],"(sin catálogo)")</f>
        <v/>
      </c>
      <c r="V67" s="3">
        <f>_xlfn.XLOOKUP(tblOrdenes[[#This Row],[centro_costo]],tblCECO[codigo],tblCECO[coordinador],"(sin catálogo)")</f>
        <v/>
      </c>
      <c r="W67" s="3">
        <f>_xlfn.XLOOKUP(tblOrdenes[[#This Row],[puesto_trabajo]],tblPuestos[codigo],tblPuestos[especialidad],"(sin catálogo)")</f>
        <v/>
      </c>
      <c r="X67" s="3">
        <f>_xlfn.XLOOKUP(tblOrdenes[[#This Row],[cod_actividad]],tblActividades[codigo],tblActividades[descripcion],"(sin catálogo)")</f>
        <v/>
      </c>
      <c r="Y67" s="12">
        <f>IF(tblOrdenes[[#This Row],[fecha_inicio]]="","",TODAY()-tblOrdenes[[#This Row],[fecha_inicio]])</f>
        <v/>
      </c>
      <c r="Z67" s="3">
        <f>IF(tblOrdenes[[#This Row],[backlog_dias]]="","",IF(tblOrdenes[[#This Row],[backlog_dias]]&lt;0,"FUTURO",IF(tblOrdenes[[#This Row],[backlog_dias]]&gt;p_dias_backlog_max,"BACKLOG","MES CORRIENTE")))</f>
        <v/>
      </c>
      <c r="AA67" s="3">
        <f>IF(tblOrdenes[[#This Row],[backlog_dias]]="",FALSE,AND(tblOrdenes[[#This Row],[backlog_dias]]&gt;p_dias_backlog_min,tblOrdenes[[#This Row],[backlog_dias]]&lt;=p_dias_backlog_max))</f>
        <v/>
      </c>
      <c r="AB67" s="6" t="inlineStr">
        <is>
          <t>Técnico 05</t>
        </is>
      </c>
      <c r="AC6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7" s="10">
        <f>_xlfn.XLOOKUP(tblOrdenes[[#This Row],[id_operacion]],tblEjecucion[id_operacion],tblEjecucion[precio],0)</f>
        <v/>
      </c>
      <c r="AE67" s="10">
        <f>MAX(0,_xlfn.XLOOKUP(tblOrdenes[[#This Row],[id_operacion]],tblEjecucion[id_operacion],tblEjecucion[costo_plan_total],0)-tblOrdenes[[#This Row],[costo_servicio]])</f>
        <v/>
      </c>
      <c r="AF67" s="10">
        <f>tblOrdenes[[#This Row],[costo_servicio]]+tblOrdenes[[#This Row],[costo_materiales]]</f>
        <v/>
      </c>
      <c r="AG67" s="6" t="inlineStr"/>
      <c r="AH67" s="6" t="inlineStr"/>
      <c r="AI67" s="6" t="inlineStr">
        <is>
          <t>ACT-02.pdf</t>
        </is>
      </c>
      <c r="AJ67" s="3">
        <f>IF(tblOrdenes[[#This Row],[link_checklist]]="","",HYPERLINK(p_ruta_base_checklists&amp;tblOrdenes[[#This Row],[link_checklist]],"abrir"))</f>
        <v/>
      </c>
      <c r="AK67" s="6" t="inlineStr"/>
    </row>
    <row r="68">
      <c r="A68" s="3" t="inlineStr">
        <is>
          <t>OT-000065</t>
        </is>
      </c>
      <c r="B68" s="3" t="inlineStr">
        <is>
          <t>0010</t>
        </is>
      </c>
      <c r="C68" s="3">
        <f>tblOrdenes[[#This Row],[orden]]&amp;IF(tblOrdenes[[#This Row],[operacion]]="","0010",tblOrdenes[[#This Row],[operacion]])</f>
        <v/>
      </c>
      <c r="D68" s="3" t="inlineStr">
        <is>
          <t>Análisis predictivo — EQ-101</t>
        </is>
      </c>
      <c r="E68" s="3" t="inlineStr">
        <is>
          <t>Análisis predictivo en EQ-101</t>
        </is>
      </c>
      <c r="F68" s="3" t="inlineStr">
        <is>
          <t>EQ-101</t>
        </is>
      </c>
      <c r="G68" s="3" t="inlineStr">
        <is>
          <t>CC-120</t>
        </is>
      </c>
      <c r="H68" s="3" t="inlineStr">
        <is>
          <t>PU-ELE</t>
        </is>
      </c>
      <c r="I68" s="3" t="inlineStr">
        <is>
          <t>ACT-04</t>
        </is>
      </c>
      <c r="J68" s="3" t="inlineStr">
        <is>
          <t>TIPO-P2</t>
        </is>
      </c>
      <c r="K68" s="11" t="n">
        <v>46220</v>
      </c>
      <c r="L68" s="3" t="n">
        <v>10</v>
      </c>
      <c r="M68" s="10" t="n">
        <v>250</v>
      </c>
      <c r="N68" s="3">
        <f>_xlfn.XLOOKUP(_xlfn.XLOOKUP(tblOrdenes[[#This Row],[id_operacion]],tblEjecucion[id_operacion],tblEjecucion[estado_sistema],""),tblEstados[estado_sistema],tblEstados[estado_normalizado],"Pendiente")</f>
        <v/>
      </c>
      <c r="O68" s="3">
        <f>IF(tblOrdenes[[#This Row],[fecha_inicio]]="","","S"&amp;IF(_xlfn.ISOWEEKNUM(tblOrdenes[[#This Row],[fecha_inicio]])=53,1,_xlfn.ISOWEEKNUM(tblOrdenes[[#This Row],[fecha_inicio]])))</f>
        <v/>
      </c>
      <c r="P68" s="3">
        <f>IF(tblOrdenes[[#This Row],[fecha_inicio]]="","",YEAR(tblOrdenes[[#This Row],[fecha_inicio]]))</f>
        <v/>
      </c>
      <c r="Q68" s="3">
        <f>IF(tblOrdenes[[#This Row],[fecha_inicio]]="","",MONTH(tblOrdenes[[#This Row],[fecha_inicio]]))</f>
        <v/>
      </c>
      <c r="R68" s="3">
        <f>IF(tblOrdenes[[#This Row],[fecha_inicio]]="","",INDEX(lista_dias,WEEKDAY(tblOrdenes[[#This Row],[fecha_inicio]],2)))</f>
        <v/>
      </c>
      <c r="S68" s="3">
        <f>_xlfn.XLOOKUP(tblOrdenes[[#This Row],[tipo_ot]],tblTiposOT[codigo],tblTiposOT[clasificacion],"sin_clasificar")</f>
        <v/>
      </c>
      <c r="T68" s="3">
        <f>_xlfn.XLOOKUP(tblOrdenes[[#This Row],[centro_costo]],tblCECO[codigo],tblCECO[linea],"(sin catálogo)")</f>
        <v/>
      </c>
      <c r="U68" s="3">
        <f>_xlfn.XLOOKUP(tblOrdenes[[#This Row],[centro_costo]],tblCECO[codigo],tblCECO[area],"(sin catálogo)")</f>
        <v/>
      </c>
      <c r="V68" s="3">
        <f>_xlfn.XLOOKUP(tblOrdenes[[#This Row],[centro_costo]],tblCECO[codigo],tblCECO[coordinador],"(sin catálogo)")</f>
        <v/>
      </c>
      <c r="W68" s="3">
        <f>_xlfn.XLOOKUP(tblOrdenes[[#This Row],[puesto_trabajo]],tblPuestos[codigo],tblPuestos[especialidad],"(sin catálogo)")</f>
        <v/>
      </c>
      <c r="X68" s="3">
        <f>_xlfn.XLOOKUP(tblOrdenes[[#This Row],[cod_actividad]],tblActividades[codigo],tblActividades[descripcion],"(sin catálogo)")</f>
        <v/>
      </c>
      <c r="Y68" s="12">
        <f>IF(tblOrdenes[[#This Row],[fecha_inicio]]="","",TODAY()-tblOrdenes[[#This Row],[fecha_inicio]])</f>
        <v/>
      </c>
      <c r="Z68" s="3">
        <f>IF(tblOrdenes[[#This Row],[backlog_dias]]="","",IF(tblOrdenes[[#This Row],[backlog_dias]]&lt;0,"FUTURO",IF(tblOrdenes[[#This Row],[backlog_dias]]&gt;p_dias_backlog_max,"BACKLOG","MES CORRIENTE")))</f>
        <v/>
      </c>
      <c r="AA68" s="3">
        <f>IF(tblOrdenes[[#This Row],[backlog_dias]]="",FALSE,AND(tblOrdenes[[#This Row],[backlog_dias]]&gt;p_dias_backlog_min,tblOrdenes[[#This Row],[backlog_dias]]&lt;=p_dias_backlog_max))</f>
        <v/>
      </c>
      <c r="AB68" s="6" t="inlineStr">
        <is>
          <t>Técnico 06</t>
        </is>
      </c>
      <c r="AC6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8" s="10">
        <f>_xlfn.XLOOKUP(tblOrdenes[[#This Row],[id_operacion]],tblEjecucion[id_operacion],tblEjecucion[precio],0)</f>
        <v/>
      </c>
      <c r="AE68" s="10">
        <f>MAX(0,_xlfn.XLOOKUP(tblOrdenes[[#This Row],[id_operacion]],tblEjecucion[id_operacion],tblEjecucion[costo_plan_total],0)-tblOrdenes[[#This Row],[costo_servicio]])</f>
        <v/>
      </c>
      <c r="AF68" s="10">
        <f>tblOrdenes[[#This Row],[costo_servicio]]+tblOrdenes[[#This Row],[costo_materiales]]</f>
        <v/>
      </c>
      <c r="AG68" s="6" t="inlineStr"/>
      <c r="AH68" s="6" t="inlineStr"/>
      <c r="AI68" s="6" t="inlineStr">
        <is>
          <t>ACT-04.pdf</t>
        </is>
      </c>
      <c r="AJ68" s="3">
        <f>IF(tblOrdenes[[#This Row],[link_checklist]]="","",HYPERLINK(p_ruta_base_checklists&amp;tblOrdenes[[#This Row],[link_checklist]],"abrir"))</f>
        <v/>
      </c>
      <c r="AK68" s="6" t="inlineStr"/>
    </row>
    <row r="69">
      <c r="A69" s="3" t="inlineStr">
        <is>
          <t>OT-000066</t>
        </is>
      </c>
      <c r="B69" s="3" t="inlineStr">
        <is>
          <t>0010</t>
        </is>
      </c>
      <c r="C69" s="3">
        <f>tblOrdenes[[#This Row],[orden]]&amp;IF(tblOrdenes[[#This Row],[operacion]]="","0010",tblOrdenes[[#This Row],[operacion]])</f>
        <v/>
      </c>
      <c r="D69" s="3" t="inlineStr">
        <is>
          <t>Inspección de rutina — EQ-108</t>
        </is>
      </c>
      <c r="E69" s="3" t="inlineStr">
        <is>
          <t>Inspección de rutina en EQ-108</t>
        </is>
      </c>
      <c r="F69" s="3" t="inlineStr">
        <is>
          <t>EQ-108</t>
        </is>
      </c>
      <c r="G69" s="3" t="inlineStr">
        <is>
          <t>CC-220</t>
        </is>
      </c>
      <c r="H69" s="3" t="inlineStr">
        <is>
          <t>PU-ELE</t>
        </is>
      </c>
      <c r="I69" s="3" t="inlineStr">
        <is>
          <t>ACT-01</t>
        </is>
      </c>
      <c r="J69" s="3" t="inlineStr">
        <is>
          <t>TIPO-P1</t>
        </is>
      </c>
      <c r="K69" s="11" t="n">
        <v>46216</v>
      </c>
      <c r="L69" s="3" t="n">
        <v>7</v>
      </c>
      <c r="M69" s="10" t="n">
        <v>175</v>
      </c>
      <c r="N69" s="3">
        <f>_xlfn.XLOOKUP(_xlfn.XLOOKUP(tblOrdenes[[#This Row],[id_operacion]],tblEjecucion[id_operacion],tblEjecucion[estado_sistema],""),tblEstados[estado_sistema],tblEstados[estado_normalizado],"Pendiente")</f>
        <v/>
      </c>
      <c r="O69" s="3">
        <f>IF(tblOrdenes[[#This Row],[fecha_inicio]]="","","S"&amp;IF(_xlfn.ISOWEEKNUM(tblOrdenes[[#This Row],[fecha_inicio]])=53,1,_xlfn.ISOWEEKNUM(tblOrdenes[[#This Row],[fecha_inicio]])))</f>
        <v/>
      </c>
      <c r="P69" s="3">
        <f>IF(tblOrdenes[[#This Row],[fecha_inicio]]="","",YEAR(tblOrdenes[[#This Row],[fecha_inicio]]))</f>
        <v/>
      </c>
      <c r="Q69" s="3">
        <f>IF(tblOrdenes[[#This Row],[fecha_inicio]]="","",MONTH(tblOrdenes[[#This Row],[fecha_inicio]]))</f>
        <v/>
      </c>
      <c r="R69" s="3">
        <f>IF(tblOrdenes[[#This Row],[fecha_inicio]]="","",INDEX(lista_dias,WEEKDAY(tblOrdenes[[#This Row],[fecha_inicio]],2)))</f>
        <v/>
      </c>
      <c r="S69" s="3">
        <f>_xlfn.XLOOKUP(tblOrdenes[[#This Row],[tipo_ot]],tblTiposOT[codigo],tblTiposOT[clasificacion],"sin_clasificar")</f>
        <v/>
      </c>
      <c r="T69" s="3">
        <f>_xlfn.XLOOKUP(tblOrdenes[[#This Row],[centro_costo]],tblCECO[codigo],tblCECO[linea],"(sin catálogo)")</f>
        <v/>
      </c>
      <c r="U69" s="3">
        <f>_xlfn.XLOOKUP(tblOrdenes[[#This Row],[centro_costo]],tblCECO[codigo],tblCECO[area],"(sin catálogo)")</f>
        <v/>
      </c>
      <c r="V69" s="3">
        <f>_xlfn.XLOOKUP(tblOrdenes[[#This Row],[centro_costo]],tblCECO[codigo],tblCECO[coordinador],"(sin catálogo)")</f>
        <v/>
      </c>
      <c r="W69" s="3">
        <f>_xlfn.XLOOKUP(tblOrdenes[[#This Row],[puesto_trabajo]],tblPuestos[codigo],tblPuestos[especialidad],"(sin catálogo)")</f>
        <v/>
      </c>
      <c r="X69" s="3">
        <f>_xlfn.XLOOKUP(tblOrdenes[[#This Row],[cod_actividad]],tblActividades[codigo],tblActividades[descripcion],"(sin catálogo)")</f>
        <v/>
      </c>
      <c r="Y69" s="12">
        <f>IF(tblOrdenes[[#This Row],[fecha_inicio]]="","",TODAY()-tblOrdenes[[#This Row],[fecha_inicio]])</f>
        <v/>
      </c>
      <c r="Z69" s="3">
        <f>IF(tblOrdenes[[#This Row],[backlog_dias]]="","",IF(tblOrdenes[[#This Row],[backlog_dias]]&lt;0,"FUTURO",IF(tblOrdenes[[#This Row],[backlog_dias]]&gt;p_dias_backlog_max,"BACKLOG","MES CORRIENTE")))</f>
        <v/>
      </c>
      <c r="AA69" s="3">
        <f>IF(tblOrdenes[[#This Row],[backlog_dias]]="",FALSE,AND(tblOrdenes[[#This Row],[backlog_dias]]&gt;p_dias_backlog_min,tblOrdenes[[#This Row],[backlog_dias]]&lt;=p_dias_backlog_max))</f>
        <v/>
      </c>
      <c r="AB69" s="6" t="inlineStr">
        <is>
          <t>Técnico 07</t>
        </is>
      </c>
      <c r="AC6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9" s="10">
        <f>_xlfn.XLOOKUP(tblOrdenes[[#This Row],[id_operacion]],tblEjecucion[id_operacion],tblEjecucion[precio],0)</f>
        <v/>
      </c>
      <c r="AE69" s="10">
        <f>MAX(0,_xlfn.XLOOKUP(tblOrdenes[[#This Row],[id_operacion]],tblEjecucion[id_operacion],tblEjecucion[costo_plan_total],0)-tblOrdenes[[#This Row],[costo_servicio]])</f>
        <v/>
      </c>
      <c r="AF69" s="10">
        <f>tblOrdenes[[#This Row],[costo_servicio]]+tblOrdenes[[#This Row],[costo_materiales]]</f>
        <v/>
      </c>
      <c r="AG69" s="6" t="inlineStr"/>
      <c r="AH69" s="6" t="inlineStr"/>
      <c r="AI69" s="6" t="inlineStr">
        <is>
          <t>ACT-01.pdf</t>
        </is>
      </c>
      <c r="AJ69" s="3">
        <f>IF(tblOrdenes[[#This Row],[link_checklist]]="","",HYPERLINK(p_ruta_base_checklists&amp;tblOrdenes[[#This Row],[link_checklist]],"abrir"))</f>
        <v/>
      </c>
      <c r="AK69" s="6" t="inlineStr"/>
    </row>
    <row r="70">
      <c r="A70" s="3" t="inlineStr">
        <is>
          <t>OT-000067</t>
        </is>
      </c>
      <c r="B70" s="3" t="inlineStr">
        <is>
          <t>0010</t>
        </is>
      </c>
      <c r="C70" s="3">
        <f>tblOrdenes[[#This Row],[orden]]&amp;IF(tblOrdenes[[#This Row],[operacion]]="","0010",tblOrdenes[[#This Row],[operacion]])</f>
        <v/>
      </c>
      <c r="D70" s="3" t="inlineStr">
        <is>
          <t>Reparación de falla — EQ-103</t>
        </is>
      </c>
      <c r="E70" s="3" t="inlineStr">
        <is>
          <t>Reparación de falla en EQ-103</t>
        </is>
      </c>
      <c r="F70" s="3" t="inlineStr">
        <is>
          <t>EQ-103</t>
        </is>
      </c>
      <c r="G70" s="3" t="inlineStr">
        <is>
          <t>CC-120</t>
        </is>
      </c>
      <c r="H70" s="3" t="inlineStr">
        <is>
          <t>PU-ELE</t>
        </is>
      </c>
      <c r="I70" s="3" t="inlineStr">
        <is>
          <t>ACT-03</t>
        </is>
      </c>
      <c r="J70" s="3" t="inlineStr">
        <is>
          <t>TIPO-C2</t>
        </is>
      </c>
      <c r="K70" s="11" t="n">
        <v>46217</v>
      </c>
      <c r="L70" s="3" t="n">
        <v>10</v>
      </c>
      <c r="M70" s="10" t="n">
        <v>400</v>
      </c>
      <c r="N70" s="3">
        <f>_xlfn.XLOOKUP(_xlfn.XLOOKUP(tblOrdenes[[#This Row],[id_operacion]],tblEjecucion[id_operacion],tblEjecucion[estado_sistema],""),tblEstados[estado_sistema],tblEstados[estado_normalizado],"Pendiente")</f>
        <v/>
      </c>
      <c r="O70" s="3">
        <f>IF(tblOrdenes[[#This Row],[fecha_inicio]]="","","S"&amp;IF(_xlfn.ISOWEEKNUM(tblOrdenes[[#This Row],[fecha_inicio]])=53,1,_xlfn.ISOWEEKNUM(tblOrdenes[[#This Row],[fecha_inicio]])))</f>
        <v/>
      </c>
      <c r="P70" s="3">
        <f>IF(tblOrdenes[[#This Row],[fecha_inicio]]="","",YEAR(tblOrdenes[[#This Row],[fecha_inicio]]))</f>
        <v/>
      </c>
      <c r="Q70" s="3">
        <f>IF(tblOrdenes[[#This Row],[fecha_inicio]]="","",MONTH(tblOrdenes[[#This Row],[fecha_inicio]]))</f>
        <v/>
      </c>
      <c r="R70" s="3">
        <f>IF(tblOrdenes[[#This Row],[fecha_inicio]]="","",INDEX(lista_dias,WEEKDAY(tblOrdenes[[#This Row],[fecha_inicio]],2)))</f>
        <v/>
      </c>
      <c r="S70" s="3">
        <f>_xlfn.XLOOKUP(tblOrdenes[[#This Row],[tipo_ot]],tblTiposOT[codigo],tblTiposOT[clasificacion],"sin_clasificar")</f>
        <v/>
      </c>
      <c r="T70" s="3">
        <f>_xlfn.XLOOKUP(tblOrdenes[[#This Row],[centro_costo]],tblCECO[codigo],tblCECO[linea],"(sin catálogo)")</f>
        <v/>
      </c>
      <c r="U70" s="3">
        <f>_xlfn.XLOOKUP(tblOrdenes[[#This Row],[centro_costo]],tblCECO[codigo],tblCECO[area],"(sin catálogo)")</f>
        <v/>
      </c>
      <c r="V70" s="3">
        <f>_xlfn.XLOOKUP(tblOrdenes[[#This Row],[centro_costo]],tblCECO[codigo],tblCECO[coordinador],"(sin catálogo)")</f>
        <v/>
      </c>
      <c r="W70" s="3">
        <f>_xlfn.XLOOKUP(tblOrdenes[[#This Row],[puesto_trabajo]],tblPuestos[codigo],tblPuestos[especialidad],"(sin catálogo)")</f>
        <v/>
      </c>
      <c r="X70" s="3">
        <f>_xlfn.XLOOKUP(tblOrdenes[[#This Row],[cod_actividad]],tblActividades[codigo],tblActividades[descripcion],"(sin catálogo)")</f>
        <v/>
      </c>
      <c r="Y70" s="12">
        <f>IF(tblOrdenes[[#This Row],[fecha_inicio]]="","",TODAY()-tblOrdenes[[#This Row],[fecha_inicio]])</f>
        <v/>
      </c>
      <c r="Z70" s="3">
        <f>IF(tblOrdenes[[#This Row],[backlog_dias]]="","",IF(tblOrdenes[[#This Row],[backlog_dias]]&lt;0,"FUTURO",IF(tblOrdenes[[#This Row],[backlog_dias]]&gt;p_dias_backlog_max,"BACKLOG","MES CORRIENTE")))</f>
        <v/>
      </c>
      <c r="AA70" s="3">
        <f>IF(tblOrdenes[[#This Row],[backlog_dias]]="",FALSE,AND(tblOrdenes[[#This Row],[backlog_dias]]&gt;p_dias_backlog_min,tblOrdenes[[#This Row],[backlog_dias]]&lt;=p_dias_backlog_max))</f>
        <v/>
      </c>
      <c r="AB70" s="6" t="inlineStr">
        <is>
          <t>Técnico 05</t>
        </is>
      </c>
      <c r="AC7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0" s="10">
        <f>_xlfn.XLOOKUP(tblOrdenes[[#This Row],[id_operacion]],tblEjecucion[id_operacion],tblEjecucion[precio],0)</f>
        <v/>
      </c>
      <c r="AE70" s="10">
        <f>MAX(0,_xlfn.XLOOKUP(tblOrdenes[[#This Row],[id_operacion]],tblEjecucion[id_operacion],tblEjecucion[costo_plan_total],0)-tblOrdenes[[#This Row],[costo_servicio]])</f>
        <v/>
      </c>
      <c r="AF70" s="10">
        <f>tblOrdenes[[#This Row],[costo_servicio]]+tblOrdenes[[#This Row],[costo_materiales]]</f>
        <v/>
      </c>
      <c r="AG70" s="6" t="inlineStr"/>
      <c r="AH70" s="6" t="inlineStr"/>
      <c r="AI70" s="6" t="inlineStr"/>
      <c r="AJ70" s="3">
        <f>IF(tblOrdenes[[#This Row],[link_checklist]]="","",HYPERLINK(p_ruta_base_checklists&amp;tblOrdenes[[#This Row],[link_checklist]],"abrir"))</f>
        <v/>
      </c>
      <c r="AK70" s="6" t="inlineStr"/>
    </row>
    <row r="71">
      <c r="A71" s="3" t="inlineStr">
        <is>
          <t>OT-000068</t>
        </is>
      </c>
      <c r="B71" s="3" t="inlineStr">
        <is>
          <t>0010</t>
        </is>
      </c>
      <c r="C71" s="3">
        <f>tblOrdenes[[#This Row],[orden]]&amp;IF(tblOrdenes[[#This Row],[operacion]]="","0010",tblOrdenes[[#This Row],[operacion]])</f>
        <v/>
      </c>
      <c r="D71" s="3" t="inlineStr">
        <is>
          <t>Reparación de falla — EQ-106</t>
        </is>
      </c>
      <c r="E71" s="3" t="inlineStr">
        <is>
          <t>Reparación de falla en EQ-106</t>
        </is>
      </c>
      <c r="F71" s="3" t="inlineStr">
        <is>
          <t>EQ-106</t>
        </is>
      </c>
      <c r="G71" s="3" t="inlineStr">
        <is>
          <t>CC-220</t>
        </is>
      </c>
      <c r="H71" s="3" t="inlineStr">
        <is>
          <t>PU-ELE</t>
        </is>
      </c>
      <c r="I71" s="3" t="inlineStr">
        <is>
          <t>ACT-03</t>
        </is>
      </c>
      <c r="J71" s="3" t="inlineStr">
        <is>
          <t>TIPO-C1</t>
        </is>
      </c>
      <c r="K71" s="11" t="n">
        <v>46218</v>
      </c>
      <c r="L71" s="3" t="n">
        <v>10</v>
      </c>
      <c r="M71" s="10" t="n">
        <v>400</v>
      </c>
      <c r="N71" s="3">
        <f>_xlfn.XLOOKUP(_xlfn.XLOOKUP(tblOrdenes[[#This Row],[id_operacion]],tblEjecucion[id_operacion],tblEjecucion[estado_sistema],""),tblEstados[estado_sistema],tblEstados[estado_normalizado],"Pendiente")</f>
        <v/>
      </c>
      <c r="O71" s="3">
        <f>IF(tblOrdenes[[#This Row],[fecha_inicio]]="","","S"&amp;IF(_xlfn.ISOWEEKNUM(tblOrdenes[[#This Row],[fecha_inicio]])=53,1,_xlfn.ISOWEEKNUM(tblOrdenes[[#This Row],[fecha_inicio]])))</f>
        <v/>
      </c>
      <c r="P71" s="3">
        <f>IF(tblOrdenes[[#This Row],[fecha_inicio]]="","",YEAR(tblOrdenes[[#This Row],[fecha_inicio]]))</f>
        <v/>
      </c>
      <c r="Q71" s="3">
        <f>IF(tblOrdenes[[#This Row],[fecha_inicio]]="","",MONTH(tblOrdenes[[#This Row],[fecha_inicio]]))</f>
        <v/>
      </c>
      <c r="R71" s="3">
        <f>IF(tblOrdenes[[#This Row],[fecha_inicio]]="","",INDEX(lista_dias,WEEKDAY(tblOrdenes[[#This Row],[fecha_inicio]],2)))</f>
        <v/>
      </c>
      <c r="S71" s="3">
        <f>_xlfn.XLOOKUP(tblOrdenes[[#This Row],[tipo_ot]],tblTiposOT[codigo],tblTiposOT[clasificacion],"sin_clasificar")</f>
        <v/>
      </c>
      <c r="T71" s="3">
        <f>_xlfn.XLOOKUP(tblOrdenes[[#This Row],[centro_costo]],tblCECO[codigo],tblCECO[linea],"(sin catálogo)")</f>
        <v/>
      </c>
      <c r="U71" s="3">
        <f>_xlfn.XLOOKUP(tblOrdenes[[#This Row],[centro_costo]],tblCECO[codigo],tblCECO[area],"(sin catálogo)")</f>
        <v/>
      </c>
      <c r="V71" s="3">
        <f>_xlfn.XLOOKUP(tblOrdenes[[#This Row],[centro_costo]],tblCECO[codigo],tblCECO[coordinador],"(sin catálogo)")</f>
        <v/>
      </c>
      <c r="W71" s="3">
        <f>_xlfn.XLOOKUP(tblOrdenes[[#This Row],[puesto_trabajo]],tblPuestos[codigo],tblPuestos[especialidad],"(sin catálogo)")</f>
        <v/>
      </c>
      <c r="X71" s="3">
        <f>_xlfn.XLOOKUP(tblOrdenes[[#This Row],[cod_actividad]],tblActividades[codigo],tblActividades[descripcion],"(sin catálogo)")</f>
        <v/>
      </c>
      <c r="Y71" s="12">
        <f>IF(tblOrdenes[[#This Row],[fecha_inicio]]="","",TODAY()-tblOrdenes[[#This Row],[fecha_inicio]])</f>
        <v/>
      </c>
      <c r="Z71" s="3">
        <f>IF(tblOrdenes[[#This Row],[backlog_dias]]="","",IF(tblOrdenes[[#This Row],[backlog_dias]]&lt;0,"FUTURO",IF(tblOrdenes[[#This Row],[backlog_dias]]&gt;p_dias_backlog_max,"BACKLOG","MES CORRIENTE")))</f>
        <v/>
      </c>
      <c r="AA71" s="3">
        <f>IF(tblOrdenes[[#This Row],[backlog_dias]]="",FALSE,AND(tblOrdenes[[#This Row],[backlog_dias]]&gt;p_dias_backlog_min,tblOrdenes[[#This Row],[backlog_dias]]&lt;=p_dias_backlog_max))</f>
        <v/>
      </c>
      <c r="AB71" s="6" t="inlineStr">
        <is>
          <t>Técnico 06</t>
        </is>
      </c>
      <c r="AC7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1" s="10">
        <f>_xlfn.XLOOKUP(tblOrdenes[[#This Row],[id_operacion]],tblEjecucion[id_operacion],tblEjecucion[precio],0)</f>
        <v/>
      </c>
      <c r="AE71" s="10">
        <f>MAX(0,_xlfn.XLOOKUP(tblOrdenes[[#This Row],[id_operacion]],tblEjecucion[id_operacion],tblEjecucion[costo_plan_total],0)-tblOrdenes[[#This Row],[costo_servicio]])</f>
        <v/>
      </c>
      <c r="AF71" s="10">
        <f>tblOrdenes[[#This Row],[costo_servicio]]+tblOrdenes[[#This Row],[costo_materiales]]</f>
        <v/>
      </c>
      <c r="AG71" s="6" t="inlineStr">
        <is>
          <t>PT-CALIENTE</t>
        </is>
      </c>
      <c r="AH71" s="6" t="inlineStr">
        <is>
          <t>LOTO</t>
        </is>
      </c>
      <c r="AI71" s="6" t="inlineStr"/>
      <c r="AJ71" s="3">
        <f>IF(tblOrdenes[[#This Row],[link_checklist]]="","",HYPERLINK(p_ruta_base_checklists&amp;tblOrdenes[[#This Row],[link_checklist]],"abrir"))</f>
        <v/>
      </c>
      <c r="AK71" s="6" t="inlineStr"/>
    </row>
    <row r="72">
      <c r="A72" s="3" t="inlineStr">
        <is>
          <t>OT-000069</t>
        </is>
      </c>
      <c r="B72" s="3" t="inlineStr">
        <is>
          <t>0010</t>
        </is>
      </c>
      <c r="C72" s="3">
        <f>tblOrdenes[[#This Row],[orden]]&amp;IF(tblOrdenes[[#This Row],[operacion]]="","0010",tblOrdenes[[#This Row],[operacion]])</f>
        <v/>
      </c>
      <c r="D72" s="3" t="inlineStr">
        <is>
          <t>Inspección de rutina — EQ-105</t>
        </is>
      </c>
      <c r="E72" s="3" t="inlineStr">
        <is>
          <t>Inspección de rutina en EQ-105</t>
        </is>
      </c>
      <c r="F72" s="3" t="inlineStr">
        <is>
          <t>EQ-105</t>
        </is>
      </c>
      <c r="G72" s="3" t="inlineStr">
        <is>
          <t>CC-120</t>
        </is>
      </c>
      <c r="H72" s="3" t="inlineStr">
        <is>
          <t>PU-ELE</t>
        </is>
      </c>
      <c r="I72" s="3" t="inlineStr">
        <is>
          <t>ACT-01</t>
        </is>
      </c>
      <c r="J72" s="3" t="inlineStr">
        <is>
          <t>TIPO-P2</t>
        </is>
      </c>
      <c r="K72" s="11" t="n">
        <v>46226</v>
      </c>
      <c r="L72" s="3" t="n">
        <v>10</v>
      </c>
      <c r="M72" s="10" t="n">
        <v>250</v>
      </c>
      <c r="N72" s="3">
        <f>_xlfn.XLOOKUP(_xlfn.XLOOKUP(tblOrdenes[[#This Row],[id_operacion]],tblEjecucion[id_operacion],tblEjecucion[estado_sistema],""),tblEstados[estado_sistema],tblEstados[estado_normalizado],"Pendiente")</f>
        <v/>
      </c>
      <c r="O72" s="3">
        <f>IF(tblOrdenes[[#This Row],[fecha_inicio]]="","","S"&amp;IF(_xlfn.ISOWEEKNUM(tblOrdenes[[#This Row],[fecha_inicio]])=53,1,_xlfn.ISOWEEKNUM(tblOrdenes[[#This Row],[fecha_inicio]])))</f>
        <v/>
      </c>
      <c r="P72" s="3">
        <f>IF(tblOrdenes[[#This Row],[fecha_inicio]]="","",YEAR(tblOrdenes[[#This Row],[fecha_inicio]]))</f>
        <v/>
      </c>
      <c r="Q72" s="3">
        <f>IF(tblOrdenes[[#This Row],[fecha_inicio]]="","",MONTH(tblOrdenes[[#This Row],[fecha_inicio]]))</f>
        <v/>
      </c>
      <c r="R72" s="3">
        <f>IF(tblOrdenes[[#This Row],[fecha_inicio]]="","",INDEX(lista_dias,WEEKDAY(tblOrdenes[[#This Row],[fecha_inicio]],2)))</f>
        <v/>
      </c>
      <c r="S72" s="3">
        <f>_xlfn.XLOOKUP(tblOrdenes[[#This Row],[tipo_ot]],tblTiposOT[codigo],tblTiposOT[clasificacion],"sin_clasificar")</f>
        <v/>
      </c>
      <c r="T72" s="3">
        <f>_xlfn.XLOOKUP(tblOrdenes[[#This Row],[centro_costo]],tblCECO[codigo],tblCECO[linea],"(sin catálogo)")</f>
        <v/>
      </c>
      <c r="U72" s="3">
        <f>_xlfn.XLOOKUP(tblOrdenes[[#This Row],[centro_costo]],tblCECO[codigo],tblCECO[area],"(sin catálogo)")</f>
        <v/>
      </c>
      <c r="V72" s="3">
        <f>_xlfn.XLOOKUP(tblOrdenes[[#This Row],[centro_costo]],tblCECO[codigo],tblCECO[coordinador],"(sin catálogo)")</f>
        <v/>
      </c>
      <c r="W72" s="3">
        <f>_xlfn.XLOOKUP(tblOrdenes[[#This Row],[puesto_trabajo]],tblPuestos[codigo],tblPuestos[especialidad],"(sin catálogo)")</f>
        <v/>
      </c>
      <c r="X72" s="3">
        <f>_xlfn.XLOOKUP(tblOrdenes[[#This Row],[cod_actividad]],tblActividades[codigo],tblActividades[descripcion],"(sin catálogo)")</f>
        <v/>
      </c>
      <c r="Y72" s="12">
        <f>IF(tblOrdenes[[#This Row],[fecha_inicio]]="","",TODAY()-tblOrdenes[[#This Row],[fecha_inicio]])</f>
        <v/>
      </c>
      <c r="Z72" s="3">
        <f>IF(tblOrdenes[[#This Row],[backlog_dias]]="","",IF(tblOrdenes[[#This Row],[backlog_dias]]&lt;0,"FUTURO",IF(tblOrdenes[[#This Row],[backlog_dias]]&gt;p_dias_backlog_max,"BACKLOG","MES CORRIENTE")))</f>
        <v/>
      </c>
      <c r="AA72" s="3">
        <f>IF(tblOrdenes[[#This Row],[backlog_dias]]="",FALSE,AND(tblOrdenes[[#This Row],[backlog_dias]]&gt;p_dias_backlog_min,tblOrdenes[[#This Row],[backlog_dias]]&lt;=p_dias_backlog_max))</f>
        <v/>
      </c>
      <c r="AB72" s="6" t="inlineStr">
        <is>
          <t>Técnico 07</t>
        </is>
      </c>
      <c r="AC7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2" s="10">
        <f>_xlfn.XLOOKUP(tblOrdenes[[#This Row],[id_operacion]],tblEjecucion[id_operacion],tblEjecucion[precio],0)</f>
        <v/>
      </c>
      <c r="AE72" s="10">
        <f>MAX(0,_xlfn.XLOOKUP(tblOrdenes[[#This Row],[id_operacion]],tblEjecucion[id_operacion],tblEjecucion[costo_plan_total],0)-tblOrdenes[[#This Row],[costo_servicio]])</f>
        <v/>
      </c>
      <c r="AF72" s="10">
        <f>tblOrdenes[[#This Row],[costo_servicio]]+tblOrdenes[[#This Row],[costo_materiales]]</f>
        <v/>
      </c>
      <c r="AG72" s="6" t="inlineStr"/>
      <c r="AH72" s="6" t="inlineStr"/>
      <c r="AI72" s="6" t="inlineStr">
        <is>
          <t>ACT-01.pdf</t>
        </is>
      </c>
      <c r="AJ72" s="3">
        <f>IF(tblOrdenes[[#This Row],[link_checklist]]="","",HYPERLINK(p_ruta_base_checklists&amp;tblOrdenes[[#This Row],[link_checklist]],"abrir"))</f>
        <v/>
      </c>
      <c r="AK72" s="6" t="inlineStr"/>
    </row>
    <row r="73">
      <c r="A73" s="3" t="inlineStr">
        <is>
          <t>OT-000070</t>
        </is>
      </c>
      <c r="B73" s="3" t="inlineStr">
        <is>
          <t>0010</t>
        </is>
      </c>
      <c r="C73" s="3">
        <f>tblOrdenes[[#This Row],[orden]]&amp;IF(tblOrdenes[[#This Row],[operacion]]="","0010",tblOrdenes[[#This Row],[operacion]])</f>
        <v/>
      </c>
      <c r="D73" s="3" t="inlineStr">
        <is>
          <t>Lubricación programada — EQ-108</t>
        </is>
      </c>
      <c r="E73" s="3" t="inlineStr">
        <is>
          <t>Lubricación programada en EQ-108</t>
        </is>
      </c>
      <c r="F73" s="3" t="inlineStr">
        <is>
          <t>EQ-108</t>
        </is>
      </c>
      <c r="G73" s="3" t="inlineStr">
        <is>
          <t>CC-220</t>
        </is>
      </c>
      <c r="H73" s="3" t="inlineStr">
        <is>
          <t>PU-ELE</t>
        </is>
      </c>
      <c r="I73" s="3" t="inlineStr">
        <is>
          <t>ACT-02</t>
        </is>
      </c>
      <c r="J73" s="3" t="inlineStr">
        <is>
          <t>TIPO-P1</t>
        </is>
      </c>
      <c r="K73" s="11" t="n">
        <v>46227</v>
      </c>
      <c r="L73" s="3" t="n">
        <v>8</v>
      </c>
      <c r="M73" s="10" t="n">
        <v>200</v>
      </c>
      <c r="N73" s="3">
        <f>_xlfn.XLOOKUP(_xlfn.XLOOKUP(tblOrdenes[[#This Row],[id_operacion]],tblEjecucion[id_operacion],tblEjecucion[estado_sistema],""),tblEstados[estado_sistema],tblEstados[estado_normalizado],"Pendiente")</f>
        <v/>
      </c>
      <c r="O73" s="3">
        <f>IF(tblOrdenes[[#This Row],[fecha_inicio]]="","","S"&amp;IF(_xlfn.ISOWEEKNUM(tblOrdenes[[#This Row],[fecha_inicio]])=53,1,_xlfn.ISOWEEKNUM(tblOrdenes[[#This Row],[fecha_inicio]])))</f>
        <v/>
      </c>
      <c r="P73" s="3">
        <f>IF(tblOrdenes[[#This Row],[fecha_inicio]]="","",YEAR(tblOrdenes[[#This Row],[fecha_inicio]]))</f>
        <v/>
      </c>
      <c r="Q73" s="3">
        <f>IF(tblOrdenes[[#This Row],[fecha_inicio]]="","",MONTH(tblOrdenes[[#This Row],[fecha_inicio]]))</f>
        <v/>
      </c>
      <c r="R73" s="3">
        <f>IF(tblOrdenes[[#This Row],[fecha_inicio]]="","",INDEX(lista_dias,WEEKDAY(tblOrdenes[[#This Row],[fecha_inicio]],2)))</f>
        <v/>
      </c>
      <c r="S73" s="3">
        <f>_xlfn.XLOOKUP(tblOrdenes[[#This Row],[tipo_ot]],tblTiposOT[codigo],tblTiposOT[clasificacion],"sin_clasificar")</f>
        <v/>
      </c>
      <c r="T73" s="3">
        <f>_xlfn.XLOOKUP(tblOrdenes[[#This Row],[centro_costo]],tblCECO[codigo],tblCECO[linea],"(sin catálogo)")</f>
        <v/>
      </c>
      <c r="U73" s="3">
        <f>_xlfn.XLOOKUP(tblOrdenes[[#This Row],[centro_costo]],tblCECO[codigo],tblCECO[area],"(sin catálogo)")</f>
        <v/>
      </c>
      <c r="V73" s="3">
        <f>_xlfn.XLOOKUP(tblOrdenes[[#This Row],[centro_costo]],tblCECO[codigo],tblCECO[coordinador],"(sin catálogo)")</f>
        <v/>
      </c>
      <c r="W73" s="3">
        <f>_xlfn.XLOOKUP(tblOrdenes[[#This Row],[puesto_trabajo]],tblPuestos[codigo],tblPuestos[especialidad],"(sin catálogo)")</f>
        <v/>
      </c>
      <c r="X73" s="3">
        <f>_xlfn.XLOOKUP(tblOrdenes[[#This Row],[cod_actividad]],tblActividades[codigo],tblActividades[descripcion],"(sin catálogo)")</f>
        <v/>
      </c>
      <c r="Y73" s="12">
        <f>IF(tblOrdenes[[#This Row],[fecha_inicio]]="","",TODAY()-tblOrdenes[[#This Row],[fecha_inicio]])</f>
        <v/>
      </c>
      <c r="Z73" s="3">
        <f>IF(tblOrdenes[[#This Row],[backlog_dias]]="","",IF(tblOrdenes[[#This Row],[backlog_dias]]&lt;0,"FUTURO",IF(tblOrdenes[[#This Row],[backlog_dias]]&gt;p_dias_backlog_max,"BACKLOG","MES CORRIENTE")))</f>
        <v/>
      </c>
      <c r="AA73" s="3">
        <f>IF(tblOrdenes[[#This Row],[backlog_dias]]="",FALSE,AND(tblOrdenes[[#This Row],[backlog_dias]]&gt;p_dias_backlog_min,tblOrdenes[[#This Row],[backlog_dias]]&lt;=p_dias_backlog_max))</f>
        <v/>
      </c>
      <c r="AB73" s="6" t="inlineStr">
        <is>
          <t>Técnico 05</t>
        </is>
      </c>
      <c r="AC7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3" s="10">
        <f>_xlfn.XLOOKUP(tblOrdenes[[#This Row],[id_operacion]],tblEjecucion[id_operacion],tblEjecucion[precio],0)</f>
        <v/>
      </c>
      <c r="AE73" s="10">
        <f>MAX(0,_xlfn.XLOOKUP(tblOrdenes[[#This Row],[id_operacion]],tblEjecucion[id_operacion],tblEjecucion[costo_plan_total],0)-tblOrdenes[[#This Row],[costo_servicio]])</f>
        <v/>
      </c>
      <c r="AF73" s="10">
        <f>tblOrdenes[[#This Row],[costo_servicio]]+tblOrdenes[[#This Row],[costo_materiales]]</f>
        <v/>
      </c>
      <c r="AG73" s="6" t="inlineStr"/>
      <c r="AH73" s="6" t="inlineStr"/>
      <c r="AI73" s="6" t="inlineStr">
        <is>
          <t>ACT-02.pdf</t>
        </is>
      </c>
      <c r="AJ73" s="3">
        <f>IF(tblOrdenes[[#This Row],[link_checklist]]="","",HYPERLINK(p_ruta_base_checklists&amp;tblOrdenes[[#This Row],[link_checklist]],"abrir"))</f>
        <v/>
      </c>
      <c r="AK73" s="6" t="inlineStr"/>
    </row>
    <row r="74">
      <c r="A74" s="3" t="inlineStr">
        <is>
          <t>OT-000071</t>
        </is>
      </c>
      <c r="B74" s="3" t="inlineStr">
        <is>
          <t>0010</t>
        </is>
      </c>
      <c r="C74" s="3">
        <f>tblOrdenes[[#This Row],[orden]]&amp;IF(tblOrdenes[[#This Row],[operacion]]="","0010",tblOrdenes[[#This Row],[operacion]])</f>
        <v/>
      </c>
      <c r="D74" s="3" t="inlineStr">
        <is>
          <t>Análisis predictivo — EQ-102</t>
        </is>
      </c>
      <c r="E74" s="3" t="inlineStr">
        <is>
          <t>Análisis predictivo en EQ-102</t>
        </is>
      </c>
      <c r="F74" s="3" t="inlineStr">
        <is>
          <t>EQ-102</t>
        </is>
      </c>
      <c r="G74" s="3" t="inlineStr">
        <is>
          <t>CC-120</t>
        </is>
      </c>
      <c r="H74" s="3" t="inlineStr">
        <is>
          <t>PU-ELE</t>
        </is>
      </c>
      <c r="I74" s="3" t="inlineStr">
        <is>
          <t>ACT-04</t>
        </is>
      </c>
      <c r="J74" s="3" t="inlineStr">
        <is>
          <t>TIPO-P2</t>
        </is>
      </c>
      <c r="K74" s="11" t="n">
        <v>46223</v>
      </c>
      <c r="L74" s="3" t="n">
        <v>6</v>
      </c>
      <c r="M74" s="10" t="n">
        <v>150</v>
      </c>
      <c r="N74" s="3">
        <f>_xlfn.XLOOKUP(_xlfn.XLOOKUP(tblOrdenes[[#This Row],[id_operacion]],tblEjecucion[id_operacion],tblEjecucion[estado_sistema],""),tblEstados[estado_sistema],tblEstados[estado_normalizado],"Pendiente")</f>
        <v/>
      </c>
      <c r="O74" s="3">
        <f>IF(tblOrdenes[[#This Row],[fecha_inicio]]="","","S"&amp;IF(_xlfn.ISOWEEKNUM(tblOrdenes[[#This Row],[fecha_inicio]])=53,1,_xlfn.ISOWEEKNUM(tblOrdenes[[#This Row],[fecha_inicio]])))</f>
        <v/>
      </c>
      <c r="P74" s="3">
        <f>IF(tblOrdenes[[#This Row],[fecha_inicio]]="","",YEAR(tblOrdenes[[#This Row],[fecha_inicio]]))</f>
        <v/>
      </c>
      <c r="Q74" s="3">
        <f>IF(tblOrdenes[[#This Row],[fecha_inicio]]="","",MONTH(tblOrdenes[[#This Row],[fecha_inicio]]))</f>
        <v/>
      </c>
      <c r="R74" s="3">
        <f>IF(tblOrdenes[[#This Row],[fecha_inicio]]="","",INDEX(lista_dias,WEEKDAY(tblOrdenes[[#This Row],[fecha_inicio]],2)))</f>
        <v/>
      </c>
      <c r="S74" s="3">
        <f>_xlfn.XLOOKUP(tblOrdenes[[#This Row],[tipo_ot]],tblTiposOT[codigo],tblTiposOT[clasificacion],"sin_clasificar")</f>
        <v/>
      </c>
      <c r="T74" s="3">
        <f>_xlfn.XLOOKUP(tblOrdenes[[#This Row],[centro_costo]],tblCECO[codigo],tblCECO[linea],"(sin catálogo)")</f>
        <v/>
      </c>
      <c r="U74" s="3">
        <f>_xlfn.XLOOKUP(tblOrdenes[[#This Row],[centro_costo]],tblCECO[codigo],tblCECO[area],"(sin catálogo)")</f>
        <v/>
      </c>
      <c r="V74" s="3">
        <f>_xlfn.XLOOKUP(tblOrdenes[[#This Row],[centro_costo]],tblCECO[codigo],tblCECO[coordinador],"(sin catálogo)")</f>
        <v/>
      </c>
      <c r="W74" s="3">
        <f>_xlfn.XLOOKUP(tblOrdenes[[#This Row],[puesto_trabajo]],tblPuestos[codigo],tblPuestos[especialidad],"(sin catálogo)")</f>
        <v/>
      </c>
      <c r="X74" s="3">
        <f>_xlfn.XLOOKUP(tblOrdenes[[#This Row],[cod_actividad]],tblActividades[codigo],tblActividades[descripcion],"(sin catálogo)")</f>
        <v/>
      </c>
      <c r="Y74" s="12">
        <f>IF(tblOrdenes[[#This Row],[fecha_inicio]]="","",TODAY()-tblOrdenes[[#This Row],[fecha_inicio]])</f>
        <v/>
      </c>
      <c r="Z74" s="3">
        <f>IF(tblOrdenes[[#This Row],[backlog_dias]]="","",IF(tblOrdenes[[#This Row],[backlog_dias]]&lt;0,"FUTURO",IF(tblOrdenes[[#This Row],[backlog_dias]]&gt;p_dias_backlog_max,"BACKLOG","MES CORRIENTE")))</f>
        <v/>
      </c>
      <c r="AA74" s="3">
        <f>IF(tblOrdenes[[#This Row],[backlog_dias]]="",FALSE,AND(tblOrdenes[[#This Row],[backlog_dias]]&gt;p_dias_backlog_min,tblOrdenes[[#This Row],[backlog_dias]]&lt;=p_dias_backlog_max))</f>
        <v/>
      </c>
      <c r="AB74" s="6" t="inlineStr">
        <is>
          <t>Técnico 06</t>
        </is>
      </c>
      <c r="AC7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4" s="10">
        <f>_xlfn.XLOOKUP(tblOrdenes[[#This Row],[id_operacion]],tblEjecucion[id_operacion],tblEjecucion[precio],0)</f>
        <v/>
      </c>
      <c r="AE74" s="10">
        <f>MAX(0,_xlfn.XLOOKUP(tblOrdenes[[#This Row],[id_operacion]],tblEjecucion[id_operacion],tblEjecucion[costo_plan_total],0)-tblOrdenes[[#This Row],[costo_servicio]])</f>
        <v/>
      </c>
      <c r="AF74" s="10">
        <f>tblOrdenes[[#This Row],[costo_servicio]]+tblOrdenes[[#This Row],[costo_materiales]]</f>
        <v/>
      </c>
      <c r="AG74" s="6" t="inlineStr"/>
      <c r="AH74" s="6" t="inlineStr"/>
      <c r="AI74" s="6" t="inlineStr">
        <is>
          <t>ACT-04.pdf</t>
        </is>
      </c>
      <c r="AJ74" s="3">
        <f>IF(tblOrdenes[[#This Row],[link_checklist]]="","",HYPERLINK(p_ruta_base_checklists&amp;tblOrdenes[[#This Row],[link_checklist]],"abrir"))</f>
        <v/>
      </c>
      <c r="AK74" s="6" t="inlineStr"/>
    </row>
    <row r="75">
      <c r="A75" s="3" t="inlineStr">
        <is>
          <t>OT-000072</t>
        </is>
      </c>
      <c r="B75" s="3" t="inlineStr">
        <is>
          <t>0010</t>
        </is>
      </c>
      <c r="C75" s="3">
        <f>tblOrdenes[[#This Row],[orden]]&amp;IF(tblOrdenes[[#This Row],[operacion]]="","0010",tblOrdenes[[#This Row],[operacion]])</f>
        <v/>
      </c>
      <c r="D75" s="3" t="inlineStr">
        <is>
          <t>Inspección de rutina — EQ-106</t>
        </is>
      </c>
      <c r="E75" s="3" t="inlineStr">
        <is>
          <t>Inspección de rutina en EQ-106</t>
        </is>
      </c>
      <c r="F75" s="3" t="inlineStr">
        <is>
          <t>EQ-106</t>
        </is>
      </c>
      <c r="G75" s="3" t="inlineStr">
        <is>
          <t>CC-220</t>
        </is>
      </c>
      <c r="H75" s="3" t="inlineStr">
        <is>
          <t>PU-ELE</t>
        </is>
      </c>
      <c r="I75" s="3" t="inlineStr">
        <is>
          <t>ACT-01</t>
        </is>
      </c>
      <c r="J75" s="3" t="inlineStr">
        <is>
          <t>TIPO-P1</t>
        </is>
      </c>
      <c r="K75" s="11" t="n">
        <v>46224</v>
      </c>
      <c r="L75" s="3" t="n">
        <v>10</v>
      </c>
      <c r="M75" s="10" t="n">
        <v>250</v>
      </c>
      <c r="N75" s="3">
        <f>_xlfn.XLOOKUP(_xlfn.XLOOKUP(tblOrdenes[[#This Row],[id_operacion]],tblEjecucion[id_operacion],tblEjecucion[estado_sistema],""),tblEstados[estado_sistema],tblEstados[estado_normalizado],"Pendiente")</f>
        <v/>
      </c>
      <c r="O75" s="3">
        <f>IF(tblOrdenes[[#This Row],[fecha_inicio]]="","","S"&amp;IF(_xlfn.ISOWEEKNUM(tblOrdenes[[#This Row],[fecha_inicio]])=53,1,_xlfn.ISOWEEKNUM(tblOrdenes[[#This Row],[fecha_inicio]])))</f>
        <v/>
      </c>
      <c r="P75" s="3">
        <f>IF(tblOrdenes[[#This Row],[fecha_inicio]]="","",YEAR(tblOrdenes[[#This Row],[fecha_inicio]]))</f>
        <v/>
      </c>
      <c r="Q75" s="3">
        <f>IF(tblOrdenes[[#This Row],[fecha_inicio]]="","",MONTH(tblOrdenes[[#This Row],[fecha_inicio]]))</f>
        <v/>
      </c>
      <c r="R75" s="3">
        <f>IF(tblOrdenes[[#This Row],[fecha_inicio]]="","",INDEX(lista_dias,WEEKDAY(tblOrdenes[[#This Row],[fecha_inicio]],2)))</f>
        <v/>
      </c>
      <c r="S75" s="3">
        <f>_xlfn.XLOOKUP(tblOrdenes[[#This Row],[tipo_ot]],tblTiposOT[codigo],tblTiposOT[clasificacion],"sin_clasificar")</f>
        <v/>
      </c>
      <c r="T75" s="3">
        <f>_xlfn.XLOOKUP(tblOrdenes[[#This Row],[centro_costo]],tblCECO[codigo],tblCECO[linea],"(sin catálogo)")</f>
        <v/>
      </c>
      <c r="U75" s="3">
        <f>_xlfn.XLOOKUP(tblOrdenes[[#This Row],[centro_costo]],tblCECO[codigo],tblCECO[area],"(sin catálogo)")</f>
        <v/>
      </c>
      <c r="V75" s="3">
        <f>_xlfn.XLOOKUP(tblOrdenes[[#This Row],[centro_costo]],tblCECO[codigo],tblCECO[coordinador],"(sin catálogo)")</f>
        <v/>
      </c>
      <c r="W75" s="3">
        <f>_xlfn.XLOOKUP(tblOrdenes[[#This Row],[puesto_trabajo]],tblPuestos[codigo],tblPuestos[especialidad],"(sin catálogo)")</f>
        <v/>
      </c>
      <c r="X75" s="3">
        <f>_xlfn.XLOOKUP(tblOrdenes[[#This Row],[cod_actividad]],tblActividades[codigo],tblActividades[descripcion],"(sin catálogo)")</f>
        <v/>
      </c>
      <c r="Y75" s="12">
        <f>IF(tblOrdenes[[#This Row],[fecha_inicio]]="","",TODAY()-tblOrdenes[[#This Row],[fecha_inicio]])</f>
        <v/>
      </c>
      <c r="Z75" s="3">
        <f>IF(tblOrdenes[[#This Row],[backlog_dias]]="","",IF(tblOrdenes[[#This Row],[backlog_dias]]&lt;0,"FUTURO",IF(tblOrdenes[[#This Row],[backlog_dias]]&gt;p_dias_backlog_max,"BACKLOG","MES CORRIENTE")))</f>
        <v/>
      </c>
      <c r="AA75" s="3">
        <f>IF(tblOrdenes[[#This Row],[backlog_dias]]="",FALSE,AND(tblOrdenes[[#This Row],[backlog_dias]]&gt;p_dias_backlog_min,tblOrdenes[[#This Row],[backlog_dias]]&lt;=p_dias_backlog_max))</f>
        <v/>
      </c>
      <c r="AB75" s="6" t="inlineStr"/>
      <c r="AC7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5" s="10">
        <f>_xlfn.XLOOKUP(tblOrdenes[[#This Row],[id_operacion]],tblEjecucion[id_operacion],tblEjecucion[precio],0)</f>
        <v/>
      </c>
      <c r="AE75" s="10">
        <f>MAX(0,_xlfn.XLOOKUP(tblOrdenes[[#This Row],[id_operacion]],tblEjecucion[id_operacion],tblEjecucion[costo_plan_total],0)-tblOrdenes[[#This Row],[costo_servicio]])</f>
        <v/>
      </c>
      <c r="AF75" s="10">
        <f>tblOrdenes[[#This Row],[costo_servicio]]+tblOrdenes[[#This Row],[costo_materiales]]</f>
        <v/>
      </c>
      <c r="AG75" s="6" t="inlineStr"/>
      <c r="AH75" s="6" t="inlineStr"/>
      <c r="AI75" s="6" t="inlineStr">
        <is>
          <t>ACT-01.pdf</t>
        </is>
      </c>
      <c r="AJ75" s="3">
        <f>IF(tblOrdenes[[#This Row],[link_checklist]]="","",HYPERLINK(p_ruta_base_checklists&amp;tblOrdenes[[#This Row],[link_checklist]],"abrir"))</f>
        <v/>
      </c>
      <c r="AK75" s="6" t="inlineStr"/>
    </row>
    <row r="76">
      <c r="A76" s="3" t="inlineStr">
        <is>
          <t>OT-000073</t>
        </is>
      </c>
      <c r="B76" s="3" t="inlineStr">
        <is>
          <t>0010</t>
        </is>
      </c>
      <c r="C76" s="3">
        <f>tblOrdenes[[#This Row],[orden]]&amp;IF(tblOrdenes[[#This Row],[operacion]]="","0010",tblOrdenes[[#This Row],[operacion]])</f>
        <v/>
      </c>
      <c r="D76" s="3" t="inlineStr">
        <is>
          <t>Lubricación programada — EQ-104</t>
        </is>
      </c>
      <c r="E76" s="3" t="inlineStr">
        <is>
          <t>Lubricación programada en EQ-104</t>
        </is>
      </c>
      <c r="F76" s="3" t="inlineStr">
        <is>
          <t>EQ-104</t>
        </is>
      </c>
      <c r="G76" s="3" t="inlineStr">
        <is>
          <t>CC-120</t>
        </is>
      </c>
      <c r="H76" s="3" t="inlineStr">
        <is>
          <t>PU-ELE</t>
        </is>
      </c>
      <c r="I76" s="3" t="inlineStr">
        <is>
          <t>ACT-02</t>
        </is>
      </c>
      <c r="J76" s="3" t="inlineStr">
        <is>
          <t>TIPO-P2</t>
        </is>
      </c>
      <c r="K76" s="11" t="n">
        <v>46225</v>
      </c>
      <c r="L76" s="3" t="n">
        <v>8</v>
      </c>
      <c r="M76" s="10" t="n">
        <v>200</v>
      </c>
      <c r="N76" s="3">
        <f>_xlfn.XLOOKUP(_xlfn.XLOOKUP(tblOrdenes[[#This Row],[id_operacion]],tblEjecucion[id_operacion],tblEjecucion[estado_sistema],""),tblEstados[estado_sistema],tblEstados[estado_normalizado],"Pendiente")</f>
        <v/>
      </c>
      <c r="O76" s="3">
        <f>IF(tblOrdenes[[#This Row],[fecha_inicio]]="","","S"&amp;IF(_xlfn.ISOWEEKNUM(tblOrdenes[[#This Row],[fecha_inicio]])=53,1,_xlfn.ISOWEEKNUM(tblOrdenes[[#This Row],[fecha_inicio]])))</f>
        <v/>
      </c>
      <c r="P76" s="3">
        <f>IF(tblOrdenes[[#This Row],[fecha_inicio]]="","",YEAR(tblOrdenes[[#This Row],[fecha_inicio]]))</f>
        <v/>
      </c>
      <c r="Q76" s="3">
        <f>IF(tblOrdenes[[#This Row],[fecha_inicio]]="","",MONTH(tblOrdenes[[#This Row],[fecha_inicio]]))</f>
        <v/>
      </c>
      <c r="R76" s="3">
        <f>IF(tblOrdenes[[#This Row],[fecha_inicio]]="","",INDEX(lista_dias,WEEKDAY(tblOrdenes[[#This Row],[fecha_inicio]],2)))</f>
        <v/>
      </c>
      <c r="S76" s="3">
        <f>_xlfn.XLOOKUP(tblOrdenes[[#This Row],[tipo_ot]],tblTiposOT[codigo],tblTiposOT[clasificacion],"sin_clasificar")</f>
        <v/>
      </c>
      <c r="T76" s="3">
        <f>_xlfn.XLOOKUP(tblOrdenes[[#This Row],[centro_costo]],tblCECO[codigo],tblCECO[linea],"(sin catálogo)")</f>
        <v/>
      </c>
      <c r="U76" s="3">
        <f>_xlfn.XLOOKUP(tblOrdenes[[#This Row],[centro_costo]],tblCECO[codigo],tblCECO[area],"(sin catálogo)")</f>
        <v/>
      </c>
      <c r="V76" s="3">
        <f>_xlfn.XLOOKUP(tblOrdenes[[#This Row],[centro_costo]],tblCECO[codigo],tblCECO[coordinador],"(sin catálogo)")</f>
        <v/>
      </c>
      <c r="W76" s="3">
        <f>_xlfn.XLOOKUP(tblOrdenes[[#This Row],[puesto_trabajo]],tblPuestos[codigo],tblPuestos[especialidad],"(sin catálogo)")</f>
        <v/>
      </c>
      <c r="X76" s="3">
        <f>_xlfn.XLOOKUP(tblOrdenes[[#This Row],[cod_actividad]],tblActividades[codigo],tblActividades[descripcion],"(sin catálogo)")</f>
        <v/>
      </c>
      <c r="Y76" s="12">
        <f>IF(tblOrdenes[[#This Row],[fecha_inicio]]="","",TODAY()-tblOrdenes[[#This Row],[fecha_inicio]])</f>
        <v/>
      </c>
      <c r="Z76" s="3">
        <f>IF(tblOrdenes[[#This Row],[backlog_dias]]="","",IF(tblOrdenes[[#This Row],[backlog_dias]]&lt;0,"FUTURO",IF(tblOrdenes[[#This Row],[backlog_dias]]&gt;p_dias_backlog_max,"BACKLOG","MES CORRIENTE")))</f>
        <v/>
      </c>
      <c r="AA76" s="3">
        <f>IF(tblOrdenes[[#This Row],[backlog_dias]]="",FALSE,AND(tblOrdenes[[#This Row],[backlog_dias]]&gt;p_dias_backlog_min,tblOrdenes[[#This Row],[backlog_dias]]&lt;=p_dias_backlog_max))</f>
        <v/>
      </c>
      <c r="AB76" s="6" t="inlineStr">
        <is>
          <t>Técnico 05</t>
        </is>
      </c>
      <c r="AC7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6" s="10">
        <f>_xlfn.XLOOKUP(tblOrdenes[[#This Row],[id_operacion]],tblEjecucion[id_operacion],tblEjecucion[precio],0)</f>
        <v/>
      </c>
      <c r="AE76" s="10">
        <f>MAX(0,_xlfn.XLOOKUP(tblOrdenes[[#This Row],[id_operacion]],tblEjecucion[id_operacion],tblEjecucion[costo_plan_total],0)-tblOrdenes[[#This Row],[costo_servicio]])</f>
        <v/>
      </c>
      <c r="AF76" s="10">
        <f>tblOrdenes[[#This Row],[costo_servicio]]+tblOrdenes[[#This Row],[costo_materiales]]</f>
        <v/>
      </c>
      <c r="AG76" s="6" t="inlineStr"/>
      <c r="AH76" s="6" t="inlineStr"/>
      <c r="AI76" s="6" t="inlineStr">
        <is>
          <t>ACT-02.pdf</t>
        </is>
      </c>
      <c r="AJ76" s="3">
        <f>IF(tblOrdenes[[#This Row],[link_checklist]]="","",HYPERLINK(p_ruta_base_checklists&amp;tblOrdenes[[#This Row],[link_checklist]],"abrir"))</f>
        <v/>
      </c>
      <c r="AK76" s="6" t="inlineStr"/>
    </row>
    <row r="77">
      <c r="A77" s="3" t="inlineStr">
        <is>
          <t>OT-000074</t>
        </is>
      </c>
      <c r="B77" s="3" t="inlineStr">
        <is>
          <t>0010</t>
        </is>
      </c>
      <c r="C77" s="3">
        <f>tblOrdenes[[#This Row],[orden]]&amp;IF(tblOrdenes[[#This Row],[operacion]]="","0010",tblOrdenes[[#This Row],[operacion]])</f>
        <v/>
      </c>
      <c r="D77" s="3" t="inlineStr">
        <is>
          <t>Análisis predictivo — EQ-108</t>
        </is>
      </c>
      <c r="E77" s="3" t="inlineStr">
        <is>
          <t>Análisis predictivo en EQ-108</t>
        </is>
      </c>
      <c r="F77" s="3" t="inlineStr">
        <is>
          <t>EQ-108</t>
        </is>
      </c>
      <c r="G77" s="3" t="inlineStr">
        <is>
          <t>CC-220</t>
        </is>
      </c>
      <c r="H77" s="3" t="inlineStr">
        <is>
          <t>PU-ELE</t>
        </is>
      </c>
      <c r="I77" s="3" t="inlineStr">
        <is>
          <t>ACT-04</t>
        </is>
      </c>
      <c r="J77" s="3" t="inlineStr">
        <is>
          <t>TIPO-P1</t>
        </is>
      </c>
      <c r="K77" s="11" t="n">
        <v>46226</v>
      </c>
      <c r="L77" s="3" t="n">
        <v>6</v>
      </c>
      <c r="M77" s="10" t="n">
        <v>150</v>
      </c>
      <c r="N77" s="3">
        <f>_xlfn.XLOOKUP(_xlfn.XLOOKUP(tblOrdenes[[#This Row],[id_operacion]],tblEjecucion[id_operacion],tblEjecucion[estado_sistema],""),tblEstados[estado_sistema],tblEstados[estado_normalizado],"Pendiente")</f>
        <v/>
      </c>
      <c r="O77" s="3">
        <f>IF(tblOrdenes[[#This Row],[fecha_inicio]]="","","S"&amp;IF(_xlfn.ISOWEEKNUM(tblOrdenes[[#This Row],[fecha_inicio]])=53,1,_xlfn.ISOWEEKNUM(tblOrdenes[[#This Row],[fecha_inicio]])))</f>
        <v/>
      </c>
      <c r="P77" s="3">
        <f>IF(tblOrdenes[[#This Row],[fecha_inicio]]="","",YEAR(tblOrdenes[[#This Row],[fecha_inicio]]))</f>
        <v/>
      </c>
      <c r="Q77" s="3">
        <f>IF(tblOrdenes[[#This Row],[fecha_inicio]]="","",MONTH(tblOrdenes[[#This Row],[fecha_inicio]]))</f>
        <v/>
      </c>
      <c r="R77" s="3">
        <f>IF(tblOrdenes[[#This Row],[fecha_inicio]]="","",INDEX(lista_dias,WEEKDAY(tblOrdenes[[#This Row],[fecha_inicio]],2)))</f>
        <v/>
      </c>
      <c r="S77" s="3">
        <f>_xlfn.XLOOKUP(tblOrdenes[[#This Row],[tipo_ot]],tblTiposOT[codigo],tblTiposOT[clasificacion],"sin_clasificar")</f>
        <v/>
      </c>
      <c r="T77" s="3">
        <f>_xlfn.XLOOKUP(tblOrdenes[[#This Row],[centro_costo]],tblCECO[codigo],tblCECO[linea],"(sin catálogo)")</f>
        <v/>
      </c>
      <c r="U77" s="3">
        <f>_xlfn.XLOOKUP(tblOrdenes[[#This Row],[centro_costo]],tblCECO[codigo],tblCECO[area],"(sin catálogo)")</f>
        <v/>
      </c>
      <c r="V77" s="3">
        <f>_xlfn.XLOOKUP(tblOrdenes[[#This Row],[centro_costo]],tblCECO[codigo],tblCECO[coordinador],"(sin catálogo)")</f>
        <v/>
      </c>
      <c r="W77" s="3">
        <f>_xlfn.XLOOKUP(tblOrdenes[[#This Row],[puesto_trabajo]],tblPuestos[codigo],tblPuestos[especialidad],"(sin catálogo)")</f>
        <v/>
      </c>
      <c r="X77" s="3">
        <f>_xlfn.XLOOKUP(tblOrdenes[[#This Row],[cod_actividad]],tblActividades[codigo],tblActividades[descripcion],"(sin catálogo)")</f>
        <v/>
      </c>
      <c r="Y77" s="12">
        <f>IF(tblOrdenes[[#This Row],[fecha_inicio]]="","",TODAY()-tblOrdenes[[#This Row],[fecha_inicio]])</f>
        <v/>
      </c>
      <c r="Z77" s="3">
        <f>IF(tblOrdenes[[#This Row],[backlog_dias]]="","",IF(tblOrdenes[[#This Row],[backlog_dias]]&lt;0,"FUTURO",IF(tblOrdenes[[#This Row],[backlog_dias]]&gt;p_dias_backlog_max,"BACKLOG","MES CORRIENTE")))</f>
        <v/>
      </c>
      <c r="AA77" s="3">
        <f>IF(tblOrdenes[[#This Row],[backlog_dias]]="",FALSE,AND(tblOrdenes[[#This Row],[backlog_dias]]&gt;p_dias_backlog_min,tblOrdenes[[#This Row],[backlog_dias]]&lt;=p_dias_backlog_max))</f>
        <v/>
      </c>
      <c r="AB77" s="6" t="inlineStr">
        <is>
          <t>Técnico 06</t>
        </is>
      </c>
      <c r="AC7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7" s="10">
        <f>_xlfn.XLOOKUP(tblOrdenes[[#This Row],[id_operacion]],tblEjecucion[id_operacion],tblEjecucion[precio],0)</f>
        <v/>
      </c>
      <c r="AE77" s="10">
        <f>MAX(0,_xlfn.XLOOKUP(tblOrdenes[[#This Row],[id_operacion]],tblEjecucion[id_operacion],tblEjecucion[costo_plan_total],0)-tblOrdenes[[#This Row],[costo_servicio]])</f>
        <v/>
      </c>
      <c r="AF77" s="10">
        <f>tblOrdenes[[#This Row],[costo_servicio]]+tblOrdenes[[#This Row],[costo_materiales]]</f>
        <v/>
      </c>
      <c r="AG77" s="6" t="inlineStr"/>
      <c r="AH77" s="6" t="inlineStr"/>
      <c r="AI77" s="6" t="inlineStr">
        <is>
          <t>ACT-04.pdf</t>
        </is>
      </c>
      <c r="AJ77" s="3">
        <f>IF(tblOrdenes[[#This Row],[link_checklist]]="","",HYPERLINK(p_ruta_base_checklists&amp;tblOrdenes[[#This Row],[link_checklist]],"abrir"))</f>
        <v/>
      </c>
      <c r="AK77" s="6" t="inlineStr"/>
    </row>
    <row r="78">
      <c r="A78" s="3" t="inlineStr">
        <is>
          <t>OT-000075</t>
        </is>
      </c>
      <c r="B78" s="3" t="inlineStr">
        <is>
          <t>0010</t>
        </is>
      </c>
      <c r="C78" s="3">
        <f>tblOrdenes[[#This Row],[orden]]&amp;IF(tblOrdenes[[#This Row],[operacion]]="","0010",tblOrdenes[[#This Row],[operacion]])</f>
        <v/>
      </c>
      <c r="D78" s="3" t="inlineStr">
        <is>
          <t>Inspección de rutina — EQ-101</t>
        </is>
      </c>
      <c r="E78" s="3" t="inlineStr">
        <is>
          <t>Inspección de rutina en EQ-101</t>
        </is>
      </c>
      <c r="F78" s="3" t="inlineStr">
        <is>
          <t>EQ-101</t>
        </is>
      </c>
      <c r="G78" s="3" t="inlineStr">
        <is>
          <t>CC-120</t>
        </is>
      </c>
      <c r="H78" s="3" t="inlineStr">
        <is>
          <t>PU-ELE</t>
        </is>
      </c>
      <c r="I78" s="3" t="inlineStr">
        <is>
          <t>ACT-01</t>
        </is>
      </c>
      <c r="J78" s="3" t="inlineStr">
        <is>
          <t>TIPO-P2</t>
        </is>
      </c>
      <c r="K78" s="11" t="n">
        <v>46227</v>
      </c>
      <c r="L78" s="3" t="n">
        <v>10</v>
      </c>
      <c r="M78" s="10" t="n">
        <v>250</v>
      </c>
      <c r="N78" s="3">
        <f>_xlfn.XLOOKUP(_xlfn.XLOOKUP(tblOrdenes[[#This Row],[id_operacion]],tblEjecucion[id_operacion],tblEjecucion[estado_sistema],""),tblEstados[estado_sistema],tblEstados[estado_normalizado],"Pendiente")</f>
        <v/>
      </c>
      <c r="O78" s="3">
        <f>IF(tblOrdenes[[#This Row],[fecha_inicio]]="","","S"&amp;IF(_xlfn.ISOWEEKNUM(tblOrdenes[[#This Row],[fecha_inicio]])=53,1,_xlfn.ISOWEEKNUM(tblOrdenes[[#This Row],[fecha_inicio]])))</f>
        <v/>
      </c>
      <c r="P78" s="3">
        <f>IF(tblOrdenes[[#This Row],[fecha_inicio]]="","",YEAR(tblOrdenes[[#This Row],[fecha_inicio]]))</f>
        <v/>
      </c>
      <c r="Q78" s="3">
        <f>IF(tblOrdenes[[#This Row],[fecha_inicio]]="","",MONTH(tblOrdenes[[#This Row],[fecha_inicio]]))</f>
        <v/>
      </c>
      <c r="R78" s="3">
        <f>IF(tblOrdenes[[#This Row],[fecha_inicio]]="","",INDEX(lista_dias,WEEKDAY(tblOrdenes[[#This Row],[fecha_inicio]],2)))</f>
        <v/>
      </c>
      <c r="S78" s="3">
        <f>_xlfn.XLOOKUP(tblOrdenes[[#This Row],[tipo_ot]],tblTiposOT[codigo],tblTiposOT[clasificacion],"sin_clasificar")</f>
        <v/>
      </c>
      <c r="T78" s="3">
        <f>_xlfn.XLOOKUP(tblOrdenes[[#This Row],[centro_costo]],tblCECO[codigo],tblCECO[linea],"(sin catálogo)")</f>
        <v/>
      </c>
      <c r="U78" s="3">
        <f>_xlfn.XLOOKUP(tblOrdenes[[#This Row],[centro_costo]],tblCECO[codigo],tblCECO[area],"(sin catálogo)")</f>
        <v/>
      </c>
      <c r="V78" s="3">
        <f>_xlfn.XLOOKUP(tblOrdenes[[#This Row],[centro_costo]],tblCECO[codigo],tblCECO[coordinador],"(sin catálogo)")</f>
        <v/>
      </c>
      <c r="W78" s="3">
        <f>_xlfn.XLOOKUP(tblOrdenes[[#This Row],[puesto_trabajo]],tblPuestos[codigo],tblPuestos[especialidad],"(sin catálogo)")</f>
        <v/>
      </c>
      <c r="X78" s="3">
        <f>_xlfn.XLOOKUP(tblOrdenes[[#This Row],[cod_actividad]],tblActividades[codigo],tblActividades[descripcion],"(sin catálogo)")</f>
        <v/>
      </c>
      <c r="Y78" s="12">
        <f>IF(tblOrdenes[[#This Row],[fecha_inicio]]="","",TODAY()-tblOrdenes[[#This Row],[fecha_inicio]])</f>
        <v/>
      </c>
      <c r="Z78" s="3">
        <f>IF(tblOrdenes[[#This Row],[backlog_dias]]="","",IF(tblOrdenes[[#This Row],[backlog_dias]]&lt;0,"FUTURO",IF(tblOrdenes[[#This Row],[backlog_dias]]&gt;p_dias_backlog_max,"BACKLOG","MES CORRIENTE")))</f>
        <v/>
      </c>
      <c r="AA78" s="3">
        <f>IF(tblOrdenes[[#This Row],[backlog_dias]]="",FALSE,AND(tblOrdenes[[#This Row],[backlog_dias]]&gt;p_dias_backlog_min,tblOrdenes[[#This Row],[backlog_dias]]&lt;=p_dias_backlog_max))</f>
        <v/>
      </c>
      <c r="AB78" s="6" t="inlineStr">
        <is>
          <t>Técnico 07</t>
        </is>
      </c>
      <c r="AC7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8" s="10">
        <f>_xlfn.XLOOKUP(tblOrdenes[[#This Row],[id_operacion]],tblEjecucion[id_operacion],tblEjecucion[precio],0)</f>
        <v/>
      </c>
      <c r="AE78" s="10">
        <f>MAX(0,_xlfn.XLOOKUP(tblOrdenes[[#This Row],[id_operacion]],tblEjecucion[id_operacion],tblEjecucion[costo_plan_total],0)-tblOrdenes[[#This Row],[costo_servicio]])</f>
        <v/>
      </c>
      <c r="AF78" s="10">
        <f>tblOrdenes[[#This Row],[costo_servicio]]+tblOrdenes[[#This Row],[costo_materiales]]</f>
        <v/>
      </c>
      <c r="AG78" s="6" t="inlineStr"/>
      <c r="AH78" s="6" t="inlineStr"/>
      <c r="AI78" s="6" t="inlineStr">
        <is>
          <t>ACT-01.pdf</t>
        </is>
      </c>
      <c r="AJ78" s="3">
        <f>IF(tblOrdenes[[#This Row],[link_checklist]]="","",HYPERLINK(p_ruta_base_checklists&amp;tblOrdenes[[#This Row],[link_checklist]],"abrir"))</f>
        <v/>
      </c>
      <c r="AK78" s="6" t="inlineStr"/>
    </row>
    <row r="79">
      <c r="A79" s="3" t="inlineStr">
        <is>
          <t>OT-000076</t>
        </is>
      </c>
      <c r="B79" s="3" t="inlineStr">
        <is>
          <t>0010</t>
        </is>
      </c>
      <c r="C79" s="3">
        <f>tblOrdenes[[#This Row],[orden]]&amp;IF(tblOrdenes[[#This Row],[operacion]]="","0010",tblOrdenes[[#This Row],[operacion]])</f>
        <v/>
      </c>
      <c r="D79" s="3" t="inlineStr">
        <is>
          <t>Lubricación programada — EQ-106</t>
        </is>
      </c>
      <c r="E79" s="3" t="inlineStr">
        <is>
          <t>Lubricación programada en EQ-106</t>
        </is>
      </c>
      <c r="F79" s="3" t="inlineStr">
        <is>
          <t>EQ-106</t>
        </is>
      </c>
      <c r="G79" s="3" t="inlineStr">
        <is>
          <t>CC-220</t>
        </is>
      </c>
      <c r="H79" s="3" t="inlineStr">
        <is>
          <t>PU-ELE</t>
        </is>
      </c>
      <c r="I79" s="3" t="inlineStr">
        <is>
          <t>ACT-02</t>
        </is>
      </c>
      <c r="J79" s="3" t="inlineStr">
        <is>
          <t>TIPO-P1</t>
        </is>
      </c>
      <c r="K79" s="11" t="n">
        <v>46223</v>
      </c>
      <c r="L79" s="3" t="n">
        <v>2</v>
      </c>
      <c r="M79" s="10" t="n">
        <v>50</v>
      </c>
      <c r="N79" s="3">
        <f>_xlfn.XLOOKUP(_xlfn.XLOOKUP(tblOrdenes[[#This Row],[id_operacion]],tblEjecucion[id_operacion],tblEjecucion[estado_sistema],""),tblEstados[estado_sistema],tblEstados[estado_normalizado],"Pendiente")</f>
        <v/>
      </c>
      <c r="O79" s="3">
        <f>IF(tblOrdenes[[#This Row],[fecha_inicio]]="","","S"&amp;IF(_xlfn.ISOWEEKNUM(tblOrdenes[[#This Row],[fecha_inicio]])=53,1,_xlfn.ISOWEEKNUM(tblOrdenes[[#This Row],[fecha_inicio]])))</f>
        <v/>
      </c>
      <c r="P79" s="3">
        <f>IF(tblOrdenes[[#This Row],[fecha_inicio]]="","",YEAR(tblOrdenes[[#This Row],[fecha_inicio]]))</f>
        <v/>
      </c>
      <c r="Q79" s="3">
        <f>IF(tblOrdenes[[#This Row],[fecha_inicio]]="","",MONTH(tblOrdenes[[#This Row],[fecha_inicio]]))</f>
        <v/>
      </c>
      <c r="R79" s="3">
        <f>IF(tblOrdenes[[#This Row],[fecha_inicio]]="","",INDEX(lista_dias,WEEKDAY(tblOrdenes[[#This Row],[fecha_inicio]],2)))</f>
        <v/>
      </c>
      <c r="S79" s="3">
        <f>_xlfn.XLOOKUP(tblOrdenes[[#This Row],[tipo_ot]],tblTiposOT[codigo],tblTiposOT[clasificacion],"sin_clasificar")</f>
        <v/>
      </c>
      <c r="T79" s="3">
        <f>_xlfn.XLOOKUP(tblOrdenes[[#This Row],[centro_costo]],tblCECO[codigo],tblCECO[linea],"(sin catálogo)")</f>
        <v/>
      </c>
      <c r="U79" s="3">
        <f>_xlfn.XLOOKUP(tblOrdenes[[#This Row],[centro_costo]],tblCECO[codigo],tblCECO[area],"(sin catálogo)")</f>
        <v/>
      </c>
      <c r="V79" s="3">
        <f>_xlfn.XLOOKUP(tblOrdenes[[#This Row],[centro_costo]],tblCECO[codigo],tblCECO[coordinador],"(sin catálogo)")</f>
        <v/>
      </c>
      <c r="W79" s="3">
        <f>_xlfn.XLOOKUP(tblOrdenes[[#This Row],[puesto_trabajo]],tblPuestos[codigo],tblPuestos[especialidad],"(sin catálogo)")</f>
        <v/>
      </c>
      <c r="X79" s="3">
        <f>_xlfn.XLOOKUP(tblOrdenes[[#This Row],[cod_actividad]],tblActividades[codigo],tblActividades[descripcion],"(sin catálogo)")</f>
        <v/>
      </c>
      <c r="Y79" s="12">
        <f>IF(tblOrdenes[[#This Row],[fecha_inicio]]="","",TODAY()-tblOrdenes[[#This Row],[fecha_inicio]])</f>
        <v/>
      </c>
      <c r="Z79" s="3">
        <f>IF(tblOrdenes[[#This Row],[backlog_dias]]="","",IF(tblOrdenes[[#This Row],[backlog_dias]]&lt;0,"FUTURO",IF(tblOrdenes[[#This Row],[backlog_dias]]&gt;p_dias_backlog_max,"BACKLOG","MES CORRIENTE")))</f>
        <v/>
      </c>
      <c r="AA79" s="3">
        <f>IF(tblOrdenes[[#This Row],[backlog_dias]]="",FALSE,AND(tblOrdenes[[#This Row],[backlog_dias]]&gt;p_dias_backlog_min,tblOrdenes[[#This Row],[backlog_dias]]&lt;=p_dias_backlog_max))</f>
        <v/>
      </c>
      <c r="AB79" s="6" t="inlineStr">
        <is>
          <t>Técnico 05</t>
        </is>
      </c>
      <c r="AC7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9" s="10">
        <f>_xlfn.XLOOKUP(tblOrdenes[[#This Row],[id_operacion]],tblEjecucion[id_operacion],tblEjecucion[precio],0)</f>
        <v/>
      </c>
      <c r="AE79" s="10">
        <f>MAX(0,_xlfn.XLOOKUP(tblOrdenes[[#This Row],[id_operacion]],tblEjecucion[id_operacion],tblEjecucion[costo_plan_total],0)-tblOrdenes[[#This Row],[costo_servicio]])</f>
        <v/>
      </c>
      <c r="AF79" s="10">
        <f>tblOrdenes[[#This Row],[costo_servicio]]+tblOrdenes[[#This Row],[costo_materiales]]</f>
        <v/>
      </c>
      <c r="AG79" s="6" t="inlineStr"/>
      <c r="AH79" s="6" t="inlineStr"/>
      <c r="AI79" s="6" t="inlineStr">
        <is>
          <t>ACT-02.pdf</t>
        </is>
      </c>
      <c r="AJ79" s="3">
        <f>IF(tblOrdenes[[#This Row],[link_checklist]]="","",HYPERLINK(p_ruta_base_checklists&amp;tblOrdenes[[#This Row],[link_checklist]],"abrir"))</f>
        <v/>
      </c>
      <c r="AK79" s="6" t="inlineStr"/>
    </row>
    <row r="80">
      <c r="A80" s="3" t="inlineStr">
        <is>
          <t>OT-000077</t>
        </is>
      </c>
      <c r="B80" s="3" t="inlineStr">
        <is>
          <t>0010</t>
        </is>
      </c>
      <c r="C80" s="3">
        <f>tblOrdenes[[#This Row],[orden]]&amp;IF(tblOrdenes[[#This Row],[operacion]]="","0010",tblOrdenes[[#This Row],[operacion]])</f>
        <v/>
      </c>
      <c r="D80" s="3" t="inlineStr">
        <is>
          <t>Reparación de falla — EQ-103</t>
        </is>
      </c>
      <c r="E80" s="3" t="inlineStr">
        <is>
          <t>Reparación de falla en EQ-103</t>
        </is>
      </c>
      <c r="F80" s="3" t="inlineStr">
        <is>
          <t>EQ-103</t>
        </is>
      </c>
      <c r="G80" s="3" t="inlineStr">
        <is>
          <t>CC-120</t>
        </is>
      </c>
      <c r="H80" s="3" t="inlineStr">
        <is>
          <t>PU-ELE</t>
        </is>
      </c>
      <c r="I80" s="3" t="inlineStr">
        <is>
          <t>ACT-03</t>
        </is>
      </c>
      <c r="J80" s="3" t="inlineStr">
        <is>
          <t>TIPO-C2</t>
        </is>
      </c>
      <c r="K80" s="11" t="n">
        <v>46224</v>
      </c>
      <c r="L80" s="3" t="n">
        <v>10</v>
      </c>
      <c r="M80" s="10" t="n">
        <v>400</v>
      </c>
      <c r="N80" s="3">
        <f>_xlfn.XLOOKUP(_xlfn.XLOOKUP(tblOrdenes[[#This Row],[id_operacion]],tblEjecucion[id_operacion],tblEjecucion[estado_sistema],""),tblEstados[estado_sistema],tblEstados[estado_normalizado],"Pendiente")</f>
        <v/>
      </c>
      <c r="O80" s="3">
        <f>IF(tblOrdenes[[#This Row],[fecha_inicio]]="","","S"&amp;IF(_xlfn.ISOWEEKNUM(tblOrdenes[[#This Row],[fecha_inicio]])=53,1,_xlfn.ISOWEEKNUM(tblOrdenes[[#This Row],[fecha_inicio]])))</f>
        <v/>
      </c>
      <c r="P80" s="3">
        <f>IF(tblOrdenes[[#This Row],[fecha_inicio]]="","",YEAR(tblOrdenes[[#This Row],[fecha_inicio]]))</f>
        <v/>
      </c>
      <c r="Q80" s="3">
        <f>IF(tblOrdenes[[#This Row],[fecha_inicio]]="","",MONTH(tblOrdenes[[#This Row],[fecha_inicio]]))</f>
        <v/>
      </c>
      <c r="R80" s="3">
        <f>IF(tblOrdenes[[#This Row],[fecha_inicio]]="","",INDEX(lista_dias,WEEKDAY(tblOrdenes[[#This Row],[fecha_inicio]],2)))</f>
        <v/>
      </c>
      <c r="S80" s="3">
        <f>_xlfn.XLOOKUP(tblOrdenes[[#This Row],[tipo_ot]],tblTiposOT[codigo],tblTiposOT[clasificacion],"sin_clasificar")</f>
        <v/>
      </c>
      <c r="T80" s="3">
        <f>_xlfn.XLOOKUP(tblOrdenes[[#This Row],[centro_costo]],tblCECO[codigo],tblCECO[linea],"(sin catálogo)")</f>
        <v/>
      </c>
      <c r="U80" s="3">
        <f>_xlfn.XLOOKUP(tblOrdenes[[#This Row],[centro_costo]],tblCECO[codigo],tblCECO[area],"(sin catálogo)")</f>
        <v/>
      </c>
      <c r="V80" s="3">
        <f>_xlfn.XLOOKUP(tblOrdenes[[#This Row],[centro_costo]],tblCECO[codigo],tblCECO[coordinador],"(sin catálogo)")</f>
        <v/>
      </c>
      <c r="W80" s="3">
        <f>_xlfn.XLOOKUP(tblOrdenes[[#This Row],[puesto_trabajo]],tblPuestos[codigo],tblPuestos[especialidad],"(sin catálogo)")</f>
        <v/>
      </c>
      <c r="X80" s="3">
        <f>_xlfn.XLOOKUP(tblOrdenes[[#This Row],[cod_actividad]],tblActividades[codigo],tblActividades[descripcion],"(sin catálogo)")</f>
        <v/>
      </c>
      <c r="Y80" s="12">
        <f>IF(tblOrdenes[[#This Row],[fecha_inicio]]="","",TODAY()-tblOrdenes[[#This Row],[fecha_inicio]])</f>
        <v/>
      </c>
      <c r="Z80" s="3">
        <f>IF(tblOrdenes[[#This Row],[backlog_dias]]="","",IF(tblOrdenes[[#This Row],[backlog_dias]]&lt;0,"FUTURO",IF(tblOrdenes[[#This Row],[backlog_dias]]&gt;p_dias_backlog_max,"BACKLOG","MES CORRIENTE")))</f>
        <v/>
      </c>
      <c r="AA80" s="3">
        <f>IF(tblOrdenes[[#This Row],[backlog_dias]]="",FALSE,AND(tblOrdenes[[#This Row],[backlog_dias]]&gt;p_dias_backlog_min,tblOrdenes[[#This Row],[backlog_dias]]&lt;=p_dias_backlog_max))</f>
        <v/>
      </c>
      <c r="AB80" s="6" t="inlineStr">
        <is>
          <t>Técnico 06</t>
        </is>
      </c>
      <c r="AC8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0" s="10">
        <f>_xlfn.XLOOKUP(tblOrdenes[[#This Row],[id_operacion]],tblEjecucion[id_operacion],tblEjecucion[precio],0)</f>
        <v/>
      </c>
      <c r="AE80" s="10">
        <f>MAX(0,_xlfn.XLOOKUP(tblOrdenes[[#This Row],[id_operacion]],tblEjecucion[id_operacion],tblEjecucion[costo_plan_total],0)-tblOrdenes[[#This Row],[costo_servicio]])</f>
        <v/>
      </c>
      <c r="AF80" s="10">
        <f>tblOrdenes[[#This Row],[costo_servicio]]+tblOrdenes[[#This Row],[costo_materiales]]</f>
        <v/>
      </c>
      <c r="AG80" s="6" t="inlineStr"/>
      <c r="AH80" s="6" t="inlineStr"/>
      <c r="AI80" s="6" t="inlineStr"/>
      <c r="AJ80" s="3">
        <f>IF(tblOrdenes[[#This Row],[link_checklist]]="","",HYPERLINK(p_ruta_base_checklists&amp;tblOrdenes[[#This Row],[link_checklist]],"abrir"))</f>
        <v/>
      </c>
      <c r="AK80" s="6" t="inlineStr"/>
    </row>
    <row r="81">
      <c r="A81" s="3" t="inlineStr">
        <is>
          <t>OT-000078</t>
        </is>
      </c>
      <c r="B81" s="3" t="inlineStr">
        <is>
          <t>0010</t>
        </is>
      </c>
      <c r="C81" s="3">
        <f>tblOrdenes[[#This Row],[orden]]&amp;IF(tblOrdenes[[#This Row],[operacion]]="","0010",tblOrdenes[[#This Row],[operacion]])</f>
        <v/>
      </c>
      <c r="D81" s="3" t="inlineStr">
        <is>
          <t>Inspección de rutina — EQ-108</t>
        </is>
      </c>
      <c r="E81" s="3" t="inlineStr">
        <is>
          <t>Inspección de rutina en EQ-108</t>
        </is>
      </c>
      <c r="F81" s="3" t="inlineStr">
        <is>
          <t>EQ-108</t>
        </is>
      </c>
      <c r="G81" s="3" t="inlineStr">
        <is>
          <t>CC-220</t>
        </is>
      </c>
      <c r="H81" s="3" t="inlineStr">
        <is>
          <t>PU-ELE</t>
        </is>
      </c>
      <c r="I81" s="3" t="inlineStr">
        <is>
          <t>ACT-01</t>
        </is>
      </c>
      <c r="J81" s="3" t="inlineStr">
        <is>
          <t>TIPO-P1</t>
        </is>
      </c>
      <c r="K81" s="11" t="n">
        <v>46232</v>
      </c>
      <c r="L81" s="3" t="n">
        <v>10</v>
      </c>
      <c r="M81" s="10" t="n">
        <v>250</v>
      </c>
      <c r="N81" s="3">
        <f>_xlfn.XLOOKUP(_xlfn.XLOOKUP(tblOrdenes[[#This Row],[id_operacion]],tblEjecucion[id_operacion],tblEjecucion[estado_sistema],""),tblEstados[estado_sistema],tblEstados[estado_normalizado],"Pendiente")</f>
        <v/>
      </c>
      <c r="O81" s="3">
        <f>IF(tblOrdenes[[#This Row],[fecha_inicio]]="","","S"&amp;IF(_xlfn.ISOWEEKNUM(tblOrdenes[[#This Row],[fecha_inicio]])=53,1,_xlfn.ISOWEEKNUM(tblOrdenes[[#This Row],[fecha_inicio]])))</f>
        <v/>
      </c>
      <c r="P81" s="3">
        <f>IF(tblOrdenes[[#This Row],[fecha_inicio]]="","",YEAR(tblOrdenes[[#This Row],[fecha_inicio]]))</f>
        <v/>
      </c>
      <c r="Q81" s="3">
        <f>IF(tblOrdenes[[#This Row],[fecha_inicio]]="","",MONTH(tblOrdenes[[#This Row],[fecha_inicio]]))</f>
        <v/>
      </c>
      <c r="R81" s="3">
        <f>IF(tblOrdenes[[#This Row],[fecha_inicio]]="","",INDEX(lista_dias,WEEKDAY(tblOrdenes[[#This Row],[fecha_inicio]],2)))</f>
        <v/>
      </c>
      <c r="S81" s="3">
        <f>_xlfn.XLOOKUP(tblOrdenes[[#This Row],[tipo_ot]],tblTiposOT[codigo],tblTiposOT[clasificacion],"sin_clasificar")</f>
        <v/>
      </c>
      <c r="T81" s="3">
        <f>_xlfn.XLOOKUP(tblOrdenes[[#This Row],[centro_costo]],tblCECO[codigo],tblCECO[linea],"(sin catálogo)")</f>
        <v/>
      </c>
      <c r="U81" s="3">
        <f>_xlfn.XLOOKUP(tblOrdenes[[#This Row],[centro_costo]],tblCECO[codigo],tblCECO[area],"(sin catálogo)")</f>
        <v/>
      </c>
      <c r="V81" s="3">
        <f>_xlfn.XLOOKUP(tblOrdenes[[#This Row],[centro_costo]],tblCECO[codigo],tblCECO[coordinador],"(sin catálogo)")</f>
        <v/>
      </c>
      <c r="W81" s="3">
        <f>_xlfn.XLOOKUP(tblOrdenes[[#This Row],[puesto_trabajo]],tblPuestos[codigo],tblPuestos[especialidad],"(sin catálogo)")</f>
        <v/>
      </c>
      <c r="X81" s="3">
        <f>_xlfn.XLOOKUP(tblOrdenes[[#This Row],[cod_actividad]],tblActividades[codigo],tblActividades[descripcion],"(sin catálogo)")</f>
        <v/>
      </c>
      <c r="Y81" s="12">
        <f>IF(tblOrdenes[[#This Row],[fecha_inicio]]="","",TODAY()-tblOrdenes[[#This Row],[fecha_inicio]])</f>
        <v/>
      </c>
      <c r="Z81" s="3">
        <f>IF(tblOrdenes[[#This Row],[backlog_dias]]="","",IF(tblOrdenes[[#This Row],[backlog_dias]]&lt;0,"FUTURO",IF(tblOrdenes[[#This Row],[backlog_dias]]&gt;p_dias_backlog_max,"BACKLOG","MES CORRIENTE")))</f>
        <v/>
      </c>
      <c r="AA81" s="3">
        <f>IF(tblOrdenes[[#This Row],[backlog_dias]]="",FALSE,AND(tblOrdenes[[#This Row],[backlog_dias]]&gt;p_dias_backlog_min,tblOrdenes[[#This Row],[backlog_dias]]&lt;=p_dias_backlog_max))</f>
        <v/>
      </c>
      <c r="AB81" s="6" t="inlineStr">
        <is>
          <t>Técnico 07</t>
        </is>
      </c>
      <c r="AC8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1" s="10">
        <f>_xlfn.XLOOKUP(tblOrdenes[[#This Row],[id_operacion]],tblEjecucion[id_operacion],tblEjecucion[precio],0)</f>
        <v/>
      </c>
      <c r="AE81" s="10">
        <f>MAX(0,_xlfn.XLOOKUP(tblOrdenes[[#This Row],[id_operacion]],tblEjecucion[id_operacion],tblEjecucion[costo_plan_total],0)-tblOrdenes[[#This Row],[costo_servicio]])</f>
        <v/>
      </c>
      <c r="AF81" s="10">
        <f>tblOrdenes[[#This Row],[costo_servicio]]+tblOrdenes[[#This Row],[costo_materiales]]</f>
        <v/>
      </c>
      <c r="AG81" s="6" t="inlineStr"/>
      <c r="AH81" s="6" t="inlineStr"/>
      <c r="AI81" s="6" t="inlineStr">
        <is>
          <t>ACT-01.pdf</t>
        </is>
      </c>
      <c r="AJ81" s="3">
        <f>IF(tblOrdenes[[#This Row],[link_checklist]]="","",HYPERLINK(p_ruta_base_checklists&amp;tblOrdenes[[#This Row],[link_checklist]],"abrir"))</f>
        <v/>
      </c>
      <c r="AK81" s="6" t="inlineStr"/>
    </row>
    <row r="82">
      <c r="A82" s="3" t="inlineStr">
        <is>
          <t>OT-000079</t>
        </is>
      </c>
      <c r="B82" s="3" t="inlineStr">
        <is>
          <t>0010</t>
        </is>
      </c>
      <c r="C82" s="3">
        <f>tblOrdenes[[#This Row],[orden]]&amp;IF(tblOrdenes[[#This Row],[operacion]]="","0010",tblOrdenes[[#This Row],[operacion]])</f>
        <v/>
      </c>
      <c r="D82" s="3" t="inlineStr">
        <is>
          <t>Lubricación programada — EQ-105</t>
        </is>
      </c>
      <c r="E82" s="3" t="inlineStr">
        <is>
          <t>Lubricación programada en EQ-105</t>
        </is>
      </c>
      <c r="F82" s="3" t="inlineStr">
        <is>
          <t>EQ-105</t>
        </is>
      </c>
      <c r="G82" s="3" t="inlineStr">
        <is>
          <t>CC-120</t>
        </is>
      </c>
      <c r="H82" s="3" t="inlineStr">
        <is>
          <t>PU-ELE</t>
        </is>
      </c>
      <c r="I82" s="3" t="inlineStr">
        <is>
          <t>ACT-02</t>
        </is>
      </c>
      <c r="J82" s="3" t="inlineStr">
        <is>
          <t>TIPO-P2</t>
        </is>
      </c>
      <c r="K82" s="11" t="n">
        <v>46233</v>
      </c>
      <c r="L82" s="3" t="n">
        <v>8</v>
      </c>
      <c r="M82" s="10" t="n">
        <v>200</v>
      </c>
      <c r="N82" s="3">
        <f>_xlfn.XLOOKUP(_xlfn.XLOOKUP(tblOrdenes[[#This Row],[id_operacion]],tblEjecucion[id_operacion],tblEjecucion[estado_sistema],""),tblEstados[estado_sistema],tblEstados[estado_normalizado],"Pendiente")</f>
        <v/>
      </c>
      <c r="O82" s="3">
        <f>IF(tblOrdenes[[#This Row],[fecha_inicio]]="","","S"&amp;IF(_xlfn.ISOWEEKNUM(tblOrdenes[[#This Row],[fecha_inicio]])=53,1,_xlfn.ISOWEEKNUM(tblOrdenes[[#This Row],[fecha_inicio]])))</f>
        <v/>
      </c>
      <c r="P82" s="3">
        <f>IF(tblOrdenes[[#This Row],[fecha_inicio]]="","",YEAR(tblOrdenes[[#This Row],[fecha_inicio]]))</f>
        <v/>
      </c>
      <c r="Q82" s="3">
        <f>IF(tblOrdenes[[#This Row],[fecha_inicio]]="","",MONTH(tblOrdenes[[#This Row],[fecha_inicio]]))</f>
        <v/>
      </c>
      <c r="R82" s="3">
        <f>IF(tblOrdenes[[#This Row],[fecha_inicio]]="","",INDEX(lista_dias,WEEKDAY(tblOrdenes[[#This Row],[fecha_inicio]],2)))</f>
        <v/>
      </c>
      <c r="S82" s="3">
        <f>_xlfn.XLOOKUP(tblOrdenes[[#This Row],[tipo_ot]],tblTiposOT[codigo],tblTiposOT[clasificacion],"sin_clasificar")</f>
        <v/>
      </c>
      <c r="T82" s="3">
        <f>_xlfn.XLOOKUP(tblOrdenes[[#This Row],[centro_costo]],tblCECO[codigo],tblCECO[linea],"(sin catálogo)")</f>
        <v/>
      </c>
      <c r="U82" s="3">
        <f>_xlfn.XLOOKUP(tblOrdenes[[#This Row],[centro_costo]],tblCECO[codigo],tblCECO[area],"(sin catálogo)")</f>
        <v/>
      </c>
      <c r="V82" s="3">
        <f>_xlfn.XLOOKUP(tblOrdenes[[#This Row],[centro_costo]],tblCECO[codigo],tblCECO[coordinador],"(sin catálogo)")</f>
        <v/>
      </c>
      <c r="W82" s="3">
        <f>_xlfn.XLOOKUP(tblOrdenes[[#This Row],[puesto_trabajo]],tblPuestos[codigo],tblPuestos[especialidad],"(sin catálogo)")</f>
        <v/>
      </c>
      <c r="X82" s="3">
        <f>_xlfn.XLOOKUP(tblOrdenes[[#This Row],[cod_actividad]],tblActividades[codigo],tblActividades[descripcion],"(sin catálogo)")</f>
        <v/>
      </c>
      <c r="Y82" s="12">
        <f>IF(tblOrdenes[[#This Row],[fecha_inicio]]="","",TODAY()-tblOrdenes[[#This Row],[fecha_inicio]])</f>
        <v/>
      </c>
      <c r="Z82" s="3">
        <f>IF(tblOrdenes[[#This Row],[backlog_dias]]="","",IF(tblOrdenes[[#This Row],[backlog_dias]]&lt;0,"FUTURO",IF(tblOrdenes[[#This Row],[backlog_dias]]&gt;p_dias_backlog_max,"BACKLOG","MES CORRIENTE")))</f>
        <v/>
      </c>
      <c r="AA82" s="3">
        <f>IF(tblOrdenes[[#This Row],[backlog_dias]]="",FALSE,AND(tblOrdenes[[#This Row],[backlog_dias]]&gt;p_dias_backlog_min,tblOrdenes[[#This Row],[backlog_dias]]&lt;=p_dias_backlog_max))</f>
        <v/>
      </c>
      <c r="AB82" s="6" t="inlineStr">
        <is>
          <t>Técnico 05</t>
        </is>
      </c>
      <c r="AC8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2" s="10">
        <f>_xlfn.XLOOKUP(tblOrdenes[[#This Row],[id_operacion]],tblEjecucion[id_operacion],tblEjecucion[precio],0)</f>
        <v/>
      </c>
      <c r="AE82" s="10">
        <f>MAX(0,_xlfn.XLOOKUP(tblOrdenes[[#This Row],[id_operacion]],tblEjecucion[id_operacion],tblEjecucion[costo_plan_total],0)-tblOrdenes[[#This Row],[costo_servicio]])</f>
        <v/>
      </c>
      <c r="AF82" s="10">
        <f>tblOrdenes[[#This Row],[costo_servicio]]+tblOrdenes[[#This Row],[costo_materiales]]</f>
        <v/>
      </c>
      <c r="AG82" s="6" t="inlineStr"/>
      <c r="AH82" s="6" t="inlineStr"/>
      <c r="AI82" s="6" t="inlineStr">
        <is>
          <t>ACT-02.pdf</t>
        </is>
      </c>
      <c r="AJ82" s="3">
        <f>IF(tblOrdenes[[#This Row],[link_checklist]]="","",HYPERLINK(p_ruta_base_checklists&amp;tblOrdenes[[#This Row],[link_checklist]],"abrir"))</f>
        <v/>
      </c>
      <c r="AK82" s="6" t="inlineStr"/>
    </row>
    <row r="83">
      <c r="A83" s="3" t="inlineStr">
        <is>
          <t>OT-000080</t>
        </is>
      </c>
      <c r="B83" s="3" t="inlineStr">
        <is>
          <t>0010</t>
        </is>
      </c>
      <c r="C83" s="3">
        <f>tblOrdenes[[#This Row],[orden]]&amp;IF(tblOrdenes[[#This Row],[operacion]]="","0010",tblOrdenes[[#This Row],[operacion]])</f>
        <v/>
      </c>
      <c r="D83" s="3" t="inlineStr">
        <is>
          <t>Análisis predictivo — EQ-106</t>
        </is>
      </c>
      <c r="E83" s="3" t="inlineStr">
        <is>
          <t>Análisis predictivo en EQ-106</t>
        </is>
      </c>
      <c r="F83" s="3" t="inlineStr">
        <is>
          <t>EQ-106</t>
        </is>
      </c>
      <c r="G83" s="3" t="inlineStr">
        <is>
          <t>CC-220</t>
        </is>
      </c>
      <c r="H83" s="3" t="inlineStr">
        <is>
          <t>PU-ELE</t>
        </is>
      </c>
      <c r="I83" s="3" t="inlineStr">
        <is>
          <t>ACT-04</t>
        </is>
      </c>
      <c r="J83" s="3" t="inlineStr">
        <is>
          <t>TIPO-P1</t>
        </is>
      </c>
      <c r="K83" s="11" t="n">
        <v>46234</v>
      </c>
      <c r="L83" s="3" t="n">
        <v>6</v>
      </c>
      <c r="M83" s="10" t="n">
        <v>150</v>
      </c>
      <c r="N83" s="3">
        <f>_xlfn.XLOOKUP(_xlfn.XLOOKUP(tblOrdenes[[#This Row],[id_operacion]],tblEjecucion[id_operacion],tblEjecucion[estado_sistema],""),tblEstados[estado_sistema],tblEstados[estado_normalizado],"Pendiente")</f>
        <v/>
      </c>
      <c r="O83" s="3">
        <f>IF(tblOrdenes[[#This Row],[fecha_inicio]]="","","S"&amp;IF(_xlfn.ISOWEEKNUM(tblOrdenes[[#This Row],[fecha_inicio]])=53,1,_xlfn.ISOWEEKNUM(tblOrdenes[[#This Row],[fecha_inicio]])))</f>
        <v/>
      </c>
      <c r="P83" s="3">
        <f>IF(tblOrdenes[[#This Row],[fecha_inicio]]="","",YEAR(tblOrdenes[[#This Row],[fecha_inicio]]))</f>
        <v/>
      </c>
      <c r="Q83" s="3">
        <f>IF(tblOrdenes[[#This Row],[fecha_inicio]]="","",MONTH(tblOrdenes[[#This Row],[fecha_inicio]]))</f>
        <v/>
      </c>
      <c r="R83" s="3">
        <f>IF(tblOrdenes[[#This Row],[fecha_inicio]]="","",INDEX(lista_dias,WEEKDAY(tblOrdenes[[#This Row],[fecha_inicio]],2)))</f>
        <v/>
      </c>
      <c r="S83" s="3">
        <f>_xlfn.XLOOKUP(tblOrdenes[[#This Row],[tipo_ot]],tblTiposOT[codigo],tblTiposOT[clasificacion],"sin_clasificar")</f>
        <v/>
      </c>
      <c r="T83" s="3">
        <f>_xlfn.XLOOKUP(tblOrdenes[[#This Row],[centro_costo]],tblCECO[codigo],tblCECO[linea],"(sin catálogo)")</f>
        <v/>
      </c>
      <c r="U83" s="3">
        <f>_xlfn.XLOOKUP(tblOrdenes[[#This Row],[centro_costo]],tblCECO[codigo],tblCECO[area],"(sin catálogo)")</f>
        <v/>
      </c>
      <c r="V83" s="3">
        <f>_xlfn.XLOOKUP(tblOrdenes[[#This Row],[centro_costo]],tblCECO[codigo],tblCECO[coordinador],"(sin catálogo)")</f>
        <v/>
      </c>
      <c r="W83" s="3">
        <f>_xlfn.XLOOKUP(tblOrdenes[[#This Row],[puesto_trabajo]],tblPuestos[codigo],tblPuestos[especialidad],"(sin catálogo)")</f>
        <v/>
      </c>
      <c r="X83" s="3">
        <f>_xlfn.XLOOKUP(tblOrdenes[[#This Row],[cod_actividad]],tblActividades[codigo],tblActividades[descripcion],"(sin catálogo)")</f>
        <v/>
      </c>
      <c r="Y83" s="12">
        <f>IF(tblOrdenes[[#This Row],[fecha_inicio]]="","",TODAY()-tblOrdenes[[#This Row],[fecha_inicio]])</f>
        <v/>
      </c>
      <c r="Z83" s="3">
        <f>IF(tblOrdenes[[#This Row],[backlog_dias]]="","",IF(tblOrdenes[[#This Row],[backlog_dias]]&lt;0,"FUTURO",IF(tblOrdenes[[#This Row],[backlog_dias]]&gt;p_dias_backlog_max,"BACKLOG","MES CORRIENTE")))</f>
        <v/>
      </c>
      <c r="AA83" s="3">
        <f>IF(tblOrdenes[[#This Row],[backlog_dias]]="",FALSE,AND(tblOrdenes[[#This Row],[backlog_dias]]&gt;p_dias_backlog_min,tblOrdenes[[#This Row],[backlog_dias]]&lt;=p_dias_backlog_max))</f>
        <v/>
      </c>
      <c r="AB83" s="6" t="inlineStr">
        <is>
          <t>Técnico 06</t>
        </is>
      </c>
      <c r="AC8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3" s="10">
        <f>_xlfn.XLOOKUP(tblOrdenes[[#This Row],[id_operacion]],tblEjecucion[id_operacion],tblEjecucion[precio],0)</f>
        <v/>
      </c>
      <c r="AE83" s="10">
        <f>MAX(0,_xlfn.XLOOKUP(tblOrdenes[[#This Row],[id_operacion]],tblEjecucion[id_operacion],tblEjecucion[costo_plan_total],0)-tblOrdenes[[#This Row],[costo_servicio]])</f>
        <v/>
      </c>
      <c r="AF83" s="10">
        <f>tblOrdenes[[#This Row],[costo_servicio]]+tblOrdenes[[#This Row],[costo_materiales]]</f>
        <v/>
      </c>
      <c r="AG83" s="6" t="inlineStr"/>
      <c r="AH83" s="6" t="inlineStr"/>
      <c r="AI83" s="6" t="inlineStr">
        <is>
          <t>ACT-04.pdf</t>
        </is>
      </c>
      <c r="AJ83" s="3">
        <f>IF(tblOrdenes[[#This Row],[link_checklist]]="","",HYPERLINK(p_ruta_base_checklists&amp;tblOrdenes[[#This Row],[link_checklist]],"abrir"))</f>
        <v/>
      </c>
      <c r="AK83" s="6" t="inlineStr"/>
    </row>
    <row r="84">
      <c r="A84" s="3" t="inlineStr">
        <is>
          <t>OT-000081</t>
        </is>
      </c>
      <c r="B84" s="3" t="inlineStr">
        <is>
          <t>0010</t>
        </is>
      </c>
      <c r="C84" s="3">
        <f>tblOrdenes[[#This Row],[orden]]&amp;IF(tblOrdenes[[#This Row],[operacion]]="","0010",tblOrdenes[[#This Row],[operacion]])</f>
        <v/>
      </c>
      <c r="D84" s="3" t="inlineStr">
        <is>
          <t>Inspección de rutina — EQ-102</t>
        </is>
      </c>
      <c r="E84" s="3" t="inlineStr">
        <is>
          <t>Inspección de rutina en EQ-102</t>
        </is>
      </c>
      <c r="F84" s="3" t="inlineStr">
        <is>
          <t>EQ-102</t>
        </is>
      </c>
      <c r="G84" s="3" t="inlineStr">
        <is>
          <t>CC-120</t>
        </is>
      </c>
      <c r="H84" s="3" t="inlineStr">
        <is>
          <t>PU-ELE</t>
        </is>
      </c>
      <c r="I84" s="3" t="inlineStr">
        <is>
          <t>ACT-01</t>
        </is>
      </c>
      <c r="J84" s="3" t="inlineStr">
        <is>
          <t>TIPO-P2</t>
        </is>
      </c>
      <c r="K84" s="11" t="n">
        <v>46230</v>
      </c>
      <c r="L84" s="3" t="n">
        <v>10</v>
      </c>
      <c r="M84" s="10" t="n">
        <v>250</v>
      </c>
      <c r="N84" s="3">
        <f>_xlfn.XLOOKUP(_xlfn.XLOOKUP(tblOrdenes[[#This Row],[id_operacion]],tblEjecucion[id_operacion],tblEjecucion[estado_sistema],""),tblEstados[estado_sistema],tblEstados[estado_normalizado],"Pendiente")</f>
        <v/>
      </c>
      <c r="O84" s="3">
        <f>IF(tblOrdenes[[#This Row],[fecha_inicio]]="","","S"&amp;IF(_xlfn.ISOWEEKNUM(tblOrdenes[[#This Row],[fecha_inicio]])=53,1,_xlfn.ISOWEEKNUM(tblOrdenes[[#This Row],[fecha_inicio]])))</f>
        <v/>
      </c>
      <c r="P84" s="3">
        <f>IF(tblOrdenes[[#This Row],[fecha_inicio]]="","",YEAR(tblOrdenes[[#This Row],[fecha_inicio]]))</f>
        <v/>
      </c>
      <c r="Q84" s="3">
        <f>IF(tblOrdenes[[#This Row],[fecha_inicio]]="","",MONTH(tblOrdenes[[#This Row],[fecha_inicio]]))</f>
        <v/>
      </c>
      <c r="R84" s="3">
        <f>IF(tblOrdenes[[#This Row],[fecha_inicio]]="","",INDEX(lista_dias,WEEKDAY(tblOrdenes[[#This Row],[fecha_inicio]],2)))</f>
        <v/>
      </c>
      <c r="S84" s="3">
        <f>_xlfn.XLOOKUP(tblOrdenes[[#This Row],[tipo_ot]],tblTiposOT[codigo],tblTiposOT[clasificacion],"sin_clasificar")</f>
        <v/>
      </c>
      <c r="T84" s="3">
        <f>_xlfn.XLOOKUP(tblOrdenes[[#This Row],[centro_costo]],tblCECO[codigo],tblCECO[linea],"(sin catálogo)")</f>
        <v/>
      </c>
      <c r="U84" s="3">
        <f>_xlfn.XLOOKUP(tblOrdenes[[#This Row],[centro_costo]],tblCECO[codigo],tblCECO[area],"(sin catálogo)")</f>
        <v/>
      </c>
      <c r="V84" s="3">
        <f>_xlfn.XLOOKUP(tblOrdenes[[#This Row],[centro_costo]],tblCECO[codigo],tblCECO[coordinador],"(sin catálogo)")</f>
        <v/>
      </c>
      <c r="W84" s="3">
        <f>_xlfn.XLOOKUP(tblOrdenes[[#This Row],[puesto_trabajo]],tblPuestos[codigo],tblPuestos[especialidad],"(sin catálogo)")</f>
        <v/>
      </c>
      <c r="X84" s="3">
        <f>_xlfn.XLOOKUP(tblOrdenes[[#This Row],[cod_actividad]],tblActividades[codigo],tblActividades[descripcion],"(sin catálogo)")</f>
        <v/>
      </c>
      <c r="Y84" s="12">
        <f>IF(tblOrdenes[[#This Row],[fecha_inicio]]="","",TODAY()-tblOrdenes[[#This Row],[fecha_inicio]])</f>
        <v/>
      </c>
      <c r="Z84" s="3">
        <f>IF(tblOrdenes[[#This Row],[backlog_dias]]="","",IF(tblOrdenes[[#This Row],[backlog_dias]]&lt;0,"FUTURO",IF(tblOrdenes[[#This Row],[backlog_dias]]&gt;p_dias_backlog_max,"BACKLOG","MES CORRIENTE")))</f>
        <v/>
      </c>
      <c r="AA84" s="3">
        <f>IF(tblOrdenes[[#This Row],[backlog_dias]]="",FALSE,AND(tblOrdenes[[#This Row],[backlog_dias]]&gt;p_dias_backlog_min,tblOrdenes[[#This Row],[backlog_dias]]&lt;=p_dias_backlog_max))</f>
        <v/>
      </c>
      <c r="AB84" s="6" t="inlineStr">
        <is>
          <t>Técnico 07</t>
        </is>
      </c>
      <c r="AC8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4" s="10">
        <f>_xlfn.XLOOKUP(tblOrdenes[[#This Row],[id_operacion]],tblEjecucion[id_operacion],tblEjecucion[precio],0)</f>
        <v/>
      </c>
      <c r="AE84" s="10">
        <f>MAX(0,_xlfn.XLOOKUP(tblOrdenes[[#This Row],[id_operacion]],tblEjecucion[id_operacion],tblEjecucion[costo_plan_total],0)-tblOrdenes[[#This Row],[costo_servicio]])</f>
        <v/>
      </c>
      <c r="AF84" s="10">
        <f>tblOrdenes[[#This Row],[costo_servicio]]+tblOrdenes[[#This Row],[costo_materiales]]</f>
        <v/>
      </c>
      <c r="AG84" s="6" t="inlineStr"/>
      <c r="AH84" s="6" t="inlineStr"/>
      <c r="AI84" s="6" t="inlineStr">
        <is>
          <t>ACT-01.pdf</t>
        </is>
      </c>
      <c r="AJ84" s="3">
        <f>IF(tblOrdenes[[#This Row],[link_checklist]]="","",HYPERLINK(p_ruta_base_checklists&amp;tblOrdenes[[#This Row],[link_checklist]],"abrir"))</f>
        <v/>
      </c>
      <c r="AK84" s="6" t="inlineStr"/>
    </row>
    <row r="85">
      <c r="A85" s="3" t="inlineStr">
        <is>
          <t>OT-000082</t>
        </is>
      </c>
      <c r="B85" s="3" t="inlineStr">
        <is>
          <t>0010</t>
        </is>
      </c>
      <c r="C85" s="3">
        <f>tblOrdenes[[#This Row],[orden]]&amp;IF(tblOrdenes[[#This Row],[operacion]]="","0010",tblOrdenes[[#This Row],[operacion]])</f>
        <v/>
      </c>
      <c r="D85" s="3" t="inlineStr">
        <is>
          <t>Lubricación programada — EQ-108</t>
        </is>
      </c>
      <c r="E85" s="3" t="inlineStr">
        <is>
          <t>Lubricación programada en EQ-108</t>
        </is>
      </c>
      <c r="F85" s="3" t="inlineStr">
        <is>
          <t>EQ-108</t>
        </is>
      </c>
      <c r="G85" s="3" t="inlineStr">
        <is>
          <t>CC-220</t>
        </is>
      </c>
      <c r="H85" s="3" t="inlineStr">
        <is>
          <t>PU-ELE</t>
        </is>
      </c>
      <c r="I85" s="3" t="inlineStr">
        <is>
          <t>ACT-02</t>
        </is>
      </c>
      <c r="J85" s="3" t="inlineStr">
        <is>
          <t>TIPO-P1</t>
        </is>
      </c>
      <c r="K85" s="11" t="n">
        <v>46231</v>
      </c>
      <c r="L85" s="3" t="n">
        <v>8</v>
      </c>
      <c r="M85" s="10" t="n">
        <v>200</v>
      </c>
      <c r="N85" s="3">
        <f>_xlfn.XLOOKUP(_xlfn.XLOOKUP(tblOrdenes[[#This Row],[id_operacion]],tblEjecucion[id_operacion],tblEjecucion[estado_sistema],""),tblEstados[estado_sistema],tblEstados[estado_normalizado],"Pendiente")</f>
        <v/>
      </c>
      <c r="O85" s="3">
        <f>IF(tblOrdenes[[#This Row],[fecha_inicio]]="","","S"&amp;IF(_xlfn.ISOWEEKNUM(tblOrdenes[[#This Row],[fecha_inicio]])=53,1,_xlfn.ISOWEEKNUM(tblOrdenes[[#This Row],[fecha_inicio]])))</f>
        <v/>
      </c>
      <c r="P85" s="3">
        <f>IF(tblOrdenes[[#This Row],[fecha_inicio]]="","",YEAR(tblOrdenes[[#This Row],[fecha_inicio]]))</f>
        <v/>
      </c>
      <c r="Q85" s="3">
        <f>IF(tblOrdenes[[#This Row],[fecha_inicio]]="","",MONTH(tblOrdenes[[#This Row],[fecha_inicio]]))</f>
        <v/>
      </c>
      <c r="R85" s="3">
        <f>IF(tblOrdenes[[#This Row],[fecha_inicio]]="","",INDEX(lista_dias,WEEKDAY(tblOrdenes[[#This Row],[fecha_inicio]],2)))</f>
        <v/>
      </c>
      <c r="S85" s="3">
        <f>_xlfn.XLOOKUP(tblOrdenes[[#This Row],[tipo_ot]],tblTiposOT[codigo],tblTiposOT[clasificacion],"sin_clasificar")</f>
        <v/>
      </c>
      <c r="T85" s="3">
        <f>_xlfn.XLOOKUP(tblOrdenes[[#This Row],[centro_costo]],tblCECO[codigo],tblCECO[linea],"(sin catálogo)")</f>
        <v/>
      </c>
      <c r="U85" s="3">
        <f>_xlfn.XLOOKUP(tblOrdenes[[#This Row],[centro_costo]],tblCECO[codigo],tblCECO[area],"(sin catálogo)")</f>
        <v/>
      </c>
      <c r="V85" s="3">
        <f>_xlfn.XLOOKUP(tblOrdenes[[#This Row],[centro_costo]],tblCECO[codigo],tblCECO[coordinador],"(sin catálogo)")</f>
        <v/>
      </c>
      <c r="W85" s="3">
        <f>_xlfn.XLOOKUP(tblOrdenes[[#This Row],[puesto_trabajo]],tblPuestos[codigo],tblPuestos[especialidad],"(sin catálogo)")</f>
        <v/>
      </c>
      <c r="X85" s="3">
        <f>_xlfn.XLOOKUP(tblOrdenes[[#This Row],[cod_actividad]],tblActividades[codigo],tblActividades[descripcion],"(sin catálogo)")</f>
        <v/>
      </c>
      <c r="Y85" s="12">
        <f>IF(tblOrdenes[[#This Row],[fecha_inicio]]="","",TODAY()-tblOrdenes[[#This Row],[fecha_inicio]])</f>
        <v/>
      </c>
      <c r="Z85" s="3">
        <f>IF(tblOrdenes[[#This Row],[backlog_dias]]="","",IF(tblOrdenes[[#This Row],[backlog_dias]]&lt;0,"FUTURO",IF(tblOrdenes[[#This Row],[backlog_dias]]&gt;p_dias_backlog_max,"BACKLOG","MES CORRIENTE")))</f>
        <v/>
      </c>
      <c r="AA85" s="3">
        <f>IF(tblOrdenes[[#This Row],[backlog_dias]]="",FALSE,AND(tblOrdenes[[#This Row],[backlog_dias]]&gt;p_dias_backlog_min,tblOrdenes[[#This Row],[backlog_dias]]&lt;=p_dias_backlog_max))</f>
        <v/>
      </c>
      <c r="AB85" s="6" t="inlineStr">
        <is>
          <t>Técnico 05</t>
        </is>
      </c>
      <c r="AC8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5" s="10">
        <f>_xlfn.XLOOKUP(tblOrdenes[[#This Row],[id_operacion]],tblEjecucion[id_operacion],tblEjecucion[precio],0)</f>
        <v/>
      </c>
      <c r="AE85" s="10">
        <f>MAX(0,_xlfn.XLOOKUP(tblOrdenes[[#This Row],[id_operacion]],tblEjecucion[id_operacion],tblEjecucion[costo_plan_total],0)-tblOrdenes[[#This Row],[costo_servicio]])</f>
        <v/>
      </c>
      <c r="AF85" s="10">
        <f>tblOrdenes[[#This Row],[costo_servicio]]+tblOrdenes[[#This Row],[costo_materiales]]</f>
        <v/>
      </c>
      <c r="AG85" s="6" t="inlineStr"/>
      <c r="AH85" s="6" t="inlineStr"/>
      <c r="AI85" s="6" t="inlineStr">
        <is>
          <t>ACT-02.pdf</t>
        </is>
      </c>
      <c r="AJ85" s="3">
        <f>IF(tblOrdenes[[#This Row],[link_checklist]]="","",HYPERLINK(p_ruta_base_checklists&amp;tblOrdenes[[#This Row],[link_checklist]],"abrir"))</f>
        <v/>
      </c>
      <c r="AK85" s="6" t="inlineStr"/>
    </row>
    <row r="86">
      <c r="A86" s="3" t="inlineStr">
        <is>
          <t>OT-000083</t>
        </is>
      </c>
      <c r="B86" s="3" t="inlineStr">
        <is>
          <t>0010</t>
        </is>
      </c>
      <c r="C86" s="3">
        <f>tblOrdenes[[#This Row],[orden]]&amp;IF(tblOrdenes[[#This Row],[operacion]]="","0010",tblOrdenes[[#This Row],[operacion]])</f>
        <v/>
      </c>
      <c r="D86" s="3" t="inlineStr">
        <is>
          <t>Análisis predictivo — EQ-104</t>
        </is>
      </c>
      <c r="E86" s="3" t="inlineStr">
        <is>
          <t>Análisis predictivo en EQ-104</t>
        </is>
      </c>
      <c r="F86" s="3" t="inlineStr">
        <is>
          <t>EQ-104</t>
        </is>
      </c>
      <c r="G86" s="3" t="inlineStr">
        <is>
          <t>CC-120</t>
        </is>
      </c>
      <c r="H86" s="3" t="inlineStr">
        <is>
          <t>PU-ELE</t>
        </is>
      </c>
      <c r="I86" s="3" t="inlineStr">
        <is>
          <t>ACT-04</t>
        </is>
      </c>
      <c r="J86" s="3" t="inlineStr">
        <is>
          <t>TIPO-P2</t>
        </is>
      </c>
      <c r="K86" s="11" t="n">
        <v>46232</v>
      </c>
      <c r="L86" s="3" t="n">
        <v>8</v>
      </c>
      <c r="M86" s="10" t="n">
        <v>200</v>
      </c>
      <c r="N86" s="3">
        <f>_xlfn.XLOOKUP(_xlfn.XLOOKUP(tblOrdenes[[#This Row],[id_operacion]],tblEjecucion[id_operacion],tblEjecucion[estado_sistema],""),tblEstados[estado_sistema],tblEstados[estado_normalizado],"Pendiente")</f>
        <v/>
      </c>
      <c r="O86" s="3">
        <f>IF(tblOrdenes[[#This Row],[fecha_inicio]]="","","S"&amp;IF(_xlfn.ISOWEEKNUM(tblOrdenes[[#This Row],[fecha_inicio]])=53,1,_xlfn.ISOWEEKNUM(tblOrdenes[[#This Row],[fecha_inicio]])))</f>
        <v/>
      </c>
      <c r="P86" s="3">
        <f>IF(tblOrdenes[[#This Row],[fecha_inicio]]="","",YEAR(tblOrdenes[[#This Row],[fecha_inicio]]))</f>
        <v/>
      </c>
      <c r="Q86" s="3">
        <f>IF(tblOrdenes[[#This Row],[fecha_inicio]]="","",MONTH(tblOrdenes[[#This Row],[fecha_inicio]]))</f>
        <v/>
      </c>
      <c r="R86" s="3">
        <f>IF(tblOrdenes[[#This Row],[fecha_inicio]]="","",INDEX(lista_dias,WEEKDAY(tblOrdenes[[#This Row],[fecha_inicio]],2)))</f>
        <v/>
      </c>
      <c r="S86" s="3">
        <f>_xlfn.XLOOKUP(tblOrdenes[[#This Row],[tipo_ot]],tblTiposOT[codigo],tblTiposOT[clasificacion],"sin_clasificar")</f>
        <v/>
      </c>
      <c r="T86" s="3">
        <f>_xlfn.XLOOKUP(tblOrdenes[[#This Row],[centro_costo]],tblCECO[codigo],tblCECO[linea],"(sin catálogo)")</f>
        <v/>
      </c>
      <c r="U86" s="3">
        <f>_xlfn.XLOOKUP(tblOrdenes[[#This Row],[centro_costo]],tblCECO[codigo],tblCECO[area],"(sin catálogo)")</f>
        <v/>
      </c>
      <c r="V86" s="3">
        <f>_xlfn.XLOOKUP(tblOrdenes[[#This Row],[centro_costo]],tblCECO[codigo],tblCECO[coordinador],"(sin catálogo)")</f>
        <v/>
      </c>
      <c r="W86" s="3">
        <f>_xlfn.XLOOKUP(tblOrdenes[[#This Row],[puesto_trabajo]],tblPuestos[codigo],tblPuestos[especialidad],"(sin catálogo)")</f>
        <v/>
      </c>
      <c r="X86" s="3">
        <f>_xlfn.XLOOKUP(tblOrdenes[[#This Row],[cod_actividad]],tblActividades[codigo],tblActividades[descripcion],"(sin catálogo)")</f>
        <v/>
      </c>
      <c r="Y86" s="12">
        <f>IF(tblOrdenes[[#This Row],[fecha_inicio]]="","",TODAY()-tblOrdenes[[#This Row],[fecha_inicio]])</f>
        <v/>
      </c>
      <c r="Z86" s="3">
        <f>IF(tblOrdenes[[#This Row],[backlog_dias]]="","",IF(tblOrdenes[[#This Row],[backlog_dias]]&lt;0,"FUTURO",IF(tblOrdenes[[#This Row],[backlog_dias]]&gt;p_dias_backlog_max,"BACKLOG","MES CORRIENTE")))</f>
        <v/>
      </c>
      <c r="AA86" s="3">
        <f>IF(tblOrdenes[[#This Row],[backlog_dias]]="",FALSE,AND(tblOrdenes[[#This Row],[backlog_dias]]&gt;p_dias_backlog_min,tblOrdenes[[#This Row],[backlog_dias]]&lt;=p_dias_backlog_max))</f>
        <v/>
      </c>
      <c r="AB86" s="6" t="inlineStr">
        <is>
          <t>Técnico 06</t>
        </is>
      </c>
      <c r="AC8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6" s="10">
        <f>_xlfn.XLOOKUP(tblOrdenes[[#This Row],[id_operacion]],tblEjecucion[id_operacion],tblEjecucion[precio],0)</f>
        <v/>
      </c>
      <c r="AE86" s="10">
        <f>MAX(0,_xlfn.XLOOKUP(tblOrdenes[[#This Row],[id_operacion]],tblEjecucion[id_operacion],tblEjecucion[costo_plan_total],0)-tblOrdenes[[#This Row],[costo_servicio]])</f>
        <v/>
      </c>
      <c r="AF86" s="10">
        <f>tblOrdenes[[#This Row],[costo_servicio]]+tblOrdenes[[#This Row],[costo_materiales]]</f>
        <v/>
      </c>
      <c r="AG86" s="6" t="inlineStr"/>
      <c r="AH86" s="6" t="inlineStr"/>
      <c r="AI86" s="6" t="inlineStr">
        <is>
          <t>ACT-04.pdf</t>
        </is>
      </c>
      <c r="AJ86" s="3">
        <f>IF(tblOrdenes[[#This Row],[link_checklist]]="","",HYPERLINK(p_ruta_base_checklists&amp;tblOrdenes[[#This Row],[link_checklist]],"abrir"))</f>
        <v/>
      </c>
      <c r="AK86" s="6" t="inlineStr"/>
    </row>
    <row r="87">
      <c r="A87" s="3" t="inlineStr">
        <is>
          <t>OT-000084</t>
        </is>
      </c>
      <c r="B87" s="3" t="inlineStr">
        <is>
          <t>0010</t>
        </is>
      </c>
      <c r="C87" s="3">
        <f>tblOrdenes[[#This Row],[orden]]&amp;IF(tblOrdenes[[#This Row],[operacion]]="","0010",tblOrdenes[[#This Row],[operacion]])</f>
        <v/>
      </c>
      <c r="D87" s="3" t="inlineStr">
        <is>
          <t>Reparación de falla — EQ-106</t>
        </is>
      </c>
      <c r="E87" s="3" t="inlineStr">
        <is>
          <t>Reparación de falla en EQ-106</t>
        </is>
      </c>
      <c r="F87" s="3" t="inlineStr">
        <is>
          <t>EQ-106</t>
        </is>
      </c>
      <c r="G87" s="3" t="inlineStr">
        <is>
          <t>CC-220</t>
        </is>
      </c>
      <c r="H87" s="3" t="inlineStr">
        <is>
          <t>PU-ELE</t>
        </is>
      </c>
      <c r="I87" s="3" t="inlineStr">
        <is>
          <t>ACT-03</t>
        </is>
      </c>
      <c r="J87" s="3" t="inlineStr">
        <is>
          <t>TIPO-C1</t>
        </is>
      </c>
      <c r="K87" s="11" t="n">
        <v>46233</v>
      </c>
      <c r="L87" s="3" t="n">
        <v>10</v>
      </c>
      <c r="M87" s="10" t="n">
        <v>400</v>
      </c>
      <c r="N87" s="3">
        <f>_xlfn.XLOOKUP(_xlfn.XLOOKUP(tblOrdenes[[#This Row],[id_operacion]],tblEjecucion[id_operacion],tblEjecucion[estado_sistema],""),tblEstados[estado_sistema],tblEstados[estado_normalizado],"Pendiente")</f>
        <v/>
      </c>
      <c r="O87" s="3">
        <f>IF(tblOrdenes[[#This Row],[fecha_inicio]]="","","S"&amp;IF(_xlfn.ISOWEEKNUM(tblOrdenes[[#This Row],[fecha_inicio]])=53,1,_xlfn.ISOWEEKNUM(tblOrdenes[[#This Row],[fecha_inicio]])))</f>
        <v/>
      </c>
      <c r="P87" s="3">
        <f>IF(tblOrdenes[[#This Row],[fecha_inicio]]="","",YEAR(tblOrdenes[[#This Row],[fecha_inicio]]))</f>
        <v/>
      </c>
      <c r="Q87" s="3">
        <f>IF(tblOrdenes[[#This Row],[fecha_inicio]]="","",MONTH(tblOrdenes[[#This Row],[fecha_inicio]]))</f>
        <v/>
      </c>
      <c r="R87" s="3">
        <f>IF(tblOrdenes[[#This Row],[fecha_inicio]]="","",INDEX(lista_dias,WEEKDAY(tblOrdenes[[#This Row],[fecha_inicio]],2)))</f>
        <v/>
      </c>
      <c r="S87" s="3">
        <f>_xlfn.XLOOKUP(tblOrdenes[[#This Row],[tipo_ot]],tblTiposOT[codigo],tblTiposOT[clasificacion],"sin_clasificar")</f>
        <v/>
      </c>
      <c r="T87" s="3">
        <f>_xlfn.XLOOKUP(tblOrdenes[[#This Row],[centro_costo]],tblCECO[codigo],tblCECO[linea],"(sin catálogo)")</f>
        <v/>
      </c>
      <c r="U87" s="3">
        <f>_xlfn.XLOOKUP(tblOrdenes[[#This Row],[centro_costo]],tblCECO[codigo],tblCECO[area],"(sin catálogo)")</f>
        <v/>
      </c>
      <c r="V87" s="3">
        <f>_xlfn.XLOOKUP(tblOrdenes[[#This Row],[centro_costo]],tblCECO[codigo],tblCECO[coordinador],"(sin catálogo)")</f>
        <v/>
      </c>
      <c r="W87" s="3">
        <f>_xlfn.XLOOKUP(tblOrdenes[[#This Row],[puesto_trabajo]],tblPuestos[codigo],tblPuestos[especialidad],"(sin catálogo)")</f>
        <v/>
      </c>
      <c r="X87" s="3">
        <f>_xlfn.XLOOKUP(tblOrdenes[[#This Row],[cod_actividad]],tblActividades[codigo],tblActividades[descripcion],"(sin catálogo)")</f>
        <v/>
      </c>
      <c r="Y87" s="12">
        <f>IF(tblOrdenes[[#This Row],[fecha_inicio]]="","",TODAY()-tblOrdenes[[#This Row],[fecha_inicio]])</f>
        <v/>
      </c>
      <c r="Z87" s="3">
        <f>IF(tblOrdenes[[#This Row],[backlog_dias]]="","",IF(tblOrdenes[[#This Row],[backlog_dias]]&lt;0,"FUTURO",IF(tblOrdenes[[#This Row],[backlog_dias]]&gt;p_dias_backlog_max,"BACKLOG","MES CORRIENTE")))</f>
        <v/>
      </c>
      <c r="AA87" s="3">
        <f>IF(tblOrdenes[[#This Row],[backlog_dias]]="",FALSE,AND(tblOrdenes[[#This Row],[backlog_dias]]&gt;p_dias_backlog_min,tblOrdenes[[#This Row],[backlog_dias]]&lt;=p_dias_backlog_max))</f>
        <v/>
      </c>
      <c r="AB87" s="6" t="inlineStr"/>
      <c r="AC8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7" s="10">
        <f>_xlfn.XLOOKUP(tblOrdenes[[#This Row],[id_operacion]],tblEjecucion[id_operacion],tblEjecucion[precio],0)</f>
        <v/>
      </c>
      <c r="AE87" s="10">
        <f>MAX(0,_xlfn.XLOOKUP(tblOrdenes[[#This Row],[id_operacion]],tblEjecucion[id_operacion],tblEjecucion[costo_plan_total],0)-tblOrdenes[[#This Row],[costo_servicio]])</f>
        <v/>
      </c>
      <c r="AF87" s="10">
        <f>tblOrdenes[[#This Row],[costo_servicio]]+tblOrdenes[[#This Row],[costo_materiales]]</f>
        <v/>
      </c>
      <c r="AG87" s="6" t="inlineStr">
        <is>
          <t>PT-CALIENTE</t>
        </is>
      </c>
      <c r="AH87" s="6" t="inlineStr">
        <is>
          <t>LOTO</t>
        </is>
      </c>
      <c r="AI87" s="6" t="inlineStr"/>
      <c r="AJ87" s="3">
        <f>IF(tblOrdenes[[#This Row],[link_checklist]]="","",HYPERLINK(p_ruta_base_checklists&amp;tblOrdenes[[#This Row],[link_checklist]],"abrir"))</f>
        <v/>
      </c>
      <c r="AK87" s="6" t="inlineStr"/>
    </row>
    <row r="88">
      <c r="A88" s="3" t="inlineStr">
        <is>
          <t>OT-000085</t>
        </is>
      </c>
      <c r="B88" s="3" t="inlineStr">
        <is>
          <t>0010</t>
        </is>
      </c>
      <c r="C88" s="3">
        <f>tblOrdenes[[#This Row],[orden]]&amp;IF(tblOrdenes[[#This Row],[operacion]]="","0010",tblOrdenes[[#This Row],[operacion]])</f>
        <v/>
      </c>
      <c r="D88" s="3" t="inlineStr">
        <is>
          <t>Lubricación programada — EQ-101</t>
        </is>
      </c>
      <c r="E88" s="3" t="inlineStr">
        <is>
          <t>Lubricación programada en EQ-101</t>
        </is>
      </c>
      <c r="F88" s="3" t="inlineStr">
        <is>
          <t>EQ-101</t>
        </is>
      </c>
      <c r="G88" s="3" t="inlineStr">
        <is>
          <t>CC-110</t>
        </is>
      </c>
      <c r="H88" s="3" t="inlineStr">
        <is>
          <t>PU-AUT</t>
        </is>
      </c>
      <c r="I88" s="3" t="inlineStr">
        <is>
          <t>ACT-02</t>
        </is>
      </c>
      <c r="J88" s="3" t="inlineStr">
        <is>
          <t>TIPO-P2</t>
        </is>
      </c>
      <c r="K88" s="11" t="n">
        <v>46213</v>
      </c>
      <c r="L88" s="3" t="n">
        <v>10</v>
      </c>
      <c r="M88" s="10" t="n">
        <v>250</v>
      </c>
      <c r="N88" s="3">
        <f>_xlfn.XLOOKUP(_xlfn.XLOOKUP(tblOrdenes[[#This Row],[id_operacion]],tblEjecucion[id_operacion],tblEjecucion[estado_sistema],""),tblEstados[estado_sistema],tblEstados[estado_normalizado],"Pendiente")</f>
        <v/>
      </c>
      <c r="O88" s="3">
        <f>IF(tblOrdenes[[#This Row],[fecha_inicio]]="","","S"&amp;IF(_xlfn.ISOWEEKNUM(tblOrdenes[[#This Row],[fecha_inicio]])=53,1,_xlfn.ISOWEEKNUM(tblOrdenes[[#This Row],[fecha_inicio]])))</f>
        <v/>
      </c>
      <c r="P88" s="3">
        <f>IF(tblOrdenes[[#This Row],[fecha_inicio]]="","",YEAR(tblOrdenes[[#This Row],[fecha_inicio]]))</f>
        <v/>
      </c>
      <c r="Q88" s="3">
        <f>IF(tblOrdenes[[#This Row],[fecha_inicio]]="","",MONTH(tblOrdenes[[#This Row],[fecha_inicio]]))</f>
        <v/>
      </c>
      <c r="R88" s="3">
        <f>IF(tblOrdenes[[#This Row],[fecha_inicio]]="","",INDEX(lista_dias,WEEKDAY(tblOrdenes[[#This Row],[fecha_inicio]],2)))</f>
        <v/>
      </c>
      <c r="S88" s="3">
        <f>_xlfn.XLOOKUP(tblOrdenes[[#This Row],[tipo_ot]],tblTiposOT[codigo],tblTiposOT[clasificacion],"sin_clasificar")</f>
        <v/>
      </c>
      <c r="T88" s="3">
        <f>_xlfn.XLOOKUP(tblOrdenes[[#This Row],[centro_costo]],tblCECO[codigo],tblCECO[linea],"(sin catálogo)")</f>
        <v/>
      </c>
      <c r="U88" s="3">
        <f>_xlfn.XLOOKUP(tblOrdenes[[#This Row],[centro_costo]],tblCECO[codigo],tblCECO[area],"(sin catálogo)")</f>
        <v/>
      </c>
      <c r="V88" s="3">
        <f>_xlfn.XLOOKUP(tblOrdenes[[#This Row],[centro_costo]],tblCECO[codigo],tblCECO[coordinador],"(sin catálogo)")</f>
        <v/>
      </c>
      <c r="W88" s="3">
        <f>_xlfn.XLOOKUP(tblOrdenes[[#This Row],[puesto_trabajo]],tblPuestos[codigo],tblPuestos[especialidad],"(sin catálogo)")</f>
        <v/>
      </c>
      <c r="X88" s="3">
        <f>_xlfn.XLOOKUP(tblOrdenes[[#This Row],[cod_actividad]],tblActividades[codigo],tblActividades[descripcion],"(sin catálogo)")</f>
        <v/>
      </c>
      <c r="Y88" s="12">
        <f>IF(tblOrdenes[[#This Row],[fecha_inicio]]="","",TODAY()-tblOrdenes[[#This Row],[fecha_inicio]])</f>
        <v/>
      </c>
      <c r="Z88" s="3">
        <f>IF(tblOrdenes[[#This Row],[backlog_dias]]="","",IF(tblOrdenes[[#This Row],[backlog_dias]]&lt;0,"FUTURO",IF(tblOrdenes[[#This Row],[backlog_dias]]&gt;p_dias_backlog_max,"BACKLOG","MES CORRIENTE")))</f>
        <v/>
      </c>
      <c r="AA88" s="3">
        <f>IF(tblOrdenes[[#This Row],[backlog_dias]]="",FALSE,AND(tblOrdenes[[#This Row],[backlog_dias]]&gt;p_dias_backlog_min,tblOrdenes[[#This Row],[backlog_dias]]&lt;=p_dias_backlog_max))</f>
        <v/>
      </c>
      <c r="AB88" s="6" t="inlineStr">
        <is>
          <t>Técnico 08</t>
        </is>
      </c>
      <c r="AC8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8" s="10">
        <f>_xlfn.XLOOKUP(tblOrdenes[[#This Row],[id_operacion]],tblEjecucion[id_operacion],tblEjecucion[precio],0)</f>
        <v/>
      </c>
      <c r="AE88" s="10">
        <f>MAX(0,_xlfn.XLOOKUP(tblOrdenes[[#This Row],[id_operacion]],tblEjecucion[id_operacion],tblEjecucion[costo_plan_total],0)-tblOrdenes[[#This Row],[costo_servicio]])</f>
        <v/>
      </c>
      <c r="AF88" s="10">
        <f>tblOrdenes[[#This Row],[costo_servicio]]+tblOrdenes[[#This Row],[costo_materiales]]</f>
        <v/>
      </c>
      <c r="AG88" s="6" t="inlineStr"/>
      <c r="AH88" s="6" t="inlineStr"/>
      <c r="AI88" s="6" t="inlineStr">
        <is>
          <t>ACT-02.pdf</t>
        </is>
      </c>
      <c r="AJ88" s="3">
        <f>IF(tblOrdenes[[#This Row],[link_checklist]]="","",HYPERLINK(p_ruta_base_checklists&amp;tblOrdenes[[#This Row],[link_checklist]],"abrir"))</f>
        <v/>
      </c>
      <c r="AK88" s="6" t="inlineStr"/>
    </row>
    <row r="89">
      <c r="A89" s="3" t="inlineStr">
        <is>
          <t>OT-000086</t>
        </is>
      </c>
      <c r="B89" s="3" t="inlineStr">
        <is>
          <t>0010</t>
        </is>
      </c>
      <c r="C89" s="3">
        <f>tblOrdenes[[#This Row],[orden]]&amp;IF(tblOrdenes[[#This Row],[operacion]]="","0010",tblOrdenes[[#This Row],[operacion]])</f>
        <v/>
      </c>
      <c r="D89" s="3" t="inlineStr">
        <is>
          <t>Análisis predictivo — EQ-108</t>
        </is>
      </c>
      <c r="E89" s="3" t="inlineStr">
        <is>
          <t>Análisis predictivo en EQ-108</t>
        </is>
      </c>
      <c r="F89" s="3" t="inlineStr">
        <is>
          <t>EQ-108</t>
        </is>
      </c>
      <c r="G89" s="3" t="inlineStr">
        <is>
          <t>CC-220</t>
        </is>
      </c>
      <c r="H89" s="3" t="inlineStr">
        <is>
          <t>PU-AUT</t>
        </is>
      </c>
      <c r="I89" s="3" t="inlineStr">
        <is>
          <t>ACT-04</t>
        </is>
      </c>
      <c r="J89" s="3" t="inlineStr">
        <is>
          <t>TIPO-P1</t>
        </is>
      </c>
      <c r="K89" s="11" t="n">
        <v>46209</v>
      </c>
      <c r="L89" s="3" t="n">
        <v>8</v>
      </c>
      <c r="M89" s="10" t="n">
        <v>200</v>
      </c>
      <c r="N89" s="3">
        <f>_xlfn.XLOOKUP(_xlfn.XLOOKUP(tblOrdenes[[#This Row],[id_operacion]],tblEjecucion[id_operacion],tblEjecucion[estado_sistema],""),tblEstados[estado_sistema],tblEstados[estado_normalizado],"Pendiente")</f>
        <v/>
      </c>
      <c r="O89" s="3">
        <f>IF(tblOrdenes[[#This Row],[fecha_inicio]]="","","S"&amp;IF(_xlfn.ISOWEEKNUM(tblOrdenes[[#This Row],[fecha_inicio]])=53,1,_xlfn.ISOWEEKNUM(tblOrdenes[[#This Row],[fecha_inicio]])))</f>
        <v/>
      </c>
      <c r="P89" s="3">
        <f>IF(tblOrdenes[[#This Row],[fecha_inicio]]="","",YEAR(tblOrdenes[[#This Row],[fecha_inicio]]))</f>
        <v/>
      </c>
      <c r="Q89" s="3">
        <f>IF(tblOrdenes[[#This Row],[fecha_inicio]]="","",MONTH(tblOrdenes[[#This Row],[fecha_inicio]]))</f>
        <v/>
      </c>
      <c r="R89" s="3">
        <f>IF(tblOrdenes[[#This Row],[fecha_inicio]]="","",INDEX(lista_dias,WEEKDAY(tblOrdenes[[#This Row],[fecha_inicio]],2)))</f>
        <v/>
      </c>
      <c r="S89" s="3">
        <f>_xlfn.XLOOKUP(tblOrdenes[[#This Row],[tipo_ot]],tblTiposOT[codigo],tblTiposOT[clasificacion],"sin_clasificar")</f>
        <v/>
      </c>
      <c r="T89" s="3">
        <f>_xlfn.XLOOKUP(tblOrdenes[[#This Row],[centro_costo]],tblCECO[codigo],tblCECO[linea],"(sin catálogo)")</f>
        <v/>
      </c>
      <c r="U89" s="3">
        <f>_xlfn.XLOOKUP(tblOrdenes[[#This Row],[centro_costo]],tblCECO[codigo],tblCECO[area],"(sin catálogo)")</f>
        <v/>
      </c>
      <c r="V89" s="3">
        <f>_xlfn.XLOOKUP(tblOrdenes[[#This Row],[centro_costo]],tblCECO[codigo],tblCECO[coordinador],"(sin catálogo)")</f>
        <v/>
      </c>
      <c r="W89" s="3">
        <f>_xlfn.XLOOKUP(tblOrdenes[[#This Row],[puesto_trabajo]],tblPuestos[codigo],tblPuestos[especialidad],"(sin catálogo)")</f>
        <v/>
      </c>
      <c r="X89" s="3">
        <f>_xlfn.XLOOKUP(tblOrdenes[[#This Row],[cod_actividad]],tblActividades[codigo],tblActividades[descripcion],"(sin catálogo)")</f>
        <v/>
      </c>
      <c r="Y89" s="12">
        <f>IF(tblOrdenes[[#This Row],[fecha_inicio]]="","",TODAY()-tblOrdenes[[#This Row],[fecha_inicio]])</f>
        <v/>
      </c>
      <c r="Z89" s="3">
        <f>IF(tblOrdenes[[#This Row],[backlog_dias]]="","",IF(tblOrdenes[[#This Row],[backlog_dias]]&lt;0,"FUTURO",IF(tblOrdenes[[#This Row],[backlog_dias]]&gt;p_dias_backlog_max,"BACKLOG","MES CORRIENTE")))</f>
        <v/>
      </c>
      <c r="AA89" s="3">
        <f>IF(tblOrdenes[[#This Row],[backlog_dias]]="",FALSE,AND(tblOrdenes[[#This Row],[backlog_dias]]&gt;p_dias_backlog_min,tblOrdenes[[#This Row],[backlog_dias]]&lt;=p_dias_backlog_max))</f>
        <v/>
      </c>
      <c r="AB89" s="6" t="inlineStr">
        <is>
          <t>Técnico 09</t>
        </is>
      </c>
      <c r="AC8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9" s="10">
        <f>_xlfn.XLOOKUP(tblOrdenes[[#This Row],[id_operacion]],tblEjecucion[id_operacion],tblEjecucion[precio],0)</f>
        <v/>
      </c>
      <c r="AE89" s="10">
        <f>MAX(0,_xlfn.XLOOKUP(tblOrdenes[[#This Row],[id_operacion]],tblEjecucion[id_operacion],tblEjecucion[costo_plan_total],0)-tblOrdenes[[#This Row],[costo_servicio]])</f>
        <v/>
      </c>
      <c r="AF89" s="10">
        <f>tblOrdenes[[#This Row],[costo_servicio]]+tblOrdenes[[#This Row],[costo_materiales]]</f>
        <v/>
      </c>
      <c r="AG89" s="6" t="inlineStr"/>
      <c r="AH89" s="6" t="inlineStr"/>
      <c r="AI89" s="6" t="inlineStr">
        <is>
          <t>ACT-04.pdf</t>
        </is>
      </c>
      <c r="AJ89" s="3">
        <f>IF(tblOrdenes[[#This Row],[link_checklist]]="","",HYPERLINK(p_ruta_base_checklists&amp;tblOrdenes[[#This Row],[link_checklist]],"abrir"))</f>
        <v/>
      </c>
      <c r="AK89" s="6" t="inlineStr"/>
    </row>
    <row r="90">
      <c r="A90" s="3" t="inlineStr">
        <is>
          <t>OT-000087</t>
        </is>
      </c>
      <c r="B90" s="3" t="inlineStr">
        <is>
          <t>0010</t>
        </is>
      </c>
      <c r="C90" s="3">
        <f>tblOrdenes[[#This Row],[orden]]&amp;IF(tblOrdenes[[#This Row],[operacion]]="","0010",tblOrdenes[[#This Row],[operacion]])</f>
        <v/>
      </c>
      <c r="D90" s="3" t="inlineStr">
        <is>
          <t>Inspección de rutina — EQ-103</t>
        </is>
      </c>
      <c r="E90" s="3" t="inlineStr">
        <is>
          <t>Inspección de rutina en EQ-103</t>
        </is>
      </c>
      <c r="F90" s="3" t="inlineStr">
        <is>
          <t>EQ-103</t>
        </is>
      </c>
      <c r="G90" s="3" t="inlineStr">
        <is>
          <t>CC-110</t>
        </is>
      </c>
      <c r="H90" s="3" t="inlineStr">
        <is>
          <t>PU-AUT</t>
        </is>
      </c>
      <c r="I90" s="3" t="inlineStr">
        <is>
          <t>ACT-01</t>
        </is>
      </c>
      <c r="J90" s="3" t="inlineStr">
        <is>
          <t>TIPO-P2</t>
        </is>
      </c>
      <c r="K90" s="11" t="n">
        <v>46210</v>
      </c>
      <c r="L90" s="3" t="n">
        <v>6</v>
      </c>
      <c r="M90" s="10" t="n">
        <v>150</v>
      </c>
      <c r="N90" s="3">
        <f>_xlfn.XLOOKUP(_xlfn.XLOOKUP(tblOrdenes[[#This Row],[id_operacion]],tblEjecucion[id_operacion],tblEjecucion[estado_sistema],""),tblEstados[estado_sistema],tblEstados[estado_normalizado],"Pendiente")</f>
        <v/>
      </c>
      <c r="O90" s="3">
        <f>IF(tblOrdenes[[#This Row],[fecha_inicio]]="","","S"&amp;IF(_xlfn.ISOWEEKNUM(tblOrdenes[[#This Row],[fecha_inicio]])=53,1,_xlfn.ISOWEEKNUM(tblOrdenes[[#This Row],[fecha_inicio]])))</f>
        <v/>
      </c>
      <c r="P90" s="3">
        <f>IF(tblOrdenes[[#This Row],[fecha_inicio]]="","",YEAR(tblOrdenes[[#This Row],[fecha_inicio]]))</f>
        <v/>
      </c>
      <c r="Q90" s="3">
        <f>IF(tblOrdenes[[#This Row],[fecha_inicio]]="","",MONTH(tblOrdenes[[#This Row],[fecha_inicio]]))</f>
        <v/>
      </c>
      <c r="R90" s="3">
        <f>IF(tblOrdenes[[#This Row],[fecha_inicio]]="","",INDEX(lista_dias,WEEKDAY(tblOrdenes[[#This Row],[fecha_inicio]],2)))</f>
        <v/>
      </c>
      <c r="S90" s="3">
        <f>_xlfn.XLOOKUP(tblOrdenes[[#This Row],[tipo_ot]],tblTiposOT[codigo],tblTiposOT[clasificacion],"sin_clasificar")</f>
        <v/>
      </c>
      <c r="T90" s="3">
        <f>_xlfn.XLOOKUP(tblOrdenes[[#This Row],[centro_costo]],tblCECO[codigo],tblCECO[linea],"(sin catálogo)")</f>
        <v/>
      </c>
      <c r="U90" s="3">
        <f>_xlfn.XLOOKUP(tblOrdenes[[#This Row],[centro_costo]],tblCECO[codigo],tblCECO[area],"(sin catálogo)")</f>
        <v/>
      </c>
      <c r="V90" s="3">
        <f>_xlfn.XLOOKUP(tblOrdenes[[#This Row],[centro_costo]],tblCECO[codigo],tblCECO[coordinador],"(sin catálogo)")</f>
        <v/>
      </c>
      <c r="W90" s="3">
        <f>_xlfn.XLOOKUP(tblOrdenes[[#This Row],[puesto_trabajo]],tblPuestos[codigo],tblPuestos[especialidad],"(sin catálogo)")</f>
        <v/>
      </c>
      <c r="X90" s="3">
        <f>_xlfn.XLOOKUP(tblOrdenes[[#This Row],[cod_actividad]],tblActividades[codigo],tblActividades[descripcion],"(sin catálogo)")</f>
        <v/>
      </c>
      <c r="Y90" s="12">
        <f>IF(tblOrdenes[[#This Row],[fecha_inicio]]="","",TODAY()-tblOrdenes[[#This Row],[fecha_inicio]])</f>
        <v/>
      </c>
      <c r="Z90" s="3">
        <f>IF(tblOrdenes[[#This Row],[backlog_dias]]="","",IF(tblOrdenes[[#This Row],[backlog_dias]]&lt;0,"FUTURO",IF(tblOrdenes[[#This Row],[backlog_dias]]&gt;p_dias_backlog_max,"BACKLOG","MES CORRIENTE")))</f>
        <v/>
      </c>
      <c r="AA90" s="3">
        <f>IF(tblOrdenes[[#This Row],[backlog_dias]]="",FALSE,AND(tblOrdenes[[#This Row],[backlog_dias]]&gt;p_dias_backlog_min,tblOrdenes[[#This Row],[backlog_dias]]&lt;=p_dias_backlog_max))</f>
        <v/>
      </c>
      <c r="AB90" s="6" t="inlineStr">
        <is>
          <t>Técnico 08</t>
        </is>
      </c>
      <c r="AC9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0" s="10">
        <f>_xlfn.XLOOKUP(tblOrdenes[[#This Row],[id_operacion]],tblEjecucion[id_operacion],tblEjecucion[precio],0)</f>
        <v/>
      </c>
      <c r="AE90" s="10">
        <f>MAX(0,_xlfn.XLOOKUP(tblOrdenes[[#This Row],[id_operacion]],tblEjecucion[id_operacion],tblEjecucion[costo_plan_total],0)-tblOrdenes[[#This Row],[costo_servicio]])</f>
        <v/>
      </c>
      <c r="AF90" s="10">
        <f>tblOrdenes[[#This Row],[costo_servicio]]+tblOrdenes[[#This Row],[costo_materiales]]</f>
        <v/>
      </c>
      <c r="AG90" s="6" t="inlineStr"/>
      <c r="AH90" s="6" t="inlineStr"/>
      <c r="AI90" s="6" t="inlineStr">
        <is>
          <t>ACT-01.pdf</t>
        </is>
      </c>
      <c r="AJ90" s="3">
        <f>IF(tblOrdenes[[#This Row],[link_checklist]]="","",HYPERLINK(p_ruta_base_checklists&amp;tblOrdenes[[#This Row],[link_checklist]],"abrir"))</f>
        <v/>
      </c>
      <c r="AK90" s="6" t="inlineStr"/>
    </row>
    <row r="91">
      <c r="A91" s="3" t="inlineStr">
        <is>
          <t>OT-000088</t>
        </is>
      </c>
      <c r="B91" s="3" t="inlineStr">
        <is>
          <t>0010</t>
        </is>
      </c>
      <c r="C91" s="3">
        <f>tblOrdenes[[#This Row],[orden]]&amp;IF(tblOrdenes[[#This Row],[operacion]]="","0010",tblOrdenes[[#This Row],[operacion]])</f>
        <v/>
      </c>
      <c r="D91" s="3" t="inlineStr">
        <is>
          <t>Lubricación programada — EQ-106</t>
        </is>
      </c>
      <c r="E91" s="3" t="inlineStr">
        <is>
          <t>Lubricación programada en EQ-106</t>
        </is>
      </c>
      <c r="F91" s="3" t="inlineStr">
        <is>
          <t>EQ-106</t>
        </is>
      </c>
      <c r="G91" s="3" t="inlineStr">
        <is>
          <t>CC-220</t>
        </is>
      </c>
      <c r="H91" s="3" t="inlineStr">
        <is>
          <t>PU-AUT</t>
        </is>
      </c>
      <c r="I91" s="3" t="inlineStr">
        <is>
          <t>ACT-02</t>
        </is>
      </c>
      <c r="J91" s="3" t="inlineStr">
        <is>
          <t>TIPO-P1</t>
        </is>
      </c>
      <c r="K91" s="11" t="n">
        <v>46211</v>
      </c>
      <c r="L91" s="3" t="n">
        <v>10</v>
      </c>
      <c r="M91" s="10" t="n">
        <v>250</v>
      </c>
      <c r="N91" s="3">
        <f>_xlfn.XLOOKUP(_xlfn.XLOOKUP(tblOrdenes[[#This Row],[id_operacion]],tblEjecucion[id_operacion],tblEjecucion[estado_sistema],""),tblEstados[estado_sistema],tblEstados[estado_normalizado],"Pendiente")</f>
        <v/>
      </c>
      <c r="O91" s="3">
        <f>IF(tblOrdenes[[#This Row],[fecha_inicio]]="","","S"&amp;IF(_xlfn.ISOWEEKNUM(tblOrdenes[[#This Row],[fecha_inicio]])=53,1,_xlfn.ISOWEEKNUM(tblOrdenes[[#This Row],[fecha_inicio]])))</f>
        <v/>
      </c>
      <c r="P91" s="3">
        <f>IF(tblOrdenes[[#This Row],[fecha_inicio]]="","",YEAR(tblOrdenes[[#This Row],[fecha_inicio]]))</f>
        <v/>
      </c>
      <c r="Q91" s="3">
        <f>IF(tblOrdenes[[#This Row],[fecha_inicio]]="","",MONTH(tblOrdenes[[#This Row],[fecha_inicio]]))</f>
        <v/>
      </c>
      <c r="R91" s="3">
        <f>IF(tblOrdenes[[#This Row],[fecha_inicio]]="","",INDEX(lista_dias,WEEKDAY(tblOrdenes[[#This Row],[fecha_inicio]],2)))</f>
        <v/>
      </c>
      <c r="S91" s="3">
        <f>_xlfn.XLOOKUP(tblOrdenes[[#This Row],[tipo_ot]],tblTiposOT[codigo],tblTiposOT[clasificacion],"sin_clasificar")</f>
        <v/>
      </c>
      <c r="T91" s="3">
        <f>_xlfn.XLOOKUP(tblOrdenes[[#This Row],[centro_costo]],tblCECO[codigo],tblCECO[linea],"(sin catálogo)")</f>
        <v/>
      </c>
      <c r="U91" s="3">
        <f>_xlfn.XLOOKUP(tblOrdenes[[#This Row],[centro_costo]],tblCECO[codigo],tblCECO[area],"(sin catálogo)")</f>
        <v/>
      </c>
      <c r="V91" s="3">
        <f>_xlfn.XLOOKUP(tblOrdenes[[#This Row],[centro_costo]],tblCECO[codigo],tblCECO[coordinador],"(sin catálogo)")</f>
        <v/>
      </c>
      <c r="W91" s="3">
        <f>_xlfn.XLOOKUP(tblOrdenes[[#This Row],[puesto_trabajo]],tblPuestos[codigo],tblPuestos[especialidad],"(sin catálogo)")</f>
        <v/>
      </c>
      <c r="X91" s="3">
        <f>_xlfn.XLOOKUP(tblOrdenes[[#This Row],[cod_actividad]],tblActividades[codigo],tblActividades[descripcion],"(sin catálogo)")</f>
        <v/>
      </c>
      <c r="Y91" s="12">
        <f>IF(tblOrdenes[[#This Row],[fecha_inicio]]="","",TODAY()-tblOrdenes[[#This Row],[fecha_inicio]])</f>
        <v/>
      </c>
      <c r="Z91" s="3">
        <f>IF(tblOrdenes[[#This Row],[backlog_dias]]="","",IF(tblOrdenes[[#This Row],[backlog_dias]]&lt;0,"FUTURO",IF(tblOrdenes[[#This Row],[backlog_dias]]&gt;p_dias_backlog_max,"BACKLOG","MES CORRIENTE")))</f>
        <v/>
      </c>
      <c r="AA91" s="3">
        <f>IF(tblOrdenes[[#This Row],[backlog_dias]]="",FALSE,AND(tblOrdenes[[#This Row],[backlog_dias]]&gt;p_dias_backlog_min,tblOrdenes[[#This Row],[backlog_dias]]&lt;=p_dias_backlog_max))</f>
        <v/>
      </c>
      <c r="AB91" s="6" t="inlineStr">
        <is>
          <t>Técnico 09</t>
        </is>
      </c>
      <c r="AC9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1" s="10">
        <f>_xlfn.XLOOKUP(tblOrdenes[[#This Row],[id_operacion]],tblEjecucion[id_operacion],tblEjecucion[precio],0)</f>
        <v/>
      </c>
      <c r="AE91" s="10">
        <f>MAX(0,_xlfn.XLOOKUP(tblOrdenes[[#This Row],[id_operacion]],tblEjecucion[id_operacion],tblEjecucion[costo_plan_total],0)-tblOrdenes[[#This Row],[costo_servicio]])</f>
        <v/>
      </c>
      <c r="AF91" s="10">
        <f>tblOrdenes[[#This Row],[costo_servicio]]+tblOrdenes[[#This Row],[costo_materiales]]</f>
        <v/>
      </c>
      <c r="AG91" s="6" t="inlineStr"/>
      <c r="AH91" s="6" t="inlineStr"/>
      <c r="AI91" s="6" t="inlineStr">
        <is>
          <t>ACT-02.pdf</t>
        </is>
      </c>
      <c r="AJ91" s="3">
        <f>IF(tblOrdenes[[#This Row],[link_checklist]]="","",HYPERLINK(p_ruta_base_checklists&amp;tblOrdenes[[#This Row],[link_checklist]],"abrir"))</f>
        <v/>
      </c>
      <c r="AK91" s="6" t="inlineStr"/>
    </row>
    <row r="92">
      <c r="A92" s="3" t="inlineStr">
        <is>
          <t>OT-000089</t>
        </is>
      </c>
      <c r="B92" s="3" t="inlineStr">
        <is>
          <t>0010</t>
        </is>
      </c>
      <c r="C92" s="3">
        <f>tblOrdenes[[#This Row],[orden]]&amp;IF(tblOrdenes[[#This Row],[operacion]]="","0010",tblOrdenes[[#This Row],[operacion]])</f>
        <v/>
      </c>
      <c r="D92" s="3" t="inlineStr">
        <is>
          <t>Análisis predictivo — EQ-105</t>
        </is>
      </c>
      <c r="E92" s="3" t="inlineStr">
        <is>
          <t>Análisis predictivo en EQ-105</t>
        </is>
      </c>
      <c r="F92" s="3" t="inlineStr">
        <is>
          <t>EQ-105</t>
        </is>
      </c>
      <c r="G92" s="3" t="inlineStr">
        <is>
          <t>CC-110</t>
        </is>
      </c>
      <c r="H92" s="3" t="inlineStr">
        <is>
          <t>PU-AUT</t>
        </is>
      </c>
      <c r="I92" s="3" t="inlineStr">
        <is>
          <t>ACT-04</t>
        </is>
      </c>
      <c r="J92" s="3" t="inlineStr">
        <is>
          <t>TIPO-P2</t>
        </is>
      </c>
      <c r="K92" s="11" t="n">
        <v>46212</v>
      </c>
      <c r="L92" s="3" t="n">
        <v>6</v>
      </c>
      <c r="M92" s="10" t="n">
        <v>150</v>
      </c>
      <c r="N92" s="3">
        <f>_xlfn.XLOOKUP(_xlfn.XLOOKUP(tblOrdenes[[#This Row],[id_operacion]],tblEjecucion[id_operacion],tblEjecucion[estado_sistema],""),tblEstados[estado_sistema],tblEstados[estado_normalizado],"Pendiente")</f>
        <v/>
      </c>
      <c r="O92" s="3">
        <f>IF(tblOrdenes[[#This Row],[fecha_inicio]]="","","S"&amp;IF(_xlfn.ISOWEEKNUM(tblOrdenes[[#This Row],[fecha_inicio]])=53,1,_xlfn.ISOWEEKNUM(tblOrdenes[[#This Row],[fecha_inicio]])))</f>
        <v/>
      </c>
      <c r="P92" s="3">
        <f>IF(tblOrdenes[[#This Row],[fecha_inicio]]="","",YEAR(tblOrdenes[[#This Row],[fecha_inicio]]))</f>
        <v/>
      </c>
      <c r="Q92" s="3">
        <f>IF(tblOrdenes[[#This Row],[fecha_inicio]]="","",MONTH(tblOrdenes[[#This Row],[fecha_inicio]]))</f>
        <v/>
      </c>
      <c r="R92" s="3">
        <f>IF(tblOrdenes[[#This Row],[fecha_inicio]]="","",INDEX(lista_dias,WEEKDAY(tblOrdenes[[#This Row],[fecha_inicio]],2)))</f>
        <v/>
      </c>
      <c r="S92" s="3">
        <f>_xlfn.XLOOKUP(tblOrdenes[[#This Row],[tipo_ot]],tblTiposOT[codigo],tblTiposOT[clasificacion],"sin_clasificar")</f>
        <v/>
      </c>
      <c r="T92" s="3">
        <f>_xlfn.XLOOKUP(tblOrdenes[[#This Row],[centro_costo]],tblCECO[codigo],tblCECO[linea],"(sin catálogo)")</f>
        <v/>
      </c>
      <c r="U92" s="3">
        <f>_xlfn.XLOOKUP(tblOrdenes[[#This Row],[centro_costo]],tblCECO[codigo],tblCECO[area],"(sin catálogo)")</f>
        <v/>
      </c>
      <c r="V92" s="3">
        <f>_xlfn.XLOOKUP(tblOrdenes[[#This Row],[centro_costo]],tblCECO[codigo],tblCECO[coordinador],"(sin catálogo)")</f>
        <v/>
      </c>
      <c r="W92" s="3">
        <f>_xlfn.XLOOKUP(tblOrdenes[[#This Row],[puesto_trabajo]],tblPuestos[codigo],tblPuestos[especialidad],"(sin catálogo)")</f>
        <v/>
      </c>
      <c r="X92" s="3">
        <f>_xlfn.XLOOKUP(tblOrdenes[[#This Row],[cod_actividad]],tblActividades[codigo],tblActividades[descripcion],"(sin catálogo)")</f>
        <v/>
      </c>
      <c r="Y92" s="12">
        <f>IF(tblOrdenes[[#This Row],[fecha_inicio]]="","",TODAY()-tblOrdenes[[#This Row],[fecha_inicio]])</f>
        <v/>
      </c>
      <c r="Z92" s="3">
        <f>IF(tblOrdenes[[#This Row],[backlog_dias]]="","",IF(tblOrdenes[[#This Row],[backlog_dias]]&lt;0,"FUTURO",IF(tblOrdenes[[#This Row],[backlog_dias]]&gt;p_dias_backlog_max,"BACKLOG","MES CORRIENTE")))</f>
        <v/>
      </c>
      <c r="AA92" s="3">
        <f>IF(tblOrdenes[[#This Row],[backlog_dias]]="",FALSE,AND(tblOrdenes[[#This Row],[backlog_dias]]&gt;p_dias_backlog_min,tblOrdenes[[#This Row],[backlog_dias]]&lt;=p_dias_backlog_max))</f>
        <v/>
      </c>
      <c r="AB92" s="6" t="inlineStr">
        <is>
          <t>Técnico 08</t>
        </is>
      </c>
      <c r="AC9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2" s="10">
        <f>_xlfn.XLOOKUP(tblOrdenes[[#This Row],[id_operacion]],tblEjecucion[id_operacion],tblEjecucion[precio],0)</f>
        <v/>
      </c>
      <c r="AE92" s="10">
        <f>MAX(0,_xlfn.XLOOKUP(tblOrdenes[[#This Row],[id_operacion]],tblEjecucion[id_operacion],tblEjecucion[costo_plan_total],0)-tblOrdenes[[#This Row],[costo_servicio]])</f>
        <v/>
      </c>
      <c r="AF92" s="10">
        <f>tblOrdenes[[#This Row],[costo_servicio]]+tblOrdenes[[#This Row],[costo_materiales]]</f>
        <v/>
      </c>
      <c r="AG92" s="6" t="inlineStr"/>
      <c r="AH92" s="6" t="inlineStr"/>
      <c r="AI92" s="6" t="inlineStr">
        <is>
          <t>ACT-04.pdf</t>
        </is>
      </c>
      <c r="AJ92" s="3">
        <f>IF(tblOrdenes[[#This Row],[link_checklist]]="","",HYPERLINK(p_ruta_base_checklists&amp;tblOrdenes[[#This Row],[link_checklist]],"abrir"))</f>
        <v/>
      </c>
      <c r="AK92" s="6" t="inlineStr"/>
    </row>
    <row r="93">
      <c r="A93" s="3" t="inlineStr">
        <is>
          <t>OT-000090</t>
        </is>
      </c>
      <c r="B93" s="3" t="inlineStr">
        <is>
          <t>0010</t>
        </is>
      </c>
      <c r="C93" s="3">
        <f>tblOrdenes[[#This Row],[orden]]&amp;IF(tblOrdenes[[#This Row],[operacion]]="","0010",tblOrdenes[[#This Row],[operacion]])</f>
        <v/>
      </c>
      <c r="D93" s="3" t="inlineStr">
        <is>
          <t>Reparación de falla — EQ-108</t>
        </is>
      </c>
      <c r="E93" s="3" t="inlineStr">
        <is>
          <t>Reparación de falla en EQ-108</t>
        </is>
      </c>
      <c r="F93" s="3" t="inlineStr">
        <is>
          <t>EQ-108</t>
        </is>
      </c>
      <c r="G93" s="3" t="inlineStr">
        <is>
          <t>CC-220</t>
        </is>
      </c>
      <c r="H93" s="3" t="inlineStr">
        <is>
          <t>PU-AUT</t>
        </is>
      </c>
      <c r="I93" s="3" t="inlineStr">
        <is>
          <t>ACT-03</t>
        </is>
      </c>
      <c r="J93" s="3" t="inlineStr">
        <is>
          <t>TIPO-C1</t>
        </is>
      </c>
      <c r="K93" s="11" t="n">
        <v>46213</v>
      </c>
      <c r="L93" s="3" t="n">
        <v>10</v>
      </c>
      <c r="M93" s="10" t="n">
        <v>400</v>
      </c>
      <c r="N93" s="3">
        <f>_xlfn.XLOOKUP(_xlfn.XLOOKUP(tblOrdenes[[#This Row],[id_operacion]],tblEjecucion[id_operacion],tblEjecucion[estado_sistema],""),tblEstados[estado_sistema],tblEstados[estado_normalizado],"Pendiente")</f>
        <v/>
      </c>
      <c r="O93" s="3">
        <f>IF(tblOrdenes[[#This Row],[fecha_inicio]]="","","S"&amp;IF(_xlfn.ISOWEEKNUM(tblOrdenes[[#This Row],[fecha_inicio]])=53,1,_xlfn.ISOWEEKNUM(tblOrdenes[[#This Row],[fecha_inicio]])))</f>
        <v/>
      </c>
      <c r="P93" s="3">
        <f>IF(tblOrdenes[[#This Row],[fecha_inicio]]="","",YEAR(tblOrdenes[[#This Row],[fecha_inicio]]))</f>
        <v/>
      </c>
      <c r="Q93" s="3">
        <f>IF(tblOrdenes[[#This Row],[fecha_inicio]]="","",MONTH(tblOrdenes[[#This Row],[fecha_inicio]]))</f>
        <v/>
      </c>
      <c r="R93" s="3">
        <f>IF(tblOrdenes[[#This Row],[fecha_inicio]]="","",INDEX(lista_dias,WEEKDAY(tblOrdenes[[#This Row],[fecha_inicio]],2)))</f>
        <v/>
      </c>
      <c r="S93" s="3">
        <f>_xlfn.XLOOKUP(tblOrdenes[[#This Row],[tipo_ot]],tblTiposOT[codigo],tblTiposOT[clasificacion],"sin_clasificar")</f>
        <v/>
      </c>
      <c r="T93" s="3">
        <f>_xlfn.XLOOKUP(tblOrdenes[[#This Row],[centro_costo]],tblCECO[codigo],tblCECO[linea],"(sin catálogo)")</f>
        <v/>
      </c>
      <c r="U93" s="3">
        <f>_xlfn.XLOOKUP(tblOrdenes[[#This Row],[centro_costo]],tblCECO[codigo],tblCECO[area],"(sin catálogo)")</f>
        <v/>
      </c>
      <c r="V93" s="3">
        <f>_xlfn.XLOOKUP(tblOrdenes[[#This Row],[centro_costo]],tblCECO[codigo],tblCECO[coordinador],"(sin catálogo)")</f>
        <v/>
      </c>
      <c r="W93" s="3">
        <f>_xlfn.XLOOKUP(tblOrdenes[[#This Row],[puesto_trabajo]],tblPuestos[codigo],tblPuestos[especialidad],"(sin catálogo)")</f>
        <v/>
      </c>
      <c r="X93" s="3">
        <f>_xlfn.XLOOKUP(tblOrdenes[[#This Row],[cod_actividad]],tblActividades[codigo],tblActividades[descripcion],"(sin catálogo)")</f>
        <v/>
      </c>
      <c r="Y93" s="12">
        <f>IF(tblOrdenes[[#This Row],[fecha_inicio]]="","",TODAY()-tblOrdenes[[#This Row],[fecha_inicio]])</f>
        <v/>
      </c>
      <c r="Z93" s="3">
        <f>IF(tblOrdenes[[#This Row],[backlog_dias]]="","",IF(tblOrdenes[[#This Row],[backlog_dias]]&lt;0,"FUTURO",IF(tblOrdenes[[#This Row],[backlog_dias]]&gt;p_dias_backlog_max,"BACKLOG","MES CORRIENTE")))</f>
        <v/>
      </c>
      <c r="AA93" s="3">
        <f>IF(tblOrdenes[[#This Row],[backlog_dias]]="",FALSE,AND(tblOrdenes[[#This Row],[backlog_dias]]&gt;p_dias_backlog_min,tblOrdenes[[#This Row],[backlog_dias]]&lt;=p_dias_backlog_max))</f>
        <v/>
      </c>
      <c r="AB93" s="6" t="inlineStr">
        <is>
          <t>Técnico 09</t>
        </is>
      </c>
      <c r="AC9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3" s="10">
        <f>_xlfn.XLOOKUP(tblOrdenes[[#This Row],[id_operacion]],tblEjecucion[id_operacion],tblEjecucion[precio],0)</f>
        <v/>
      </c>
      <c r="AE93" s="10">
        <f>MAX(0,_xlfn.XLOOKUP(tblOrdenes[[#This Row],[id_operacion]],tblEjecucion[id_operacion],tblEjecucion[costo_plan_total],0)-tblOrdenes[[#This Row],[costo_servicio]])</f>
        <v/>
      </c>
      <c r="AF93" s="10">
        <f>tblOrdenes[[#This Row],[costo_servicio]]+tblOrdenes[[#This Row],[costo_materiales]]</f>
        <v/>
      </c>
      <c r="AG93" s="6" t="inlineStr"/>
      <c r="AH93" s="6" t="inlineStr"/>
      <c r="AI93" s="6" t="inlineStr"/>
      <c r="AJ93" s="3">
        <f>IF(tblOrdenes[[#This Row],[link_checklist]]="","",HYPERLINK(p_ruta_base_checklists&amp;tblOrdenes[[#This Row],[link_checklist]],"abrir"))</f>
        <v/>
      </c>
      <c r="AK93" s="6" t="inlineStr"/>
    </row>
    <row r="94">
      <c r="A94" s="3" t="inlineStr">
        <is>
          <t>OT-000091</t>
        </is>
      </c>
      <c r="B94" s="3" t="inlineStr">
        <is>
          <t>0010</t>
        </is>
      </c>
      <c r="C94" s="3">
        <f>tblOrdenes[[#This Row],[orden]]&amp;IF(tblOrdenes[[#This Row],[operacion]]="","0010",tblOrdenes[[#This Row],[operacion]])</f>
        <v/>
      </c>
      <c r="D94" s="3" t="inlineStr">
        <is>
          <t>Lubricación programada — EQ-102</t>
        </is>
      </c>
      <c r="E94" s="3" t="inlineStr">
        <is>
          <t>Lubricación programada en EQ-102</t>
        </is>
      </c>
      <c r="F94" s="3" t="inlineStr">
        <is>
          <t>EQ-102</t>
        </is>
      </c>
      <c r="G94" s="3" t="inlineStr">
        <is>
          <t>CC-110</t>
        </is>
      </c>
      <c r="H94" s="3" t="inlineStr">
        <is>
          <t>PU-AUT</t>
        </is>
      </c>
      <c r="I94" s="3" t="inlineStr">
        <is>
          <t>ACT-02</t>
        </is>
      </c>
      <c r="J94" s="3" t="inlineStr">
        <is>
          <t>TIPO-P2</t>
        </is>
      </c>
      <c r="K94" s="11" t="n">
        <v>46216</v>
      </c>
      <c r="L94" s="3" t="n">
        <v>10</v>
      </c>
      <c r="M94" s="10" t="n">
        <v>250</v>
      </c>
      <c r="N94" s="3">
        <f>_xlfn.XLOOKUP(_xlfn.XLOOKUP(tblOrdenes[[#This Row],[id_operacion]],tblEjecucion[id_operacion],tblEjecucion[estado_sistema],""),tblEstados[estado_sistema],tblEstados[estado_normalizado],"Pendiente")</f>
        <v/>
      </c>
      <c r="O94" s="3">
        <f>IF(tblOrdenes[[#This Row],[fecha_inicio]]="","","S"&amp;IF(_xlfn.ISOWEEKNUM(tblOrdenes[[#This Row],[fecha_inicio]])=53,1,_xlfn.ISOWEEKNUM(tblOrdenes[[#This Row],[fecha_inicio]])))</f>
        <v/>
      </c>
      <c r="P94" s="3">
        <f>IF(tblOrdenes[[#This Row],[fecha_inicio]]="","",YEAR(tblOrdenes[[#This Row],[fecha_inicio]]))</f>
        <v/>
      </c>
      <c r="Q94" s="3">
        <f>IF(tblOrdenes[[#This Row],[fecha_inicio]]="","",MONTH(tblOrdenes[[#This Row],[fecha_inicio]]))</f>
        <v/>
      </c>
      <c r="R94" s="3">
        <f>IF(tblOrdenes[[#This Row],[fecha_inicio]]="","",INDEX(lista_dias,WEEKDAY(tblOrdenes[[#This Row],[fecha_inicio]],2)))</f>
        <v/>
      </c>
      <c r="S94" s="3">
        <f>_xlfn.XLOOKUP(tblOrdenes[[#This Row],[tipo_ot]],tblTiposOT[codigo],tblTiposOT[clasificacion],"sin_clasificar")</f>
        <v/>
      </c>
      <c r="T94" s="3">
        <f>_xlfn.XLOOKUP(tblOrdenes[[#This Row],[centro_costo]],tblCECO[codigo],tblCECO[linea],"(sin catálogo)")</f>
        <v/>
      </c>
      <c r="U94" s="3">
        <f>_xlfn.XLOOKUP(tblOrdenes[[#This Row],[centro_costo]],tblCECO[codigo],tblCECO[area],"(sin catálogo)")</f>
        <v/>
      </c>
      <c r="V94" s="3">
        <f>_xlfn.XLOOKUP(tblOrdenes[[#This Row],[centro_costo]],tblCECO[codigo],tblCECO[coordinador],"(sin catálogo)")</f>
        <v/>
      </c>
      <c r="W94" s="3">
        <f>_xlfn.XLOOKUP(tblOrdenes[[#This Row],[puesto_trabajo]],tblPuestos[codigo],tblPuestos[especialidad],"(sin catálogo)")</f>
        <v/>
      </c>
      <c r="X94" s="3">
        <f>_xlfn.XLOOKUP(tblOrdenes[[#This Row],[cod_actividad]],tblActividades[codigo],tblActividades[descripcion],"(sin catálogo)")</f>
        <v/>
      </c>
      <c r="Y94" s="12">
        <f>IF(tblOrdenes[[#This Row],[fecha_inicio]]="","",TODAY()-tblOrdenes[[#This Row],[fecha_inicio]])</f>
        <v/>
      </c>
      <c r="Z94" s="3">
        <f>IF(tblOrdenes[[#This Row],[backlog_dias]]="","",IF(tblOrdenes[[#This Row],[backlog_dias]]&lt;0,"FUTURO",IF(tblOrdenes[[#This Row],[backlog_dias]]&gt;p_dias_backlog_max,"BACKLOG","MES CORRIENTE")))</f>
        <v/>
      </c>
      <c r="AA94" s="3">
        <f>IF(tblOrdenes[[#This Row],[backlog_dias]]="",FALSE,AND(tblOrdenes[[#This Row],[backlog_dias]]&gt;p_dias_backlog_min,tblOrdenes[[#This Row],[backlog_dias]]&lt;=p_dias_backlog_max))</f>
        <v/>
      </c>
      <c r="AB94" s="6" t="inlineStr">
        <is>
          <t>Técnico 08</t>
        </is>
      </c>
      <c r="AC9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4" s="10">
        <f>_xlfn.XLOOKUP(tblOrdenes[[#This Row],[id_operacion]],tblEjecucion[id_operacion],tblEjecucion[precio],0)</f>
        <v/>
      </c>
      <c r="AE94" s="10">
        <f>MAX(0,_xlfn.XLOOKUP(tblOrdenes[[#This Row],[id_operacion]],tblEjecucion[id_operacion],tblEjecucion[costo_plan_total],0)-tblOrdenes[[#This Row],[costo_servicio]])</f>
        <v/>
      </c>
      <c r="AF94" s="10">
        <f>tblOrdenes[[#This Row],[costo_servicio]]+tblOrdenes[[#This Row],[costo_materiales]]</f>
        <v/>
      </c>
      <c r="AG94" s="6" t="inlineStr"/>
      <c r="AH94" s="6" t="inlineStr"/>
      <c r="AI94" s="6" t="inlineStr">
        <is>
          <t>ACT-02.pdf</t>
        </is>
      </c>
      <c r="AJ94" s="3">
        <f>IF(tblOrdenes[[#This Row],[link_checklist]]="","",HYPERLINK(p_ruta_base_checklists&amp;tblOrdenes[[#This Row],[link_checklist]],"abrir"))</f>
        <v/>
      </c>
      <c r="AK94" s="6" t="inlineStr"/>
    </row>
    <row r="95">
      <c r="A95" s="3" t="inlineStr">
        <is>
          <t>OT-000092</t>
        </is>
      </c>
      <c r="B95" s="3" t="inlineStr">
        <is>
          <t>0010</t>
        </is>
      </c>
      <c r="C95" s="3">
        <f>tblOrdenes[[#This Row],[orden]]&amp;IF(tblOrdenes[[#This Row],[operacion]]="","0010",tblOrdenes[[#This Row],[operacion]])</f>
        <v/>
      </c>
      <c r="D95" s="3" t="inlineStr">
        <is>
          <t>Análisis predictivo — EQ-106</t>
        </is>
      </c>
      <c r="E95" s="3" t="inlineStr">
        <is>
          <t>Análisis predictivo en EQ-106</t>
        </is>
      </c>
      <c r="F95" s="3" t="inlineStr">
        <is>
          <t>EQ-106</t>
        </is>
      </c>
      <c r="G95" s="3" t="inlineStr">
        <is>
          <t>CC-220</t>
        </is>
      </c>
      <c r="H95" s="3" t="inlineStr">
        <is>
          <t>PU-AUT</t>
        </is>
      </c>
      <c r="I95" s="3" t="inlineStr">
        <is>
          <t>ACT-04</t>
        </is>
      </c>
      <c r="J95" s="3" t="inlineStr">
        <is>
          <t>TIPO-P1</t>
        </is>
      </c>
      <c r="K95" s="11" t="n">
        <v>46217</v>
      </c>
      <c r="L95" s="3" t="n">
        <v>8</v>
      </c>
      <c r="M95" s="10" t="n">
        <v>200</v>
      </c>
      <c r="N95" s="3">
        <f>_xlfn.XLOOKUP(_xlfn.XLOOKUP(tblOrdenes[[#This Row],[id_operacion]],tblEjecucion[id_operacion],tblEjecucion[estado_sistema],""),tblEstados[estado_sistema],tblEstados[estado_normalizado],"Pendiente")</f>
        <v/>
      </c>
      <c r="O95" s="3">
        <f>IF(tblOrdenes[[#This Row],[fecha_inicio]]="","","S"&amp;IF(_xlfn.ISOWEEKNUM(tblOrdenes[[#This Row],[fecha_inicio]])=53,1,_xlfn.ISOWEEKNUM(tblOrdenes[[#This Row],[fecha_inicio]])))</f>
        <v/>
      </c>
      <c r="P95" s="3">
        <f>IF(tblOrdenes[[#This Row],[fecha_inicio]]="","",YEAR(tblOrdenes[[#This Row],[fecha_inicio]]))</f>
        <v/>
      </c>
      <c r="Q95" s="3">
        <f>IF(tblOrdenes[[#This Row],[fecha_inicio]]="","",MONTH(tblOrdenes[[#This Row],[fecha_inicio]]))</f>
        <v/>
      </c>
      <c r="R95" s="3">
        <f>IF(tblOrdenes[[#This Row],[fecha_inicio]]="","",INDEX(lista_dias,WEEKDAY(tblOrdenes[[#This Row],[fecha_inicio]],2)))</f>
        <v/>
      </c>
      <c r="S95" s="3">
        <f>_xlfn.XLOOKUP(tblOrdenes[[#This Row],[tipo_ot]],tblTiposOT[codigo],tblTiposOT[clasificacion],"sin_clasificar")</f>
        <v/>
      </c>
      <c r="T95" s="3">
        <f>_xlfn.XLOOKUP(tblOrdenes[[#This Row],[centro_costo]],tblCECO[codigo],tblCECO[linea],"(sin catálogo)")</f>
        <v/>
      </c>
      <c r="U95" s="3">
        <f>_xlfn.XLOOKUP(tblOrdenes[[#This Row],[centro_costo]],tblCECO[codigo],tblCECO[area],"(sin catálogo)")</f>
        <v/>
      </c>
      <c r="V95" s="3">
        <f>_xlfn.XLOOKUP(tblOrdenes[[#This Row],[centro_costo]],tblCECO[codigo],tblCECO[coordinador],"(sin catálogo)")</f>
        <v/>
      </c>
      <c r="W95" s="3">
        <f>_xlfn.XLOOKUP(tblOrdenes[[#This Row],[puesto_trabajo]],tblPuestos[codigo],tblPuestos[especialidad],"(sin catálogo)")</f>
        <v/>
      </c>
      <c r="X95" s="3">
        <f>_xlfn.XLOOKUP(tblOrdenes[[#This Row],[cod_actividad]],tblActividades[codigo],tblActividades[descripcion],"(sin catálogo)")</f>
        <v/>
      </c>
      <c r="Y95" s="12">
        <f>IF(tblOrdenes[[#This Row],[fecha_inicio]]="","",TODAY()-tblOrdenes[[#This Row],[fecha_inicio]])</f>
        <v/>
      </c>
      <c r="Z95" s="3">
        <f>IF(tblOrdenes[[#This Row],[backlog_dias]]="","",IF(tblOrdenes[[#This Row],[backlog_dias]]&lt;0,"FUTURO",IF(tblOrdenes[[#This Row],[backlog_dias]]&gt;p_dias_backlog_max,"BACKLOG","MES CORRIENTE")))</f>
        <v/>
      </c>
      <c r="AA95" s="3">
        <f>IF(tblOrdenes[[#This Row],[backlog_dias]]="",FALSE,AND(tblOrdenes[[#This Row],[backlog_dias]]&gt;p_dias_backlog_min,tblOrdenes[[#This Row],[backlog_dias]]&lt;=p_dias_backlog_max))</f>
        <v/>
      </c>
      <c r="AB95" s="6" t="inlineStr">
        <is>
          <t>Técnico 09</t>
        </is>
      </c>
      <c r="AC9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5" s="10">
        <f>_xlfn.XLOOKUP(tblOrdenes[[#This Row],[id_operacion]],tblEjecucion[id_operacion],tblEjecucion[precio],0)</f>
        <v/>
      </c>
      <c r="AE95" s="10">
        <f>MAX(0,_xlfn.XLOOKUP(tblOrdenes[[#This Row],[id_operacion]],tblEjecucion[id_operacion],tblEjecucion[costo_plan_total],0)-tblOrdenes[[#This Row],[costo_servicio]])</f>
        <v/>
      </c>
      <c r="AF95" s="10">
        <f>tblOrdenes[[#This Row],[costo_servicio]]+tblOrdenes[[#This Row],[costo_materiales]]</f>
        <v/>
      </c>
      <c r="AG95" s="6" t="inlineStr"/>
      <c r="AH95" s="6" t="inlineStr"/>
      <c r="AI95" s="6" t="inlineStr">
        <is>
          <t>ACT-04.pdf</t>
        </is>
      </c>
      <c r="AJ95" s="3">
        <f>IF(tblOrdenes[[#This Row],[link_checklist]]="","",HYPERLINK(p_ruta_base_checklists&amp;tblOrdenes[[#This Row],[link_checklist]],"abrir"))</f>
        <v/>
      </c>
      <c r="AK95" s="6" t="inlineStr"/>
    </row>
    <row r="96">
      <c r="A96" s="3" t="inlineStr">
        <is>
          <t>OT-000093</t>
        </is>
      </c>
      <c r="B96" s="3" t="inlineStr">
        <is>
          <t>0010</t>
        </is>
      </c>
      <c r="C96" s="3">
        <f>tblOrdenes[[#This Row],[orden]]&amp;IF(tblOrdenes[[#This Row],[operacion]]="","0010",tblOrdenes[[#This Row],[operacion]])</f>
        <v/>
      </c>
      <c r="D96" s="3" t="inlineStr">
        <is>
          <t>Inspección de rutina — EQ-104</t>
        </is>
      </c>
      <c r="E96" s="3" t="inlineStr">
        <is>
          <t>Inspección de rutina en EQ-104</t>
        </is>
      </c>
      <c r="F96" s="3" t="inlineStr">
        <is>
          <t>EQ-104</t>
        </is>
      </c>
      <c r="G96" s="3" t="inlineStr">
        <is>
          <t>CC-110</t>
        </is>
      </c>
      <c r="H96" s="3" t="inlineStr">
        <is>
          <t>PU-AUT</t>
        </is>
      </c>
      <c r="I96" s="3" t="inlineStr">
        <is>
          <t>ACT-01</t>
        </is>
      </c>
      <c r="J96" s="3" t="inlineStr">
        <is>
          <t>TIPO-P2</t>
        </is>
      </c>
      <c r="K96" s="11" t="n">
        <v>46218</v>
      </c>
      <c r="L96" s="3" t="n">
        <v>6</v>
      </c>
      <c r="M96" s="10" t="n">
        <v>150</v>
      </c>
      <c r="N96" s="3">
        <f>_xlfn.XLOOKUP(_xlfn.XLOOKUP(tblOrdenes[[#This Row],[id_operacion]],tblEjecucion[id_operacion],tblEjecucion[estado_sistema],""),tblEstados[estado_sistema],tblEstados[estado_normalizado],"Pendiente")</f>
        <v/>
      </c>
      <c r="O96" s="3">
        <f>IF(tblOrdenes[[#This Row],[fecha_inicio]]="","","S"&amp;IF(_xlfn.ISOWEEKNUM(tblOrdenes[[#This Row],[fecha_inicio]])=53,1,_xlfn.ISOWEEKNUM(tblOrdenes[[#This Row],[fecha_inicio]])))</f>
        <v/>
      </c>
      <c r="P96" s="3">
        <f>IF(tblOrdenes[[#This Row],[fecha_inicio]]="","",YEAR(tblOrdenes[[#This Row],[fecha_inicio]]))</f>
        <v/>
      </c>
      <c r="Q96" s="3">
        <f>IF(tblOrdenes[[#This Row],[fecha_inicio]]="","",MONTH(tblOrdenes[[#This Row],[fecha_inicio]]))</f>
        <v/>
      </c>
      <c r="R96" s="3">
        <f>IF(tblOrdenes[[#This Row],[fecha_inicio]]="","",INDEX(lista_dias,WEEKDAY(tblOrdenes[[#This Row],[fecha_inicio]],2)))</f>
        <v/>
      </c>
      <c r="S96" s="3">
        <f>_xlfn.XLOOKUP(tblOrdenes[[#This Row],[tipo_ot]],tblTiposOT[codigo],tblTiposOT[clasificacion],"sin_clasificar")</f>
        <v/>
      </c>
      <c r="T96" s="3">
        <f>_xlfn.XLOOKUP(tblOrdenes[[#This Row],[centro_costo]],tblCECO[codigo],tblCECO[linea],"(sin catálogo)")</f>
        <v/>
      </c>
      <c r="U96" s="3">
        <f>_xlfn.XLOOKUP(tblOrdenes[[#This Row],[centro_costo]],tblCECO[codigo],tblCECO[area],"(sin catálogo)")</f>
        <v/>
      </c>
      <c r="V96" s="3">
        <f>_xlfn.XLOOKUP(tblOrdenes[[#This Row],[centro_costo]],tblCECO[codigo],tblCECO[coordinador],"(sin catálogo)")</f>
        <v/>
      </c>
      <c r="W96" s="3">
        <f>_xlfn.XLOOKUP(tblOrdenes[[#This Row],[puesto_trabajo]],tblPuestos[codigo],tblPuestos[especialidad],"(sin catálogo)")</f>
        <v/>
      </c>
      <c r="X96" s="3">
        <f>_xlfn.XLOOKUP(tblOrdenes[[#This Row],[cod_actividad]],tblActividades[codigo],tblActividades[descripcion],"(sin catálogo)")</f>
        <v/>
      </c>
      <c r="Y96" s="12">
        <f>IF(tblOrdenes[[#This Row],[fecha_inicio]]="","",TODAY()-tblOrdenes[[#This Row],[fecha_inicio]])</f>
        <v/>
      </c>
      <c r="Z96" s="3">
        <f>IF(tblOrdenes[[#This Row],[backlog_dias]]="","",IF(tblOrdenes[[#This Row],[backlog_dias]]&lt;0,"FUTURO",IF(tblOrdenes[[#This Row],[backlog_dias]]&gt;p_dias_backlog_max,"BACKLOG","MES CORRIENTE")))</f>
        <v/>
      </c>
      <c r="AA96" s="3">
        <f>IF(tblOrdenes[[#This Row],[backlog_dias]]="",FALSE,AND(tblOrdenes[[#This Row],[backlog_dias]]&gt;p_dias_backlog_min,tblOrdenes[[#This Row],[backlog_dias]]&lt;=p_dias_backlog_max))</f>
        <v/>
      </c>
      <c r="AB96" s="6" t="inlineStr">
        <is>
          <t>Técnico 08</t>
        </is>
      </c>
      <c r="AC9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6" s="10">
        <f>_xlfn.XLOOKUP(tblOrdenes[[#This Row],[id_operacion]],tblEjecucion[id_operacion],tblEjecucion[precio],0)</f>
        <v/>
      </c>
      <c r="AE96" s="10">
        <f>MAX(0,_xlfn.XLOOKUP(tblOrdenes[[#This Row],[id_operacion]],tblEjecucion[id_operacion],tblEjecucion[costo_plan_total],0)-tblOrdenes[[#This Row],[costo_servicio]])</f>
        <v/>
      </c>
      <c r="AF96" s="10">
        <f>tblOrdenes[[#This Row],[costo_servicio]]+tblOrdenes[[#This Row],[costo_materiales]]</f>
        <v/>
      </c>
      <c r="AG96" s="6" t="inlineStr"/>
      <c r="AH96" s="6" t="inlineStr"/>
      <c r="AI96" s="6" t="inlineStr">
        <is>
          <t>ACT-01.pdf</t>
        </is>
      </c>
      <c r="AJ96" s="3">
        <f>IF(tblOrdenes[[#This Row],[link_checklist]]="","",HYPERLINK(p_ruta_base_checklists&amp;tblOrdenes[[#This Row],[link_checklist]],"abrir"))</f>
        <v/>
      </c>
      <c r="AK96" s="6" t="inlineStr"/>
    </row>
    <row r="97">
      <c r="A97" s="3" t="inlineStr">
        <is>
          <t>OT-000094</t>
        </is>
      </c>
      <c r="B97" s="3" t="inlineStr">
        <is>
          <t>0010</t>
        </is>
      </c>
      <c r="C97" s="3">
        <f>tblOrdenes[[#This Row],[orden]]&amp;IF(tblOrdenes[[#This Row],[operacion]]="","0010",tblOrdenes[[#This Row],[operacion]])</f>
        <v/>
      </c>
      <c r="D97" s="3" t="inlineStr">
        <is>
          <t>Lubricación programada — EQ-108</t>
        </is>
      </c>
      <c r="E97" s="3" t="inlineStr">
        <is>
          <t>Lubricación programada en EQ-108</t>
        </is>
      </c>
      <c r="F97" s="3" t="inlineStr">
        <is>
          <t>EQ-108</t>
        </is>
      </c>
      <c r="G97" s="3" t="inlineStr">
        <is>
          <t>CC-220</t>
        </is>
      </c>
      <c r="H97" s="3" t="inlineStr">
        <is>
          <t>PU-AUT</t>
        </is>
      </c>
      <c r="I97" s="3" t="inlineStr">
        <is>
          <t>ACT-02</t>
        </is>
      </c>
      <c r="J97" s="3" t="inlineStr">
        <is>
          <t>TIPO-P1</t>
        </is>
      </c>
      <c r="K97" s="11" t="n">
        <v>46219</v>
      </c>
      <c r="L97" s="3" t="n">
        <v>10</v>
      </c>
      <c r="M97" s="10" t="n">
        <v>250</v>
      </c>
      <c r="N97" s="3">
        <f>_xlfn.XLOOKUP(_xlfn.XLOOKUP(tblOrdenes[[#This Row],[id_operacion]],tblEjecucion[id_operacion],tblEjecucion[estado_sistema],""),tblEstados[estado_sistema],tblEstados[estado_normalizado],"Pendiente")</f>
        <v/>
      </c>
      <c r="O97" s="3">
        <f>IF(tblOrdenes[[#This Row],[fecha_inicio]]="","","S"&amp;IF(_xlfn.ISOWEEKNUM(tblOrdenes[[#This Row],[fecha_inicio]])=53,1,_xlfn.ISOWEEKNUM(tblOrdenes[[#This Row],[fecha_inicio]])))</f>
        <v/>
      </c>
      <c r="P97" s="3">
        <f>IF(tblOrdenes[[#This Row],[fecha_inicio]]="","",YEAR(tblOrdenes[[#This Row],[fecha_inicio]]))</f>
        <v/>
      </c>
      <c r="Q97" s="3">
        <f>IF(tblOrdenes[[#This Row],[fecha_inicio]]="","",MONTH(tblOrdenes[[#This Row],[fecha_inicio]]))</f>
        <v/>
      </c>
      <c r="R97" s="3">
        <f>IF(tblOrdenes[[#This Row],[fecha_inicio]]="","",INDEX(lista_dias,WEEKDAY(tblOrdenes[[#This Row],[fecha_inicio]],2)))</f>
        <v/>
      </c>
      <c r="S97" s="3">
        <f>_xlfn.XLOOKUP(tblOrdenes[[#This Row],[tipo_ot]],tblTiposOT[codigo],tblTiposOT[clasificacion],"sin_clasificar")</f>
        <v/>
      </c>
      <c r="T97" s="3">
        <f>_xlfn.XLOOKUP(tblOrdenes[[#This Row],[centro_costo]],tblCECO[codigo],tblCECO[linea],"(sin catálogo)")</f>
        <v/>
      </c>
      <c r="U97" s="3">
        <f>_xlfn.XLOOKUP(tblOrdenes[[#This Row],[centro_costo]],tblCECO[codigo],tblCECO[area],"(sin catálogo)")</f>
        <v/>
      </c>
      <c r="V97" s="3">
        <f>_xlfn.XLOOKUP(tblOrdenes[[#This Row],[centro_costo]],tblCECO[codigo],tblCECO[coordinador],"(sin catálogo)")</f>
        <v/>
      </c>
      <c r="W97" s="3">
        <f>_xlfn.XLOOKUP(tblOrdenes[[#This Row],[puesto_trabajo]],tblPuestos[codigo],tblPuestos[especialidad],"(sin catálogo)")</f>
        <v/>
      </c>
      <c r="X97" s="3">
        <f>_xlfn.XLOOKUP(tblOrdenes[[#This Row],[cod_actividad]],tblActividades[codigo],tblActividades[descripcion],"(sin catálogo)")</f>
        <v/>
      </c>
      <c r="Y97" s="12">
        <f>IF(tblOrdenes[[#This Row],[fecha_inicio]]="","",TODAY()-tblOrdenes[[#This Row],[fecha_inicio]])</f>
        <v/>
      </c>
      <c r="Z97" s="3">
        <f>IF(tblOrdenes[[#This Row],[backlog_dias]]="","",IF(tblOrdenes[[#This Row],[backlog_dias]]&lt;0,"FUTURO",IF(tblOrdenes[[#This Row],[backlog_dias]]&gt;p_dias_backlog_max,"BACKLOG","MES CORRIENTE")))</f>
        <v/>
      </c>
      <c r="AA97" s="3">
        <f>IF(tblOrdenes[[#This Row],[backlog_dias]]="",FALSE,AND(tblOrdenes[[#This Row],[backlog_dias]]&gt;p_dias_backlog_min,tblOrdenes[[#This Row],[backlog_dias]]&lt;=p_dias_backlog_max))</f>
        <v/>
      </c>
      <c r="AB97" s="6" t="inlineStr">
        <is>
          <t>Técnico 09</t>
        </is>
      </c>
      <c r="AC9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7" s="10">
        <f>_xlfn.XLOOKUP(tblOrdenes[[#This Row],[id_operacion]],tblEjecucion[id_operacion],tblEjecucion[precio],0)</f>
        <v/>
      </c>
      <c r="AE97" s="10">
        <f>MAX(0,_xlfn.XLOOKUP(tblOrdenes[[#This Row],[id_operacion]],tblEjecucion[id_operacion],tblEjecucion[costo_plan_total],0)-tblOrdenes[[#This Row],[costo_servicio]])</f>
        <v/>
      </c>
      <c r="AF97" s="10">
        <f>tblOrdenes[[#This Row],[costo_servicio]]+tblOrdenes[[#This Row],[costo_materiales]]</f>
        <v/>
      </c>
      <c r="AG97" s="6" t="inlineStr"/>
      <c r="AH97" s="6" t="inlineStr"/>
      <c r="AI97" s="6" t="inlineStr">
        <is>
          <t>ACT-02.pdf</t>
        </is>
      </c>
      <c r="AJ97" s="3">
        <f>IF(tblOrdenes[[#This Row],[link_checklist]]="","",HYPERLINK(p_ruta_base_checklists&amp;tblOrdenes[[#This Row],[link_checklist]],"abrir"))</f>
        <v/>
      </c>
      <c r="AK97" s="6" t="inlineStr"/>
    </row>
    <row r="98">
      <c r="A98" s="3" t="inlineStr">
        <is>
          <t>OT-000095</t>
        </is>
      </c>
      <c r="B98" s="3" t="inlineStr">
        <is>
          <t>0010</t>
        </is>
      </c>
      <c r="C98" s="3">
        <f>tblOrdenes[[#This Row],[orden]]&amp;IF(tblOrdenes[[#This Row],[operacion]]="","0010",tblOrdenes[[#This Row],[operacion]])</f>
        <v/>
      </c>
      <c r="D98" s="3" t="inlineStr">
        <is>
          <t>Análisis predictivo — EQ-101</t>
        </is>
      </c>
      <c r="E98" s="3" t="inlineStr">
        <is>
          <t>Análisis predictivo en EQ-101</t>
        </is>
      </c>
      <c r="F98" s="3" t="inlineStr">
        <is>
          <t>EQ-101</t>
        </is>
      </c>
      <c r="G98" s="3" t="inlineStr">
        <is>
          <t>CC-110</t>
        </is>
      </c>
      <c r="H98" s="3" t="inlineStr">
        <is>
          <t>PU-AUT</t>
        </is>
      </c>
      <c r="I98" s="3" t="inlineStr">
        <is>
          <t>ACT-04</t>
        </is>
      </c>
      <c r="J98" s="3" t="inlineStr">
        <is>
          <t>TIPO-P2</t>
        </is>
      </c>
      <c r="K98" s="11" t="n">
        <v>46220</v>
      </c>
      <c r="L98" s="3" t="n">
        <v>11</v>
      </c>
      <c r="M98" s="10" t="n">
        <v>275</v>
      </c>
      <c r="N98" s="3">
        <f>_xlfn.XLOOKUP(_xlfn.XLOOKUP(tblOrdenes[[#This Row],[id_operacion]],tblEjecucion[id_operacion],tblEjecucion[estado_sistema],""),tblEstados[estado_sistema],tblEstados[estado_normalizado],"Pendiente")</f>
        <v/>
      </c>
      <c r="O98" s="3">
        <f>IF(tblOrdenes[[#This Row],[fecha_inicio]]="","","S"&amp;IF(_xlfn.ISOWEEKNUM(tblOrdenes[[#This Row],[fecha_inicio]])=53,1,_xlfn.ISOWEEKNUM(tblOrdenes[[#This Row],[fecha_inicio]])))</f>
        <v/>
      </c>
      <c r="P98" s="3">
        <f>IF(tblOrdenes[[#This Row],[fecha_inicio]]="","",YEAR(tblOrdenes[[#This Row],[fecha_inicio]]))</f>
        <v/>
      </c>
      <c r="Q98" s="3">
        <f>IF(tblOrdenes[[#This Row],[fecha_inicio]]="","",MONTH(tblOrdenes[[#This Row],[fecha_inicio]]))</f>
        <v/>
      </c>
      <c r="R98" s="3">
        <f>IF(tblOrdenes[[#This Row],[fecha_inicio]]="","",INDEX(lista_dias,WEEKDAY(tblOrdenes[[#This Row],[fecha_inicio]],2)))</f>
        <v/>
      </c>
      <c r="S98" s="3">
        <f>_xlfn.XLOOKUP(tblOrdenes[[#This Row],[tipo_ot]],tblTiposOT[codigo],tblTiposOT[clasificacion],"sin_clasificar")</f>
        <v/>
      </c>
      <c r="T98" s="3">
        <f>_xlfn.XLOOKUP(tblOrdenes[[#This Row],[centro_costo]],tblCECO[codigo],tblCECO[linea],"(sin catálogo)")</f>
        <v/>
      </c>
      <c r="U98" s="3">
        <f>_xlfn.XLOOKUP(tblOrdenes[[#This Row],[centro_costo]],tblCECO[codigo],tblCECO[area],"(sin catálogo)")</f>
        <v/>
      </c>
      <c r="V98" s="3">
        <f>_xlfn.XLOOKUP(tblOrdenes[[#This Row],[centro_costo]],tblCECO[codigo],tblCECO[coordinador],"(sin catálogo)")</f>
        <v/>
      </c>
      <c r="W98" s="3">
        <f>_xlfn.XLOOKUP(tblOrdenes[[#This Row],[puesto_trabajo]],tblPuestos[codigo],tblPuestos[especialidad],"(sin catálogo)")</f>
        <v/>
      </c>
      <c r="X98" s="3">
        <f>_xlfn.XLOOKUP(tblOrdenes[[#This Row],[cod_actividad]],tblActividades[codigo],tblActividades[descripcion],"(sin catálogo)")</f>
        <v/>
      </c>
      <c r="Y98" s="12">
        <f>IF(tblOrdenes[[#This Row],[fecha_inicio]]="","",TODAY()-tblOrdenes[[#This Row],[fecha_inicio]])</f>
        <v/>
      </c>
      <c r="Z98" s="3">
        <f>IF(tblOrdenes[[#This Row],[backlog_dias]]="","",IF(tblOrdenes[[#This Row],[backlog_dias]]&lt;0,"FUTURO",IF(tblOrdenes[[#This Row],[backlog_dias]]&gt;p_dias_backlog_max,"BACKLOG","MES CORRIENTE")))</f>
        <v/>
      </c>
      <c r="AA98" s="3">
        <f>IF(tblOrdenes[[#This Row],[backlog_dias]]="",FALSE,AND(tblOrdenes[[#This Row],[backlog_dias]]&gt;p_dias_backlog_min,tblOrdenes[[#This Row],[backlog_dias]]&lt;=p_dias_backlog_max))</f>
        <v/>
      </c>
      <c r="AB98" s="6" t="inlineStr">
        <is>
          <t>Técnico 08</t>
        </is>
      </c>
      <c r="AC9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8" s="10">
        <f>_xlfn.XLOOKUP(tblOrdenes[[#This Row],[id_operacion]],tblEjecucion[id_operacion],tblEjecucion[precio],0)</f>
        <v/>
      </c>
      <c r="AE98" s="10">
        <f>MAX(0,_xlfn.XLOOKUP(tblOrdenes[[#This Row],[id_operacion]],tblEjecucion[id_operacion],tblEjecucion[costo_plan_total],0)-tblOrdenes[[#This Row],[costo_servicio]])</f>
        <v/>
      </c>
      <c r="AF98" s="10">
        <f>tblOrdenes[[#This Row],[costo_servicio]]+tblOrdenes[[#This Row],[costo_materiales]]</f>
        <v/>
      </c>
      <c r="AG98" s="6" t="inlineStr"/>
      <c r="AH98" s="6" t="inlineStr"/>
      <c r="AI98" s="6" t="inlineStr">
        <is>
          <t>ACT-04.pdf</t>
        </is>
      </c>
      <c r="AJ98" s="3">
        <f>IF(tblOrdenes[[#This Row],[link_checklist]]="","",HYPERLINK(p_ruta_base_checklists&amp;tblOrdenes[[#This Row],[link_checklist]],"abrir"))</f>
        <v/>
      </c>
      <c r="AK98" s="6" t="inlineStr"/>
    </row>
    <row r="99">
      <c r="A99" s="3" t="inlineStr">
        <is>
          <t>OT-000096</t>
        </is>
      </c>
      <c r="B99" s="3" t="inlineStr">
        <is>
          <t>0010</t>
        </is>
      </c>
      <c r="C99" s="3">
        <f>tblOrdenes[[#This Row],[orden]]&amp;IF(tblOrdenes[[#This Row],[operacion]]="","0010",tblOrdenes[[#This Row],[operacion]])</f>
        <v/>
      </c>
      <c r="D99" s="3" t="inlineStr">
        <is>
          <t>Reparación de falla — EQ-106</t>
        </is>
      </c>
      <c r="E99" s="3" t="inlineStr">
        <is>
          <t>Reparación de falla en EQ-106</t>
        </is>
      </c>
      <c r="F99" s="3" t="inlineStr">
        <is>
          <t>EQ-106</t>
        </is>
      </c>
      <c r="G99" s="3" t="inlineStr">
        <is>
          <t>CC-220</t>
        </is>
      </c>
      <c r="H99" s="3" t="inlineStr">
        <is>
          <t>PU-AUT</t>
        </is>
      </c>
      <c r="I99" s="3" t="inlineStr">
        <is>
          <t>ACT-03</t>
        </is>
      </c>
      <c r="J99" s="3" t="inlineStr">
        <is>
          <t>TIPO-C1</t>
        </is>
      </c>
      <c r="K99" s="11" t="n">
        <v>46216</v>
      </c>
      <c r="L99" s="3" t="n">
        <v>10</v>
      </c>
      <c r="M99" s="10" t="n">
        <v>400</v>
      </c>
      <c r="N99" s="3">
        <f>_xlfn.XLOOKUP(_xlfn.XLOOKUP(tblOrdenes[[#This Row],[id_operacion]],tblEjecucion[id_operacion],tblEjecucion[estado_sistema],""),tblEstados[estado_sistema],tblEstados[estado_normalizado],"Pendiente")</f>
        <v/>
      </c>
      <c r="O99" s="3">
        <f>IF(tblOrdenes[[#This Row],[fecha_inicio]]="","","S"&amp;IF(_xlfn.ISOWEEKNUM(tblOrdenes[[#This Row],[fecha_inicio]])=53,1,_xlfn.ISOWEEKNUM(tblOrdenes[[#This Row],[fecha_inicio]])))</f>
        <v/>
      </c>
      <c r="P99" s="3">
        <f>IF(tblOrdenes[[#This Row],[fecha_inicio]]="","",YEAR(tblOrdenes[[#This Row],[fecha_inicio]]))</f>
        <v/>
      </c>
      <c r="Q99" s="3">
        <f>IF(tblOrdenes[[#This Row],[fecha_inicio]]="","",MONTH(tblOrdenes[[#This Row],[fecha_inicio]]))</f>
        <v/>
      </c>
      <c r="R99" s="3">
        <f>IF(tblOrdenes[[#This Row],[fecha_inicio]]="","",INDEX(lista_dias,WEEKDAY(tblOrdenes[[#This Row],[fecha_inicio]],2)))</f>
        <v/>
      </c>
      <c r="S99" s="3">
        <f>_xlfn.XLOOKUP(tblOrdenes[[#This Row],[tipo_ot]],tblTiposOT[codigo],tblTiposOT[clasificacion],"sin_clasificar")</f>
        <v/>
      </c>
      <c r="T99" s="3">
        <f>_xlfn.XLOOKUP(tblOrdenes[[#This Row],[centro_costo]],tblCECO[codigo],tblCECO[linea],"(sin catálogo)")</f>
        <v/>
      </c>
      <c r="U99" s="3">
        <f>_xlfn.XLOOKUP(tblOrdenes[[#This Row],[centro_costo]],tblCECO[codigo],tblCECO[area],"(sin catálogo)")</f>
        <v/>
      </c>
      <c r="V99" s="3">
        <f>_xlfn.XLOOKUP(tblOrdenes[[#This Row],[centro_costo]],tblCECO[codigo],tblCECO[coordinador],"(sin catálogo)")</f>
        <v/>
      </c>
      <c r="W99" s="3">
        <f>_xlfn.XLOOKUP(tblOrdenes[[#This Row],[puesto_trabajo]],tblPuestos[codigo],tblPuestos[especialidad],"(sin catálogo)")</f>
        <v/>
      </c>
      <c r="X99" s="3">
        <f>_xlfn.XLOOKUP(tblOrdenes[[#This Row],[cod_actividad]],tblActividades[codigo],tblActividades[descripcion],"(sin catálogo)")</f>
        <v/>
      </c>
      <c r="Y99" s="12">
        <f>IF(tblOrdenes[[#This Row],[fecha_inicio]]="","",TODAY()-tblOrdenes[[#This Row],[fecha_inicio]])</f>
        <v/>
      </c>
      <c r="Z99" s="3">
        <f>IF(tblOrdenes[[#This Row],[backlog_dias]]="","",IF(tblOrdenes[[#This Row],[backlog_dias]]&lt;0,"FUTURO",IF(tblOrdenes[[#This Row],[backlog_dias]]&gt;p_dias_backlog_max,"BACKLOG","MES CORRIENTE")))</f>
        <v/>
      </c>
      <c r="AA99" s="3">
        <f>IF(tblOrdenes[[#This Row],[backlog_dias]]="",FALSE,AND(tblOrdenes[[#This Row],[backlog_dias]]&gt;p_dias_backlog_min,tblOrdenes[[#This Row],[backlog_dias]]&lt;=p_dias_backlog_max))</f>
        <v/>
      </c>
      <c r="AB99" s="6" t="inlineStr"/>
      <c r="AC9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9" s="10">
        <f>_xlfn.XLOOKUP(tblOrdenes[[#This Row],[id_operacion]],tblEjecucion[id_operacion],tblEjecucion[precio],0)</f>
        <v/>
      </c>
      <c r="AE99" s="10">
        <f>MAX(0,_xlfn.XLOOKUP(tblOrdenes[[#This Row],[id_operacion]],tblEjecucion[id_operacion],tblEjecucion[costo_plan_total],0)-tblOrdenes[[#This Row],[costo_servicio]])</f>
        <v/>
      </c>
      <c r="AF99" s="10">
        <f>tblOrdenes[[#This Row],[costo_servicio]]+tblOrdenes[[#This Row],[costo_materiales]]</f>
        <v/>
      </c>
      <c r="AG99" s="6" t="inlineStr">
        <is>
          <t>PT-CALIENTE</t>
        </is>
      </c>
      <c r="AH99" s="6" t="inlineStr">
        <is>
          <t>LOTO</t>
        </is>
      </c>
      <c r="AI99" s="6" t="inlineStr"/>
      <c r="AJ99" s="3">
        <f>IF(tblOrdenes[[#This Row],[link_checklist]]="","",HYPERLINK(p_ruta_base_checklists&amp;tblOrdenes[[#This Row],[link_checklist]],"abrir"))</f>
        <v/>
      </c>
      <c r="AK99" s="6" t="inlineStr"/>
    </row>
    <row r="100">
      <c r="A100" s="3" t="inlineStr">
        <is>
          <t>OT-000097</t>
        </is>
      </c>
      <c r="B100" s="3" t="inlineStr">
        <is>
          <t>0010</t>
        </is>
      </c>
      <c r="C100" s="3">
        <f>tblOrdenes[[#This Row],[orden]]&amp;IF(tblOrdenes[[#This Row],[operacion]]="","0010",tblOrdenes[[#This Row],[operacion]])</f>
        <v/>
      </c>
      <c r="D100" s="3" t="inlineStr">
        <is>
          <t>Lubricación programada — EQ-103</t>
        </is>
      </c>
      <c r="E100" s="3" t="inlineStr">
        <is>
          <t>Lubricación programada en EQ-103</t>
        </is>
      </c>
      <c r="F100" s="3" t="inlineStr">
        <is>
          <t>EQ-103</t>
        </is>
      </c>
      <c r="G100" s="3" t="inlineStr">
        <is>
          <t>CC-110</t>
        </is>
      </c>
      <c r="H100" s="3" t="inlineStr">
        <is>
          <t>PU-AUT</t>
        </is>
      </c>
      <c r="I100" s="3" t="inlineStr">
        <is>
          <t>ACT-02</t>
        </is>
      </c>
      <c r="J100" s="3" t="inlineStr">
        <is>
          <t>TIPO-P2</t>
        </is>
      </c>
      <c r="K100" s="11" t="n">
        <v>46224</v>
      </c>
      <c r="L100" s="3" t="n">
        <v>10</v>
      </c>
      <c r="M100" s="10" t="n">
        <v>250</v>
      </c>
      <c r="N100" s="3">
        <f>_xlfn.XLOOKUP(_xlfn.XLOOKUP(tblOrdenes[[#This Row],[id_operacion]],tblEjecucion[id_operacion],tblEjecucion[estado_sistema],""),tblEstados[estado_sistema],tblEstados[estado_normalizado],"Pendiente")</f>
        <v/>
      </c>
      <c r="O100" s="3">
        <f>IF(tblOrdenes[[#This Row],[fecha_inicio]]="","","S"&amp;IF(_xlfn.ISOWEEKNUM(tblOrdenes[[#This Row],[fecha_inicio]])=53,1,_xlfn.ISOWEEKNUM(tblOrdenes[[#This Row],[fecha_inicio]])))</f>
        <v/>
      </c>
      <c r="P100" s="3">
        <f>IF(tblOrdenes[[#This Row],[fecha_inicio]]="","",YEAR(tblOrdenes[[#This Row],[fecha_inicio]]))</f>
        <v/>
      </c>
      <c r="Q100" s="3">
        <f>IF(tblOrdenes[[#This Row],[fecha_inicio]]="","",MONTH(tblOrdenes[[#This Row],[fecha_inicio]]))</f>
        <v/>
      </c>
      <c r="R100" s="3">
        <f>IF(tblOrdenes[[#This Row],[fecha_inicio]]="","",INDEX(lista_dias,WEEKDAY(tblOrdenes[[#This Row],[fecha_inicio]],2)))</f>
        <v/>
      </c>
      <c r="S100" s="3">
        <f>_xlfn.XLOOKUP(tblOrdenes[[#This Row],[tipo_ot]],tblTiposOT[codigo],tblTiposOT[clasificacion],"sin_clasificar")</f>
        <v/>
      </c>
      <c r="T100" s="3">
        <f>_xlfn.XLOOKUP(tblOrdenes[[#This Row],[centro_costo]],tblCECO[codigo],tblCECO[linea],"(sin catálogo)")</f>
        <v/>
      </c>
      <c r="U100" s="3">
        <f>_xlfn.XLOOKUP(tblOrdenes[[#This Row],[centro_costo]],tblCECO[codigo],tblCECO[area],"(sin catálogo)")</f>
        <v/>
      </c>
      <c r="V100" s="3">
        <f>_xlfn.XLOOKUP(tblOrdenes[[#This Row],[centro_costo]],tblCECO[codigo],tblCECO[coordinador],"(sin catálogo)")</f>
        <v/>
      </c>
      <c r="W100" s="3">
        <f>_xlfn.XLOOKUP(tblOrdenes[[#This Row],[puesto_trabajo]],tblPuestos[codigo],tblPuestos[especialidad],"(sin catálogo)")</f>
        <v/>
      </c>
      <c r="X100" s="3">
        <f>_xlfn.XLOOKUP(tblOrdenes[[#This Row],[cod_actividad]],tblActividades[codigo],tblActividades[descripcion],"(sin catálogo)")</f>
        <v/>
      </c>
      <c r="Y100" s="12">
        <f>IF(tblOrdenes[[#This Row],[fecha_inicio]]="","",TODAY()-tblOrdenes[[#This Row],[fecha_inicio]])</f>
        <v/>
      </c>
      <c r="Z100" s="3">
        <f>IF(tblOrdenes[[#This Row],[backlog_dias]]="","",IF(tblOrdenes[[#This Row],[backlog_dias]]&lt;0,"FUTURO",IF(tblOrdenes[[#This Row],[backlog_dias]]&gt;p_dias_backlog_max,"BACKLOG","MES CORRIENTE")))</f>
        <v/>
      </c>
      <c r="AA100" s="3">
        <f>IF(tblOrdenes[[#This Row],[backlog_dias]]="",FALSE,AND(tblOrdenes[[#This Row],[backlog_dias]]&gt;p_dias_backlog_min,tblOrdenes[[#This Row],[backlog_dias]]&lt;=p_dias_backlog_max))</f>
        <v/>
      </c>
      <c r="AB100" s="6" t="inlineStr">
        <is>
          <t>Técnico 08</t>
        </is>
      </c>
      <c r="AC10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0" s="10">
        <f>_xlfn.XLOOKUP(tblOrdenes[[#This Row],[id_operacion]],tblEjecucion[id_operacion],tblEjecucion[precio],0)</f>
        <v/>
      </c>
      <c r="AE100" s="10">
        <f>MAX(0,_xlfn.XLOOKUP(tblOrdenes[[#This Row],[id_operacion]],tblEjecucion[id_operacion],tblEjecucion[costo_plan_total],0)-tblOrdenes[[#This Row],[costo_servicio]])</f>
        <v/>
      </c>
      <c r="AF100" s="10">
        <f>tblOrdenes[[#This Row],[costo_servicio]]+tblOrdenes[[#This Row],[costo_materiales]]</f>
        <v/>
      </c>
      <c r="AG100" s="6" t="inlineStr"/>
      <c r="AH100" s="6" t="inlineStr"/>
      <c r="AI100" s="6" t="inlineStr">
        <is>
          <t>ACT-02.pdf</t>
        </is>
      </c>
      <c r="AJ100" s="3">
        <f>IF(tblOrdenes[[#This Row],[link_checklist]]="","",HYPERLINK(p_ruta_base_checklists&amp;tblOrdenes[[#This Row],[link_checklist]],"abrir"))</f>
        <v/>
      </c>
      <c r="AK100" s="6" t="inlineStr"/>
    </row>
    <row r="101">
      <c r="A101" s="3" t="inlineStr">
        <is>
          <t>OT-000098</t>
        </is>
      </c>
      <c r="B101" s="3" t="inlineStr">
        <is>
          <t>0010</t>
        </is>
      </c>
      <c r="C101" s="3">
        <f>tblOrdenes[[#This Row],[orden]]&amp;IF(tblOrdenes[[#This Row],[operacion]]="","0010",tblOrdenes[[#This Row],[operacion]])</f>
        <v/>
      </c>
      <c r="D101" s="3" t="inlineStr">
        <is>
          <t>Análisis predictivo — EQ-108</t>
        </is>
      </c>
      <c r="E101" s="3" t="inlineStr">
        <is>
          <t>Análisis predictivo en EQ-108</t>
        </is>
      </c>
      <c r="F101" s="3" t="inlineStr">
        <is>
          <t>EQ-108</t>
        </is>
      </c>
      <c r="G101" s="3" t="inlineStr">
        <is>
          <t>CC-220</t>
        </is>
      </c>
      <c r="H101" s="3" t="inlineStr">
        <is>
          <t>PU-AUT</t>
        </is>
      </c>
      <c r="I101" s="3" t="inlineStr">
        <is>
          <t>ACT-04</t>
        </is>
      </c>
      <c r="J101" s="3" t="inlineStr">
        <is>
          <t>TIPO-P1</t>
        </is>
      </c>
      <c r="K101" s="11" t="n">
        <v>46225</v>
      </c>
      <c r="L101" s="3" t="n">
        <v>8</v>
      </c>
      <c r="M101" s="10" t="n">
        <v>200</v>
      </c>
      <c r="N101" s="3">
        <f>_xlfn.XLOOKUP(_xlfn.XLOOKUP(tblOrdenes[[#This Row],[id_operacion]],tblEjecucion[id_operacion],tblEjecucion[estado_sistema],""),tblEstados[estado_sistema],tblEstados[estado_normalizado],"Pendiente")</f>
        <v/>
      </c>
      <c r="O101" s="3">
        <f>IF(tblOrdenes[[#This Row],[fecha_inicio]]="","","S"&amp;IF(_xlfn.ISOWEEKNUM(tblOrdenes[[#This Row],[fecha_inicio]])=53,1,_xlfn.ISOWEEKNUM(tblOrdenes[[#This Row],[fecha_inicio]])))</f>
        <v/>
      </c>
      <c r="P101" s="3">
        <f>IF(tblOrdenes[[#This Row],[fecha_inicio]]="","",YEAR(tblOrdenes[[#This Row],[fecha_inicio]]))</f>
        <v/>
      </c>
      <c r="Q101" s="3">
        <f>IF(tblOrdenes[[#This Row],[fecha_inicio]]="","",MONTH(tblOrdenes[[#This Row],[fecha_inicio]]))</f>
        <v/>
      </c>
      <c r="R101" s="3">
        <f>IF(tblOrdenes[[#This Row],[fecha_inicio]]="","",INDEX(lista_dias,WEEKDAY(tblOrdenes[[#This Row],[fecha_inicio]],2)))</f>
        <v/>
      </c>
      <c r="S101" s="3">
        <f>_xlfn.XLOOKUP(tblOrdenes[[#This Row],[tipo_ot]],tblTiposOT[codigo],tblTiposOT[clasificacion],"sin_clasificar")</f>
        <v/>
      </c>
      <c r="T101" s="3">
        <f>_xlfn.XLOOKUP(tblOrdenes[[#This Row],[centro_costo]],tblCECO[codigo],tblCECO[linea],"(sin catálogo)")</f>
        <v/>
      </c>
      <c r="U101" s="3">
        <f>_xlfn.XLOOKUP(tblOrdenes[[#This Row],[centro_costo]],tblCECO[codigo],tblCECO[area],"(sin catálogo)")</f>
        <v/>
      </c>
      <c r="V101" s="3">
        <f>_xlfn.XLOOKUP(tblOrdenes[[#This Row],[centro_costo]],tblCECO[codigo],tblCECO[coordinador],"(sin catálogo)")</f>
        <v/>
      </c>
      <c r="W101" s="3">
        <f>_xlfn.XLOOKUP(tblOrdenes[[#This Row],[puesto_trabajo]],tblPuestos[codigo],tblPuestos[especialidad],"(sin catálogo)")</f>
        <v/>
      </c>
      <c r="X101" s="3">
        <f>_xlfn.XLOOKUP(tblOrdenes[[#This Row],[cod_actividad]],tblActividades[codigo],tblActividades[descripcion],"(sin catálogo)")</f>
        <v/>
      </c>
      <c r="Y101" s="12">
        <f>IF(tblOrdenes[[#This Row],[fecha_inicio]]="","",TODAY()-tblOrdenes[[#This Row],[fecha_inicio]])</f>
        <v/>
      </c>
      <c r="Z101" s="3">
        <f>IF(tblOrdenes[[#This Row],[backlog_dias]]="","",IF(tblOrdenes[[#This Row],[backlog_dias]]&lt;0,"FUTURO",IF(tblOrdenes[[#This Row],[backlog_dias]]&gt;p_dias_backlog_max,"BACKLOG","MES CORRIENTE")))</f>
        <v/>
      </c>
      <c r="AA101" s="3">
        <f>IF(tblOrdenes[[#This Row],[backlog_dias]]="",FALSE,AND(tblOrdenes[[#This Row],[backlog_dias]]&gt;p_dias_backlog_min,tblOrdenes[[#This Row],[backlog_dias]]&lt;=p_dias_backlog_max))</f>
        <v/>
      </c>
      <c r="AB101" s="6" t="inlineStr">
        <is>
          <t>Técnico 09</t>
        </is>
      </c>
      <c r="AC10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1" s="10">
        <f>_xlfn.XLOOKUP(tblOrdenes[[#This Row],[id_operacion]],tblEjecucion[id_operacion],tblEjecucion[precio],0)</f>
        <v/>
      </c>
      <c r="AE101" s="10">
        <f>MAX(0,_xlfn.XLOOKUP(tblOrdenes[[#This Row],[id_operacion]],tblEjecucion[id_operacion],tblEjecucion[costo_plan_total],0)-tblOrdenes[[#This Row],[costo_servicio]])</f>
        <v/>
      </c>
      <c r="AF101" s="10">
        <f>tblOrdenes[[#This Row],[costo_servicio]]+tblOrdenes[[#This Row],[costo_materiales]]</f>
        <v/>
      </c>
      <c r="AG101" s="6" t="inlineStr"/>
      <c r="AH101" s="6" t="inlineStr"/>
      <c r="AI101" s="6" t="inlineStr">
        <is>
          <t>ACT-04.pdf</t>
        </is>
      </c>
      <c r="AJ101" s="3">
        <f>IF(tblOrdenes[[#This Row],[link_checklist]]="","",HYPERLINK(p_ruta_base_checklists&amp;tblOrdenes[[#This Row],[link_checklist]],"abrir"))</f>
        <v/>
      </c>
      <c r="AK101" s="6" t="inlineStr"/>
    </row>
    <row r="102">
      <c r="A102" s="3" t="inlineStr">
        <is>
          <t>OT-000099</t>
        </is>
      </c>
      <c r="B102" s="3" t="inlineStr">
        <is>
          <t>0010</t>
        </is>
      </c>
      <c r="C102" s="3">
        <f>tblOrdenes[[#This Row],[orden]]&amp;IF(tblOrdenes[[#This Row],[operacion]]="","0010",tblOrdenes[[#This Row],[operacion]])</f>
        <v/>
      </c>
      <c r="D102" s="3" t="inlineStr">
        <is>
          <t>Inspección de rutina — EQ-105</t>
        </is>
      </c>
      <c r="E102" s="3" t="inlineStr">
        <is>
          <t>Inspección de rutina en EQ-105</t>
        </is>
      </c>
      <c r="F102" s="3" t="inlineStr">
        <is>
          <t>EQ-105</t>
        </is>
      </c>
      <c r="G102" s="3" t="inlineStr">
        <is>
          <t>CC-110</t>
        </is>
      </c>
      <c r="H102" s="3" t="inlineStr">
        <is>
          <t>PU-AUT</t>
        </is>
      </c>
      <c r="I102" s="3" t="inlineStr">
        <is>
          <t>ACT-01</t>
        </is>
      </c>
      <c r="J102" s="3" t="inlineStr">
        <is>
          <t>TIPO-P2</t>
        </is>
      </c>
      <c r="K102" s="11" t="n">
        <v>46226</v>
      </c>
      <c r="L102" s="3" t="n">
        <v>6</v>
      </c>
      <c r="M102" s="10" t="n">
        <v>150</v>
      </c>
      <c r="N102" s="3">
        <f>_xlfn.XLOOKUP(_xlfn.XLOOKUP(tblOrdenes[[#This Row],[id_operacion]],tblEjecucion[id_operacion],tblEjecucion[estado_sistema],""),tblEstados[estado_sistema],tblEstados[estado_normalizado],"Pendiente")</f>
        <v/>
      </c>
      <c r="O102" s="3">
        <f>IF(tblOrdenes[[#This Row],[fecha_inicio]]="","","S"&amp;IF(_xlfn.ISOWEEKNUM(tblOrdenes[[#This Row],[fecha_inicio]])=53,1,_xlfn.ISOWEEKNUM(tblOrdenes[[#This Row],[fecha_inicio]])))</f>
        <v/>
      </c>
      <c r="P102" s="3">
        <f>IF(tblOrdenes[[#This Row],[fecha_inicio]]="","",YEAR(tblOrdenes[[#This Row],[fecha_inicio]]))</f>
        <v/>
      </c>
      <c r="Q102" s="3">
        <f>IF(tblOrdenes[[#This Row],[fecha_inicio]]="","",MONTH(tblOrdenes[[#This Row],[fecha_inicio]]))</f>
        <v/>
      </c>
      <c r="R102" s="3">
        <f>IF(tblOrdenes[[#This Row],[fecha_inicio]]="","",INDEX(lista_dias,WEEKDAY(tblOrdenes[[#This Row],[fecha_inicio]],2)))</f>
        <v/>
      </c>
      <c r="S102" s="3">
        <f>_xlfn.XLOOKUP(tblOrdenes[[#This Row],[tipo_ot]],tblTiposOT[codigo],tblTiposOT[clasificacion],"sin_clasificar")</f>
        <v/>
      </c>
      <c r="T102" s="3">
        <f>_xlfn.XLOOKUP(tblOrdenes[[#This Row],[centro_costo]],tblCECO[codigo],tblCECO[linea],"(sin catálogo)")</f>
        <v/>
      </c>
      <c r="U102" s="3">
        <f>_xlfn.XLOOKUP(tblOrdenes[[#This Row],[centro_costo]],tblCECO[codigo],tblCECO[area],"(sin catálogo)")</f>
        <v/>
      </c>
      <c r="V102" s="3">
        <f>_xlfn.XLOOKUP(tblOrdenes[[#This Row],[centro_costo]],tblCECO[codigo],tblCECO[coordinador],"(sin catálogo)")</f>
        <v/>
      </c>
      <c r="W102" s="3">
        <f>_xlfn.XLOOKUP(tblOrdenes[[#This Row],[puesto_trabajo]],tblPuestos[codigo],tblPuestos[especialidad],"(sin catálogo)")</f>
        <v/>
      </c>
      <c r="X102" s="3">
        <f>_xlfn.XLOOKUP(tblOrdenes[[#This Row],[cod_actividad]],tblActividades[codigo],tblActividades[descripcion],"(sin catálogo)")</f>
        <v/>
      </c>
      <c r="Y102" s="12">
        <f>IF(tblOrdenes[[#This Row],[fecha_inicio]]="","",TODAY()-tblOrdenes[[#This Row],[fecha_inicio]])</f>
        <v/>
      </c>
      <c r="Z102" s="3">
        <f>IF(tblOrdenes[[#This Row],[backlog_dias]]="","",IF(tblOrdenes[[#This Row],[backlog_dias]]&lt;0,"FUTURO",IF(tblOrdenes[[#This Row],[backlog_dias]]&gt;p_dias_backlog_max,"BACKLOG","MES CORRIENTE")))</f>
        <v/>
      </c>
      <c r="AA102" s="3">
        <f>IF(tblOrdenes[[#This Row],[backlog_dias]]="",FALSE,AND(tblOrdenes[[#This Row],[backlog_dias]]&gt;p_dias_backlog_min,tblOrdenes[[#This Row],[backlog_dias]]&lt;=p_dias_backlog_max))</f>
        <v/>
      </c>
      <c r="AB102" s="6" t="inlineStr">
        <is>
          <t>Técnico 08</t>
        </is>
      </c>
      <c r="AC10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2" s="10">
        <f>_xlfn.XLOOKUP(tblOrdenes[[#This Row],[id_operacion]],tblEjecucion[id_operacion],tblEjecucion[precio],0)</f>
        <v/>
      </c>
      <c r="AE102" s="10">
        <f>MAX(0,_xlfn.XLOOKUP(tblOrdenes[[#This Row],[id_operacion]],tblEjecucion[id_operacion],tblEjecucion[costo_plan_total],0)-tblOrdenes[[#This Row],[costo_servicio]])</f>
        <v/>
      </c>
      <c r="AF102" s="10">
        <f>tblOrdenes[[#This Row],[costo_servicio]]+tblOrdenes[[#This Row],[costo_materiales]]</f>
        <v/>
      </c>
      <c r="AG102" s="6" t="inlineStr"/>
      <c r="AH102" s="6" t="inlineStr"/>
      <c r="AI102" s="6" t="inlineStr">
        <is>
          <t>ACT-01.pdf</t>
        </is>
      </c>
      <c r="AJ102" s="3">
        <f>IF(tblOrdenes[[#This Row],[link_checklist]]="","",HYPERLINK(p_ruta_base_checklists&amp;tblOrdenes[[#This Row],[link_checklist]],"abrir"))</f>
        <v/>
      </c>
      <c r="AK102" s="6" t="inlineStr"/>
    </row>
    <row r="103">
      <c r="A103" s="3" t="inlineStr">
        <is>
          <t>OT-000100</t>
        </is>
      </c>
      <c r="B103" s="3" t="inlineStr">
        <is>
          <t>0010</t>
        </is>
      </c>
      <c r="C103" s="3">
        <f>tblOrdenes[[#This Row],[orden]]&amp;IF(tblOrdenes[[#This Row],[operacion]]="","0010",tblOrdenes[[#This Row],[operacion]])</f>
        <v/>
      </c>
      <c r="D103" s="3" t="inlineStr">
        <is>
          <t>Lubricación programada — EQ-106</t>
        </is>
      </c>
      <c r="E103" s="3" t="inlineStr">
        <is>
          <t>Lubricación programada en EQ-106</t>
        </is>
      </c>
      <c r="F103" s="3" t="inlineStr">
        <is>
          <t>EQ-106</t>
        </is>
      </c>
      <c r="G103" s="3" t="inlineStr">
        <is>
          <t>CC-220</t>
        </is>
      </c>
      <c r="H103" s="3" t="inlineStr">
        <is>
          <t>PU-AUT</t>
        </is>
      </c>
      <c r="I103" s="3" t="inlineStr">
        <is>
          <t>ACT-02</t>
        </is>
      </c>
      <c r="J103" s="3" t="inlineStr">
        <is>
          <t>TIPO-P1</t>
        </is>
      </c>
      <c r="K103" s="11" t="n">
        <v>46227</v>
      </c>
      <c r="L103" s="3" t="n">
        <v>11</v>
      </c>
      <c r="M103" s="10" t="n">
        <v>275</v>
      </c>
      <c r="N103" s="3">
        <f>_xlfn.XLOOKUP(_xlfn.XLOOKUP(tblOrdenes[[#This Row],[id_operacion]],tblEjecucion[id_operacion],tblEjecucion[estado_sistema],""),tblEstados[estado_sistema],tblEstados[estado_normalizado],"Pendiente")</f>
        <v/>
      </c>
      <c r="O103" s="3">
        <f>IF(tblOrdenes[[#This Row],[fecha_inicio]]="","","S"&amp;IF(_xlfn.ISOWEEKNUM(tblOrdenes[[#This Row],[fecha_inicio]])=53,1,_xlfn.ISOWEEKNUM(tblOrdenes[[#This Row],[fecha_inicio]])))</f>
        <v/>
      </c>
      <c r="P103" s="3">
        <f>IF(tblOrdenes[[#This Row],[fecha_inicio]]="","",YEAR(tblOrdenes[[#This Row],[fecha_inicio]]))</f>
        <v/>
      </c>
      <c r="Q103" s="3">
        <f>IF(tblOrdenes[[#This Row],[fecha_inicio]]="","",MONTH(tblOrdenes[[#This Row],[fecha_inicio]]))</f>
        <v/>
      </c>
      <c r="R103" s="3">
        <f>IF(tblOrdenes[[#This Row],[fecha_inicio]]="","",INDEX(lista_dias,WEEKDAY(tblOrdenes[[#This Row],[fecha_inicio]],2)))</f>
        <v/>
      </c>
      <c r="S103" s="3">
        <f>_xlfn.XLOOKUP(tblOrdenes[[#This Row],[tipo_ot]],tblTiposOT[codigo],tblTiposOT[clasificacion],"sin_clasificar")</f>
        <v/>
      </c>
      <c r="T103" s="3">
        <f>_xlfn.XLOOKUP(tblOrdenes[[#This Row],[centro_costo]],tblCECO[codigo],tblCECO[linea],"(sin catálogo)")</f>
        <v/>
      </c>
      <c r="U103" s="3">
        <f>_xlfn.XLOOKUP(tblOrdenes[[#This Row],[centro_costo]],tblCECO[codigo],tblCECO[area],"(sin catálogo)")</f>
        <v/>
      </c>
      <c r="V103" s="3">
        <f>_xlfn.XLOOKUP(tblOrdenes[[#This Row],[centro_costo]],tblCECO[codigo],tblCECO[coordinador],"(sin catálogo)")</f>
        <v/>
      </c>
      <c r="W103" s="3">
        <f>_xlfn.XLOOKUP(tblOrdenes[[#This Row],[puesto_trabajo]],tblPuestos[codigo],tblPuestos[especialidad],"(sin catálogo)")</f>
        <v/>
      </c>
      <c r="X103" s="3">
        <f>_xlfn.XLOOKUP(tblOrdenes[[#This Row],[cod_actividad]],tblActividades[codigo],tblActividades[descripcion],"(sin catálogo)")</f>
        <v/>
      </c>
      <c r="Y103" s="12">
        <f>IF(tblOrdenes[[#This Row],[fecha_inicio]]="","",TODAY()-tblOrdenes[[#This Row],[fecha_inicio]])</f>
        <v/>
      </c>
      <c r="Z103" s="3">
        <f>IF(tblOrdenes[[#This Row],[backlog_dias]]="","",IF(tblOrdenes[[#This Row],[backlog_dias]]&lt;0,"FUTURO",IF(tblOrdenes[[#This Row],[backlog_dias]]&gt;p_dias_backlog_max,"BACKLOG","MES CORRIENTE")))</f>
        <v/>
      </c>
      <c r="AA103" s="3">
        <f>IF(tblOrdenes[[#This Row],[backlog_dias]]="",FALSE,AND(tblOrdenes[[#This Row],[backlog_dias]]&gt;p_dias_backlog_min,tblOrdenes[[#This Row],[backlog_dias]]&lt;=p_dias_backlog_max))</f>
        <v/>
      </c>
      <c r="AB103" s="6" t="inlineStr">
        <is>
          <t>Técnico 09</t>
        </is>
      </c>
      <c r="AC10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3" s="10">
        <f>_xlfn.XLOOKUP(tblOrdenes[[#This Row],[id_operacion]],tblEjecucion[id_operacion],tblEjecucion[precio],0)</f>
        <v/>
      </c>
      <c r="AE103" s="10">
        <f>MAX(0,_xlfn.XLOOKUP(tblOrdenes[[#This Row],[id_operacion]],tblEjecucion[id_operacion],tblEjecucion[costo_plan_total],0)-tblOrdenes[[#This Row],[costo_servicio]])</f>
        <v/>
      </c>
      <c r="AF103" s="10">
        <f>tblOrdenes[[#This Row],[costo_servicio]]+tblOrdenes[[#This Row],[costo_materiales]]</f>
        <v/>
      </c>
      <c r="AG103" s="6" t="inlineStr"/>
      <c r="AH103" s="6" t="inlineStr"/>
      <c r="AI103" s="6" t="inlineStr">
        <is>
          <t>ACT-02.pdf</t>
        </is>
      </c>
      <c r="AJ103" s="3">
        <f>IF(tblOrdenes[[#This Row],[link_checklist]]="","",HYPERLINK(p_ruta_base_checklists&amp;tblOrdenes[[#This Row],[link_checklist]],"abrir"))</f>
        <v/>
      </c>
      <c r="AK103" s="6" t="inlineStr"/>
    </row>
    <row r="104">
      <c r="A104" s="3" t="inlineStr">
        <is>
          <t>OT-000101</t>
        </is>
      </c>
      <c r="B104" s="3" t="inlineStr">
        <is>
          <t>0010</t>
        </is>
      </c>
      <c r="C104" s="3">
        <f>tblOrdenes[[#This Row],[orden]]&amp;IF(tblOrdenes[[#This Row],[operacion]]="","0010",tblOrdenes[[#This Row],[operacion]])</f>
        <v/>
      </c>
      <c r="D104" s="3" t="inlineStr">
        <is>
          <t>Reparación de falla — EQ-102</t>
        </is>
      </c>
      <c r="E104" s="3" t="inlineStr">
        <is>
          <t>Reparación de falla en EQ-102</t>
        </is>
      </c>
      <c r="F104" s="3" t="inlineStr">
        <is>
          <t>EQ-102</t>
        </is>
      </c>
      <c r="G104" s="3" t="inlineStr">
        <is>
          <t>CC-110</t>
        </is>
      </c>
      <c r="H104" s="3" t="inlineStr">
        <is>
          <t>PU-AUT</t>
        </is>
      </c>
      <c r="I104" s="3" t="inlineStr">
        <is>
          <t>ACT-03</t>
        </is>
      </c>
      <c r="J104" s="3" t="inlineStr">
        <is>
          <t>TIPO-C2</t>
        </is>
      </c>
      <c r="K104" s="11" t="n">
        <v>46223</v>
      </c>
      <c r="L104" s="3" t="n">
        <v>7</v>
      </c>
      <c r="M104" s="10" t="n">
        <v>280</v>
      </c>
      <c r="N104" s="3">
        <f>_xlfn.XLOOKUP(_xlfn.XLOOKUP(tblOrdenes[[#This Row],[id_operacion]],tblEjecucion[id_operacion],tblEjecucion[estado_sistema],""),tblEstados[estado_sistema],tblEstados[estado_normalizado],"Pendiente")</f>
        <v/>
      </c>
      <c r="O104" s="3">
        <f>IF(tblOrdenes[[#This Row],[fecha_inicio]]="","","S"&amp;IF(_xlfn.ISOWEEKNUM(tblOrdenes[[#This Row],[fecha_inicio]])=53,1,_xlfn.ISOWEEKNUM(tblOrdenes[[#This Row],[fecha_inicio]])))</f>
        <v/>
      </c>
      <c r="P104" s="3">
        <f>IF(tblOrdenes[[#This Row],[fecha_inicio]]="","",YEAR(tblOrdenes[[#This Row],[fecha_inicio]]))</f>
        <v/>
      </c>
      <c r="Q104" s="3">
        <f>IF(tblOrdenes[[#This Row],[fecha_inicio]]="","",MONTH(tblOrdenes[[#This Row],[fecha_inicio]]))</f>
        <v/>
      </c>
      <c r="R104" s="3">
        <f>IF(tblOrdenes[[#This Row],[fecha_inicio]]="","",INDEX(lista_dias,WEEKDAY(tblOrdenes[[#This Row],[fecha_inicio]],2)))</f>
        <v/>
      </c>
      <c r="S104" s="3">
        <f>_xlfn.XLOOKUP(tblOrdenes[[#This Row],[tipo_ot]],tblTiposOT[codigo],tblTiposOT[clasificacion],"sin_clasificar")</f>
        <v/>
      </c>
      <c r="T104" s="3">
        <f>_xlfn.XLOOKUP(tblOrdenes[[#This Row],[centro_costo]],tblCECO[codigo],tblCECO[linea],"(sin catálogo)")</f>
        <v/>
      </c>
      <c r="U104" s="3">
        <f>_xlfn.XLOOKUP(tblOrdenes[[#This Row],[centro_costo]],tblCECO[codigo],tblCECO[area],"(sin catálogo)")</f>
        <v/>
      </c>
      <c r="V104" s="3">
        <f>_xlfn.XLOOKUP(tblOrdenes[[#This Row],[centro_costo]],tblCECO[codigo],tblCECO[coordinador],"(sin catálogo)")</f>
        <v/>
      </c>
      <c r="W104" s="3">
        <f>_xlfn.XLOOKUP(tblOrdenes[[#This Row],[puesto_trabajo]],tblPuestos[codigo],tblPuestos[especialidad],"(sin catálogo)")</f>
        <v/>
      </c>
      <c r="X104" s="3">
        <f>_xlfn.XLOOKUP(tblOrdenes[[#This Row],[cod_actividad]],tblActividades[codigo],tblActividades[descripcion],"(sin catálogo)")</f>
        <v/>
      </c>
      <c r="Y104" s="12">
        <f>IF(tblOrdenes[[#This Row],[fecha_inicio]]="","",TODAY()-tblOrdenes[[#This Row],[fecha_inicio]])</f>
        <v/>
      </c>
      <c r="Z104" s="3">
        <f>IF(tblOrdenes[[#This Row],[backlog_dias]]="","",IF(tblOrdenes[[#This Row],[backlog_dias]]&lt;0,"FUTURO",IF(tblOrdenes[[#This Row],[backlog_dias]]&gt;p_dias_backlog_max,"BACKLOG","MES CORRIENTE")))</f>
        <v/>
      </c>
      <c r="AA104" s="3">
        <f>IF(tblOrdenes[[#This Row],[backlog_dias]]="",FALSE,AND(tblOrdenes[[#This Row],[backlog_dias]]&gt;p_dias_backlog_min,tblOrdenes[[#This Row],[backlog_dias]]&lt;=p_dias_backlog_max))</f>
        <v/>
      </c>
      <c r="AB104" s="6" t="inlineStr">
        <is>
          <t>Técnico 08</t>
        </is>
      </c>
      <c r="AC10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4" s="10">
        <f>_xlfn.XLOOKUP(tblOrdenes[[#This Row],[id_operacion]],tblEjecucion[id_operacion],tblEjecucion[precio],0)</f>
        <v/>
      </c>
      <c r="AE104" s="10">
        <f>MAX(0,_xlfn.XLOOKUP(tblOrdenes[[#This Row],[id_operacion]],tblEjecucion[id_operacion],tblEjecucion[costo_plan_total],0)-tblOrdenes[[#This Row],[costo_servicio]])</f>
        <v/>
      </c>
      <c r="AF104" s="10">
        <f>tblOrdenes[[#This Row],[costo_servicio]]+tblOrdenes[[#This Row],[costo_materiales]]</f>
        <v/>
      </c>
      <c r="AG104" s="6" t="inlineStr"/>
      <c r="AH104" s="6" t="inlineStr"/>
      <c r="AI104" s="6" t="inlineStr"/>
      <c r="AJ104" s="3">
        <f>IF(tblOrdenes[[#This Row],[link_checklist]]="","",HYPERLINK(p_ruta_base_checklists&amp;tblOrdenes[[#This Row],[link_checklist]],"abrir"))</f>
        <v/>
      </c>
      <c r="AK104" s="6" t="inlineStr"/>
    </row>
    <row r="105">
      <c r="A105" s="3" t="inlineStr">
        <is>
          <t>OT-000102</t>
        </is>
      </c>
      <c r="B105" s="3" t="inlineStr">
        <is>
          <t>0010</t>
        </is>
      </c>
      <c r="C105" s="3">
        <f>tblOrdenes[[#This Row],[orden]]&amp;IF(tblOrdenes[[#This Row],[operacion]]="","0010",tblOrdenes[[#This Row],[operacion]])</f>
        <v/>
      </c>
      <c r="D105" s="3" t="inlineStr">
        <is>
          <t>Inspección de rutina — EQ-108</t>
        </is>
      </c>
      <c r="E105" s="3" t="inlineStr">
        <is>
          <t>Inspección de rutina en EQ-108</t>
        </is>
      </c>
      <c r="F105" s="3" t="inlineStr">
        <is>
          <t>EQ-108</t>
        </is>
      </c>
      <c r="G105" s="3" t="inlineStr">
        <is>
          <t>CC-220</t>
        </is>
      </c>
      <c r="H105" s="3" t="inlineStr">
        <is>
          <t>PU-AUT</t>
        </is>
      </c>
      <c r="I105" s="3" t="inlineStr">
        <is>
          <t>ACT-01</t>
        </is>
      </c>
      <c r="J105" s="3" t="inlineStr">
        <is>
          <t>TIPO-P1</t>
        </is>
      </c>
      <c r="K105" s="11" t="n">
        <v>46231</v>
      </c>
      <c r="L105" s="3" t="n">
        <v>10</v>
      </c>
      <c r="M105" s="10" t="n">
        <v>250</v>
      </c>
      <c r="N105" s="3">
        <f>_xlfn.XLOOKUP(_xlfn.XLOOKUP(tblOrdenes[[#This Row],[id_operacion]],tblEjecucion[id_operacion],tblEjecucion[estado_sistema],""),tblEstados[estado_sistema],tblEstados[estado_normalizado],"Pendiente")</f>
        <v/>
      </c>
      <c r="O105" s="3">
        <f>IF(tblOrdenes[[#This Row],[fecha_inicio]]="","","S"&amp;IF(_xlfn.ISOWEEKNUM(tblOrdenes[[#This Row],[fecha_inicio]])=53,1,_xlfn.ISOWEEKNUM(tblOrdenes[[#This Row],[fecha_inicio]])))</f>
        <v/>
      </c>
      <c r="P105" s="3">
        <f>IF(tblOrdenes[[#This Row],[fecha_inicio]]="","",YEAR(tblOrdenes[[#This Row],[fecha_inicio]]))</f>
        <v/>
      </c>
      <c r="Q105" s="3">
        <f>IF(tblOrdenes[[#This Row],[fecha_inicio]]="","",MONTH(tblOrdenes[[#This Row],[fecha_inicio]]))</f>
        <v/>
      </c>
      <c r="R105" s="3">
        <f>IF(tblOrdenes[[#This Row],[fecha_inicio]]="","",INDEX(lista_dias,WEEKDAY(tblOrdenes[[#This Row],[fecha_inicio]],2)))</f>
        <v/>
      </c>
      <c r="S105" s="3">
        <f>_xlfn.XLOOKUP(tblOrdenes[[#This Row],[tipo_ot]],tblTiposOT[codigo],tblTiposOT[clasificacion],"sin_clasificar")</f>
        <v/>
      </c>
      <c r="T105" s="3">
        <f>_xlfn.XLOOKUP(tblOrdenes[[#This Row],[centro_costo]],tblCECO[codigo],tblCECO[linea],"(sin catálogo)")</f>
        <v/>
      </c>
      <c r="U105" s="3">
        <f>_xlfn.XLOOKUP(tblOrdenes[[#This Row],[centro_costo]],tblCECO[codigo],tblCECO[area],"(sin catálogo)")</f>
        <v/>
      </c>
      <c r="V105" s="3">
        <f>_xlfn.XLOOKUP(tblOrdenes[[#This Row],[centro_costo]],tblCECO[codigo],tblCECO[coordinador],"(sin catálogo)")</f>
        <v/>
      </c>
      <c r="W105" s="3">
        <f>_xlfn.XLOOKUP(tblOrdenes[[#This Row],[puesto_trabajo]],tblPuestos[codigo],tblPuestos[especialidad],"(sin catálogo)")</f>
        <v/>
      </c>
      <c r="X105" s="3">
        <f>_xlfn.XLOOKUP(tblOrdenes[[#This Row],[cod_actividad]],tblActividades[codigo],tblActividades[descripcion],"(sin catálogo)")</f>
        <v/>
      </c>
      <c r="Y105" s="12">
        <f>IF(tblOrdenes[[#This Row],[fecha_inicio]]="","",TODAY()-tblOrdenes[[#This Row],[fecha_inicio]])</f>
        <v/>
      </c>
      <c r="Z105" s="3">
        <f>IF(tblOrdenes[[#This Row],[backlog_dias]]="","",IF(tblOrdenes[[#This Row],[backlog_dias]]&lt;0,"FUTURO",IF(tblOrdenes[[#This Row],[backlog_dias]]&gt;p_dias_backlog_max,"BACKLOG","MES CORRIENTE")))</f>
        <v/>
      </c>
      <c r="AA105" s="3">
        <f>IF(tblOrdenes[[#This Row],[backlog_dias]]="",FALSE,AND(tblOrdenes[[#This Row],[backlog_dias]]&gt;p_dias_backlog_min,tblOrdenes[[#This Row],[backlog_dias]]&lt;=p_dias_backlog_max))</f>
        <v/>
      </c>
      <c r="AB105" s="6" t="inlineStr">
        <is>
          <t>Técnico 09</t>
        </is>
      </c>
      <c r="AC10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5" s="10">
        <f>_xlfn.XLOOKUP(tblOrdenes[[#This Row],[id_operacion]],tblEjecucion[id_operacion],tblEjecucion[precio],0)</f>
        <v/>
      </c>
      <c r="AE105" s="10">
        <f>MAX(0,_xlfn.XLOOKUP(tblOrdenes[[#This Row],[id_operacion]],tblEjecucion[id_operacion],tblEjecucion[costo_plan_total],0)-tblOrdenes[[#This Row],[costo_servicio]])</f>
        <v/>
      </c>
      <c r="AF105" s="10">
        <f>tblOrdenes[[#This Row],[costo_servicio]]+tblOrdenes[[#This Row],[costo_materiales]]</f>
        <v/>
      </c>
      <c r="AG105" s="6" t="inlineStr"/>
      <c r="AH105" s="6" t="inlineStr"/>
      <c r="AI105" s="6" t="inlineStr">
        <is>
          <t>ACT-01.pdf</t>
        </is>
      </c>
      <c r="AJ105" s="3">
        <f>IF(tblOrdenes[[#This Row],[link_checklist]]="","",HYPERLINK(p_ruta_base_checklists&amp;tblOrdenes[[#This Row],[link_checklist]],"abrir"))</f>
        <v/>
      </c>
      <c r="AK105" s="6" t="inlineStr"/>
    </row>
    <row r="106">
      <c r="A106" s="3" t="inlineStr">
        <is>
          <t>OT-000103</t>
        </is>
      </c>
      <c r="B106" s="3" t="inlineStr">
        <is>
          <t>0010</t>
        </is>
      </c>
      <c r="C106" s="3">
        <f>tblOrdenes[[#This Row],[orden]]&amp;IF(tblOrdenes[[#This Row],[operacion]]="","0010",tblOrdenes[[#This Row],[operacion]])</f>
        <v/>
      </c>
      <c r="D106" s="3" t="inlineStr">
        <is>
          <t>Lubricación programada — EQ-104</t>
        </is>
      </c>
      <c r="E106" s="3" t="inlineStr">
        <is>
          <t>Lubricación programada en EQ-104</t>
        </is>
      </c>
      <c r="F106" s="3" t="inlineStr">
        <is>
          <t>EQ-104</t>
        </is>
      </c>
      <c r="G106" s="3" t="inlineStr">
        <is>
          <t>CC-110</t>
        </is>
      </c>
      <c r="H106" s="3" t="inlineStr">
        <is>
          <t>PU-AUT</t>
        </is>
      </c>
      <c r="I106" s="3" t="inlineStr">
        <is>
          <t>ACT-02</t>
        </is>
      </c>
      <c r="J106" s="3" t="inlineStr">
        <is>
          <t>TIPO-P2</t>
        </is>
      </c>
      <c r="K106" s="11" t="n">
        <v>46232</v>
      </c>
      <c r="L106" s="3" t="n">
        <v>8</v>
      </c>
      <c r="M106" s="10" t="n">
        <v>200</v>
      </c>
      <c r="N106" s="3">
        <f>_xlfn.XLOOKUP(_xlfn.XLOOKUP(tblOrdenes[[#This Row],[id_operacion]],tblEjecucion[id_operacion],tblEjecucion[estado_sistema],""),tblEstados[estado_sistema],tblEstados[estado_normalizado],"Pendiente")</f>
        <v/>
      </c>
      <c r="O106" s="3">
        <f>IF(tblOrdenes[[#This Row],[fecha_inicio]]="","","S"&amp;IF(_xlfn.ISOWEEKNUM(tblOrdenes[[#This Row],[fecha_inicio]])=53,1,_xlfn.ISOWEEKNUM(tblOrdenes[[#This Row],[fecha_inicio]])))</f>
        <v/>
      </c>
      <c r="P106" s="3">
        <f>IF(tblOrdenes[[#This Row],[fecha_inicio]]="","",YEAR(tblOrdenes[[#This Row],[fecha_inicio]]))</f>
        <v/>
      </c>
      <c r="Q106" s="3">
        <f>IF(tblOrdenes[[#This Row],[fecha_inicio]]="","",MONTH(tblOrdenes[[#This Row],[fecha_inicio]]))</f>
        <v/>
      </c>
      <c r="R106" s="3">
        <f>IF(tblOrdenes[[#This Row],[fecha_inicio]]="","",INDEX(lista_dias,WEEKDAY(tblOrdenes[[#This Row],[fecha_inicio]],2)))</f>
        <v/>
      </c>
      <c r="S106" s="3">
        <f>_xlfn.XLOOKUP(tblOrdenes[[#This Row],[tipo_ot]],tblTiposOT[codigo],tblTiposOT[clasificacion],"sin_clasificar")</f>
        <v/>
      </c>
      <c r="T106" s="3">
        <f>_xlfn.XLOOKUP(tblOrdenes[[#This Row],[centro_costo]],tblCECO[codigo],tblCECO[linea],"(sin catálogo)")</f>
        <v/>
      </c>
      <c r="U106" s="3">
        <f>_xlfn.XLOOKUP(tblOrdenes[[#This Row],[centro_costo]],tblCECO[codigo],tblCECO[area],"(sin catálogo)")</f>
        <v/>
      </c>
      <c r="V106" s="3">
        <f>_xlfn.XLOOKUP(tblOrdenes[[#This Row],[centro_costo]],tblCECO[codigo],tblCECO[coordinador],"(sin catálogo)")</f>
        <v/>
      </c>
      <c r="W106" s="3">
        <f>_xlfn.XLOOKUP(tblOrdenes[[#This Row],[puesto_trabajo]],tblPuestos[codigo],tblPuestos[especialidad],"(sin catálogo)")</f>
        <v/>
      </c>
      <c r="X106" s="3">
        <f>_xlfn.XLOOKUP(tblOrdenes[[#This Row],[cod_actividad]],tblActividades[codigo],tblActividades[descripcion],"(sin catálogo)")</f>
        <v/>
      </c>
      <c r="Y106" s="12">
        <f>IF(tblOrdenes[[#This Row],[fecha_inicio]]="","",TODAY()-tblOrdenes[[#This Row],[fecha_inicio]])</f>
        <v/>
      </c>
      <c r="Z106" s="3">
        <f>IF(tblOrdenes[[#This Row],[backlog_dias]]="","",IF(tblOrdenes[[#This Row],[backlog_dias]]&lt;0,"FUTURO",IF(tblOrdenes[[#This Row],[backlog_dias]]&gt;p_dias_backlog_max,"BACKLOG","MES CORRIENTE")))</f>
        <v/>
      </c>
      <c r="AA106" s="3">
        <f>IF(tblOrdenes[[#This Row],[backlog_dias]]="",FALSE,AND(tblOrdenes[[#This Row],[backlog_dias]]&gt;p_dias_backlog_min,tblOrdenes[[#This Row],[backlog_dias]]&lt;=p_dias_backlog_max))</f>
        <v/>
      </c>
      <c r="AB106" s="6" t="inlineStr">
        <is>
          <t>Técnico 08</t>
        </is>
      </c>
      <c r="AC10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6" s="10">
        <f>_xlfn.XLOOKUP(tblOrdenes[[#This Row],[id_operacion]],tblEjecucion[id_operacion],tblEjecucion[precio],0)</f>
        <v/>
      </c>
      <c r="AE106" s="10">
        <f>MAX(0,_xlfn.XLOOKUP(tblOrdenes[[#This Row],[id_operacion]],tblEjecucion[id_operacion],tblEjecucion[costo_plan_total],0)-tblOrdenes[[#This Row],[costo_servicio]])</f>
        <v/>
      </c>
      <c r="AF106" s="10">
        <f>tblOrdenes[[#This Row],[costo_servicio]]+tblOrdenes[[#This Row],[costo_materiales]]</f>
        <v/>
      </c>
      <c r="AG106" s="6" t="inlineStr"/>
      <c r="AH106" s="6" t="inlineStr"/>
      <c r="AI106" s="6" t="inlineStr">
        <is>
          <t>ACT-02.pdf</t>
        </is>
      </c>
      <c r="AJ106" s="3">
        <f>IF(tblOrdenes[[#This Row],[link_checklist]]="","",HYPERLINK(p_ruta_base_checklists&amp;tblOrdenes[[#This Row],[link_checklist]],"abrir"))</f>
        <v/>
      </c>
      <c r="AK106" s="6" t="inlineStr"/>
    </row>
    <row r="107">
      <c r="A107" s="3" t="inlineStr">
        <is>
          <t>OT-000104</t>
        </is>
      </c>
      <c r="B107" s="3" t="inlineStr">
        <is>
          <t>0010</t>
        </is>
      </c>
      <c r="C107" s="3">
        <f>tblOrdenes[[#This Row],[orden]]&amp;IF(tblOrdenes[[#This Row],[operacion]]="","0010",tblOrdenes[[#This Row],[operacion]])</f>
        <v/>
      </c>
      <c r="D107" s="3" t="inlineStr">
        <is>
          <t>Análisis predictivo — EQ-106</t>
        </is>
      </c>
      <c r="E107" s="3" t="inlineStr">
        <is>
          <t>Análisis predictivo en EQ-106</t>
        </is>
      </c>
      <c r="F107" s="3" t="inlineStr">
        <is>
          <t>EQ-106</t>
        </is>
      </c>
      <c r="G107" s="3" t="inlineStr">
        <is>
          <t>CC-220</t>
        </is>
      </c>
      <c r="H107" s="3" t="inlineStr">
        <is>
          <t>PU-AUT</t>
        </is>
      </c>
      <c r="I107" s="3" t="inlineStr">
        <is>
          <t>ACT-04</t>
        </is>
      </c>
      <c r="J107" s="3" t="inlineStr">
        <is>
          <t>TIPO-P1</t>
        </is>
      </c>
      <c r="K107" s="11" t="n">
        <v>46233</v>
      </c>
      <c r="L107" s="3" t="n">
        <v>6</v>
      </c>
      <c r="M107" s="10" t="n">
        <v>150</v>
      </c>
      <c r="N107" s="3">
        <f>_xlfn.XLOOKUP(_xlfn.XLOOKUP(tblOrdenes[[#This Row],[id_operacion]],tblEjecucion[id_operacion],tblEjecucion[estado_sistema],""),tblEstados[estado_sistema],tblEstados[estado_normalizado],"Pendiente")</f>
        <v/>
      </c>
      <c r="O107" s="3">
        <f>IF(tblOrdenes[[#This Row],[fecha_inicio]]="","","S"&amp;IF(_xlfn.ISOWEEKNUM(tblOrdenes[[#This Row],[fecha_inicio]])=53,1,_xlfn.ISOWEEKNUM(tblOrdenes[[#This Row],[fecha_inicio]])))</f>
        <v/>
      </c>
      <c r="P107" s="3">
        <f>IF(tblOrdenes[[#This Row],[fecha_inicio]]="","",YEAR(tblOrdenes[[#This Row],[fecha_inicio]]))</f>
        <v/>
      </c>
      <c r="Q107" s="3">
        <f>IF(tblOrdenes[[#This Row],[fecha_inicio]]="","",MONTH(tblOrdenes[[#This Row],[fecha_inicio]]))</f>
        <v/>
      </c>
      <c r="R107" s="3">
        <f>IF(tblOrdenes[[#This Row],[fecha_inicio]]="","",INDEX(lista_dias,WEEKDAY(tblOrdenes[[#This Row],[fecha_inicio]],2)))</f>
        <v/>
      </c>
      <c r="S107" s="3">
        <f>_xlfn.XLOOKUP(tblOrdenes[[#This Row],[tipo_ot]],tblTiposOT[codigo],tblTiposOT[clasificacion],"sin_clasificar")</f>
        <v/>
      </c>
      <c r="T107" s="3">
        <f>_xlfn.XLOOKUP(tblOrdenes[[#This Row],[centro_costo]],tblCECO[codigo],tblCECO[linea],"(sin catálogo)")</f>
        <v/>
      </c>
      <c r="U107" s="3">
        <f>_xlfn.XLOOKUP(tblOrdenes[[#This Row],[centro_costo]],tblCECO[codigo],tblCECO[area],"(sin catálogo)")</f>
        <v/>
      </c>
      <c r="V107" s="3">
        <f>_xlfn.XLOOKUP(tblOrdenes[[#This Row],[centro_costo]],tblCECO[codigo],tblCECO[coordinador],"(sin catálogo)")</f>
        <v/>
      </c>
      <c r="W107" s="3">
        <f>_xlfn.XLOOKUP(tblOrdenes[[#This Row],[puesto_trabajo]],tblPuestos[codigo],tblPuestos[especialidad],"(sin catálogo)")</f>
        <v/>
      </c>
      <c r="X107" s="3">
        <f>_xlfn.XLOOKUP(tblOrdenes[[#This Row],[cod_actividad]],tblActividades[codigo],tblActividades[descripcion],"(sin catálogo)")</f>
        <v/>
      </c>
      <c r="Y107" s="12">
        <f>IF(tblOrdenes[[#This Row],[fecha_inicio]]="","",TODAY()-tblOrdenes[[#This Row],[fecha_inicio]])</f>
        <v/>
      </c>
      <c r="Z107" s="3">
        <f>IF(tblOrdenes[[#This Row],[backlog_dias]]="","",IF(tblOrdenes[[#This Row],[backlog_dias]]&lt;0,"FUTURO",IF(tblOrdenes[[#This Row],[backlog_dias]]&gt;p_dias_backlog_max,"BACKLOG","MES CORRIENTE")))</f>
        <v/>
      </c>
      <c r="AA107" s="3">
        <f>IF(tblOrdenes[[#This Row],[backlog_dias]]="",FALSE,AND(tblOrdenes[[#This Row],[backlog_dias]]&gt;p_dias_backlog_min,tblOrdenes[[#This Row],[backlog_dias]]&lt;=p_dias_backlog_max))</f>
        <v/>
      </c>
      <c r="AB107" s="6" t="inlineStr">
        <is>
          <t>Técnico 09</t>
        </is>
      </c>
      <c r="AC10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7" s="10">
        <f>_xlfn.XLOOKUP(tblOrdenes[[#This Row],[id_operacion]],tblEjecucion[id_operacion],tblEjecucion[precio],0)</f>
        <v/>
      </c>
      <c r="AE107" s="10">
        <f>MAX(0,_xlfn.XLOOKUP(tblOrdenes[[#This Row],[id_operacion]],tblEjecucion[id_operacion],tblEjecucion[costo_plan_total],0)-tblOrdenes[[#This Row],[costo_servicio]])</f>
        <v/>
      </c>
      <c r="AF107" s="10">
        <f>tblOrdenes[[#This Row],[costo_servicio]]+tblOrdenes[[#This Row],[costo_materiales]]</f>
        <v/>
      </c>
      <c r="AG107" s="6" t="inlineStr"/>
      <c r="AH107" s="6" t="inlineStr"/>
      <c r="AI107" s="6" t="inlineStr">
        <is>
          <t>ACT-04.pdf</t>
        </is>
      </c>
      <c r="AJ107" s="3">
        <f>IF(tblOrdenes[[#This Row],[link_checklist]]="","",HYPERLINK(p_ruta_base_checklists&amp;tblOrdenes[[#This Row],[link_checklist]],"abrir"))</f>
        <v/>
      </c>
      <c r="AK107" s="6" t="inlineStr"/>
    </row>
    <row r="108">
      <c r="A108" s="3" t="inlineStr">
        <is>
          <t>OT-000105</t>
        </is>
      </c>
      <c r="B108" s="3" t="inlineStr">
        <is>
          <t>0010</t>
        </is>
      </c>
      <c r="C108" s="3">
        <f>tblOrdenes[[#This Row],[orden]]&amp;IF(tblOrdenes[[#This Row],[operacion]]="","0010",tblOrdenes[[#This Row],[operacion]])</f>
        <v/>
      </c>
      <c r="D108" s="3" t="inlineStr">
        <is>
          <t>Inspección de rutina — EQ-101</t>
        </is>
      </c>
      <c r="E108" s="3" t="inlineStr">
        <is>
          <t>Inspección de rutina en EQ-101</t>
        </is>
      </c>
      <c r="F108" s="3" t="inlineStr">
        <is>
          <t>EQ-101</t>
        </is>
      </c>
      <c r="G108" s="3" t="inlineStr">
        <is>
          <t>CC-110</t>
        </is>
      </c>
      <c r="H108" s="3" t="inlineStr">
        <is>
          <t>PU-AUT</t>
        </is>
      </c>
      <c r="I108" s="3" t="inlineStr">
        <is>
          <t>ACT-01</t>
        </is>
      </c>
      <c r="J108" s="3" t="inlineStr">
        <is>
          <t>TIPO-P2</t>
        </is>
      </c>
      <c r="K108" s="11" t="n">
        <v>46234</v>
      </c>
      <c r="L108" s="3" t="n">
        <v>6</v>
      </c>
      <c r="M108" s="10" t="n">
        <v>150</v>
      </c>
      <c r="N108" s="3">
        <f>_xlfn.XLOOKUP(_xlfn.XLOOKUP(tblOrdenes[[#This Row],[id_operacion]],tblEjecucion[id_operacion],tblEjecucion[estado_sistema],""),tblEstados[estado_sistema],tblEstados[estado_normalizado],"Pendiente")</f>
        <v/>
      </c>
      <c r="O108" s="3">
        <f>IF(tblOrdenes[[#This Row],[fecha_inicio]]="","","S"&amp;IF(_xlfn.ISOWEEKNUM(tblOrdenes[[#This Row],[fecha_inicio]])=53,1,_xlfn.ISOWEEKNUM(tblOrdenes[[#This Row],[fecha_inicio]])))</f>
        <v/>
      </c>
      <c r="P108" s="3">
        <f>IF(tblOrdenes[[#This Row],[fecha_inicio]]="","",YEAR(tblOrdenes[[#This Row],[fecha_inicio]]))</f>
        <v/>
      </c>
      <c r="Q108" s="3">
        <f>IF(tblOrdenes[[#This Row],[fecha_inicio]]="","",MONTH(tblOrdenes[[#This Row],[fecha_inicio]]))</f>
        <v/>
      </c>
      <c r="R108" s="3">
        <f>IF(tblOrdenes[[#This Row],[fecha_inicio]]="","",INDEX(lista_dias,WEEKDAY(tblOrdenes[[#This Row],[fecha_inicio]],2)))</f>
        <v/>
      </c>
      <c r="S108" s="3">
        <f>_xlfn.XLOOKUP(tblOrdenes[[#This Row],[tipo_ot]],tblTiposOT[codigo],tblTiposOT[clasificacion],"sin_clasificar")</f>
        <v/>
      </c>
      <c r="T108" s="3">
        <f>_xlfn.XLOOKUP(tblOrdenes[[#This Row],[centro_costo]],tblCECO[codigo],tblCECO[linea],"(sin catálogo)")</f>
        <v/>
      </c>
      <c r="U108" s="3">
        <f>_xlfn.XLOOKUP(tblOrdenes[[#This Row],[centro_costo]],tblCECO[codigo],tblCECO[area],"(sin catálogo)")</f>
        <v/>
      </c>
      <c r="V108" s="3">
        <f>_xlfn.XLOOKUP(tblOrdenes[[#This Row],[centro_costo]],tblCECO[codigo],tblCECO[coordinador],"(sin catálogo)")</f>
        <v/>
      </c>
      <c r="W108" s="3">
        <f>_xlfn.XLOOKUP(tblOrdenes[[#This Row],[puesto_trabajo]],tblPuestos[codigo],tblPuestos[especialidad],"(sin catálogo)")</f>
        <v/>
      </c>
      <c r="X108" s="3">
        <f>_xlfn.XLOOKUP(tblOrdenes[[#This Row],[cod_actividad]],tblActividades[codigo],tblActividades[descripcion],"(sin catálogo)")</f>
        <v/>
      </c>
      <c r="Y108" s="12">
        <f>IF(tblOrdenes[[#This Row],[fecha_inicio]]="","",TODAY()-tblOrdenes[[#This Row],[fecha_inicio]])</f>
        <v/>
      </c>
      <c r="Z108" s="3">
        <f>IF(tblOrdenes[[#This Row],[backlog_dias]]="","",IF(tblOrdenes[[#This Row],[backlog_dias]]&lt;0,"FUTURO",IF(tblOrdenes[[#This Row],[backlog_dias]]&gt;p_dias_backlog_max,"BACKLOG","MES CORRIENTE")))</f>
        <v/>
      </c>
      <c r="AA108" s="3">
        <f>IF(tblOrdenes[[#This Row],[backlog_dias]]="",FALSE,AND(tblOrdenes[[#This Row],[backlog_dias]]&gt;p_dias_backlog_min,tblOrdenes[[#This Row],[backlog_dias]]&lt;=p_dias_backlog_max))</f>
        <v/>
      </c>
      <c r="AB108" s="6" t="inlineStr">
        <is>
          <t>Técnico 08</t>
        </is>
      </c>
      <c r="AC10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8" s="10">
        <f>_xlfn.XLOOKUP(tblOrdenes[[#This Row],[id_operacion]],tblEjecucion[id_operacion],tblEjecucion[precio],0)</f>
        <v/>
      </c>
      <c r="AE108" s="10">
        <f>MAX(0,_xlfn.XLOOKUP(tblOrdenes[[#This Row],[id_operacion]],tblEjecucion[id_operacion],tblEjecucion[costo_plan_total],0)-tblOrdenes[[#This Row],[costo_servicio]])</f>
        <v/>
      </c>
      <c r="AF108" s="10">
        <f>tblOrdenes[[#This Row],[costo_servicio]]+tblOrdenes[[#This Row],[costo_materiales]]</f>
        <v/>
      </c>
      <c r="AG108" s="6" t="inlineStr"/>
      <c r="AH108" s="6" t="inlineStr"/>
      <c r="AI108" s="6" t="inlineStr">
        <is>
          <t>ACT-01.pdf</t>
        </is>
      </c>
      <c r="AJ108" s="3">
        <f>IF(tblOrdenes[[#This Row],[link_checklist]]="","",HYPERLINK(p_ruta_base_checklists&amp;tblOrdenes[[#This Row],[link_checklist]],"abrir"))</f>
        <v/>
      </c>
      <c r="AK108" s="6" t="inlineStr"/>
    </row>
    <row r="109">
      <c r="A109" s="3" t="inlineStr">
        <is>
          <t>OT-000106</t>
        </is>
      </c>
      <c r="B109" s="3" t="inlineStr">
        <is>
          <t>0010</t>
        </is>
      </c>
      <c r="C109" s="3">
        <f>tblOrdenes[[#This Row],[orden]]&amp;IF(tblOrdenes[[#This Row],[operacion]]="","0010",tblOrdenes[[#This Row],[operacion]])</f>
        <v/>
      </c>
      <c r="D109" s="3" t="inlineStr">
        <is>
          <t>Reparación de falla — EQ-108</t>
        </is>
      </c>
      <c r="E109" s="3" t="inlineStr">
        <is>
          <t>Reparación de falla en EQ-108</t>
        </is>
      </c>
      <c r="F109" s="3" t="inlineStr">
        <is>
          <t>EQ-108</t>
        </is>
      </c>
      <c r="G109" s="3" t="inlineStr">
        <is>
          <t>CC-220</t>
        </is>
      </c>
      <c r="H109" s="3" t="inlineStr">
        <is>
          <t>PU-AUT</t>
        </is>
      </c>
      <c r="I109" s="3" t="inlineStr">
        <is>
          <t>ACT-03</t>
        </is>
      </c>
      <c r="J109" s="3" t="inlineStr">
        <is>
          <t>TIPO-C1</t>
        </is>
      </c>
      <c r="K109" s="11" t="n">
        <v>46230</v>
      </c>
      <c r="L109" s="3" t="n">
        <v>6</v>
      </c>
      <c r="M109" s="10" t="n">
        <v>240</v>
      </c>
      <c r="N109" s="3">
        <f>_xlfn.XLOOKUP(_xlfn.XLOOKUP(tblOrdenes[[#This Row],[id_operacion]],tblEjecucion[id_operacion],tblEjecucion[estado_sistema],""),tblEstados[estado_sistema],tblEstados[estado_normalizado],"Pendiente")</f>
        <v/>
      </c>
      <c r="O109" s="3">
        <f>IF(tblOrdenes[[#This Row],[fecha_inicio]]="","","S"&amp;IF(_xlfn.ISOWEEKNUM(tblOrdenes[[#This Row],[fecha_inicio]])=53,1,_xlfn.ISOWEEKNUM(tblOrdenes[[#This Row],[fecha_inicio]])))</f>
        <v/>
      </c>
      <c r="P109" s="3">
        <f>IF(tblOrdenes[[#This Row],[fecha_inicio]]="","",YEAR(tblOrdenes[[#This Row],[fecha_inicio]]))</f>
        <v/>
      </c>
      <c r="Q109" s="3">
        <f>IF(tblOrdenes[[#This Row],[fecha_inicio]]="","",MONTH(tblOrdenes[[#This Row],[fecha_inicio]]))</f>
        <v/>
      </c>
      <c r="R109" s="3">
        <f>IF(tblOrdenes[[#This Row],[fecha_inicio]]="","",INDEX(lista_dias,WEEKDAY(tblOrdenes[[#This Row],[fecha_inicio]],2)))</f>
        <v/>
      </c>
      <c r="S109" s="3">
        <f>_xlfn.XLOOKUP(tblOrdenes[[#This Row],[tipo_ot]],tblTiposOT[codigo],tblTiposOT[clasificacion],"sin_clasificar")</f>
        <v/>
      </c>
      <c r="T109" s="3">
        <f>_xlfn.XLOOKUP(tblOrdenes[[#This Row],[centro_costo]],tblCECO[codigo],tblCECO[linea],"(sin catálogo)")</f>
        <v/>
      </c>
      <c r="U109" s="3">
        <f>_xlfn.XLOOKUP(tblOrdenes[[#This Row],[centro_costo]],tblCECO[codigo],tblCECO[area],"(sin catálogo)")</f>
        <v/>
      </c>
      <c r="V109" s="3">
        <f>_xlfn.XLOOKUP(tblOrdenes[[#This Row],[centro_costo]],tblCECO[codigo],tblCECO[coordinador],"(sin catálogo)")</f>
        <v/>
      </c>
      <c r="W109" s="3">
        <f>_xlfn.XLOOKUP(tblOrdenes[[#This Row],[puesto_trabajo]],tblPuestos[codigo],tblPuestos[especialidad],"(sin catálogo)")</f>
        <v/>
      </c>
      <c r="X109" s="3">
        <f>_xlfn.XLOOKUP(tblOrdenes[[#This Row],[cod_actividad]],tblActividades[codigo],tblActividades[descripcion],"(sin catálogo)")</f>
        <v/>
      </c>
      <c r="Y109" s="12">
        <f>IF(tblOrdenes[[#This Row],[fecha_inicio]]="","",TODAY()-tblOrdenes[[#This Row],[fecha_inicio]])</f>
        <v/>
      </c>
      <c r="Z109" s="3">
        <f>IF(tblOrdenes[[#This Row],[backlog_dias]]="","",IF(tblOrdenes[[#This Row],[backlog_dias]]&lt;0,"FUTURO",IF(tblOrdenes[[#This Row],[backlog_dias]]&gt;p_dias_backlog_max,"BACKLOG","MES CORRIENTE")))</f>
        <v/>
      </c>
      <c r="AA109" s="3">
        <f>IF(tblOrdenes[[#This Row],[backlog_dias]]="",FALSE,AND(tblOrdenes[[#This Row],[backlog_dias]]&gt;p_dias_backlog_min,tblOrdenes[[#This Row],[backlog_dias]]&lt;=p_dias_backlog_max))</f>
        <v/>
      </c>
      <c r="AB109" s="6" t="inlineStr">
        <is>
          <t>Técnico 09</t>
        </is>
      </c>
      <c r="AC10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9" s="10">
        <f>_xlfn.XLOOKUP(tblOrdenes[[#This Row],[id_operacion]],tblEjecucion[id_operacion],tblEjecucion[precio],0)</f>
        <v/>
      </c>
      <c r="AE109" s="10">
        <f>MAX(0,_xlfn.XLOOKUP(tblOrdenes[[#This Row],[id_operacion]],tblEjecucion[id_operacion],tblEjecucion[costo_plan_total],0)-tblOrdenes[[#This Row],[costo_servicio]])</f>
        <v/>
      </c>
      <c r="AF109" s="10">
        <f>tblOrdenes[[#This Row],[costo_servicio]]+tblOrdenes[[#This Row],[costo_materiales]]</f>
        <v/>
      </c>
      <c r="AG109" s="6" t="inlineStr"/>
      <c r="AH109" s="6" t="inlineStr"/>
      <c r="AI109" s="6" t="inlineStr"/>
      <c r="AJ109" s="3">
        <f>IF(tblOrdenes[[#This Row],[link_checklist]]="","",HYPERLINK(p_ruta_base_checklists&amp;tblOrdenes[[#This Row],[link_checklist]],"abrir"))</f>
        <v/>
      </c>
      <c r="AK109" s="6" t="inlineStr"/>
    </row>
    <row r="110">
      <c r="A110" s="3" t="inlineStr">
        <is>
          <t>OT-000107</t>
        </is>
      </c>
      <c r="B110" s="3" t="inlineStr">
        <is>
          <t>0010</t>
        </is>
      </c>
      <c r="C110" s="3">
        <f>tblOrdenes[[#This Row],[orden]]&amp;IF(tblOrdenes[[#This Row],[operacion]]="","0010",tblOrdenes[[#This Row],[operacion]])</f>
        <v/>
      </c>
      <c r="D110" s="3" t="inlineStr">
        <is>
          <t>Análisis predictivo — EQ-109</t>
        </is>
      </c>
      <c r="E110" s="3" t="inlineStr">
        <is>
          <t>Análisis predictivo en EQ-109</t>
        </is>
      </c>
      <c r="F110" s="3" t="inlineStr">
        <is>
          <t>EQ-109</t>
        </is>
      </c>
      <c r="G110" s="3" t="inlineStr">
        <is>
          <t>CC-210</t>
        </is>
      </c>
      <c r="H110" s="3" t="inlineStr">
        <is>
          <t>PU-OP</t>
        </is>
      </c>
      <c r="I110" s="3" t="inlineStr">
        <is>
          <t>ACT-04</t>
        </is>
      </c>
      <c r="J110" s="3" t="inlineStr">
        <is>
          <t>TIPO-P2</t>
        </is>
      </c>
      <c r="K110" s="11" t="n">
        <v>46210</v>
      </c>
      <c r="L110" s="3" t="n">
        <v>10</v>
      </c>
      <c r="M110" s="10" t="n">
        <v>250</v>
      </c>
      <c r="N110" s="3">
        <f>_xlfn.XLOOKUP(_xlfn.XLOOKUP(tblOrdenes[[#This Row],[id_operacion]],tblEjecucion[id_operacion],tblEjecucion[estado_sistema],""),tblEstados[estado_sistema],tblEstados[estado_normalizado],"Pendiente")</f>
        <v/>
      </c>
      <c r="O110" s="3">
        <f>IF(tblOrdenes[[#This Row],[fecha_inicio]]="","","S"&amp;IF(_xlfn.ISOWEEKNUM(tblOrdenes[[#This Row],[fecha_inicio]])=53,1,_xlfn.ISOWEEKNUM(tblOrdenes[[#This Row],[fecha_inicio]])))</f>
        <v/>
      </c>
      <c r="P110" s="3">
        <f>IF(tblOrdenes[[#This Row],[fecha_inicio]]="","",YEAR(tblOrdenes[[#This Row],[fecha_inicio]]))</f>
        <v/>
      </c>
      <c r="Q110" s="3">
        <f>IF(tblOrdenes[[#This Row],[fecha_inicio]]="","",MONTH(tblOrdenes[[#This Row],[fecha_inicio]]))</f>
        <v/>
      </c>
      <c r="R110" s="3">
        <f>IF(tblOrdenes[[#This Row],[fecha_inicio]]="","",INDEX(lista_dias,WEEKDAY(tblOrdenes[[#This Row],[fecha_inicio]],2)))</f>
        <v/>
      </c>
      <c r="S110" s="3">
        <f>_xlfn.XLOOKUP(tblOrdenes[[#This Row],[tipo_ot]],tblTiposOT[codigo],tblTiposOT[clasificacion],"sin_clasificar")</f>
        <v/>
      </c>
      <c r="T110" s="3">
        <f>_xlfn.XLOOKUP(tblOrdenes[[#This Row],[centro_costo]],tblCECO[codigo],tblCECO[linea],"(sin catálogo)")</f>
        <v/>
      </c>
      <c r="U110" s="3">
        <f>_xlfn.XLOOKUP(tblOrdenes[[#This Row],[centro_costo]],tblCECO[codigo],tblCECO[area],"(sin catálogo)")</f>
        <v/>
      </c>
      <c r="V110" s="3">
        <f>_xlfn.XLOOKUP(tblOrdenes[[#This Row],[centro_costo]],tblCECO[codigo],tblCECO[coordinador],"(sin catálogo)")</f>
        <v/>
      </c>
      <c r="W110" s="3">
        <f>_xlfn.XLOOKUP(tblOrdenes[[#This Row],[puesto_trabajo]],tblPuestos[codigo],tblPuestos[especialidad],"(sin catálogo)")</f>
        <v/>
      </c>
      <c r="X110" s="3">
        <f>_xlfn.XLOOKUP(tblOrdenes[[#This Row],[cod_actividad]],tblActividades[codigo],tblActividades[descripcion],"(sin catálogo)")</f>
        <v/>
      </c>
      <c r="Y110" s="12">
        <f>IF(tblOrdenes[[#This Row],[fecha_inicio]]="","",TODAY()-tblOrdenes[[#This Row],[fecha_inicio]])</f>
        <v/>
      </c>
      <c r="Z110" s="3">
        <f>IF(tblOrdenes[[#This Row],[backlog_dias]]="","",IF(tblOrdenes[[#This Row],[backlog_dias]]&lt;0,"FUTURO",IF(tblOrdenes[[#This Row],[backlog_dias]]&gt;p_dias_backlog_max,"BACKLOG","MES CORRIENTE")))</f>
        <v/>
      </c>
      <c r="AA110" s="3">
        <f>IF(tblOrdenes[[#This Row],[backlog_dias]]="",FALSE,AND(tblOrdenes[[#This Row],[backlog_dias]]&gt;p_dias_backlog_min,tblOrdenes[[#This Row],[backlog_dias]]&lt;=p_dias_backlog_max))</f>
        <v/>
      </c>
      <c r="AB110" s="6" t="inlineStr">
        <is>
          <t>Técnico 11</t>
        </is>
      </c>
      <c r="AC11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0" s="10">
        <f>_xlfn.XLOOKUP(tblOrdenes[[#This Row],[id_operacion]],tblEjecucion[id_operacion],tblEjecucion[precio],0)</f>
        <v/>
      </c>
      <c r="AE110" s="10">
        <f>MAX(0,_xlfn.XLOOKUP(tblOrdenes[[#This Row],[id_operacion]],tblEjecucion[id_operacion],tblEjecucion[costo_plan_total],0)-tblOrdenes[[#This Row],[costo_servicio]])</f>
        <v/>
      </c>
      <c r="AF110" s="10">
        <f>tblOrdenes[[#This Row],[costo_servicio]]+tblOrdenes[[#This Row],[costo_materiales]]</f>
        <v/>
      </c>
      <c r="AG110" s="6" t="inlineStr"/>
      <c r="AH110" s="6" t="inlineStr"/>
      <c r="AI110" s="6" t="inlineStr">
        <is>
          <t>ACT-04.pdf</t>
        </is>
      </c>
      <c r="AJ110" s="3">
        <f>IF(tblOrdenes[[#This Row],[link_checklist]]="","",HYPERLINK(p_ruta_base_checklists&amp;tblOrdenes[[#This Row],[link_checklist]],"abrir"))</f>
        <v/>
      </c>
      <c r="AK110" s="6" t="inlineStr"/>
    </row>
    <row r="111">
      <c r="A111" s="3" t="inlineStr">
        <is>
          <t>OT-000108</t>
        </is>
      </c>
      <c r="B111" s="3" t="inlineStr">
        <is>
          <t>0010</t>
        </is>
      </c>
      <c r="C111" s="3">
        <f>tblOrdenes[[#This Row],[orden]]&amp;IF(tblOrdenes[[#This Row],[operacion]]="","0010",tblOrdenes[[#This Row],[operacion]])</f>
        <v/>
      </c>
      <c r="D111" s="3" t="inlineStr">
        <is>
          <t>Inspección de rutina — EQ-110</t>
        </is>
      </c>
      <c r="E111" s="3" t="inlineStr">
        <is>
          <t>Inspección de rutina en EQ-110</t>
        </is>
      </c>
      <c r="F111" s="3" t="inlineStr">
        <is>
          <t>EQ-110</t>
        </is>
      </c>
      <c r="G111" s="3" t="inlineStr">
        <is>
          <t>CC-320</t>
        </is>
      </c>
      <c r="H111" s="3" t="inlineStr">
        <is>
          <t>PU-OP</t>
        </is>
      </c>
      <c r="I111" s="3" t="inlineStr">
        <is>
          <t>ACT-01</t>
        </is>
      </c>
      <c r="J111" s="3" t="inlineStr">
        <is>
          <t>TIPO-P1</t>
        </is>
      </c>
      <c r="K111" s="11" t="n">
        <v>46211</v>
      </c>
      <c r="L111" s="3" t="n">
        <v>8</v>
      </c>
      <c r="M111" s="10" t="n">
        <v>200</v>
      </c>
      <c r="N111" s="3">
        <f>_xlfn.XLOOKUP(_xlfn.XLOOKUP(tblOrdenes[[#This Row],[id_operacion]],tblEjecucion[id_operacion],tblEjecucion[estado_sistema],""),tblEstados[estado_sistema],tblEstados[estado_normalizado],"Pendiente")</f>
        <v/>
      </c>
      <c r="O111" s="3">
        <f>IF(tblOrdenes[[#This Row],[fecha_inicio]]="","","S"&amp;IF(_xlfn.ISOWEEKNUM(tblOrdenes[[#This Row],[fecha_inicio]])=53,1,_xlfn.ISOWEEKNUM(tblOrdenes[[#This Row],[fecha_inicio]])))</f>
        <v/>
      </c>
      <c r="P111" s="3">
        <f>IF(tblOrdenes[[#This Row],[fecha_inicio]]="","",YEAR(tblOrdenes[[#This Row],[fecha_inicio]]))</f>
        <v/>
      </c>
      <c r="Q111" s="3">
        <f>IF(tblOrdenes[[#This Row],[fecha_inicio]]="","",MONTH(tblOrdenes[[#This Row],[fecha_inicio]]))</f>
        <v/>
      </c>
      <c r="R111" s="3">
        <f>IF(tblOrdenes[[#This Row],[fecha_inicio]]="","",INDEX(lista_dias,WEEKDAY(tblOrdenes[[#This Row],[fecha_inicio]],2)))</f>
        <v/>
      </c>
      <c r="S111" s="3">
        <f>_xlfn.XLOOKUP(tblOrdenes[[#This Row],[tipo_ot]],tblTiposOT[codigo],tblTiposOT[clasificacion],"sin_clasificar")</f>
        <v/>
      </c>
      <c r="T111" s="3">
        <f>_xlfn.XLOOKUP(tblOrdenes[[#This Row],[centro_costo]],tblCECO[codigo],tblCECO[linea],"(sin catálogo)")</f>
        <v/>
      </c>
      <c r="U111" s="3">
        <f>_xlfn.XLOOKUP(tblOrdenes[[#This Row],[centro_costo]],tblCECO[codigo],tblCECO[area],"(sin catálogo)")</f>
        <v/>
      </c>
      <c r="V111" s="3">
        <f>_xlfn.XLOOKUP(tblOrdenes[[#This Row],[centro_costo]],tblCECO[codigo],tblCECO[coordinador],"(sin catálogo)")</f>
        <v/>
      </c>
      <c r="W111" s="3">
        <f>_xlfn.XLOOKUP(tblOrdenes[[#This Row],[puesto_trabajo]],tblPuestos[codigo],tblPuestos[especialidad],"(sin catálogo)")</f>
        <v/>
      </c>
      <c r="X111" s="3">
        <f>_xlfn.XLOOKUP(tblOrdenes[[#This Row],[cod_actividad]],tblActividades[codigo],tblActividades[descripcion],"(sin catálogo)")</f>
        <v/>
      </c>
      <c r="Y111" s="12">
        <f>IF(tblOrdenes[[#This Row],[fecha_inicio]]="","",TODAY()-tblOrdenes[[#This Row],[fecha_inicio]])</f>
        <v/>
      </c>
      <c r="Z111" s="3">
        <f>IF(tblOrdenes[[#This Row],[backlog_dias]]="","",IF(tblOrdenes[[#This Row],[backlog_dias]]&lt;0,"FUTURO",IF(tblOrdenes[[#This Row],[backlog_dias]]&gt;p_dias_backlog_max,"BACKLOG","MES CORRIENTE")))</f>
        <v/>
      </c>
      <c r="AA111" s="3">
        <f>IF(tblOrdenes[[#This Row],[backlog_dias]]="",FALSE,AND(tblOrdenes[[#This Row],[backlog_dias]]&gt;p_dias_backlog_min,tblOrdenes[[#This Row],[backlog_dias]]&lt;=p_dias_backlog_max))</f>
        <v/>
      </c>
      <c r="AB111" s="6" t="inlineStr"/>
      <c r="AC11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1" s="10">
        <f>_xlfn.XLOOKUP(tblOrdenes[[#This Row],[id_operacion]],tblEjecucion[id_operacion],tblEjecucion[precio],0)</f>
        <v/>
      </c>
      <c r="AE111" s="10">
        <f>MAX(0,_xlfn.XLOOKUP(tblOrdenes[[#This Row],[id_operacion]],tblEjecucion[id_operacion],tblEjecucion[costo_plan_total],0)-tblOrdenes[[#This Row],[costo_servicio]])</f>
        <v/>
      </c>
      <c r="AF111" s="10">
        <f>tblOrdenes[[#This Row],[costo_servicio]]+tblOrdenes[[#This Row],[costo_materiales]]</f>
        <v/>
      </c>
      <c r="AG111" s="6" t="inlineStr"/>
      <c r="AH111" s="6" t="inlineStr"/>
      <c r="AI111" s="6" t="inlineStr">
        <is>
          <t>ACT-01.pdf</t>
        </is>
      </c>
      <c r="AJ111" s="3">
        <f>IF(tblOrdenes[[#This Row],[link_checklist]]="","",HYPERLINK(p_ruta_base_checklists&amp;tblOrdenes[[#This Row],[link_checklist]],"abrir"))</f>
        <v/>
      </c>
      <c r="AK111" s="6" t="inlineStr"/>
    </row>
    <row r="112">
      <c r="A112" s="3" t="inlineStr">
        <is>
          <t>OT-000109</t>
        </is>
      </c>
      <c r="B112" s="3" t="inlineStr">
        <is>
          <t>0010</t>
        </is>
      </c>
      <c r="C112" s="3">
        <f>tblOrdenes[[#This Row],[orden]]&amp;IF(tblOrdenes[[#This Row],[operacion]]="","0010",tblOrdenes[[#This Row],[operacion]])</f>
        <v/>
      </c>
      <c r="D112" s="3" t="inlineStr">
        <is>
          <t>Lubricación programada — EQ-105</t>
        </is>
      </c>
      <c r="E112" s="3" t="inlineStr">
        <is>
          <t>Lubricación programada en EQ-105</t>
        </is>
      </c>
      <c r="F112" s="3" t="inlineStr">
        <is>
          <t>EQ-105</t>
        </is>
      </c>
      <c r="G112" s="3" t="inlineStr">
        <is>
          <t>CC-120</t>
        </is>
      </c>
      <c r="H112" s="3" t="inlineStr">
        <is>
          <t>PU-OP</t>
        </is>
      </c>
      <c r="I112" s="3" t="inlineStr">
        <is>
          <t>ACT-02</t>
        </is>
      </c>
      <c r="J112" s="3" t="inlineStr">
        <is>
          <t>TIPO-P2</t>
        </is>
      </c>
      <c r="K112" s="11" t="n">
        <v>46212</v>
      </c>
      <c r="L112" s="3" t="n">
        <v>6</v>
      </c>
      <c r="M112" s="10" t="n">
        <v>150</v>
      </c>
      <c r="N112" s="3">
        <f>_xlfn.XLOOKUP(_xlfn.XLOOKUP(tblOrdenes[[#This Row],[id_operacion]],tblEjecucion[id_operacion],tblEjecucion[estado_sistema],""),tblEstados[estado_sistema],tblEstados[estado_normalizado],"Pendiente")</f>
        <v/>
      </c>
      <c r="O112" s="3">
        <f>IF(tblOrdenes[[#This Row],[fecha_inicio]]="","","S"&amp;IF(_xlfn.ISOWEEKNUM(tblOrdenes[[#This Row],[fecha_inicio]])=53,1,_xlfn.ISOWEEKNUM(tblOrdenes[[#This Row],[fecha_inicio]])))</f>
        <v/>
      </c>
      <c r="P112" s="3">
        <f>IF(tblOrdenes[[#This Row],[fecha_inicio]]="","",YEAR(tblOrdenes[[#This Row],[fecha_inicio]]))</f>
        <v/>
      </c>
      <c r="Q112" s="3">
        <f>IF(tblOrdenes[[#This Row],[fecha_inicio]]="","",MONTH(tblOrdenes[[#This Row],[fecha_inicio]]))</f>
        <v/>
      </c>
      <c r="R112" s="3">
        <f>IF(tblOrdenes[[#This Row],[fecha_inicio]]="","",INDEX(lista_dias,WEEKDAY(tblOrdenes[[#This Row],[fecha_inicio]],2)))</f>
        <v/>
      </c>
      <c r="S112" s="3">
        <f>_xlfn.XLOOKUP(tblOrdenes[[#This Row],[tipo_ot]],tblTiposOT[codigo],tblTiposOT[clasificacion],"sin_clasificar")</f>
        <v/>
      </c>
      <c r="T112" s="3">
        <f>_xlfn.XLOOKUP(tblOrdenes[[#This Row],[centro_costo]],tblCECO[codigo],tblCECO[linea],"(sin catálogo)")</f>
        <v/>
      </c>
      <c r="U112" s="3">
        <f>_xlfn.XLOOKUP(tblOrdenes[[#This Row],[centro_costo]],tblCECO[codigo],tblCECO[area],"(sin catálogo)")</f>
        <v/>
      </c>
      <c r="V112" s="3">
        <f>_xlfn.XLOOKUP(tblOrdenes[[#This Row],[centro_costo]],tblCECO[codigo],tblCECO[coordinador],"(sin catálogo)")</f>
        <v/>
      </c>
      <c r="W112" s="3">
        <f>_xlfn.XLOOKUP(tblOrdenes[[#This Row],[puesto_trabajo]],tblPuestos[codigo],tblPuestos[especialidad],"(sin catálogo)")</f>
        <v/>
      </c>
      <c r="X112" s="3">
        <f>_xlfn.XLOOKUP(tblOrdenes[[#This Row],[cod_actividad]],tblActividades[codigo],tblActividades[descripcion],"(sin catálogo)")</f>
        <v/>
      </c>
      <c r="Y112" s="12">
        <f>IF(tblOrdenes[[#This Row],[fecha_inicio]]="","",TODAY()-tblOrdenes[[#This Row],[fecha_inicio]])</f>
        <v/>
      </c>
      <c r="Z112" s="3">
        <f>IF(tblOrdenes[[#This Row],[backlog_dias]]="","",IF(tblOrdenes[[#This Row],[backlog_dias]]&lt;0,"FUTURO",IF(tblOrdenes[[#This Row],[backlog_dias]]&gt;p_dias_backlog_max,"BACKLOG","MES CORRIENTE")))</f>
        <v/>
      </c>
      <c r="AA112" s="3">
        <f>IF(tblOrdenes[[#This Row],[backlog_dias]]="",FALSE,AND(tblOrdenes[[#This Row],[backlog_dias]]&gt;p_dias_backlog_min,tblOrdenes[[#This Row],[backlog_dias]]&lt;=p_dias_backlog_max))</f>
        <v/>
      </c>
      <c r="AB112" s="6" t="inlineStr">
        <is>
          <t>Técnico 10</t>
        </is>
      </c>
      <c r="AC11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2" s="10">
        <f>_xlfn.XLOOKUP(tblOrdenes[[#This Row],[id_operacion]],tblEjecucion[id_operacion],tblEjecucion[precio],0)</f>
        <v/>
      </c>
      <c r="AE112" s="10">
        <f>MAX(0,_xlfn.XLOOKUP(tblOrdenes[[#This Row],[id_operacion]],tblEjecucion[id_operacion],tblEjecucion[costo_plan_total],0)-tblOrdenes[[#This Row],[costo_servicio]])</f>
        <v/>
      </c>
      <c r="AF112" s="10">
        <f>tblOrdenes[[#This Row],[costo_servicio]]+tblOrdenes[[#This Row],[costo_materiales]]</f>
        <v/>
      </c>
      <c r="AG112" s="6" t="inlineStr"/>
      <c r="AH112" s="6" t="inlineStr"/>
      <c r="AI112" s="6" t="inlineStr">
        <is>
          <t>ACT-02.pdf</t>
        </is>
      </c>
      <c r="AJ112" s="3">
        <f>IF(tblOrdenes[[#This Row],[link_checklist]]="","",HYPERLINK(p_ruta_base_checklists&amp;tblOrdenes[[#This Row],[link_checklist]],"abrir"))</f>
        <v/>
      </c>
      <c r="AK112" s="6" t="inlineStr"/>
    </row>
    <row r="113">
      <c r="A113" s="3" t="inlineStr">
        <is>
          <t>OT-000110</t>
        </is>
      </c>
      <c r="B113" s="3" t="inlineStr">
        <is>
          <t>0010</t>
        </is>
      </c>
      <c r="C113" s="3">
        <f>tblOrdenes[[#This Row],[orden]]&amp;IF(tblOrdenes[[#This Row],[operacion]]="","0010",tblOrdenes[[#This Row],[operacion]])</f>
        <v/>
      </c>
      <c r="D113" s="3" t="inlineStr">
        <is>
          <t>Análisis predictivo — EQ-108</t>
        </is>
      </c>
      <c r="E113" s="3" t="inlineStr">
        <is>
          <t>Análisis predictivo en EQ-108</t>
        </is>
      </c>
      <c r="F113" s="3" t="inlineStr">
        <is>
          <t>EQ-108</t>
        </is>
      </c>
      <c r="G113" s="3" t="inlineStr">
        <is>
          <t>CC-210</t>
        </is>
      </c>
      <c r="H113" s="3" t="inlineStr">
        <is>
          <t>PU-OP</t>
        </is>
      </c>
      <c r="I113" s="3" t="inlineStr">
        <is>
          <t>ACT-04</t>
        </is>
      </c>
      <c r="J113" s="3" t="inlineStr">
        <is>
          <t>TIPO-P1</t>
        </is>
      </c>
      <c r="K113" s="11" t="n">
        <v>46213</v>
      </c>
      <c r="L113" s="3" t="n">
        <v>6</v>
      </c>
      <c r="M113" s="10" t="n">
        <v>150</v>
      </c>
      <c r="N113" s="3">
        <f>_xlfn.XLOOKUP(_xlfn.XLOOKUP(tblOrdenes[[#This Row],[id_operacion]],tblEjecucion[id_operacion],tblEjecucion[estado_sistema],""),tblEstados[estado_sistema],tblEstados[estado_normalizado],"Pendiente")</f>
        <v/>
      </c>
      <c r="O113" s="3">
        <f>IF(tblOrdenes[[#This Row],[fecha_inicio]]="","","S"&amp;IF(_xlfn.ISOWEEKNUM(tblOrdenes[[#This Row],[fecha_inicio]])=53,1,_xlfn.ISOWEEKNUM(tblOrdenes[[#This Row],[fecha_inicio]])))</f>
        <v/>
      </c>
      <c r="P113" s="3">
        <f>IF(tblOrdenes[[#This Row],[fecha_inicio]]="","",YEAR(tblOrdenes[[#This Row],[fecha_inicio]]))</f>
        <v/>
      </c>
      <c r="Q113" s="3">
        <f>IF(tblOrdenes[[#This Row],[fecha_inicio]]="","",MONTH(tblOrdenes[[#This Row],[fecha_inicio]]))</f>
        <v/>
      </c>
      <c r="R113" s="3">
        <f>IF(tblOrdenes[[#This Row],[fecha_inicio]]="","",INDEX(lista_dias,WEEKDAY(tblOrdenes[[#This Row],[fecha_inicio]],2)))</f>
        <v/>
      </c>
      <c r="S113" s="3">
        <f>_xlfn.XLOOKUP(tblOrdenes[[#This Row],[tipo_ot]],tblTiposOT[codigo],tblTiposOT[clasificacion],"sin_clasificar")</f>
        <v/>
      </c>
      <c r="T113" s="3">
        <f>_xlfn.XLOOKUP(tblOrdenes[[#This Row],[centro_costo]],tblCECO[codigo],tblCECO[linea],"(sin catálogo)")</f>
        <v/>
      </c>
      <c r="U113" s="3">
        <f>_xlfn.XLOOKUP(tblOrdenes[[#This Row],[centro_costo]],tblCECO[codigo],tblCECO[area],"(sin catálogo)")</f>
        <v/>
      </c>
      <c r="V113" s="3">
        <f>_xlfn.XLOOKUP(tblOrdenes[[#This Row],[centro_costo]],tblCECO[codigo],tblCECO[coordinador],"(sin catálogo)")</f>
        <v/>
      </c>
      <c r="W113" s="3">
        <f>_xlfn.XLOOKUP(tblOrdenes[[#This Row],[puesto_trabajo]],tblPuestos[codigo],tblPuestos[especialidad],"(sin catálogo)")</f>
        <v/>
      </c>
      <c r="X113" s="3">
        <f>_xlfn.XLOOKUP(tblOrdenes[[#This Row],[cod_actividad]],tblActividades[codigo],tblActividades[descripcion],"(sin catálogo)")</f>
        <v/>
      </c>
      <c r="Y113" s="12">
        <f>IF(tblOrdenes[[#This Row],[fecha_inicio]]="","",TODAY()-tblOrdenes[[#This Row],[fecha_inicio]])</f>
        <v/>
      </c>
      <c r="Z113" s="3">
        <f>IF(tblOrdenes[[#This Row],[backlog_dias]]="","",IF(tblOrdenes[[#This Row],[backlog_dias]]&lt;0,"FUTURO",IF(tblOrdenes[[#This Row],[backlog_dias]]&gt;p_dias_backlog_max,"BACKLOG","MES CORRIENTE")))</f>
        <v/>
      </c>
      <c r="AA113" s="3">
        <f>IF(tblOrdenes[[#This Row],[backlog_dias]]="",FALSE,AND(tblOrdenes[[#This Row],[backlog_dias]]&gt;p_dias_backlog_min,tblOrdenes[[#This Row],[backlog_dias]]&lt;=p_dias_backlog_max))</f>
        <v/>
      </c>
      <c r="AB113" s="6" t="inlineStr">
        <is>
          <t>Técnico 11</t>
        </is>
      </c>
      <c r="AC11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3" s="10">
        <f>_xlfn.XLOOKUP(tblOrdenes[[#This Row],[id_operacion]],tblEjecucion[id_operacion],tblEjecucion[precio],0)</f>
        <v/>
      </c>
      <c r="AE113" s="10">
        <f>MAX(0,_xlfn.XLOOKUP(tblOrdenes[[#This Row],[id_operacion]],tblEjecucion[id_operacion],tblEjecucion[costo_plan_total],0)-tblOrdenes[[#This Row],[costo_servicio]])</f>
        <v/>
      </c>
      <c r="AF113" s="10">
        <f>tblOrdenes[[#This Row],[costo_servicio]]+tblOrdenes[[#This Row],[costo_materiales]]</f>
        <v/>
      </c>
      <c r="AG113" s="6" t="inlineStr"/>
      <c r="AH113" s="6" t="inlineStr"/>
      <c r="AI113" s="6" t="inlineStr">
        <is>
          <t>ACT-04.pdf</t>
        </is>
      </c>
      <c r="AJ113" s="3">
        <f>IF(tblOrdenes[[#This Row],[link_checklist]]="","",HYPERLINK(p_ruta_base_checklists&amp;tblOrdenes[[#This Row],[link_checklist]],"abrir"))</f>
        <v/>
      </c>
      <c r="AK113" s="6" t="inlineStr"/>
    </row>
    <row r="114">
      <c r="A114" s="3" t="inlineStr">
        <is>
          <t>OT-000111</t>
        </is>
      </c>
      <c r="B114" s="3" t="inlineStr">
        <is>
          <t>0010</t>
        </is>
      </c>
      <c r="C114" s="3">
        <f>tblOrdenes[[#This Row],[orden]]&amp;IF(tblOrdenes[[#This Row],[operacion]]="","0010",tblOrdenes[[#This Row],[operacion]])</f>
        <v/>
      </c>
      <c r="D114" s="3" t="inlineStr">
        <is>
          <t>Reparación de falla — EQ-110</t>
        </is>
      </c>
      <c r="E114" s="3" t="inlineStr">
        <is>
          <t>Reparación de falla en EQ-110</t>
        </is>
      </c>
      <c r="F114" s="3" t="inlineStr">
        <is>
          <t>EQ-110</t>
        </is>
      </c>
      <c r="G114" s="3" t="inlineStr">
        <is>
          <t>CC-320</t>
        </is>
      </c>
      <c r="H114" s="3" t="inlineStr">
        <is>
          <t>PU-OP</t>
        </is>
      </c>
      <c r="I114" s="3" t="inlineStr">
        <is>
          <t>ACT-03</t>
        </is>
      </c>
      <c r="J114" s="3" t="inlineStr">
        <is>
          <t>TIPO-C2</t>
        </is>
      </c>
      <c r="K114" s="11" t="n">
        <v>46209</v>
      </c>
      <c r="L114" s="3" t="n">
        <v>8</v>
      </c>
      <c r="M114" s="10" t="n">
        <v>320</v>
      </c>
      <c r="N114" s="3">
        <f>_xlfn.XLOOKUP(_xlfn.XLOOKUP(tblOrdenes[[#This Row],[id_operacion]],tblEjecucion[id_operacion],tblEjecucion[estado_sistema],""),tblEstados[estado_sistema],tblEstados[estado_normalizado],"Pendiente")</f>
        <v/>
      </c>
      <c r="O114" s="3">
        <f>IF(tblOrdenes[[#This Row],[fecha_inicio]]="","","S"&amp;IF(_xlfn.ISOWEEKNUM(tblOrdenes[[#This Row],[fecha_inicio]])=53,1,_xlfn.ISOWEEKNUM(tblOrdenes[[#This Row],[fecha_inicio]])))</f>
        <v/>
      </c>
      <c r="P114" s="3">
        <f>IF(tblOrdenes[[#This Row],[fecha_inicio]]="","",YEAR(tblOrdenes[[#This Row],[fecha_inicio]]))</f>
        <v/>
      </c>
      <c r="Q114" s="3">
        <f>IF(tblOrdenes[[#This Row],[fecha_inicio]]="","",MONTH(tblOrdenes[[#This Row],[fecha_inicio]]))</f>
        <v/>
      </c>
      <c r="R114" s="3">
        <f>IF(tblOrdenes[[#This Row],[fecha_inicio]]="","",INDEX(lista_dias,WEEKDAY(tblOrdenes[[#This Row],[fecha_inicio]],2)))</f>
        <v/>
      </c>
      <c r="S114" s="3">
        <f>_xlfn.XLOOKUP(tblOrdenes[[#This Row],[tipo_ot]],tblTiposOT[codigo],tblTiposOT[clasificacion],"sin_clasificar")</f>
        <v/>
      </c>
      <c r="T114" s="3">
        <f>_xlfn.XLOOKUP(tblOrdenes[[#This Row],[centro_costo]],tblCECO[codigo],tblCECO[linea],"(sin catálogo)")</f>
        <v/>
      </c>
      <c r="U114" s="3">
        <f>_xlfn.XLOOKUP(tblOrdenes[[#This Row],[centro_costo]],tblCECO[codigo],tblCECO[area],"(sin catálogo)")</f>
        <v/>
      </c>
      <c r="V114" s="3">
        <f>_xlfn.XLOOKUP(tblOrdenes[[#This Row],[centro_costo]],tblCECO[codigo],tblCECO[coordinador],"(sin catálogo)")</f>
        <v/>
      </c>
      <c r="W114" s="3">
        <f>_xlfn.XLOOKUP(tblOrdenes[[#This Row],[puesto_trabajo]],tblPuestos[codigo],tblPuestos[especialidad],"(sin catálogo)")</f>
        <v/>
      </c>
      <c r="X114" s="3">
        <f>_xlfn.XLOOKUP(tblOrdenes[[#This Row],[cod_actividad]],tblActividades[codigo],tblActividades[descripcion],"(sin catálogo)")</f>
        <v/>
      </c>
      <c r="Y114" s="12">
        <f>IF(tblOrdenes[[#This Row],[fecha_inicio]]="","",TODAY()-tblOrdenes[[#This Row],[fecha_inicio]])</f>
        <v/>
      </c>
      <c r="Z114" s="3">
        <f>IF(tblOrdenes[[#This Row],[backlog_dias]]="","",IF(tblOrdenes[[#This Row],[backlog_dias]]&lt;0,"FUTURO",IF(tblOrdenes[[#This Row],[backlog_dias]]&gt;p_dias_backlog_max,"BACKLOG","MES CORRIENTE")))</f>
        <v/>
      </c>
      <c r="AA114" s="3">
        <f>IF(tblOrdenes[[#This Row],[backlog_dias]]="",FALSE,AND(tblOrdenes[[#This Row],[backlog_dias]]&gt;p_dias_backlog_min,tblOrdenes[[#This Row],[backlog_dias]]&lt;=p_dias_backlog_max))</f>
        <v/>
      </c>
      <c r="AB114" s="6" t="inlineStr">
        <is>
          <t>Técnico 12</t>
        </is>
      </c>
      <c r="AC11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4" s="10">
        <f>_xlfn.XLOOKUP(tblOrdenes[[#This Row],[id_operacion]],tblEjecucion[id_operacion],tblEjecucion[precio],0)</f>
        <v/>
      </c>
      <c r="AE114" s="10">
        <f>MAX(0,_xlfn.XLOOKUP(tblOrdenes[[#This Row],[id_operacion]],tblEjecucion[id_operacion],tblEjecucion[costo_plan_total],0)-tblOrdenes[[#This Row],[costo_servicio]])</f>
        <v/>
      </c>
      <c r="AF114" s="10">
        <f>tblOrdenes[[#This Row],[costo_servicio]]+tblOrdenes[[#This Row],[costo_materiales]]</f>
        <v/>
      </c>
      <c r="AG114" s="6" t="inlineStr"/>
      <c r="AH114" s="6" t="inlineStr"/>
      <c r="AI114" s="6" t="inlineStr"/>
      <c r="AJ114" s="3">
        <f>IF(tblOrdenes[[#This Row],[link_checklist]]="","",HYPERLINK(p_ruta_base_checklists&amp;tblOrdenes[[#This Row],[link_checklist]],"abrir"))</f>
        <v/>
      </c>
      <c r="AK114" s="6" t="inlineStr"/>
    </row>
    <row r="115">
      <c r="A115" s="3" t="inlineStr">
        <is>
          <t>OT-000112</t>
        </is>
      </c>
      <c r="B115" s="3" t="inlineStr">
        <is>
          <t>0010</t>
        </is>
      </c>
      <c r="C115" s="3">
        <f>tblOrdenes[[#This Row],[orden]]&amp;IF(tblOrdenes[[#This Row],[operacion]]="","0010",tblOrdenes[[#This Row],[operacion]])</f>
        <v/>
      </c>
      <c r="D115" s="3" t="inlineStr">
        <is>
          <t>Lubricación programada — EQ-103</t>
        </is>
      </c>
      <c r="E115" s="3" t="inlineStr">
        <is>
          <t>Lubricación programada en EQ-103</t>
        </is>
      </c>
      <c r="F115" s="3" t="inlineStr">
        <is>
          <t>EQ-103</t>
        </is>
      </c>
      <c r="G115" s="3" t="inlineStr">
        <is>
          <t>CC-120</t>
        </is>
      </c>
      <c r="H115" s="3" t="inlineStr">
        <is>
          <t>PU-OP</t>
        </is>
      </c>
      <c r="I115" s="3" t="inlineStr">
        <is>
          <t>ACT-02</t>
        </is>
      </c>
      <c r="J115" s="3" t="inlineStr">
        <is>
          <t>TIPO-P1</t>
        </is>
      </c>
      <c r="K115" s="11" t="n">
        <v>46217</v>
      </c>
      <c r="L115" s="3" t="n">
        <v>10</v>
      </c>
      <c r="M115" s="10" t="n">
        <v>250</v>
      </c>
      <c r="N115" s="3">
        <f>_xlfn.XLOOKUP(_xlfn.XLOOKUP(tblOrdenes[[#This Row],[id_operacion]],tblEjecucion[id_operacion],tblEjecucion[estado_sistema],""),tblEstados[estado_sistema],tblEstados[estado_normalizado],"Pendiente")</f>
        <v/>
      </c>
      <c r="O115" s="3">
        <f>IF(tblOrdenes[[#This Row],[fecha_inicio]]="","","S"&amp;IF(_xlfn.ISOWEEKNUM(tblOrdenes[[#This Row],[fecha_inicio]])=53,1,_xlfn.ISOWEEKNUM(tblOrdenes[[#This Row],[fecha_inicio]])))</f>
        <v/>
      </c>
      <c r="P115" s="3">
        <f>IF(tblOrdenes[[#This Row],[fecha_inicio]]="","",YEAR(tblOrdenes[[#This Row],[fecha_inicio]]))</f>
        <v/>
      </c>
      <c r="Q115" s="3">
        <f>IF(tblOrdenes[[#This Row],[fecha_inicio]]="","",MONTH(tblOrdenes[[#This Row],[fecha_inicio]]))</f>
        <v/>
      </c>
      <c r="R115" s="3">
        <f>IF(tblOrdenes[[#This Row],[fecha_inicio]]="","",INDEX(lista_dias,WEEKDAY(tblOrdenes[[#This Row],[fecha_inicio]],2)))</f>
        <v/>
      </c>
      <c r="S115" s="3">
        <f>_xlfn.XLOOKUP(tblOrdenes[[#This Row],[tipo_ot]],tblTiposOT[codigo],tblTiposOT[clasificacion],"sin_clasificar")</f>
        <v/>
      </c>
      <c r="T115" s="3">
        <f>_xlfn.XLOOKUP(tblOrdenes[[#This Row],[centro_costo]],tblCECO[codigo],tblCECO[linea],"(sin catálogo)")</f>
        <v/>
      </c>
      <c r="U115" s="3">
        <f>_xlfn.XLOOKUP(tblOrdenes[[#This Row],[centro_costo]],tblCECO[codigo],tblCECO[area],"(sin catálogo)")</f>
        <v/>
      </c>
      <c r="V115" s="3">
        <f>_xlfn.XLOOKUP(tblOrdenes[[#This Row],[centro_costo]],tblCECO[codigo],tblCECO[coordinador],"(sin catálogo)")</f>
        <v/>
      </c>
      <c r="W115" s="3">
        <f>_xlfn.XLOOKUP(tblOrdenes[[#This Row],[puesto_trabajo]],tblPuestos[codigo],tblPuestos[especialidad],"(sin catálogo)")</f>
        <v/>
      </c>
      <c r="X115" s="3">
        <f>_xlfn.XLOOKUP(tblOrdenes[[#This Row],[cod_actividad]],tblActividades[codigo],tblActividades[descripcion],"(sin catálogo)")</f>
        <v/>
      </c>
      <c r="Y115" s="12">
        <f>IF(tblOrdenes[[#This Row],[fecha_inicio]]="","",TODAY()-tblOrdenes[[#This Row],[fecha_inicio]])</f>
        <v/>
      </c>
      <c r="Z115" s="3">
        <f>IF(tblOrdenes[[#This Row],[backlog_dias]]="","",IF(tblOrdenes[[#This Row],[backlog_dias]]&lt;0,"FUTURO",IF(tblOrdenes[[#This Row],[backlog_dias]]&gt;p_dias_backlog_max,"BACKLOG","MES CORRIENTE")))</f>
        <v/>
      </c>
      <c r="AA115" s="3">
        <f>IF(tblOrdenes[[#This Row],[backlog_dias]]="",FALSE,AND(tblOrdenes[[#This Row],[backlog_dias]]&gt;p_dias_backlog_min,tblOrdenes[[#This Row],[backlog_dias]]&lt;=p_dias_backlog_max))</f>
        <v/>
      </c>
      <c r="AB115" s="6" t="inlineStr">
        <is>
          <t>Técnico 10</t>
        </is>
      </c>
      <c r="AC11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5" s="10">
        <f>_xlfn.XLOOKUP(tblOrdenes[[#This Row],[id_operacion]],tblEjecucion[id_operacion],tblEjecucion[precio],0)</f>
        <v/>
      </c>
      <c r="AE115" s="10">
        <f>MAX(0,_xlfn.XLOOKUP(tblOrdenes[[#This Row],[id_operacion]],tblEjecucion[id_operacion],tblEjecucion[costo_plan_total],0)-tblOrdenes[[#This Row],[costo_servicio]])</f>
        <v/>
      </c>
      <c r="AF115" s="10">
        <f>tblOrdenes[[#This Row],[costo_servicio]]+tblOrdenes[[#This Row],[costo_materiales]]</f>
        <v/>
      </c>
      <c r="AG115" s="6" t="inlineStr"/>
      <c r="AH115" s="6" t="inlineStr"/>
      <c r="AI115" s="6" t="inlineStr">
        <is>
          <t>ACT-02.pdf</t>
        </is>
      </c>
      <c r="AJ115" s="3">
        <f>IF(tblOrdenes[[#This Row],[link_checklist]]="","",HYPERLINK(p_ruta_base_checklists&amp;tblOrdenes[[#This Row],[link_checklist]],"abrir"))</f>
        <v/>
      </c>
      <c r="AK115" s="6" t="inlineStr"/>
    </row>
    <row r="116">
      <c r="A116" s="3" t="inlineStr">
        <is>
          <t>OT-000113</t>
        </is>
      </c>
      <c r="B116" s="3" t="inlineStr">
        <is>
          <t>0010</t>
        </is>
      </c>
      <c r="C116" s="3">
        <f>tblOrdenes[[#This Row],[orden]]&amp;IF(tblOrdenes[[#This Row],[operacion]]="","0010",tblOrdenes[[#This Row],[operacion]])</f>
        <v/>
      </c>
      <c r="D116" s="3" t="inlineStr">
        <is>
          <t>Análisis predictivo — EQ-107</t>
        </is>
      </c>
      <c r="E116" s="3" t="inlineStr">
        <is>
          <t>Análisis predictivo en EQ-107</t>
        </is>
      </c>
      <c r="F116" s="3" t="inlineStr">
        <is>
          <t>EQ-107</t>
        </is>
      </c>
      <c r="G116" s="3" t="inlineStr">
        <is>
          <t>CC-210</t>
        </is>
      </c>
      <c r="H116" s="3" t="inlineStr">
        <is>
          <t>PU-OP</t>
        </is>
      </c>
      <c r="I116" s="3" t="inlineStr">
        <is>
          <t>ACT-04</t>
        </is>
      </c>
      <c r="J116" s="3" t="inlineStr">
        <is>
          <t>TIPO-P2</t>
        </is>
      </c>
      <c r="K116" s="11" t="n">
        <v>46218</v>
      </c>
      <c r="L116" s="3" t="n">
        <v>8</v>
      </c>
      <c r="M116" s="10" t="n">
        <v>200</v>
      </c>
      <c r="N116" s="3">
        <f>_xlfn.XLOOKUP(_xlfn.XLOOKUP(tblOrdenes[[#This Row],[id_operacion]],tblEjecucion[id_operacion],tblEjecucion[estado_sistema],""),tblEstados[estado_sistema],tblEstados[estado_normalizado],"Pendiente")</f>
        <v/>
      </c>
      <c r="O116" s="3">
        <f>IF(tblOrdenes[[#This Row],[fecha_inicio]]="","","S"&amp;IF(_xlfn.ISOWEEKNUM(tblOrdenes[[#This Row],[fecha_inicio]])=53,1,_xlfn.ISOWEEKNUM(tblOrdenes[[#This Row],[fecha_inicio]])))</f>
        <v/>
      </c>
      <c r="P116" s="3">
        <f>IF(tblOrdenes[[#This Row],[fecha_inicio]]="","",YEAR(tblOrdenes[[#This Row],[fecha_inicio]]))</f>
        <v/>
      </c>
      <c r="Q116" s="3">
        <f>IF(tblOrdenes[[#This Row],[fecha_inicio]]="","",MONTH(tblOrdenes[[#This Row],[fecha_inicio]]))</f>
        <v/>
      </c>
      <c r="R116" s="3">
        <f>IF(tblOrdenes[[#This Row],[fecha_inicio]]="","",INDEX(lista_dias,WEEKDAY(tblOrdenes[[#This Row],[fecha_inicio]],2)))</f>
        <v/>
      </c>
      <c r="S116" s="3">
        <f>_xlfn.XLOOKUP(tblOrdenes[[#This Row],[tipo_ot]],tblTiposOT[codigo],tblTiposOT[clasificacion],"sin_clasificar")</f>
        <v/>
      </c>
      <c r="T116" s="3">
        <f>_xlfn.XLOOKUP(tblOrdenes[[#This Row],[centro_costo]],tblCECO[codigo],tblCECO[linea],"(sin catálogo)")</f>
        <v/>
      </c>
      <c r="U116" s="3">
        <f>_xlfn.XLOOKUP(tblOrdenes[[#This Row],[centro_costo]],tblCECO[codigo],tblCECO[area],"(sin catálogo)")</f>
        <v/>
      </c>
      <c r="V116" s="3">
        <f>_xlfn.XLOOKUP(tblOrdenes[[#This Row],[centro_costo]],tblCECO[codigo],tblCECO[coordinador],"(sin catálogo)")</f>
        <v/>
      </c>
      <c r="W116" s="3">
        <f>_xlfn.XLOOKUP(tblOrdenes[[#This Row],[puesto_trabajo]],tblPuestos[codigo],tblPuestos[especialidad],"(sin catálogo)")</f>
        <v/>
      </c>
      <c r="X116" s="3">
        <f>_xlfn.XLOOKUP(tblOrdenes[[#This Row],[cod_actividad]],tblActividades[codigo],tblActividades[descripcion],"(sin catálogo)")</f>
        <v/>
      </c>
      <c r="Y116" s="12">
        <f>IF(tblOrdenes[[#This Row],[fecha_inicio]]="","",TODAY()-tblOrdenes[[#This Row],[fecha_inicio]])</f>
        <v/>
      </c>
      <c r="Z116" s="3">
        <f>IF(tblOrdenes[[#This Row],[backlog_dias]]="","",IF(tblOrdenes[[#This Row],[backlog_dias]]&lt;0,"FUTURO",IF(tblOrdenes[[#This Row],[backlog_dias]]&gt;p_dias_backlog_max,"BACKLOG","MES CORRIENTE")))</f>
        <v/>
      </c>
      <c r="AA116" s="3">
        <f>IF(tblOrdenes[[#This Row],[backlog_dias]]="",FALSE,AND(tblOrdenes[[#This Row],[backlog_dias]]&gt;p_dias_backlog_min,tblOrdenes[[#This Row],[backlog_dias]]&lt;=p_dias_backlog_max))</f>
        <v/>
      </c>
      <c r="AB116" s="6" t="inlineStr">
        <is>
          <t>Técnico 11</t>
        </is>
      </c>
      <c r="AC11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6" s="10">
        <f>_xlfn.XLOOKUP(tblOrdenes[[#This Row],[id_operacion]],tblEjecucion[id_operacion],tblEjecucion[precio],0)</f>
        <v/>
      </c>
      <c r="AE116" s="10">
        <f>MAX(0,_xlfn.XLOOKUP(tblOrdenes[[#This Row],[id_operacion]],tblEjecucion[id_operacion],tblEjecucion[costo_plan_total],0)-tblOrdenes[[#This Row],[costo_servicio]])</f>
        <v/>
      </c>
      <c r="AF116" s="10">
        <f>tblOrdenes[[#This Row],[costo_servicio]]+tblOrdenes[[#This Row],[costo_materiales]]</f>
        <v/>
      </c>
      <c r="AG116" s="6" t="inlineStr"/>
      <c r="AH116" s="6" t="inlineStr"/>
      <c r="AI116" s="6" t="inlineStr">
        <is>
          <t>ACT-04.pdf</t>
        </is>
      </c>
      <c r="AJ116" s="3">
        <f>IF(tblOrdenes[[#This Row],[link_checklist]]="","",HYPERLINK(p_ruta_base_checklists&amp;tblOrdenes[[#This Row],[link_checklist]],"abrir"))</f>
        <v/>
      </c>
      <c r="AK116" s="6" t="inlineStr"/>
    </row>
    <row r="117">
      <c r="A117" s="3" t="inlineStr">
        <is>
          <t>OT-000114</t>
        </is>
      </c>
      <c r="B117" s="3" t="inlineStr">
        <is>
          <t>0010</t>
        </is>
      </c>
      <c r="C117" s="3">
        <f>tblOrdenes[[#This Row],[orden]]&amp;IF(tblOrdenes[[#This Row],[operacion]]="","0010",tblOrdenes[[#This Row],[operacion]])</f>
        <v/>
      </c>
      <c r="D117" s="3" t="inlineStr">
        <is>
          <t>Inspección de rutina — EQ-110</t>
        </is>
      </c>
      <c r="E117" s="3" t="inlineStr">
        <is>
          <t>Inspección de rutina en EQ-110</t>
        </is>
      </c>
      <c r="F117" s="3" t="inlineStr">
        <is>
          <t>EQ-110</t>
        </is>
      </c>
      <c r="G117" s="3" t="inlineStr">
        <is>
          <t>CC-320</t>
        </is>
      </c>
      <c r="H117" s="3" t="inlineStr">
        <is>
          <t>PU-OP</t>
        </is>
      </c>
      <c r="I117" s="3" t="inlineStr">
        <is>
          <t>ACT-01</t>
        </is>
      </c>
      <c r="J117" s="3" t="inlineStr">
        <is>
          <t>TIPO-P1</t>
        </is>
      </c>
      <c r="K117" s="11" t="n">
        <v>46219</v>
      </c>
      <c r="L117" s="3" t="n">
        <v>6</v>
      </c>
      <c r="M117" s="10" t="n">
        <v>150</v>
      </c>
      <c r="N117" s="3">
        <f>_xlfn.XLOOKUP(_xlfn.XLOOKUP(tblOrdenes[[#This Row],[id_operacion]],tblEjecucion[id_operacion],tblEjecucion[estado_sistema],""),tblEstados[estado_sistema],tblEstados[estado_normalizado],"Pendiente")</f>
        <v/>
      </c>
      <c r="O117" s="3">
        <f>IF(tblOrdenes[[#This Row],[fecha_inicio]]="","","S"&amp;IF(_xlfn.ISOWEEKNUM(tblOrdenes[[#This Row],[fecha_inicio]])=53,1,_xlfn.ISOWEEKNUM(tblOrdenes[[#This Row],[fecha_inicio]])))</f>
        <v/>
      </c>
      <c r="P117" s="3">
        <f>IF(tblOrdenes[[#This Row],[fecha_inicio]]="","",YEAR(tblOrdenes[[#This Row],[fecha_inicio]]))</f>
        <v/>
      </c>
      <c r="Q117" s="3">
        <f>IF(tblOrdenes[[#This Row],[fecha_inicio]]="","",MONTH(tblOrdenes[[#This Row],[fecha_inicio]]))</f>
        <v/>
      </c>
      <c r="R117" s="3">
        <f>IF(tblOrdenes[[#This Row],[fecha_inicio]]="","",INDEX(lista_dias,WEEKDAY(tblOrdenes[[#This Row],[fecha_inicio]],2)))</f>
        <v/>
      </c>
      <c r="S117" s="3">
        <f>_xlfn.XLOOKUP(tblOrdenes[[#This Row],[tipo_ot]],tblTiposOT[codigo],tblTiposOT[clasificacion],"sin_clasificar")</f>
        <v/>
      </c>
      <c r="T117" s="3">
        <f>_xlfn.XLOOKUP(tblOrdenes[[#This Row],[centro_costo]],tblCECO[codigo],tblCECO[linea],"(sin catálogo)")</f>
        <v/>
      </c>
      <c r="U117" s="3">
        <f>_xlfn.XLOOKUP(tblOrdenes[[#This Row],[centro_costo]],tblCECO[codigo],tblCECO[area],"(sin catálogo)")</f>
        <v/>
      </c>
      <c r="V117" s="3">
        <f>_xlfn.XLOOKUP(tblOrdenes[[#This Row],[centro_costo]],tblCECO[codigo],tblCECO[coordinador],"(sin catálogo)")</f>
        <v/>
      </c>
      <c r="W117" s="3">
        <f>_xlfn.XLOOKUP(tblOrdenes[[#This Row],[puesto_trabajo]],tblPuestos[codigo],tblPuestos[especialidad],"(sin catálogo)")</f>
        <v/>
      </c>
      <c r="X117" s="3">
        <f>_xlfn.XLOOKUP(tblOrdenes[[#This Row],[cod_actividad]],tblActividades[codigo],tblActividades[descripcion],"(sin catálogo)")</f>
        <v/>
      </c>
      <c r="Y117" s="12">
        <f>IF(tblOrdenes[[#This Row],[fecha_inicio]]="","",TODAY()-tblOrdenes[[#This Row],[fecha_inicio]])</f>
        <v/>
      </c>
      <c r="Z117" s="3">
        <f>IF(tblOrdenes[[#This Row],[backlog_dias]]="","",IF(tblOrdenes[[#This Row],[backlog_dias]]&lt;0,"FUTURO",IF(tblOrdenes[[#This Row],[backlog_dias]]&gt;p_dias_backlog_max,"BACKLOG","MES CORRIENTE")))</f>
        <v/>
      </c>
      <c r="AA117" s="3">
        <f>IF(tblOrdenes[[#This Row],[backlog_dias]]="",FALSE,AND(tblOrdenes[[#This Row],[backlog_dias]]&gt;p_dias_backlog_min,tblOrdenes[[#This Row],[backlog_dias]]&lt;=p_dias_backlog_max))</f>
        <v/>
      </c>
      <c r="AB117" s="6" t="inlineStr">
        <is>
          <t>Técnico 12</t>
        </is>
      </c>
      <c r="AC11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7" s="10">
        <f>_xlfn.XLOOKUP(tblOrdenes[[#This Row],[id_operacion]],tblEjecucion[id_operacion],tblEjecucion[precio],0)</f>
        <v/>
      </c>
      <c r="AE117" s="10">
        <f>MAX(0,_xlfn.XLOOKUP(tblOrdenes[[#This Row],[id_operacion]],tblEjecucion[id_operacion],tblEjecucion[costo_plan_total],0)-tblOrdenes[[#This Row],[costo_servicio]])</f>
        <v/>
      </c>
      <c r="AF117" s="10">
        <f>tblOrdenes[[#This Row],[costo_servicio]]+tblOrdenes[[#This Row],[costo_materiales]]</f>
        <v/>
      </c>
      <c r="AG117" s="6" t="inlineStr"/>
      <c r="AH117" s="6" t="inlineStr"/>
      <c r="AI117" s="6" t="inlineStr">
        <is>
          <t>ACT-01.pdf</t>
        </is>
      </c>
      <c r="AJ117" s="3">
        <f>IF(tblOrdenes[[#This Row],[link_checklist]]="","",HYPERLINK(p_ruta_base_checklists&amp;tblOrdenes[[#This Row],[link_checklist]],"abrir"))</f>
        <v/>
      </c>
      <c r="AK117" s="6" t="inlineStr"/>
    </row>
    <row r="118">
      <c r="A118" s="3" t="inlineStr">
        <is>
          <t>OT-000115</t>
        </is>
      </c>
      <c r="B118" s="3" t="inlineStr">
        <is>
          <t>0010</t>
        </is>
      </c>
      <c r="C118" s="3">
        <f>tblOrdenes[[#This Row],[orden]]&amp;IF(tblOrdenes[[#This Row],[operacion]]="","0010",tblOrdenes[[#This Row],[operacion]])</f>
        <v/>
      </c>
      <c r="D118" s="3" t="inlineStr">
        <is>
          <t>Lubricación programada — EQ-101</t>
        </is>
      </c>
      <c r="E118" s="3" t="inlineStr">
        <is>
          <t>Lubricación programada en EQ-101</t>
        </is>
      </c>
      <c r="F118" s="3" t="inlineStr">
        <is>
          <t>EQ-101</t>
        </is>
      </c>
      <c r="G118" s="3" t="inlineStr">
        <is>
          <t>CC-120</t>
        </is>
      </c>
      <c r="H118" s="3" t="inlineStr">
        <is>
          <t>PU-OP</t>
        </is>
      </c>
      <c r="I118" s="3" t="inlineStr">
        <is>
          <t>ACT-02</t>
        </is>
      </c>
      <c r="J118" s="3" t="inlineStr">
        <is>
          <t>TIPO-P2</t>
        </is>
      </c>
      <c r="K118" s="11" t="n">
        <v>46220</v>
      </c>
      <c r="L118" s="3" t="n">
        <v>10</v>
      </c>
      <c r="M118" s="10" t="n">
        <v>250</v>
      </c>
      <c r="N118" s="3">
        <f>_xlfn.XLOOKUP(_xlfn.XLOOKUP(tblOrdenes[[#This Row],[id_operacion]],tblEjecucion[id_operacion],tblEjecucion[estado_sistema],""),tblEstados[estado_sistema],tblEstados[estado_normalizado],"Pendiente")</f>
        <v/>
      </c>
      <c r="O118" s="3">
        <f>IF(tblOrdenes[[#This Row],[fecha_inicio]]="","","S"&amp;IF(_xlfn.ISOWEEKNUM(tblOrdenes[[#This Row],[fecha_inicio]])=53,1,_xlfn.ISOWEEKNUM(tblOrdenes[[#This Row],[fecha_inicio]])))</f>
        <v/>
      </c>
      <c r="P118" s="3">
        <f>IF(tblOrdenes[[#This Row],[fecha_inicio]]="","",YEAR(tblOrdenes[[#This Row],[fecha_inicio]]))</f>
        <v/>
      </c>
      <c r="Q118" s="3">
        <f>IF(tblOrdenes[[#This Row],[fecha_inicio]]="","",MONTH(tblOrdenes[[#This Row],[fecha_inicio]]))</f>
        <v/>
      </c>
      <c r="R118" s="3">
        <f>IF(tblOrdenes[[#This Row],[fecha_inicio]]="","",INDEX(lista_dias,WEEKDAY(tblOrdenes[[#This Row],[fecha_inicio]],2)))</f>
        <v/>
      </c>
      <c r="S118" s="3">
        <f>_xlfn.XLOOKUP(tblOrdenes[[#This Row],[tipo_ot]],tblTiposOT[codigo],tblTiposOT[clasificacion],"sin_clasificar")</f>
        <v/>
      </c>
      <c r="T118" s="3">
        <f>_xlfn.XLOOKUP(tblOrdenes[[#This Row],[centro_costo]],tblCECO[codigo],tblCECO[linea],"(sin catálogo)")</f>
        <v/>
      </c>
      <c r="U118" s="3">
        <f>_xlfn.XLOOKUP(tblOrdenes[[#This Row],[centro_costo]],tblCECO[codigo],tblCECO[area],"(sin catálogo)")</f>
        <v/>
      </c>
      <c r="V118" s="3">
        <f>_xlfn.XLOOKUP(tblOrdenes[[#This Row],[centro_costo]],tblCECO[codigo],tblCECO[coordinador],"(sin catálogo)")</f>
        <v/>
      </c>
      <c r="W118" s="3">
        <f>_xlfn.XLOOKUP(tblOrdenes[[#This Row],[puesto_trabajo]],tblPuestos[codigo],tblPuestos[especialidad],"(sin catálogo)")</f>
        <v/>
      </c>
      <c r="X118" s="3">
        <f>_xlfn.XLOOKUP(tblOrdenes[[#This Row],[cod_actividad]],tblActividades[codigo],tblActividades[descripcion],"(sin catálogo)")</f>
        <v/>
      </c>
      <c r="Y118" s="12">
        <f>IF(tblOrdenes[[#This Row],[fecha_inicio]]="","",TODAY()-tblOrdenes[[#This Row],[fecha_inicio]])</f>
        <v/>
      </c>
      <c r="Z118" s="3">
        <f>IF(tblOrdenes[[#This Row],[backlog_dias]]="","",IF(tblOrdenes[[#This Row],[backlog_dias]]&lt;0,"FUTURO",IF(tblOrdenes[[#This Row],[backlog_dias]]&gt;p_dias_backlog_max,"BACKLOG","MES CORRIENTE")))</f>
        <v/>
      </c>
      <c r="AA118" s="3">
        <f>IF(tblOrdenes[[#This Row],[backlog_dias]]="",FALSE,AND(tblOrdenes[[#This Row],[backlog_dias]]&gt;p_dias_backlog_min,tblOrdenes[[#This Row],[backlog_dias]]&lt;=p_dias_backlog_max))</f>
        <v/>
      </c>
      <c r="AB118" s="6" t="inlineStr">
        <is>
          <t>Técnico 10</t>
        </is>
      </c>
      <c r="AC11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8" s="10">
        <f>_xlfn.XLOOKUP(tblOrdenes[[#This Row],[id_operacion]],tblEjecucion[id_operacion],tblEjecucion[precio],0)</f>
        <v/>
      </c>
      <c r="AE118" s="10">
        <f>MAX(0,_xlfn.XLOOKUP(tblOrdenes[[#This Row],[id_operacion]],tblEjecucion[id_operacion],tblEjecucion[costo_plan_total],0)-tblOrdenes[[#This Row],[costo_servicio]])</f>
        <v/>
      </c>
      <c r="AF118" s="10">
        <f>tblOrdenes[[#This Row],[costo_servicio]]+tblOrdenes[[#This Row],[costo_materiales]]</f>
        <v/>
      </c>
      <c r="AG118" s="6" t="inlineStr"/>
      <c r="AH118" s="6" t="inlineStr"/>
      <c r="AI118" s="6" t="inlineStr">
        <is>
          <t>ACT-02.pdf</t>
        </is>
      </c>
      <c r="AJ118" s="3">
        <f>IF(tblOrdenes[[#This Row],[link_checklist]]="","",HYPERLINK(p_ruta_base_checklists&amp;tblOrdenes[[#This Row],[link_checklist]],"abrir"))</f>
        <v/>
      </c>
      <c r="AK118" s="6" t="inlineStr"/>
    </row>
    <row r="119">
      <c r="A119" s="3" t="inlineStr">
        <is>
          <t>OT-000116</t>
        </is>
      </c>
      <c r="B119" s="3" t="inlineStr">
        <is>
          <t>0010</t>
        </is>
      </c>
      <c r="C119" s="3">
        <f>tblOrdenes[[#This Row],[orden]]&amp;IF(tblOrdenes[[#This Row],[operacion]]="","0010",tblOrdenes[[#This Row],[operacion]])</f>
        <v/>
      </c>
      <c r="D119" s="3" t="inlineStr">
        <is>
          <t>Análisis predictivo — EQ-106</t>
        </is>
      </c>
      <c r="E119" s="3" t="inlineStr">
        <is>
          <t>Análisis predictivo en EQ-106</t>
        </is>
      </c>
      <c r="F119" s="3" t="inlineStr">
        <is>
          <t>EQ-106</t>
        </is>
      </c>
      <c r="G119" s="3" t="inlineStr">
        <is>
          <t>CC-210</t>
        </is>
      </c>
      <c r="H119" s="3" t="inlineStr">
        <is>
          <t>PU-OP</t>
        </is>
      </c>
      <c r="I119" s="3" t="inlineStr">
        <is>
          <t>ACT-04</t>
        </is>
      </c>
      <c r="J119" s="3" t="inlineStr">
        <is>
          <t>TIPO-P1</t>
        </is>
      </c>
      <c r="K119" s="11" t="n">
        <v>46216</v>
      </c>
      <c r="L119" s="3" t="n">
        <v>2</v>
      </c>
      <c r="M119" s="10" t="n">
        <v>50</v>
      </c>
      <c r="N119" s="3">
        <f>_xlfn.XLOOKUP(_xlfn.XLOOKUP(tblOrdenes[[#This Row],[id_operacion]],tblEjecucion[id_operacion],tblEjecucion[estado_sistema],""),tblEstados[estado_sistema],tblEstados[estado_normalizado],"Pendiente")</f>
        <v/>
      </c>
      <c r="O119" s="3">
        <f>IF(tblOrdenes[[#This Row],[fecha_inicio]]="","","S"&amp;IF(_xlfn.ISOWEEKNUM(tblOrdenes[[#This Row],[fecha_inicio]])=53,1,_xlfn.ISOWEEKNUM(tblOrdenes[[#This Row],[fecha_inicio]])))</f>
        <v/>
      </c>
      <c r="P119" s="3">
        <f>IF(tblOrdenes[[#This Row],[fecha_inicio]]="","",YEAR(tblOrdenes[[#This Row],[fecha_inicio]]))</f>
        <v/>
      </c>
      <c r="Q119" s="3">
        <f>IF(tblOrdenes[[#This Row],[fecha_inicio]]="","",MONTH(tblOrdenes[[#This Row],[fecha_inicio]]))</f>
        <v/>
      </c>
      <c r="R119" s="3">
        <f>IF(tblOrdenes[[#This Row],[fecha_inicio]]="","",INDEX(lista_dias,WEEKDAY(tblOrdenes[[#This Row],[fecha_inicio]],2)))</f>
        <v/>
      </c>
      <c r="S119" s="3">
        <f>_xlfn.XLOOKUP(tblOrdenes[[#This Row],[tipo_ot]],tblTiposOT[codigo],tblTiposOT[clasificacion],"sin_clasificar")</f>
        <v/>
      </c>
      <c r="T119" s="3">
        <f>_xlfn.XLOOKUP(tblOrdenes[[#This Row],[centro_costo]],tblCECO[codigo],tblCECO[linea],"(sin catálogo)")</f>
        <v/>
      </c>
      <c r="U119" s="3">
        <f>_xlfn.XLOOKUP(tblOrdenes[[#This Row],[centro_costo]],tblCECO[codigo],tblCECO[area],"(sin catálogo)")</f>
        <v/>
      </c>
      <c r="V119" s="3">
        <f>_xlfn.XLOOKUP(tblOrdenes[[#This Row],[centro_costo]],tblCECO[codigo],tblCECO[coordinador],"(sin catálogo)")</f>
        <v/>
      </c>
      <c r="W119" s="3">
        <f>_xlfn.XLOOKUP(tblOrdenes[[#This Row],[puesto_trabajo]],tblPuestos[codigo],tblPuestos[especialidad],"(sin catálogo)")</f>
        <v/>
      </c>
      <c r="X119" s="3">
        <f>_xlfn.XLOOKUP(tblOrdenes[[#This Row],[cod_actividad]],tblActividades[codigo],tblActividades[descripcion],"(sin catálogo)")</f>
        <v/>
      </c>
      <c r="Y119" s="12">
        <f>IF(tblOrdenes[[#This Row],[fecha_inicio]]="","",TODAY()-tblOrdenes[[#This Row],[fecha_inicio]])</f>
        <v/>
      </c>
      <c r="Z119" s="3">
        <f>IF(tblOrdenes[[#This Row],[backlog_dias]]="","",IF(tblOrdenes[[#This Row],[backlog_dias]]&lt;0,"FUTURO",IF(tblOrdenes[[#This Row],[backlog_dias]]&gt;p_dias_backlog_max,"BACKLOG","MES CORRIENTE")))</f>
        <v/>
      </c>
      <c r="AA119" s="3">
        <f>IF(tblOrdenes[[#This Row],[backlog_dias]]="",FALSE,AND(tblOrdenes[[#This Row],[backlog_dias]]&gt;p_dias_backlog_min,tblOrdenes[[#This Row],[backlog_dias]]&lt;=p_dias_backlog_max))</f>
        <v/>
      </c>
      <c r="AB119" s="6" t="inlineStr">
        <is>
          <t>Técnico 11</t>
        </is>
      </c>
      <c r="AC11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9" s="10">
        <f>_xlfn.XLOOKUP(tblOrdenes[[#This Row],[id_operacion]],tblEjecucion[id_operacion],tblEjecucion[precio],0)</f>
        <v/>
      </c>
      <c r="AE119" s="10">
        <f>MAX(0,_xlfn.XLOOKUP(tblOrdenes[[#This Row],[id_operacion]],tblEjecucion[id_operacion],tblEjecucion[costo_plan_total],0)-tblOrdenes[[#This Row],[costo_servicio]])</f>
        <v/>
      </c>
      <c r="AF119" s="10">
        <f>tblOrdenes[[#This Row],[costo_servicio]]+tblOrdenes[[#This Row],[costo_materiales]]</f>
        <v/>
      </c>
      <c r="AG119" s="6" t="inlineStr"/>
      <c r="AH119" s="6" t="inlineStr"/>
      <c r="AI119" s="6" t="inlineStr">
        <is>
          <t>ACT-04.pdf</t>
        </is>
      </c>
      <c r="AJ119" s="3">
        <f>IF(tblOrdenes[[#This Row],[link_checklist]]="","",HYPERLINK(p_ruta_base_checklists&amp;tblOrdenes[[#This Row],[link_checklist]],"abrir"))</f>
        <v/>
      </c>
      <c r="AK119" s="6" t="inlineStr"/>
    </row>
    <row r="120">
      <c r="A120" s="3" t="inlineStr">
        <is>
          <t>OT-000117</t>
        </is>
      </c>
      <c r="B120" s="3" t="inlineStr">
        <is>
          <t>0010</t>
        </is>
      </c>
      <c r="C120" s="3">
        <f>tblOrdenes[[#This Row],[orden]]&amp;IF(tblOrdenes[[#This Row],[operacion]]="","0010",tblOrdenes[[#This Row],[operacion]])</f>
        <v/>
      </c>
      <c r="D120" s="3" t="inlineStr">
        <is>
          <t>Reparación de falla — EQ-110</t>
        </is>
      </c>
      <c r="E120" s="3" t="inlineStr">
        <is>
          <t>Reparación de falla en EQ-110</t>
        </is>
      </c>
      <c r="F120" s="3" t="inlineStr">
        <is>
          <t>EQ-110</t>
        </is>
      </c>
      <c r="G120" s="3" t="inlineStr">
        <is>
          <t>CC-320</t>
        </is>
      </c>
      <c r="H120" s="3" t="inlineStr">
        <is>
          <t>PU-OP</t>
        </is>
      </c>
      <c r="I120" s="3" t="inlineStr">
        <is>
          <t>ACT-03</t>
        </is>
      </c>
      <c r="J120" s="3" t="inlineStr">
        <is>
          <t>TIPO-C2</t>
        </is>
      </c>
      <c r="K120" s="11" t="n">
        <v>46217</v>
      </c>
      <c r="L120" s="3" t="n">
        <v>9</v>
      </c>
      <c r="M120" s="10" t="n">
        <v>360</v>
      </c>
      <c r="N120" s="3">
        <f>_xlfn.XLOOKUP(_xlfn.XLOOKUP(tblOrdenes[[#This Row],[id_operacion]],tblEjecucion[id_operacion],tblEjecucion[estado_sistema],""),tblEstados[estado_sistema],tblEstados[estado_normalizado],"Pendiente")</f>
        <v/>
      </c>
      <c r="O120" s="3">
        <f>IF(tblOrdenes[[#This Row],[fecha_inicio]]="","","S"&amp;IF(_xlfn.ISOWEEKNUM(tblOrdenes[[#This Row],[fecha_inicio]])=53,1,_xlfn.ISOWEEKNUM(tblOrdenes[[#This Row],[fecha_inicio]])))</f>
        <v/>
      </c>
      <c r="P120" s="3">
        <f>IF(tblOrdenes[[#This Row],[fecha_inicio]]="","",YEAR(tblOrdenes[[#This Row],[fecha_inicio]]))</f>
        <v/>
      </c>
      <c r="Q120" s="3">
        <f>IF(tblOrdenes[[#This Row],[fecha_inicio]]="","",MONTH(tblOrdenes[[#This Row],[fecha_inicio]]))</f>
        <v/>
      </c>
      <c r="R120" s="3">
        <f>IF(tblOrdenes[[#This Row],[fecha_inicio]]="","",INDEX(lista_dias,WEEKDAY(tblOrdenes[[#This Row],[fecha_inicio]],2)))</f>
        <v/>
      </c>
      <c r="S120" s="3">
        <f>_xlfn.XLOOKUP(tblOrdenes[[#This Row],[tipo_ot]],tblTiposOT[codigo],tblTiposOT[clasificacion],"sin_clasificar")</f>
        <v/>
      </c>
      <c r="T120" s="3">
        <f>_xlfn.XLOOKUP(tblOrdenes[[#This Row],[centro_costo]],tblCECO[codigo],tblCECO[linea],"(sin catálogo)")</f>
        <v/>
      </c>
      <c r="U120" s="3">
        <f>_xlfn.XLOOKUP(tblOrdenes[[#This Row],[centro_costo]],tblCECO[codigo],tblCECO[area],"(sin catálogo)")</f>
        <v/>
      </c>
      <c r="V120" s="3">
        <f>_xlfn.XLOOKUP(tblOrdenes[[#This Row],[centro_costo]],tblCECO[codigo],tblCECO[coordinador],"(sin catálogo)")</f>
        <v/>
      </c>
      <c r="W120" s="3">
        <f>_xlfn.XLOOKUP(tblOrdenes[[#This Row],[puesto_trabajo]],tblPuestos[codigo],tblPuestos[especialidad],"(sin catálogo)")</f>
        <v/>
      </c>
      <c r="X120" s="3">
        <f>_xlfn.XLOOKUP(tblOrdenes[[#This Row],[cod_actividad]],tblActividades[codigo],tblActividades[descripcion],"(sin catálogo)")</f>
        <v/>
      </c>
      <c r="Y120" s="12">
        <f>IF(tblOrdenes[[#This Row],[fecha_inicio]]="","",TODAY()-tblOrdenes[[#This Row],[fecha_inicio]])</f>
        <v/>
      </c>
      <c r="Z120" s="3">
        <f>IF(tblOrdenes[[#This Row],[backlog_dias]]="","",IF(tblOrdenes[[#This Row],[backlog_dias]]&lt;0,"FUTURO",IF(tblOrdenes[[#This Row],[backlog_dias]]&gt;p_dias_backlog_max,"BACKLOG","MES CORRIENTE")))</f>
        <v/>
      </c>
      <c r="AA120" s="3">
        <f>IF(tblOrdenes[[#This Row],[backlog_dias]]="",FALSE,AND(tblOrdenes[[#This Row],[backlog_dias]]&gt;p_dias_backlog_min,tblOrdenes[[#This Row],[backlog_dias]]&lt;=p_dias_backlog_max))</f>
        <v/>
      </c>
      <c r="AB120" s="6" t="inlineStr">
        <is>
          <t>Técnico 12</t>
        </is>
      </c>
      <c r="AC12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0" s="10">
        <f>_xlfn.XLOOKUP(tblOrdenes[[#This Row],[id_operacion]],tblEjecucion[id_operacion],tblEjecucion[precio],0)</f>
        <v/>
      </c>
      <c r="AE120" s="10">
        <f>MAX(0,_xlfn.XLOOKUP(tblOrdenes[[#This Row],[id_operacion]],tblEjecucion[id_operacion],tblEjecucion[costo_plan_total],0)-tblOrdenes[[#This Row],[costo_servicio]])</f>
        <v/>
      </c>
      <c r="AF120" s="10">
        <f>tblOrdenes[[#This Row],[costo_servicio]]+tblOrdenes[[#This Row],[costo_materiales]]</f>
        <v/>
      </c>
      <c r="AG120" s="6" t="inlineStr"/>
      <c r="AH120" s="6" t="inlineStr"/>
      <c r="AI120" s="6" t="inlineStr"/>
      <c r="AJ120" s="3">
        <f>IF(tblOrdenes[[#This Row],[link_checklist]]="","",HYPERLINK(p_ruta_base_checklists&amp;tblOrdenes[[#This Row],[link_checklist]],"abrir"))</f>
        <v/>
      </c>
      <c r="AK120" s="6" t="inlineStr"/>
    </row>
    <row r="121">
      <c r="A121" s="3" t="inlineStr">
        <is>
          <t>OT-000118</t>
        </is>
      </c>
      <c r="B121" s="3" t="inlineStr">
        <is>
          <t>0010</t>
        </is>
      </c>
      <c r="C121" s="3">
        <f>tblOrdenes[[#This Row],[orden]]&amp;IF(tblOrdenes[[#This Row],[operacion]]="","0010",tblOrdenes[[#This Row],[operacion]])</f>
        <v/>
      </c>
      <c r="D121" s="3" t="inlineStr">
        <is>
          <t>Lubricación programada — EQ-104</t>
        </is>
      </c>
      <c r="E121" s="3" t="inlineStr">
        <is>
          <t>Lubricación programada en EQ-104</t>
        </is>
      </c>
      <c r="F121" s="3" t="inlineStr">
        <is>
          <t>EQ-104</t>
        </is>
      </c>
      <c r="G121" s="3" t="inlineStr">
        <is>
          <t>CC-120</t>
        </is>
      </c>
      <c r="H121" s="3" t="inlineStr">
        <is>
          <t>PU-OP</t>
        </is>
      </c>
      <c r="I121" s="3" t="inlineStr">
        <is>
          <t>ACT-02</t>
        </is>
      </c>
      <c r="J121" s="3" t="inlineStr">
        <is>
          <t>TIPO-P1</t>
        </is>
      </c>
      <c r="K121" s="11" t="n">
        <v>46225</v>
      </c>
      <c r="L121" s="3" t="n">
        <v>10</v>
      </c>
      <c r="M121" s="10" t="n">
        <v>250</v>
      </c>
      <c r="N121" s="3">
        <f>_xlfn.XLOOKUP(_xlfn.XLOOKUP(tblOrdenes[[#This Row],[id_operacion]],tblEjecucion[id_operacion],tblEjecucion[estado_sistema],""),tblEstados[estado_sistema],tblEstados[estado_normalizado],"Pendiente")</f>
        <v/>
      </c>
      <c r="O121" s="3">
        <f>IF(tblOrdenes[[#This Row],[fecha_inicio]]="","","S"&amp;IF(_xlfn.ISOWEEKNUM(tblOrdenes[[#This Row],[fecha_inicio]])=53,1,_xlfn.ISOWEEKNUM(tblOrdenes[[#This Row],[fecha_inicio]])))</f>
        <v/>
      </c>
      <c r="P121" s="3">
        <f>IF(tblOrdenes[[#This Row],[fecha_inicio]]="","",YEAR(tblOrdenes[[#This Row],[fecha_inicio]]))</f>
        <v/>
      </c>
      <c r="Q121" s="3">
        <f>IF(tblOrdenes[[#This Row],[fecha_inicio]]="","",MONTH(tblOrdenes[[#This Row],[fecha_inicio]]))</f>
        <v/>
      </c>
      <c r="R121" s="3">
        <f>IF(tblOrdenes[[#This Row],[fecha_inicio]]="","",INDEX(lista_dias,WEEKDAY(tblOrdenes[[#This Row],[fecha_inicio]],2)))</f>
        <v/>
      </c>
      <c r="S121" s="3">
        <f>_xlfn.XLOOKUP(tblOrdenes[[#This Row],[tipo_ot]],tblTiposOT[codigo],tblTiposOT[clasificacion],"sin_clasificar")</f>
        <v/>
      </c>
      <c r="T121" s="3">
        <f>_xlfn.XLOOKUP(tblOrdenes[[#This Row],[centro_costo]],tblCECO[codigo],tblCECO[linea],"(sin catálogo)")</f>
        <v/>
      </c>
      <c r="U121" s="3">
        <f>_xlfn.XLOOKUP(tblOrdenes[[#This Row],[centro_costo]],tblCECO[codigo],tblCECO[area],"(sin catálogo)")</f>
        <v/>
      </c>
      <c r="V121" s="3">
        <f>_xlfn.XLOOKUP(tblOrdenes[[#This Row],[centro_costo]],tblCECO[codigo],tblCECO[coordinador],"(sin catálogo)")</f>
        <v/>
      </c>
      <c r="W121" s="3">
        <f>_xlfn.XLOOKUP(tblOrdenes[[#This Row],[puesto_trabajo]],tblPuestos[codigo],tblPuestos[especialidad],"(sin catálogo)")</f>
        <v/>
      </c>
      <c r="X121" s="3">
        <f>_xlfn.XLOOKUP(tblOrdenes[[#This Row],[cod_actividad]],tblActividades[codigo],tblActividades[descripcion],"(sin catálogo)")</f>
        <v/>
      </c>
      <c r="Y121" s="12">
        <f>IF(tblOrdenes[[#This Row],[fecha_inicio]]="","",TODAY()-tblOrdenes[[#This Row],[fecha_inicio]])</f>
        <v/>
      </c>
      <c r="Z121" s="3">
        <f>IF(tblOrdenes[[#This Row],[backlog_dias]]="","",IF(tblOrdenes[[#This Row],[backlog_dias]]&lt;0,"FUTURO",IF(tblOrdenes[[#This Row],[backlog_dias]]&gt;p_dias_backlog_max,"BACKLOG","MES CORRIENTE")))</f>
        <v/>
      </c>
      <c r="AA121" s="3">
        <f>IF(tblOrdenes[[#This Row],[backlog_dias]]="",FALSE,AND(tblOrdenes[[#This Row],[backlog_dias]]&gt;p_dias_backlog_min,tblOrdenes[[#This Row],[backlog_dias]]&lt;=p_dias_backlog_max))</f>
        <v/>
      </c>
      <c r="AB121" s="6" t="inlineStr">
        <is>
          <t>Técnico 10</t>
        </is>
      </c>
      <c r="AC12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1" s="10">
        <f>_xlfn.XLOOKUP(tblOrdenes[[#This Row],[id_operacion]],tblEjecucion[id_operacion],tblEjecucion[precio],0)</f>
        <v/>
      </c>
      <c r="AE121" s="10">
        <f>MAX(0,_xlfn.XLOOKUP(tblOrdenes[[#This Row],[id_operacion]],tblEjecucion[id_operacion],tblEjecucion[costo_plan_total],0)-tblOrdenes[[#This Row],[costo_servicio]])</f>
        <v/>
      </c>
      <c r="AF121" s="10">
        <f>tblOrdenes[[#This Row],[costo_servicio]]+tblOrdenes[[#This Row],[costo_materiales]]</f>
        <v/>
      </c>
      <c r="AG121" s="6" t="inlineStr"/>
      <c r="AH121" s="6" t="inlineStr"/>
      <c r="AI121" s="6" t="inlineStr">
        <is>
          <t>ACT-02.pdf</t>
        </is>
      </c>
      <c r="AJ121" s="3">
        <f>IF(tblOrdenes[[#This Row],[link_checklist]]="","",HYPERLINK(p_ruta_base_checklists&amp;tblOrdenes[[#This Row],[link_checklist]],"abrir"))</f>
        <v/>
      </c>
      <c r="AK121" s="6" t="inlineStr"/>
    </row>
    <row r="122">
      <c r="A122" s="3" t="inlineStr">
        <is>
          <t>OT-000119</t>
        </is>
      </c>
      <c r="B122" s="3" t="inlineStr">
        <is>
          <t>0010</t>
        </is>
      </c>
      <c r="C122" s="3">
        <f>tblOrdenes[[#This Row],[orden]]&amp;IF(tblOrdenes[[#This Row],[operacion]]="","0010",tblOrdenes[[#This Row],[operacion]])</f>
        <v/>
      </c>
      <c r="D122" s="3" t="inlineStr">
        <is>
          <t>Análisis predictivo — EQ-109</t>
        </is>
      </c>
      <c r="E122" s="3" t="inlineStr">
        <is>
          <t>Análisis predictivo en EQ-109</t>
        </is>
      </c>
      <c r="F122" s="3" t="inlineStr">
        <is>
          <t>EQ-109</t>
        </is>
      </c>
      <c r="G122" s="3" t="inlineStr">
        <is>
          <t>CC-210</t>
        </is>
      </c>
      <c r="H122" s="3" t="inlineStr">
        <is>
          <t>PU-OP</t>
        </is>
      </c>
      <c r="I122" s="3" t="inlineStr">
        <is>
          <t>ACT-04</t>
        </is>
      </c>
      <c r="J122" s="3" t="inlineStr">
        <is>
          <t>TIPO-P2</t>
        </is>
      </c>
      <c r="K122" s="11" t="n">
        <v>46226</v>
      </c>
      <c r="L122" s="3" t="n">
        <v>8</v>
      </c>
      <c r="M122" s="10" t="n">
        <v>200</v>
      </c>
      <c r="N122" s="3">
        <f>_xlfn.XLOOKUP(_xlfn.XLOOKUP(tblOrdenes[[#This Row],[id_operacion]],tblEjecucion[id_operacion],tblEjecucion[estado_sistema],""),tblEstados[estado_sistema],tblEstados[estado_normalizado],"Pendiente")</f>
        <v/>
      </c>
      <c r="O122" s="3">
        <f>IF(tblOrdenes[[#This Row],[fecha_inicio]]="","","S"&amp;IF(_xlfn.ISOWEEKNUM(tblOrdenes[[#This Row],[fecha_inicio]])=53,1,_xlfn.ISOWEEKNUM(tblOrdenes[[#This Row],[fecha_inicio]])))</f>
        <v/>
      </c>
      <c r="P122" s="3">
        <f>IF(tblOrdenes[[#This Row],[fecha_inicio]]="","",YEAR(tblOrdenes[[#This Row],[fecha_inicio]]))</f>
        <v/>
      </c>
      <c r="Q122" s="3">
        <f>IF(tblOrdenes[[#This Row],[fecha_inicio]]="","",MONTH(tblOrdenes[[#This Row],[fecha_inicio]]))</f>
        <v/>
      </c>
      <c r="R122" s="3">
        <f>IF(tblOrdenes[[#This Row],[fecha_inicio]]="","",INDEX(lista_dias,WEEKDAY(tblOrdenes[[#This Row],[fecha_inicio]],2)))</f>
        <v/>
      </c>
      <c r="S122" s="3">
        <f>_xlfn.XLOOKUP(tblOrdenes[[#This Row],[tipo_ot]],tblTiposOT[codigo],tblTiposOT[clasificacion],"sin_clasificar")</f>
        <v/>
      </c>
      <c r="T122" s="3">
        <f>_xlfn.XLOOKUP(tblOrdenes[[#This Row],[centro_costo]],tblCECO[codigo],tblCECO[linea],"(sin catálogo)")</f>
        <v/>
      </c>
      <c r="U122" s="3">
        <f>_xlfn.XLOOKUP(tblOrdenes[[#This Row],[centro_costo]],tblCECO[codigo],tblCECO[area],"(sin catálogo)")</f>
        <v/>
      </c>
      <c r="V122" s="3">
        <f>_xlfn.XLOOKUP(tblOrdenes[[#This Row],[centro_costo]],tblCECO[codigo],tblCECO[coordinador],"(sin catálogo)")</f>
        <v/>
      </c>
      <c r="W122" s="3">
        <f>_xlfn.XLOOKUP(tblOrdenes[[#This Row],[puesto_trabajo]],tblPuestos[codigo],tblPuestos[especialidad],"(sin catálogo)")</f>
        <v/>
      </c>
      <c r="X122" s="3">
        <f>_xlfn.XLOOKUP(tblOrdenes[[#This Row],[cod_actividad]],tblActividades[codigo],tblActividades[descripcion],"(sin catálogo)")</f>
        <v/>
      </c>
      <c r="Y122" s="12">
        <f>IF(tblOrdenes[[#This Row],[fecha_inicio]]="","",TODAY()-tblOrdenes[[#This Row],[fecha_inicio]])</f>
        <v/>
      </c>
      <c r="Z122" s="3">
        <f>IF(tblOrdenes[[#This Row],[backlog_dias]]="","",IF(tblOrdenes[[#This Row],[backlog_dias]]&lt;0,"FUTURO",IF(tblOrdenes[[#This Row],[backlog_dias]]&gt;p_dias_backlog_max,"BACKLOG","MES CORRIENTE")))</f>
        <v/>
      </c>
      <c r="AA122" s="3">
        <f>IF(tblOrdenes[[#This Row],[backlog_dias]]="",FALSE,AND(tblOrdenes[[#This Row],[backlog_dias]]&gt;p_dias_backlog_min,tblOrdenes[[#This Row],[backlog_dias]]&lt;=p_dias_backlog_max))</f>
        <v/>
      </c>
      <c r="AB122" s="6" t="inlineStr">
        <is>
          <t>Técnico 11</t>
        </is>
      </c>
      <c r="AC12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2" s="10">
        <f>_xlfn.XLOOKUP(tblOrdenes[[#This Row],[id_operacion]],tblEjecucion[id_operacion],tblEjecucion[precio],0)</f>
        <v/>
      </c>
      <c r="AE122" s="10">
        <f>MAX(0,_xlfn.XLOOKUP(tblOrdenes[[#This Row],[id_operacion]],tblEjecucion[id_operacion],tblEjecucion[costo_plan_total],0)-tblOrdenes[[#This Row],[costo_servicio]])</f>
        <v/>
      </c>
      <c r="AF122" s="10">
        <f>tblOrdenes[[#This Row],[costo_servicio]]+tblOrdenes[[#This Row],[costo_materiales]]</f>
        <v/>
      </c>
      <c r="AG122" s="6" t="inlineStr"/>
      <c r="AH122" s="6" t="inlineStr"/>
      <c r="AI122" s="6" t="inlineStr">
        <is>
          <t>ACT-04.pdf</t>
        </is>
      </c>
      <c r="AJ122" s="3">
        <f>IF(tblOrdenes[[#This Row],[link_checklist]]="","",HYPERLINK(p_ruta_base_checklists&amp;tblOrdenes[[#This Row],[link_checklist]],"abrir"))</f>
        <v/>
      </c>
      <c r="AK122" s="6" t="inlineStr"/>
    </row>
    <row r="123">
      <c r="A123" s="3" t="inlineStr">
        <is>
          <t>OT-000120</t>
        </is>
      </c>
      <c r="B123" s="3" t="inlineStr">
        <is>
          <t>0010</t>
        </is>
      </c>
      <c r="C123" s="3">
        <f>tblOrdenes[[#This Row],[orden]]&amp;IF(tblOrdenes[[#This Row],[operacion]]="","0010",tblOrdenes[[#This Row],[operacion]])</f>
        <v/>
      </c>
      <c r="D123" s="3" t="inlineStr">
        <is>
          <t>Inspección de rutina — EQ-110</t>
        </is>
      </c>
      <c r="E123" s="3" t="inlineStr">
        <is>
          <t>Inspección de rutina en EQ-110</t>
        </is>
      </c>
      <c r="F123" s="3" t="inlineStr">
        <is>
          <t>EQ-110</t>
        </is>
      </c>
      <c r="G123" s="3" t="inlineStr">
        <is>
          <t>CC-320</t>
        </is>
      </c>
      <c r="H123" s="3" t="inlineStr">
        <is>
          <t>PU-OP</t>
        </is>
      </c>
      <c r="I123" s="3" t="inlineStr">
        <is>
          <t>ACT-01</t>
        </is>
      </c>
      <c r="J123" s="3" t="inlineStr">
        <is>
          <t>TIPO-P1</t>
        </is>
      </c>
      <c r="K123" s="11" t="n">
        <v>46227</v>
      </c>
      <c r="L123" s="3" t="n">
        <v>10</v>
      </c>
      <c r="M123" s="10" t="n">
        <v>250</v>
      </c>
      <c r="N123" s="3">
        <f>_xlfn.XLOOKUP(_xlfn.XLOOKUP(tblOrdenes[[#This Row],[id_operacion]],tblEjecucion[id_operacion],tblEjecucion[estado_sistema],""),tblEstados[estado_sistema],tblEstados[estado_normalizado],"Pendiente")</f>
        <v/>
      </c>
      <c r="O123" s="3">
        <f>IF(tblOrdenes[[#This Row],[fecha_inicio]]="","","S"&amp;IF(_xlfn.ISOWEEKNUM(tblOrdenes[[#This Row],[fecha_inicio]])=53,1,_xlfn.ISOWEEKNUM(tblOrdenes[[#This Row],[fecha_inicio]])))</f>
        <v/>
      </c>
      <c r="P123" s="3">
        <f>IF(tblOrdenes[[#This Row],[fecha_inicio]]="","",YEAR(tblOrdenes[[#This Row],[fecha_inicio]]))</f>
        <v/>
      </c>
      <c r="Q123" s="3">
        <f>IF(tblOrdenes[[#This Row],[fecha_inicio]]="","",MONTH(tblOrdenes[[#This Row],[fecha_inicio]]))</f>
        <v/>
      </c>
      <c r="R123" s="3">
        <f>IF(tblOrdenes[[#This Row],[fecha_inicio]]="","",INDEX(lista_dias,WEEKDAY(tblOrdenes[[#This Row],[fecha_inicio]],2)))</f>
        <v/>
      </c>
      <c r="S123" s="3">
        <f>_xlfn.XLOOKUP(tblOrdenes[[#This Row],[tipo_ot]],tblTiposOT[codigo],tblTiposOT[clasificacion],"sin_clasificar")</f>
        <v/>
      </c>
      <c r="T123" s="3">
        <f>_xlfn.XLOOKUP(tblOrdenes[[#This Row],[centro_costo]],tblCECO[codigo],tblCECO[linea],"(sin catálogo)")</f>
        <v/>
      </c>
      <c r="U123" s="3">
        <f>_xlfn.XLOOKUP(tblOrdenes[[#This Row],[centro_costo]],tblCECO[codigo],tblCECO[area],"(sin catálogo)")</f>
        <v/>
      </c>
      <c r="V123" s="3">
        <f>_xlfn.XLOOKUP(tblOrdenes[[#This Row],[centro_costo]],tblCECO[codigo],tblCECO[coordinador],"(sin catálogo)")</f>
        <v/>
      </c>
      <c r="W123" s="3">
        <f>_xlfn.XLOOKUP(tblOrdenes[[#This Row],[puesto_trabajo]],tblPuestos[codigo],tblPuestos[especialidad],"(sin catálogo)")</f>
        <v/>
      </c>
      <c r="X123" s="3">
        <f>_xlfn.XLOOKUP(tblOrdenes[[#This Row],[cod_actividad]],tblActividades[codigo],tblActividades[descripcion],"(sin catálogo)")</f>
        <v/>
      </c>
      <c r="Y123" s="12">
        <f>IF(tblOrdenes[[#This Row],[fecha_inicio]]="","",TODAY()-tblOrdenes[[#This Row],[fecha_inicio]])</f>
        <v/>
      </c>
      <c r="Z123" s="3">
        <f>IF(tblOrdenes[[#This Row],[backlog_dias]]="","",IF(tblOrdenes[[#This Row],[backlog_dias]]&lt;0,"FUTURO",IF(tblOrdenes[[#This Row],[backlog_dias]]&gt;p_dias_backlog_max,"BACKLOG","MES CORRIENTE")))</f>
        <v/>
      </c>
      <c r="AA123" s="3">
        <f>IF(tblOrdenes[[#This Row],[backlog_dias]]="",FALSE,AND(tblOrdenes[[#This Row],[backlog_dias]]&gt;p_dias_backlog_min,tblOrdenes[[#This Row],[backlog_dias]]&lt;=p_dias_backlog_max))</f>
        <v/>
      </c>
      <c r="AB123" s="6" t="inlineStr"/>
      <c r="AC12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3" s="10">
        <f>_xlfn.XLOOKUP(tblOrdenes[[#This Row],[id_operacion]],tblEjecucion[id_operacion],tblEjecucion[precio],0)</f>
        <v/>
      </c>
      <c r="AE123" s="10">
        <f>MAX(0,_xlfn.XLOOKUP(tblOrdenes[[#This Row],[id_operacion]],tblEjecucion[id_operacion],tblEjecucion[costo_plan_total],0)-tblOrdenes[[#This Row],[costo_servicio]])</f>
        <v/>
      </c>
      <c r="AF123" s="10">
        <f>tblOrdenes[[#This Row],[costo_servicio]]+tblOrdenes[[#This Row],[costo_materiales]]</f>
        <v/>
      </c>
      <c r="AG123" s="6" t="inlineStr"/>
      <c r="AH123" s="6" t="inlineStr"/>
      <c r="AI123" s="6" t="inlineStr">
        <is>
          <t>ACT-01.pdf</t>
        </is>
      </c>
      <c r="AJ123" s="3">
        <f>IF(tblOrdenes[[#This Row],[link_checklist]]="","",HYPERLINK(p_ruta_base_checklists&amp;tblOrdenes[[#This Row],[link_checklist]],"abrir"))</f>
        <v/>
      </c>
      <c r="AK123" s="6" t="inlineStr"/>
    </row>
    <row r="124">
      <c r="A124" s="3" t="inlineStr">
        <is>
          <t>OT-000121</t>
        </is>
      </c>
      <c r="B124" s="3" t="inlineStr">
        <is>
          <t>0010</t>
        </is>
      </c>
      <c r="C124" s="3">
        <f>tblOrdenes[[#This Row],[orden]]&amp;IF(tblOrdenes[[#This Row],[operacion]]="","0010",tblOrdenes[[#This Row],[operacion]])</f>
        <v/>
      </c>
      <c r="D124" s="3" t="inlineStr">
        <is>
          <t>Reparación de falla — EQ-102</t>
        </is>
      </c>
      <c r="E124" s="3" t="inlineStr">
        <is>
          <t>Reparación de falla en EQ-102</t>
        </is>
      </c>
      <c r="F124" s="3" t="inlineStr">
        <is>
          <t>EQ-102</t>
        </is>
      </c>
      <c r="G124" s="3" t="inlineStr">
        <is>
          <t>CC-120</t>
        </is>
      </c>
      <c r="H124" s="3" t="inlineStr">
        <is>
          <t>PU-OP</t>
        </is>
      </c>
      <c r="I124" s="3" t="inlineStr">
        <is>
          <t>ACT-03</t>
        </is>
      </c>
      <c r="J124" s="3" t="inlineStr">
        <is>
          <t>TIPO-C2</t>
        </is>
      </c>
      <c r="K124" s="11" t="n">
        <v>46223</v>
      </c>
      <c r="L124" s="3" t="n">
        <v>7</v>
      </c>
      <c r="M124" s="10" t="n">
        <v>280</v>
      </c>
      <c r="N124" s="3">
        <f>_xlfn.XLOOKUP(_xlfn.XLOOKUP(tblOrdenes[[#This Row],[id_operacion]],tblEjecucion[id_operacion],tblEjecucion[estado_sistema],""),tblEstados[estado_sistema],tblEstados[estado_normalizado],"Pendiente")</f>
        <v/>
      </c>
      <c r="O124" s="3">
        <f>IF(tblOrdenes[[#This Row],[fecha_inicio]]="","","S"&amp;IF(_xlfn.ISOWEEKNUM(tblOrdenes[[#This Row],[fecha_inicio]])=53,1,_xlfn.ISOWEEKNUM(tblOrdenes[[#This Row],[fecha_inicio]])))</f>
        <v/>
      </c>
      <c r="P124" s="3">
        <f>IF(tblOrdenes[[#This Row],[fecha_inicio]]="","",YEAR(tblOrdenes[[#This Row],[fecha_inicio]]))</f>
        <v/>
      </c>
      <c r="Q124" s="3">
        <f>IF(tblOrdenes[[#This Row],[fecha_inicio]]="","",MONTH(tblOrdenes[[#This Row],[fecha_inicio]]))</f>
        <v/>
      </c>
      <c r="R124" s="3">
        <f>IF(tblOrdenes[[#This Row],[fecha_inicio]]="","",INDEX(lista_dias,WEEKDAY(tblOrdenes[[#This Row],[fecha_inicio]],2)))</f>
        <v/>
      </c>
      <c r="S124" s="3">
        <f>_xlfn.XLOOKUP(tblOrdenes[[#This Row],[tipo_ot]],tblTiposOT[codigo],tblTiposOT[clasificacion],"sin_clasificar")</f>
        <v/>
      </c>
      <c r="T124" s="3">
        <f>_xlfn.XLOOKUP(tblOrdenes[[#This Row],[centro_costo]],tblCECO[codigo],tblCECO[linea],"(sin catálogo)")</f>
        <v/>
      </c>
      <c r="U124" s="3">
        <f>_xlfn.XLOOKUP(tblOrdenes[[#This Row],[centro_costo]],tblCECO[codigo],tblCECO[area],"(sin catálogo)")</f>
        <v/>
      </c>
      <c r="V124" s="3">
        <f>_xlfn.XLOOKUP(tblOrdenes[[#This Row],[centro_costo]],tblCECO[codigo],tblCECO[coordinador],"(sin catálogo)")</f>
        <v/>
      </c>
      <c r="W124" s="3">
        <f>_xlfn.XLOOKUP(tblOrdenes[[#This Row],[puesto_trabajo]],tblPuestos[codigo],tblPuestos[especialidad],"(sin catálogo)")</f>
        <v/>
      </c>
      <c r="X124" s="3">
        <f>_xlfn.XLOOKUP(tblOrdenes[[#This Row],[cod_actividad]],tblActividades[codigo],tblActividades[descripcion],"(sin catálogo)")</f>
        <v/>
      </c>
      <c r="Y124" s="12">
        <f>IF(tblOrdenes[[#This Row],[fecha_inicio]]="","",TODAY()-tblOrdenes[[#This Row],[fecha_inicio]])</f>
        <v/>
      </c>
      <c r="Z124" s="3">
        <f>IF(tblOrdenes[[#This Row],[backlog_dias]]="","",IF(tblOrdenes[[#This Row],[backlog_dias]]&lt;0,"FUTURO",IF(tblOrdenes[[#This Row],[backlog_dias]]&gt;p_dias_backlog_max,"BACKLOG","MES CORRIENTE")))</f>
        <v/>
      </c>
      <c r="AA124" s="3">
        <f>IF(tblOrdenes[[#This Row],[backlog_dias]]="",FALSE,AND(tblOrdenes[[#This Row],[backlog_dias]]&gt;p_dias_backlog_min,tblOrdenes[[#This Row],[backlog_dias]]&lt;=p_dias_backlog_max))</f>
        <v/>
      </c>
      <c r="AB124" s="6" t="inlineStr">
        <is>
          <t>Técnico 10</t>
        </is>
      </c>
      <c r="AC12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4" s="10">
        <f>_xlfn.XLOOKUP(tblOrdenes[[#This Row],[id_operacion]],tblEjecucion[id_operacion],tblEjecucion[precio],0)</f>
        <v/>
      </c>
      <c r="AE124" s="10">
        <f>MAX(0,_xlfn.XLOOKUP(tblOrdenes[[#This Row],[id_operacion]],tblEjecucion[id_operacion],tblEjecucion[costo_plan_total],0)-tblOrdenes[[#This Row],[costo_servicio]])</f>
        <v/>
      </c>
      <c r="AF124" s="10">
        <f>tblOrdenes[[#This Row],[costo_servicio]]+tblOrdenes[[#This Row],[costo_materiales]]</f>
        <v/>
      </c>
      <c r="AG124" s="6" t="inlineStr"/>
      <c r="AH124" s="6" t="inlineStr"/>
      <c r="AI124" s="6" t="inlineStr"/>
      <c r="AJ124" s="3">
        <f>IF(tblOrdenes[[#This Row],[link_checklist]]="","",HYPERLINK(p_ruta_base_checklists&amp;tblOrdenes[[#This Row],[link_checklist]],"abrir"))</f>
        <v/>
      </c>
      <c r="AK124" s="6" t="inlineStr"/>
    </row>
    <row r="125">
      <c r="A125" s="3" t="inlineStr">
        <is>
          <t>OT-000122</t>
        </is>
      </c>
      <c r="B125" s="3" t="inlineStr">
        <is>
          <t>0010</t>
        </is>
      </c>
      <c r="C125" s="3">
        <f>tblOrdenes[[#This Row],[orden]]&amp;IF(tblOrdenes[[#This Row],[operacion]]="","0010",tblOrdenes[[#This Row],[operacion]])</f>
        <v/>
      </c>
      <c r="D125" s="3" t="inlineStr">
        <is>
          <t>Análisis predictivo — EQ-108</t>
        </is>
      </c>
      <c r="E125" s="3" t="inlineStr">
        <is>
          <t>Análisis predictivo en EQ-108</t>
        </is>
      </c>
      <c r="F125" s="3" t="inlineStr">
        <is>
          <t>EQ-108</t>
        </is>
      </c>
      <c r="G125" s="3" t="inlineStr">
        <is>
          <t>CC-210</t>
        </is>
      </c>
      <c r="H125" s="3" t="inlineStr">
        <is>
          <t>PU-OP</t>
        </is>
      </c>
      <c r="I125" s="3" t="inlineStr">
        <is>
          <t>ACT-04</t>
        </is>
      </c>
      <c r="J125" s="3" t="inlineStr">
        <is>
          <t>TIPO-P1</t>
        </is>
      </c>
      <c r="K125" s="11" t="n">
        <v>46231</v>
      </c>
      <c r="L125" s="3" t="n">
        <v>10</v>
      </c>
      <c r="M125" s="10" t="n">
        <v>250</v>
      </c>
      <c r="N125" s="3">
        <f>_xlfn.XLOOKUP(_xlfn.XLOOKUP(tblOrdenes[[#This Row],[id_operacion]],tblEjecucion[id_operacion],tblEjecucion[estado_sistema],""),tblEstados[estado_sistema],tblEstados[estado_normalizado],"Pendiente")</f>
        <v/>
      </c>
      <c r="O125" s="3">
        <f>IF(tblOrdenes[[#This Row],[fecha_inicio]]="","","S"&amp;IF(_xlfn.ISOWEEKNUM(tblOrdenes[[#This Row],[fecha_inicio]])=53,1,_xlfn.ISOWEEKNUM(tblOrdenes[[#This Row],[fecha_inicio]])))</f>
        <v/>
      </c>
      <c r="P125" s="3">
        <f>IF(tblOrdenes[[#This Row],[fecha_inicio]]="","",YEAR(tblOrdenes[[#This Row],[fecha_inicio]]))</f>
        <v/>
      </c>
      <c r="Q125" s="3">
        <f>IF(tblOrdenes[[#This Row],[fecha_inicio]]="","",MONTH(tblOrdenes[[#This Row],[fecha_inicio]]))</f>
        <v/>
      </c>
      <c r="R125" s="3">
        <f>IF(tblOrdenes[[#This Row],[fecha_inicio]]="","",INDEX(lista_dias,WEEKDAY(tblOrdenes[[#This Row],[fecha_inicio]],2)))</f>
        <v/>
      </c>
      <c r="S125" s="3">
        <f>_xlfn.XLOOKUP(tblOrdenes[[#This Row],[tipo_ot]],tblTiposOT[codigo],tblTiposOT[clasificacion],"sin_clasificar")</f>
        <v/>
      </c>
      <c r="T125" s="3">
        <f>_xlfn.XLOOKUP(tblOrdenes[[#This Row],[centro_costo]],tblCECO[codigo],tblCECO[linea],"(sin catálogo)")</f>
        <v/>
      </c>
      <c r="U125" s="3">
        <f>_xlfn.XLOOKUP(tblOrdenes[[#This Row],[centro_costo]],tblCECO[codigo],tblCECO[area],"(sin catálogo)")</f>
        <v/>
      </c>
      <c r="V125" s="3">
        <f>_xlfn.XLOOKUP(tblOrdenes[[#This Row],[centro_costo]],tblCECO[codigo],tblCECO[coordinador],"(sin catálogo)")</f>
        <v/>
      </c>
      <c r="W125" s="3">
        <f>_xlfn.XLOOKUP(tblOrdenes[[#This Row],[puesto_trabajo]],tblPuestos[codigo],tblPuestos[especialidad],"(sin catálogo)")</f>
        <v/>
      </c>
      <c r="X125" s="3">
        <f>_xlfn.XLOOKUP(tblOrdenes[[#This Row],[cod_actividad]],tblActividades[codigo],tblActividades[descripcion],"(sin catálogo)")</f>
        <v/>
      </c>
      <c r="Y125" s="12">
        <f>IF(tblOrdenes[[#This Row],[fecha_inicio]]="","",TODAY()-tblOrdenes[[#This Row],[fecha_inicio]])</f>
        <v/>
      </c>
      <c r="Z125" s="3">
        <f>IF(tblOrdenes[[#This Row],[backlog_dias]]="","",IF(tblOrdenes[[#This Row],[backlog_dias]]&lt;0,"FUTURO",IF(tblOrdenes[[#This Row],[backlog_dias]]&gt;p_dias_backlog_max,"BACKLOG","MES CORRIENTE")))</f>
        <v/>
      </c>
      <c r="AA125" s="3">
        <f>IF(tblOrdenes[[#This Row],[backlog_dias]]="",FALSE,AND(tblOrdenes[[#This Row],[backlog_dias]]&gt;p_dias_backlog_min,tblOrdenes[[#This Row],[backlog_dias]]&lt;=p_dias_backlog_max))</f>
        <v/>
      </c>
      <c r="AB125" s="6" t="inlineStr">
        <is>
          <t>Técnico 11</t>
        </is>
      </c>
      <c r="AC12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5" s="10">
        <f>_xlfn.XLOOKUP(tblOrdenes[[#This Row],[id_operacion]],tblEjecucion[id_operacion],tblEjecucion[precio],0)</f>
        <v/>
      </c>
      <c r="AE125" s="10">
        <f>MAX(0,_xlfn.XLOOKUP(tblOrdenes[[#This Row],[id_operacion]],tblEjecucion[id_operacion],tblEjecucion[costo_plan_total],0)-tblOrdenes[[#This Row],[costo_servicio]])</f>
        <v/>
      </c>
      <c r="AF125" s="10">
        <f>tblOrdenes[[#This Row],[costo_servicio]]+tblOrdenes[[#This Row],[costo_materiales]]</f>
        <v/>
      </c>
      <c r="AG125" s="6" t="inlineStr"/>
      <c r="AH125" s="6" t="inlineStr"/>
      <c r="AI125" s="6" t="inlineStr">
        <is>
          <t>ACT-04.pdf</t>
        </is>
      </c>
      <c r="AJ125" s="3">
        <f>IF(tblOrdenes[[#This Row],[link_checklist]]="","",HYPERLINK(p_ruta_base_checklists&amp;tblOrdenes[[#This Row],[link_checklist]],"abrir"))</f>
        <v/>
      </c>
      <c r="AK125" s="6" t="inlineStr"/>
    </row>
    <row r="126">
      <c r="A126" s="3" t="inlineStr">
        <is>
          <t>OT-000123</t>
        </is>
      </c>
      <c r="B126" s="3" t="inlineStr">
        <is>
          <t>0010</t>
        </is>
      </c>
      <c r="C126" s="3">
        <f>tblOrdenes[[#This Row],[orden]]&amp;IF(tblOrdenes[[#This Row],[operacion]]="","0010",tblOrdenes[[#This Row],[operacion]])</f>
        <v/>
      </c>
      <c r="D126" s="3" t="inlineStr">
        <is>
          <t>Inspección de rutina — EQ-110</t>
        </is>
      </c>
      <c r="E126" s="3" t="inlineStr">
        <is>
          <t>Inspección de rutina en EQ-110</t>
        </is>
      </c>
      <c r="F126" s="3" t="inlineStr">
        <is>
          <t>EQ-110</t>
        </is>
      </c>
      <c r="G126" s="3" t="inlineStr">
        <is>
          <t>CC-320</t>
        </is>
      </c>
      <c r="H126" s="3" t="inlineStr">
        <is>
          <t>PU-OP</t>
        </is>
      </c>
      <c r="I126" s="3" t="inlineStr">
        <is>
          <t>ACT-01</t>
        </is>
      </c>
      <c r="J126" s="3" t="inlineStr">
        <is>
          <t>TIPO-P2</t>
        </is>
      </c>
      <c r="K126" s="11" t="n">
        <v>46232</v>
      </c>
      <c r="L126" s="3" t="n">
        <v>8</v>
      </c>
      <c r="M126" s="10" t="n">
        <v>200</v>
      </c>
      <c r="N126" s="3">
        <f>_xlfn.XLOOKUP(_xlfn.XLOOKUP(tblOrdenes[[#This Row],[id_operacion]],tblEjecucion[id_operacion],tblEjecucion[estado_sistema],""),tblEstados[estado_sistema],tblEstados[estado_normalizado],"Pendiente")</f>
        <v/>
      </c>
      <c r="O126" s="3">
        <f>IF(tblOrdenes[[#This Row],[fecha_inicio]]="","","S"&amp;IF(_xlfn.ISOWEEKNUM(tblOrdenes[[#This Row],[fecha_inicio]])=53,1,_xlfn.ISOWEEKNUM(tblOrdenes[[#This Row],[fecha_inicio]])))</f>
        <v/>
      </c>
      <c r="P126" s="3">
        <f>IF(tblOrdenes[[#This Row],[fecha_inicio]]="","",YEAR(tblOrdenes[[#This Row],[fecha_inicio]]))</f>
        <v/>
      </c>
      <c r="Q126" s="3">
        <f>IF(tblOrdenes[[#This Row],[fecha_inicio]]="","",MONTH(tblOrdenes[[#This Row],[fecha_inicio]]))</f>
        <v/>
      </c>
      <c r="R126" s="3">
        <f>IF(tblOrdenes[[#This Row],[fecha_inicio]]="","",INDEX(lista_dias,WEEKDAY(tblOrdenes[[#This Row],[fecha_inicio]],2)))</f>
        <v/>
      </c>
      <c r="S126" s="3">
        <f>_xlfn.XLOOKUP(tblOrdenes[[#This Row],[tipo_ot]],tblTiposOT[codigo],tblTiposOT[clasificacion],"sin_clasificar")</f>
        <v/>
      </c>
      <c r="T126" s="3">
        <f>_xlfn.XLOOKUP(tblOrdenes[[#This Row],[centro_costo]],tblCECO[codigo],tblCECO[linea],"(sin catálogo)")</f>
        <v/>
      </c>
      <c r="U126" s="3">
        <f>_xlfn.XLOOKUP(tblOrdenes[[#This Row],[centro_costo]],tblCECO[codigo],tblCECO[area],"(sin catálogo)")</f>
        <v/>
      </c>
      <c r="V126" s="3">
        <f>_xlfn.XLOOKUP(tblOrdenes[[#This Row],[centro_costo]],tblCECO[codigo],tblCECO[coordinador],"(sin catálogo)")</f>
        <v/>
      </c>
      <c r="W126" s="3">
        <f>_xlfn.XLOOKUP(tblOrdenes[[#This Row],[puesto_trabajo]],tblPuestos[codigo],tblPuestos[especialidad],"(sin catálogo)")</f>
        <v/>
      </c>
      <c r="X126" s="3">
        <f>_xlfn.XLOOKUP(tblOrdenes[[#This Row],[cod_actividad]],tblActividades[codigo],tblActividades[descripcion],"(sin catálogo)")</f>
        <v/>
      </c>
      <c r="Y126" s="12">
        <f>IF(tblOrdenes[[#This Row],[fecha_inicio]]="","",TODAY()-tblOrdenes[[#This Row],[fecha_inicio]])</f>
        <v/>
      </c>
      <c r="Z126" s="3">
        <f>IF(tblOrdenes[[#This Row],[backlog_dias]]="","",IF(tblOrdenes[[#This Row],[backlog_dias]]&lt;0,"FUTURO",IF(tblOrdenes[[#This Row],[backlog_dias]]&gt;p_dias_backlog_max,"BACKLOG","MES CORRIENTE")))</f>
        <v/>
      </c>
      <c r="AA126" s="3">
        <f>IF(tblOrdenes[[#This Row],[backlog_dias]]="",FALSE,AND(tblOrdenes[[#This Row],[backlog_dias]]&gt;p_dias_backlog_min,tblOrdenes[[#This Row],[backlog_dias]]&lt;=p_dias_backlog_max))</f>
        <v/>
      </c>
      <c r="AB126" s="6" t="inlineStr">
        <is>
          <t>Técnico 12</t>
        </is>
      </c>
      <c r="AC12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6" s="10">
        <f>_xlfn.XLOOKUP(tblOrdenes[[#This Row],[id_operacion]],tblEjecucion[id_operacion],tblEjecucion[precio],0)</f>
        <v/>
      </c>
      <c r="AE126" s="10">
        <f>MAX(0,_xlfn.XLOOKUP(tblOrdenes[[#This Row],[id_operacion]],tblEjecucion[id_operacion],tblEjecucion[costo_plan_total],0)-tblOrdenes[[#This Row],[costo_servicio]])</f>
        <v/>
      </c>
      <c r="AF126" s="10">
        <f>tblOrdenes[[#This Row],[costo_servicio]]+tblOrdenes[[#This Row],[costo_materiales]]</f>
        <v/>
      </c>
      <c r="AG126" s="6" t="inlineStr"/>
      <c r="AH126" s="6" t="inlineStr"/>
      <c r="AI126" s="6" t="inlineStr">
        <is>
          <t>ACT-01.pdf</t>
        </is>
      </c>
      <c r="AJ126" s="3">
        <f>IF(tblOrdenes[[#This Row],[link_checklist]]="","",HYPERLINK(p_ruta_base_checklists&amp;tblOrdenes[[#This Row],[link_checklist]],"abrir"))</f>
        <v/>
      </c>
      <c r="AK126" s="6" t="inlineStr"/>
    </row>
    <row r="127">
      <c r="A127" s="3" t="inlineStr">
        <is>
          <t>OT-000124</t>
        </is>
      </c>
      <c r="B127" s="3" t="inlineStr">
        <is>
          <t>0010</t>
        </is>
      </c>
      <c r="C127" s="3">
        <f>tblOrdenes[[#This Row],[orden]]&amp;IF(tblOrdenes[[#This Row],[operacion]]="","0010",tblOrdenes[[#This Row],[operacion]])</f>
        <v/>
      </c>
      <c r="D127" s="3" t="inlineStr">
        <is>
          <t>Lubricación programada — EQ-105</t>
        </is>
      </c>
      <c r="E127" s="3" t="inlineStr">
        <is>
          <t>Lubricación programada en EQ-105</t>
        </is>
      </c>
      <c r="F127" s="3" t="inlineStr">
        <is>
          <t>EQ-105</t>
        </is>
      </c>
      <c r="G127" s="3" t="inlineStr">
        <is>
          <t>CC-120</t>
        </is>
      </c>
      <c r="H127" s="3" t="inlineStr">
        <is>
          <t>PU-OP</t>
        </is>
      </c>
      <c r="I127" s="3" t="inlineStr">
        <is>
          <t>ACT-02</t>
        </is>
      </c>
      <c r="J127" s="3" t="inlineStr">
        <is>
          <t>TIPO-P1</t>
        </is>
      </c>
      <c r="K127" s="11" t="n">
        <v>46233</v>
      </c>
      <c r="L127" s="3" t="n">
        <v>6</v>
      </c>
      <c r="M127" s="10" t="n">
        <v>150</v>
      </c>
      <c r="N127" s="3">
        <f>_xlfn.XLOOKUP(_xlfn.XLOOKUP(tblOrdenes[[#This Row],[id_operacion]],tblEjecucion[id_operacion],tblEjecucion[estado_sistema],""),tblEstados[estado_sistema],tblEstados[estado_normalizado],"Pendiente")</f>
        <v/>
      </c>
      <c r="O127" s="3">
        <f>IF(tblOrdenes[[#This Row],[fecha_inicio]]="","","S"&amp;IF(_xlfn.ISOWEEKNUM(tblOrdenes[[#This Row],[fecha_inicio]])=53,1,_xlfn.ISOWEEKNUM(tblOrdenes[[#This Row],[fecha_inicio]])))</f>
        <v/>
      </c>
      <c r="P127" s="3">
        <f>IF(tblOrdenes[[#This Row],[fecha_inicio]]="","",YEAR(tblOrdenes[[#This Row],[fecha_inicio]]))</f>
        <v/>
      </c>
      <c r="Q127" s="3">
        <f>IF(tblOrdenes[[#This Row],[fecha_inicio]]="","",MONTH(tblOrdenes[[#This Row],[fecha_inicio]]))</f>
        <v/>
      </c>
      <c r="R127" s="3">
        <f>IF(tblOrdenes[[#This Row],[fecha_inicio]]="","",INDEX(lista_dias,WEEKDAY(tblOrdenes[[#This Row],[fecha_inicio]],2)))</f>
        <v/>
      </c>
      <c r="S127" s="3">
        <f>_xlfn.XLOOKUP(tblOrdenes[[#This Row],[tipo_ot]],tblTiposOT[codigo],tblTiposOT[clasificacion],"sin_clasificar")</f>
        <v/>
      </c>
      <c r="T127" s="3">
        <f>_xlfn.XLOOKUP(tblOrdenes[[#This Row],[centro_costo]],tblCECO[codigo],tblCECO[linea],"(sin catálogo)")</f>
        <v/>
      </c>
      <c r="U127" s="3">
        <f>_xlfn.XLOOKUP(tblOrdenes[[#This Row],[centro_costo]],tblCECO[codigo],tblCECO[area],"(sin catálogo)")</f>
        <v/>
      </c>
      <c r="V127" s="3">
        <f>_xlfn.XLOOKUP(tblOrdenes[[#This Row],[centro_costo]],tblCECO[codigo],tblCECO[coordinador],"(sin catálogo)")</f>
        <v/>
      </c>
      <c r="W127" s="3">
        <f>_xlfn.XLOOKUP(tblOrdenes[[#This Row],[puesto_trabajo]],tblPuestos[codigo],tblPuestos[especialidad],"(sin catálogo)")</f>
        <v/>
      </c>
      <c r="X127" s="3">
        <f>_xlfn.XLOOKUP(tblOrdenes[[#This Row],[cod_actividad]],tblActividades[codigo],tblActividades[descripcion],"(sin catálogo)")</f>
        <v/>
      </c>
      <c r="Y127" s="12">
        <f>IF(tblOrdenes[[#This Row],[fecha_inicio]]="","",TODAY()-tblOrdenes[[#This Row],[fecha_inicio]])</f>
        <v/>
      </c>
      <c r="Z127" s="3">
        <f>IF(tblOrdenes[[#This Row],[backlog_dias]]="","",IF(tblOrdenes[[#This Row],[backlog_dias]]&lt;0,"FUTURO",IF(tblOrdenes[[#This Row],[backlog_dias]]&gt;p_dias_backlog_max,"BACKLOG","MES CORRIENTE")))</f>
        <v/>
      </c>
      <c r="AA127" s="3">
        <f>IF(tblOrdenes[[#This Row],[backlog_dias]]="",FALSE,AND(tblOrdenes[[#This Row],[backlog_dias]]&gt;p_dias_backlog_min,tblOrdenes[[#This Row],[backlog_dias]]&lt;=p_dias_backlog_max))</f>
        <v/>
      </c>
      <c r="AB127" s="6" t="inlineStr">
        <is>
          <t>Técnico 10</t>
        </is>
      </c>
      <c r="AC12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7" s="10">
        <f>_xlfn.XLOOKUP(tblOrdenes[[#This Row],[id_operacion]],tblEjecucion[id_operacion],tblEjecucion[precio],0)</f>
        <v/>
      </c>
      <c r="AE127" s="10">
        <f>MAX(0,_xlfn.XLOOKUP(tblOrdenes[[#This Row],[id_operacion]],tblEjecucion[id_operacion],tblEjecucion[costo_plan_total],0)-tblOrdenes[[#This Row],[costo_servicio]])</f>
        <v/>
      </c>
      <c r="AF127" s="10">
        <f>tblOrdenes[[#This Row],[costo_servicio]]+tblOrdenes[[#This Row],[costo_materiales]]</f>
        <v/>
      </c>
      <c r="AG127" s="6" t="inlineStr"/>
      <c r="AH127" s="6" t="inlineStr"/>
      <c r="AI127" s="6" t="inlineStr">
        <is>
          <t>ACT-02.pdf</t>
        </is>
      </c>
      <c r="AJ127" s="3">
        <f>IF(tblOrdenes[[#This Row],[link_checklist]]="","",HYPERLINK(p_ruta_base_checklists&amp;tblOrdenes[[#This Row],[link_checklist]],"abrir"))</f>
        <v/>
      </c>
      <c r="AK127" s="6" t="inlineStr"/>
    </row>
    <row r="128">
      <c r="A128" s="3" t="inlineStr">
        <is>
          <t>OT-000125</t>
        </is>
      </c>
      <c r="B128" s="3" t="inlineStr">
        <is>
          <t>0010</t>
        </is>
      </c>
      <c r="C128" s="3">
        <f>tblOrdenes[[#This Row],[orden]]&amp;IF(tblOrdenes[[#This Row],[operacion]]="","0010",tblOrdenes[[#This Row],[operacion]])</f>
        <v/>
      </c>
      <c r="D128" s="3" t="inlineStr">
        <is>
          <t>Reparación de falla — EQ-107</t>
        </is>
      </c>
      <c r="E128" s="3" t="inlineStr">
        <is>
          <t>Reparación de falla en EQ-107</t>
        </is>
      </c>
      <c r="F128" s="3" t="inlineStr">
        <is>
          <t>EQ-107</t>
        </is>
      </c>
      <c r="G128" s="3" t="inlineStr">
        <is>
          <t>CC-210</t>
        </is>
      </c>
      <c r="H128" s="3" t="inlineStr">
        <is>
          <t>PU-OP</t>
        </is>
      </c>
      <c r="I128" s="3" t="inlineStr">
        <is>
          <t>ACT-03</t>
        </is>
      </c>
      <c r="J128" s="3" t="inlineStr">
        <is>
          <t>TIPO-C2</t>
        </is>
      </c>
      <c r="K128" s="11" t="n">
        <v>46234</v>
      </c>
      <c r="L128" s="3" t="n">
        <v>6</v>
      </c>
      <c r="M128" s="10" t="n">
        <v>240</v>
      </c>
      <c r="N128" s="3">
        <f>_xlfn.XLOOKUP(_xlfn.XLOOKUP(tblOrdenes[[#This Row],[id_operacion]],tblEjecucion[id_operacion],tblEjecucion[estado_sistema],""),tblEstados[estado_sistema],tblEstados[estado_normalizado],"Pendiente")</f>
        <v/>
      </c>
      <c r="O128" s="3">
        <f>IF(tblOrdenes[[#This Row],[fecha_inicio]]="","","S"&amp;IF(_xlfn.ISOWEEKNUM(tblOrdenes[[#This Row],[fecha_inicio]])=53,1,_xlfn.ISOWEEKNUM(tblOrdenes[[#This Row],[fecha_inicio]])))</f>
        <v/>
      </c>
      <c r="P128" s="3">
        <f>IF(tblOrdenes[[#This Row],[fecha_inicio]]="","",YEAR(tblOrdenes[[#This Row],[fecha_inicio]]))</f>
        <v/>
      </c>
      <c r="Q128" s="3">
        <f>IF(tblOrdenes[[#This Row],[fecha_inicio]]="","",MONTH(tblOrdenes[[#This Row],[fecha_inicio]]))</f>
        <v/>
      </c>
      <c r="R128" s="3">
        <f>IF(tblOrdenes[[#This Row],[fecha_inicio]]="","",INDEX(lista_dias,WEEKDAY(tblOrdenes[[#This Row],[fecha_inicio]],2)))</f>
        <v/>
      </c>
      <c r="S128" s="3">
        <f>_xlfn.XLOOKUP(tblOrdenes[[#This Row],[tipo_ot]],tblTiposOT[codigo],tblTiposOT[clasificacion],"sin_clasificar")</f>
        <v/>
      </c>
      <c r="T128" s="3">
        <f>_xlfn.XLOOKUP(tblOrdenes[[#This Row],[centro_costo]],tblCECO[codigo],tblCECO[linea],"(sin catálogo)")</f>
        <v/>
      </c>
      <c r="U128" s="3">
        <f>_xlfn.XLOOKUP(tblOrdenes[[#This Row],[centro_costo]],tblCECO[codigo],tblCECO[area],"(sin catálogo)")</f>
        <v/>
      </c>
      <c r="V128" s="3">
        <f>_xlfn.XLOOKUP(tblOrdenes[[#This Row],[centro_costo]],tblCECO[codigo],tblCECO[coordinador],"(sin catálogo)")</f>
        <v/>
      </c>
      <c r="W128" s="3">
        <f>_xlfn.XLOOKUP(tblOrdenes[[#This Row],[puesto_trabajo]],tblPuestos[codigo],tblPuestos[especialidad],"(sin catálogo)")</f>
        <v/>
      </c>
      <c r="X128" s="3">
        <f>_xlfn.XLOOKUP(tblOrdenes[[#This Row],[cod_actividad]],tblActividades[codigo],tblActividades[descripcion],"(sin catálogo)")</f>
        <v/>
      </c>
      <c r="Y128" s="12">
        <f>IF(tblOrdenes[[#This Row],[fecha_inicio]]="","",TODAY()-tblOrdenes[[#This Row],[fecha_inicio]])</f>
        <v/>
      </c>
      <c r="Z128" s="3">
        <f>IF(tblOrdenes[[#This Row],[backlog_dias]]="","",IF(tblOrdenes[[#This Row],[backlog_dias]]&lt;0,"FUTURO",IF(tblOrdenes[[#This Row],[backlog_dias]]&gt;p_dias_backlog_max,"BACKLOG","MES CORRIENTE")))</f>
        <v/>
      </c>
      <c r="AA128" s="3">
        <f>IF(tblOrdenes[[#This Row],[backlog_dias]]="",FALSE,AND(tblOrdenes[[#This Row],[backlog_dias]]&gt;p_dias_backlog_min,tblOrdenes[[#This Row],[backlog_dias]]&lt;=p_dias_backlog_max))</f>
        <v/>
      </c>
      <c r="AB128" s="6" t="inlineStr">
        <is>
          <t>Técnico 11</t>
        </is>
      </c>
      <c r="AC12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8" s="10">
        <f>_xlfn.XLOOKUP(tblOrdenes[[#This Row],[id_operacion]],tblEjecucion[id_operacion],tblEjecucion[precio],0)</f>
        <v/>
      </c>
      <c r="AE128" s="10">
        <f>MAX(0,_xlfn.XLOOKUP(tblOrdenes[[#This Row],[id_operacion]],tblEjecucion[id_operacion],tblEjecucion[costo_plan_total],0)-tblOrdenes[[#This Row],[costo_servicio]])</f>
        <v/>
      </c>
      <c r="AF128" s="10">
        <f>tblOrdenes[[#This Row],[costo_servicio]]+tblOrdenes[[#This Row],[costo_materiales]]</f>
        <v/>
      </c>
      <c r="AG128" s="6" t="inlineStr"/>
      <c r="AH128" s="6" t="inlineStr"/>
      <c r="AI128" s="6" t="inlineStr"/>
      <c r="AJ128" s="3">
        <f>IF(tblOrdenes[[#This Row],[link_checklist]]="","",HYPERLINK(p_ruta_base_checklists&amp;tblOrdenes[[#This Row],[link_checklist]],"abrir"))</f>
        <v/>
      </c>
      <c r="AK128" s="6" t="inlineStr"/>
    </row>
    <row r="129">
      <c r="A129" s="3" t="inlineStr">
        <is>
          <t>OT-000126</t>
        </is>
      </c>
      <c r="B129" s="3" t="inlineStr">
        <is>
          <t>0010</t>
        </is>
      </c>
      <c r="C129" s="3">
        <f>tblOrdenes[[#This Row],[orden]]&amp;IF(tblOrdenes[[#This Row],[operacion]]="","0010",tblOrdenes[[#This Row],[operacion]])</f>
        <v/>
      </c>
      <c r="D129" s="3" t="inlineStr">
        <is>
          <t>Certificación legal — EQ-110</t>
        </is>
      </c>
      <c r="E129" s="3" t="inlineStr">
        <is>
          <t>Certificación legal en EQ-110</t>
        </is>
      </c>
      <c r="F129" s="3" t="inlineStr">
        <is>
          <t>EQ-110</t>
        </is>
      </c>
      <c r="G129" s="3" t="inlineStr">
        <is>
          <t>CC-310</t>
        </is>
      </c>
      <c r="H129" s="3" t="inlineStr">
        <is>
          <t>PU-TER</t>
        </is>
      </c>
      <c r="I129" s="3" t="inlineStr">
        <is>
          <t>ACT-05</t>
        </is>
      </c>
      <c r="J129" s="3" t="inlineStr">
        <is>
          <t>TIPO-P2</t>
        </is>
      </c>
      <c r="K129" s="11" t="n">
        <v>46216</v>
      </c>
      <c r="L129" s="3" t="n">
        <v>10</v>
      </c>
      <c r="M129" s="10" t="n">
        <v>250</v>
      </c>
      <c r="N129" s="3">
        <f>_xlfn.XLOOKUP(_xlfn.XLOOKUP(tblOrdenes[[#This Row],[id_operacion]],tblEjecucion[id_operacion],tblEjecucion[estado_sistema],""),tblEstados[estado_sistema],tblEstados[estado_normalizado],"Pendiente")</f>
        <v/>
      </c>
      <c r="O129" s="3">
        <f>IF(tblOrdenes[[#This Row],[fecha_inicio]]="","","S"&amp;IF(_xlfn.ISOWEEKNUM(tblOrdenes[[#This Row],[fecha_inicio]])=53,1,_xlfn.ISOWEEKNUM(tblOrdenes[[#This Row],[fecha_inicio]])))</f>
        <v/>
      </c>
      <c r="P129" s="3">
        <f>IF(tblOrdenes[[#This Row],[fecha_inicio]]="","",YEAR(tblOrdenes[[#This Row],[fecha_inicio]]))</f>
        <v/>
      </c>
      <c r="Q129" s="3">
        <f>IF(tblOrdenes[[#This Row],[fecha_inicio]]="","",MONTH(tblOrdenes[[#This Row],[fecha_inicio]]))</f>
        <v/>
      </c>
      <c r="R129" s="3">
        <f>IF(tblOrdenes[[#This Row],[fecha_inicio]]="","",INDEX(lista_dias,WEEKDAY(tblOrdenes[[#This Row],[fecha_inicio]],2)))</f>
        <v/>
      </c>
      <c r="S129" s="3">
        <f>_xlfn.XLOOKUP(tblOrdenes[[#This Row],[tipo_ot]],tblTiposOT[codigo],tblTiposOT[clasificacion],"sin_clasificar")</f>
        <v/>
      </c>
      <c r="T129" s="3">
        <f>_xlfn.XLOOKUP(tblOrdenes[[#This Row],[centro_costo]],tblCECO[codigo],tblCECO[linea],"(sin catálogo)")</f>
        <v/>
      </c>
      <c r="U129" s="3">
        <f>_xlfn.XLOOKUP(tblOrdenes[[#This Row],[centro_costo]],tblCECO[codigo],tblCECO[area],"(sin catálogo)")</f>
        <v/>
      </c>
      <c r="V129" s="3">
        <f>_xlfn.XLOOKUP(tblOrdenes[[#This Row],[centro_costo]],tblCECO[codigo],tblCECO[coordinador],"(sin catálogo)")</f>
        <v/>
      </c>
      <c r="W129" s="3">
        <f>_xlfn.XLOOKUP(tblOrdenes[[#This Row],[puesto_trabajo]],tblPuestos[codigo],tblPuestos[especialidad],"(sin catálogo)")</f>
        <v/>
      </c>
      <c r="X129" s="3">
        <f>_xlfn.XLOOKUP(tblOrdenes[[#This Row],[cod_actividad]],tblActividades[codigo],tblActividades[descripcion],"(sin catálogo)")</f>
        <v/>
      </c>
      <c r="Y129" s="12">
        <f>IF(tblOrdenes[[#This Row],[fecha_inicio]]="","",TODAY()-tblOrdenes[[#This Row],[fecha_inicio]])</f>
        <v/>
      </c>
      <c r="Z129" s="3">
        <f>IF(tblOrdenes[[#This Row],[backlog_dias]]="","",IF(tblOrdenes[[#This Row],[backlog_dias]]&lt;0,"FUTURO",IF(tblOrdenes[[#This Row],[backlog_dias]]&gt;p_dias_backlog_max,"BACKLOG","MES CORRIENTE")))</f>
        <v/>
      </c>
      <c r="AA129" s="3">
        <f>IF(tblOrdenes[[#This Row],[backlog_dias]]="",FALSE,AND(tblOrdenes[[#This Row],[backlog_dias]]&gt;p_dias_backlog_min,tblOrdenes[[#This Row],[backlog_dias]]&lt;=p_dias_backlog_max))</f>
        <v/>
      </c>
      <c r="AB129" s="6" t="inlineStr"/>
      <c r="AC12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9" s="10">
        <f>_xlfn.XLOOKUP(tblOrdenes[[#This Row],[id_operacion]],tblEjecucion[id_operacion],tblEjecucion[precio],0)</f>
        <v/>
      </c>
      <c r="AE129" s="10">
        <f>MAX(0,_xlfn.XLOOKUP(tblOrdenes[[#This Row],[id_operacion]],tblEjecucion[id_operacion],tblEjecucion[costo_plan_total],0)-tblOrdenes[[#This Row],[costo_servicio]])</f>
        <v/>
      </c>
      <c r="AF129" s="10">
        <f>tblOrdenes[[#This Row],[costo_servicio]]+tblOrdenes[[#This Row],[costo_materiales]]</f>
        <v/>
      </c>
      <c r="AG129" s="6" t="inlineStr"/>
      <c r="AH129" s="6" t="inlineStr"/>
      <c r="AI129" s="6" t="inlineStr"/>
      <c r="AJ129" s="3">
        <f>IF(tblOrdenes[[#This Row],[link_checklist]]="","",HYPERLINK(p_ruta_base_checklists&amp;tblOrdenes[[#This Row],[link_checklist]],"abrir"))</f>
        <v/>
      </c>
      <c r="AK129" s="6" t="inlineStr"/>
    </row>
    <row r="130">
      <c r="A130" s="3" t="inlineStr">
        <is>
          <t>OT-000127</t>
        </is>
      </c>
      <c r="B130" s="3" t="inlineStr">
        <is>
          <t>0010</t>
        </is>
      </c>
      <c r="C130" s="3">
        <f>tblOrdenes[[#This Row],[orden]]&amp;IF(tblOrdenes[[#This Row],[operacion]]="","0010",tblOrdenes[[#This Row],[operacion]])</f>
        <v/>
      </c>
      <c r="D130" s="3" t="inlineStr">
        <is>
          <t>Certificación legal — EQ-111</t>
        </is>
      </c>
      <c r="E130" s="3" t="inlineStr">
        <is>
          <t>Certificación legal en EQ-111</t>
        </is>
      </c>
      <c r="F130" s="3" t="inlineStr">
        <is>
          <t>EQ-111</t>
        </is>
      </c>
      <c r="G130" s="3" t="inlineStr">
        <is>
          <t>CC-310</t>
        </is>
      </c>
      <c r="H130" s="3" t="inlineStr">
        <is>
          <t>PU-TER</t>
        </is>
      </c>
      <c r="I130" s="3" t="inlineStr">
        <is>
          <t>ACT-05</t>
        </is>
      </c>
      <c r="J130" s="3" t="inlineStr">
        <is>
          <t>TIPO-P2</t>
        </is>
      </c>
      <c r="K130" s="11" t="n">
        <v>46217</v>
      </c>
      <c r="L130" s="3" t="n">
        <v>6</v>
      </c>
      <c r="M130" s="10" t="n">
        <v>150</v>
      </c>
      <c r="N130" s="3">
        <f>_xlfn.XLOOKUP(_xlfn.XLOOKUP(tblOrdenes[[#This Row],[id_operacion]],tblEjecucion[id_operacion],tblEjecucion[estado_sistema],""),tblEstados[estado_sistema],tblEstados[estado_normalizado],"Pendiente")</f>
        <v/>
      </c>
      <c r="O130" s="3">
        <f>IF(tblOrdenes[[#This Row],[fecha_inicio]]="","","S"&amp;IF(_xlfn.ISOWEEKNUM(tblOrdenes[[#This Row],[fecha_inicio]])=53,1,_xlfn.ISOWEEKNUM(tblOrdenes[[#This Row],[fecha_inicio]])))</f>
        <v/>
      </c>
      <c r="P130" s="3">
        <f>IF(tblOrdenes[[#This Row],[fecha_inicio]]="","",YEAR(tblOrdenes[[#This Row],[fecha_inicio]]))</f>
        <v/>
      </c>
      <c r="Q130" s="3">
        <f>IF(tblOrdenes[[#This Row],[fecha_inicio]]="","",MONTH(tblOrdenes[[#This Row],[fecha_inicio]]))</f>
        <v/>
      </c>
      <c r="R130" s="3">
        <f>IF(tblOrdenes[[#This Row],[fecha_inicio]]="","",INDEX(lista_dias,WEEKDAY(tblOrdenes[[#This Row],[fecha_inicio]],2)))</f>
        <v/>
      </c>
      <c r="S130" s="3">
        <f>_xlfn.XLOOKUP(tblOrdenes[[#This Row],[tipo_ot]],tblTiposOT[codigo],tblTiposOT[clasificacion],"sin_clasificar")</f>
        <v/>
      </c>
      <c r="T130" s="3">
        <f>_xlfn.XLOOKUP(tblOrdenes[[#This Row],[centro_costo]],tblCECO[codigo],tblCECO[linea],"(sin catálogo)")</f>
        <v/>
      </c>
      <c r="U130" s="3">
        <f>_xlfn.XLOOKUP(tblOrdenes[[#This Row],[centro_costo]],tblCECO[codigo],tblCECO[area],"(sin catálogo)")</f>
        <v/>
      </c>
      <c r="V130" s="3">
        <f>_xlfn.XLOOKUP(tblOrdenes[[#This Row],[centro_costo]],tblCECO[codigo],tblCECO[coordinador],"(sin catálogo)")</f>
        <v/>
      </c>
      <c r="W130" s="3">
        <f>_xlfn.XLOOKUP(tblOrdenes[[#This Row],[puesto_trabajo]],tblPuestos[codigo],tblPuestos[especialidad],"(sin catálogo)")</f>
        <v/>
      </c>
      <c r="X130" s="3">
        <f>_xlfn.XLOOKUP(tblOrdenes[[#This Row],[cod_actividad]],tblActividades[codigo],tblActividades[descripcion],"(sin catálogo)")</f>
        <v/>
      </c>
      <c r="Y130" s="12">
        <f>IF(tblOrdenes[[#This Row],[fecha_inicio]]="","",TODAY()-tblOrdenes[[#This Row],[fecha_inicio]])</f>
        <v/>
      </c>
      <c r="Z130" s="3">
        <f>IF(tblOrdenes[[#This Row],[backlog_dias]]="","",IF(tblOrdenes[[#This Row],[backlog_dias]]&lt;0,"FUTURO",IF(tblOrdenes[[#This Row],[backlog_dias]]&gt;p_dias_backlog_max,"BACKLOG","MES CORRIENTE")))</f>
        <v/>
      </c>
      <c r="AA130" s="3">
        <f>IF(tblOrdenes[[#This Row],[backlog_dias]]="",FALSE,AND(tblOrdenes[[#This Row],[backlog_dias]]&gt;p_dias_backlog_min,tblOrdenes[[#This Row],[backlog_dias]]&lt;=p_dias_backlog_max))</f>
        <v/>
      </c>
      <c r="AB130" s="6" t="inlineStr"/>
      <c r="AC13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0" s="10">
        <f>_xlfn.XLOOKUP(tblOrdenes[[#This Row],[id_operacion]],tblEjecucion[id_operacion],tblEjecucion[precio],0)</f>
        <v/>
      </c>
      <c r="AE130" s="10">
        <f>MAX(0,_xlfn.XLOOKUP(tblOrdenes[[#This Row],[id_operacion]],tblEjecucion[id_operacion],tblEjecucion[costo_plan_total],0)-tblOrdenes[[#This Row],[costo_servicio]])</f>
        <v/>
      </c>
      <c r="AF130" s="10">
        <f>tblOrdenes[[#This Row],[costo_servicio]]+tblOrdenes[[#This Row],[costo_materiales]]</f>
        <v/>
      </c>
      <c r="AG130" s="6" t="inlineStr"/>
      <c r="AH130" s="6" t="inlineStr"/>
      <c r="AI130" s="6" t="inlineStr"/>
      <c r="AJ130" s="3">
        <f>IF(tblOrdenes[[#This Row],[link_checklist]]="","",HYPERLINK(p_ruta_base_checklists&amp;tblOrdenes[[#This Row],[link_checklist]],"abrir"))</f>
        <v/>
      </c>
      <c r="AK130" s="6" t="inlineStr"/>
    </row>
    <row r="131">
      <c r="A131" s="3" t="inlineStr">
        <is>
          <t>OT-000128</t>
        </is>
      </c>
      <c r="B131" s="3" t="inlineStr">
        <is>
          <t>0010</t>
        </is>
      </c>
      <c r="C131" s="3">
        <f>tblOrdenes[[#This Row],[orden]]&amp;IF(tblOrdenes[[#This Row],[operacion]]="","0010",tblOrdenes[[#This Row],[operacion]])</f>
        <v/>
      </c>
      <c r="D131" s="3" t="inlineStr">
        <is>
          <t>Certificación legal — EQ-112</t>
        </is>
      </c>
      <c r="E131" s="3" t="inlineStr">
        <is>
          <t>Certificación legal en EQ-112</t>
        </is>
      </c>
      <c r="F131" s="3" t="inlineStr">
        <is>
          <t>EQ-112</t>
        </is>
      </c>
      <c r="G131" s="3" t="inlineStr">
        <is>
          <t>CC-310</t>
        </is>
      </c>
      <c r="H131" s="3" t="inlineStr">
        <is>
          <t>PU-TER</t>
        </is>
      </c>
      <c r="I131" s="3" t="inlineStr">
        <is>
          <t>ACT-05</t>
        </is>
      </c>
      <c r="J131" s="3" t="inlineStr">
        <is>
          <t>TIPO-P2</t>
        </is>
      </c>
      <c r="K131" s="11" t="n">
        <v>46223</v>
      </c>
      <c r="L131" s="3" t="n">
        <v>10</v>
      </c>
      <c r="M131" s="10" t="n">
        <v>250</v>
      </c>
      <c r="N131" s="3">
        <f>_xlfn.XLOOKUP(_xlfn.XLOOKUP(tblOrdenes[[#This Row],[id_operacion]],tblEjecucion[id_operacion],tblEjecucion[estado_sistema],""),tblEstados[estado_sistema],tblEstados[estado_normalizado],"Pendiente")</f>
        <v/>
      </c>
      <c r="O131" s="3">
        <f>IF(tblOrdenes[[#This Row],[fecha_inicio]]="","","S"&amp;IF(_xlfn.ISOWEEKNUM(tblOrdenes[[#This Row],[fecha_inicio]])=53,1,_xlfn.ISOWEEKNUM(tblOrdenes[[#This Row],[fecha_inicio]])))</f>
        <v/>
      </c>
      <c r="P131" s="3">
        <f>IF(tblOrdenes[[#This Row],[fecha_inicio]]="","",YEAR(tblOrdenes[[#This Row],[fecha_inicio]]))</f>
        <v/>
      </c>
      <c r="Q131" s="3">
        <f>IF(tblOrdenes[[#This Row],[fecha_inicio]]="","",MONTH(tblOrdenes[[#This Row],[fecha_inicio]]))</f>
        <v/>
      </c>
      <c r="R131" s="3">
        <f>IF(tblOrdenes[[#This Row],[fecha_inicio]]="","",INDEX(lista_dias,WEEKDAY(tblOrdenes[[#This Row],[fecha_inicio]],2)))</f>
        <v/>
      </c>
      <c r="S131" s="3">
        <f>_xlfn.XLOOKUP(tblOrdenes[[#This Row],[tipo_ot]],tblTiposOT[codigo],tblTiposOT[clasificacion],"sin_clasificar")</f>
        <v/>
      </c>
      <c r="T131" s="3">
        <f>_xlfn.XLOOKUP(tblOrdenes[[#This Row],[centro_costo]],tblCECO[codigo],tblCECO[linea],"(sin catálogo)")</f>
        <v/>
      </c>
      <c r="U131" s="3">
        <f>_xlfn.XLOOKUP(tblOrdenes[[#This Row],[centro_costo]],tblCECO[codigo],tblCECO[area],"(sin catálogo)")</f>
        <v/>
      </c>
      <c r="V131" s="3">
        <f>_xlfn.XLOOKUP(tblOrdenes[[#This Row],[centro_costo]],tblCECO[codigo],tblCECO[coordinador],"(sin catálogo)")</f>
        <v/>
      </c>
      <c r="W131" s="3">
        <f>_xlfn.XLOOKUP(tblOrdenes[[#This Row],[puesto_trabajo]],tblPuestos[codigo],tblPuestos[especialidad],"(sin catálogo)")</f>
        <v/>
      </c>
      <c r="X131" s="3">
        <f>_xlfn.XLOOKUP(tblOrdenes[[#This Row],[cod_actividad]],tblActividades[codigo],tblActividades[descripcion],"(sin catálogo)")</f>
        <v/>
      </c>
      <c r="Y131" s="12">
        <f>IF(tblOrdenes[[#This Row],[fecha_inicio]]="","",TODAY()-tblOrdenes[[#This Row],[fecha_inicio]])</f>
        <v/>
      </c>
      <c r="Z131" s="3">
        <f>IF(tblOrdenes[[#This Row],[backlog_dias]]="","",IF(tblOrdenes[[#This Row],[backlog_dias]]&lt;0,"FUTURO",IF(tblOrdenes[[#This Row],[backlog_dias]]&gt;p_dias_backlog_max,"BACKLOG","MES CORRIENTE")))</f>
        <v/>
      </c>
      <c r="AA131" s="3">
        <f>IF(tblOrdenes[[#This Row],[backlog_dias]]="",FALSE,AND(tblOrdenes[[#This Row],[backlog_dias]]&gt;p_dias_backlog_min,tblOrdenes[[#This Row],[backlog_dias]]&lt;=p_dias_backlog_max))</f>
        <v/>
      </c>
      <c r="AB131" s="6" t="inlineStr"/>
      <c r="AC13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1" s="10">
        <f>_xlfn.XLOOKUP(tblOrdenes[[#This Row],[id_operacion]],tblEjecucion[id_operacion],tblEjecucion[precio],0)</f>
        <v/>
      </c>
      <c r="AE131" s="10">
        <f>MAX(0,_xlfn.XLOOKUP(tblOrdenes[[#This Row],[id_operacion]],tblEjecucion[id_operacion],tblEjecucion[costo_plan_total],0)-tblOrdenes[[#This Row],[costo_servicio]])</f>
        <v/>
      </c>
      <c r="AF131" s="10">
        <f>tblOrdenes[[#This Row],[costo_servicio]]+tblOrdenes[[#This Row],[costo_materiales]]</f>
        <v/>
      </c>
      <c r="AG131" s="6" t="inlineStr"/>
      <c r="AH131" s="6" t="inlineStr"/>
      <c r="AI131" s="6" t="inlineStr"/>
      <c r="AJ131" s="3">
        <f>IF(tblOrdenes[[#This Row],[link_checklist]]="","",HYPERLINK(p_ruta_base_checklists&amp;tblOrdenes[[#This Row],[link_checklist]],"abrir"))</f>
        <v/>
      </c>
      <c r="AK131" s="6" t="inlineStr"/>
    </row>
    <row r="132">
      <c r="A132" s="3" t="inlineStr">
        <is>
          <t>OT-000129</t>
        </is>
      </c>
      <c r="B132" s="3" t="inlineStr">
        <is>
          <t>0010</t>
        </is>
      </c>
      <c r="C132" s="3">
        <f>tblOrdenes[[#This Row],[orden]]&amp;IF(tblOrdenes[[#This Row],[operacion]]="","0010",tblOrdenes[[#This Row],[operacion]])</f>
        <v/>
      </c>
      <c r="D132" s="3" t="inlineStr">
        <is>
          <t>Certificación legal — EQ-110</t>
        </is>
      </c>
      <c r="E132" s="3" t="inlineStr">
        <is>
          <t>Certificación legal en EQ-110</t>
        </is>
      </c>
      <c r="F132" s="3" t="inlineStr">
        <is>
          <t>EQ-110</t>
        </is>
      </c>
      <c r="G132" s="3" t="inlineStr">
        <is>
          <t>CC-310</t>
        </is>
      </c>
      <c r="H132" s="3" t="inlineStr">
        <is>
          <t>PU-TER</t>
        </is>
      </c>
      <c r="I132" s="3" t="inlineStr">
        <is>
          <t>ACT-05</t>
        </is>
      </c>
      <c r="J132" s="3" t="inlineStr">
        <is>
          <t>TIPO-P2</t>
        </is>
      </c>
      <c r="K132" s="11" t="n">
        <v>46224</v>
      </c>
      <c r="L132" s="3" t="n">
        <v>2</v>
      </c>
      <c r="M132" s="10" t="n">
        <v>50</v>
      </c>
      <c r="N132" s="3">
        <f>_xlfn.XLOOKUP(_xlfn.XLOOKUP(tblOrdenes[[#This Row],[id_operacion]],tblEjecucion[id_operacion],tblEjecucion[estado_sistema],""),tblEstados[estado_sistema],tblEstados[estado_normalizado],"Pendiente")</f>
        <v/>
      </c>
      <c r="O132" s="3">
        <f>IF(tblOrdenes[[#This Row],[fecha_inicio]]="","","S"&amp;IF(_xlfn.ISOWEEKNUM(tblOrdenes[[#This Row],[fecha_inicio]])=53,1,_xlfn.ISOWEEKNUM(tblOrdenes[[#This Row],[fecha_inicio]])))</f>
        <v/>
      </c>
      <c r="P132" s="3">
        <f>IF(tblOrdenes[[#This Row],[fecha_inicio]]="","",YEAR(tblOrdenes[[#This Row],[fecha_inicio]]))</f>
        <v/>
      </c>
      <c r="Q132" s="3">
        <f>IF(tblOrdenes[[#This Row],[fecha_inicio]]="","",MONTH(tblOrdenes[[#This Row],[fecha_inicio]]))</f>
        <v/>
      </c>
      <c r="R132" s="3">
        <f>IF(tblOrdenes[[#This Row],[fecha_inicio]]="","",INDEX(lista_dias,WEEKDAY(tblOrdenes[[#This Row],[fecha_inicio]],2)))</f>
        <v/>
      </c>
      <c r="S132" s="3">
        <f>_xlfn.XLOOKUP(tblOrdenes[[#This Row],[tipo_ot]],tblTiposOT[codigo],tblTiposOT[clasificacion],"sin_clasificar")</f>
        <v/>
      </c>
      <c r="T132" s="3">
        <f>_xlfn.XLOOKUP(tblOrdenes[[#This Row],[centro_costo]],tblCECO[codigo],tblCECO[linea],"(sin catálogo)")</f>
        <v/>
      </c>
      <c r="U132" s="3">
        <f>_xlfn.XLOOKUP(tblOrdenes[[#This Row],[centro_costo]],tblCECO[codigo],tblCECO[area],"(sin catálogo)")</f>
        <v/>
      </c>
      <c r="V132" s="3">
        <f>_xlfn.XLOOKUP(tblOrdenes[[#This Row],[centro_costo]],tblCECO[codigo],tblCECO[coordinador],"(sin catálogo)")</f>
        <v/>
      </c>
      <c r="W132" s="3">
        <f>_xlfn.XLOOKUP(tblOrdenes[[#This Row],[puesto_trabajo]],tblPuestos[codigo],tblPuestos[especialidad],"(sin catálogo)")</f>
        <v/>
      </c>
      <c r="X132" s="3">
        <f>_xlfn.XLOOKUP(tblOrdenes[[#This Row],[cod_actividad]],tblActividades[codigo],tblActividades[descripcion],"(sin catálogo)")</f>
        <v/>
      </c>
      <c r="Y132" s="12">
        <f>IF(tblOrdenes[[#This Row],[fecha_inicio]]="","",TODAY()-tblOrdenes[[#This Row],[fecha_inicio]])</f>
        <v/>
      </c>
      <c r="Z132" s="3">
        <f>IF(tblOrdenes[[#This Row],[backlog_dias]]="","",IF(tblOrdenes[[#This Row],[backlog_dias]]&lt;0,"FUTURO",IF(tblOrdenes[[#This Row],[backlog_dias]]&gt;p_dias_backlog_max,"BACKLOG","MES CORRIENTE")))</f>
        <v/>
      </c>
      <c r="AA132" s="3">
        <f>IF(tblOrdenes[[#This Row],[backlog_dias]]="",FALSE,AND(tblOrdenes[[#This Row],[backlog_dias]]&gt;p_dias_backlog_min,tblOrdenes[[#This Row],[backlog_dias]]&lt;=p_dias_backlog_max))</f>
        <v/>
      </c>
      <c r="AB132" s="6" t="inlineStr"/>
      <c r="AC13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2" s="10">
        <f>_xlfn.XLOOKUP(tblOrdenes[[#This Row],[id_operacion]],tblEjecucion[id_operacion],tblEjecucion[precio],0)</f>
        <v/>
      </c>
      <c r="AE132" s="10">
        <f>MAX(0,_xlfn.XLOOKUP(tblOrdenes[[#This Row],[id_operacion]],tblEjecucion[id_operacion],tblEjecucion[costo_plan_total],0)-tblOrdenes[[#This Row],[costo_servicio]])</f>
        <v/>
      </c>
      <c r="AF132" s="10">
        <f>tblOrdenes[[#This Row],[costo_servicio]]+tblOrdenes[[#This Row],[costo_materiales]]</f>
        <v/>
      </c>
      <c r="AG132" s="6" t="inlineStr"/>
      <c r="AH132" s="6" t="inlineStr"/>
      <c r="AI132" s="6" t="inlineStr"/>
      <c r="AJ132" s="3">
        <f>IF(tblOrdenes[[#This Row],[link_checklist]]="","",HYPERLINK(p_ruta_base_checklists&amp;tblOrdenes[[#This Row],[link_checklist]],"abrir"))</f>
        <v/>
      </c>
      <c r="AK132" s="6" t="inlineStr"/>
    </row>
    <row r="133">
      <c r="A133" s="3" t="inlineStr">
        <is>
          <t>OT-000001</t>
        </is>
      </c>
      <c r="B133" s="3" t="inlineStr">
        <is>
          <t>0020</t>
        </is>
      </c>
      <c r="C133" s="3">
        <f>tblOrdenes[[#This Row],[orden]]&amp;IF(tblOrdenes[[#This Row],[operacion]]="","0010",tblOrdenes[[#This Row],[operacion]])</f>
        <v/>
      </c>
      <c r="D133" s="3" t="inlineStr">
        <is>
          <t>Lubricación programada — EQ-102</t>
        </is>
      </c>
      <c r="E133" s="3" t="inlineStr">
        <is>
          <t>Segunda operación — EQ-102</t>
        </is>
      </c>
      <c r="F133" s="3" t="inlineStr">
        <is>
          <t>EQ-102</t>
        </is>
      </c>
      <c r="G133" s="3" t="inlineStr">
        <is>
          <t>CC-110</t>
        </is>
      </c>
      <c r="H133" s="3" t="inlineStr">
        <is>
          <t>PU-MEC</t>
        </is>
      </c>
      <c r="I133" s="3" t="inlineStr">
        <is>
          <t>ACT-02</t>
        </is>
      </c>
      <c r="J133" s="3" t="inlineStr">
        <is>
          <t>TIPO-P2</t>
        </is>
      </c>
      <c r="K133" s="11" t="n">
        <v>46209</v>
      </c>
      <c r="L133" s="3" t="n">
        <v>2</v>
      </c>
      <c r="M133" s="10" t="n">
        <v>50</v>
      </c>
      <c r="N133" s="3">
        <f>_xlfn.XLOOKUP(_xlfn.XLOOKUP(tblOrdenes[[#This Row],[id_operacion]],tblEjecucion[id_operacion],tblEjecucion[estado_sistema],""),tblEstados[estado_sistema],tblEstados[estado_normalizado],"Pendiente")</f>
        <v/>
      </c>
      <c r="O133" s="3">
        <f>IF(tblOrdenes[[#This Row],[fecha_inicio]]="","","S"&amp;IF(_xlfn.ISOWEEKNUM(tblOrdenes[[#This Row],[fecha_inicio]])=53,1,_xlfn.ISOWEEKNUM(tblOrdenes[[#This Row],[fecha_inicio]])))</f>
        <v/>
      </c>
      <c r="P133" s="3">
        <f>IF(tblOrdenes[[#This Row],[fecha_inicio]]="","",YEAR(tblOrdenes[[#This Row],[fecha_inicio]]))</f>
        <v/>
      </c>
      <c r="Q133" s="3">
        <f>IF(tblOrdenes[[#This Row],[fecha_inicio]]="","",MONTH(tblOrdenes[[#This Row],[fecha_inicio]]))</f>
        <v/>
      </c>
      <c r="R133" s="3">
        <f>IF(tblOrdenes[[#This Row],[fecha_inicio]]="","",INDEX(lista_dias,WEEKDAY(tblOrdenes[[#This Row],[fecha_inicio]],2)))</f>
        <v/>
      </c>
      <c r="S133" s="3">
        <f>_xlfn.XLOOKUP(tblOrdenes[[#This Row],[tipo_ot]],tblTiposOT[codigo],tblTiposOT[clasificacion],"sin_clasificar")</f>
        <v/>
      </c>
      <c r="T133" s="3">
        <f>_xlfn.XLOOKUP(tblOrdenes[[#This Row],[centro_costo]],tblCECO[codigo],tblCECO[linea],"(sin catálogo)")</f>
        <v/>
      </c>
      <c r="U133" s="3">
        <f>_xlfn.XLOOKUP(tblOrdenes[[#This Row],[centro_costo]],tblCECO[codigo],tblCECO[area],"(sin catálogo)")</f>
        <v/>
      </c>
      <c r="V133" s="3">
        <f>_xlfn.XLOOKUP(tblOrdenes[[#This Row],[centro_costo]],tblCECO[codigo],tblCECO[coordinador],"(sin catálogo)")</f>
        <v/>
      </c>
      <c r="W133" s="3">
        <f>_xlfn.XLOOKUP(tblOrdenes[[#This Row],[puesto_trabajo]],tblPuestos[codigo],tblPuestos[especialidad],"(sin catálogo)")</f>
        <v/>
      </c>
      <c r="X133" s="3">
        <f>_xlfn.XLOOKUP(tblOrdenes[[#This Row],[cod_actividad]],tblActividades[codigo],tblActividades[descripcion],"(sin catálogo)")</f>
        <v/>
      </c>
      <c r="Y133" s="12">
        <f>IF(tblOrdenes[[#This Row],[fecha_inicio]]="","",TODAY()-tblOrdenes[[#This Row],[fecha_inicio]])</f>
        <v/>
      </c>
      <c r="Z133" s="3">
        <f>IF(tblOrdenes[[#This Row],[backlog_dias]]="","",IF(tblOrdenes[[#This Row],[backlog_dias]]&lt;0,"FUTURO",IF(tblOrdenes[[#This Row],[backlog_dias]]&gt;p_dias_backlog_max,"BACKLOG","MES CORRIENTE")))</f>
        <v/>
      </c>
      <c r="AA133" s="3">
        <f>IF(tblOrdenes[[#This Row],[backlog_dias]]="",FALSE,AND(tblOrdenes[[#This Row],[backlog_dias]]&gt;p_dias_backlog_min,tblOrdenes[[#This Row],[backlog_dias]]&lt;=p_dias_backlog_max))</f>
        <v/>
      </c>
      <c r="AB133" s="6" t="inlineStr">
        <is>
          <t>Técnico 01</t>
        </is>
      </c>
      <c r="AC13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3" s="10">
        <f>_xlfn.XLOOKUP(tblOrdenes[[#This Row],[id_operacion]],tblEjecucion[id_operacion],tblEjecucion[precio],0)</f>
        <v/>
      </c>
      <c r="AE133" s="10">
        <f>MAX(0,_xlfn.XLOOKUP(tblOrdenes[[#This Row],[id_operacion]],tblEjecucion[id_operacion],tblEjecucion[costo_plan_total],0)-tblOrdenes[[#This Row],[costo_servicio]])</f>
        <v/>
      </c>
      <c r="AF133" s="10">
        <f>tblOrdenes[[#This Row],[costo_servicio]]+tblOrdenes[[#This Row],[costo_materiales]]</f>
        <v/>
      </c>
      <c r="AG133" s="6" t="inlineStr"/>
      <c r="AH133" s="6" t="inlineStr"/>
      <c r="AI133" s="6" t="inlineStr"/>
      <c r="AJ133" s="3">
        <f>IF(tblOrdenes[[#This Row],[link_checklist]]="","",HYPERLINK(p_ruta_base_checklists&amp;tblOrdenes[[#This Row],[link_checklist]],"abrir"))</f>
        <v/>
      </c>
      <c r="AK133" s="6" t="inlineStr"/>
    </row>
    <row r="134">
      <c r="A134" s="3" t="inlineStr">
        <is>
          <t>OT-000041</t>
        </is>
      </c>
      <c r="B134" s="3" t="inlineStr">
        <is>
          <t>0020</t>
        </is>
      </c>
      <c r="C134" s="3">
        <f>tblOrdenes[[#This Row],[orden]]&amp;IF(tblOrdenes[[#This Row],[operacion]]="","0010",tblOrdenes[[#This Row],[operacion]])</f>
        <v/>
      </c>
      <c r="D134" s="3" t="inlineStr">
        <is>
          <t>Análisis predictivo — EQ-107</t>
        </is>
      </c>
      <c r="E134" s="3" t="inlineStr">
        <is>
          <t>Segunda operación — EQ-107</t>
        </is>
      </c>
      <c r="F134" s="3" t="inlineStr">
        <is>
          <t>EQ-107</t>
        </is>
      </c>
      <c r="G134" s="3" t="inlineStr">
        <is>
          <t>CC-210</t>
        </is>
      </c>
      <c r="H134" s="3" t="inlineStr">
        <is>
          <t>PU-MEC</t>
        </is>
      </c>
      <c r="I134" s="3" t="inlineStr">
        <is>
          <t>ACT-04</t>
        </is>
      </c>
      <c r="J134" s="3" t="inlineStr">
        <is>
          <t>TIPO-P2</t>
        </is>
      </c>
      <c r="K134" s="11" t="n">
        <v>46230</v>
      </c>
      <c r="L134" s="3" t="n">
        <v>2</v>
      </c>
      <c r="M134" s="10" t="n">
        <v>50</v>
      </c>
      <c r="N134" s="3">
        <f>_xlfn.XLOOKUP(_xlfn.XLOOKUP(tblOrdenes[[#This Row],[id_operacion]],tblEjecucion[id_operacion],tblEjecucion[estado_sistema],""),tblEstados[estado_sistema],tblEstados[estado_normalizado],"Pendiente")</f>
        <v/>
      </c>
      <c r="O134" s="3">
        <f>IF(tblOrdenes[[#This Row],[fecha_inicio]]="","","S"&amp;IF(_xlfn.ISOWEEKNUM(tblOrdenes[[#This Row],[fecha_inicio]])=53,1,_xlfn.ISOWEEKNUM(tblOrdenes[[#This Row],[fecha_inicio]])))</f>
        <v/>
      </c>
      <c r="P134" s="3">
        <f>IF(tblOrdenes[[#This Row],[fecha_inicio]]="","",YEAR(tblOrdenes[[#This Row],[fecha_inicio]]))</f>
        <v/>
      </c>
      <c r="Q134" s="3">
        <f>IF(tblOrdenes[[#This Row],[fecha_inicio]]="","",MONTH(tblOrdenes[[#This Row],[fecha_inicio]]))</f>
        <v/>
      </c>
      <c r="R134" s="3">
        <f>IF(tblOrdenes[[#This Row],[fecha_inicio]]="","",INDEX(lista_dias,WEEKDAY(tblOrdenes[[#This Row],[fecha_inicio]],2)))</f>
        <v/>
      </c>
      <c r="S134" s="3">
        <f>_xlfn.XLOOKUP(tblOrdenes[[#This Row],[tipo_ot]],tblTiposOT[codigo],tblTiposOT[clasificacion],"sin_clasificar")</f>
        <v/>
      </c>
      <c r="T134" s="3">
        <f>_xlfn.XLOOKUP(tblOrdenes[[#This Row],[centro_costo]],tblCECO[codigo],tblCECO[linea],"(sin catálogo)")</f>
        <v/>
      </c>
      <c r="U134" s="3">
        <f>_xlfn.XLOOKUP(tblOrdenes[[#This Row],[centro_costo]],tblCECO[codigo],tblCECO[area],"(sin catálogo)")</f>
        <v/>
      </c>
      <c r="V134" s="3">
        <f>_xlfn.XLOOKUP(tblOrdenes[[#This Row],[centro_costo]],tblCECO[codigo],tblCECO[coordinador],"(sin catálogo)")</f>
        <v/>
      </c>
      <c r="W134" s="3">
        <f>_xlfn.XLOOKUP(tblOrdenes[[#This Row],[puesto_trabajo]],tblPuestos[codigo],tblPuestos[especialidad],"(sin catálogo)")</f>
        <v/>
      </c>
      <c r="X134" s="3">
        <f>_xlfn.XLOOKUP(tblOrdenes[[#This Row],[cod_actividad]],tblActividades[codigo],tblActividades[descripcion],"(sin catálogo)")</f>
        <v/>
      </c>
      <c r="Y134" s="12">
        <f>IF(tblOrdenes[[#This Row],[fecha_inicio]]="","",TODAY()-tblOrdenes[[#This Row],[fecha_inicio]])</f>
        <v/>
      </c>
      <c r="Z134" s="3">
        <f>IF(tblOrdenes[[#This Row],[backlog_dias]]="","",IF(tblOrdenes[[#This Row],[backlog_dias]]&lt;0,"FUTURO",IF(tblOrdenes[[#This Row],[backlog_dias]]&gt;p_dias_backlog_max,"BACKLOG","MES CORRIENTE")))</f>
        <v/>
      </c>
      <c r="AA134" s="3">
        <f>IF(tblOrdenes[[#This Row],[backlog_dias]]="",FALSE,AND(tblOrdenes[[#This Row],[backlog_dias]]&gt;p_dias_backlog_min,tblOrdenes[[#This Row],[backlog_dias]]&lt;=p_dias_backlog_max))</f>
        <v/>
      </c>
      <c r="AB134" s="6" t="inlineStr">
        <is>
          <t>Técnico 01</t>
        </is>
      </c>
      <c r="AC13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4" s="10">
        <f>_xlfn.XLOOKUP(tblOrdenes[[#This Row],[id_operacion]],tblEjecucion[id_operacion],tblEjecucion[precio],0)</f>
        <v/>
      </c>
      <c r="AE134" s="10">
        <f>MAX(0,_xlfn.XLOOKUP(tblOrdenes[[#This Row],[id_operacion]],tblEjecucion[id_operacion],tblEjecucion[costo_plan_total],0)-tblOrdenes[[#This Row],[costo_servicio]])</f>
        <v/>
      </c>
      <c r="AF134" s="10">
        <f>tblOrdenes[[#This Row],[costo_servicio]]+tblOrdenes[[#This Row],[costo_materiales]]</f>
        <v/>
      </c>
      <c r="AG134" s="6" t="inlineStr"/>
      <c r="AH134" s="6" t="inlineStr"/>
      <c r="AI134" s="6" t="inlineStr"/>
      <c r="AJ134" s="3">
        <f>IF(tblOrdenes[[#This Row],[link_checklist]]="","",HYPERLINK(p_ruta_base_checklists&amp;tblOrdenes[[#This Row],[link_checklist]],"abrir"))</f>
        <v/>
      </c>
      <c r="AK134" s="6" t="inlineStr"/>
    </row>
    <row r="135">
      <c r="A135" s="3" t="inlineStr">
        <is>
          <t>OT-000081</t>
        </is>
      </c>
      <c r="B135" s="3" t="inlineStr">
        <is>
          <t>0020</t>
        </is>
      </c>
      <c r="C135" s="3">
        <f>tblOrdenes[[#This Row],[orden]]&amp;IF(tblOrdenes[[#This Row],[operacion]]="","0010",tblOrdenes[[#This Row],[operacion]])</f>
        <v/>
      </c>
      <c r="D135" s="3" t="inlineStr">
        <is>
          <t>Inspección de rutina — EQ-102</t>
        </is>
      </c>
      <c r="E135" s="3" t="inlineStr">
        <is>
          <t>Segunda operación — EQ-102</t>
        </is>
      </c>
      <c r="F135" s="3" t="inlineStr">
        <is>
          <t>EQ-102</t>
        </is>
      </c>
      <c r="G135" s="3" t="inlineStr">
        <is>
          <t>CC-120</t>
        </is>
      </c>
      <c r="H135" s="3" t="inlineStr">
        <is>
          <t>PU-ELE</t>
        </is>
      </c>
      <c r="I135" s="3" t="inlineStr">
        <is>
          <t>ACT-01</t>
        </is>
      </c>
      <c r="J135" s="3" t="inlineStr">
        <is>
          <t>TIPO-P2</t>
        </is>
      </c>
      <c r="K135" s="11" t="n">
        <v>46230</v>
      </c>
      <c r="L135" s="3" t="n">
        <v>2</v>
      </c>
      <c r="M135" s="10" t="n">
        <v>50</v>
      </c>
      <c r="N135" s="3">
        <f>_xlfn.XLOOKUP(_xlfn.XLOOKUP(tblOrdenes[[#This Row],[id_operacion]],tblEjecucion[id_operacion],tblEjecucion[estado_sistema],""),tblEstados[estado_sistema],tblEstados[estado_normalizado],"Pendiente")</f>
        <v/>
      </c>
      <c r="O135" s="3">
        <f>IF(tblOrdenes[[#This Row],[fecha_inicio]]="","","S"&amp;IF(_xlfn.ISOWEEKNUM(tblOrdenes[[#This Row],[fecha_inicio]])=53,1,_xlfn.ISOWEEKNUM(tblOrdenes[[#This Row],[fecha_inicio]])))</f>
        <v/>
      </c>
      <c r="P135" s="3">
        <f>IF(tblOrdenes[[#This Row],[fecha_inicio]]="","",YEAR(tblOrdenes[[#This Row],[fecha_inicio]]))</f>
        <v/>
      </c>
      <c r="Q135" s="3">
        <f>IF(tblOrdenes[[#This Row],[fecha_inicio]]="","",MONTH(tblOrdenes[[#This Row],[fecha_inicio]]))</f>
        <v/>
      </c>
      <c r="R135" s="3">
        <f>IF(tblOrdenes[[#This Row],[fecha_inicio]]="","",INDEX(lista_dias,WEEKDAY(tblOrdenes[[#This Row],[fecha_inicio]],2)))</f>
        <v/>
      </c>
      <c r="S135" s="3">
        <f>_xlfn.XLOOKUP(tblOrdenes[[#This Row],[tipo_ot]],tblTiposOT[codigo],tblTiposOT[clasificacion],"sin_clasificar")</f>
        <v/>
      </c>
      <c r="T135" s="3">
        <f>_xlfn.XLOOKUP(tblOrdenes[[#This Row],[centro_costo]],tblCECO[codigo],tblCECO[linea],"(sin catálogo)")</f>
        <v/>
      </c>
      <c r="U135" s="3">
        <f>_xlfn.XLOOKUP(tblOrdenes[[#This Row],[centro_costo]],tblCECO[codigo],tblCECO[area],"(sin catálogo)")</f>
        <v/>
      </c>
      <c r="V135" s="3">
        <f>_xlfn.XLOOKUP(tblOrdenes[[#This Row],[centro_costo]],tblCECO[codigo],tblCECO[coordinador],"(sin catálogo)")</f>
        <v/>
      </c>
      <c r="W135" s="3">
        <f>_xlfn.XLOOKUP(tblOrdenes[[#This Row],[puesto_trabajo]],tblPuestos[codigo],tblPuestos[especialidad],"(sin catálogo)")</f>
        <v/>
      </c>
      <c r="X135" s="3">
        <f>_xlfn.XLOOKUP(tblOrdenes[[#This Row],[cod_actividad]],tblActividades[codigo],tblActividades[descripcion],"(sin catálogo)")</f>
        <v/>
      </c>
      <c r="Y135" s="12">
        <f>IF(tblOrdenes[[#This Row],[fecha_inicio]]="","",TODAY()-tblOrdenes[[#This Row],[fecha_inicio]])</f>
        <v/>
      </c>
      <c r="Z135" s="3">
        <f>IF(tblOrdenes[[#This Row],[backlog_dias]]="","",IF(tblOrdenes[[#This Row],[backlog_dias]]&lt;0,"FUTURO",IF(tblOrdenes[[#This Row],[backlog_dias]]&gt;p_dias_backlog_max,"BACKLOG","MES CORRIENTE")))</f>
        <v/>
      </c>
      <c r="AA135" s="3">
        <f>IF(tblOrdenes[[#This Row],[backlog_dias]]="",FALSE,AND(tblOrdenes[[#This Row],[backlog_dias]]&gt;p_dias_backlog_min,tblOrdenes[[#This Row],[backlog_dias]]&lt;=p_dias_backlog_max))</f>
        <v/>
      </c>
      <c r="AB135" s="6" t="inlineStr">
        <is>
          <t>Técnico 07</t>
        </is>
      </c>
      <c r="AC13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5" s="10">
        <f>_xlfn.XLOOKUP(tblOrdenes[[#This Row],[id_operacion]],tblEjecucion[id_operacion],tblEjecucion[precio],0)</f>
        <v/>
      </c>
      <c r="AE135" s="10">
        <f>MAX(0,_xlfn.XLOOKUP(tblOrdenes[[#This Row],[id_operacion]],tblEjecucion[id_operacion],tblEjecucion[costo_plan_total],0)-tblOrdenes[[#This Row],[costo_servicio]])</f>
        <v/>
      </c>
      <c r="AF135" s="10">
        <f>tblOrdenes[[#This Row],[costo_servicio]]+tblOrdenes[[#This Row],[costo_materiales]]</f>
        <v/>
      </c>
      <c r="AG135" s="6" t="inlineStr"/>
      <c r="AH135" s="6" t="inlineStr"/>
      <c r="AI135" s="6" t="inlineStr"/>
      <c r="AJ135" s="3">
        <f>IF(tblOrdenes[[#This Row],[link_checklist]]="","",HYPERLINK(p_ruta_base_checklists&amp;tblOrdenes[[#This Row],[link_checklist]],"abrir"))</f>
        <v/>
      </c>
      <c r="AK135" s="6" t="inlineStr"/>
    </row>
    <row r="136">
      <c r="A136" s="3" t="inlineStr">
        <is>
          <t>OT-000121</t>
        </is>
      </c>
      <c r="B136" s="3" t="inlineStr">
        <is>
          <t>0020</t>
        </is>
      </c>
      <c r="C136" s="3">
        <f>tblOrdenes[[#This Row],[orden]]&amp;IF(tblOrdenes[[#This Row],[operacion]]="","0010",tblOrdenes[[#This Row],[operacion]])</f>
        <v/>
      </c>
      <c r="D136" s="3" t="inlineStr">
        <is>
          <t>Reparación de falla — EQ-102</t>
        </is>
      </c>
      <c r="E136" s="3" t="inlineStr">
        <is>
          <t>Segunda operación — EQ-102</t>
        </is>
      </c>
      <c r="F136" s="3" t="inlineStr">
        <is>
          <t>EQ-102</t>
        </is>
      </c>
      <c r="G136" s="3" t="inlineStr">
        <is>
          <t>CC-120</t>
        </is>
      </c>
      <c r="H136" s="3" t="inlineStr">
        <is>
          <t>PU-OP</t>
        </is>
      </c>
      <c r="I136" s="3" t="inlineStr">
        <is>
          <t>ACT-03</t>
        </is>
      </c>
      <c r="J136" s="3" t="inlineStr">
        <is>
          <t>TIPO-C2</t>
        </is>
      </c>
      <c r="K136" s="11" t="n">
        <v>46223</v>
      </c>
      <c r="L136" s="3" t="n">
        <v>2</v>
      </c>
      <c r="M136" s="10" t="n">
        <v>80</v>
      </c>
      <c r="N136" s="3">
        <f>_xlfn.XLOOKUP(_xlfn.XLOOKUP(tblOrdenes[[#This Row],[id_operacion]],tblEjecucion[id_operacion],tblEjecucion[estado_sistema],""),tblEstados[estado_sistema],tblEstados[estado_normalizado],"Pendiente")</f>
        <v/>
      </c>
      <c r="O136" s="3">
        <f>IF(tblOrdenes[[#This Row],[fecha_inicio]]="","","S"&amp;IF(_xlfn.ISOWEEKNUM(tblOrdenes[[#This Row],[fecha_inicio]])=53,1,_xlfn.ISOWEEKNUM(tblOrdenes[[#This Row],[fecha_inicio]])))</f>
        <v/>
      </c>
      <c r="P136" s="3">
        <f>IF(tblOrdenes[[#This Row],[fecha_inicio]]="","",YEAR(tblOrdenes[[#This Row],[fecha_inicio]]))</f>
        <v/>
      </c>
      <c r="Q136" s="3">
        <f>IF(tblOrdenes[[#This Row],[fecha_inicio]]="","",MONTH(tblOrdenes[[#This Row],[fecha_inicio]]))</f>
        <v/>
      </c>
      <c r="R136" s="3">
        <f>IF(tblOrdenes[[#This Row],[fecha_inicio]]="","",INDEX(lista_dias,WEEKDAY(tblOrdenes[[#This Row],[fecha_inicio]],2)))</f>
        <v/>
      </c>
      <c r="S136" s="3">
        <f>_xlfn.XLOOKUP(tblOrdenes[[#This Row],[tipo_ot]],tblTiposOT[codigo],tblTiposOT[clasificacion],"sin_clasificar")</f>
        <v/>
      </c>
      <c r="T136" s="3">
        <f>_xlfn.XLOOKUP(tblOrdenes[[#This Row],[centro_costo]],tblCECO[codigo],tblCECO[linea],"(sin catálogo)")</f>
        <v/>
      </c>
      <c r="U136" s="3">
        <f>_xlfn.XLOOKUP(tblOrdenes[[#This Row],[centro_costo]],tblCECO[codigo],tblCECO[area],"(sin catálogo)")</f>
        <v/>
      </c>
      <c r="V136" s="3">
        <f>_xlfn.XLOOKUP(tblOrdenes[[#This Row],[centro_costo]],tblCECO[codigo],tblCECO[coordinador],"(sin catálogo)")</f>
        <v/>
      </c>
      <c r="W136" s="3">
        <f>_xlfn.XLOOKUP(tblOrdenes[[#This Row],[puesto_trabajo]],tblPuestos[codigo],tblPuestos[especialidad],"(sin catálogo)")</f>
        <v/>
      </c>
      <c r="X136" s="3">
        <f>_xlfn.XLOOKUP(tblOrdenes[[#This Row],[cod_actividad]],tblActividades[codigo],tblActividades[descripcion],"(sin catálogo)")</f>
        <v/>
      </c>
      <c r="Y136" s="12">
        <f>IF(tblOrdenes[[#This Row],[fecha_inicio]]="","",TODAY()-tblOrdenes[[#This Row],[fecha_inicio]])</f>
        <v/>
      </c>
      <c r="Z136" s="3">
        <f>IF(tblOrdenes[[#This Row],[backlog_dias]]="","",IF(tblOrdenes[[#This Row],[backlog_dias]]&lt;0,"FUTURO",IF(tblOrdenes[[#This Row],[backlog_dias]]&gt;p_dias_backlog_max,"BACKLOG","MES CORRIENTE")))</f>
        <v/>
      </c>
      <c r="AA136" s="3">
        <f>IF(tblOrdenes[[#This Row],[backlog_dias]]="",FALSE,AND(tblOrdenes[[#This Row],[backlog_dias]]&gt;p_dias_backlog_min,tblOrdenes[[#This Row],[backlog_dias]]&lt;=p_dias_backlog_max))</f>
        <v/>
      </c>
      <c r="AB136" s="6" t="inlineStr">
        <is>
          <t>Técnico 10</t>
        </is>
      </c>
      <c r="AC13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6" s="10">
        <f>_xlfn.XLOOKUP(tblOrdenes[[#This Row],[id_operacion]],tblEjecucion[id_operacion],tblEjecucion[precio],0)</f>
        <v/>
      </c>
      <c r="AE136" s="10">
        <f>MAX(0,_xlfn.XLOOKUP(tblOrdenes[[#This Row],[id_operacion]],tblEjecucion[id_operacion],tblEjecucion[costo_plan_total],0)-tblOrdenes[[#This Row],[costo_servicio]])</f>
        <v/>
      </c>
      <c r="AF136" s="10">
        <f>tblOrdenes[[#This Row],[costo_servicio]]+tblOrdenes[[#This Row],[costo_materiales]]</f>
        <v/>
      </c>
      <c r="AG136" s="6" t="inlineStr"/>
      <c r="AH136" s="6" t="inlineStr"/>
      <c r="AI136" s="6" t="inlineStr"/>
      <c r="AJ136" s="3">
        <f>IF(tblOrdenes[[#This Row],[link_checklist]]="","",HYPERLINK(p_ruta_base_checklists&amp;tblOrdenes[[#This Row],[link_checklist]],"abrir"))</f>
        <v/>
      </c>
      <c r="AK136" s="6" t="inlineStr"/>
    </row>
    <row r="137">
      <c r="A137" s="3" t="inlineStr">
        <is>
          <t>OT-000134</t>
        </is>
      </c>
      <c r="B137" s="3" t="inlineStr">
        <is>
          <t>0010</t>
        </is>
      </c>
      <c r="C137" s="3">
        <f>tblOrdenes[[#This Row],[orden]]&amp;IF(tblOrdenes[[#This Row],[operacion]]="","0010",tblOrdenes[[#This Row],[operacion]])</f>
        <v/>
      </c>
      <c r="D137" s="3" t="inlineStr">
        <is>
          <t>Reparación de falla — EQ-105</t>
        </is>
      </c>
      <c r="E137" s="3" t="inlineStr">
        <is>
          <t>Reparación de falla en EQ-105</t>
        </is>
      </c>
      <c r="F137" s="3" t="inlineStr">
        <is>
          <t>EQ-105</t>
        </is>
      </c>
      <c r="G137" s="3" t="inlineStr">
        <is>
          <t>CC-110</t>
        </is>
      </c>
      <c r="H137" s="3" t="inlineStr">
        <is>
          <t>PU-MEC</t>
        </is>
      </c>
      <c r="I137" s="3" t="inlineStr">
        <is>
          <t>ACT-03</t>
        </is>
      </c>
      <c r="J137" s="3" t="inlineStr">
        <is>
          <t>TIPO-C1</t>
        </is>
      </c>
      <c r="K137" s="11" t="n">
        <v>46177</v>
      </c>
      <c r="L137" s="3" t="n">
        <v>4</v>
      </c>
      <c r="M137" s="10" t="n">
        <v>160</v>
      </c>
      <c r="N137" s="3">
        <f>_xlfn.XLOOKUP(_xlfn.XLOOKUP(tblOrdenes[[#This Row],[id_operacion]],tblEjecucion[id_operacion],tblEjecucion[estado_sistema],""),tblEstados[estado_sistema],tblEstados[estado_normalizado],"Pendiente")</f>
        <v/>
      </c>
      <c r="O137" s="3">
        <f>IF(tblOrdenes[[#This Row],[fecha_inicio]]="","","S"&amp;IF(_xlfn.ISOWEEKNUM(tblOrdenes[[#This Row],[fecha_inicio]])=53,1,_xlfn.ISOWEEKNUM(tblOrdenes[[#This Row],[fecha_inicio]])))</f>
        <v/>
      </c>
      <c r="P137" s="3">
        <f>IF(tblOrdenes[[#This Row],[fecha_inicio]]="","",YEAR(tblOrdenes[[#This Row],[fecha_inicio]]))</f>
        <v/>
      </c>
      <c r="Q137" s="3">
        <f>IF(tblOrdenes[[#This Row],[fecha_inicio]]="","",MONTH(tblOrdenes[[#This Row],[fecha_inicio]]))</f>
        <v/>
      </c>
      <c r="R137" s="3">
        <f>IF(tblOrdenes[[#This Row],[fecha_inicio]]="","",INDEX(lista_dias,WEEKDAY(tblOrdenes[[#This Row],[fecha_inicio]],2)))</f>
        <v/>
      </c>
      <c r="S137" s="3">
        <f>_xlfn.XLOOKUP(tblOrdenes[[#This Row],[tipo_ot]],tblTiposOT[codigo],tblTiposOT[clasificacion],"sin_clasificar")</f>
        <v/>
      </c>
      <c r="T137" s="3">
        <f>_xlfn.XLOOKUP(tblOrdenes[[#This Row],[centro_costo]],tblCECO[codigo],tblCECO[linea],"(sin catálogo)")</f>
        <v/>
      </c>
      <c r="U137" s="3">
        <f>_xlfn.XLOOKUP(tblOrdenes[[#This Row],[centro_costo]],tblCECO[codigo],tblCECO[area],"(sin catálogo)")</f>
        <v/>
      </c>
      <c r="V137" s="3">
        <f>_xlfn.XLOOKUP(tblOrdenes[[#This Row],[centro_costo]],tblCECO[codigo],tblCECO[coordinador],"(sin catálogo)")</f>
        <v/>
      </c>
      <c r="W137" s="3">
        <f>_xlfn.XLOOKUP(tblOrdenes[[#This Row],[puesto_trabajo]],tblPuestos[codigo],tblPuestos[especialidad],"(sin catálogo)")</f>
        <v/>
      </c>
      <c r="X137" s="3">
        <f>_xlfn.XLOOKUP(tblOrdenes[[#This Row],[cod_actividad]],tblActividades[codigo],tblActividades[descripcion],"(sin catálogo)")</f>
        <v/>
      </c>
      <c r="Y137" s="12">
        <f>IF(tblOrdenes[[#This Row],[fecha_inicio]]="","",TODAY()-tblOrdenes[[#This Row],[fecha_inicio]])</f>
        <v/>
      </c>
      <c r="Z137" s="3">
        <f>IF(tblOrdenes[[#This Row],[backlog_dias]]="","",IF(tblOrdenes[[#This Row],[backlog_dias]]&lt;0,"FUTURO",IF(tblOrdenes[[#This Row],[backlog_dias]]&gt;p_dias_backlog_max,"BACKLOG","MES CORRIENTE")))</f>
        <v/>
      </c>
      <c r="AA137" s="3">
        <f>IF(tblOrdenes[[#This Row],[backlog_dias]]="",FALSE,AND(tblOrdenes[[#This Row],[backlog_dias]]&gt;p_dias_backlog_min,tblOrdenes[[#This Row],[backlog_dias]]&lt;=p_dias_backlog_max))</f>
        <v/>
      </c>
      <c r="AB137" s="6" t="inlineStr"/>
      <c r="AC13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7" s="10">
        <f>_xlfn.XLOOKUP(tblOrdenes[[#This Row],[id_operacion]],tblEjecucion[id_operacion],tblEjecucion[precio],0)</f>
        <v/>
      </c>
      <c r="AE137" s="10">
        <f>MAX(0,_xlfn.XLOOKUP(tblOrdenes[[#This Row],[id_operacion]],tblEjecucion[id_operacion],tblEjecucion[costo_plan_total],0)-tblOrdenes[[#This Row],[costo_servicio]])</f>
        <v/>
      </c>
      <c r="AF137" s="10">
        <f>tblOrdenes[[#This Row],[costo_servicio]]+tblOrdenes[[#This Row],[costo_materiales]]</f>
        <v/>
      </c>
      <c r="AG137" s="6" t="inlineStr"/>
      <c r="AH137" s="6" t="inlineStr"/>
      <c r="AI137" s="6" t="inlineStr"/>
      <c r="AJ137" s="3">
        <f>IF(tblOrdenes[[#This Row],[link_checklist]]="","",HYPERLINK(p_ruta_base_checklists&amp;tblOrdenes[[#This Row],[link_checklist]],"abrir"))</f>
        <v/>
      </c>
      <c r="AK137" s="6" t="inlineStr"/>
    </row>
    <row r="138">
      <c r="A138" s="3" t="inlineStr">
        <is>
          <t>OT-000135</t>
        </is>
      </c>
      <c r="B138" s="3" t="inlineStr">
        <is>
          <t>0010</t>
        </is>
      </c>
      <c r="C138" s="3">
        <f>tblOrdenes[[#This Row],[orden]]&amp;IF(tblOrdenes[[#This Row],[operacion]]="","0010",tblOrdenes[[#This Row],[operacion]])</f>
        <v/>
      </c>
      <c r="D138" s="3" t="inlineStr">
        <is>
          <t>Reparación de falla — EQ-101</t>
        </is>
      </c>
      <c r="E138" s="3" t="inlineStr">
        <is>
          <t>Reparación de falla en EQ-101</t>
        </is>
      </c>
      <c r="F138" s="3" t="inlineStr">
        <is>
          <t>EQ-101</t>
        </is>
      </c>
      <c r="G138" s="3" t="inlineStr">
        <is>
          <t>CC-120</t>
        </is>
      </c>
      <c r="H138" s="3" t="inlineStr">
        <is>
          <t>PU-ELE</t>
        </is>
      </c>
      <c r="I138" s="3" t="inlineStr">
        <is>
          <t>ACT-03</t>
        </is>
      </c>
      <c r="J138" s="3" t="inlineStr">
        <is>
          <t>TIPO-C2</t>
        </is>
      </c>
      <c r="K138" s="11" t="n">
        <v>46177</v>
      </c>
      <c r="L138" s="3" t="n">
        <v>6</v>
      </c>
      <c r="M138" s="10" t="n">
        <v>240</v>
      </c>
      <c r="N138" s="3">
        <f>_xlfn.XLOOKUP(_xlfn.XLOOKUP(tblOrdenes[[#This Row],[id_operacion]],tblEjecucion[id_operacion],tblEjecucion[estado_sistema],""),tblEstados[estado_sistema],tblEstados[estado_normalizado],"Pendiente")</f>
        <v/>
      </c>
      <c r="O138" s="3">
        <f>IF(tblOrdenes[[#This Row],[fecha_inicio]]="","","S"&amp;IF(_xlfn.ISOWEEKNUM(tblOrdenes[[#This Row],[fecha_inicio]])=53,1,_xlfn.ISOWEEKNUM(tblOrdenes[[#This Row],[fecha_inicio]])))</f>
        <v/>
      </c>
      <c r="P138" s="3">
        <f>IF(tblOrdenes[[#This Row],[fecha_inicio]]="","",YEAR(tblOrdenes[[#This Row],[fecha_inicio]]))</f>
        <v/>
      </c>
      <c r="Q138" s="3">
        <f>IF(tblOrdenes[[#This Row],[fecha_inicio]]="","",MONTH(tblOrdenes[[#This Row],[fecha_inicio]]))</f>
        <v/>
      </c>
      <c r="R138" s="3">
        <f>IF(tblOrdenes[[#This Row],[fecha_inicio]]="","",INDEX(lista_dias,WEEKDAY(tblOrdenes[[#This Row],[fecha_inicio]],2)))</f>
        <v/>
      </c>
      <c r="S138" s="3">
        <f>_xlfn.XLOOKUP(tblOrdenes[[#This Row],[tipo_ot]],tblTiposOT[codigo],tblTiposOT[clasificacion],"sin_clasificar")</f>
        <v/>
      </c>
      <c r="T138" s="3">
        <f>_xlfn.XLOOKUP(tblOrdenes[[#This Row],[centro_costo]],tblCECO[codigo],tblCECO[linea],"(sin catálogo)")</f>
        <v/>
      </c>
      <c r="U138" s="3">
        <f>_xlfn.XLOOKUP(tblOrdenes[[#This Row],[centro_costo]],tblCECO[codigo],tblCECO[area],"(sin catálogo)")</f>
        <v/>
      </c>
      <c r="V138" s="3">
        <f>_xlfn.XLOOKUP(tblOrdenes[[#This Row],[centro_costo]],tblCECO[codigo],tblCECO[coordinador],"(sin catálogo)")</f>
        <v/>
      </c>
      <c r="W138" s="3">
        <f>_xlfn.XLOOKUP(tblOrdenes[[#This Row],[puesto_trabajo]],tblPuestos[codigo],tblPuestos[especialidad],"(sin catálogo)")</f>
        <v/>
      </c>
      <c r="X138" s="3">
        <f>_xlfn.XLOOKUP(tblOrdenes[[#This Row],[cod_actividad]],tblActividades[codigo],tblActividades[descripcion],"(sin catálogo)")</f>
        <v/>
      </c>
      <c r="Y138" s="12">
        <f>IF(tblOrdenes[[#This Row],[fecha_inicio]]="","",TODAY()-tblOrdenes[[#This Row],[fecha_inicio]])</f>
        <v/>
      </c>
      <c r="Z138" s="3">
        <f>IF(tblOrdenes[[#This Row],[backlog_dias]]="","",IF(tblOrdenes[[#This Row],[backlog_dias]]&lt;0,"FUTURO",IF(tblOrdenes[[#This Row],[backlog_dias]]&gt;p_dias_backlog_max,"BACKLOG","MES CORRIENTE")))</f>
        <v/>
      </c>
      <c r="AA138" s="3">
        <f>IF(tblOrdenes[[#This Row],[backlog_dias]]="",FALSE,AND(tblOrdenes[[#This Row],[backlog_dias]]&gt;p_dias_backlog_min,tblOrdenes[[#This Row],[backlog_dias]]&lt;=p_dias_backlog_max))</f>
        <v/>
      </c>
      <c r="AB138" s="6" t="inlineStr"/>
      <c r="AC13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8" s="10">
        <f>_xlfn.XLOOKUP(tblOrdenes[[#This Row],[id_operacion]],tblEjecucion[id_operacion],tblEjecucion[precio],0)</f>
        <v/>
      </c>
      <c r="AE138" s="10">
        <f>MAX(0,_xlfn.XLOOKUP(tblOrdenes[[#This Row],[id_operacion]],tblEjecucion[id_operacion],tblEjecucion[costo_plan_total],0)-tblOrdenes[[#This Row],[costo_servicio]])</f>
        <v/>
      </c>
      <c r="AF138" s="10">
        <f>tblOrdenes[[#This Row],[costo_servicio]]+tblOrdenes[[#This Row],[costo_materiales]]</f>
        <v/>
      </c>
      <c r="AG138" s="6" t="inlineStr"/>
      <c r="AH138" s="6" t="inlineStr"/>
      <c r="AI138" s="6" t="inlineStr"/>
      <c r="AJ138" s="3">
        <f>IF(tblOrdenes[[#This Row],[link_checklist]]="","",HYPERLINK(p_ruta_base_checklists&amp;tblOrdenes[[#This Row],[link_checklist]],"abrir"))</f>
        <v/>
      </c>
      <c r="AK138" s="6" t="inlineStr"/>
    </row>
    <row r="139">
      <c r="A139" s="3" t="inlineStr">
        <is>
          <t>OT-000136</t>
        </is>
      </c>
      <c r="B139" s="3" t="inlineStr">
        <is>
          <t>0010</t>
        </is>
      </c>
      <c r="C139" s="3">
        <f>tblOrdenes[[#This Row],[orden]]&amp;IF(tblOrdenes[[#This Row],[operacion]]="","0010",tblOrdenes[[#This Row],[operacion]])</f>
        <v/>
      </c>
      <c r="D139" s="3" t="inlineStr">
        <is>
          <t>Reparación de falla — EQ-106</t>
        </is>
      </c>
      <c r="E139" s="3" t="inlineStr">
        <is>
          <t>Reparación de falla en EQ-106</t>
        </is>
      </c>
      <c r="F139" s="3" t="inlineStr">
        <is>
          <t>EQ-106</t>
        </is>
      </c>
      <c r="G139" s="3" t="inlineStr">
        <is>
          <t>CC-210</t>
        </is>
      </c>
      <c r="H139" s="3" t="inlineStr">
        <is>
          <t>PU-AUT</t>
        </is>
      </c>
      <c r="I139" s="3" t="inlineStr">
        <is>
          <t>ACT-03</t>
        </is>
      </c>
      <c r="J139" s="3" t="inlineStr">
        <is>
          <t>TIPO-C1</t>
        </is>
      </c>
      <c r="K139" s="11" t="n">
        <v>46177</v>
      </c>
      <c r="L139" s="3" t="n">
        <v>8</v>
      </c>
      <c r="M139" s="10" t="n">
        <v>320</v>
      </c>
      <c r="N139" s="3">
        <f>_xlfn.XLOOKUP(_xlfn.XLOOKUP(tblOrdenes[[#This Row],[id_operacion]],tblEjecucion[id_operacion],tblEjecucion[estado_sistema],""),tblEstados[estado_sistema],tblEstados[estado_normalizado],"Pendiente")</f>
        <v/>
      </c>
      <c r="O139" s="3">
        <f>IF(tblOrdenes[[#This Row],[fecha_inicio]]="","","S"&amp;IF(_xlfn.ISOWEEKNUM(tblOrdenes[[#This Row],[fecha_inicio]])=53,1,_xlfn.ISOWEEKNUM(tblOrdenes[[#This Row],[fecha_inicio]])))</f>
        <v/>
      </c>
      <c r="P139" s="3">
        <f>IF(tblOrdenes[[#This Row],[fecha_inicio]]="","",YEAR(tblOrdenes[[#This Row],[fecha_inicio]]))</f>
        <v/>
      </c>
      <c r="Q139" s="3">
        <f>IF(tblOrdenes[[#This Row],[fecha_inicio]]="","",MONTH(tblOrdenes[[#This Row],[fecha_inicio]]))</f>
        <v/>
      </c>
      <c r="R139" s="3">
        <f>IF(tblOrdenes[[#This Row],[fecha_inicio]]="","",INDEX(lista_dias,WEEKDAY(tblOrdenes[[#This Row],[fecha_inicio]],2)))</f>
        <v/>
      </c>
      <c r="S139" s="3">
        <f>_xlfn.XLOOKUP(tblOrdenes[[#This Row],[tipo_ot]],tblTiposOT[codigo],tblTiposOT[clasificacion],"sin_clasificar")</f>
        <v/>
      </c>
      <c r="T139" s="3">
        <f>_xlfn.XLOOKUP(tblOrdenes[[#This Row],[centro_costo]],tblCECO[codigo],tblCECO[linea],"(sin catálogo)")</f>
        <v/>
      </c>
      <c r="U139" s="3">
        <f>_xlfn.XLOOKUP(tblOrdenes[[#This Row],[centro_costo]],tblCECO[codigo],tblCECO[area],"(sin catálogo)")</f>
        <v/>
      </c>
      <c r="V139" s="3">
        <f>_xlfn.XLOOKUP(tblOrdenes[[#This Row],[centro_costo]],tblCECO[codigo],tblCECO[coordinador],"(sin catálogo)")</f>
        <v/>
      </c>
      <c r="W139" s="3">
        <f>_xlfn.XLOOKUP(tblOrdenes[[#This Row],[puesto_trabajo]],tblPuestos[codigo],tblPuestos[especialidad],"(sin catálogo)")</f>
        <v/>
      </c>
      <c r="X139" s="3">
        <f>_xlfn.XLOOKUP(tblOrdenes[[#This Row],[cod_actividad]],tblActividades[codigo],tblActividades[descripcion],"(sin catálogo)")</f>
        <v/>
      </c>
      <c r="Y139" s="12">
        <f>IF(tblOrdenes[[#This Row],[fecha_inicio]]="","",TODAY()-tblOrdenes[[#This Row],[fecha_inicio]])</f>
        <v/>
      </c>
      <c r="Z139" s="3">
        <f>IF(tblOrdenes[[#This Row],[backlog_dias]]="","",IF(tblOrdenes[[#This Row],[backlog_dias]]&lt;0,"FUTURO",IF(tblOrdenes[[#This Row],[backlog_dias]]&gt;p_dias_backlog_max,"BACKLOG","MES CORRIENTE")))</f>
        <v/>
      </c>
      <c r="AA139" s="3">
        <f>IF(tblOrdenes[[#This Row],[backlog_dias]]="",FALSE,AND(tblOrdenes[[#This Row],[backlog_dias]]&gt;p_dias_backlog_min,tblOrdenes[[#This Row],[backlog_dias]]&lt;=p_dias_backlog_max))</f>
        <v/>
      </c>
      <c r="AB139" s="6" t="inlineStr"/>
      <c r="AC13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9" s="10">
        <f>_xlfn.XLOOKUP(tblOrdenes[[#This Row],[id_operacion]],tblEjecucion[id_operacion],tblEjecucion[precio],0)</f>
        <v/>
      </c>
      <c r="AE139" s="10">
        <f>MAX(0,_xlfn.XLOOKUP(tblOrdenes[[#This Row],[id_operacion]],tblEjecucion[id_operacion],tblEjecucion[costo_plan_total],0)-tblOrdenes[[#This Row],[costo_servicio]])</f>
        <v/>
      </c>
      <c r="AF139" s="10">
        <f>tblOrdenes[[#This Row],[costo_servicio]]+tblOrdenes[[#This Row],[costo_materiales]]</f>
        <v/>
      </c>
      <c r="AG139" s="6" t="inlineStr"/>
      <c r="AH139" s="6" t="inlineStr"/>
      <c r="AI139" s="6" t="inlineStr"/>
      <c r="AJ139" s="3">
        <f>IF(tblOrdenes[[#This Row],[link_checklist]]="","",HYPERLINK(p_ruta_base_checklists&amp;tblOrdenes[[#This Row],[link_checklist]],"abrir"))</f>
        <v/>
      </c>
      <c r="AK139" s="6" t="inlineStr"/>
    </row>
    <row r="140">
      <c r="A140" s="3" t="inlineStr">
        <is>
          <t>OT-000137</t>
        </is>
      </c>
      <c r="B140" s="3" t="inlineStr">
        <is>
          <t>0010</t>
        </is>
      </c>
      <c r="C140" s="3">
        <f>tblOrdenes[[#This Row],[orden]]&amp;IF(tblOrdenes[[#This Row],[operacion]]="","0010",tblOrdenes[[#This Row],[operacion]])</f>
        <v/>
      </c>
      <c r="D140" s="3" t="inlineStr">
        <is>
          <t>Análisis predictivo — EQ-107</t>
        </is>
      </c>
      <c r="E140" s="3" t="inlineStr">
        <is>
          <t>Análisis predictivo en EQ-107</t>
        </is>
      </c>
      <c r="F140" s="3" t="inlineStr">
        <is>
          <t>EQ-107</t>
        </is>
      </c>
      <c r="G140" s="3" t="inlineStr">
        <is>
          <t>CC-220</t>
        </is>
      </c>
      <c r="H140" s="3" t="inlineStr">
        <is>
          <t>PU-OP</t>
        </is>
      </c>
      <c r="I140" s="3" t="inlineStr">
        <is>
          <t>ACT-04</t>
        </is>
      </c>
      <c r="J140" s="3" t="inlineStr">
        <is>
          <t>TIPO-P2</t>
        </is>
      </c>
      <c r="K140" s="11" t="n">
        <v>46177</v>
      </c>
      <c r="L140" s="3" t="n">
        <v>4</v>
      </c>
      <c r="M140" s="10" t="n">
        <v>100</v>
      </c>
      <c r="N140" s="3">
        <f>_xlfn.XLOOKUP(_xlfn.XLOOKUP(tblOrdenes[[#This Row],[id_operacion]],tblEjecucion[id_operacion],tblEjecucion[estado_sistema],""),tblEstados[estado_sistema],tblEstados[estado_normalizado],"Pendiente")</f>
        <v/>
      </c>
      <c r="O140" s="3">
        <f>IF(tblOrdenes[[#This Row],[fecha_inicio]]="","","S"&amp;IF(_xlfn.ISOWEEKNUM(tblOrdenes[[#This Row],[fecha_inicio]])=53,1,_xlfn.ISOWEEKNUM(tblOrdenes[[#This Row],[fecha_inicio]])))</f>
        <v/>
      </c>
      <c r="P140" s="3">
        <f>IF(tblOrdenes[[#This Row],[fecha_inicio]]="","",YEAR(tblOrdenes[[#This Row],[fecha_inicio]]))</f>
        <v/>
      </c>
      <c r="Q140" s="3">
        <f>IF(tblOrdenes[[#This Row],[fecha_inicio]]="","",MONTH(tblOrdenes[[#This Row],[fecha_inicio]]))</f>
        <v/>
      </c>
      <c r="R140" s="3">
        <f>IF(tblOrdenes[[#This Row],[fecha_inicio]]="","",INDEX(lista_dias,WEEKDAY(tblOrdenes[[#This Row],[fecha_inicio]],2)))</f>
        <v/>
      </c>
      <c r="S140" s="3">
        <f>_xlfn.XLOOKUP(tblOrdenes[[#This Row],[tipo_ot]],tblTiposOT[codigo],tblTiposOT[clasificacion],"sin_clasificar")</f>
        <v/>
      </c>
      <c r="T140" s="3">
        <f>_xlfn.XLOOKUP(tblOrdenes[[#This Row],[centro_costo]],tblCECO[codigo],tblCECO[linea],"(sin catálogo)")</f>
        <v/>
      </c>
      <c r="U140" s="3">
        <f>_xlfn.XLOOKUP(tblOrdenes[[#This Row],[centro_costo]],tblCECO[codigo],tblCECO[area],"(sin catálogo)")</f>
        <v/>
      </c>
      <c r="V140" s="3">
        <f>_xlfn.XLOOKUP(tblOrdenes[[#This Row],[centro_costo]],tblCECO[codigo],tblCECO[coordinador],"(sin catálogo)")</f>
        <v/>
      </c>
      <c r="W140" s="3">
        <f>_xlfn.XLOOKUP(tblOrdenes[[#This Row],[puesto_trabajo]],tblPuestos[codigo],tblPuestos[especialidad],"(sin catálogo)")</f>
        <v/>
      </c>
      <c r="X140" s="3">
        <f>_xlfn.XLOOKUP(tblOrdenes[[#This Row],[cod_actividad]],tblActividades[codigo],tblActividades[descripcion],"(sin catálogo)")</f>
        <v/>
      </c>
      <c r="Y140" s="12">
        <f>IF(tblOrdenes[[#This Row],[fecha_inicio]]="","",TODAY()-tblOrdenes[[#This Row],[fecha_inicio]])</f>
        <v/>
      </c>
      <c r="Z140" s="3">
        <f>IF(tblOrdenes[[#This Row],[backlog_dias]]="","",IF(tblOrdenes[[#This Row],[backlog_dias]]&lt;0,"FUTURO",IF(tblOrdenes[[#This Row],[backlog_dias]]&gt;p_dias_backlog_max,"BACKLOG","MES CORRIENTE")))</f>
        <v/>
      </c>
      <c r="AA140" s="3">
        <f>IF(tblOrdenes[[#This Row],[backlog_dias]]="",FALSE,AND(tblOrdenes[[#This Row],[backlog_dias]]&gt;p_dias_backlog_min,tblOrdenes[[#This Row],[backlog_dias]]&lt;=p_dias_backlog_max))</f>
        <v/>
      </c>
      <c r="AB140" s="6" t="inlineStr"/>
      <c r="AC14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0" s="10">
        <f>_xlfn.XLOOKUP(tblOrdenes[[#This Row],[id_operacion]],tblEjecucion[id_operacion],tblEjecucion[precio],0)</f>
        <v/>
      </c>
      <c r="AE140" s="10">
        <f>MAX(0,_xlfn.XLOOKUP(tblOrdenes[[#This Row],[id_operacion]],tblEjecucion[id_operacion],tblEjecucion[costo_plan_total],0)-tblOrdenes[[#This Row],[costo_servicio]])</f>
        <v/>
      </c>
      <c r="AF140" s="10">
        <f>tblOrdenes[[#This Row],[costo_servicio]]+tblOrdenes[[#This Row],[costo_materiales]]</f>
        <v/>
      </c>
      <c r="AG140" s="6" t="inlineStr"/>
      <c r="AH140" s="6" t="inlineStr"/>
      <c r="AI140" s="6" t="inlineStr"/>
      <c r="AJ140" s="3">
        <f>IF(tblOrdenes[[#This Row],[link_checklist]]="","",HYPERLINK(p_ruta_base_checklists&amp;tblOrdenes[[#This Row],[link_checklist]],"abrir"))</f>
        <v/>
      </c>
      <c r="AK140" s="6" t="inlineStr"/>
    </row>
    <row r="141">
      <c r="A141" s="3" t="inlineStr">
        <is>
          <t>OT-000138</t>
        </is>
      </c>
      <c r="B141" s="3" t="inlineStr">
        <is>
          <t>0010</t>
        </is>
      </c>
      <c r="C141" s="3">
        <f>tblOrdenes[[#This Row],[orden]]&amp;IF(tblOrdenes[[#This Row],[operacion]]="","0010",tblOrdenes[[#This Row],[operacion]])</f>
        <v/>
      </c>
      <c r="D141" s="3" t="inlineStr">
        <is>
          <t>Reparación de falla — EQ-110</t>
        </is>
      </c>
      <c r="E141" s="3" t="inlineStr">
        <is>
          <t>Reparación de falla en EQ-110</t>
        </is>
      </c>
      <c r="F141" s="3" t="inlineStr">
        <is>
          <t>EQ-110</t>
        </is>
      </c>
      <c r="G141" s="3" t="inlineStr">
        <is>
          <t>CC-310</t>
        </is>
      </c>
      <c r="H141" s="3" t="inlineStr">
        <is>
          <t>PU-MEC</t>
        </is>
      </c>
      <c r="I141" s="3" t="inlineStr">
        <is>
          <t>ACT-03</t>
        </is>
      </c>
      <c r="J141" s="3" t="inlineStr">
        <is>
          <t>TIPO-C1</t>
        </is>
      </c>
      <c r="K141" s="11" t="n">
        <v>46177</v>
      </c>
      <c r="L141" s="3" t="n">
        <v>6</v>
      </c>
      <c r="M141" s="10" t="n">
        <v>240</v>
      </c>
      <c r="N141" s="3">
        <f>_xlfn.XLOOKUP(_xlfn.XLOOKUP(tblOrdenes[[#This Row],[id_operacion]],tblEjecucion[id_operacion],tblEjecucion[estado_sistema],""),tblEstados[estado_sistema],tblEstados[estado_normalizado],"Pendiente")</f>
        <v/>
      </c>
      <c r="O141" s="3">
        <f>IF(tblOrdenes[[#This Row],[fecha_inicio]]="","","S"&amp;IF(_xlfn.ISOWEEKNUM(tblOrdenes[[#This Row],[fecha_inicio]])=53,1,_xlfn.ISOWEEKNUM(tblOrdenes[[#This Row],[fecha_inicio]])))</f>
        <v/>
      </c>
      <c r="P141" s="3">
        <f>IF(tblOrdenes[[#This Row],[fecha_inicio]]="","",YEAR(tblOrdenes[[#This Row],[fecha_inicio]]))</f>
        <v/>
      </c>
      <c r="Q141" s="3">
        <f>IF(tblOrdenes[[#This Row],[fecha_inicio]]="","",MONTH(tblOrdenes[[#This Row],[fecha_inicio]]))</f>
        <v/>
      </c>
      <c r="R141" s="3">
        <f>IF(tblOrdenes[[#This Row],[fecha_inicio]]="","",INDEX(lista_dias,WEEKDAY(tblOrdenes[[#This Row],[fecha_inicio]],2)))</f>
        <v/>
      </c>
      <c r="S141" s="3">
        <f>_xlfn.XLOOKUP(tblOrdenes[[#This Row],[tipo_ot]],tblTiposOT[codigo],tblTiposOT[clasificacion],"sin_clasificar")</f>
        <v/>
      </c>
      <c r="T141" s="3">
        <f>_xlfn.XLOOKUP(tblOrdenes[[#This Row],[centro_costo]],tblCECO[codigo],tblCECO[linea],"(sin catálogo)")</f>
        <v/>
      </c>
      <c r="U141" s="3">
        <f>_xlfn.XLOOKUP(tblOrdenes[[#This Row],[centro_costo]],tblCECO[codigo],tblCECO[area],"(sin catálogo)")</f>
        <v/>
      </c>
      <c r="V141" s="3">
        <f>_xlfn.XLOOKUP(tblOrdenes[[#This Row],[centro_costo]],tblCECO[codigo],tblCECO[coordinador],"(sin catálogo)")</f>
        <v/>
      </c>
      <c r="W141" s="3">
        <f>_xlfn.XLOOKUP(tblOrdenes[[#This Row],[puesto_trabajo]],tblPuestos[codigo],tblPuestos[especialidad],"(sin catálogo)")</f>
        <v/>
      </c>
      <c r="X141" s="3">
        <f>_xlfn.XLOOKUP(tblOrdenes[[#This Row],[cod_actividad]],tblActividades[codigo],tblActividades[descripcion],"(sin catálogo)")</f>
        <v/>
      </c>
      <c r="Y141" s="12">
        <f>IF(tblOrdenes[[#This Row],[fecha_inicio]]="","",TODAY()-tblOrdenes[[#This Row],[fecha_inicio]])</f>
        <v/>
      </c>
      <c r="Z141" s="3">
        <f>IF(tblOrdenes[[#This Row],[backlog_dias]]="","",IF(tblOrdenes[[#This Row],[backlog_dias]]&lt;0,"FUTURO",IF(tblOrdenes[[#This Row],[backlog_dias]]&gt;p_dias_backlog_max,"BACKLOG","MES CORRIENTE")))</f>
        <v/>
      </c>
      <c r="AA141" s="3">
        <f>IF(tblOrdenes[[#This Row],[backlog_dias]]="",FALSE,AND(tblOrdenes[[#This Row],[backlog_dias]]&gt;p_dias_backlog_min,tblOrdenes[[#This Row],[backlog_dias]]&lt;=p_dias_backlog_max))</f>
        <v/>
      </c>
      <c r="AB141" s="6" t="inlineStr"/>
      <c r="AC14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1" s="10">
        <f>_xlfn.XLOOKUP(tblOrdenes[[#This Row],[id_operacion]],tblEjecucion[id_operacion],tblEjecucion[precio],0)</f>
        <v/>
      </c>
      <c r="AE141" s="10">
        <f>MAX(0,_xlfn.XLOOKUP(tblOrdenes[[#This Row],[id_operacion]],tblEjecucion[id_operacion],tblEjecucion[costo_plan_total],0)-tblOrdenes[[#This Row],[costo_servicio]])</f>
        <v/>
      </c>
      <c r="AF141" s="10">
        <f>tblOrdenes[[#This Row],[costo_servicio]]+tblOrdenes[[#This Row],[costo_materiales]]</f>
        <v/>
      </c>
      <c r="AG141" s="6" t="inlineStr"/>
      <c r="AH141" s="6" t="inlineStr"/>
      <c r="AI141" s="6" t="inlineStr"/>
      <c r="AJ141" s="3">
        <f>IF(tblOrdenes[[#This Row],[link_checklist]]="","",HYPERLINK(p_ruta_base_checklists&amp;tblOrdenes[[#This Row],[link_checklist]],"abrir"))</f>
        <v/>
      </c>
      <c r="AK141" s="6" t="inlineStr"/>
    </row>
    <row r="142">
      <c r="A142" s="3" t="inlineStr">
        <is>
          <t>OT-000139</t>
        </is>
      </c>
      <c r="B142" s="3" t="inlineStr">
        <is>
          <t>0010</t>
        </is>
      </c>
      <c r="C142" s="3">
        <f>tblOrdenes[[#This Row],[orden]]&amp;IF(tblOrdenes[[#This Row],[operacion]]="","0010",tblOrdenes[[#This Row],[operacion]])</f>
        <v/>
      </c>
      <c r="D142" s="3" t="inlineStr">
        <is>
          <t>Reparación de falla — EQ-111</t>
        </is>
      </c>
      <c r="E142" s="3" t="inlineStr">
        <is>
          <t>Reparación de falla en EQ-111</t>
        </is>
      </c>
      <c r="F142" s="3" t="inlineStr">
        <is>
          <t>EQ-111</t>
        </is>
      </c>
      <c r="G142" s="3" t="inlineStr">
        <is>
          <t>CC-320</t>
        </is>
      </c>
      <c r="H142" s="3" t="inlineStr">
        <is>
          <t>PU-ELE</t>
        </is>
      </c>
      <c r="I142" s="3" t="inlineStr">
        <is>
          <t>ACT-03</t>
        </is>
      </c>
      <c r="J142" s="3" t="inlineStr">
        <is>
          <t>TIPO-C2</t>
        </is>
      </c>
      <c r="K142" s="11" t="n">
        <v>46177</v>
      </c>
      <c r="L142" s="3" t="n">
        <v>8</v>
      </c>
      <c r="M142" s="10" t="n">
        <v>320</v>
      </c>
      <c r="N142" s="3">
        <f>_xlfn.XLOOKUP(_xlfn.XLOOKUP(tblOrdenes[[#This Row],[id_operacion]],tblEjecucion[id_operacion],tblEjecucion[estado_sistema],""),tblEstados[estado_sistema],tblEstados[estado_normalizado],"Pendiente")</f>
        <v/>
      </c>
      <c r="O142" s="3">
        <f>IF(tblOrdenes[[#This Row],[fecha_inicio]]="","","S"&amp;IF(_xlfn.ISOWEEKNUM(tblOrdenes[[#This Row],[fecha_inicio]])=53,1,_xlfn.ISOWEEKNUM(tblOrdenes[[#This Row],[fecha_inicio]])))</f>
        <v/>
      </c>
      <c r="P142" s="3">
        <f>IF(tblOrdenes[[#This Row],[fecha_inicio]]="","",YEAR(tblOrdenes[[#This Row],[fecha_inicio]]))</f>
        <v/>
      </c>
      <c r="Q142" s="3">
        <f>IF(tblOrdenes[[#This Row],[fecha_inicio]]="","",MONTH(tblOrdenes[[#This Row],[fecha_inicio]]))</f>
        <v/>
      </c>
      <c r="R142" s="3">
        <f>IF(tblOrdenes[[#This Row],[fecha_inicio]]="","",INDEX(lista_dias,WEEKDAY(tblOrdenes[[#This Row],[fecha_inicio]],2)))</f>
        <v/>
      </c>
      <c r="S142" s="3">
        <f>_xlfn.XLOOKUP(tblOrdenes[[#This Row],[tipo_ot]],tblTiposOT[codigo],tblTiposOT[clasificacion],"sin_clasificar")</f>
        <v/>
      </c>
      <c r="T142" s="3">
        <f>_xlfn.XLOOKUP(tblOrdenes[[#This Row],[centro_costo]],tblCECO[codigo],tblCECO[linea],"(sin catálogo)")</f>
        <v/>
      </c>
      <c r="U142" s="3">
        <f>_xlfn.XLOOKUP(tblOrdenes[[#This Row],[centro_costo]],tblCECO[codigo],tblCECO[area],"(sin catálogo)")</f>
        <v/>
      </c>
      <c r="V142" s="3">
        <f>_xlfn.XLOOKUP(tblOrdenes[[#This Row],[centro_costo]],tblCECO[codigo],tblCECO[coordinador],"(sin catálogo)")</f>
        <v/>
      </c>
      <c r="W142" s="3">
        <f>_xlfn.XLOOKUP(tblOrdenes[[#This Row],[puesto_trabajo]],tblPuestos[codigo],tblPuestos[especialidad],"(sin catálogo)")</f>
        <v/>
      </c>
      <c r="X142" s="3">
        <f>_xlfn.XLOOKUP(tblOrdenes[[#This Row],[cod_actividad]],tblActividades[codigo],tblActividades[descripcion],"(sin catálogo)")</f>
        <v/>
      </c>
      <c r="Y142" s="12">
        <f>IF(tblOrdenes[[#This Row],[fecha_inicio]]="","",TODAY()-tblOrdenes[[#This Row],[fecha_inicio]])</f>
        <v/>
      </c>
      <c r="Z142" s="3">
        <f>IF(tblOrdenes[[#This Row],[backlog_dias]]="","",IF(tblOrdenes[[#This Row],[backlog_dias]]&lt;0,"FUTURO",IF(tblOrdenes[[#This Row],[backlog_dias]]&gt;p_dias_backlog_max,"BACKLOG","MES CORRIENTE")))</f>
        <v/>
      </c>
      <c r="AA142" s="3">
        <f>IF(tblOrdenes[[#This Row],[backlog_dias]]="",FALSE,AND(tblOrdenes[[#This Row],[backlog_dias]]&gt;p_dias_backlog_min,tblOrdenes[[#This Row],[backlog_dias]]&lt;=p_dias_backlog_max))</f>
        <v/>
      </c>
      <c r="AB142" s="6" t="inlineStr"/>
      <c r="AC14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2" s="10">
        <f>_xlfn.XLOOKUP(tblOrdenes[[#This Row],[id_operacion]],tblEjecucion[id_operacion],tblEjecucion[precio],0)</f>
        <v/>
      </c>
      <c r="AE142" s="10">
        <f>MAX(0,_xlfn.XLOOKUP(tblOrdenes[[#This Row],[id_operacion]],tblEjecucion[id_operacion],tblEjecucion[costo_plan_total],0)-tblOrdenes[[#This Row],[costo_servicio]])</f>
        <v/>
      </c>
      <c r="AF142" s="10">
        <f>tblOrdenes[[#This Row],[costo_servicio]]+tblOrdenes[[#This Row],[costo_materiales]]</f>
        <v/>
      </c>
      <c r="AG142" s="6" t="inlineStr"/>
      <c r="AH142" s="6" t="inlineStr"/>
      <c r="AI142" s="6" t="inlineStr"/>
      <c r="AJ142" s="3">
        <f>IF(tblOrdenes[[#This Row],[link_checklist]]="","",HYPERLINK(p_ruta_base_checklists&amp;tblOrdenes[[#This Row],[link_checklist]],"abrir"))</f>
        <v/>
      </c>
      <c r="AK142" s="6" t="inlineStr"/>
    </row>
    <row r="143">
      <c r="A143" s="3" t="inlineStr">
        <is>
          <t>OT-000140</t>
        </is>
      </c>
      <c r="B143" s="3" t="inlineStr">
        <is>
          <t>0010</t>
        </is>
      </c>
      <c r="C143" s="3">
        <f>tblOrdenes[[#This Row],[orden]]&amp;IF(tblOrdenes[[#This Row],[operacion]]="","0010",tblOrdenes[[#This Row],[operacion]])</f>
        <v/>
      </c>
      <c r="D143" s="3" t="inlineStr">
        <is>
          <t>Reparación de falla — EQ-101</t>
        </is>
      </c>
      <c r="E143" s="3" t="inlineStr">
        <is>
          <t>Reparación de falla en EQ-101</t>
        </is>
      </c>
      <c r="F143" s="3" t="inlineStr">
        <is>
          <t>EQ-101</t>
        </is>
      </c>
      <c r="G143" s="3" t="inlineStr">
        <is>
          <t>CC-110</t>
        </is>
      </c>
      <c r="H143" s="3" t="inlineStr">
        <is>
          <t>PU-AUT</t>
        </is>
      </c>
      <c r="I143" s="3" t="inlineStr">
        <is>
          <t>ACT-03</t>
        </is>
      </c>
      <c r="J143" s="3" t="inlineStr">
        <is>
          <t>TIPO-C1</t>
        </is>
      </c>
      <c r="K143" s="11" t="n">
        <v>46177</v>
      </c>
      <c r="L143" s="3" t="n">
        <v>4</v>
      </c>
      <c r="M143" s="10" t="n">
        <v>160</v>
      </c>
      <c r="N143" s="3">
        <f>_xlfn.XLOOKUP(_xlfn.XLOOKUP(tblOrdenes[[#This Row],[id_operacion]],tblEjecucion[id_operacion],tblEjecucion[estado_sistema],""),tblEstados[estado_sistema],tblEstados[estado_normalizado],"Pendiente")</f>
        <v/>
      </c>
      <c r="O143" s="3">
        <f>IF(tblOrdenes[[#This Row],[fecha_inicio]]="","","S"&amp;IF(_xlfn.ISOWEEKNUM(tblOrdenes[[#This Row],[fecha_inicio]])=53,1,_xlfn.ISOWEEKNUM(tblOrdenes[[#This Row],[fecha_inicio]])))</f>
        <v/>
      </c>
      <c r="P143" s="3">
        <f>IF(tblOrdenes[[#This Row],[fecha_inicio]]="","",YEAR(tblOrdenes[[#This Row],[fecha_inicio]]))</f>
        <v/>
      </c>
      <c r="Q143" s="3">
        <f>IF(tblOrdenes[[#This Row],[fecha_inicio]]="","",MONTH(tblOrdenes[[#This Row],[fecha_inicio]]))</f>
        <v/>
      </c>
      <c r="R143" s="3">
        <f>IF(tblOrdenes[[#This Row],[fecha_inicio]]="","",INDEX(lista_dias,WEEKDAY(tblOrdenes[[#This Row],[fecha_inicio]],2)))</f>
        <v/>
      </c>
      <c r="S143" s="3">
        <f>_xlfn.XLOOKUP(tblOrdenes[[#This Row],[tipo_ot]],tblTiposOT[codigo],tblTiposOT[clasificacion],"sin_clasificar")</f>
        <v/>
      </c>
      <c r="T143" s="3">
        <f>_xlfn.XLOOKUP(tblOrdenes[[#This Row],[centro_costo]],tblCECO[codigo],tblCECO[linea],"(sin catálogo)")</f>
        <v/>
      </c>
      <c r="U143" s="3">
        <f>_xlfn.XLOOKUP(tblOrdenes[[#This Row],[centro_costo]],tblCECO[codigo],tblCECO[area],"(sin catálogo)")</f>
        <v/>
      </c>
      <c r="V143" s="3">
        <f>_xlfn.XLOOKUP(tblOrdenes[[#This Row],[centro_costo]],tblCECO[codigo],tblCECO[coordinador],"(sin catálogo)")</f>
        <v/>
      </c>
      <c r="W143" s="3">
        <f>_xlfn.XLOOKUP(tblOrdenes[[#This Row],[puesto_trabajo]],tblPuestos[codigo],tblPuestos[especialidad],"(sin catálogo)")</f>
        <v/>
      </c>
      <c r="X143" s="3">
        <f>_xlfn.XLOOKUP(tblOrdenes[[#This Row],[cod_actividad]],tblActividades[codigo],tblActividades[descripcion],"(sin catálogo)")</f>
        <v/>
      </c>
      <c r="Y143" s="12">
        <f>IF(tblOrdenes[[#This Row],[fecha_inicio]]="","",TODAY()-tblOrdenes[[#This Row],[fecha_inicio]])</f>
        <v/>
      </c>
      <c r="Z143" s="3">
        <f>IF(tblOrdenes[[#This Row],[backlog_dias]]="","",IF(tblOrdenes[[#This Row],[backlog_dias]]&lt;0,"FUTURO",IF(tblOrdenes[[#This Row],[backlog_dias]]&gt;p_dias_backlog_max,"BACKLOG","MES CORRIENTE")))</f>
        <v/>
      </c>
      <c r="AA143" s="3">
        <f>IF(tblOrdenes[[#This Row],[backlog_dias]]="",FALSE,AND(tblOrdenes[[#This Row],[backlog_dias]]&gt;p_dias_backlog_min,tblOrdenes[[#This Row],[backlog_dias]]&lt;=p_dias_backlog_max))</f>
        <v/>
      </c>
      <c r="AB143" s="6" t="inlineStr"/>
      <c r="AC14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3" s="10">
        <f>_xlfn.XLOOKUP(tblOrdenes[[#This Row],[id_operacion]],tblEjecucion[id_operacion],tblEjecucion[precio],0)</f>
        <v/>
      </c>
      <c r="AE143" s="10">
        <f>MAX(0,_xlfn.XLOOKUP(tblOrdenes[[#This Row],[id_operacion]],tblEjecucion[id_operacion],tblEjecucion[costo_plan_total],0)-tblOrdenes[[#This Row],[costo_servicio]])</f>
        <v/>
      </c>
      <c r="AF143" s="10">
        <f>tblOrdenes[[#This Row],[costo_servicio]]+tblOrdenes[[#This Row],[costo_materiales]]</f>
        <v/>
      </c>
      <c r="AG143" s="6" t="inlineStr"/>
      <c r="AH143" s="6" t="inlineStr"/>
      <c r="AI143" s="6" t="inlineStr"/>
      <c r="AJ143" s="3">
        <f>IF(tblOrdenes[[#This Row],[link_checklist]]="","",HYPERLINK(p_ruta_base_checklists&amp;tblOrdenes[[#This Row],[link_checklist]],"abrir"))</f>
        <v/>
      </c>
      <c r="AK143" s="6" t="inlineStr"/>
    </row>
    <row r="144">
      <c r="A144" s="3" t="inlineStr">
        <is>
          <t>OT-000141</t>
        </is>
      </c>
      <c r="B144" s="3" t="inlineStr">
        <is>
          <t>0010</t>
        </is>
      </c>
      <c r="C144" s="3">
        <f>tblOrdenes[[#This Row],[orden]]&amp;IF(tblOrdenes[[#This Row],[operacion]]="","0010",tblOrdenes[[#This Row],[operacion]])</f>
        <v/>
      </c>
      <c r="D144" s="3" t="inlineStr">
        <is>
          <t>Inspección de rutina — EQ-102</t>
        </is>
      </c>
      <c r="E144" s="3" t="inlineStr">
        <is>
          <t>Inspección de rutina en EQ-102</t>
        </is>
      </c>
      <c r="F144" s="3" t="inlineStr">
        <is>
          <t>EQ-102</t>
        </is>
      </c>
      <c r="G144" s="3" t="inlineStr">
        <is>
          <t>CC-120</t>
        </is>
      </c>
      <c r="H144" s="3" t="inlineStr">
        <is>
          <t>PU-OP</t>
        </is>
      </c>
      <c r="I144" s="3" t="inlineStr">
        <is>
          <t>ACT-01</t>
        </is>
      </c>
      <c r="J144" s="3" t="inlineStr">
        <is>
          <t>TIPO-P2</t>
        </is>
      </c>
      <c r="K144" s="11" t="n">
        <v>46177</v>
      </c>
      <c r="L144" s="3" t="n">
        <v>6</v>
      </c>
      <c r="M144" s="10" t="n">
        <v>150</v>
      </c>
      <c r="N144" s="3">
        <f>_xlfn.XLOOKUP(_xlfn.XLOOKUP(tblOrdenes[[#This Row],[id_operacion]],tblEjecucion[id_operacion],tblEjecucion[estado_sistema],""),tblEstados[estado_sistema],tblEstados[estado_normalizado],"Pendiente")</f>
        <v/>
      </c>
      <c r="O144" s="3">
        <f>IF(tblOrdenes[[#This Row],[fecha_inicio]]="","","S"&amp;IF(_xlfn.ISOWEEKNUM(tblOrdenes[[#This Row],[fecha_inicio]])=53,1,_xlfn.ISOWEEKNUM(tblOrdenes[[#This Row],[fecha_inicio]])))</f>
        <v/>
      </c>
      <c r="P144" s="3">
        <f>IF(tblOrdenes[[#This Row],[fecha_inicio]]="","",YEAR(tblOrdenes[[#This Row],[fecha_inicio]]))</f>
        <v/>
      </c>
      <c r="Q144" s="3">
        <f>IF(tblOrdenes[[#This Row],[fecha_inicio]]="","",MONTH(tblOrdenes[[#This Row],[fecha_inicio]]))</f>
        <v/>
      </c>
      <c r="R144" s="3">
        <f>IF(tblOrdenes[[#This Row],[fecha_inicio]]="","",INDEX(lista_dias,WEEKDAY(tblOrdenes[[#This Row],[fecha_inicio]],2)))</f>
        <v/>
      </c>
      <c r="S144" s="3">
        <f>_xlfn.XLOOKUP(tblOrdenes[[#This Row],[tipo_ot]],tblTiposOT[codigo],tblTiposOT[clasificacion],"sin_clasificar")</f>
        <v/>
      </c>
      <c r="T144" s="3">
        <f>_xlfn.XLOOKUP(tblOrdenes[[#This Row],[centro_costo]],tblCECO[codigo],tblCECO[linea],"(sin catálogo)")</f>
        <v/>
      </c>
      <c r="U144" s="3">
        <f>_xlfn.XLOOKUP(tblOrdenes[[#This Row],[centro_costo]],tblCECO[codigo],tblCECO[area],"(sin catálogo)")</f>
        <v/>
      </c>
      <c r="V144" s="3">
        <f>_xlfn.XLOOKUP(tblOrdenes[[#This Row],[centro_costo]],tblCECO[codigo],tblCECO[coordinador],"(sin catálogo)")</f>
        <v/>
      </c>
      <c r="W144" s="3">
        <f>_xlfn.XLOOKUP(tblOrdenes[[#This Row],[puesto_trabajo]],tblPuestos[codigo],tblPuestos[especialidad],"(sin catálogo)")</f>
        <v/>
      </c>
      <c r="X144" s="3">
        <f>_xlfn.XLOOKUP(tblOrdenes[[#This Row],[cod_actividad]],tblActividades[codigo],tblActividades[descripcion],"(sin catálogo)")</f>
        <v/>
      </c>
      <c r="Y144" s="12">
        <f>IF(tblOrdenes[[#This Row],[fecha_inicio]]="","",TODAY()-tblOrdenes[[#This Row],[fecha_inicio]])</f>
        <v/>
      </c>
      <c r="Z144" s="3">
        <f>IF(tblOrdenes[[#This Row],[backlog_dias]]="","",IF(tblOrdenes[[#This Row],[backlog_dias]]&lt;0,"FUTURO",IF(tblOrdenes[[#This Row],[backlog_dias]]&gt;p_dias_backlog_max,"BACKLOG","MES CORRIENTE")))</f>
        <v/>
      </c>
      <c r="AA144" s="3">
        <f>IF(tblOrdenes[[#This Row],[backlog_dias]]="",FALSE,AND(tblOrdenes[[#This Row],[backlog_dias]]&gt;p_dias_backlog_min,tblOrdenes[[#This Row],[backlog_dias]]&lt;=p_dias_backlog_max))</f>
        <v/>
      </c>
      <c r="AB144" s="6" t="inlineStr"/>
      <c r="AC14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4" s="10">
        <f>_xlfn.XLOOKUP(tblOrdenes[[#This Row],[id_operacion]],tblEjecucion[id_operacion],tblEjecucion[precio],0)</f>
        <v/>
      </c>
      <c r="AE144" s="10">
        <f>MAX(0,_xlfn.XLOOKUP(tblOrdenes[[#This Row],[id_operacion]],tblEjecucion[id_operacion],tblEjecucion[costo_plan_total],0)-tblOrdenes[[#This Row],[costo_servicio]])</f>
        <v/>
      </c>
      <c r="AF144" s="10">
        <f>tblOrdenes[[#This Row],[costo_servicio]]+tblOrdenes[[#This Row],[costo_materiales]]</f>
        <v/>
      </c>
      <c r="AG144" s="6" t="inlineStr"/>
      <c r="AH144" s="6" t="inlineStr"/>
      <c r="AI144" s="6" t="inlineStr"/>
      <c r="AJ144" s="3">
        <f>IF(tblOrdenes[[#This Row],[link_checklist]]="","",HYPERLINK(p_ruta_base_checklists&amp;tblOrdenes[[#This Row],[link_checklist]],"abrir"))</f>
        <v/>
      </c>
      <c r="AK144" s="6" t="inlineStr"/>
    </row>
    <row r="145">
      <c r="A145" s="3" t="inlineStr">
        <is>
          <t>OT-000142</t>
        </is>
      </c>
      <c r="B145" s="3" t="inlineStr">
        <is>
          <t>0010</t>
        </is>
      </c>
      <c r="C145" s="3">
        <f>tblOrdenes[[#This Row],[orden]]&amp;IF(tblOrdenes[[#This Row],[operacion]]="","0010",tblOrdenes[[#This Row],[operacion]])</f>
        <v/>
      </c>
      <c r="D145" s="3" t="inlineStr">
        <is>
          <t>Reparación de falla — EQ-103</t>
        </is>
      </c>
      <c r="E145" s="3" t="inlineStr">
        <is>
          <t>Reparación de falla en EQ-103</t>
        </is>
      </c>
      <c r="F145" s="3" t="inlineStr">
        <is>
          <t>EQ-103</t>
        </is>
      </c>
      <c r="G145" s="3" t="inlineStr">
        <is>
          <t>CC-120</t>
        </is>
      </c>
      <c r="H145" s="3" t="inlineStr">
        <is>
          <t>PU-ELE</t>
        </is>
      </c>
      <c r="I145" s="3" t="inlineStr">
        <is>
          <t>ACT-03</t>
        </is>
      </c>
      <c r="J145" s="3" t="inlineStr">
        <is>
          <t>TIPO-C1</t>
        </is>
      </c>
      <c r="K145" s="11" t="n">
        <v>46147</v>
      </c>
      <c r="L145" s="3" t="n">
        <v>4</v>
      </c>
      <c r="M145" s="10" t="n">
        <v>160</v>
      </c>
      <c r="N145" s="3">
        <f>_xlfn.XLOOKUP(_xlfn.XLOOKUP(tblOrdenes[[#This Row],[id_operacion]],tblEjecucion[id_operacion],tblEjecucion[estado_sistema],""),tblEstados[estado_sistema],tblEstados[estado_normalizado],"Pendiente")</f>
        <v/>
      </c>
      <c r="O145" s="3">
        <f>IF(tblOrdenes[[#This Row],[fecha_inicio]]="","","S"&amp;IF(_xlfn.ISOWEEKNUM(tblOrdenes[[#This Row],[fecha_inicio]])=53,1,_xlfn.ISOWEEKNUM(tblOrdenes[[#This Row],[fecha_inicio]])))</f>
        <v/>
      </c>
      <c r="P145" s="3">
        <f>IF(tblOrdenes[[#This Row],[fecha_inicio]]="","",YEAR(tblOrdenes[[#This Row],[fecha_inicio]]))</f>
        <v/>
      </c>
      <c r="Q145" s="3">
        <f>IF(tblOrdenes[[#This Row],[fecha_inicio]]="","",MONTH(tblOrdenes[[#This Row],[fecha_inicio]]))</f>
        <v/>
      </c>
      <c r="R145" s="3">
        <f>IF(tblOrdenes[[#This Row],[fecha_inicio]]="","",INDEX(lista_dias,WEEKDAY(tblOrdenes[[#This Row],[fecha_inicio]],2)))</f>
        <v/>
      </c>
      <c r="S145" s="3">
        <f>_xlfn.XLOOKUP(tblOrdenes[[#This Row],[tipo_ot]],tblTiposOT[codigo],tblTiposOT[clasificacion],"sin_clasificar")</f>
        <v/>
      </c>
      <c r="T145" s="3">
        <f>_xlfn.XLOOKUP(tblOrdenes[[#This Row],[centro_costo]],tblCECO[codigo],tblCECO[linea],"(sin catálogo)")</f>
        <v/>
      </c>
      <c r="U145" s="3">
        <f>_xlfn.XLOOKUP(tblOrdenes[[#This Row],[centro_costo]],tblCECO[codigo],tblCECO[area],"(sin catálogo)")</f>
        <v/>
      </c>
      <c r="V145" s="3">
        <f>_xlfn.XLOOKUP(tblOrdenes[[#This Row],[centro_costo]],tblCECO[codigo],tblCECO[coordinador],"(sin catálogo)")</f>
        <v/>
      </c>
      <c r="W145" s="3">
        <f>_xlfn.XLOOKUP(tblOrdenes[[#This Row],[puesto_trabajo]],tblPuestos[codigo],tblPuestos[especialidad],"(sin catálogo)")</f>
        <v/>
      </c>
      <c r="X145" s="3">
        <f>_xlfn.XLOOKUP(tblOrdenes[[#This Row],[cod_actividad]],tblActividades[codigo],tblActividades[descripcion],"(sin catálogo)")</f>
        <v/>
      </c>
      <c r="Y145" s="12">
        <f>IF(tblOrdenes[[#This Row],[fecha_inicio]]="","",TODAY()-tblOrdenes[[#This Row],[fecha_inicio]])</f>
        <v/>
      </c>
      <c r="Z145" s="3">
        <f>IF(tblOrdenes[[#This Row],[backlog_dias]]="","",IF(tblOrdenes[[#This Row],[backlog_dias]]&lt;0,"FUTURO",IF(tblOrdenes[[#This Row],[backlog_dias]]&gt;p_dias_backlog_max,"BACKLOG","MES CORRIENTE")))</f>
        <v/>
      </c>
      <c r="AA145" s="3">
        <f>IF(tblOrdenes[[#This Row],[backlog_dias]]="",FALSE,AND(tblOrdenes[[#This Row],[backlog_dias]]&gt;p_dias_backlog_min,tblOrdenes[[#This Row],[backlog_dias]]&lt;=p_dias_backlog_max))</f>
        <v/>
      </c>
      <c r="AB145" s="6" t="inlineStr"/>
      <c r="AC14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5" s="10">
        <f>_xlfn.XLOOKUP(tblOrdenes[[#This Row],[id_operacion]],tblEjecucion[id_operacion],tblEjecucion[precio],0)</f>
        <v/>
      </c>
      <c r="AE145" s="10">
        <f>MAX(0,_xlfn.XLOOKUP(tblOrdenes[[#This Row],[id_operacion]],tblEjecucion[id_operacion],tblEjecucion[costo_plan_total],0)-tblOrdenes[[#This Row],[costo_servicio]])</f>
        <v/>
      </c>
      <c r="AF145" s="10">
        <f>tblOrdenes[[#This Row],[costo_servicio]]+tblOrdenes[[#This Row],[costo_materiales]]</f>
        <v/>
      </c>
      <c r="AG145" s="6" t="inlineStr"/>
      <c r="AH145" s="6" t="inlineStr"/>
      <c r="AI145" s="6" t="inlineStr"/>
      <c r="AJ145" s="3">
        <f>IF(tblOrdenes[[#This Row],[link_checklist]]="","",HYPERLINK(p_ruta_base_checklists&amp;tblOrdenes[[#This Row],[link_checklist]],"abrir"))</f>
        <v/>
      </c>
      <c r="AK145" s="6" t="inlineStr"/>
    </row>
    <row r="146">
      <c r="A146" s="3" t="inlineStr">
        <is>
          <t>OT-000143</t>
        </is>
      </c>
      <c r="B146" s="3" t="inlineStr">
        <is>
          <t>0010</t>
        </is>
      </c>
      <c r="C146" s="3">
        <f>tblOrdenes[[#This Row],[orden]]&amp;IF(tblOrdenes[[#This Row],[operacion]]="","0010",tblOrdenes[[#This Row],[operacion]])</f>
        <v/>
      </c>
      <c r="D146" s="3" t="inlineStr">
        <is>
          <t>Reparación de falla — EQ-109</t>
        </is>
      </c>
      <c r="E146" s="3" t="inlineStr">
        <is>
          <t>Reparación de falla en EQ-109</t>
        </is>
      </c>
      <c r="F146" s="3" t="inlineStr">
        <is>
          <t>EQ-109</t>
        </is>
      </c>
      <c r="G146" s="3" t="inlineStr">
        <is>
          <t>CC-210</t>
        </is>
      </c>
      <c r="H146" s="3" t="inlineStr">
        <is>
          <t>PU-AUT</t>
        </is>
      </c>
      <c r="I146" s="3" t="inlineStr">
        <is>
          <t>ACT-03</t>
        </is>
      </c>
      <c r="J146" s="3" t="inlineStr">
        <is>
          <t>TIPO-C2</t>
        </is>
      </c>
      <c r="K146" s="11" t="n">
        <v>46147</v>
      </c>
      <c r="L146" s="3" t="n">
        <v>6</v>
      </c>
      <c r="M146" s="10" t="n">
        <v>240</v>
      </c>
      <c r="N146" s="3">
        <f>_xlfn.XLOOKUP(_xlfn.XLOOKUP(tblOrdenes[[#This Row],[id_operacion]],tblEjecucion[id_operacion],tblEjecucion[estado_sistema],""),tblEstados[estado_sistema],tblEstados[estado_normalizado],"Pendiente")</f>
        <v/>
      </c>
      <c r="O146" s="3">
        <f>IF(tblOrdenes[[#This Row],[fecha_inicio]]="","","S"&amp;IF(_xlfn.ISOWEEKNUM(tblOrdenes[[#This Row],[fecha_inicio]])=53,1,_xlfn.ISOWEEKNUM(tblOrdenes[[#This Row],[fecha_inicio]])))</f>
        <v/>
      </c>
      <c r="P146" s="3">
        <f>IF(tblOrdenes[[#This Row],[fecha_inicio]]="","",YEAR(tblOrdenes[[#This Row],[fecha_inicio]]))</f>
        <v/>
      </c>
      <c r="Q146" s="3">
        <f>IF(tblOrdenes[[#This Row],[fecha_inicio]]="","",MONTH(tblOrdenes[[#This Row],[fecha_inicio]]))</f>
        <v/>
      </c>
      <c r="R146" s="3">
        <f>IF(tblOrdenes[[#This Row],[fecha_inicio]]="","",INDEX(lista_dias,WEEKDAY(tblOrdenes[[#This Row],[fecha_inicio]],2)))</f>
        <v/>
      </c>
      <c r="S146" s="3">
        <f>_xlfn.XLOOKUP(tblOrdenes[[#This Row],[tipo_ot]],tblTiposOT[codigo],tblTiposOT[clasificacion],"sin_clasificar")</f>
        <v/>
      </c>
      <c r="T146" s="3">
        <f>_xlfn.XLOOKUP(tblOrdenes[[#This Row],[centro_costo]],tblCECO[codigo],tblCECO[linea],"(sin catálogo)")</f>
        <v/>
      </c>
      <c r="U146" s="3">
        <f>_xlfn.XLOOKUP(tblOrdenes[[#This Row],[centro_costo]],tblCECO[codigo],tblCECO[area],"(sin catálogo)")</f>
        <v/>
      </c>
      <c r="V146" s="3">
        <f>_xlfn.XLOOKUP(tblOrdenes[[#This Row],[centro_costo]],tblCECO[codigo],tblCECO[coordinador],"(sin catálogo)")</f>
        <v/>
      </c>
      <c r="W146" s="3">
        <f>_xlfn.XLOOKUP(tblOrdenes[[#This Row],[puesto_trabajo]],tblPuestos[codigo],tblPuestos[especialidad],"(sin catálogo)")</f>
        <v/>
      </c>
      <c r="X146" s="3">
        <f>_xlfn.XLOOKUP(tblOrdenes[[#This Row],[cod_actividad]],tblActividades[codigo],tblActividades[descripcion],"(sin catálogo)")</f>
        <v/>
      </c>
      <c r="Y146" s="12">
        <f>IF(tblOrdenes[[#This Row],[fecha_inicio]]="","",TODAY()-tblOrdenes[[#This Row],[fecha_inicio]])</f>
        <v/>
      </c>
      <c r="Z146" s="3">
        <f>IF(tblOrdenes[[#This Row],[backlog_dias]]="","",IF(tblOrdenes[[#This Row],[backlog_dias]]&lt;0,"FUTURO",IF(tblOrdenes[[#This Row],[backlog_dias]]&gt;p_dias_backlog_max,"BACKLOG","MES CORRIENTE")))</f>
        <v/>
      </c>
      <c r="AA146" s="3">
        <f>IF(tblOrdenes[[#This Row],[backlog_dias]]="",FALSE,AND(tblOrdenes[[#This Row],[backlog_dias]]&gt;p_dias_backlog_min,tblOrdenes[[#This Row],[backlog_dias]]&lt;=p_dias_backlog_max))</f>
        <v/>
      </c>
      <c r="AB146" s="6" t="inlineStr"/>
      <c r="AC14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6" s="10">
        <f>_xlfn.XLOOKUP(tblOrdenes[[#This Row],[id_operacion]],tblEjecucion[id_operacion],tblEjecucion[precio],0)</f>
        <v/>
      </c>
      <c r="AE146" s="10">
        <f>MAX(0,_xlfn.XLOOKUP(tblOrdenes[[#This Row],[id_operacion]],tblEjecucion[id_operacion],tblEjecucion[costo_plan_total],0)-tblOrdenes[[#This Row],[costo_servicio]])</f>
        <v/>
      </c>
      <c r="AF146" s="10">
        <f>tblOrdenes[[#This Row],[costo_servicio]]+tblOrdenes[[#This Row],[costo_materiales]]</f>
        <v/>
      </c>
      <c r="AG146" s="6" t="inlineStr"/>
      <c r="AH146" s="6" t="inlineStr"/>
      <c r="AI146" s="6" t="inlineStr"/>
      <c r="AJ146" s="3">
        <f>IF(tblOrdenes[[#This Row],[link_checklist]]="","",HYPERLINK(p_ruta_base_checklists&amp;tblOrdenes[[#This Row],[link_checklist]],"abrir"))</f>
        <v/>
      </c>
      <c r="AK146" s="6" t="inlineStr"/>
    </row>
    <row r="147">
      <c r="A147" s="3" t="inlineStr">
        <is>
          <t>OT-000144</t>
        </is>
      </c>
      <c r="B147" s="3" t="inlineStr">
        <is>
          <t>0010</t>
        </is>
      </c>
      <c r="C147" s="3">
        <f>tblOrdenes[[#This Row],[orden]]&amp;IF(tblOrdenes[[#This Row],[operacion]]="","0010",tblOrdenes[[#This Row],[operacion]])</f>
        <v/>
      </c>
      <c r="D147" s="3" t="inlineStr">
        <is>
          <t>Reparación de falla — EQ-106</t>
        </is>
      </c>
      <c r="E147" s="3" t="inlineStr">
        <is>
          <t>Reparación de falla en EQ-106</t>
        </is>
      </c>
      <c r="F147" s="3" t="inlineStr">
        <is>
          <t>EQ-106</t>
        </is>
      </c>
      <c r="G147" s="3" t="inlineStr">
        <is>
          <t>CC-220</t>
        </is>
      </c>
      <c r="H147" s="3" t="inlineStr">
        <is>
          <t>PU-OP</t>
        </is>
      </c>
      <c r="I147" s="3" t="inlineStr">
        <is>
          <t>ACT-03</t>
        </is>
      </c>
      <c r="J147" s="3" t="inlineStr">
        <is>
          <t>TIPO-C1</t>
        </is>
      </c>
      <c r="K147" s="11" t="n">
        <v>46147</v>
      </c>
      <c r="L147" s="3" t="n">
        <v>8</v>
      </c>
      <c r="M147" s="10" t="n">
        <v>320</v>
      </c>
      <c r="N147" s="3">
        <f>_xlfn.XLOOKUP(_xlfn.XLOOKUP(tblOrdenes[[#This Row],[id_operacion]],tblEjecucion[id_operacion],tblEjecucion[estado_sistema],""),tblEstados[estado_sistema],tblEstados[estado_normalizado],"Pendiente")</f>
        <v/>
      </c>
      <c r="O147" s="3">
        <f>IF(tblOrdenes[[#This Row],[fecha_inicio]]="","","S"&amp;IF(_xlfn.ISOWEEKNUM(tblOrdenes[[#This Row],[fecha_inicio]])=53,1,_xlfn.ISOWEEKNUM(tblOrdenes[[#This Row],[fecha_inicio]])))</f>
        <v/>
      </c>
      <c r="P147" s="3">
        <f>IF(tblOrdenes[[#This Row],[fecha_inicio]]="","",YEAR(tblOrdenes[[#This Row],[fecha_inicio]]))</f>
        <v/>
      </c>
      <c r="Q147" s="3">
        <f>IF(tblOrdenes[[#This Row],[fecha_inicio]]="","",MONTH(tblOrdenes[[#This Row],[fecha_inicio]]))</f>
        <v/>
      </c>
      <c r="R147" s="3">
        <f>IF(tblOrdenes[[#This Row],[fecha_inicio]]="","",INDEX(lista_dias,WEEKDAY(tblOrdenes[[#This Row],[fecha_inicio]],2)))</f>
        <v/>
      </c>
      <c r="S147" s="3">
        <f>_xlfn.XLOOKUP(tblOrdenes[[#This Row],[tipo_ot]],tblTiposOT[codigo],tblTiposOT[clasificacion],"sin_clasificar")</f>
        <v/>
      </c>
      <c r="T147" s="3">
        <f>_xlfn.XLOOKUP(tblOrdenes[[#This Row],[centro_costo]],tblCECO[codigo],tblCECO[linea],"(sin catálogo)")</f>
        <v/>
      </c>
      <c r="U147" s="3">
        <f>_xlfn.XLOOKUP(tblOrdenes[[#This Row],[centro_costo]],tblCECO[codigo],tblCECO[area],"(sin catálogo)")</f>
        <v/>
      </c>
      <c r="V147" s="3">
        <f>_xlfn.XLOOKUP(tblOrdenes[[#This Row],[centro_costo]],tblCECO[codigo],tblCECO[coordinador],"(sin catálogo)")</f>
        <v/>
      </c>
      <c r="W147" s="3">
        <f>_xlfn.XLOOKUP(tblOrdenes[[#This Row],[puesto_trabajo]],tblPuestos[codigo],tblPuestos[especialidad],"(sin catálogo)")</f>
        <v/>
      </c>
      <c r="X147" s="3">
        <f>_xlfn.XLOOKUP(tblOrdenes[[#This Row],[cod_actividad]],tblActividades[codigo],tblActividades[descripcion],"(sin catálogo)")</f>
        <v/>
      </c>
      <c r="Y147" s="12">
        <f>IF(tblOrdenes[[#This Row],[fecha_inicio]]="","",TODAY()-tblOrdenes[[#This Row],[fecha_inicio]])</f>
        <v/>
      </c>
      <c r="Z147" s="3">
        <f>IF(tblOrdenes[[#This Row],[backlog_dias]]="","",IF(tblOrdenes[[#This Row],[backlog_dias]]&lt;0,"FUTURO",IF(tblOrdenes[[#This Row],[backlog_dias]]&gt;p_dias_backlog_max,"BACKLOG","MES CORRIENTE")))</f>
        <v/>
      </c>
      <c r="AA147" s="3">
        <f>IF(tblOrdenes[[#This Row],[backlog_dias]]="",FALSE,AND(tblOrdenes[[#This Row],[backlog_dias]]&gt;p_dias_backlog_min,tblOrdenes[[#This Row],[backlog_dias]]&lt;=p_dias_backlog_max))</f>
        <v/>
      </c>
      <c r="AB147" s="6" t="inlineStr"/>
      <c r="AC14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7" s="10">
        <f>_xlfn.XLOOKUP(tblOrdenes[[#This Row],[id_operacion]],tblEjecucion[id_operacion],tblEjecucion[precio],0)</f>
        <v/>
      </c>
      <c r="AE147" s="10">
        <f>MAX(0,_xlfn.XLOOKUP(tblOrdenes[[#This Row],[id_operacion]],tblEjecucion[id_operacion],tblEjecucion[costo_plan_total],0)-tblOrdenes[[#This Row],[costo_servicio]])</f>
        <v/>
      </c>
      <c r="AF147" s="10">
        <f>tblOrdenes[[#This Row],[costo_servicio]]+tblOrdenes[[#This Row],[costo_materiales]]</f>
        <v/>
      </c>
      <c r="AG147" s="6" t="inlineStr"/>
      <c r="AH147" s="6" t="inlineStr"/>
      <c r="AI147" s="6" t="inlineStr"/>
      <c r="AJ147" s="3">
        <f>IF(tblOrdenes[[#This Row],[link_checklist]]="","",HYPERLINK(p_ruta_base_checklists&amp;tblOrdenes[[#This Row],[link_checklist]],"abrir"))</f>
        <v/>
      </c>
      <c r="AK147" s="6" t="inlineStr"/>
    </row>
    <row r="148">
      <c r="A148" s="3" t="inlineStr">
        <is>
          <t>OT-000145</t>
        </is>
      </c>
      <c r="B148" s="3" t="inlineStr">
        <is>
          <t>0010</t>
        </is>
      </c>
      <c r="C148" s="3">
        <f>tblOrdenes[[#This Row],[orden]]&amp;IF(tblOrdenes[[#This Row],[operacion]]="","0010",tblOrdenes[[#This Row],[operacion]])</f>
        <v/>
      </c>
      <c r="D148" s="3" t="inlineStr">
        <is>
          <t>Lubricación programada — EQ-111</t>
        </is>
      </c>
      <c r="E148" s="3" t="inlineStr">
        <is>
          <t>Lubricación programada en EQ-111</t>
        </is>
      </c>
      <c r="F148" s="3" t="inlineStr">
        <is>
          <t>EQ-111</t>
        </is>
      </c>
      <c r="G148" s="3" t="inlineStr">
        <is>
          <t>CC-310</t>
        </is>
      </c>
      <c r="H148" s="3" t="inlineStr">
        <is>
          <t>PU-MEC</t>
        </is>
      </c>
      <c r="I148" s="3" t="inlineStr">
        <is>
          <t>ACT-02</t>
        </is>
      </c>
      <c r="J148" s="3" t="inlineStr">
        <is>
          <t>TIPO-P2</t>
        </is>
      </c>
      <c r="K148" s="11" t="n">
        <v>46147</v>
      </c>
      <c r="L148" s="3" t="n">
        <v>4</v>
      </c>
      <c r="M148" s="10" t="n">
        <v>100</v>
      </c>
      <c r="N148" s="3">
        <f>_xlfn.XLOOKUP(_xlfn.XLOOKUP(tblOrdenes[[#This Row],[id_operacion]],tblEjecucion[id_operacion],tblEjecucion[estado_sistema],""),tblEstados[estado_sistema],tblEstados[estado_normalizado],"Pendiente")</f>
        <v/>
      </c>
      <c r="O148" s="3">
        <f>IF(tblOrdenes[[#This Row],[fecha_inicio]]="","","S"&amp;IF(_xlfn.ISOWEEKNUM(tblOrdenes[[#This Row],[fecha_inicio]])=53,1,_xlfn.ISOWEEKNUM(tblOrdenes[[#This Row],[fecha_inicio]])))</f>
        <v/>
      </c>
      <c r="P148" s="3">
        <f>IF(tblOrdenes[[#This Row],[fecha_inicio]]="","",YEAR(tblOrdenes[[#This Row],[fecha_inicio]]))</f>
        <v/>
      </c>
      <c r="Q148" s="3">
        <f>IF(tblOrdenes[[#This Row],[fecha_inicio]]="","",MONTH(tblOrdenes[[#This Row],[fecha_inicio]]))</f>
        <v/>
      </c>
      <c r="R148" s="3">
        <f>IF(tblOrdenes[[#This Row],[fecha_inicio]]="","",INDEX(lista_dias,WEEKDAY(tblOrdenes[[#This Row],[fecha_inicio]],2)))</f>
        <v/>
      </c>
      <c r="S148" s="3">
        <f>_xlfn.XLOOKUP(tblOrdenes[[#This Row],[tipo_ot]],tblTiposOT[codigo],tblTiposOT[clasificacion],"sin_clasificar")</f>
        <v/>
      </c>
      <c r="T148" s="3">
        <f>_xlfn.XLOOKUP(tblOrdenes[[#This Row],[centro_costo]],tblCECO[codigo],tblCECO[linea],"(sin catálogo)")</f>
        <v/>
      </c>
      <c r="U148" s="3">
        <f>_xlfn.XLOOKUP(tblOrdenes[[#This Row],[centro_costo]],tblCECO[codigo],tblCECO[area],"(sin catálogo)")</f>
        <v/>
      </c>
      <c r="V148" s="3">
        <f>_xlfn.XLOOKUP(tblOrdenes[[#This Row],[centro_costo]],tblCECO[codigo],tblCECO[coordinador],"(sin catálogo)")</f>
        <v/>
      </c>
      <c r="W148" s="3">
        <f>_xlfn.XLOOKUP(tblOrdenes[[#This Row],[puesto_trabajo]],tblPuestos[codigo],tblPuestos[especialidad],"(sin catálogo)")</f>
        <v/>
      </c>
      <c r="X148" s="3">
        <f>_xlfn.XLOOKUP(tblOrdenes[[#This Row],[cod_actividad]],tblActividades[codigo],tblActividades[descripcion],"(sin catálogo)")</f>
        <v/>
      </c>
      <c r="Y148" s="12">
        <f>IF(tblOrdenes[[#This Row],[fecha_inicio]]="","",TODAY()-tblOrdenes[[#This Row],[fecha_inicio]])</f>
        <v/>
      </c>
      <c r="Z148" s="3">
        <f>IF(tblOrdenes[[#This Row],[backlog_dias]]="","",IF(tblOrdenes[[#This Row],[backlog_dias]]&lt;0,"FUTURO",IF(tblOrdenes[[#This Row],[backlog_dias]]&gt;p_dias_backlog_max,"BACKLOG","MES CORRIENTE")))</f>
        <v/>
      </c>
      <c r="AA148" s="3">
        <f>IF(tblOrdenes[[#This Row],[backlog_dias]]="",FALSE,AND(tblOrdenes[[#This Row],[backlog_dias]]&gt;p_dias_backlog_min,tblOrdenes[[#This Row],[backlog_dias]]&lt;=p_dias_backlog_max))</f>
        <v/>
      </c>
      <c r="AB148" s="6" t="inlineStr"/>
      <c r="AC14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8" s="10">
        <f>_xlfn.XLOOKUP(tblOrdenes[[#This Row],[id_operacion]],tblEjecucion[id_operacion],tblEjecucion[precio],0)</f>
        <v/>
      </c>
      <c r="AE148" s="10">
        <f>MAX(0,_xlfn.XLOOKUP(tblOrdenes[[#This Row],[id_operacion]],tblEjecucion[id_operacion],tblEjecucion[costo_plan_total],0)-tblOrdenes[[#This Row],[costo_servicio]])</f>
        <v/>
      </c>
      <c r="AF148" s="10">
        <f>tblOrdenes[[#This Row],[costo_servicio]]+tblOrdenes[[#This Row],[costo_materiales]]</f>
        <v/>
      </c>
      <c r="AG148" s="6" t="inlineStr"/>
      <c r="AH148" s="6" t="inlineStr"/>
      <c r="AI148" s="6" t="inlineStr"/>
      <c r="AJ148" s="3">
        <f>IF(tblOrdenes[[#This Row],[link_checklist]]="","",HYPERLINK(p_ruta_base_checklists&amp;tblOrdenes[[#This Row],[link_checklist]],"abrir"))</f>
        <v/>
      </c>
      <c r="AK148" s="6" t="inlineStr"/>
    </row>
    <row r="149">
      <c r="A149" s="3" t="inlineStr">
        <is>
          <t>OT-000146</t>
        </is>
      </c>
      <c r="B149" s="3" t="inlineStr">
        <is>
          <t>0010</t>
        </is>
      </c>
      <c r="C149" s="3">
        <f>tblOrdenes[[#This Row],[orden]]&amp;IF(tblOrdenes[[#This Row],[operacion]]="","0010",tblOrdenes[[#This Row],[operacion]])</f>
        <v/>
      </c>
      <c r="D149" s="3" t="inlineStr">
        <is>
          <t>Reparación de falla — EQ-112</t>
        </is>
      </c>
      <c r="E149" s="3" t="inlineStr">
        <is>
          <t>Reparación de falla en EQ-112</t>
        </is>
      </c>
      <c r="F149" s="3" t="inlineStr">
        <is>
          <t>EQ-112</t>
        </is>
      </c>
      <c r="G149" s="3" t="inlineStr">
        <is>
          <t>CC-320</t>
        </is>
      </c>
      <c r="H149" s="3" t="inlineStr">
        <is>
          <t>PU-ELE</t>
        </is>
      </c>
      <c r="I149" s="3" t="inlineStr">
        <is>
          <t>ACT-03</t>
        </is>
      </c>
      <c r="J149" s="3" t="inlineStr">
        <is>
          <t>TIPO-C1</t>
        </is>
      </c>
      <c r="K149" s="11" t="n">
        <v>46147</v>
      </c>
      <c r="L149" s="3" t="n">
        <v>6</v>
      </c>
      <c r="M149" s="10" t="n">
        <v>240</v>
      </c>
      <c r="N149" s="3">
        <f>_xlfn.XLOOKUP(_xlfn.XLOOKUP(tblOrdenes[[#This Row],[id_operacion]],tblEjecucion[id_operacion],tblEjecucion[estado_sistema],""),tblEstados[estado_sistema],tblEstados[estado_normalizado],"Pendiente")</f>
        <v/>
      </c>
      <c r="O149" s="3">
        <f>IF(tblOrdenes[[#This Row],[fecha_inicio]]="","","S"&amp;IF(_xlfn.ISOWEEKNUM(tblOrdenes[[#This Row],[fecha_inicio]])=53,1,_xlfn.ISOWEEKNUM(tblOrdenes[[#This Row],[fecha_inicio]])))</f>
        <v/>
      </c>
      <c r="P149" s="3">
        <f>IF(tblOrdenes[[#This Row],[fecha_inicio]]="","",YEAR(tblOrdenes[[#This Row],[fecha_inicio]]))</f>
        <v/>
      </c>
      <c r="Q149" s="3">
        <f>IF(tblOrdenes[[#This Row],[fecha_inicio]]="","",MONTH(tblOrdenes[[#This Row],[fecha_inicio]]))</f>
        <v/>
      </c>
      <c r="R149" s="3">
        <f>IF(tblOrdenes[[#This Row],[fecha_inicio]]="","",INDEX(lista_dias,WEEKDAY(tblOrdenes[[#This Row],[fecha_inicio]],2)))</f>
        <v/>
      </c>
      <c r="S149" s="3">
        <f>_xlfn.XLOOKUP(tblOrdenes[[#This Row],[tipo_ot]],tblTiposOT[codigo],tblTiposOT[clasificacion],"sin_clasificar")</f>
        <v/>
      </c>
      <c r="T149" s="3">
        <f>_xlfn.XLOOKUP(tblOrdenes[[#This Row],[centro_costo]],tblCECO[codigo],tblCECO[linea],"(sin catálogo)")</f>
        <v/>
      </c>
      <c r="U149" s="3">
        <f>_xlfn.XLOOKUP(tblOrdenes[[#This Row],[centro_costo]],tblCECO[codigo],tblCECO[area],"(sin catálogo)")</f>
        <v/>
      </c>
      <c r="V149" s="3">
        <f>_xlfn.XLOOKUP(tblOrdenes[[#This Row],[centro_costo]],tblCECO[codigo],tblCECO[coordinador],"(sin catálogo)")</f>
        <v/>
      </c>
      <c r="W149" s="3">
        <f>_xlfn.XLOOKUP(tblOrdenes[[#This Row],[puesto_trabajo]],tblPuestos[codigo],tblPuestos[especialidad],"(sin catálogo)")</f>
        <v/>
      </c>
      <c r="X149" s="3">
        <f>_xlfn.XLOOKUP(tblOrdenes[[#This Row],[cod_actividad]],tblActividades[codigo],tblActividades[descripcion],"(sin catálogo)")</f>
        <v/>
      </c>
      <c r="Y149" s="12">
        <f>IF(tblOrdenes[[#This Row],[fecha_inicio]]="","",TODAY()-tblOrdenes[[#This Row],[fecha_inicio]])</f>
        <v/>
      </c>
      <c r="Z149" s="3">
        <f>IF(tblOrdenes[[#This Row],[backlog_dias]]="","",IF(tblOrdenes[[#This Row],[backlog_dias]]&lt;0,"FUTURO",IF(tblOrdenes[[#This Row],[backlog_dias]]&gt;p_dias_backlog_max,"BACKLOG","MES CORRIENTE")))</f>
        <v/>
      </c>
      <c r="AA149" s="3">
        <f>IF(tblOrdenes[[#This Row],[backlog_dias]]="",FALSE,AND(tblOrdenes[[#This Row],[backlog_dias]]&gt;p_dias_backlog_min,tblOrdenes[[#This Row],[backlog_dias]]&lt;=p_dias_backlog_max))</f>
        <v/>
      </c>
      <c r="AB149" s="6" t="inlineStr"/>
      <c r="AC14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9" s="10">
        <f>_xlfn.XLOOKUP(tblOrdenes[[#This Row],[id_operacion]],tblEjecucion[id_operacion],tblEjecucion[precio],0)</f>
        <v/>
      </c>
      <c r="AE149" s="10">
        <f>MAX(0,_xlfn.XLOOKUP(tblOrdenes[[#This Row],[id_operacion]],tblEjecucion[id_operacion],tblEjecucion[costo_plan_total],0)-tblOrdenes[[#This Row],[costo_servicio]])</f>
        <v/>
      </c>
      <c r="AF149" s="10">
        <f>tblOrdenes[[#This Row],[costo_servicio]]+tblOrdenes[[#This Row],[costo_materiales]]</f>
        <v/>
      </c>
      <c r="AG149" s="6" t="inlineStr"/>
      <c r="AH149" s="6" t="inlineStr"/>
      <c r="AI149" s="6" t="inlineStr"/>
      <c r="AJ149" s="3">
        <f>IF(tblOrdenes[[#This Row],[link_checklist]]="","",HYPERLINK(p_ruta_base_checklists&amp;tblOrdenes[[#This Row],[link_checklist]],"abrir"))</f>
        <v/>
      </c>
      <c r="AK149" s="6" t="inlineStr"/>
    </row>
    <row r="150">
      <c r="A150" s="3" t="inlineStr">
        <is>
          <t>OT-000147</t>
        </is>
      </c>
      <c r="B150" s="3" t="inlineStr">
        <is>
          <t>0010</t>
        </is>
      </c>
      <c r="C150" s="3">
        <f>tblOrdenes[[#This Row],[orden]]&amp;IF(tblOrdenes[[#This Row],[operacion]]="","0010",tblOrdenes[[#This Row],[operacion]])</f>
        <v/>
      </c>
      <c r="D150" s="3" t="inlineStr">
        <is>
          <t>Reparación de falla — EQ-103</t>
        </is>
      </c>
      <c r="E150" s="3" t="inlineStr">
        <is>
          <t>Reparación de falla en EQ-103</t>
        </is>
      </c>
      <c r="F150" s="3" t="inlineStr">
        <is>
          <t>EQ-103</t>
        </is>
      </c>
      <c r="G150" s="3" t="inlineStr">
        <is>
          <t>CC-110</t>
        </is>
      </c>
      <c r="H150" s="3" t="inlineStr">
        <is>
          <t>PU-AUT</t>
        </is>
      </c>
      <c r="I150" s="3" t="inlineStr">
        <is>
          <t>ACT-03</t>
        </is>
      </c>
      <c r="J150" s="3" t="inlineStr">
        <is>
          <t>TIPO-C2</t>
        </is>
      </c>
      <c r="K150" s="11" t="n">
        <v>46147</v>
      </c>
      <c r="L150" s="3" t="n">
        <v>8</v>
      </c>
      <c r="M150" s="10" t="n">
        <v>320</v>
      </c>
      <c r="N150" s="3">
        <f>_xlfn.XLOOKUP(_xlfn.XLOOKUP(tblOrdenes[[#This Row],[id_operacion]],tblEjecucion[id_operacion],tblEjecucion[estado_sistema],""),tblEstados[estado_sistema],tblEstados[estado_normalizado],"Pendiente")</f>
        <v/>
      </c>
      <c r="O150" s="3">
        <f>IF(tblOrdenes[[#This Row],[fecha_inicio]]="","","S"&amp;IF(_xlfn.ISOWEEKNUM(tblOrdenes[[#This Row],[fecha_inicio]])=53,1,_xlfn.ISOWEEKNUM(tblOrdenes[[#This Row],[fecha_inicio]])))</f>
        <v/>
      </c>
      <c r="P150" s="3">
        <f>IF(tblOrdenes[[#This Row],[fecha_inicio]]="","",YEAR(tblOrdenes[[#This Row],[fecha_inicio]]))</f>
        <v/>
      </c>
      <c r="Q150" s="3">
        <f>IF(tblOrdenes[[#This Row],[fecha_inicio]]="","",MONTH(tblOrdenes[[#This Row],[fecha_inicio]]))</f>
        <v/>
      </c>
      <c r="R150" s="3">
        <f>IF(tblOrdenes[[#This Row],[fecha_inicio]]="","",INDEX(lista_dias,WEEKDAY(tblOrdenes[[#This Row],[fecha_inicio]],2)))</f>
        <v/>
      </c>
      <c r="S150" s="3">
        <f>_xlfn.XLOOKUP(tblOrdenes[[#This Row],[tipo_ot]],tblTiposOT[codigo],tblTiposOT[clasificacion],"sin_clasificar")</f>
        <v/>
      </c>
      <c r="T150" s="3">
        <f>_xlfn.XLOOKUP(tblOrdenes[[#This Row],[centro_costo]],tblCECO[codigo],tblCECO[linea],"(sin catálogo)")</f>
        <v/>
      </c>
      <c r="U150" s="3">
        <f>_xlfn.XLOOKUP(tblOrdenes[[#This Row],[centro_costo]],tblCECO[codigo],tblCECO[area],"(sin catálogo)")</f>
        <v/>
      </c>
      <c r="V150" s="3">
        <f>_xlfn.XLOOKUP(tblOrdenes[[#This Row],[centro_costo]],tblCECO[codigo],tblCECO[coordinador],"(sin catálogo)")</f>
        <v/>
      </c>
      <c r="W150" s="3">
        <f>_xlfn.XLOOKUP(tblOrdenes[[#This Row],[puesto_trabajo]],tblPuestos[codigo],tblPuestos[especialidad],"(sin catálogo)")</f>
        <v/>
      </c>
      <c r="X150" s="3">
        <f>_xlfn.XLOOKUP(tblOrdenes[[#This Row],[cod_actividad]],tblActividades[codigo],tblActividades[descripcion],"(sin catálogo)")</f>
        <v/>
      </c>
      <c r="Y150" s="12">
        <f>IF(tblOrdenes[[#This Row],[fecha_inicio]]="","",TODAY()-tblOrdenes[[#This Row],[fecha_inicio]])</f>
        <v/>
      </c>
      <c r="Z150" s="3">
        <f>IF(tblOrdenes[[#This Row],[backlog_dias]]="","",IF(tblOrdenes[[#This Row],[backlog_dias]]&lt;0,"FUTURO",IF(tblOrdenes[[#This Row],[backlog_dias]]&gt;p_dias_backlog_max,"BACKLOG","MES CORRIENTE")))</f>
        <v/>
      </c>
      <c r="AA150" s="3">
        <f>IF(tblOrdenes[[#This Row],[backlog_dias]]="",FALSE,AND(tblOrdenes[[#This Row],[backlog_dias]]&gt;p_dias_backlog_min,tblOrdenes[[#This Row],[backlog_dias]]&lt;=p_dias_backlog_max))</f>
        <v/>
      </c>
      <c r="AB150" s="6" t="inlineStr"/>
      <c r="AC15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0" s="10">
        <f>_xlfn.XLOOKUP(tblOrdenes[[#This Row],[id_operacion]],tblEjecucion[id_operacion],tblEjecucion[precio],0)</f>
        <v/>
      </c>
      <c r="AE150" s="10">
        <f>MAX(0,_xlfn.XLOOKUP(tblOrdenes[[#This Row],[id_operacion]],tblEjecucion[id_operacion],tblEjecucion[costo_plan_total],0)-tblOrdenes[[#This Row],[costo_servicio]])</f>
        <v/>
      </c>
      <c r="AF150" s="10">
        <f>tblOrdenes[[#This Row],[costo_servicio]]+tblOrdenes[[#This Row],[costo_materiales]]</f>
        <v/>
      </c>
      <c r="AG150" s="6" t="inlineStr"/>
      <c r="AH150" s="6" t="inlineStr"/>
      <c r="AI150" s="6" t="inlineStr"/>
      <c r="AJ150" s="3">
        <f>IF(tblOrdenes[[#This Row],[link_checklist]]="","",HYPERLINK(p_ruta_base_checklists&amp;tblOrdenes[[#This Row],[link_checklist]],"abrir"))</f>
        <v/>
      </c>
      <c r="AK150" s="6" t="inlineStr"/>
    </row>
    <row r="151">
      <c r="A151" s="3" t="inlineStr">
        <is>
          <t>OT-000148</t>
        </is>
      </c>
      <c r="B151" s="3" t="inlineStr">
        <is>
          <t>0010</t>
        </is>
      </c>
      <c r="C151" s="3">
        <f>tblOrdenes[[#This Row],[orden]]&amp;IF(tblOrdenes[[#This Row],[operacion]]="","0010",tblOrdenes[[#This Row],[operacion]])</f>
        <v/>
      </c>
      <c r="D151" s="3" t="inlineStr">
        <is>
          <t>Reparación de falla — EQ-106</t>
        </is>
      </c>
      <c r="E151" s="3" t="inlineStr">
        <is>
          <t>Reparación de falla en EQ-106</t>
        </is>
      </c>
      <c r="F151" s="3" t="inlineStr">
        <is>
          <t>EQ-106</t>
        </is>
      </c>
      <c r="G151" s="3" t="inlineStr">
        <is>
          <t>CC-210</t>
        </is>
      </c>
      <c r="H151" s="3" t="inlineStr">
        <is>
          <t>PU-AUT</t>
        </is>
      </c>
      <c r="I151" s="3" t="inlineStr">
        <is>
          <t>ACT-03</t>
        </is>
      </c>
      <c r="J151" s="3" t="inlineStr">
        <is>
          <t>TIPO-C1</t>
        </is>
      </c>
      <c r="K151" s="11" t="n">
        <v>46122</v>
      </c>
      <c r="L151" s="3" t="n">
        <v>4</v>
      </c>
      <c r="M151" s="10" t="n">
        <v>160</v>
      </c>
      <c r="N151" s="3">
        <f>_xlfn.XLOOKUP(_xlfn.XLOOKUP(tblOrdenes[[#This Row],[id_operacion]],tblEjecucion[id_operacion],tblEjecucion[estado_sistema],""),tblEstados[estado_sistema],tblEstados[estado_normalizado],"Pendiente")</f>
        <v/>
      </c>
      <c r="O151" s="3">
        <f>IF(tblOrdenes[[#This Row],[fecha_inicio]]="","","S"&amp;IF(_xlfn.ISOWEEKNUM(tblOrdenes[[#This Row],[fecha_inicio]])=53,1,_xlfn.ISOWEEKNUM(tblOrdenes[[#This Row],[fecha_inicio]])))</f>
        <v/>
      </c>
      <c r="P151" s="3">
        <f>IF(tblOrdenes[[#This Row],[fecha_inicio]]="","",YEAR(tblOrdenes[[#This Row],[fecha_inicio]]))</f>
        <v/>
      </c>
      <c r="Q151" s="3">
        <f>IF(tblOrdenes[[#This Row],[fecha_inicio]]="","",MONTH(tblOrdenes[[#This Row],[fecha_inicio]]))</f>
        <v/>
      </c>
      <c r="R151" s="3">
        <f>IF(tblOrdenes[[#This Row],[fecha_inicio]]="","",INDEX(lista_dias,WEEKDAY(tblOrdenes[[#This Row],[fecha_inicio]],2)))</f>
        <v/>
      </c>
      <c r="S151" s="3">
        <f>_xlfn.XLOOKUP(tblOrdenes[[#This Row],[tipo_ot]],tblTiposOT[codigo],tblTiposOT[clasificacion],"sin_clasificar")</f>
        <v/>
      </c>
      <c r="T151" s="3">
        <f>_xlfn.XLOOKUP(tblOrdenes[[#This Row],[centro_costo]],tblCECO[codigo],tblCECO[linea],"(sin catálogo)")</f>
        <v/>
      </c>
      <c r="U151" s="3">
        <f>_xlfn.XLOOKUP(tblOrdenes[[#This Row],[centro_costo]],tblCECO[codigo],tblCECO[area],"(sin catálogo)")</f>
        <v/>
      </c>
      <c r="V151" s="3">
        <f>_xlfn.XLOOKUP(tblOrdenes[[#This Row],[centro_costo]],tblCECO[codigo],tblCECO[coordinador],"(sin catálogo)")</f>
        <v/>
      </c>
      <c r="W151" s="3">
        <f>_xlfn.XLOOKUP(tblOrdenes[[#This Row],[puesto_trabajo]],tblPuestos[codigo],tblPuestos[especialidad],"(sin catálogo)")</f>
        <v/>
      </c>
      <c r="X151" s="3">
        <f>_xlfn.XLOOKUP(tblOrdenes[[#This Row],[cod_actividad]],tblActividades[codigo],tblActividades[descripcion],"(sin catálogo)")</f>
        <v/>
      </c>
      <c r="Y151" s="12">
        <f>IF(tblOrdenes[[#This Row],[fecha_inicio]]="","",TODAY()-tblOrdenes[[#This Row],[fecha_inicio]])</f>
        <v/>
      </c>
      <c r="Z151" s="3">
        <f>IF(tblOrdenes[[#This Row],[backlog_dias]]="","",IF(tblOrdenes[[#This Row],[backlog_dias]]&lt;0,"FUTURO",IF(tblOrdenes[[#This Row],[backlog_dias]]&gt;p_dias_backlog_max,"BACKLOG","MES CORRIENTE")))</f>
        <v/>
      </c>
      <c r="AA151" s="3">
        <f>IF(tblOrdenes[[#This Row],[backlog_dias]]="",FALSE,AND(tblOrdenes[[#This Row],[backlog_dias]]&gt;p_dias_backlog_min,tblOrdenes[[#This Row],[backlog_dias]]&lt;=p_dias_backlog_max))</f>
        <v/>
      </c>
      <c r="AB151" s="6" t="inlineStr"/>
      <c r="AC15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1" s="10">
        <f>_xlfn.XLOOKUP(tblOrdenes[[#This Row],[id_operacion]],tblEjecucion[id_operacion],tblEjecucion[precio],0)</f>
        <v/>
      </c>
      <c r="AE151" s="10">
        <f>MAX(0,_xlfn.XLOOKUP(tblOrdenes[[#This Row],[id_operacion]],tblEjecucion[id_operacion],tblEjecucion[costo_plan_total],0)-tblOrdenes[[#This Row],[costo_servicio]])</f>
        <v/>
      </c>
      <c r="AF151" s="10">
        <f>tblOrdenes[[#This Row],[costo_servicio]]+tblOrdenes[[#This Row],[costo_materiales]]</f>
        <v/>
      </c>
      <c r="AG151" s="6" t="inlineStr"/>
      <c r="AH151" s="6" t="inlineStr"/>
      <c r="AI151" s="6" t="inlineStr"/>
      <c r="AJ151" s="3">
        <f>IF(tblOrdenes[[#This Row],[link_checklist]]="","",HYPERLINK(p_ruta_base_checklists&amp;tblOrdenes[[#This Row],[link_checklist]],"abrir"))</f>
        <v/>
      </c>
      <c r="AK151" s="6" t="inlineStr"/>
    </row>
    <row r="152">
      <c r="A152" s="3" t="inlineStr">
        <is>
          <t>OT-000149</t>
        </is>
      </c>
      <c r="B152" s="3" t="inlineStr">
        <is>
          <t>0010</t>
        </is>
      </c>
      <c r="C152" s="3">
        <f>tblOrdenes[[#This Row],[orden]]&amp;IF(tblOrdenes[[#This Row],[operacion]]="","0010",tblOrdenes[[#This Row],[operacion]])</f>
        <v/>
      </c>
      <c r="D152" s="3" t="inlineStr">
        <is>
          <t>Reparación de falla — EQ-107</t>
        </is>
      </c>
      <c r="E152" s="3" t="inlineStr">
        <is>
          <t>Reparación de falla en EQ-107</t>
        </is>
      </c>
      <c r="F152" s="3" t="inlineStr">
        <is>
          <t>EQ-107</t>
        </is>
      </c>
      <c r="G152" s="3" t="inlineStr">
        <is>
          <t>CC-220</t>
        </is>
      </c>
      <c r="H152" s="3" t="inlineStr">
        <is>
          <t>PU-OP</t>
        </is>
      </c>
      <c r="I152" s="3" t="inlineStr">
        <is>
          <t>ACT-03</t>
        </is>
      </c>
      <c r="J152" s="3" t="inlineStr">
        <is>
          <t>TIPO-C2</t>
        </is>
      </c>
      <c r="K152" s="11" t="n">
        <v>46122</v>
      </c>
      <c r="L152" s="3" t="n">
        <v>6</v>
      </c>
      <c r="M152" s="10" t="n">
        <v>240</v>
      </c>
      <c r="N152" s="3">
        <f>_xlfn.XLOOKUP(_xlfn.XLOOKUP(tblOrdenes[[#This Row],[id_operacion]],tblEjecucion[id_operacion],tblEjecucion[estado_sistema],""),tblEstados[estado_sistema],tblEstados[estado_normalizado],"Pendiente")</f>
        <v/>
      </c>
      <c r="O152" s="3">
        <f>IF(tblOrdenes[[#This Row],[fecha_inicio]]="","","S"&amp;IF(_xlfn.ISOWEEKNUM(tblOrdenes[[#This Row],[fecha_inicio]])=53,1,_xlfn.ISOWEEKNUM(tblOrdenes[[#This Row],[fecha_inicio]])))</f>
        <v/>
      </c>
      <c r="P152" s="3">
        <f>IF(tblOrdenes[[#This Row],[fecha_inicio]]="","",YEAR(tblOrdenes[[#This Row],[fecha_inicio]]))</f>
        <v/>
      </c>
      <c r="Q152" s="3">
        <f>IF(tblOrdenes[[#This Row],[fecha_inicio]]="","",MONTH(tblOrdenes[[#This Row],[fecha_inicio]]))</f>
        <v/>
      </c>
      <c r="R152" s="3">
        <f>IF(tblOrdenes[[#This Row],[fecha_inicio]]="","",INDEX(lista_dias,WEEKDAY(tblOrdenes[[#This Row],[fecha_inicio]],2)))</f>
        <v/>
      </c>
      <c r="S152" s="3">
        <f>_xlfn.XLOOKUP(tblOrdenes[[#This Row],[tipo_ot]],tblTiposOT[codigo],tblTiposOT[clasificacion],"sin_clasificar")</f>
        <v/>
      </c>
      <c r="T152" s="3">
        <f>_xlfn.XLOOKUP(tblOrdenes[[#This Row],[centro_costo]],tblCECO[codigo],tblCECO[linea],"(sin catálogo)")</f>
        <v/>
      </c>
      <c r="U152" s="3">
        <f>_xlfn.XLOOKUP(tblOrdenes[[#This Row],[centro_costo]],tblCECO[codigo],tblCECO[area],"(sin catálogo)")</f>
        <v/>
      </c>
      <c r="V152" s="3">
        <f>_xlfn.XLOOKUP(tblOrdenes[[#This Row],[centro_costo]],tblCECO[codigo],tblCECO[coordinador],"(sin catálogo)")</f>
        <v/>
      </c>
      <c r="W152" s="3">
        <f>_xlfn.XLOOKUP(tblOrdenes[[#This Row],[puesto_trabajo]],tblPuestos[codigo],tblPuestos[especialidad],"(sin catálogo)")</f>
        <v/>
      </c>
      <c r="X152" s="3">
        <f>_xlfn.XLOOKUP(tblOrdenes[[#This Row],[cod_actividad]],tblActividades[codigo],tblActividades[descripcion],"(sin catálogo)")</f>
        <v/>
      </c>
      <c r="Y152" s="12">
        <f>IF(tblOrdenes[[#This Row],[fecha_inicio]]="","",TODAY()-tblOrdenes[[#This Row],[fecha_inicio]])</f>
        <v/>
      </c>
      <c r="Z152" s="3">
        <f>IF(tblOrdenes[[#This Row],[backlog_dias]]="","",IF(tblOrdenes[[#This Row],[backlog_dias]]&lt;0,"FUTURO",IF(tblOrdenes[[#This Row],[backlog_dias]]&gt;p_dias_backlog_max,"BACKLOG","MES CORRIENTE")))</f>
        <v/>
      </c>
      <c r="AA152" s="3">
        <f>IF(tblOrdenes[[#This Row],[backlog_dias]]="",FALSE,AND(tblOrdenes[[#This Row],[backlog_dias]]&gt;p_dias_backlog_min,tblOrdenes[[#This Row],[backlog_dias]]&lt;=p_dias_backlog_max))</f>
        <v/>
      </c>
      <c r="AB152" s="6" t="inlineStr"/>
      <c r="AC15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2" s="10">
        <f>_xlfn.XLOOKUP(tblOrdenes[[#This Row],[id_operacion]],tblEjecucion[id_operacion],tblEjecucion[precio],0)</f>
        <v/>
      </c>
      <c r="AE152" s="10">
        <f>MAX(0,_xlfn.XLOOKUP(tblOrdenes[[#This Row],[id_operacion]],tblEjecucion[id_operacion],tblEjecucion[costo_plan_total],0)-tblOrdenes[[#This Row],[costo_servicio]])</f>
        <v/>
      </c>
      <c r="AF152" s="10">
        <f>tblOrdenes[[#This Row],[costo_servicio]]+tblOrdenes[[#This Row],[costo_materiales]]</f>
        <v/>
      </c>
      <c r="AG152" s="6" t="inlineStr"/>
      <c r="AH152" s="6" t="inlineStr"/>
      <c r="AI152" s="6" t="inlineStr"/>
      <c r="AJ152" s="3">
        <f>IF(tblOrdenes[[#This Row],[link_checklist]]="","",HYPERLINK(p_ruta_base_checklists&amp;tblOrdenes[[#This Row],[link_checklist]],"abrir"))</f>
        <v/>
      </c>
      <c r="AK152" s="6" t="inlineStr"/>
    </row>
    <row r="153">
      <c r="A153" s="3" t="inlineStr">
        <is>
          <t>OT-000150</t>
        </is>
      </c>
      <c r="B153" s="3" t="inlineStr">
        <is>
          <t>0010</t>
        </is>
      </c>
      <c r="C153" s="3">
        <f>tblOrdenes[[#This Row],[orden]]&amp;IF(tblOrdenes[[#This Row],[operacion]]="","0010",tblOrdenes[[#This Row],[operacion]])</f>
        <v/>
      </c>
      <c r="D153" s="3" t="inlineStr">
        <is>
          <t>Reparación de falla — EQ-110</t>
        </is>
      </c>
      <c r="E153" s="3" t="inlineStr">
        <is>
          <t>Reparación de falla en EQ-110</t>
        </is>
      </c>
      <c r="F153" s="3" t="inlineStr">
        <is>
          <t>EQ-110</t>
        </is>
      </c>
      <c r="G153" s="3" t="inlineStr">
        <is>
          <t>CC-310</t>
        </is>
      </c>
      <c r="H153" s="3" t="inlineStr">
        <is>
          <t>PU-MEC</t>
        </is>
      </c>
      <c r="I153" s="3" t="inlineStr">
        <is>
          <t>ACT-03</t>
        </is>
      </c>
      <c r="J153" s="3" t="inlineStr">
        <is>
          <t>TIPO-C1</t>
        </is>
      </c>
      <c r="K153" s="11" t="n">
        <v>46122</v>
      </c>
      <c r="L153" s="3" t="n">
        <v>8</v>
      </c>
      <c r="M153" s="10" t="n">
        <v>320</v>
      </c>
      <c r="N153" s="3">
        <f>_xlfn.XLOOKUP(_xlfn.XLOOKUP(tblOrdenes[[#This Row],[id_operacion]],tblEjecucion[id_operacion],tblEjecucion[estado_sistema],""),tblEstados[estado_sistema],tblEstados[estado_normalizado],"Pendiente")</f>
        <v/>
      </c>
      <c r="O153" s="3">
        <f>IF(tblOrdenes[[#This Row],[fecha_inicio]]="","","S"&amp;IF(_xlfn.ISOWEEKNUM(tblOrdenes[[#This Row],[fecha_inicio]])=53,1,_xlfn.ISOWEEKNUM(tblOrdenes[[#This Row],[fecha_inicio]])))</f>
        <v/>
      </c>
      <c r="P153" s="3">
        <f>IF(tblOrdenes[[#This Row],[fecha_inicio]]="","",YEAR(tblOrdenes[[#This Row],[fecha_inicio]]))</f>
        <v/>
      </c>
      <c r="Q153" s="3">
        <f>IF(tblOrdenes[[#This Row],[fecha_inicio]]="","",MONTH(tblOrdenes[[#This Row],[fecha_inicio]]))</f>
        <v/>
      </c>
      <c r="R153" s="3">
        <f>IF(tblOrdenes[[#This Row],[fecha_inicio]]="","",INDEX(lista_dias,WEEKDAY(tblOrdenes[[#This Row],[fecha_inicio]],2)))</f>
        <v/>
      </c>
      <c r="S153" s="3">
        <f>_xlfn.XLOOKUP(tblOrdenes[[#This Row],[tipo_ot]],tblTiposOT[codigo],tblTiposOT[clasificacion],"sin_clasificar")</f>
        <v/>
      </c>
      <c r="T153" s="3">
        <f>_xlfn.XLOOKUP(tblOrdenes[[#This Row],[centro_costo]],tblCECO[codigo],tblCECO[linea],"(sin catálogo)")</f>
        <v/>
      </c>
      <c r="U153" s="3">
        <f>_xlfn.XLOOKUP(tblOrdenes[[#This Row],[centro_costo]],tblCECO[codigo],tblCECO[area],"(sin catálogo)")</f>
        <v/>
      </c>
      <c r="V153" s="3">
        <f>_xlfn.XLOOKUP(tblOrdenes[[#This Row],[centro_costo]],tblCECO[codigo],tblCECO[coordinador],"(sin catálogo)")</f>
        <v/>
      </c>
      <c r="W153" s="3">
        <f>_xlfn.XLOOKUP(tblOrdenes[[#This Row],[puesto_trabajo]],tblPuestos[codigo],tblPuestos[especialidad],"(sin catálogo)")</f>
        <v/>
      </c>
      <c r="X153" s="3">
        <f>_xlfn.XLOOKUP(tblOrdenes[[#This Row],[cod_actividad]],tblActividades[codigo],tblActividades[descripcion],"(sin catálogo)")</f>
        <v/>
      </c>
      <c r="Y153" s="12">
        <f>IF(tblOrdenes[[#This Row],[fecha_inicio]]="","",TODAY()-tblOrdenes[[#This Row],[fecha_inicio]])</f>
        <v/>
      </c>
      <c r="Z153" s="3">
        <f>IF(tblOrdenes[[#This Row],[backlog_dias]]="","",IF(tblOrdenes[[#This Row],[backlog_dias]]&lt;0,"FUTURO",IF(tblOrdenes[[#This Row],[backlog_dias]]&gt;p_dias_backlog_max,"BACKLOG","MES CORRIENTE")))</f>
        <v/>
      </c>
      <c r="AA153" s="3">
        <f>IF(tblOrdenes[[#This Row],[backlog_dias]]="",FALSE,AND(tblOrdenes[[#This Row],[backlog_dias]]&gt;p_dias_backlog_min,tblOrdenes[[#This Row],[backlog_dias]]&lt;=p_dias_backlog_max))</f>
        <v/>
      </c>
      <c r="AB153" s="6" t="inlineStr"/>
      <c r="AC15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3" s="10">
        <f>_xlfn.XLOOKUP(tblOrdenes[[#This Row],[id_operacion]],tblEjecucion[id_operacion],tblEjecucion[precio],0)</f>
        <v/>
      </c>
      <c r="AE153" s="10">
        <f>MAX(0,_xlfn.XLOOKUP(tblOrdenes[[#This Row],[id_operacion]],tblEjecucion[id_operacion],tblEjecucion[costo_plan_total],0)-tblOrdenes[[#This Row],[costo_servicio]])</f>
        <v/>
      </c>
      <c r="AF153" s="10">
        <f>tblOrdenes[[#This Row],[costo_servicio]]+tblOrdenes[[#This Row],[costo_materiales]]</f>
        <v/>
      </c>
      <c r="AG153" s="6" t="inlineStr"/>
      <c r="AH153" s="6" t="inlineStr"/>
      <c r="AI153" s="6" t="inlineStr"/>
      <c r="AJ153" s="3">
        <f>IF(tblOrdenes[[#This Row],[link_checklist]]="","",HYPERLINK(p_ruta_base_checklists&amp;tblOrdenes[[#This Row],[link_checklist]],"abrir"))</f>
        <v/>
      </c>
      <c r="AK153" s="6" t="inlineStr"/>
    </row>
    <row r="154">
      <c r="A154" s="3" t="inlineStr">
        <is>
          <t>OT-000151</t>
        </is>
      </c>
      <c r="B154" s="3" t="inlineStr">
        <is>
          <t>0010</t>
        </is>
      </c>
      <c r="C154" s="3">
        <f>tblOrdenes[[#This Row],[orden]]&amp;IF(tblOrdenes[[#This Row],[operacion]]="","0010",tblOrdenes[[#This Row],[operacion]])</f>
        <v/>
      </c>
      <c r="D154" s="3" t="inlineStr">
        <is>
          <t>Lubricación programada — EQ-111</t>
        </is>
      </c>
      <c r="E154" s="3" t="inlineStr">
        <is>
          <t>Lubricación programada en EQ-111</t>
        </is>
      </c>
      <c r="F154" s="3" t="inlineStr">
        <is>
          <t>EQ-111</t>
        </is>
      </c>
      <c r="G154" s="3" t="inlineStr">
        <is>
          <t>CC-320</t>
        </is>
      </c>
      <c r="H154" s="3" t="inlineStr">
        <is>
          <t>PU-ELE</t>
        </is>
      </c>
      <c r="I154" s="3" t="inlineStr">
        <is>
          <t>ACT-02</t>
        </is>
      </c>
      <c r="J154" s="3" t="inlineStr">
        <is>
          <t>TIPO-P2</t>
        </is>
      </c>
      <c r="K154" s="11" t="n">
        <v>46122</v>
      </c>
      <c r="L154" s="3" t="n">
        <v>4</v>
      </c>
      <c r="M154" s="10" t="n">
        <v>100</v>
      </c>
      <c r="N154" s="3">
        <f>_xlfn.XLOOKUP(_xlfn.XLOOKUP(tblOrdenes[[#This Row],[id_operacion]],tblEjecucion[id_operacion],tblEjecucion[estado_sistema],""),tblEstados[estado_sistema],tblEstados[estado_normalizado],"Pendiente")</f>
        <v/>
      </c>
      <c r="O154" s="3">
        <f>IF(tblOrdenes[[#This Row],[fecha_inicio]]="","","S"&amp;IF(_xlfn.ISOWEEKNUM(tblOrdenes[[#This Row],[fecha_inicio]])=53,1,_xlfn.ISOWEEKNUM(tblOrdenes[[#This Row],[fecha_inicio]])))</f>
        <v/>
      </c>
      <c r="P154" s="3">
        <f>IF(tblOrdenes[[#This Row],[fecha_inicio]]="","",YEAR(tblOrdenes[[#This Row],[fecha_inicio]]))</f>
        <v/>
      </c>
      <c r="Q154" s="3">
        <f>IF(tblOrdenes[[#This Row],[fecha_inicio]]="","",MONTH(tblOrdenes[[#This Row],[fecha_inicio]]))</f>
        <v/>
      </c>
      <c r="R154" s="3">
        <f>IF(tblOrdenes[[#This Row],[fecha_inicio]]="","",INDEX(lista_dias,WEEKDAY(tblOrdenes[[#This Row],[fecha_inicio]],2)))</f>
        <v/>
      </c>
      <c r="S154" s="3">
        <f>_xlfn.XLOOKUP(tblOrdenes[[#This Row],[tipo_ot]],tblTiposOT[codigo],tblTiposOT[clasificacion],"sin_clasificar")</f>
        <v/>
      </c>
      <c r="T154" s="3">
        <f>_xlfn.XLOOKUP(tblOrdenes[[#This Row],[centro_costo]],tblCECO[codigo],tblCECO[linea],"(sin catálogo)")</f>
        <v/>
      </c>
      <c r="U154" s="3">
        <f>_xlfn.XLOOKUP(tblOrdenes[[#This Row],[centro_costo]],tblCECO[codigo],tblCECO[area],"(sin catálogo)")</f>
        <v/>
      </c>
      <c r="V154" s="3">
        <f>_xlfn.XLOOKUP(tblOrdenes[[#This Row],[centro_costo]],tblCECO[codigo],tblCECO[coordinador],"(sin catálogo)")</f>
        <v/>
      </c>
      <c r="W154" s="3">
        <f>_xlfn.XLOOKUP(tblOrdenes[[#This Row],[puesto_trabajo]],tblPuestos[codigo],tblPuestos[especialidad],"(sin catálogo)")</f>
        <v/>
      </c>
      <c r="X154" s="3">
        <f>_xlfn.XLOOKUP(tblOrdenes[[#This Row],[cod_actividad]],tblActividades[codigo],tblActividades[descripcion],"(sin catálogo)")</f>
        <v/>
      </c>
      <c r="Y154" s="12">
        <f>IF(tblOrdenes[[#This Row],[fecha_inicio]]="","",TODAY()-tblOrdenes[[#This Row],[fecha_inicio]])</f>
        <v/>
      </c>
      <c r="Z154" s="3">
        <f>IF(tblOrdenes[[#This Row],[backlog_dias]]="","",IF(tblOrdenes[[#This Row],[backlog_dias]]&lt;0,"FUTURO",IF(tblOrdenes[[#This Row],[backlog_dias]]&gt;p_dias_backlog_max,"BACKLOG","MES CORRIENTE")))</f>
        <v/>
      </c>
      <c r="AA154" s="3">
        <f>IF(tblOrdenes[[#This Row],[backlog_dias]]="",FALSE,AND(tblOrdenes[[#This Row],[backlog_dias]]&gt;p_dias_backlog_min,tblOrdenes[[#This Row],[backlog_dias]]&lt;=p_dias_backlog_max))</f>
        <v/>
      </c>
      <c r="AB154" s="6" t="inlineStr"/>
      <c r="AC15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4" s="10">
        <f>_xlfn.XLOOKUP(tblOrdenes[[#This Row],[id_operacion]],tblEjecucion[id_operacion],tblEjecucion[precio],0)</f>
        <v/>
      </c>
      <c r="AE154" s="10">
        <f>MAX(0,_xlfn.XLOOKUP(tblOrdenes[[#This Row],[id_operacion]],tblEjecucion[id_operacion],tblEjecucion[costo_plan_total],0)-tblOrdenes[[#This Row],[costo_servicio]])</f>
        <v/>
      </c>
      <c r="AF154" s="10">
        <f>tblOrdenes[[#This Row],[costo_servicio]]+tblOrdenes[[#This Row],[costo_materiales]]</f>
        <v/>
      </c>
      <c r="AG154" s="6" t="inlineStr"/>
      <c r="AH154" s="6" t="inlineStr"/>
      <c r="AI154" s="6" t="inlineStr"/>
      <c r="AJ154" s="3">
        <f>IF(tblOrdenes[[#This Row],[link_checklist]]="","",HYPERLINK(p_ruta_base_checklists&amp;tblOrdenes[[#This Row],[link_checklist]],"abrir"))</f>
        <v/>
      </c>
      <c r="AK154" s="6" t="inlineStr"/>
    </row>
    <row r="155">
      <c r="A155" s="3" t="inlineStr">
        <is>
          <t>OT-000152</t>
        </is>
      </c>
      <c r="B155" s="3" t="inlineStr">
        <is>
          <t>0010</t>
        </is>
      </c>
      <c r="C155" s="3">
        <f>tblOrdenes[[#This Row],[orden]]&amp;IF(tblOrdenes[[#This Row],[operacion]]="","0010",tblOrdenes[[#This Row],[operacion]])</f>
        <v/>
      </c>
      <c r="D155" s="3" t="inlineStr">
        <is>
          <t>Reparación de falla — EQ-103</t>
        </is>
      </c>
      <c r="E155" s="3" t="inlineStr">
        <is>
          <t>Reparación de falla en EQ-103</t>
        </is>
      </c>
      <c r="F155" s="3" t="inlineStr">
        <is>
          <t>EQ-103</t>
        </is>
      </c>
      <c r="G155" s="3" t="inlineStr">
        <is>
          <t>CC-110</t>
        </is>
      </c>
      <c r="H155" s="3" t="inlineStr">
        <is>
          <t>PU-AUT</t>
        </is>
      </c>
      <c r="I155" s="3" t="inlineStr">
        <is>
          <t>ACT-03</t>
        </is>
      </c>
      <c r="J155" s="3" t="inlineStr">
        <is>
          <t>TIPO-C1</t>
        </is>
      </c>
      <c r="K155" s="11" t="n">
        <v>46122</v>
      </c>
      <c r="L155" s="3" t="n">
        <v>6</v>
      </c>
      <c r="M155" s="10" t="n">
        <v>240</v>
      </c>
      <c r="N155" s="3">
        <f>_xlfn.XLOOKUP(_xlfn.XLOOKUP(tblOrdenes[[#This Row],[id_operacion]],tblEjecucion[id_operacion],tblEjecucion[estado_sistema],""),tblEstados[estado_sistema],tblEstados[estado_normalizado],"Pendiente")</f>
        <v/>
      </c>
      <c r="O155" s="3">
        <f>IF(tblOrdenes[[#This Row],[fecha_inicio]]="","","S"&amp;IF(_xlfn.ISOWEEKNUM(tblOrdenes[[#This Row],[fecha_inicio]])=53,1,_xlfn.ISOWEEKNUM(tblOrdenes[[#This Row],[fecha_inicio]])))</f>
        <v/>
      </c>
      <c r="P155" s="3">
        <f>IF(tblOrdenes[[#This Row],[fecha_inicio]]="","",YEAR(tblOrdenes[[#This Row],[fecha_inicio]]))</f>
        <v/>
      </c>
      <c r="Q155" s="3">
        <f>IF(tblOrdenes[[#This Row],[fecha_inicio]]="","",MONTH(tblOrdenes[[#This Row],[fecha_inicio]]))</f>
        <v/>
      </c>
      <c r="R155" s="3">
        <f>IF(tblOrdenes[[#This Row],[fecha_inicio]]="","",INDEX(lista_dias,WEEKDAY(tblOrdenes[[#This Row],[fecha_inicio]],2)))</f>
        <v/>
      </c>
      <c r="S155" s="3">
        <f>_xlfn.XLOOKUP(tblOrdenes[[#This Row],[tipo_ot]],tblTiposOT[codigo],tblTiposOT[clasificacion],"sin_clasificar")</f>
        <v/>
      </c>
      <c r="T155" s="3">
        <f>_xlfn.XLOOKUP(tblOrdenes[[#This Row],[centro_costo]],tblCECO[codigo],tblCECO[linea],"(sin catálogo)")</f>
        <v/>
      </c>
      <c r="U155" s="3">
        <f>_xlfn.XLOOKUP(tblOrdenes[[#This Row],[centro_costo]],tblCECO[codigo],tblCECO[area],"(sin catálogo)")</f>
        <v/>
      </c>
      <c r="V155" s="3">
        <f>_xlfn.XLOOKUP(tblOrdenes[[#This Row],[centro_costo]],tblCECO[codigo],tblCECO[coordinador],"(sin catálogo)")</f>
        <v/>
      </c>
      <c r="W155" s="3">
        <f>_xlfn.XLOOKUP(tblOrdenes[[#This Row],[puesto_trabajo]],tblPuestos[codigo],tblPuestos[especialidad],"(sin catálogo)")</f>
        <v/>
      </c>
      <c r="X155" s="3">
        <f>_xlfn.XLOOKUP(tblOrdenes[[#This Row],[cod_actividad]],tblActividades[codigo],tblActividades[descripcion],"(sin catálogo)")</f>
        <v/>
      </c>
      <c r="Y155" s="12">
        <f>IF(tblOrdenes[[#This Row],[fecha_inicio]]="","",TODAY()-tblOrdenes[[#This Row],[fecha_inicio]])</f>
        <v/>
      </c>
      <c r="Z155" s="3">
        <f>IF(tblOrdenes[[#This Row],[backlog_dias]]="","",IF(tblOrdenes[[#This Row],[backlog_dias]]&lt;0,"FUTURO",IF(tblOrdenes[[#This Row],[backlog_dias]]&gt;p_dias_backlog_max,"BACKLOG","MES CORRIENTE")))</f>
        <v/>
      </c>
      <c r="AA155" s="3">
        <f>IF(tblOrdenes[[#This Row],[backlog_dias]]="",FALSE,AND(tblOrdenes[[#This Row],[backlog_dias]]&gt;p_dias_backlog_min,tblOrdenes[[#This Row],[backlog_dias]]&lt;=p_dias_backlog_max))</f>
        <v/>
      </c>
      <c r="AB155" s="6" t="inlineStr"/>
      <c r="AC15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5" s="10">
        <f>_xlfn.XLOOKUP(tblOrdenes[[#This Row],[id_operacion]],tblEjecucion[id_operacion],tblEjecucion[precio],0)</f>
        <v/>
      </c>
      <c r="AE155" s="10">
        <f>MAX(0,_xlfn.XLOOKUP(tblOrdenes[[#This Row],[id_operacion]],tblEjecucion[id_operacion],tblEjecucion[costo_plan_total],0)-tblOrdenes[[#This Row],[costo_servicio]])</f>
        <v/>
      </c>
      <c r="AF155" s="10">
        <f>tblOrdenes[[#This Row],[costo_servicio]]+tblOrdenes[[#This Row],[costo_materiales]]</f>
        <v/>
      </c>
      <c r="AG155" s="6" t="inlineStr"/>
      <c r="AH155" s="6" t="inlineStr"/>
      <c r="AI155" s="6" t="inlineStr"/>
      <c r="AJ155" s="3">
        <f>IF(tblOrdenes[[#This Row],[link_checklist]]="","",HYPERLINK(p_ruta_base_checklists&amp;tblOrdenes[[#This Row],[link_checklist]],"abrir"))</f>
        <v/>
      </c>
      <c r="AK155" s="6" t="inlineStr"/>
    </row>
    <row r="156">
      <c r="A156" s="3" t="inlineStr">
        <is>
          <t>OT-000153</t>
        </is>
      </c>
      <c r="B156" s="3" t="inlineStr">
        <is>
          <t>0010</t>
        </is>
      </c>
      <c r="C156" s="3">
        <f>tblOrdenes[[#This Row],[orden]]&amp;IF(tblOrdenes[[#This Row],[operacion]]="","0010",tblOrdenes[[#This Row],[operacion]])</f>
        <v/>
      </c>
      <c r="D156" s="3" t="inlineStr">
        <is>
          <t>Reparación de falla — EQ-104</t>
        </is>
      </c>
      <c r="E156" s="3" t="inlineStr">
        <is>
          <t>Reparación de falla en EQ-104</t>
        </is>
      </c>
      <c r="F156" s="3" t="inlineStr">
        <is>
          <t>EQ-104</t>
        </is>
      </c>
      <c r="G156" s="3" t="inlineStr">
        <is>
          <t>CC-120</t>
        </is>
      </c>
      <c r="H156" s="3" t="inlineStr">
        <is>
          <t>PU-OP</t>
        </is>
      </c>
      <c r="I156" s="3" t="inlineStr">
        <is>
          <t>ACT-03</t>
        </is>
      </c>
      <c r="J156" s="3" t="inlineStr">
        <is>
          <t>TIPO-C2</t>
        </is>
      </c>
      <c r="K156" s="11" t="n">
        <v>46122</v>
      </c>
      <c r="L156" s="3" t="n">
        <v>8</v>
      </c>
      <c r="M156" s="10" t="n">
        <v>320</v>
      </c>
      <c r="N156" s="3">
        <f>_xlfn.XLOOKUP(_xlfn.XLOOKUP(tblOrdenes[[#This Row],[id_operacion]],tblEjecucion[id_operacion],tblEjecucion[estado_sistema],""),tblEstados[estado_sistema],tblEstados[estado_normalizado],"Pendiente")</f>
        <v/>
      </c>
      <c r="O156" s="3">
        <f>IF(tblOrdenes[[#This Row],[fecha_inicio]]="","","S"&amp;IF(_xlfn.ISOWEEKNUM(tblOrdenes[[#This Row],[fecha_inicio]])=53,1,_xlfn.ISOWEEKNUM(tblOrdenes[[#This Row],[fecha_inicio]])))</f>
        <v/>
      </c>
      <c r="P156" s="3">
        <f>IF(tblOrdenes[[#This Row],[fecha_inicio]]="","",YEAR(tblOrdenes[[#This Row],[fecha_inicio]]))</f>
        <v/>
      </c>
      <c r="Q156" s="3">
        <f>IF(tblOrdenes[[#This Row],[fecha_inicio]]="","",MONTH(tblOrdenes[[#This Row],[fecha_inicio]]))</f>
        <v/>
      </c>
      <c r="R156" s="3">
        <f>IF(tblOrdenes[[#This Row],[fecha_inicio]]="","",INDEX(lista_dias,WEEKDAY(tblOrdenes[[#This Row],[fecha_inicio]],2)))</f>
        <v/>
      </c>
      <c r="S156" s="3">
        <f>_xlfn.XLOOKUP(tblOrdenes[[#This Row],[tipo_ot]],tblTiposOT[codigo],tblTiposOT[clasificacion],"sin_clasificar")</f>
        <v/>
      </c>
      <c r="T156" s="3">
        <f>_xlfn.XLOOKUP(tblOrdenes[[#This Row],[centro_costo]],tblCECO[codigo],tblCECO[linea],"(sin catálogo)")</f>
        <v/>
      </c>
      <c r="U156" s="3">
        <f>_xlfn.XLOOKUP(tblOrdenes[[#This Row],[centro_costo]],tblCECO[codigo],tblCECO[area],"(sin catálogo)")</f>
        <v/>
      </c>
      <c r="V156" s="3">
        <f>_xlfn.XLOOKUP(tblOrdenes[[#This Row],[centro_costo]],tblCECO[codigo],tblCECO[coordinador],"(sin catálogo)")</f>
        <v/>
      </c>
      <c r="W156" s="3">
        <f>_xlfn.XLOOKUP(tblOrdenes[[#This Row],[puesto_trabajo]],tblPuestos[codigo],tblPuestos[especialidad],"(sin catálogo)")</f>
        <v/>
      </c>
      <c r="X156" s="3">
        <f>_xlfn.XLOOKUP(tblOrdenes[[#This Row],[cod_actividad]],tblActividades[codigo],tblActividades[descripcion],"(sin catálogo)")</f>
        <v/>
      </c>
      <c r="Y156" s="12">
        <f>IF(tblOrdenes[[#This Row],[fecha_inicio]]="","",TODAY()-tblOrdenes[[#This Row],[fecha_inicio]])</f>
        <v/>
      </c>
      <c r="Z156" s="3">
        <f>IF(tblOrdenes[[#This Row],[backlog_dias]]="","",IF(tblOrdenes[[#This Row],[backlog_dias]]&lt;0,"FUTURO",IF(tblOrdenes[[#This Row],[backlog_dias]]&gt;p_dias_backlog_max,"BACKLOG","MES CORRIENTE")))</f>
        <v/>
      </c>
      <c r="AA156" s="3">
        <f>IF(tblOrdenes[[#This Row],[backlog_dias]]="",FALSE,AND(tblOrdenes[[#This Row],[backlog_dias]]&gt;p_dias_backlog_min,tblOrdenes[[#This Row],[backlog_dias]]&lt;=p_dias_backlog_max))</f>
        <v/>
      </c>
      <c r="AB156" s="6" t="inlineStr"/>
      <c r="AC15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6" s="10">
        <f>_xlfn.XLOOKUP(tblOrdenes[[#This Row],[id_operacion]],tblEjecucion[id_operacion],tblEjecucion[precio],0)</f>
        <v/>
      </c>
      <c r="AE156" s="10">
        <f>MAX(0,_xlfn.XLOOKUP(tblOrdenes[[#This Row],[id_operacion]],tblEjecucion[id_operacion],tblEjecucion[costo_plan_total],0)-tblOrdenes[[#This Row],[costo_servicio]])</f>
        <v/>
      </c>
      <c r="AF156" s="10">
        <f>tblOrdenes[[#This Row],[costo_servicio]]+tblOrdenes[[#This Row],[costo_materiales]]</f>
        <v/>
      </c>
      <c r="AG156" s="6" t="inlineStr"/>
      <c r="AH156" s="6" t="inlineStr"/>
      <c r="AI156" s="6" t="inlineStr"/>
      <c r="AJ156" s="3">
        <f>IF(tblOrdenes[[#This Row],[link_checklist]]="","",HYPERLINK(p_ruta_base_checklists&amp;tblOrdenes[[#This Row],[link_checklist]],"abrir"))</f>
        <v/>
      </c>
      <c r="AK156" s="6" t="inlineStr"/>
    </row>
    <row r="157">
      <c r="A157" s="3" t="inlineStr">
        <is>
          <t>OT-000154</t>
        </is>
      </c>
      <c r="B157" s="3" t="inlineStr">
        <is>
          <t>0010</t>
        </is>
      </c>
      <c r="C157" s="3">
        <f>tblOrdenes[[#This Row],[orden]]&amp;IF(tblOrdenes[[#This Row],[operacion]]="","0010",tblOrdenes[[#This Row],[operacion]])</f>
        <v/>
      </c>
      <c r="D157" s="3" t="inlineStr">
        <is>
          <t>Reparación de falla — EQ-108</t>
        </is>
      </c>
      <c r="E157" s="3" t="inlineStr">
        <is>
          <t>Reparación de falla en EQ-108</t>
        </is>
      </c>
      <c r="F157" s="3" t="inlineStr">
        <is>
          <t>EQ-108</t>
        </is>
      </c>
      <c r="G157" s="3" t="inlineStr">
        <is>
          <t>CC-220</t>
        </is>
      </c>
      <c r="H157" s="3" t="inlineStr">
        <is>
          <t>PU-OP</t>
        </is>
      </c>
      <c r="I157" s="3" t="inlineStr">
        <is>
          <t>ACT-03</t>
        </is>
      </c>
      <c r="J157" s="3" t="inlineStr">
        <is>
          <t>TIPO-C1</t>
        </is>
      </c>
      <c r="K157" s="11" t="n">
        <v>46102</v>
      </c>
      <c r="L157" s="3" t="n">
        <v>4</v>
      </c>
      <c r="M157" s="10" t="n">
        <v>160</v>
      </c>
      <c r="N157" s="3">
        <f>_xlfn.XLOOKUP(_xlfn.XLOOKUP(tblOrdenes[[#This Row],[id_operacion]],tblEjecucion[id_operacion],tblEjecucion[estado_sistema],""),tblEstados[estado_sistema],tblEstados[estado_normalizado],"Pendiente")</f>
        <v/>
      </c>
      <c r="O157" s="3">
        <f>IF(tblOrdenes[[#This Row],[fecha_inicio]]="","","S"&amp;IF(_xlfn.ISOWEEKNUM(tblOrdenes[[#This Row],[fecha_inicio]])=53,1,_xlfn.ISOWEEKNUM(tblOrdenes[[#This Row],[fecha_inicio]])))</f>
        <v/>
      </c>
      <c r="P157" s="3">
        <f>IF(tblOrdenes[[#This Row],[fecha_inicio]]="","",YEAR(tblOrdenes[[#This Row],[fecha_inicio]]))</f>
        <v/>
      </c>
      <c r="Q157" s="3">
        <f>IF(tblOrdenes[[#This Row],[fecha_inicio]]="","",MONTH(tblOrdenes[[#This Row],[fecha_inicio]]))</f>
        <v/>
      </c>
      <c r="R157" s="3">
        <f>IF(tblOrdenes[[#This Row],[fecha_inicio]]="","",INDEX(lista_dias,WEEKDAY(tblOrdenes[[#This Row],[fecha_inicio]],2)))</f>
        <v/>
      </c>
      <c r="S157" s="3">
        <f>_xlfn.XLOOKUP(tblOrdenes[[#This Row],[tipo_ot]],tblTiposOT[codigo],tblTiposOT[clasificacion],"sin_clasificar")</f>
        <v/>
      </c>
      <c r="T157" s="3">
        <f>_xlfn.XLOOKUP(tblOrdenes[[#This Row],[centro_costo]],tblCECO[codigo],tblCECO[linea],"(sin catálogo)")</f>
        <v/>
      </c>
      <c r="U157" s="3">
        <f>_xlfn.XLOOKUP(tblOrdenes[[#This Row],[centro_costo]],tblCECO[codigo],tblCECO[area],"(sin catálogo)")</f>
        <v/>
      </c>
      <c r="V157" s="3">
        <f>_xlfn.XLOOKUP(tblOrdenes[[#This Row],[centro_costo]],tblCECO[codigo],tblCECO[coordinador],"(sin catálogo)")</f>
        <v/>
      </c>
      <c r="W157" s="3">
        <f>_xlfn.XLOOKUP(tblOrdenes[[#This Row],[puesto_trabajo]],tblPuestos[codigo],tblPuestos[especialidad],"(sin catálogo)")</f>
        <v/>
      </c>
      <c r="X157" s="3">
        <f>_xlfn.XLOOKUP(tblOrdenes[[#This Row],[cod_actividad]],tblActividades[codigo],tblActividades[descripcion],"(sin catálogo)")</f>
        <v/>
      </c>
      <c r="Y157" s="12">
        <f>IF(tblOrdenes[[#This Row],[fecha_inicio]]="","",TODAY()-tblOrdenes[[#This Row],[fecha_inicio]])</f>
        <v/>
      </c>
      <c r="Z157" s="3">
        <f>IF(tblOrdenes[[#This Row],[backlog_dias]]="","",IF(tblOrdenes[[#This Row],[backlog_dias]]&lt;0,"FUTURO",IF(tblOrdenes[[#This Row],[backlog_dias]]&gt;p_dias_backlog_max,"BACKLOG","MES CORRIENTE")))</f>
        <v/>
      </c>
      <c r="AA157" s="3">
        <f>IF(tblOrdenes[[#This Row],[backlog_dias]]="",FALSE,AND(tblOrdenes[[#This Row],[backlog_dias]]&gt;p_dias_backlog_min,tblOrdenes[[#This Row],[backlog_dias]]&lt;=p_dias_backlog_max))</f>
        <v/>
      </c>
      <c r="AB157" s="6" t="inlineStr"/>
      <c r="AC15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7" s="10">
        <f>_xlfn.XLOOKUP(tblOrdenes[[#This Row],[id_operacion]],tblEjecucion[id_operacion],tblEjecucion[precio],0)</f>
        <v/>
      </c>
      <c r="AE157" s="10">
        <f>MAX(0,_xlfn.XLOOKUP(tblOrdenes[[#This Row],[id_operacion]],tblEjecucion[id_operacion],tblEjecucion[costo_plan_total],0)-tblOrdenes[[#This Row],[costo_servicio]])</f>
        <v/>
      </c>
      <c r="AF157" s="10">
        <f>tblOrdenes[[#This Row],[costo_servicio]]+tblOrdenes[[#This Row],[costo_materiales]]</f>
        <v/>
      </c>
      <c r="AG157" s="6" t="inlineStr"/>
      <c r="AH157" s="6" t="inlineStr"/>
      <c r="AI157" s="6" t="inlineStr"/>
      <c r="AJ157" s="3">
        <f>IF(tblOrdenes[[#This Row],[link_checklist]]="","",HYPERLINK(p_ruta_base_checklists&amp;tblOrdenes[[#This Row],[link_checklist]],"abrir"))</f>
        <v/>
      </c>
      <c r="AK157" s="6" t="inlineStr"/>
    </row>
    <row r="158">
      <c r="A158" s="3" t="inlineStr">
        <is>
          <t>OT-000155</t>
        </is>
      </c>
      <c r="B158" s="3" t="inlineStr">
        <is>
          <t>0010</t>
        </is>
      </c>
      <c r="C158" s="3">
        <f>tblOrdenes[[#This Row],[orden]]&amp;IF(tblOrdenes[[#This Row],[operacion]]="","0010",tblOrdenes[[#This Row],[operacion]])</f>
        <v/>
      </c>
      <c r="D158" s="3" t="inlineStr">
        <is>
          <t>Reparación de falla — EQ-112</t>
        </is>
      </c>
      <c r="E158" s="3" t="inlineStr">
        <is>
          <t>Reparación de falla en EQ-112</t>
        </is>
      </c>
      <c r="F158" s="3" t="inlineStr">
        <is>
          <t>EQ-112</t>
        </is>
      </c>
      <c r="G158" s="3" t="inlineStr">
        <is>
          <t>CC-310</t>
        </is>
      </c>
      <c r="H158" s="3" t="inlineStr">
        <is>
          <t>PU-MEC</t>
        </is>
      </c>
      <c r="I158" s="3" t="inlineStr">
        <is>
          <t>ACT-03</t>
        </is>
      </c>
      <c r="J158" s="3" t="inlineStr">
        <is>
          <t>TIPO-C2</t>
        </is>
      </c>
      <c r="K158" s="11" t="n">
        <v>46102</v>
      </c>
      <c r="L158" s="3" t="n">
        <v>6</v>
      </c>
      <c r="M158" s="10" t="n">
        <v>240</v>
      </c>
      <c r="N158" s="3">
        <f>_xlfn.XLOOKUP(_xlfn.XLOOKUP(tblOrdenes[[#This Row],[id_operacion]],tblEjecucion[id_operacion],tblEjecucion[estado_sistema],""),tblEstados[estado_sistema],tblEstados[estado_normalizado],"Pendiente")</f>
        <v/>
      </c>
      <c r="O158" s="3">
        <f>IF(tblOrdenes[[#This Row],[fecha_inicio]]="","","S"&amp;IF(_xlfn.ISOWEEKNUM(tblOrdenes[[#This Row],[fecha_inicio]])=53,1,_xlfn.ISOWEEKNUM(tblOrdenes[[#This Row],[fecha_inicio]])))</f>
        <v/>
      </c>
      <c r="P158" s="3">
        <f>IF(tblOrdenes[[#This Row],[fecha_inicio]]="","",YEAR(tblOrdenes[[#This Row],[fecha_inicio]]))</f>
        <v/>
      </c>
      <c r="Q158" s="3">
        <f>IF(tblOrdenes[[#This Row],[fecha_inicio]]="","",MONTH(tblOrdenes[[#This Row],[fecha_inicio]]))</f>
        <v/>
      </c>
      <c r="R158" s="3">
        <f>IF(tblOrdenes[[#This Row],[fecha_inicio]]="","",INDEX(lista_dias,WEEKDAY(tblOrdenes[[#This Row],[fecha_inicio]],2)))</f>
        <v/>
      </c>
      <c r="S158" s="3">
        <f>_xlfn.XLOOKUP(tblOrdenes[[#This Row],[tipo_ot]],tblTiposOT[codigo],tblTiposOT[clasificacion],"sin_clasificar")</f>
        <v/>
      </c>
      <c r="T158" s="3">
        <f>_xlfn.XLOOKUP(tblOrdenes[[#This Row],[centro_costo]],tblCECO[codigo],tblCECO[linea],"(sin catálogo)")</f>
        <v/>
      </c>
      <c r="U158" s="3">
        <f>_xlfn.XLOOKUP(tblOrdenes[[#This Row],[centro_costo]],tblCECO[codigo],tblCECO[area],"(sin catálogo)")</f>
        <v/>
      </c>
      <c r="V158" s="3">
        <f>_xlfn.XLOOKUP(tblOrdenes[[#This Row],[centro_costo]],tblCECO[codigo],tblCECO[coordinador],"(sin catálogo)")</f>
        <v/>
      </c>
      <c r="W158" s="3">
        <f>_xlfn.XLOOKUP(tblOrdenes[[#This Row],[puesto_trabajo]],tblPuestos[codigo],tblPuestos[especialidad],"(sin catálogo)")</f>
        <v/>
      </c>
      <c r="X158" s="3">
        <f>_xlfn.XLOOKUP(tblOrdenes[[#This Row],[cod_actividad]],tblActividades[codigo],tblActividades[descripcion],"(sin catálogo)")</f>
        <v/>
      </c>
      <c r="Y158" s="12">
        <f>IF(tblOrdenes[[#This Row],[fecha_inicio]]="","",TODAY()-tblOrdenes[[#This Row],[fecha_inicio]])</f>
        <v/>
      </c>
      <c r="Z158" s="3">
        <f>IF(tblOrdenes[[#This Row],[backlog_dias]]="","",IF(tblOrdenes[[#This Row],[backlog_dias]]&lt;0,"FUTURO",IF(tblOrdenes[[#This Row],[backlog_dias]]&gt;p_dias_backlog_max,"BACKLOG","MES CORRIENTE")))</f>
        <v/>
      </c>
      <c r="AA158" s="3">
        <f>IF(tblOrdenes[[#This Row],[backlog_dias]]="",FALSE,AND(tblOrdenes[[#This Row],[backlog_dias]]&gt;p_dias_backlog_min,tblOrdenes[[#This Row],[backlog_dias]]&lt;=p_dias_backlog_max))</f>
        <v/>
      </c>
      <c r="AB158" s="6" t="inlineStr"/>
      <c r="AC15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8" s="10">
        <f>_xlfn.XLOOKUP(tblOrdenes[[#This Row],[id_operacion]],tblEjecucion[id_operacion],tblEjecucion[precio],0)</f>
        <v/>
      </c>
      <c r="AE158" s="10">
        <f>MAX(0,_xlfn.XLOOKUP(tblOrdenes[[#This Row],[id_operacion]],tblEjecucion[id_operacion],tblEjecucion[costo_plan_total],0)-tblOrdenes[[#This Row],[costo_servicio]])</f>
        <v/>
      </c>
      <c r="AF158" s="10">
        <f>tblOrdenes[[#This Row],[costo_servicio]]+tblOrdenes[[#This Row],[costo_materiales]]</f>
        <v/>
      </c>
      <c r="AG158" s="6" t="inlineStr"/>
      <c r="AH158" s="6" t="inlineStr"/>
      <c r="AI158" s="6" t="inlineStr"/>
      <c r="AJ158" s="3">
        <f>IF(tblOrdenes[[#This Row],[link_checklist]]="","",HYPERLINK(p_ruta_base_checklists&amp;tblOrdenes[[#This Row],[link_checklist]],"abrir"))</f>
        <v/>
      </c>
      <c r="AK158" s="6" t="inlineStr"/>
    </row>
    <row r="159">
      <c r="A159" s="3" t="inlineStr">
        <is>
          <t>OT-000156</t>
        </is>
      </c>
      <c r="B159" s="3" t="inlineStr">
        <is>
          <t>0010</t>
        </is>
      </c>
      <c r="C159" s="3">
        <f>tblOrdenes[[#This Row],[orden]]&amp;IF(tblOrdenes[[#This Row],[operacion]]="","0010",tblOrdenes[[#This Row],[operacion]])</f>
        <v/>
      </c>
      <c r="D159" s="3" t="inlineStr">
        <is>
          <t>Reparación de falla — EQ-110</t>
        </is>
      </c>
      <c r="E159" s="3" t="inlineStr">
        <is>
          <t>Reparación de falla en EQ-110</t>
        </is>
      </c>
      <c r="F159" s="3" t="inlineStr">
        <is>
          <t>EQ-110</t>
        </is>
      </c>
      <c r="G159" s="3" t="inlineStr">
        <is>
          <t>CC-320</t>
        </is>
      </c>
      <c r="H159" s="3" t="inlineStr">
        <is>
          <t>PU-ELE</t>
        </is>
      </c>
      <c r="I159" s="3" t="inlineStr">
        <is>
          <t>ACT-03</t>
        </is>
      </c>
      <c r="J159" s="3" t="inlineStr">
        <is>
          <t>TIPO-C1</t>
        </is>
      </c>
      <c r="K159" s="11" t="n">
        <v>46102</v>
      </c>
      <c r="L159" s="3" t="n">
        <v>8</v>
      </c>
      <c r="M159" s="10" t="n">
        <v>320</v>
      </c>
      <c r="N159" s="3">
        <f>_xlfn.XLOOKUP(_xlfn.XLOOKUP(tblOrdenes[[#This Row],[id_operacion]],tblEjecucion[id_operacion],tblEjecucion[estado_sistema],""),tblEstados[estado_sistema],tblEstados[estado_normalizado],"Pendiente")</f>
        <v/>
      </c>
      <c r="O159" s="3">
        <f>IF(tblOrdenes[[#This Row],[fecha_inicio]]="","","S"&amp;IF(_xlfn.ISOWEEKNUM(tblOrdenes[[#This Row],[fecha_inicio]])=53,1,_xlfn.ISOWEEKNUM(tblOrdenes[[#This Row],[fecha_inicio]])))</f>
        <v/>
      </c>
      <c r="P159" s="3">
        <f>IF(tblOrdenes[[#This Row],[fecha_inicio]]="","",YEAR(tblOrdenes[[#This Row],[fecha_inicio]]))</f>
        <v/>
      </c>
      <c r="Q159" s="3">
        <f>IF(tblOrdenes[[#This Row],[fecha_inicio]]="","",MONTH(tblOrdenes[[#This Row],[fecha_inicio]]))</f>
        <v/>
      </c>
      <c r="R159" s="3">
        <f>IF(tblOrdenes[[#This Row],[fecha_inicio]]="","",INDEX(lista_dias,WEEKDAY(tblOrdenes[[#This Row],[fecha_inicio]],2)))</f>
        <v/>
      </c>
      <c r="S159" s="3">
        <f>_xlfn.XLOOKUP(tblOrdenes[[#This Row],[tipo_ot]],tblTiposOT[codigo],tblTiposOT[clasificacion],"sin_clasificar")</f>
        <v/>
      </c>
      <c r="T159" s="3">
        <f>_xlfn.XLOOKUP(tblOrdenes[[#This Row],[centro_costo]],tblCECO[codigo],tblCECO[linea],"(sin catálogo)")</f>
        <v/>
      </c>
      <c r="U159" s="3">
        <f>_xlfn.XLOOKUP(tblOrdenes[[#This Row],[centro_costo]],tblCECO[codigo],tblCECO[area],"(sin catálogo)")</f>
        <v/>
      </c>
      <c r="V159" s="3">
        <f>_xlfn.XLOOKUP(tblOrdenes[[#This Row],[centro_costo]],tblCECO[codigo],tblCECO[coordinador],"(sin catálogo)")</f>
        <v/>
      </c>
      <c r="W159" s="3">
        <f>_xlfn.XLOOKUP(tblOrdenes[[#This Row],[puesto_trabajo]],tblPuestos[codigo],tblPuestos[especialidad],"(sin catálogo)")</f>
        <v/>
      </c>
      <c r="X159" s="3">
        <f>_xlfn.XLOOKUP(tblOrdenes[[#This Row],[cod_actividad]],tblActividades[codigo],tblActividades[descripcion],"(sin catálogo)")</f>
        <v/>
      </c>
      <c r="Y159" s="12">
        <f>IF(tblOrdenes[[#This Row],[fecha_inicio]]="","",TODAY()-tblOrdenes[[#This Row],[fecha_inicio]])</f>
        <v/>
      </c>
      <c r="Z159" s="3">
        <f>IF(tblOrdenes[[#This Row],[backlog_dias]]="","",IF(tblOrdenes[[#This Row],[backlog_dias]]&lt;0,"FUTURO",IF(tblOrdenes[[#This Row],[backlog_dias]]&gt;p_dias_backlog_max,"BACKLOG","MES CORRIENTE")))</f>
        <v/>
      </c>
      <c r="AA159" s="3">
        <f>IF(tblOrdenes[[#This Row],[backlog_dias]]="",FALSE,AND(tblOrdenes[[#This Row],[backlog_dias]]&gt;p_dias_backlog_min,tblOrdenes[[#This Row],[backlog_dias]]&lt;=p_dias_backlog_max))</f>
        <v/>
      </c>
      <c r="AB159" s="6" t="inlineStr"/>
      <c r="AC15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9" s="10">
        <f>_xlfn.XLOOKUP(tblOrdenes[[#This Row],[id_operacion]],tblEjecucion[id_operacion],tblEjecucion[precio],0)</f>
        <v/>
      </c>
      <c r="AE159" s="10">
        <f>MAX(0,_xlfn.XLOOKUP(tblOrdenes[[#This Row],[id_operacion]],tblEjecucion[id_operacion],tblEjecucion[costo_plan_total],0)-tblOrdenes[[#This Row],[costo_servicio]])</f>
        <v/>
      </c>
      <c r="AF159" s="10">
        <f>tblOrdenes[[#This Row],[costo_servicio]]+tblOrdenes[[#This Row],[costo_materiales]]</f>
        <v/>
      </c>
      <c r="AG159" s="6" t="inlineStr"/>
      <c r="AH159" s="6" t="inlineStr"/>
      <c r="AI159" s="6" t="inlineStr"/>
      <c r="AJ159" s="3">
        <f>IF(tblOrdenes[[#This Row],[link_checklist]]="","",HYPERLINK(p_ruta_base_checklists&amp;tblOrdenes[[#This Row],[link_checklist]],"abrir"))</f>
        <v/>
      </c>
      <c r="AK159" s="6" t="inlineStr"/>
    </row>
    <row r="160">
      <c r="A160" s="3" t="inlineStr">
        <is>
          <t>OT-000157</t>
        </is>
      </c>
      <c r="B160" s="3" t="inlineStr">
        <is>
          <t>0010</t>
        </is>
      </c>
      <c r="C160" s="3">
        <f>tblOrdenes[[#This Row],[orden]]&amp;IF(tblOrdenes[[#This Row],[operacion]]="","0010",tblOrdenes[[#This Row],[operacion]])</f>
        <v/>
      </c>
      <c r="D160" s="3" t="inlineStr">
        <is>
          <t>Lubricación programada — EQ-103</t>
        </is>
      </c>
      <c r="E160" s="3" t="inlineStr">
        <is>
          <t>Lubricación programada en EQ-103</t>
        </is>
      </c>
      <c r="F160" s="3" t="inlineStr">
        <is>
          <t>EQ-103</t>
        </is>
      </c>
      <c r="G160" s="3" t="inlineStr">
        <is>
          <t>CC-110</t>
        </is>
      </c>
      <c r="H160" s="3" t="inlineStr">
        <is>
          <t>PU-AUT</t>
        </is>
      </c>
      <c r="I160" s="3" t="inlineStr">
        <is>
          <t>ACT-02</t>
        </is>
      </c>
      <c r="J160" s="3" t="inlineStr">
        <is>
          <t>TIPO-P2</t>
        </is>
      </c>
      <c r="K160" s="11" t="n">
        <v>46102</v>
      </c>
      <c r="L160" s="3" t="n">
        <v>4</v>
      </c>
      <c r="M160" s="10" t="n">
        <v>100</v>
      </c>
      <c r="N160" s="3">
        <f>_xlfn.XLOOKUP(_xlfn.XLOOKUP(tblOrdenes[[#This Row],[id_operacion]],tblEjecucion[id_operacion],tblEjecucion[estado_sistema],""),tblEstados[estado_sistema],tblEstados[estado_normalizado],"Pendiente")</f>
        <v/>
      </c>
      <c r="O160" s="3">
        <f>IF(tblOrdenes[[#This Row],[fecha_inicio]]="","","S"&amp;IF(_xlfn.ISOWEEKNUM(tblOrdenes[[#This Row],[fecha_inicio]])=53,1,_xlfn.ISOWEEKNUM(tblOrdenes[[#This Row],[fecha_inicio]])))</f>
        <v/>
      </c>
      <c r="P160" s="3">
        <f>IF(tblOrdenes[[#This Row],[fecha_inicio]]="","",YEAR(tblOrdenes[[#This Row],[fecha_inicio]]))</f>
        <v/>
      </c>
      <c r="Q160" s="3">
        <f>IF(tblOrdenes[[#This Row],[fecha_inicio]]="","",MONTH(tblOrdenes[[#This Row],[fecha_inicio]]))</f>
        <v/>
      </c>
      <c r="R160" s="3">
        <f>IF(tblOrdenes[[#This Row],[fecha_inicio]]="","",INDEX(lista_dias,WEEKDAY(tblOrdenes[[#This Row],[fecha_inicio]],2)))</f>
        <v/>
      </c>
      <c r="S160" s="3">
        <f>_xlfn.XLOOKUP(tblOrdenes[[#This Row],[tipo_ot]],tblTiposOT[codigo],tblTiposOT[clasificacion],"sin_clasificar")</f>
        <v/>
      </c>
      <c r="T160" s="3">
        <f>_xlfn.XLOOKUP(tblOrdenes[[#This Row],[centro_costo]],tblCECO[codigo],tblCECO[linea],"(sin catálogo)")</f>
        <v/>
      </c>
      <c r="U160" s="3">
        <f>_xlfn.XLOOKUP(tblOrdenes[[#This Row],[centro_costo]],tblCECO[codigo],tblCECO[area],"(sin catálogo)")</f>
        <v/>
      </c>
      <c r="V160" s="3">
        <f>_xlfn.XLOOKUP(tblOrdenes[[#This Row],[centro_costo]],tblCECO[codigo],tblCECO[coordinador],"(sin catálogo)")</f>
        <v/>
      </c>
      <c r="W160" s="3">
        <f>_xlfn.XLOOKUP(tblOrdenes[[#This Row],[puesto_trabajo]],tblPuestos[codigo],tblPuestos[especialidad],"(sin catálogo)")</f>
        <v/>
      </c>
      <c r="X160" s="3">
        <f>_xlfn.XLOOKUP(tblOrdenes[[#This Row],[cod_actividad]],tblActividades[codigo],tblActividades[descripcion],"(sin catálogo)")</f>
        <v/>
      </c>
      <c r="Y160" s="12">
        <f>IF(tblOrdenes[[#This Row],[fecha_inicio]]="","",TODAY()-tblOrdenes[[#This Row],[fecha_inicio]])</f>
        <v/>
      </c>
      <c r="Z160" s="3">
        <f>IF(tblOrdenes[[#This Row],[backlog_dias]]="","",IF(tblOrdenes[[#This Row],[backlog_dias]]&lt;0,"FUTURO",IF(tblOrdenes[[#This Row],[backlog_dias]]&gt;p_dias_backlog_max,"BACKLOG","MES CORRIENTE")))</f>
        <v/>
      </c>
      <c r="AA160" s="3">
        <f>IF(tblOrdenes[[#This Row],[backlog_dias]]="",FALSE,AND(tblOrdenes[[#This Row],[backlog_dias]]&gt;p_dias_backlog_min,tblOrdenes[[#This Row],[backlog_dias]]&lt;=p_dias_backlog_max))</f>
        <v/>
      </c>
      <c r="AB160" s="6" t="inlineStr"/>
      <c r="AC16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0" s="10">
        <f>_xlfn.XLOOKUP(tblOrdenes[[#This Row],[id_operacion]],tblEjecucion[id_operacion],tblEjecucion[precio],0)</f>
        <v/>
      </c>
      <c r="AE160" s="10">
        <f>MAX(0,_xlfn.XLOOKUP(tblOrdenes[[#This Row],[id_operacion]],tblEjecucion[id_operacion],tblEjecucion[costo_plan_total],0)-tblOrdenes[[#This Row],[costo_servicio]])</f>
        <v/>
      </c>
      <c r="AF160" s="10">
        <f>tblOrdenes[[#This Row],[costo_servicio]]+tblOrdenes[[#This Row],[costo_materiales]]</f>
        <v/>
      </c>
      <c r="AG160" s="6" t="inlineStr"/>
      <c r="AH160" s="6" t="inlineStr"/>
      <c r="AI160" s="6" t="inlineStr"/>
      <c r="AJ160" s="3">
        <f>IF(tblOrdenes[[#This Row],[link_checklist]]="","",HYPERLINK(p_ruta_base_checklists&amp;tblOrdenes[[#This Row],[link_checklist]],"abrir"))</f>
        <v/>
      </c>
      <c r="AK160" s="6" t="inlineStr"/>
    </row>
    <row r="161">
      <c r="A161" s="3" t="inlineStr">
        <is>
          <t>OT-000158</t>
        </is>
      </c>
      <c r="B161" s="3" t="inlineStr">
        <is>
          <t>0010</t>
        </is>
      </c>
      <c r="C161" s="3">
        <f>tblOrdenes[[#This Row],[orden]]&amp;IF(tblOrdenes[[#This Row],[operacion]]="","0010",tblOrdenes[[#This Row],[operacion]])</f>
        <v/>
      </c>
      <c r="D161" s="3" t="inlineStr">
        <is>
          <t>Reparación de falla — EQ-112</t>
        </is>
      </c>
      <c r="E161" s="3" t="inlineStr">
        <is>
          <t>Reparación de falla en EQ-112</t>
        </is>
      </c>
      <c r="F161" s="3" t="inlineStr">
        <is>
          <t>EQ-112</t>
        </is>
      </c>
      <c r="G161" s="3" t="inlineStr">
        <is>
          <t>CC-310</t>
        </is>
      </c>
      <c r="H161" s="3" t="inlineStr">
        <is>
          <t>PU-MEC</t>
        </is>
      </c>
      <c r="I161" s="3" t="inlineStr">
        <is>
          <t>ACT-03</t>
        </is>
      </c>
      <c r="J161" s="3" t="inlineStr">
        <is>
          <t>TIPO-C1</t>
        </is>
      </c>
      <c r="K161" s="11" t="n">
        <v>46072</v>
      </c>
      <c r="L161" s="3" t="n">
        <v>4</v>
      </c>
      <c r="M161" s="10" t="n">
        <v>160</v>
      </c>
      <c r="N161" s="3">
        <f>_xlfn.XLOOKUP(_xlfn.XLOOKUP(tblOrdenes[[#This Row],[id_operacion]],tblEjecucion[id_operacion],tblEjecucion[estado_sistema],""),tblEstados[estado_sistema],tblEstados[estado_normalizado],"Pendiente")</f>
        <v/>
      </c>
      <c r="O161" s="3">
        <f>IF(tblOrdenes[[#This Row],[fecha_inicio]]="","","S"&amp;IF(_xlfn.ISOWEEKNUM(tblOrdenes[[#This Row],[fecha_inicio]])=53,1,_xlfn.ISOWEEKNUM(tblOrdenes[[#This Row],[fecha_inicio]])))</f>
        <v/>
      </c>
      <c r="P161" s="3">
        <f>IF(tblOrdenes[[#This Row],[fecha_inicio]]="","",YEAR(tblOrdenes[[#This Row],[fecha_inicio]]))</f>
        <v/>
      </c>
      <c r="Q161" s="3">
        <f>IF(tblOrdenes[[#This Row],[fecha_inicio]]="","",MONTH(tblOrdenes[[#This Row],[fecha_inicio]]))</f>
        <v/>
      </c>
      <c r="R161" s="3">
        <f>IF(tblOrdenes[[#This Row],[fecha_inicio]]="","",INDEX(lista_dias,WEEKDAY(tblOrdenes[[#This Row],[fecha_inicio]],2)))</f>
        <v/>
      </c>
      <c r="S161" s="3">
        <f>_xlfn.XLOOKUP(tblOrdenes[[#This Row],[tipo_ot]],tblTiposOT[codigo],tblTiposOT[clasificacion],"sin_clasificar")</f>
        <v/>
      </c>
      <c r="T161" s="3">
        <f>_xlfn.XLOOKUP(tblOrdenes[[#This Row],[centro_costo]],tblCECO[codigo],tblCECO[linea],"(sin catálogo)")</f>
        <v/>
      </c>
      <c r="U161" s="3">
        <f>_xlfn.XLOOKUP(tblOrdenes[[#This Row],[centro_costo]],tblCECO[codigo],tblCECO[area],"(sin catálogo)")</f>
        <v/>
      </c>
      <c r="V161" s="3">
        <f>_xlfn.XLOOKUP(tblOrdenes[[#This Row],[centro_costo]],tblCECO[codigo],tblCECO[coordinador],"(sin catálogo)")</f>
        <v/>
      </c>
      <c r="W161" s="3">
        <f>_xlfn.XLOOKUP(tblOrdenes[[#This Row],[puesto_trabajo]],tblPuestos[codigo],tblPuestos[especialidad],"(sin catálogo)")</f>
        <v/>
      </c>
      <c r="X161" s="3">
        <f>_xlfn.XLOOKUP(tblOrdenes[[#This Row],[cod_actividad]],tblActividades[codigo],tblActividades[descripcion],"(sin catálogo)")</f>
        <v/>
      </c>
      <c r="Y161" s="12">
        <f>IF(tblOrdenes[[#This Row],[fecha_inicio]]="","",TODAY()-tblOrdenes[[#This Row],[fecha_inicio]])</f>
        <v/>
      </c>
      <c r="Z161" s="3">
        <f>IF(tblOrdenes[[#This Row],[backlog_dias]]="","",IF(tblOrdenes[[#This Row],[backlog_dias]]&lt;0,"FUTURO",IF(tblOrdenes[[#This Row],[backlog_dias]]&gt;p_dias_backlog_max,"BACKLOG","MES CORRIENTE")))</f>
        <v/>
      </c>
      <c r="AA161" s="3">
        <f>IF(tblOrdenes[[#This Row],[backlog_dias]]="",FALSE,AND(tblOrdenes[[#This Row],[backlog_dias]]&gt;p_dias_backlog_min,tblOrdenes[[#This Row],[backlog_dias]]&lt;=p_dias_backlog_max))</f>
        <v/>
      </c>
      <c r="AB161" s="6" t="inlineStr"/>
      <c r="AC16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1" s="10">
        <f>_xlfn.XLOOKUP(tblOrdenes[[#This Row],[id_operacion]],tblEjecucion[id_operacion],tblEjecucion[precio],0)</f>
        <v/>
      </c>
      <c r="AE161" s="10">
        <f>MAX(0,_xlfn.XLOOKUP(tblOrdenes[[#This Row],[id_operacion]],tblEjecucion[id_operacion],tblEjecucion[costo_plan_total],0)-tblOrdenes[[#This Row],[costo_servicio]])</f>
        <v/>
      </c>
      <c r="AF161" s="10">
        <f>tblOrdenes[[#This Row],[costo_servicio]]+tblOrdenes[[#This Row],[costo_materiales]]</f>
        <v/>
      </c>
      <c r="AG161" s="6" t="inlineStr"/>
      <c r="AH161" s="6" t="inlineStr"/>
      <c r="AI161" s="6" t="inlineStr"/>
      <c r="AJ161" s="3">
        <f>IF(tblOrdenes[[#This Row],[link_checklist]]="","",HYPERLINK(p_ruta_base_checklists&amp;tblOrdenes[[#This Row],[link_checklist]],"abrir"))</f>
        <v/>
      </c>
      <c r="AK161" s="6" t="inlineStr"/>
    </row>
    <row r="162">
      <c r="A162" s="3" t="inlineStr">
        <is>
          <t>OT-000159</t>
        </is>
      </c>
      <c r="B162" s="3" t="inlineStr">
        <is>
          <t>0010</t>
        </is>
      </c>
      <c r="C162" s="3">
        <f>tblOrdenes[[#This Row],[orden]]&amp;IF(tblOrdenes[[#This Row],[operacion]]="","0010",tblOrdenes[[#This Row],[operacion]])</f>
        <v/>
      </c>
      <c r="D162" s="3" t="inlineStr">
        <is>
          <t>Reparación de falla — EQ-110</t>
        </is>
      </c>
      <c r="E162" s="3" t="inlineStr">
        <is>
          <t>Reparación de falla en EQ-110</t>
        </is>
      </c>
      <c r="F162" s="3" t="inlineStr">
        <is>
          <t>EQ-110</t>
        </is>
      </c>
      <c r="G162" s="3" t="inlineStr">
        <is>
          <t>CC-320</t>
        </is>
      </c>
      <c r="H162" s="3" t="inlineStr">
        <is>
          <t>PU-ELE</t>
        </is>
      </c>
      <c r="I162" s="3" t="inlineStr">
        <is>
          <t>ACT-03</t>
        </is>
      </c>
      <c r="J162" s="3" t="inlineStr">
        <is>
          <t>TIPO-C2</t>
        </is>
      </c>
      <c r="K162" s="11" t="n">
        <v>46072</v>
      </c>
      <c r="L162" s="3" t="n">
        <v>6</v>
      </c>
      <c r="M162" s="10" t="n">
        <v>240</v>
      </c>
      <c r="N162" s="3">
        <f>_xlfn.XLOOKUP(_xlfn.XLOOKUP(tblOrdenes[[#This Row],[id_operacion]],tblEjecucion[id_operacion],tblEjecucion[estado_sistema],""),tblEstados[estado_sistema],tblEstados[estado_normalizado],"Pendiente")</f>
        <v/>
      </c>
      <c r="O162" s="3">
        <f>IF(tblOrdenes[[#This Row],[fecha_inicio]]="","","S"&amp;IF(_xlfn.ISOWEEKNUM(tblOrdenes[[#This Row],[fecha_inicio]])=53,1,_xlfn.ISOWEEKNUM(tblOrdenes[[#This Row],[fecha_inicio]])))</f>
        <v/>
      </c>
      <c r="P162" s="3">
        <f>IF(tblOrdenes[[#This Row],[fecha_inicio]]="","",YEAR(tblOrdenes[[#This Row],[fecha_inicio]]))</f>
        <v/>
      </c>
      <c r="Q162" s="3">
        <f>IF(tblOrdenes[[#This Row],[fecha_inicio]]="","",MONTH(tblOrdenes[[#This Row],[fecha_inicio]]))</f>
        <v/>
      </c>
      <c r="R162" s="3">
        <f>IF(tblOrdenes[[#This Row],[fecha_inicio]]="","",INDEX(lista_dias,WEEKDAY(tblOrdenes[[#This Row],[fecha_inicio]],2)))</f>
        <v/>
      </c>
      <c r="S162" s="3">
        <f>_xlfn.XLOOKUP(tblOrdenes[[#This Row],[tipo_ot]],tblTiposOT[codigo],tblTiposOT[clasificacion],"sin_clasificar")</f>
        <v/>
      </c>
      <c r="T162" s="3">
        <f>_xlfn.XLOOKUP(tblOrdenes[[#This Row],[centro_costo]],tblCECO[codigo],tblCECO[linea],"(sin catálogo)")</f>
        <v/>
      </c>
      <c r="U162" s="3">
        <f>_xlfn.XLOOKUP(tblOrdenes[[#This Row],[centro_costo]],tblCECO[codigo],tblCECO[area],"(sin catálogo)")</f>
        <v/>
      </c>
      <c r="V162" s="3">
        <f>_xlfn.XLOOKUP(tblOrdenes[[#This Row],[centro_costo]],tblCECO[codigo],tblCECO[coordinador],"(sin catálogo)")</f>
        <v/>
      </c>
      <c r="W162" s="3">
        <f>_xlfn.XLOOKUP(tblOrdenes[[#This Row],[puesto_trabajo]],tblPuestos[codigo],tblPuestos[especialidad],"(sin catálogo)")</f>
        <v/>
      </c>
      <c r="X162" s="3">
        <f>_xlfn.XLOOKUP(tblOrdenes[[#This Row],[cod_actividad]],tblActividades[codigo],tblActividades[descripcion],"(sin catálogo)")</f>
        <v/>
      </c>
      <c r="Y162" s="12">
        <f>IF(tblOrdenes[[#This Row],[fecha_inicio]]="","",TODAY()-tblOrdenes[[#This Row],[fecha_inicio]])</f>
        <v/>
      </c>
      <c r="Z162" s="3">
        <f>IF(tblOrdenes[[#This Row],[backlog_dias]]="","",IF(tblOrdenes[[#This Row],[backlog_dias]]&lt;0,"FUTURO",IF(tblOrdenes[[#This Row],[backlog_dias]]&gt;p_dias_backlog_max,"BACKLOG","MES CORRIENTE")))</f>
        <v/>
      </c>
      <c r="AA162" s="3">
        <f>IF(tblOrdenes[[#This Row],[backlog_dias]]="",FALSE,AND(tblOrdenes[[#This Row],[backlog_dias]]&gt;p_dias_backlog_min,tblOrdenes[[#This Row],[backlog_dias]]&lt;=p_dias_backlog_max))</f>
        <v/>
      </c>
      <c r="AB162" s="6" t="inlineStr"/>
      <c r="AC16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2" s="10">
        <f>_xlfn.XLOOKUP(tblOrdenes[[#This Row],[id_operacion]],tblEjecucion[id_operacion],tblEjecucion[precio],0)</f>
        <v/>
      </c>
      <c r="AE162" s="10">
        <f>MAX(0,_xlfn.XLOOKUP(tblOrdenes[[#This Row],[id_operacion]],tblEjecucion[id_operacion],tblEjecucion[costo_plan_total],0)-tblOrdenes[[#This Row],[costo_servicio]])</f>
        <v/>
      </c>
      <c r="AF162" s="10">
        <f>tblOrdenes[[#This Row],[costo_servicio]]+tblOrdenes[[#This Row],[costo_materiales]]</f>
        <v/>
      </c>
      <c r="AG162" s="6" t="inlineStr"/>
      <c r="AH162" s="6" t="inlineStr"/>
      <c r="AI162" s="6" t="inlineStr"/>
      <c r="AJ162" s="3">
        <f>IF(tblOrdenes[[#This Row],[link_checklist]]="","",HYPERLINK(p_ruta_base_checklists&amp;tblOrdenes[[#This Row],[link_checklist]],"abrir"))</f>
        <v/>
      </c>
      <c r="AK162" s="6" t="inlineStr"/>
    </row>
    <row r="163">
      <c r="A163" s="3" t="inlineStr">
        <is>
          <t>OT-000160</t>
        </is>
      </c>
      <c r="B163" s="3" t="inlineStr">
        <is>
          <t>0010</t>
        </is>
      </c>
      <c r="C163" s="3">
        <f>tblOrdenes[[#This Row],[orden]]&amp;IF(tblOrdenes[[#This Row],[operacion]]="","0010",tblOrdenes[[#This Row],[operacion]])</f>
        <v/>
      </c>
      <c r="D163" s="3" t="inlineStr">
        <is>
          <t>Reparación de falla — EQ-101</t>
        </is>
      </c>
      <c r="E163" s="3" t="inlineStr">
        <is>
          <t>Reparación de falla en EQ-101</t>
        </is>
      </c>
      <c r="F163" s="3" t="inlineStr">
        <is>
          <t>EQ-101</t>
        </is>
      </c>
      <c r="G163" s="3" t="inlineStr">
        <is>
          <t>CC-110</t>
        </is>
      </c>
      <c r="H163" s="3" t="inlineStr">
        <is>
          <t>PU-AUT</t>
        </is>
      </c>
      <c r="I163" s="3" t="inlineStr">
        <is>
          <t>ACT-03</t>
        </is>
      </c>
      <c r="J163" s="3" t="inlineStr">
        <is>
          <t>TIPO-C1</t>
        </is>
      </c>
      <c r="K163" s="11" t="n">
        <v>46072</v>
      </c>
      <c r="L163" s="3" t="n">
        <v>8</v>
      </c>
      <c r="M163" s="10" t="n">
        <v>320</v>
      </c>
      <c r="N163" s="3">
        <f>_xlfn.XLOOKUP(_xlfn.XLOOKUP(tblOrdenes[[#This Row],[id_operacion]],tblEjecucion[id_operacion],tblEjecucion[estado_sistema],""),tblEstados[estado_sistema],tblEstados[estado_normalizado],"Pendiente")</f>
        <v/>
      </c>
      <c r="O163" s="3">
        <f>IF(tblOrdenes[[#This Row],[fecha_inicio]]="","","S"&amp;IF(_xlfn.ISOWEEKNUM(tblOrdenes[[#This Row],[fecha_inicio]])=53,1,_xlfn.ISOWEEKNUM(tblOrdenes[[#This Row],[fecha_inicio]])))</f>
        <v/>
      </c>
      <c r="P163" s="3">
        <f>IF(tblOrdenes[[#This Row],[fecha_inicio]]="","",YEAR(tblOrdenes[[#This Row],[fecha_inicio]]))</f>
        <v/>
      </c>
      <c r="Q163" s="3">
        <f>IF(tblOrdenes[[#This Row],[fecha_inicio]]="","",MONTH(tblOrdenes[[#This Row],[fecha_inicio]]))</f>
        <v/>
      </c>
      <c r="R163" s="3">
        <f>IF(tblOrdenes[[#This Row],[fecha_inicio]]="","",INDEX(lista_dias,WEEKDAY(tblOrdenes[[#This Row],[fecha_inicio]],2)))</f>
        <v/>
      </c>
      <c r="S163" s="3">
        <f>_xlfn.XLOOKUP(tblOrdenes[[#This Row],[tipo_ot]],tblTiposOT[codigo],tblTiposOT[clasificacion],"sin_clasificar")</f>
        <v/>
      </c>
      <c r="T163" s="3">
        <f>_xlfn.XLOOKUP(tblOrdenes[[#This Row],[centro_costo]],tblCECO[codigo],tblCECO[linea],"(sin catálogo)")</f>
        <v/>
      </c>
      <c r="U163" s="3">
        <f>_xlfn.XLOOKUP(tblOrdenes[[#This Row],[centro_costo]],tblCECO[codigo],tblCECO[area],"(sin catálogo)")</f>
        <v/>
      </c>
      <c r="V163" s="3">
        <f>_xlfn.XLOOKUP(tblOrdenes[[#This Row],[centro_costo]],tblCECO[codigo],tblCECO[coordinador],"(sin catálogo)")</f>
        <v/>
      </c>
      <c r="W163" s="3">
        <f>_xlfn.XLOOKUP(tblOrdenes[[#This Row],[puesto_trabajo]],tblPuestos[codigo],tblPuestos[especialidad],"(sin catálogo)")</f>
        <v/>
      </c>
      <c r="X163" s="3">
        <f>_xlfn.XLOOKUP(tblOrdenes[[#This Row],[cod_actividad]],tblActividades[codigo],tblActividades[descripcion],"(sin catálogo)")</f>
        <v/>
      </c>
      <c r="Y163" s="12">
        <f>IF(tblOrdenes[[#This Row],[fecha_inicio]]="","",TODAY()-tblOrdenes[[#This Row],[fecha_inicio]])</f>
        <v/>
      </c>
      <c r="Z163" s="3">
        <f>IF(tblOrdenes[[#This Row],[backlog_dias]]="","",IF(tblOrdenes[[#This Row],[backlog_dias]]&lt;0,"FUTURO",IF(tblOrdenes[[#This Row],[backlog_dias]]&gt;p_dias_backlog_max,"BACKLOG","MES CORRIENTE")))</f>
        <v/>
      </c>
      <c r="AA163" s="3">
        <f>IF(tblOrdenes[[#This Row],[backlog_dias]]="",FALSE,AND(tblOrdenes[[#This Row],[backlog_dias]]&gt;p_dias_backlog_min,tblOrdenes[[#This Row],[backlog_dias]]&lt;=p_dias_backlog_max))</f>
        <v/>
      </c>
      <c r="AB163" s="6" t="inlineStr"/>
      <c r="AC16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3" s="10">
        <f>_xlfn.XLOOKUP(tblOrdenes[[#This Row],[id_operacion]],tblEjecucion[id_operacion],tblEjecucion[precio],0)</f>
        <v/>
      </c>
      <c r="AE163" s="10">
        <f>MAX(0,_xlfn.XLOOKUP(tblOrdenes[[#This Row],[id_operacion]],tblEjecucion[id_operacion],tblEjecucion[costo_plan_total],0)-tblOrdenes[[#This Row],[costo_servicio]])</f>
        <v/>
      </c>
      <c r="AF163" s="10">
        <f>tblOrdenes[[#This Row],[costo_servicio]]+tblOrdenes[[#This Row],[costo_materiales]]</f>
        <v/>
      </c>
      <c r="AG163" s="6" t="inlineStr"/>
      <c r="AH163" s="6" t="inlineStr"/>
      <c r="AI163" s="6" t="inlineStr"/>
      <c r="AJ163" s="3">
        <f>IF(tblOrdenes[[#This Row],[link_checklist]]="","",HYPERLINK(p_ruta_base_checklists&amp;tblOrdenes[[#This Row],[link_checklist]],"abrir"))</f>
        <v/>
      </c>
      <c r="AK163" s="6" t="inlineStr"/>
    </row>
    <row r="164">
      <c r="A164" s="3" t="inlineStr">
        <is>
          <t>OT-000161</t>
        </is>
      </c>
      <c r="B164" s="3" t="inlineStr">
        <is>
          <t>0010</t>
        </is>
      </c>
      <c r="C164" s="3">
        <f>tblOrdenes[[#This Row],[orden]]&amp;IF(tblOrdenes[[#This Row],[operacion]]="","0010",tblOrdenes[[#This Row],[operacion]])</f>
        <v/>
      </c>
      <c r="D164" s="3" t="inlineStr">
        <is>
          <t>Análisis predictivo — EQ-102</t>
        </is>
      </c>
      <c r="E164" s="3" t="inlineStr">
        <is>
          <t>Análisis predictivo en EQ-102</t>
        </is>
      </c>
      <c r="F164" s="3" t="inlineStr">
        <is>
          <t>EQ-102</t>
        </is>
      </c>
      <c r="G164" s="3" t="inlineStr">
        <is>
          <t>CC-120</t>
        </is>
      </c>
      <c r="H164" s="3" t="inlineStr">
        <is>
          <t>PU-OP</t>
        </is>
      </c>
      <c r="I164" s="3" t="inlineStr">
        <is>
          <t>ACT-04</t>
        </is>
      </c>
      <c r="J164" s="3" t="inlineStr">
        <is>
          <t>TIPO-P2</t>
        </is>
      </c>
      <c r="K164" s="11" t="n">
        <v>46072</v>
      </c>
      <c r="L164" s="3" t="n">
        <v>4</v>
      </c>
      <c r="M164" s="10" t="n">
        <v>100</v>
      </c>
      <c r="N164" s="3">
        <f>_xlfn.XLOOKUP(_xlfn.XLOOKUP(tblOrdenes[[#This Row],[id_operacion]],tblEjecucion[id_operacion],tblEjecucion[estado_sistema],""),tblEstados[estado_sistema],tblEstados[estado_normalizado],"Pendiente")</f>
        <v/>
      </c>
      <c r="O164" s="3">
        <f>IF(tblOrdenes[[#This Row],[fecha_inicio]]="","","S"&amp;IF(_xlfn.ISOWEEKNUM(tblOrdenes[[#This Row],[fecha_inicio]])=53,1,_xlfn.ISOWEEKNUM(tblOrdenes[[#This Row],[fecha_inicio]])))</f>
        <v/>
      </c>
      <c r="P164" s="3">
        <f>IF(tblOrdenes[[#This Row],[fecha_inicio]]="","",YEAR(tblOrdenes[[#This Row],[fecha_inicio]]))</f>
        <v/>
      </c>
      <c r="Q164" s="3">
        <f>IF(tblOrdenes[[#This Row],[fecha_inicio]]="","",MONTH(tblOrdenes[[#This Row],[fecha_inicio]]))</f>
        <v/>
      </c>
      <c r="R164" s="3">
        <f>IF(tblOrdenes[[#This Row],[fecha_inicio]]="","",INDEX(lista_dias,WEEKDAY(tblOrdenes[[#This Row],[fecha_inicio]],2)))</f>
        <v/>
      </c>
      <c r="S164" s="3">
        <f>_xlfn.XLOOKUP(tblOrdenes[[#This Row],[tipo_ot]],tblTiposOT[codigo],tblTiposOT[clasificacion],"sin_clasificar")</f>
        <v/>
      </c>
      <c r="T164" s="3">
        <f>_xlfn.XLOOKUP(tblOrdenes[[#This Row],[centro_costo]],tblCECO[codigo],tblCECO[linea],"(sin catálogo)")</f>
        <v/>
      </c>
      <c r="U164" s="3">
        <f>_xlfn.XLOOKUP(tblOrdenes[[#This Row],[centro_costo]],tblCECO[codigo],tblCECO[area],"(sin catálogo)")</f>
        <v/>
      </c>
      <c r="V164" s="3">
        <f>_xlfn.XLOOKUP(tblOrdenes[[#This Row],[centro_costo]],tblCECO[codigo],tblCECO[coordinador],"(sin catálogo)")</f>
        <v/>
      </c>
      <c r="W164" s="3">
        <f>_xlfn.XLOOKUP(tblOrdenes[[#This Row],[puesto_trabajo]],tblPuestos[codigo],tblPuestos[especialidad],"(sin catálogo)")</f>
        <v/>
      </c>
      <c r="X164" s="3">
        <f>_xlfn.XLOOKUP(tblOrdenes[[#This Row],[cod_actividad]],tblActividades[codigo],tblActividades[descripcion],"(sin catálogo)")</f>
        <v/>
      </c>
      <c r="Y164" s="12">
        <f>IF(tblOrdenes[[#This Row],[fecha_inicio]]="","",TODAY()-tblOrdenes[[#This Row],[fecha_inicio]])</f>
        <v/>
      </c>
      <c r="Z164" s="3">
        <f>IF(tblOrdenes[[#This Row],[backlog_dias]]="","",IF(tblOrdenes[[#This Row],[backlog_dias]]&lt;0,"FUTURO",IF(tblOrdenes[[#This Row],[backlog_dias]]&gt;p_dias_backlog_max,"BACKLOG","MES CORRIENTE")))</f>
        <v/>
      </c>
      <c r="AA164" s="3">
        <f>IF(tblOrdenes[[#This Row],[backlog_dias]]="",FALSE,AND(tblOrdenes[[#This Row],[backlog_dias]]&gt;p_dias_backlog_min,tblOrdenes[[#This Row],[backlog_dias]]&lt;=p_dias_backlog_max))</f>
        <v/>
      </c>
      <c r="AB164" s="6" t="inlineStr"/>
      <c r="AC16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4" s="10">
        <f>_xlfn.XLOOKUP(tblOrdenes[[#This Row],[id_operacion]],tblEjecucion[id_operacion],tblEjecucion[precio],0)</f>
        <v/>
      </c>
      <c r="AE164" s="10">
        <f>MAX(0,_xlfn.XLOOKUP(tblOrdenes[[#This Row],[id_operacion]],tblEjecucion[id_operacion],tblEjecucion[costo_plan_total],0)-tblOrdenes[[#This Row],[costo_servicio]])</f>
        <v/>
      </c>
      <c r="AF164" s="10">
        <f>tblOrdenes[[#This Row],[costo_servicio]]+tblOrdenes[[#This Row],[costo_materiales]]</f>
        <v/>
      </c>
      <c r="AG164" s="6" t="inlineStr"/>
      <c r="AH164" s="6" t="inlineStr"/>
      <c r="AI164" s="6" t="inlineStr"/>
      <c r="AJ164" s="3">
        <f>IF(tblOrdenes[[#This Row],[link_checklist]]="","",HYPERLINK(p_ruta_base_checklists&amp;tblOrdenes[[#This Row],[link_checklist]],"abrir"))</f>
        <v/>
      </c>
      <c r="AK164" s="6" t="inlineStr"/>
    </row>
    <row r="165">
      <c r="A165" s="3" t="inlineStr">
        <is>
          <t>OT-000162</t>
        </is>
      </c>
      <c r="B165" s="3" t="inlineStr">
        <is>
          <t>0010</t>
        </is>
      </c>
      <c r="C165" s="3">
        <f>tblOrdenes[[#This Row],[orden]]&amp;IF(tblOrdenes[[#This Row],[operacion]]="","0010",tblOrdenes[[#This Row],[operacion]])</f>
        <v/>
      </c>
      <c r="D165" s="3" t="inlineStr">
        <is>
          <t>Inspección de rutina — EQ-103</t>
        </is>
      </c>
      <c r="E165" s="3" t="inlineStr">
        <is>
          <t>Inspección de rutina en EQ-103</t>
        </is>
      </c>
      <c r="F165" s="3" t="inlineStr">
        <is>
          <t>EQ-103</t>
        </is>
      </c>
      <c r="G165" s="3" t="inlineStr">
        <is>
          <t>CC-110</t>
        </is>
      </c>
      <c r="H165" s="3" t="inlineStr">
        <is>
          <t>PU-MEC</t>
        </is>
      </c>
      <c r="I165" s="3" t="inlineStr">
        <is>
          <t>ACT-01</t>
        </is>
      </c>
      <c r="J165" s="3" t="inlineStr">
        <is>
          <t>TIPO-P1</t>
        </is>
      </c>
      <c r="K165" s="11" t="n">
        <v>46182</v>
      </c>
      <c r="L165" s="3" t="n">
        <v>4</v>
      </c>
      <c r="M165" s="10" t="n">
        <v>100</v>
      </c>
      <c r="N165" s="3">
        <f>_xlfn.XLOOKUP(_xlfn.XLOOKUP(tblOrdenes[[#This Row],[id_operacion]],tblEjecucion[id_operacion],tblEjecucion[estado_sistema],""),tblEstados[estado_sistema],tblEstados[estado_normalizado],"Pendiente")</f>
        <v/>
      </c>
      <c r="O165" s="3">
        <f>IF(tblOrdenes[[#This Row],[fecha_inicio]]="","","S"&amp;IF(_xlfn.ISOWEEKNUM(tblOrdenes[[#This Row],[fecha_inicio]])=53,1,_xlfn.ISOWEEKNUM(tblOrdenes[[#This Row],[fecha_inicio]])))</f>
        <v/>
      </c>
      <c r="P165" s="3">
        <f>IF(tblOrdenes[[#This Row],[fecha_inicio]]="","",YEAR(tblOrdenes[[#This Row],[fecha_inicio]]))</f>
        <v/>
      </c>
      <c r="Q165" s="3">
        <f>IF(tblOrdenes[[#This Row],[fecha_inicio]]="","",MONTH(tblOrdenes[[#This Row],[fecha_inicio]]))</f>
        <v/>
      </c>
      <c r="R165" s="3">
        <f>IF(tblOrdenes[[#This Row],[fecha_inicio]]="","",INDEX(lista_dias,WEEKDAY(tblOrdenes[[#This Row],[fecha_inicio]],2)))</f>
        <v/>
      </c>
      <c r="S165" s="3">
        <f>_xlfn.XLOOKUP(tblOrdenes[[#This Row],[tipo_ot]],tblTiposOT[codigo],tblTiposOT[clasificacion],"sin_clasificar")</f>
        <v/>
      </c>
      <c r="T165" s="3">
        <f>_xlfn.XLOOKUP(tblOrdenes[[#This Row],[centro_costo]],tblCECO[codigo],tblCECO[linea],"(sin catálogo)")</f>
        <v/>
      </c>
      <c r="U165" s="3">
        <f>_xlfn.XLOOKUP(tblOrdenes[[#This Row],[centro_costo]],tblCECO[codigo],tblCECO[area],"(sin catálogo)")</f>
        <v/>
      </c>
      <c r="V165" s="3">
        <f>_xlfn.XLOOKUP(tblOrdenes[[#This Row],[centro_costo]],tblCECO[codigo],tblCECO[coordinador],"(sin catálogo)")</f>
        <v/>
      </c>
      <c r="W165" s="3">
        <f>_xlfn.XLOOKUP(tblOrdenes[[#This Row],[puesto_trabajo]],tblPuestos[codigo],tblPuestos[especialidad],"(sin catálogo)")</f>
        <v/>
      </c>
      <c r="X165" s="3">
        <f>_xlfn.XLOOKUP(tblOrdenes[[#This Row],[cod_actividad]],tblActividades[codigo],tblActividades[descripcion],"(sin catálogo)")</f>
        <v/>
      </c>
      <c r="Y165" s="12">
        <f>IF(tblOrdenes[[#This Row],[fecha_inicio]]="","",TODAY()-tblOrdenes[[#This Row],[fecha_inicio]])</f>
        <v/>
      </c>
      <c r="Z165" s="3">
        <f>IF(tblOrdenes[[#This Row],[backlog_dias]]="","",IF(tblOrdenes[[#This Row],[backlog_dias]]&lt;0,"FUTURO",IF(tblOrdenes[[#This Row],[backlog_dias]]&gt;p_dias_backlog_max,"BACKLOG","MES CORRIENTE")))</f>
        <v/>
      </c>
      <c r="AA165" s="3">
        <f>IF(tblOrdenes[[#This Row],[backlog_dias]]="",FALSE,AND(tblOrdenes[[#This Row],[backlog_dias]]&gt;p_dias_backlog_min,tblOrdenes[[#This Row],[backlog_dias]]&lt;=p_dias_backlog_max))</f>
        <v/>
      </c>
      <c r="AB165" s="6" t="inlineStr"/>
      <c r="AC16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5" s="10">
        <f>_xlfn.XLOOKUP(tblOrdenes[[#This Row],[id_operacion]],tblEjecucion[id_operacion],tblEjecucion[precio],0)</f>
        <v/>
      </c>
      <c r="AE165" s="10">
        <f>MAX(0,_xlfn.XLOOKUP(tblOrdenes[[#This Row],[id_operacion]],tblEjecucion[id_operacion],tblEjecucion[costo_plan_total],0)-tblOrdenes[[#This Row],[costo_servicio]])</f>
        <v/>
      </c>
      <c r="AF165" s="10">
        <f>tblOrdenes[[#This Row],[costo_servicio]]+tblOrdenes[[#This Row],[costo_materiales]]</f>
        <v/>
      </c>
      <c r="AG165" s="6" t="inlineStr"/>
      <c r="AH165" s="6" t="inlineStr"/>
      <c r="AI165" s="6" t="inlineStr"/>
      <c r="AJ165" s="3">
        <f>IF(tblOrdenes[[#This Row],[link_checklist]]="","",HYPERLINK(p_ruta_base_checklists&amp;tblOrdenes[[#This Row],[link_checklist]],"abrir"))</f>
        <v/>
      </c>
      <c r="AK165" s="6" t="inlineStr"/>
    </row>
    <row r="166">
      <c r="A166" s="3" t="inlineStr">
        <is>
          <t>OT-000163</t>
        </is>
      </c>
      <c r="B166" s="3" t="inlineStr">
        <is>
          <t>0010</t>
        </is>
      </c>
      <c r="C166" s="3">
        <f>tblOrdenes[[#This Row],[orden]]&amp;IF(tblOrdenes[[#This Row],[operacion]]="","0010",tblOrdenes[[#This Row],[operacion]])</f>
        <v/>
      </c>
      <c r="D166" s="3" t="inlineStr">
        <is>
          <t>Reparación de falla — EQ-104</t>
        </is>
      </c>
      <c r="E166" s="3" t="inlineStr">
        <is>
          <t>Reparación de falla en EQ-104</t>
        </is>
      </c>
      <c r="F166" s="3" t="inlineStr">
        <is>
          <t>EQ-104</t>
        </is>
      </c>
      <c r="G166" s="3" t="inlineStr">
        <is>
          <t>CC-120</t>
        </is>
      </c>
      <c r="H166" s="3" t="inlineStr">
        <is>
          <t>PU-ELE</t>
        </is>
      </c>
      <c r="I166" s="3" t="inlineStr">
        <is>
          <t>ACT-03</t>
        </is>
      </c>
      <c r="J166" s="3" t="inlineStr">
        <is>
          <t>TIPO-C2</t>
        </is>
      </c>
      <c r="K166" s="11" t="n">
        <v>46175</v>
      </c>
      <c r="L166" s="3" t="n">
        <v>6</v>
      </c>
      <c r="M166" s="10" t="n">
        <v>240</v>
      </c>
      <c r="N166" s="3">
        <f>_xlfn.XLOOKUP(_xlfn.XLOOKUP(tblOrdenes[[#This Row],[id_operacion]],tblEjecucion[id_operacion],tblEjecucion[estado_sistema],""),tblEstados[estado_sistema],tblEstados[estado_normalizado],"Pendiente")</f>
        <v/>
      </c>
      <c r="O166" s="3">
        <f>IF(tblOrdenes[[#This Row],[fecha_inicio]]="","","S"&amp;IF(_xlfn.ISOWEEKNUM(tblOrdenes[[#This Row],[fecha_inicio]])=53,1,_xlfn.ISOWEEKNUM(tblOrdenes[[#This Row],[fecha_inicio]])))</f>
        <v/>
      </c>
      <c r="P166" s="3">
        <f>IF(tblOrdenes[[#This Row],[fecha_inicio]]="","",YEAR(tblOrdenes[[#This Row],[fecha_inicio]]))</f>
        <v/>
      </c>
      <c r="Q166" s="3">
        <f>IF(tblOrdenes[[#This Row],[fecha_inicio]]="","",MONTH(tblOrdenes[[#This Row],[fecha_inicio]]))</f>
        <v/>
      </c>
      <c r="R166" s="3">
        <f>IF(tblOrdenes[[#This Row],[fecha_inicio]]="","",INDEX(lista_dias,WEEKDAY(tblOrdenes[[#This Row],[fecha_inicio]],2)))</f>
        <v/>
      </c>
      <c r="S166" s="3">
        <f>_xlfn.XLOOKUP(tblOrdenes[[#This Row],[tipo_ot]],tblTiposOT[codigo],tblTiposOT[clasificacion],"sin_clasificar")</f>
        <v/>
      </c>
      <c r="T166" s="3">
        <f>_xlfn.XLOOKUP(tblOrdenes[[#This Row],[centro_costo]],tblCECO[codigo],tblCECO[linea],"(sin catálogo)")</f>
        <v/>
      </c>
      <c r="U166" s="3">
        <f>_xlfn.XLOOKUP(tblOrdenes[[#This Row],[centro_costo]],tblCECO[codigo],tblCECO[area],"(sin catálogo)")</f>
        <v/>
      </c>
      <c r="V166" s="3">
        <f>_xlfn.XLOOKUP(tblOrdenes[[#This Row],[centro_costo]],tblCECO[codigo],tblCECO[coordinador],"(sin catálogo)")</f>
        <v/>
      </c>
      <c r="W166" s="3">
        <f>_xlfn.XLOOKUP(tblOrdenes[[#This Row],[puesto_trabajo]],tblPuestos[codigo],tblPuestos[especialidad],"(sin catálogo)")</f>
        <v/>
      </c>
      <c r="X166" s="3">
        <f>_xlfn.XLOOKUP(tblOrdenes[[#This Row],[cod_actividad]],tblActividades[codigo],tblActividades[descripcion],"(sin catálogo)")</f>
        <v/>
      </c>
      <c r="Y166" s="12">
        <f>IF(tblOrdenes[[#This Row],[fecha_inicio]]="","",TODAY()-tblOrdenes[[#This Row],[fecha_inicio]])</f>
        <v/>
      </c>
      <c r="Z166" s="3">
        <f>IF(tblOrdenes[[#This Row],[backlog_dias]]="","",IF(tblOrdenes[[#This Row],[backlog_dias]]&lt;0,"FUTURO",IF(tblOrdenes[[#This Row],[backlog_dias]]&gt;p_dias_backlog_max,"BACKLOG","MES CORRIENTE")))</f>
        <v/>
      </c>
      <c r="AA166" s="3">
        <f>IF(tblOrdenes[[#This Row],[backlog_dias]]="",FALSE,AND(tblOrdenes[[#This Row],[backlog_dias]]&gt;p_dias_backlog_min,tblOrdenes[[#This Row],[backlog_dias]]&lt;=p_dias_backlog_max))</f>
        <v/>
      </c>
      <c r="AB166" s="6" t="inlineStr"/>
      <c r="AC16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6" s="10">
        <f>_xlfn.XLOOKUP(tblOrdenes[[#This Row],[id_operacion]],tblEjecucion[id_operacion],tblEjecucion[precio],0)</f>
        <v/>
      </c>
      <c r="AE166" s="10">
        <f>MAX(0,_xlfn.XLOOKUP(tblOrdenes[[#This Row],[id_operacion]],tblEjecucion[id_operacion],tblEjecucion[costo_plan_total],0)-tblOrdenes[[#This Row],[costo_servicio]])</f>
        <v/>
      </c>
      <c r="AF166" s="10">
        <f>tblOrdenes[[#This Row],[costo_servicio]]+tblOrdenes[[#This Row],[costo_materiales]]</f>
        <v/>
      </c>
      <c r="AG166" s="6" t="inlineStr"/>
      <c r="AH166" s="6" t="inlineStr"/>
      <c r="AI166" s="6" t="inlineStr"/>
      <c r="AJ166" s="3">
        <f>IF(tblOrdenes[[#This Row],[link_checklist]]="","",HYPERLINK(p_ruta_base_checklists&amp;tblOrdenes[[#This Row],[link_checklist]],"abrir"))</f>
        <v/>
      </c>
      <c r="AK166" s="6" t="inlineStr"/>
    </row>
    <row r="167">
      <c r="A167" s="3" t="inlineStr">
        <is>
          <t>OT-000164</t>
        </is>
      </c>
      <c r="B167" s="3" t="inlineStr">
        <is>
          <t>0010</t>
        </is>
      </c>
      <c r="C167" s="3">
        <f>tblOrdenes[[#This Row],[orden]]&amp;IF(tblOrdenes[[#This Row],[operacion]]="","0010",tblOrdenes[[#This Row],[operacion]])</f>
        <v/>
      </c>
      <c r="D167" s="3" t="inlineStr">
        <is>
          <t>Análisis predictivo — EQ-106</t>
        </is>
      </c>
      <c r="E167" s="3" t="inlineStr">
        <is>
          <t>Análisis predictivo en EQ-106</t>
        </is>
      </c>
      <c r="F167" s="3" t="inlineStr">
        <is>
          <t>EQ-106</t>
        </is>
      </c>
      <c r="G167" s="3" t="inlineStr">
        <is>
          <t>CC-210</t>
        </is>
      </c>
      <c r="H167" s="3" t="inlineStr">
        <is>
          <t>PU-AUT</t>
        </is>
      </c>
      <c r="I167" s="3" t="inlineStr">
        <is>
          <t>ACT-04</t>
        </is>
      </c>
      <c r="J167" s="3" t="inlineStr">
        <is>
          <t>TIPO-P1</t>
        </is>
      </c>
      <c r="K167" s="11" t="n">
        <v>46168</v>
      </c>
      <c r="L167" s="3" t="n">
        <v>8</v>
      </c>
      <c r="M167" s="10" t="n">
        <v>200</v>
      </c>
      <c r="N167" s="3">
        <f>_xlfn.XLOOKUP(_xlfn.XLOOKUP(tblOrdenes[[#This Row],[id_operacion]],tblEjecucion[id_operacion],tblEjecucion[estado_sistema],""),tblEstados[estado_sistema],tblEstados[estado_normalizado],"Pendiente")</f>
        <v/>
      </c>
      <c r="O167" s="3">
        <f>IF(tblOrdenes[[#This Row],[fecha_inicio]]="","","S"&amp;IF(_xlfn.ISOWEEKNUM(tblOrdenes[[#This Row],[fecha_inicio]])=53,1,_xlfn.ISOWEEKNUM(tblOrdenes[[#This Row],[fecha_inicio]])))</f>
        <v/>
      </c>
      <c r="P167" s="3">
        <f>IF(tblOrdenes[[#This Row],[fecha_inicio]]="","",YEAR(tblOrdenes[[#This Row],[fecha_inicio]]))</f>
        <v/>
      </c>
      <c r="Q167" s="3">
        <f>IF(tblOrdenes[[#This Row],[fecha_inicio]]="","",MONTH(tblOrdenes[[#This Row],[fecha_inicio]]))</f>
        <v/>
      </c>
      <c r="R167" s="3">
        <f>IF(tblOrdenes[[#This Row],[fecha_inicio]]="","",INDEX(lista_dias,WEEKDAY(tblOrdenes[[#This Row],[fecha_inicio]],2)))</f>
        <v/>
      </c>
      <c r="S167" s="3">
        <f>_xlfn.XLOOKUP(tblOrdenes[[#This Row],[tipo_ot]],tblTiposOT[codigo],tblTiposOT[clasificacion],"sin_clasificar")</f>
        <v/>
      </c>
      <c r="T167" s="3">
        <f>_xlfn.XLOOKUP(tblOrdenes[[#This Row],[centro_costo]],tblCECO[codigo],tblCECO[linea],"(sin catálogo)")</f>
        <v/>
      </c>
      <c r="U167" s="3">
        <f>_xlfn.XLOOKUP(tblOrdenes[[#This Row],[centro_costo]],tblCECO[codigo],tblCECO[area],"(sin catálogo)")</f>
        <v/>
      </c>
      <c r="V167" s="3">
        <f>_xlfn.XLOOKUP(tblOrdenes[[#This Row],[centro_costo]],tblCECO[codigo],tblCECO[coordinador],"(sin catálogo)")</f>
        <v/>
      </c>
      <c r="W167" s="3">
        <f>_xlfn.XLOOKUP(tblOrdenes[[#This Row],[puesto_trabajo]],tblPuestos[codigo],tblPuestos[especialidad],"(sin catálogo)")</f>
        <v/>
      </c>
      <c r="X167" s="3">
        <f>_xlfn.XLOOKUP(tblOrdenes[[#This Row],[cod_actividad]],tblActividades[codigo],tblActividades[descripcion],"(sin catálogo)")</f>
        <v/>
      </c>
      <c r="Y167" s="12">
        <f>IF(tblOrdenes[[#This Row],[fecha_inicio]]="","",TODAY()-tblOrdenes[[#This Row],[fecha_inicio]])</f>
        <v/>
      </c>
      <c r="Z167" s="3">
        <f>IF(tblOrdenes[[#This Row],[backlog_dias]]="","",IF(tblOrdenes[[#This Row],[backlog_dias]]&lt;0,"FUTURO",IF(tblOrdenes[[#This Row],[backlog_dias]]&gt;p_dias_backlog_max,"BACKLOG","MES CORRIENTE")))</f>
        <v/>
      </c>
      <c r="AA167" s="3">
        <f>IF(tblOrdenes[[#This Row],[backlog_dias]]="",FALSE,AND(tblOrdenes[[#This Row],[backlog_dias]]&gt;p_dias_backlog_min,tblOrdenes[[#This Row],[backlog_dias]]&lt;=p_dias_backlog_max))</f>
        <v/>
      </c>
      <c r="AB167" s="6" t="inlineStr"/>
      <c r="AC16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7" s="10">
        <f>_xlfn.XLOOKUP(tblOrdenes[[#This Row],[id_operacion]],tblEjecucion[id_operacion],tblEjecucion[precio],0)</f>
        <v/>
      </c>
      <c r="AE167" s="10">
        <f>MAX(0,_xlfn.XLOOKUP(tblOrdenes[[#This Row],[id_operacion]],tblEjecucion[id_operacion],tblEjecucion[costo_plan_total],0)-tblOrdenes[[#This Row],[costo_servicio]])</f>
        <v/>
      </c>
      <c r="AF167" s="10">
        <f>tblOrdenes[[#This Row],[costo_servicio]]+tblOrdenes[[#This Row],[costo_materiales]]</f>
        <v/>
      </c>
      <c r="AG167" s="6" t="inlineStr"/>
      <c r="AH167" s="6" t="inlineStr"/>
      <c r="AI167" s="6" t="inlineStr"/>
      <c r="AJ167" s="3">
        <f>IF(tblOrdenes[[#This Row],[link_checklist]]="","",HYPERLINK(p_ruta_base_checklists&amp;tblOrdenes[[#This Row],[link_checklist]],"abrir"))</f>
        <v/>
      </c>
      <c r="AK167" s="6" t="inlineStr"/>
    </row>
    <row r="168">
      <c r="A168" s="3" t="inlineStr">
        <is>
          <t>OT-000165</t>
        </is>
      </c>
      <c r="B168" s="3" t="inlineStr">
        <is>
          <t>0010</t>
        </is>
      </c>
      <c r="C168" s="3">
        <f>tblOrdenes[[#This Row],[orden]]&amp;IF(tblOrdenes[[#This Row],[operacion]]="","0010",tblOrdenes[[#This Row],[operacion]])</f>
        <v/>
      </c>
      <c r="D168" s="3" t="inlineStr">
        <is>
          <t>Reparación de falla — EQ-107</t>
        </is>
      </c>
      <c r="E168" s="3" t="inlineStr">
        <is>
          <t>Reparación de falla en EQ-107</t>
        </is>
      </c>
      <c r="F168" s="3" t="inlineStr">
        <is>
          <t>EQ-107</t>
        </is>
      </c>
      <c r="G168" s="3" t="inlineStr">
        <is>
          <t>CC-220</t>
        </is>
      </c>
      <c r="H168" s="3" t="inlineStr">
        <is>
          <t>PU-OP</t>
        </is>
      </c>
      <c r="I168" s="3" t="inlineStr">
        <is>
          <t>ACT-03</t>
        </is>
      </c>
      <c r="J168" s="3" t="inlineStr">
        <is>
          <t>TIPO-C2</t>
        </is>
      </c>
      <c r="K168" s="11" t="n">
        <v>46161</v>
      </c>
      <c r="L168" s="3" t="n">
        <v>4</v>
      </c>
      <c r="M168" s="10" t="n">
        <v>160</v>
      </c>
      <c r="N168" s="3">
        <f>_xlfn.XLOOKUP(_xlfn.XLOOKUP(tblOrdenes[[#This Row],[id_operacion]],tblEjecucion[id_operacion],tblEjecucion[estado_sistema],""),tblEstados[estado_sistema],tblEstados[estado_normalizado],"Pendiente")</f>
        <v/>
      </c>
      <c r="O168" s="3">
        <f>IF(tblOrdenes[[#This Row],[fecha_inicio]]="","","S"&amp;IF(_xlfn.ISOWEEKNUM(tblOrdenes[[#This Row],[fecha_inicio]])=53,1,_xlfn.ISOWEEKNUM(tblOrdenes[[#This Row],[fecha_inicio]])))</f>
        <v/>
      </c>
      <c r="P168" s="3">
        <f>IF(tblOrdenes[[#This Row],[fecha_inicio]]="","",YEAR(tblOrdenes[[#This Row],[fecha_inicio]]))</f>
        <v/>
      </c>
      <c r="Q168" s="3">
        <f>IF(tblOrdenes[[#This Row],[fecha_inicio]]="","",MONTH(tblOrdenes[[#This Row],[fecha_inicio]]))</f>
        <v/>
      </c>
      <c r="R168" s="3">
        <f>IF(tblOrdenes[[#This Row],[fecha_inicio]]="","",INDEX(lista_dias,WEEKDAY(tblOrdenes[[#This Row],[fecha_inicio]],2)))</f>
        <v/>
      </c>
      <c r="S168" s="3">
        <f>_xlfn.XLOOKUP(tblOrdenes[[#This Row],[tipo_ot]],tblTiposOT[codigo],tblTiposOT[clasificacion],"sin_clasificar")</f>
        <v/>
      </c>
      <c r="T168" s="3">
        <f>_xlfn.XLOOKUP(tblOrdenes[[#This Row],[centro_costo]],tblCECO[codigo],tblCECO[linea],"(sin catálogo)")</f>
        <v/>
      </c>
      <c r="U168" s="3">
        <f>_xlfn.XLOOKUP(tblOrdenes[[#This Row],[centro_costo]],tblCECO[codigo],tblCECO[area],"(sin catálogo)")</f>
        <v/>
      </c>
      <c r="V168" s="3">
        <f>_xlfn.XLOOKUP(tblOrdenes[[#This Row],[centro_costo]],tblCECO[codigo],tblCECO[coordinador],"(sin catálogo)")</f>
        <v/>
      </c>
      <c r="W168" s="3">
        <f>_xlfn.XLOOKUP(tblOrdenes[[#This Row],[puesto_trabajo]],tblPuestos[codigo],tblPuestos[especialidad],"(sin catálogo)")</f>
        <v/>
      </c>
      <c r="X168" s="3">
        <f>_xlfn.XLOOKUP(tblOrdenes[[#This Row],[cod_actividad]],tblActividades[codigo],tblActividades[descripcion],"(sin catálogo)")</f>
        <v/>
      </c>
      <c r="Y168" s="12">
        <f>IF(tblOrdenes[[#This Row],[fecha_inicio]]="","",TODAY()-tblOrdenes[[#This Row],[fecha_inicio]])</f>
        <v/>
      </c>
      <c r="Z168" s="3">
        <f>IF(tblOrdenes[[#This Row],[backlog_dias]]="","",IF(tblOrdenes[[#This Row],[backlog_dias]]&lt;0,"FUTURO",IF(tblOrdenes[[#This Row],[backlog_dias]]&gt;p_dias_backlog_max,"BACKLOG","MES CORRIENTE")))</f>
        <v/>
      </c>
      <c r="AA168" s="3">
        <f>IF(tblOrdenes[[#This Row],[backlog_dias]]="",FALSE,AND(tblOrdenes[[#This Row],[backlog_dias]]&gt;p_dias_backlog_min,tblOrdenes[[#This Row],[backlog_dias]]&lt;=p_dias_backlog_max))</f>
        <v/>
      </c>
      <c r="AB168" s="6" t="inlineStr"/>
      <c r="AC16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8" s="10">
        <f>_xlfn.XLOOKUP(tblOrdenes[[#This Row],[id_operacion]],tblEjecucion[id_operacion],tblEjecucion[precio],0)</f>
        <v/>
      </c>
      <c r="AE168" s="10">
        <f>MAX(0,_xlfn.XLOOKUP(tblOrdenes[[#This Row],[id_operacion]],tblEjecucion[id_operacion],tblEjecucion[costo_plan_total],0)-tblOrdenes[[#This Row],[costo_servicio]])</f>
        <v/>
      </c>
      <c r="AF168" s="10">
        <f>tblOrdenes[[#This Row],[costo_servicio]]+tblOrdenes[[#This Row],[costo_materiales]]</f>
        <v/>
      </c>
      <c r="AG168" s="6" t="inlineStr"/>
      <c r="AH168" s="6" t="inlineStr"/>
      <c r="AI168" s="6" t="inlineStr"/>
      <c r="AJ168" s="3">
        <f>IF(tblOrdenes[[#This Row],[link_checklist]]="","",HYPERLINK(p_ruta_base_checklists&amp;tblOrdenes[[#This Row],[link_checklist]],"abrir"))</f>
        <v/>
      </c>
      <c r="AK168" s="6" t="inlineStr"/>
    </row>
    <row r="169">
      <c r="A169" s="3" t="inlineStr">
        <is>
          <t>OT-000166</t>
        </is>
      </c>
      <c r="B169" s="3" t="inlineStr">
        <is>
          <t>0010</t>
        </is>
      </c>
      <c r="C169" s="3">
        <f>tblOrdenes[[#This Row],[orden]]&amp;IF(tblOrdenes[[#This Row],[operacion]]="","0010",tblOrdenes[[#This Row],[operacion]])</f>
        <v/>
      </c>
      <c r="D169" s="3" t="inlineStr">
        <is>
          <t>Lubricación programada — EQ-111</t>
        </is>
      </c>
      <c r="E169" s="3" t="inlineStr">
        <is>
          <t>Lubricación programada en EQ-111</t>
        </is>
      </c>
      <c r="F169" s="3" t="inlineStr">
        <is>
          <t>EQ-111</t>
        </is>
      </c>
      <c r="G169" s="3" t="inlineStr">
        <is>
          <t>CC-310</t>
        </is>
      </c>
      <c r="H169" s="3" t="inlineStr">
        <is>
          <t>PU-MEC</t>
        </is>
      </c>
      <c r="I169" s="3" t="inlineStr">
        <is>
          <t>ACT-02</t>
        </is>
      </c>
      <c r="J169" s="3" t="inlineStr">
        <is>
          <t>TIPO-P1</t>
        </is>
      </c>
      <c r="K169" s="11" t="n">
        <v>46154</v>
      </c>
      <c r="L169" s="3" t="n">
        <v>6</v>
      </c>
      <c r="M169" s="10" t="n">
        <v>150</v>
      </c>
      <c r="N169" s="3">
        <f>_xlfn.XLOOKUP(_xlfn.XLOOKUP(tblOrdenes[[#This Row],[id_operacion]],tblEjecucion[id_operacion],tblEjecucion[estado_sistema],""),tblEstados[estado_sistema],tblEstados[estado_normalizado],"Pendiente")</f>
        <v/>
      </c>
      <c r="O169" s="3">
        <f>IF(tblOrdenes[[#This Row],[fecha_inicio]]="","","S"&amp;IF(_xlfn.ISOWEEKNUM(tblOrdenes[[#This Row],[fecha_inicio]])=53,1,_xlfn.ISOWEEKNUM(tblOrdenes[[#This Row],[fecha_inicio]])))</f>
        <v/>
      </c>
      <c r="P169" s="3">
        <f>IF(tblOrdenes[[#This Row],[fecha_inicio]]="","",YEAR(tblOrdenes[[#This Row],[fecha_inicio]]))</f>
        <v/>
      </c>
      <c r="Q169" s="3">
        <f>IF(tblOrdenes[[#This Row],[fecha_inicio]]="","",MONTH(tblOrdenes[[#This Row],[fecha_inicio]]))</f>
        <v/>
      </c>
      <c r="R169" s="3">
        <f>IF(tblOrdenes[[#This Row],[fecha_inicio]]="","",INDEX(lista_dias,WEEKDAY(tblOrdenes[[#This Row],[fecha_inicio]],2)))</f>
        <v/>
      </c>
      <c r="S169" s="3">
        <f>_xlfn.XLOOKUP(tblOrdenes[[#This Row],[tipo_ot]],tblTiposOT[codigo],tblTiposOT[clasificacion],"sin_clasificar")</f>
        <v/>
      </c>
      <c r="T169" s="3">
        <f>_xlfn.XLOOKUP(tblOrdenes[[#This Row],[centro_costo]],tblCECO[codigo],tblCECO[linea],"(sin catálogo)")</f>
        <v/>
      </c>
      <c r="U169" s="3">
        <f>_xlfn.XLOOKUP(tblOrdenes[[#This Row],[centro_costo]],tblCECO[codigo],tblCECO[area],"(sin catálogo)")</f>
        <v/>
      </c>
      <c r="V169" s="3">
        <f>_xlfn.XLOOKUP(tblOrdenes[[#This Row],[centro_costo]],tblCECO[codigo],tblCECO[coordinador],"(sin catálogo)")</f>
        <v/>
      </c>
      <c r="W169" s="3">
        <f>_xlfn.XLOOKUP(tblOrdenes[[#This Row],[puesto_trabajo]],tblPuestos[codigo],tblPuestos[especialidad],"(sin catálogo)")</f>
        <v/>
      </c>
      <c r="X169" s="3">
        <f>_xlfn.XLOOKUP(tblOrdenes[[#This Row],[cod_actividad]],tblActividades[codigo],tblActividades[descripcion],"(sin catálogo)")</f>
        <v/>
      </c>
      <c r="Y169" s="12">
        <f>IF(tblOrdenes[[#This Row],[fecha_inicio]]="","",TODAY()-tblOrdenes[[#This Row],[fecha_inicio]])</f>
        <v/>
      </c>
      <c r="Z169" s="3">
        <f>IF(tblOrdenes[[#This Row],[backlog_dias]]="","",IF(tblOrdenes[[#This Row],[backlog_dias]]&lt;0,"FUTURO",IF(tblOrdenes[[#This Row],[backlog_dias]]&gt;p_dias_backlog_max,"BACKLOG","MES CORRIENTE")))</f>
        <v/>
      </c>
      <c r="AA169" s="3">
        <f>IF(tblOrdenes[[#This Row],[backlog_dias]]="",FALSE,AND(tblOrdenes[[#This Row],[backlog_dias]]&gt;p_dias_backlog_min,tblOrdenes[[#This Row],[backlog_dias]]&lt;=p_dias_backlog_max))</f>
        <v/>
      </c>
      <c r="AB169" s="6" t="inlineStr"/>
      <c r="AC16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9" s="10">
        <f>_xlfn.XLOOKUP(tblOrdenes[[#This Row],[id_operacion]],tblEjecucion[id_operacion],tblEjecucion[precio],0)</f>
        <v/>
      </c>
      <c r="AE169" s="10">
        <f>MAX(0,_xlfn.XLOOKUP(tblOrdenes[[#This Row],[id_operacion]],tblEjecucion[id_operacion],tblEjecucion[costo_plan_total],0)-tblOrdenes[[#This Row],[costo_servicio]])</f>
        <v/>
      </c>
      <c r="AF169" s="10">
        <f>tblOrdenes[[#This Row],[costo_servicio]]+tblOrdenes[[#This Row],[costo_materiales]]</f>
        <v/>
      </c>
      <c r="AG169" s="6" t="inlineStr"/>
      <c r="AH169" s="6" t="inlineStr"/>
      <c r="AI169" s="6" t="inlineStr"/>
      <c r="AJ169" s="3">
        <f>IF(tblOrdenes[[#This Row],[link_checklist]]="","",HYPERLINK(p_ruta_base_checklists&amp;tblOrdenes[[#This Row],[link_checklist]],"abrir"))</f>
        <v/>
      </c>
      <c r="AK169" s="6" t="inlineStr"/>
    </row>
    <row r="170">
      <c r="A170" s="3" t="inlineStr">
        <is>
          <t>OT-000167</t>
        </is>
      </c>
      <c r="B170" s="3" t="inlineStr">
        <is>
          <t>0010</t>
        </is>
      </c>
      <c r="C170" s="3">
        <f>tblOrdenes[[#This Row],[orden]]&amp;IF(tblOrdenes[[#This Row],[operacion]]="","0010",tblOrdenes[[#This Row],[operacion]])</f>
        <v/>
      </c>
      <c r="D170" s="3" t="inlineStr">
        <is>
          <t>Reparación de falla — EQ-112</t>
        </is>
      </c>
      <c r="E170" s="3" t="inlineStr">
        <is>
          <t>Reparación de falla en EQ-112</t>
        </is>
      </c>
      <c r="F170" s="3" t="inlineStr">
        <is>
          <t>EQ-112</t>
        </is>
      </c>
      <c r="G170" s="3" t="inlineStr">
        <is>
          <t>CC-320</t>
        </is>
      </c>
      <c r="H170" s="3" t="inlineStr">
        <is>
          <t>PU-ELE</t>
        </is>
      </c>
      <c r="I170" s="3" t="inlineStr">
        <is>
          <t>ACT-03</t>
        </is>
      </c>
      <c r="J170" s="3" t="inlineStr">
        <is>
          <t>TIPO-C2</t>
        </is>
      </c>
      <c r="K170" s="11" t="n">
        <v>46147</v>
      </c>
      <c r="L170" s="3" t="n">
        <v>8</v>
      </c>
      <c r="M170" s="10" t="n">
        <v>320</v>
      </c>
      <c r="N170" s="3">
        <f>_xlfn.XLOOKUP(_xlfn.XLOOKUP(tblOrdenes[[#This Row],[id_operacion]],tblEjecucion[id_operacion],tblEjecucion[estado_sistema],""),tblEstados[estado_sistema],tblEstados[estado_normalizado],"Pendiente")</f>
        <v/>
      </c>
      <c r="O170" s="3">
        <f>IF(tblOrdenes[[#This Row],[fecha_inicio]]="","","S"&amp;IF(_xlfn.ISOWEEKNUM(tblOrdenes[[#This Row],[fecha_inicio]])=53,1,_xlfn.ISOWEEKNUM(tblOrdenes[[#This Row],[fecha_inicio]])))</f>
        <v/>
      </c>
      <c r="P170" s="3">
        <f>IF(tblOrdenes[[#This Row],[fecha_inicio]]="","",YEAR(tblOrdenes[[#This Row],[fecha_inicio]]))</f>
        <v/>
      </c>
      <c r="Q170" s="3">
        <f>IF(tblOrdenes[[#This Row],[fecha_inicio]]="","",MONTH(tblOrdenes[[#This Row],[fecha_inicio]]))</f>
        <v/>
      </c>
      <c r="R170" s="3">
        <f>IF(tblOrdenes[[#This Row],[fecha_inicio]]="","",INDEX(lista_dias,WEEKDAY(tblOrdenes[[#This Row],[fecha_inicio]],2)))</f>
        <v/>
      </c>
      <c r="S170" s="3">
        <f>_xlfn.XLOOKUP(tblOrdenes[[#This Row],[tipo_ot]],tblTiposOT[codigo],tblTiposOT[clasificacion],"sin_clasificar")</f>
        <v/>
      </c>
      <c r="T170" s="3">
        <f>_xlfn.XLOOKUP(tblOrdenes[[#This Row],[centro_costo]],tblCECO[codigo],tblCECO[linea],"(sin catálogo)")</f>
        <v/>
      </c>
      <c r="U170" s="3">
        <f>_xlfn.XLOOKUP(tblOrdenes[[#This Row],[centro_costo]],tblCECO[codigo],tblCECO[area],"(sin catálogo)")</f>
        <v/>
      </c>
      <c r="V170" s="3">
        <f>_xlfn.XLOOKUP(tblOrdenes[[#This Row],[centro_costo]],tblCECO[codigo],tblCECO[coordinador],"(sin catálogo)")</f>
        <v/>
      </c>
      <c r="W170" s="3">
        <f>_xlfn.XLOOKUP(tblOrdenes[[#This Row],[puesto_trabajo]],tblPuestos[codigo],tblPuestos[especialidad],"(sin catálogo)")</f>
        <v/>
      </c>
      <c r="X170" s="3">
        <f>_xlfn.XLOOKUP(tblOrdenes[[#This Row],[cod_actividad]],tblActividades[codigo],tblActividades[descripcion],"(sin catálogo)")</f>
        <v/>
      </c>
      <c r="Y170" s="12">
        <f>IF(tblOrdenes[[#This Row],[fecha_inicio]]="","",TODAY()-tblOrdenes[[#This Row],[fecha_inicio]])</f>
        <v/>
      </c>
      <c r="Z170" s="3">
        <f>IF(tblOrdenes[[#This Row],[backlog_dias]]="","",IF(tblOrdenes[[#This Row],[backlog_dias]]&lt;0,"FUTURO",IF(tblOrdenes[[#This Row],[backlog_dias]]&gt;p_dias_backlog_max,"BACKLOG","MES CORRIENTE")))</f>
        <v/>
      </c>
      <c r="AA170" s="3">
        <f>IF(tblOrdenes[[#This Row],[backlog_dias]]="",FALSE,AND(tblOrdenes[[#This Row],[backlog_dias]]&gt;p_dias_backlog_min,tblOrdenes[[#This Row],[backlog_dias]]&lt;=p_dias_backlog_max))</f>
        <v/>
      </c>
      <c r="AB170" s="6" t="inlineStr"/>
      <c r="AC17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0" s="10">
        <f>_xlfn.XLOOKUP(tblOrdenes[[#This Row],[id_operacion]],tblEjecucion[id_operacion],tblEjecucion[precio],0)</f>
        <v/>
      </c>
      <c r="AE170" s="10">
        <f>MAX(0,_xlfn.XLOOKUP(tblOrdenes[[#This Row],[id_operacion]],tblEjecucion[id_operacion],tblEjecucion[costo_plan_total],0)-tblOrdenes[[#This Row],[costo_servicio]])</f>
        <v/>
      </c>
      <c r="AF170" s="10">
        <f>tblOrdenes[[#This Row],[costo_servicio]]+tblOrdenes[[#This Row],[costo_materiales]]</f>
        <v/>
      </c>
      <c r="AG170" s="6" t="inlineStr"/>
      <c r="AH170" s="6" t="inlineStr"/>
      <c r="AI170" s="6" t="inlineStr"/>
      <c r="AJ170" s="3">
        <f>IF(tblOrdenes[[#This Row],[link_checklist]]="","",HYPERLINK(p_ruta_base_checklists&amp;tblOrdenes[[#This Row],[link_checklist]],"abrir"))</f>
        <v/>
      </c>
      <c r="AK170" s="6" t="inlineStr"/>
    </row>
    <row r="171">
      <c r="A171" s="3" t="inlineStr">
        <is>
          <t>OT-000168</t>
        </is>
      </c>
      <c r="B171" s="3" t="inlineStr">
        <is>
          <t>0010</t>
        </is>
      </c>
      <c r="C171" s="3">
        <f>tblOrdenes[[#This Row],[orden]]&amp;IF(tblOrdenes[[#This Row],[operacion]]="","0010",tblOrdenes[[#This Row],[operacion]])</f>
        <v/>
      </c>
      <c r="D171" s="3" t="inlineStr">
        <is>
          <t>Inspección de rutina — EQ-104</t>
        </is>
      </c>
      <c r="E171" s="3" t="inlineStr">
        <is>
          <t>Inspección de rutina en EQ-104</t>
        </is>
      </c>
      <c r="F171" s="3" t="inlineStr">
        <is>
          <t>EQ-104</t>
        </is>
      </c>
      <c r="G171" s="3" t="inlineStr">
        <is>
          <t>CC-110</t>
        </is>
      </c>
      <c r="H171" s="3" t="inlineStr">
        <is>
          <t>PU-AUT</t>
        </is>
      </c>
      <c r="I171" s="3" t="inlineStr">
        <is>
          <t>ACT-01</t>
        </is>
      </c>
      <c r="J171" s="3" t="inlineStr">
        <is>
          <t>TIPO-P1</t>
        </is>
      </c>
      <c r="K171" s="11" t="n">
        <v>46140</v>
      </c>
      <c r="L171" s="3" t="n">
        <v>4</v>
      </c>
      <c r="M171" s="10" t="n">
        <v>100</v>
      </c>
      <c r="N171" s="3">
        <f>_xlfn.XLOOKUP(_xlfn.XLOOKUP(tblOrdenes[[#This Row],[id_operacion]],tblEjecucion[id_operacion],tblEjecucion[estado_sistema],""),tblEstados[estado_sistema],tblEstados[estado_normalizado],"Pendiente")</f>
        <v/>
      </c>
      <c r="O171" s="3">
        <f>IF(tblOrdenes[[#This Row],[fecha_inicio]]="","","S"&amp;IF(_xlfn.ISOWEEKNUM(tblOrdenes[[#This Row],[fecha_inicio]])=53,1,_xlfn.ISOWEEKNUM(tblOrdenes[[#This Row],[fecha_inicio]])))</f>
        <v/>
      </c>
      <c r="P171" s="3">
        <f>IF(tblOrdenes[[#This Row],[fecha_inicio]]="","",YEAR(tblOrdenes[[#This Row],[fecha_inicio]]))</f>
        <v/>
      </c>
      <c r="Q171" s="3">
        <f>IF(tblOrdenes[[#This Row],[fecha_inicio]]="","",MONTH(tblOrdenes[[#This Row],[fecha_inicio]]))</f>
        <v/>
      </c>
      <c r="R171" s="3">
        <f>IF(tblOrdenes[[#This Row],[fecha_inicio]]="","",INDEX(lista_dias,WEEKDAY(tblOrdenes[[#This Row],[fecha_inicio]],2)))</f>
        <v/>
      </c>
      <c r="S171" s="3">
        <f>_xlfn.XLOOKUP(tblOrdenes[[#This Row],[tipo_ot]],tblTiposOT[codigo],tblTiposOT[clasificacion],"sin_clasificar")</f>
        <v/>
      </c>
      <c r="T171" s="3">
        <f>_xlfn.XLOOKUP(tblOrdenes[[#This Row],[centro_costo]],tblCECO[codigo],tblCECO[linea],"(sin catálogo)")</f>
        <v/>
      </c>
      <c r="U171" s="3">
        <f>_xlfn.XLOOKUP(tblOrdenes[[#This Row],[centro_costo]],tblCECO[codigo],tblCECO[area],"(sin catálogo)")</f>
        <v/>
      </c>
      <c r="V171" s="3">
        <f>_xlfn.XLOOKUP(tblOrdenes[[#This Row],[centro_costo]],tblCECO[codigo],tblCECO[coordinador],"(sin catálogo)")</f>
        <v/>
      </c>
      <c r="W171" s="3">
        <f>_xlfn.XLOOKUP(tblOrdenes[[#This Row],[puesto_trabajo]],tblPuestos[codigo],tblPuestos[especialidad],"(sin catálogo)")</f>
        <v/>
      </c>
      <c r="X171" s="3">
        <f>_xlfn.XLOOKUP(tblOrdenes[[#This Row],[cod_actividad]],tblActividades[codigo],tblActividades[descripcion],"(sin catálogo)")</f>
        <v/>
      </c>
      <c r="Y171" s="12">
        <f>IF(tblOrdenes[[#This Row],[fecha_inicio]]="","",TODAY()-tblOrdenes[[#This Row],[fecha_inicio]])</f>
        <v/>
      </c>
      <c r="Z171" s="3">
        <f>IF(tblOrdenes[[#This Row],[backlog_dias]]="","",IF(tblOrdenes[[#This Row],[backlog_dias]]&lt;0,"FUTURO",IF(tblOrdenes[[#This Row],[backlog_dias]]&gt;p_dias_backlog_max,"BACKLOG","MES CORRIENTE")))</f>
        <v/>
      </c>
      <c r="AA171" s="3">
        <f>IF(tblOrdenes[[#This Row],[backlog_dias]]="",FALSE,AND(tblOrdenes[[#This Row],[backlog_dias]]&gt;p_dias_backlog_min,tblOrdenes[[#This Row],[backlog_dias]]&lt;=p_dias_backlog_max))</f>
        <v/>
      </c>
      <c r="AB171" s="6" t="inlineStr"/>
      <c r="AC17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1" s="10">
        <f>_xlfn.XLOOKUP(tblOrdenes[[#This Row],[id_operacion]],tblEjecucion[id_operacion],tblEjecucion[precio],0)</f>
        <v/>
      </c>
      <c r="AE171" s="10">
        <f>MAX(0,_xlfn.XLOOKUP(tblOrdenes[[#This Row],[id_operacion]],tblEjecucion[id_operacion],tblEjecucion[costo_plan_total],0)-tblOrdenes[[#This Row],[costo_servicio]])</f>
        <v/>
      </c>
      <c r="AF171" s="10">
        <f>tblOrdenes[[#This Row],[costo_servicio]]+tblOrdenes[[#This Row],[costo_materiales]]</f>
        <v/>
      </c>
      <c r="AG171" s="6" t="inlineStr"/>
      <c r="AH171" s="6" t="inlineStr"/>
      <c r="AI171" s="6" t="inlineStr"/>
      <c r="AJ171" s="3">
        <f>IF(tblOrdenes[[#This Row],[link_checklist]]="","",HYPERLINK(p_ruta_base_checklists&amp;tblOrdenes[[#This Row],[link_checklist]],"abrir"))</f>
        <v/>
      </c>
      <c r="AK171" s="6" t="inlineStr"/>
    </row>
    <row r="172">
      <c r="A172" s="3" t="inlineStr">
        <is>
          <t>OT-000169</t>
        </is>
      </c>
      <c r="B172" s="3" t="inlineStr">
        <is>
          <t>0010</t>
        </is>
      </c>
      <c r="C172" s="3">
        <f>tblOrdenes[[#This Row],[orden]]&amp;IF(tblOrdenes[[#This Row],[operacion]]="","0010",tblOrdenes[[#This Row],[operacion]])</f>
        <v/>
      </c>
      <c r="D172" s="3" t="inlineStr">
        <is>
          <t>Reparación de falla — EQ-105</t>
        </is>
      </c>
      <c r="E172" s="3" t="inlineStr">
        <is>
          <t>Reparación de falla en EQ-105</t>
        </is>
      </c>
      <c r="F172" s="3" t="inlineStr">
        <is>
          <t>EQ-105</t>
        </is>
      </c>
      <c r="G172" s="3" t="inlineStr">
        <is>
          <t>CC-120</t>
        </is>
      </c>
      <c r="H172" s="3" t="inlineStr">
        <is>
          <t>PU-OP</t>
        </is>
      </c>
      <c r="I172" s="3" t="inlineStr">
        <is>
          <t>ACT-03</t>
        </is>
      </c>
      <c r="J172" s="3" t="inlineStr">
        <is>
          <t>TIPO-C2</t>
        </is>
      </c>
      <c r="K172" s="11" t="n">
        <v>46133</v>
      </c>
      <c r="L172" s="3" t="n">
        <v>6</v>
      </c>
      <c r="M172" s="10" t="n">
        <v>240</v>
      </c>
      <c r="N172" s="3">
        <f>_xlfn.XLOOKUP(_xlfn.XLOOKUP(tblOrdenes[[#This Row],[id_operacion]],tblEjecucion[id_operacion],tblEjecucion[estado_sistema],""),tblEstados[estado_sistema],tblEstados[estado_normalizado],"Pendiente")</f>
        <v/>
      </c>
      <c r="O172" s="3">
        <f>IF(tblOrdenes[[#This Row],[fecha_inicio]]="","","S"&amp;IF(_xlfn.ISOWEEKNUM(tblOrdenes[[#This Row],[fecha_inicio]])=53,1,_xlfn.ISOWEEKNUM(tblOrdenes[[#This Row],[fecha_inicio]])))</f>
        <v/>
      </c>
      <c r="P172" s="3">
        <f>IF(tblOrdenes[[#This Row],[fecha_inicio]]="","",YEAR(tblOrdenes[[#This Row],[fecha_inicio]]))</f>
        <v/>
      </c>
      <c r="Q172" s="3">
        <f>IF(tblOrdenes[[#This Row],[fecha_inicio]]="","",MONTH(tblOrdenes[[#This Row],[fecha_inicio]]))</f>
        <v/>
      </c>
      <c r="R172" s="3">
        <f>IF(tblOrdenes[[#This Row],[fecha_inicio]]="","",INDEX(lista_dias,WEEKDAY(tblOrdenes[[#This Row],[fecha_inicio]],2)))</f>
        <v/>
      </c>
      <c r="S172" s="3">
        <f>_xlfn.XLOOKUP(tblOrdenes[[#This Row],[tipo_ot]],tblTiposOT[codigo],tblTiposOT[clasificacion],"sin_clasificar")</f>
        <v/>
      </c>
      <c r="T172" s="3">
        <f>_xlfn.XLOOKUP(tblOrdenes[[#This Row],[centro_costo]],tblCECO[codigo],tblCECO[linea],"(sin catálogo)")</f>
        <v/>
      </c>
      <c r="U172" s="3">
        <f>_xlfn.XLOOKUP(tblOrdenes[[#This Row],[centro_costo]],tblCECO[codigo],tblCECO[area],"(sin catálogo)")</f>
        <v/>
      </c>
      <c r="V172" s="3">
        <f>_xlfn.XLOOKUP(tblOrdenes[[#This Row],[centro_costo]],tblCECO[codigo],tblCECO[coordinador],"(sin catálogo)")</f>
        <v/>
      </c>
      <c r="W172" s="3">
        <f>_xlfn.XLOOKUP(tblOrdenes[[#This Row],[puesto_trabajo]],tblPuestos[codigo],tblPuestos[especialidad],"(sin catálogo)")</f>
        <v/>
      </c>
      <c r="X172" s="3">
        <f>_xlfn.XLOOKUP(tblOrdenes[[#This Row],[cod_actividad]],tblActividades[codigo],tblActividades[descripcion],"(sin catálogo)")</f>
        <v/>
      </c>
      <c r="Y172" s="12">
        <f>IF(tblOrdenes[[#This Row],[fecha_inicio]]="","",TODAY()-tblOrdenes[[#This Row],[fecha_inicio]])</f>
        <v/>
      </c>
      <c r="Z172" s="3">
        <f>IF(tblOrdenes[[#This Row],[backlog_dias]]="","",IF(tblOrdenes[[#This Row],[backlog_dias]]&lt;0,"FUTURO",IF(tblOrdenes[[#This Row],[backlog_dias]]&gt;p_dias_backlog_max,"BACKLOG","MES CORRIENTE")))</f>
        <v/>
      </c>
      <c r="AA172" s="3">
        <f>IF(tblOrdenes[[#This Row],[backlog_dias]]="",FALSE,AND(tblOrdenes[[#This Row],[backlog_dias]]&gt;p_dias_backlog_min,tblOrdenes[[#This Row],[backlog_dias]]&lt;=p_dias_backlog_max))</f>
        <v/>
      </c>
      <c r="AB172" s="6" t="inlineStr"/>
      <c r="AC17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2" s="10">
        <f>_xlfn.XLOOKUP(tblOrdenes[[#This Row],[id_operacion]],tblEjecucion[id_operacion],tblEjecucion[precio],0)</f>
        <v/>
      </c>
      <c r="AE172" s="10">
        <f>MAX(0,_xlfn.XLOOKUP(tblOrdenes[[#This Row],[id_operacion]],tblEjecucion[id_operacion],tblEjecucion[costo_plan_total],0)-tblOrdenes[[#This Row],[costo_servicio]])</f>
        <v/>
      </c>
      <c r="AF172" s="10">
        <f>tblOrdenes[[#This Row],[costo_servicio]]+tblOrdenes[[#This Row],[costo_materiales]]</f>
        <v/>
      </c>
      <c r="AG172" s="6" t="inlineStr"/>
      <c r="AH172" s="6" t="inlineStr"/>
      <c r="AI172" s="6" t="inlineStr"/>
      <c r="AJ172" s="3">
        <f>IF(tblOrdenes[[#This Row],[link_checklist]]="","",HYPERLINK(p_ruta_base_checklists&amp;tblOrdenes[[#This Row],[link_checklist]],"abrir"))</f>
        <v/>
      </c>
      <c r="AK172" s="6" t="inlineStr"/>
    </row>
    <row r="173">
      <c r="A173" s="3" t="inlineStr">
        <is>
          <t>OT-000170</t>
        </is>
      </c>
      <c r="B173" s="3" t="inlineStr">
        <is>
          <t>0010</t>
        </is>
      </c>
      <c r="C173" s="3">
        <f>tblOrdenes[[#This Row],[orden]]&amp;IF(tblOrdenes[[#This Row],[operacion]]="","0010",tblOrdenes[[#This Row],[operacion]])</f>
        <v/>
      </c>
      <c r="D173" s="3" t="inlineStr">
        <is>
          <t>Análisis predictivo — EQ-108</t>
        </is>
      </c>
      <c r="E173" s="3" t="inlineStr">
        <is>
          <t>Análisis predictivo en EQ-108</t>
        </is>
      </c>
      <c r="F173" s="3" t="inlineStr">
        <is>
          <t>EQ-108</t>
        </is>
      </c>
      <c r="G173" s="3" t="inlineStr">
        <is>
          <t>CC-210</t>
        </is>
      </c>
      <c r="H173" s="3" t="inlineStr">
        <is>
          <t>PU-MEC</t>
        </is>
      </c>
      <c r="I173" s="3" t="inlineStr">
        <is>
          <t>ACT-04</t>
        </is>
      </c>
      <c r="J173" s="3" t="inlineStr">
        <is>
          <t>TIPO-P1</t>
        </is>
      </c>
      <c r="K173" s="11" t="n">
        <v>46126</v>
      </c>
      <c r="L173" s="3" t="n">
        <v>8</v>
      </c>
      <c r="M173" s="10" t="n">
        <v>200</v>
      </c>
      <c r="N173" s="3">
        <f>_xlfn.XLOOKUP(_xlfn.XLOOKUP(tblOrdenes[[#This Row],[id_operacion]],tblEjecucion[id_operacion],tblEjecucion[estado_sistema],""),tblEstados[estado_sistema],tblEstados[estado_normalizado],"Pendiente")</f>
        <v/>
      </c>
      <c r="O173" s="3">
        <f>IF(tblOrdenes[[#This Row],[fecha_inicio]]="","","S"&amp;IF(_xlfn.ISOWEEKNUM(tblOrdenes[[#This Row],[fecha_inicio]])=53,1,_xlfn.ISOWEEKNUM(tblOrdenes[[#This Row],[fecha_inicio]])))</f>
        <v/>
      </c>
      <c r="P173" s="3">
        <f>IF(tblOrdenes[[#This Row],[fecha_inicio]]="","",YEAR(tblOrdenes[[#This Row],[fecha_inicio]]))</f>
        <v/>
      </c>
      <c r="Q173" s="3">
        <f>IF(tblOrdenes[[#This Row],[fecha_inicio]]="","",MONTH(tblOrdenes[[#This Row],[fecha_inicio]]))</f>
        <v/>
      </c>
      <c r="R173" s="3">
        <f>IF(tblOrdenes[[#This Row],[fecha_inicio]]="","",INDEX(lista_dias,WEEKDAY(tblOrdenes[[#This Row],[fecha_inicio]],2)))</f>
        <v/>
      </c>
      <c r="S173" s="3">
        <f>_xlfn.XLOOKUP(tblOrdenes[[#This Row],[tipo_ot]],tblTiposOT[codigo],tblTiposOT[clasificacion],"sin_clasificar")</f>
        <v/>
      </c>
      <c r="T173" s="3">
        <f>_xlfn.XLOOKUP(tblOrdenes[[#This Row],[centro_costo]],tblCECO[codigo],tblCECO[linea],"(sin catálogo)")</f>
        <v/>
      </c>
      <c r="U173" s="3">
        <f>_xlfn.XLOOKUP(tblOrdenes[[#This Row],[centro_costo]],tblCECO[codigo],tblCECO[area],"(sin catálogo)")</f>
        <v/>
      </c>
      <c r="V173" s="3">
        <f>_xlfn.XLOOKUP(tblOrdenes[[#This Row],[centro_costo]],tblCECO[codigo],tblCECO[coordinador],"(sin catálogo)")</f>
        <v/>
      </c>
      <c r="W173" s="3">
        <f>_xlfn.XLOOKUP(tblOrdenes[[#This Row],[puesto_trabajo]],tblPuestos[codigo],tblPuestos[especialidad],"(sin catálogo)")</f>
        <v/>
      </c>
      <c r="X173" s="3">
        <f>_xlfn.XLOOKUP(tblOrdenes[[#This Row],[cod_actividad]],tblActividades[codigo],tblActividades[descripcion],"(sin catálogo)")</f>
        <v/>
      </c>
      <c r="Y173" s="12">
        <f>IF(tblOrdenes[[#This Row],[fecha_inicio]]="","",TODAY()-tblOrdenes[[#This Row],[fecha_inicio]])</f>
        <v/>
      </c>
      <c r="Z173" s="3">
        <f>IF(tblOrdenes[[#This Row],[backlog_dias]]="","",IF(tblOrdenes[[#This Row],[backlog_dias]]&lt;0,"FUTURO",IF(tblOrdenes[[#This Row],[backlog_dias]]&gt;p_dias_backlog_max,"BACKLOG","MES CORRIENTE")))</f>
        <v/>
      </c>
      <c r="AA173" s="3">
        <f>IF(tblOrdenes[[#This Row],[backlog_dias]]="",FALSE,AND(tblOrdenes[[#This Row],[backlog_dias]]&gt;p_dias_backlog_min,tblOrdenes[[#This Row],[backlog_dias]]&lt;=p_dias_backlog_max))</f>
        <v/>
      </c>
      <c r="AB173" s="6" t="inlineStr"/>
      <c r="AC17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3" s="10">
        <f>_xlfn.XLOOKUP(tblOrdenes[[#This Row],[id_operacion]],tblEjecucion[id_operacion],tblEjecucion[precio],0)</f>
        <v/>
      </c>
      <c r="AE173" s="10">
        <f>MAX(0,_xlfn.XLOOKUP(tblOrdenes[[#This Row],[id_operacion]],tblEjecucion[id_operacion],tblEjecucion[costo_plan_total],0)-tblOrdenes[[#This Row],[costo_servicio]])</f>
        <v/>
      </c>
      <c r="AF173" s="10">
        <f>tblOrdenes[[#This Row],[costo_servicio]]+tblOrdenes[[#This Row],[costo_materiales]]</f>
        <v/>
      </c>
      <c r="AG173" s="6" t="inlineStr"/>
      <c r="AH173" s="6" t="inlineStr"/>
      <c r="AI173" s="6" t="inlineStr"/>
      <c r="AJ173" s="3">
        <f>IF(tblOrdenes[[#This Row],[link_checklist]]="","",HYPERLINK(p_ruta_base_checklists&amp;tblOrdenes[[#This Row],[link_checklist]],"abrir"))</f>
        <v/>
      </c>
      <c r="AK173" s="6" t="inlineStr"/>
    </row>
    <row r="174">
      <c r="A174" s="3" t="inlineStr">
        <is>
          <t>OT-000171</t>
        </is>
      </c>
      <c r="B174" s="3" t="inlineStr">
        <is>
          <t>0010</t>
        </is>
      </c>
      <c r="C174" s="3">
        <f>tblOrdenes[[#This Row],[orden]]&amp;IF(tblOrdenes[[#This Row],[operacion]]="","0010",tblOrdenes[[#This Row],[operacion]])</f>
        <v/>
      </c>
      <c r="D174" s="3" t="inlineStr">
        <is>
          <t>Reparación de falla — EQ-109</t>
        </is>
      </c>
      <c r="E174" s="3" t="inlineStr">
        <is>
          <t>Reparación de falla en EQ-109</t>
        </is>
      </c>
      <c r="F174" s="3" t="inlineStr">
        <is>
          <t>EQ-109</t>
        </is>
      </c>
      <c r="G174" s="3" t="inlineStr">
        <is>
          <t>CC-220</t>
        </is>
      </c>
      <c r="H174" s="3" t="inlineStr">
        <is>
          <t>PU-ELE</t>
        </is>
      </c>
      <c r="I174" s="3" t="inlineStr">
        <is>
          <t>ACT-03</t>
        </is>
      </c>
      <c r="J174" s="3" t="inlineStr">
        <is>
          <t>TIPO-C2</t>
        </is>
      </c>
      <c r="K174" s="11" t="n">
        <v>46119</v>
      </c>
      <c r="L174" s="3" t="n">
        <v>4</v>
      </c>
      <c r="M174" s="10" t="n">
        <v>160</v>
      </c>
      <c r="N174" s="3">
        <f>_xlfn.XLOOKUP(_xlfn.XLOOKUP(tblOrdenes[[#This Row],[id_operacion]],tblEjecucion[id_operacion],tblEjecucion[estado_sistema],""),tblEstados[estado_sistema],tblEstados[estado_normalizado],"Pendiente")</f>
        <v/>
      </c>
      <c r="O174" s="3">
        <f>IF(tblOrdenes[[#This Row],[fecha_inicio]]="","","S"&amp;IF(_xlfn.ISOWEEKNUM(tblOrdenes[[#This Row],[fecha_inicio]])=53,1,_xlfn.ISOWEEKNUM(tblOrdenes[[#This Row],[fecha_inicio]])))</f>
        <v/>
      </c>
      <c r="P174" s="3">
        <f>IF(tblOrdenes[[#This Row],[fecha_inicio]]="","",YEAR(tblOrdenes[[#This Row],[fecha_inicio]]))</f>
        <v/>
      </c>
      <c r="Q174" s="3">
        <f>IF(tblOrdenes[[#This Row],[fecha_inicio]]="","",MONTH(tblOrdenes[[#This Row],[fecha_inicio]]))</f>
        <v/>
      </c>
      <c r="R174" s="3">
        <f>IF(tblOrdenes[[#This Row],[fecha_inicio]]="","",INDEX(lista_dias,WEEKDAY(tblOrdenes[[#This Row],[fecha_inicio]],2)))</f>
        <v/>
      </c>
      <c r="S174" s="3">
        <f>_xlfn.XLOOKUP(tblOrdenes[[#This Row],[tipo_ot]],tblTiposOT[codigo],tblTiposOT[clasificacion],"sin_clasificar")</f>
        <v/>
      </c>
      <c r="T174" s="3">
        <f>_xlfn.XLOOKUP(tblOrdenes[[#This Row],[centro_costo]],tblCECO[codigo],tblCECO[linea],"(sin catálogo)")</f>
        <v/>
      </c>
      <c r="U174" s="3">
        <f>_xlfn.XLOOKUP(tblOrdenes[[#This Row],[centro_costo]],tblCECO[codigo],tblCECO[area],"(sin catálogo)")</f>
        <v/>
      </c>
      <c r="V174" s="3">
        <f>_xlfn.XLOOKUP(tblOrdenes[[#This Row],[centro_costo]],tblCECO[codigo],tblCECO[coordinador],"(sin catálogo)")</f>
        <v/>
      </c>
      <c r="W174" s="3">
        <f>_xlfn.XLOOKUP(tblOrdenes[[#This Row],[puesto_trabajo]],tblPuestos[codigo],tblPuestos[especialidad],"(sin catálogo)")</f>
        <v/>
      </c>
      <c r="X174" s="3">
        <f>_xlfn.XLOOKUP(tblOrdenes[[#This Row],[cod_actividad]],tblActividades[codigo],tblActividades[descripcion],"(sin catálogo)")</f>
        <v/>
      </c>
      <c r="Y174" s="12">
        <f>IF(tblOrdenes[[#This Row],[fecha_inicio]]="","",TODAY()-tblOrdenes[[#This Row],[fecha_inicio]])</f>
        <v/>
      </c>
      <c r="Z174" s="3">
        <f>IF(tblOrdenes[[#This Row],[backlog_dias]]="","",IF(tblOrdenes[[#This Row],[backlog_dias]]&lt;0,"FUTURO",IF(tblOrdenes[[#This Row],[backlog_dias]]&gt;p_dias_backlog_max,"BACKLOG","MES CORRIENTE")))</f>
        <v/>
      </c>
      <c r="AA174" s="3">
        <f>IF(tblOrdenes[[#This Row],[backlog_dias]]="",FALSE,AND(tblOrdenes[[#This Row],[backlog_dias]]&gt;p_dias_backlog_min,tblOrdenes[[#This Row],[backlog_dias]]&lt;=p_dias_backlog_max))</f>
        <v/>
      </c>
      <c r="AB174" s="6" t="inlineStr"/>
      <c r="AC17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4" s="10">
        <f>_xlfn.XLOOKUP(tblOrdenes[[#This Row],[id_operacion]],tblEjecucion[id_operacion],tblEjecucion[precio],0)</f>
        <v/>
      </c>
      <c r="AE174" s="10">
        <f>MAX(0,_xlfn.XLOOKUP(tblOrdenes[[#This Row],[id_operacion]],tblEjecucion[id_operacion],tblEjecucion[costo_plan_total],0)-tblOrdenes[[#This Row],[costo_servicio]])</f>
        <v/>
      </c>
      <c r="AF174" s="10">
        <f>tblOrdenes[[#This Row],[costo_servicio]]+tblOrdenes[[#This Row],[costo_materiales]]</f>
        <v/>
      </c>
      <c r="AG174" s="6" t="inlineStr"/>
      <c r="AH174" s="6" t="inlineStr"/>
      <c r="AI174" s="6" t="inlineStr"/>
      <c r="AJ174" s="3">
        <f>IF(tblOrdenes[[#This Row],[link_checklist]]="","",HYPERLINK(p_ruta_base_checklists&amp;tblOrdenes[[#This Row],[link_checklist]],"abrir"))</f>
        <v/>
      </c>
      <c r="AK174" s="6" t="inlineStr"/>
    </row>
    <row r="175">
      <c r="A175" s="3" t="inlineStr">
        <is>
          <t>OT-000172</t>
        </is>
      </c>
      <c r="B175" s="3" t="inlineStr">
        <is>
          <t>0010</t>
        </is>
      </c>
      <c r="C175" s="3">
        <f>tblOrdenes[[#This Row],[orden]]&amp;IF(tblOrdenes[[#This Row],[operacion]]="","0010",tblOrdenes[[#This Row],[operacion]])</f>
        <v/>
      </c>
      <c r="D175" s="3" t="inlineStr">
        <is>
          <t>Lubricación programada — EQ-111</t>
        </is>
      </c>
      <c r="E175" s="3" t="inlineStr">
        <is>
          <t>Lubricación programada en EQ-111</t>
        </is>
      </c>
      <c r="F175" s="3" t="inlineStr">
        <is>
          <t>EQ-111</t>
        </is>
      </c>
      <c r="G175" s="3" t="inlineStr">
        <is>
          <t>CC-310</t>
        </is>
      </c>
      <c r="H175" s="3" t="inlineStr">
        <is>
          <t>PU-AUT</t>
        </is>
      </c>
      <c r="I175" s="3" t="inlineStr">
        <is>
          <t>ACT-02</t>
        </is>
      </c>
      <c r="J175" s="3" t="inlineStr">
        <is>
          <t>TIPO-P1</t>
        </is>
      </c>
      <c r="K175" s="11" t="n">
        <v>46112</v>
      </c>
      <c r="L175" s="3" t="n">
        <v>6</v>
      </c>
      <c r="M175" s="10" t="n">
        <v>150</v>
      </c>
      <c r="N175" s="3">
        <f>_xlfn.XLOOKUP(_xlfn.XLOOKUP(tblOrdenes[[#This Row],[id_operacion]],tblEjecucion[id_operacion],tblEjecucion[estado_sistema],""),tblEstados[estado_sistema],tblEstados[estado_normalizado],"Pendiente")</f>
        <v/>
      </c>
      <c r="O175" s="3">
        <f>IF(tblOrdenes[[#This Row],[fecha_inicio]]="","","S"&amp;IF(_xlfn.ISOWEEKNUM(tblOrdenes[[#This Row],[fecha_inicio]])=53,1,_xlfn.ISOWEEKNUM(tblOrdenes[[#This Row],[fecha_inicio]])))</f>
        <v/>
      </c>
      <c r="P175" s="3">
        <f>IF(tblOrdenes[[#This Row],[fecha_inicio]]="","",YEAR(tblOrdenes[[#This Row],[fecha_inicio]]))</f>
        <v/>
      </c>
      <c r="Q175" s="3">
        <f>IF(tblOrdenes[[#This Row],[fecha_inicio]]="","",MONTH(tblOrdenes[[#This Row],[fecha_inicio]]))</f>
        <v/>
      </c>
      <c r="R175" s="3">
        <f>IF(tblOrdenes[[#This Row],[fecha_inicio]]="","",INDEX(lista_dias,WEEKDAY(tblOrdenes[[#This Row],[fecha_inicio]],2)))</f>
        <v/>
      </c>
      <c r="S175" s="3">
        <f>_xlfn.XLOOKUP(tblOrdenes[[#This Row],[tipo_ot]],tblTiposOT[codigo],tblTiposOT[clasificacion],"sin_clasificar")</f>
        <v/>
      </c>
      <c r="T175" s="3">
        <f>_xlfn.XLOOKUP(tblOrdenes[[#This Row],[centro_costo]],tblCECO[codigo],tblCECO[linea],"(sin catálogo)")</f>
        <v/>
      </c>
      <c r="U175" s="3">
        <f>_xlfn.XLOOKUP(tblOrdenes[[#This Row],[centro_costo]],tblCECO[codigo],tblCECO[area],"(sin catálogo)")</f>
        <v/>
      </c>
      <c r="V175" s="3">
        <f>_xlfn.XLOOKUP(tblOrdenes[[#This Row],[centro_costo]],tblCECO[codigo],tblCECO[coordinador],"(sin catálogo)")</f>
        <v/>
      </c>
      <c r="W175" s="3">
        <f>_xlfn.XLOOKUP(tblOrdenes[[#This Row],[puesto_trabajo]],tblPuestos[codigo],tblPuestos[especialidad],"(sin catálogo)")</f>
        <v/>
      </c>
      <c r="X175" s="3">
        <f>_xlfn.XLOOKUP(tblOrdenes[[#This Row],[cod_actividad]],tblActividades[codigo],tblActividades[descripcion],"(sin catálogo)")</f>
        <v/>
      </c>
      <c r="Y175" s="12">
        <f>IF(tblOrdenes[[#This Row],[fecha_inicio]]="","",TODAY()-tblOrdenes[[#This Row],[fecha_inicio]])</f>
        <v/>
      </c>
      <c r="Z175" s="3">
        <f>IF(tblOrdenes[[#This Row],[backlog_dias]]="","",IF(tblOrdenes[[#This Row],[backlog_dias]]&lt;0,"FUTURO",IF(tblOrdenes[[#This Row],[backlog_dias]]&gt;p_dias_backlog_max,"BACKLOG","MES CORRIENTE")))</f>
        <v/>
      </c>
      <c r="AA175" s="3">
        <f>IF(tblOrdenes[[#This Row],[backlog_dias]]="",FALSE,AND(tblOrdenes[[#This Row],[backlog_dias]]&gt;p_dias_backlog_min,tblOrdenes[[#This Row],[backlog_dias]]&lt;=p_dias_backlog_max))</f>
        <v/>
      </c>
      <c r="AB175" s="6" t="inlineStr"/>
      <c r="AC17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5" s="10">
        <f>_xlfn.XLOOKUP(tblOrdenes[[#This Row],[id_operacion]],tblEjecucion[id_operacion],tblEjecucion[precio],0)</f>
        <v/>
      </c>
      <c r="AE175" s="10">
        <f>MAX(0,_xlfn.XLOOKUP(tblOrdenes[[#This Row],[id_operacion]],tblEjecucion[id_operacion],tblEjecucion[costo_plan_total],0)-tblOrdenes[[#This Row],[costo_servicio]])</f>
        <v/>
      </c>
      <c r="AF175" s="10">
        <f>tblOrdenes[[#This Row],[costo_servicio]]+tblOrdenes[[#This Row],[costo_materiales]]</f>
        <v/>
      </c>
      <c r="AG175" s="6" t="inlineStr"/>
      <c r="AH175" s="6" t="inlineStr"/>
      <c r="AI175" s="6" t="inlineStr"/>
      <c r="AJ175" s="3">
        <f>IF(tblOrdenes[[#This Row],[link_checklist]]="","",HYPERLINK(p_ruta_base_checklists&amp;tblOrdenes[[#This Row],[link_checklist]],"abrir"))</f>
        <v/>
      </c>
      <c r="AK175" s="6" t="inlineStr"/>
    </row>
    <row r="176">
      <c r="A176" s="3" t="inlineStr">
        <is>
          <t>OT-000173</t>
        </is>
      </c>
      <c r="B176" s="3" t="inlineStr">
        <is>
          <t>0010</t>
        </is>
      </c>
      <c r="C176" s="3">
        <f>tblOrdenes[[#This Row],[orden]]&amp;IF(tblOrdenes[[#This Row],[operacion]]="","0010",tblOrdenes[[#This Row],[operacion]])</f>
        <v/>
      </c>
      <c r="D176" s="3" t="inlineStr">
        <is>
          <t>Reparación de falla — EQ-112</t>
        </is>
      </c>
      <c r="E176" s="3" t="inlineStr">
        <is>
          <t>Reparación de falla en EQ-112</t>
        </is>
      </c>
      <c r="F176" s="3" t="inlineStr">
        <is>
          <t>EQ-112</t>
        </is>
      </c>
      <c r="G176" s="3" t="inlineStr">
        <is>
          <t>CC-320</t>
        </is>
      </c>
      <c r="H176" s="3" t="inlineStr">
        <is>
          <t>PU-OP</t>
        </is>
      </c>
      <c r="I176" s="3" t="inlineStr">
        <is>
          <t>ACT-03</t>
        </is>
      </c>
      <c r="J176" s="3" t="inlineStr">
        <is>
          <t>TIPO-C2</t>
        </is>
      </c>
      <c r="K176" s="11" t="n">
        <v>46105</v>
      </c>
      <c r="L176" s="3" t="n">
        <v>8</v>
      </c>
      <c r="M176" s="10" t="n">
        <v>320</v>
      </c>
      <c r="N176" s="3">
        <f>_xlfn.XLOOKUP(_xlfn.XLOOKUP(tblOrdenes[[#This Row],[id_operacion]],tblEjecucion[id_operacion],tblEjecucion[estado_sistema],""),tblEstados[estado_sistema],tblEstados[estado_normalizado],"Pendiente")</f>
        <v/>
      </c>
      <c r="O176" s="3">
        <f>IF(tblOrdenes[[#This Row],[fecha_inicio]]="","","S"&amp;IF(_xlfn.ISOWEEKNUM(tblOrdenes[[#This Row],[fecha_inicio]])=53,1,_xlfn.ISOWEEKNUM(tblOrdenes[[#This Row],[fecha_inicio]])))</f>
        <v/>
      </c>
      <c r="P176" s="3">
        <f>IF(tblOrdenes[[#This Row],[fecha_inicio]]="","",YEAR(tblOrdenes[[#This Row],[fecha_inicio]]))</f>
        <v/>
      </c>
      <c r="Q176" s="3">
        <f>IF(tblOrdenes[[#This Row],[fecha_inicio]]="","",MONTH(tblOrdenes[[#This Row],[fecha_inicio]]))</f>
        <v/>
      </c>
      <c r="R176" s="3">
        <f>IF(tblOrdenes[[#This Row],[fecha_inicio]]="","",INDEX(lista_dias,WEEKDAY(tblOrdenes[[#This Row],[fecha_inicio]],2)))</f>
        <v/>
      </c>
      <c r="S176" s="3">
        <f>_xlfn.XLOOKUP(tblOrdenes[[#This Row],[tipo_ot]],tblTiposOT[codigo],tblTiposOT[clasificacion],"sin_clasificar")</f>
        <v/>
      </c>
      <c r="T176" s="3">
        <f>_xlfn.XLOOKUP(tblOrdenes[[#This Row],[centro_costo]],tblCECO[codigo],tblCECO[linea],"(sin catálogo)")</f>
        <v/>
      </c>
      <c r="U176" s="3">
        <f>_xlfn.XLOOKUP(tblOrdenes[[#This Row],[centro_costo]],tblCECO[codigo],tblCECO[area],"(sin catálogo)")</f>
        <v/>
      </c>
      <c r="V176" s="3">
        <f>_xlfn.XLOOKUP(tblOrdenes[[#This Row],[centro_costo]],tblCECO[codigo],tblCECO[coordinador],"(sin catálogo)")</f>
        <v/>
      </c>
      <c r="W176" s="3">
        <f>_xlfn.XLOOKUP(tblOrdenes[[#This Row],[puesto_trabajo]],tblPuestos[codigo],tblPuestos[especialidad],"(sin catálogo)")</f>
        <v/>
      </c>
      <c r="X176" s="3">
        <f>_xlfn.XLOOKUP(tblOrdenes[[#This Row],[cod_actividad]],tblActividades[codigo],tblActividades[descripcion],"(sin catálogo)")</f>
        <v/>
      </c>
      <c r="Y176" s="12">
        <f>IF(tblOrdenes[[#This Row],[fecha_inicio]]="","",TODAY()-tblOrdenes[[#This Row],[fecha_inicio]])</f>
        <v/>
      </c>
      <c r="Z176" s="3">
        <f>IF(tblOrdenes[[#This Row],[backlog_dias]]="","",IF(tblOrdenes[[#This Row],[backlog_dias]]&lt;0,"FUTURO",IF(tblOrdenes[[#This Row],[backlog_dias]]&gt;p_dias_backlog_max,"BACKLOG","MES CORRIENTE")))</f>
        <v/>
      </c>
      <c r="AA176" s="3">
        <f>IF(tblOrdenes[[#This Row],[backlog_dias]]="",FALSE,AND(tblOrdenes[[#This Row],[backlog_dias]]&gt;p_dias_backlog_min,tblOrdenes[[#This Row],[backlog_dias]]&lt;=p_dias_backlog_max))</f>
        <v/>
      </c>
      <c r="AB176" s="6" t="inlineStr"/>
      <c r="AC17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6" s="10">
        <f>_xlfn.XLOOKUP(tblOrdenes[[#This Row],[id_operacion]],tblEjecucion[id_operacion],tblEjecucion[precio],0)</f>
        <v/>
      </c>
      <c r="AE176" s="10">
        <f>MAX(0,_xlfn.XLOOKUP(tblOrdenes[[#This Row],[id_operacion]],tblEjecucion[id_operacion],tblEjecucion[costo_plan_total],0)-tblOrdenes[[#This Row],[costo_servicio]])</f>
        <v/>
      </c>
      <c r="AF176" s="10">
        <f>tblOrdenes[[#This Row],[costo_servicio]]+tblOrdenes[[#This Row],[costo_materiales]]</f>
        <v/>
      </c>
      <c r="AG176" s="6" t="inlineStr"/>
      <c r="AH176" s="6" t="inlineStr"/>
      <c r="AI176" s="6" t="inlineStr"/>
      <c r="AJ176" s="3">
        <f>IF(tblOrdenes[[#This Row],[link_checklist]]="","",HYPERLINK(p_ruta_base_checklists&amp;tblOrdenes[[#This Row],[link_checklist]],"abrir"))</f>
        <v/>
      </c>
      <c r="AK176" s="6" t="inlineStr"/>
    </row>
    <row r="177">
      <c r="A177" s="3" t="inlineStr">
        <is>
          <t>OT-000174</t>
        </is>
      </c>
      <c r="B177" s="3" t="inlineStr">
        <is>
          <t>0010</t>
        </is>
      </c>
      <c r="C177" s="3">
        <f>tblOrdenes[[#This Row],[orden]]&amp;IF(tblOrdenes[[#This Row],[operacion]]="","0010",tblOrdenes[[#This Row],[operacion]])</f>
        <v/>
      </c>
      <c r="D177" s="3" t="inlineStr">
        <is>
          <t>Inspección de rutina — EQ-105</t>
        </is>
      </c>
      <c r="E177" s="3" t="inlineStr">
        <is>
          <t>Inspección de rutina en EQ-105</t>
        </is>
      </c>
      <c r="F177" s="3" t="inlineStr">
        <is>
          <t>EQ-105</t>
        </is>
      </c>
      <c r="G177" s="3" t="inlineStr">
        <is>
          <t>CC-110</t>
        </is>
      </c>
      <c r="H177" s="3" t="inlineStr">
        <is>
          <t>PU-MEC</t>
        </is>
      </c>
      <c r="I177" s="3" t="inlineStr">
        <is>
          <t>ACT-01</t>
        </is>
      </c>
      <c r="J177" s="3" t="inlineStr">
        <is>
          <t>TIPO-P1</t>
        </is>
      </c>
      <c r="K177" s="11" t="n">
        <v>46098</v>
      </c>
      <c r="L177" s="3" t="n">
        <v>4</v>
      </c>
      <c r="M177" s="10" t="n">
        <v>100</v>
      </c>
      <c r="N177" s="3">
        <f>_xlfn.XLOOKUP(_xlfn.XLOOKUP(tblOrdenes[[#This Row],[id_operacion]],tblEjecucion[id_operacion],tblEjecucion[estado_sistema],""),tblEstados[estado_sistema],tblEstados[estado_normalizado],"Pendiente")</f>
        <v/>
      </c>
      <c r="O177" s="3">
        <f>IF(tblOrdenes[[#This Row],[fecha_inicio]]="","","S"&amp;IF(_xlfn.ISOWEEKNUM(tblOrdenes[[#This Row],[fecha_inicio]])=53,1,_xlfn.ISOWEEKNUM(tblOrdenes[[#This Row],[fecha_inicio]])))</f>
        <v/>
      </c>
      <c r="P177" s="3">
        <f>IF(tblOrdenes[[#This Row],[fecha_inicio]]="","",YEAR(tblOrdenes[[#This Row],[fecha_inicio]]))</f>
        <v/>
      </c>
      <c r="Q177" s="3">
        <f>IF(tblOrdenes[[#This Row],[fecha_inicio]]="","",MONTH(tblOrdenes[[#This Row],[fecha_inicio]]))</f>
        <v/>
      </c>
      <c r="R177" s="3">
        <f>IF(tblOrdenes[[#This Row],[fecha_inicio]]="","",INDEX(lista_dias,WEEKDAY(tblOrdenes[[#This Row],[fecha_inicio]],2)))</f>
        <v/>
      </c>
      <c r="S177" s="3">
        <f>_xlfn.XLOOKUP(tblOrdenes[[#This Row],[tipo_ot]],tblTiposOT[codigo],tblTiposOT[clasificacion],"sin_clasificar")</f>
        <v/>
      </c>
      <c r="T177" s="3">
        <f>_xlfn.XLOOKUP(tblOrdenes[[#This Row],[centro_costo]],tblCECO[codigo],tblCECO[linea],"(sin catálogo)")</f>
        <v/>
      </c>
      <c r="U177" s="3">
        <f>_xlfn.XLOOKUP(tblOrdenes[[#This Row],[centro_costo]],tblCECO[codigo],tblCECO[area],"(sin catálogo)")</f>
        <v/>
      </c>
      <c r="V177" s="3">
        <f>_xlfn.XLOOKUP(tblOrdenes[[#This Row],[centro_costo]],tblCECO[codigo],tblCECO[coordinador],"(sin catálogo)")</f>
        <v/>
      </c>
      <c r="W177" s="3">
        <f>_xlfn.XLOOKUP(tblOrdenes[[#This Row],[puesto_trabajo]],tblPuestos[codigo],tblPuestos[especialidad],"(sin catálogo)")</f>
        <v/>
      </c>
      <c r="X177" s="3">
        <f>_xlfn.XLOOKUP(tblOrdenes[[#This Row],[cod_actividad]],tblActividades[codigo],tblActividades[descripcion],"(sin catálogo)")</f>
        <v/>
      </c>
      <c r="Y177" s="12">
        <f>IF(tblOrdenes[[#This Row],[fecha_inicio]]="","",TODAY()-tblOrdenes[[#This Row],[fecha_inicio]])</f>
        <v/>
      </c>
      <c r="Z177" s="3">
        <f>IF(tblOrdenes[[#This Row],[backlog_dias]]="","",IF(tblOrdenes[[#This Row],[backlog_dias]]&lt;0,"FUTURO",IF(tblOrdenes[[#This Row],[backlog_dias]]&gt;p_dias_backlog_max,"BACKLOG","MES CORRIENTE")))</f>
        <v/>
      </c>
      <c r="AA177" s="3">
        <f>IF(tblOrdenes[[#This Row],[backlog_dias]]="",FALSE,AND(tblOrdenes[[#This Row],[backlog_dias]]&gt;p_dias_backlog_min,tblOrdenes[[#This Row],[backlog_dias]]&lt;=p_dias_backlog_max))</f>
        <v/>
      </c>
      <c r="AB177" s="6" t="inlineStr"/>
      <c r="AC17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7" s="10">
        <f>_xlfn.XLOOKUP(tblOrdenes[[#This Row],[id_operacion]],tblEjecucion[id_operacion],tblEjecucion[precio],0)</f>
        <v/>
      </c>
      <c r="AE177" s="10">
        <f>MAX(0,_xlfn.XLOOKUP(tblOrdenes[[#This Row],[id_operacion]],tblEjecucion[id_operacion],tblEjecucion[costo_plan_total],0)-tblOrdenes[[#This Row],[costo_servicio]])</f>
        <v/>
      </c>
      <c r="AF177" s="10">
        <f>tblOrdenes[[#This Row],[costo_servicio]]+tblOrdenes[[#This Row],[costo_materiales]]</f>
        <v/>
      </c>
      <c r="AG177" s="6" t="inlineStr"/>
      <c r="AH177" s="6" t="inlineStr"/>
      <c r="AI177" s="6" t="inlineStr"/>
      <c r="AJ177" s="3">
        <f>IF(tblOrdenes[[#This Row],[link_checklist]]="","",HYPERLINK(p_ruta_base_checklists&amp;tblOrdenes[[#This Row],[link_checklist]],"abrir"))</f>
        <v/>
      </c>
      <c r="AK177" s="6" t="inlineStr"/>
    </row>
    <row r="178">
      <c r="A178" s="3" t="inlineStr">
        <is>
          <t>OT-000175</t>
        </is>
      </c>
      <c r="B178" s="3" t="inlineStr">
        <is>
          <t>0010</t>
        </is>
      </c>
      <c r="C178" s="3">
        <f>tblOrdenes[[#This Row],[orden]]&amp;IF(tblOrdenes[[#This Row],[operacion]]="","0010",tblOrdenes[[#This Row],[operacion]])</f>
        <v/>
      </c>
      <c r="D178" s="3" t="inlineStr">
        <is>
          <t>Reparación de falla — EQ-101</t>
        </is>
      </c>
      <c r="E178" s="3" t="inlineStr">
        <is>
          <t>Reparación de falla en EQ-101</t>
        </is>
      </c>
      <c r="F178" s="3" t="inlineStr">
        <is>
          <t>EQ-101</t>
        </is>
      </c>
      <c r="G178" s="3" t="inlineStr">
        <is>
          <t>CC-120</t>
        </is>
      </c>
      <c r="H178" s="3" t="inlineStr">
        <is>
          <t>PU-ELE</t>
        </is>
      </c>
      <c r="I178" s="3" t="inlineStr">
        <is>
          <t>ACT-03</t>
        </is>
      </c>
      <c r="J178" s="3" t="inlineStr">
        <is>
          <t>TIPO-C2</t>
        </is>
      </c>
      <c r="K178" s="11" t="n">
        <v>46091</v>
      </c>
      <c r="L178" s="3" t="n">
        <v>6</v>
      </c>
      <c r="M178" s="10" t="n">
        <v>240</v>
      </c>
      <c r="N178" s="3">
        <f>_xlfn.XLOOKUP(_xlfn.XLOOKUP(tblOrdenes[[#This Row],[id_operacion]],tblEjecucion[id_operacion],tblEjecucion[estado_sistema],""),tblEstados[estado_sistema],tblEstados[estado_normalizado],"Pendiente")</f>
        <v/>
      </c>
      <c r="O178" s="3">
        <f>IF(tblOrdenes[[#This Row],[fecha_inicio]]="","","S"&amp;IF(_xlfn.ISOWEEKNUM(tblOrdenes[[#This Row],[fecha_inicio]])=53,1,_xlfn.ISOWEEKNUM(tblOrdenes[[#This Row],[fecha_inicio]])))</f>
        <v/>
      </c>
      <c r="P178" s="3">
        <f>IF(tblOrdenes[[#This Row],[fecha_inicio]]="","",YEAR(tblOrdenes[[#This Row],[fecha_inicio]]))</f>
        <v/>
      </c>
      <c r="Q178" s="3">
        <f>IF(tblOrdenes[[#This Row],[fecha_inicio]]="","",MONTH(tblOrdenes[[#This Row],[fecha_inicio]]))</f>
        <v/>
      </c>
      <c r="R178" s="3">
        <f>IF(tblOrdenes[[#This Row],[fecha_inicio]]="","",INDEX(lista_dias,WEEKDAY(tblOrdenes[[#This Row],[fecha_inicio]],2)))</f>
        <v/>
      </c>
      <c r="S178" s="3">
        <f>_xlfn.XLOOKUP(tblOrdenes[[#This Row],[tipo_ot]],tblTiposOT[codigo],tblTiposOT[clasificacion],"sin_clasificar")</f>
        <v/>
      </c>
      <c r="T178" s="3">
        <f>_xlfn.XLOOKUP(tblOrdenes[[#This Row],[centro_costo]],tblCECO[codigo],tblCECO[linea],"(sin catálogo)")</f>
        <v/>
      </c>
      <c r="U178" s="3">
        <f>_xlfn.XLOOKUP(tblOrdenes[[#This Row],[centro_costo]],tblCECO[codigo],tblCECO[area],"(sin catálogo)")</f>
        <v/>
      </c>
      <c r="V178" s="3">
        <f>_xlfn.XLOOKUP(tblOrdenes[[#This Row],[centro_costo]],tblCECO[codigo],tblCECO[coordinador],"(sin catálogo)")</f>
        <v/>
      </c>
      <c r="W178" s="3">
        <f>_xlfn.XLOOKUP(tblOrdenes[[#This Row],[puesto_trabajo]],tblPuestos[codigo],tblPuestos[especialidad],"(sin catálogo)")</f>
        <v/>
      </c>
      <c r="X178" s="3">
        <f>_xlfn.XLOOKUP(tblOrdenes[[#This Row],[cod_actividad]],tblActividades[codigo],tblActividades[descripcion],"(sin catálogo)")</f>
        <v/>
      </c>
      <c r="Y178" s="12">
        <f>IF(tblOrdenes[[#This Row],[fecha_inicio]]="","",TODAY()-tblOrdenes[[#This Row],[fecha_inicio]])</f>
        <v/>
      </c>
      <c r="Z178" s="3">
        <f>IF(tblOrdenes[[#This Row],[backlog_dias]]="","",IF(tblOrdenes[[#This Row],[backlog_dias]]&lt;0,"FUTURO",IF(tblOrdenes[[#This Row],[backlog_dias]]&gt;p_dias_backlog_max,"BACKLOG","MES CORRIENTE")))</f>
        <v/>
      </c>
      <c r="AA178" s="3">
        <f>IF(tblOrdenes[[#This Row],[backlog_dias]]="",FALSE,AND(tblOrdenes[[#This Row],[backlog_dias]]&gt;p_dias_backlog_min,tblOrdenes[[#This Row],[backlog_dias]]&lt;=p_dias_backlog_max))</f>
        <v/>
      </c>
      <c r="AB178" s="6" t="inlineStr"/>
      <c r="AC17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8" s="10">
        <f>_xlfn.XLOOKUP(tblOrdenes[[#This Row],[id_operacion]],tblEjecucion[id_operacion],tblEjecucion[precio],0)</f>
        <v/>
      </c>
      <c r="AE178" s="10">
        <f>MAX(0,_xlfn.XLOOKUP(tblOrdenes[[#This Row],[id_operacion]],tblEjecucion[id_operacion],tblEjecucion[costo_plan_total],0)-tblOrdenes[[#This Row],[costo_servicio]])</f>
        <v/>
      </c>
      <c r="AF178" s="10">
        <f>tblOrdenes[[#This Row],[costo_servicio]]+tblOrdenes[[#This Row],[costo_materiales]]</f>
        <v/>
      </c>
      <c r="AG178" s="6" t="inlineStr"/>
      <c r="AH178" s="6" t="inlineStr"/>
      <c r="AI178" s="6" t="inlineStr"/>
      <c r="AJ178" s="3">
        <f>IF(tblOrdenes[[#This Row],[link_checklist]]="","",HYPERLINK(p_ruta_base_checklists&amp;tblOrdenes[[#This Row],[link_checklist]],"abrir"))</f>
        <v/>
      </c>
      <c r="AK178" s="6" t="inlineStr"/>
    </row>
    <row r="179">
      <c r="A179" s="3" t="inlineStr">
        <is>
          <t>OT-000176</t>
        </is>
      </c>
      <c r="B179" s="3" t="inlineStr">
        <is>
          <t>0010</t>
        </is>
      </c>
      <c r="C179" s="3">
        <f>tblOrdenes[[#This Row],[orden]]&amp;IF(tblOrdenes[[#This Row],[operacion]]="","0010",tblOrdenes[[#This Row],[operacion]])</f>
        <v/>
      </c>
      <c r="D179" s="3" t="inlineStr">
        <is>
          <t>Análisis predictivo — EQ-106</t>
        </is>
      </c>
      <c r="E179" s="3" t="inlineStr">
        <is>
          <t>Análisis predictivo en EQ-106</t>
        </is>
      </c>
      <c r="F179" s="3" t="inlineStr">
        <is>
          <t>EQ-106</t>
        </is>
      </c>
      <c r="G179" s="3" t="inlineStr">
        <is>
          <t>CC-210</t>
        </is>
      </c>
      <c r="H179" s="3" t="inlineStr">
        <is>
          <t>PU-AUT</t>
        </is>
      </c>
      <c r="I179" s="3" t="inlineStr">
        <is>
          <t>ACT-04</t>
        </is>
      </c>
      <c r="J179" s="3" t="inlineStr">
        <is>
          <t>TIPO-P1</t>
        </is>
      </c>
      <c r="K179" s="11" t="n">
        <v>46084</v>
      </c>
      <c r="L179" s="3" t="n">
        <v>8</v>
      </c>
      <c r="M179" s="10" t="n">
        <v>200</v>
      </c>
      <c r="N179" s="3">
        <f>_xlfn.XLOOKUP(_xlfn.XLOOKUP(tblOrdenes[[#This Row],[id_operacion]],tblEjecucion[id_operacion],tblEjecucion[estado_sistema],""),tblEstados[estado_sistema],tblEstados[estado_normalizado],"Pendiente")</f>
        <v/>
      </c>
      <c r="O179" s="3">
        <f>IF(tblOrdenes[[#This Row],[fecha_inicio]]="","","S"&amp;IF(_xlfn.ISOWEEKNUM(tblOrdenes[[#This Row],[fecha_inicio]])=53,1,_xlfn.ISOWEEKNUM(tblOrdenes[[#This Row],[fecha_inicio]])))</f>
        <v/>
      </c>
      <c r="P179" s="3">
        <f>IF(tblOrdenes[[#This Row],[fecha_inicio]]="","",YEAR(tblOrdenes[[#This Row],[fecha_inicio]]))</f>
        <v/>
      </c>
      <c r="Q179" s="3">
        <f>IF(tblOrdenes[[#This Row],[fecha_inicio]]="","",MONTH(tblOrdenes[[#This Row],[fecha_inicio]]))</f>
        <v/>
      </c>
      <c r="R179" s="3">
        <f>IF(tblOrdenes[[#This Row],[fecha_inicio]]="","",INDEX(lista_dias,WEEKDAY(tblOrdenes[[#This Row],[fecha_inicio]],2)))</f>
        <v/>
      </c>
      <c r="S179" s="3">
        <f>_xlfn.XLOOKUP(tblOrdenes[[#This Row],[tipo_ot]],tblTiposOT[codigo],tblTiposOT[clasificacion],"sin_clasificar")</f>
        <v/>
      </c>
      <c r="T179" s="3">
        <f>_xlfn.XLOOKUP(tblOrdenes[[#This Row],[centro_costo]],tblCECO[codigo],tblCECO[linea],"(sin catálogo)")</f>
        <v/>
      </c>
      <c r="U179" s="3">
        <f>_xlfn.XLOOKUP(tblOrdenes[[#This Row],[centro_costo]],tblCECO[codigo],tblCECO[area],"(sin catálogo)")</f>
        <v/>
      </c>
      <c r="V179" s="3">
        <f>_xlfn.XLOOKUP(tblOrdenes[[#This Row],[centro_costo]],tblCECO[codigo],tblCECO[coordinador],"(sin catálogo)")</f>
        <v/>
      </c>
      <c r="W179" s="3">
        <f>_xlfn.XLOOKUP(tblOrdenes[[#This Row],[puesto_trabajo]],tblPuestos[codigo],tblPuestos[especialidad],"(sin catálogo)")</f>
        <v/>
      </c>
      <c r="X179" s="3">
        <f>_xlfn.XLOOKUP(tblOrdenes[[#This Row],[cod_actividad]],tblActividades[codigo],tblActividades[descripcion],"(sin catálogo)")</f>
        <v/>
      </c>
      <c r="Y179" s="12">
        <f>IF(tblOrdenes[[#This Row],[fecha_inicio]]="","",TODAY()-tblOrdenes[[#This Row],[fecha_inicio]])</f>
        <v/>
      </c>
      <c r="Z179" s="3">
        <f>IF(tblOrdenes[[#This Row],[backlog_dias]]="","",IF(tblOrdenes[[#This Row],[backlog_dias]]&lt;0,"FUTURO",IF(tblOrdenes[[#This Row],[backlog_dias]]&gt;p_dias_backlog_max,"BACKLOG","MES CORRIENTE")))</f>
        <v/>
      </c>
      <c r="AA179" s="3">
        <f>IF(tblOrdenes[[#This Row],[backlog_dias]]="",FALSE,AND(tblOrdenes[[#This Row],[backlog_dias]]&gt;p_dias_backlog_min,tblOrdenes[[#This Row],[backlog_dias]]&lt;=p_dias_backlog_max))</f>
        <v/>
      </c>
      <c r="AB179" s="6" t="inlineStr"/>
      <c r="AC17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9" s="10">
        <f>_xlfn.XLOOKUP(tblOrdenes[[#This Row],[id_operacion]],tblEjecucion[id_operacion],tblEjecucion[precio],0)</f>
        <v/>
      </c>
      <c r="AE179" s="10">
        <f>MAX(0,_xlfn.XLOOKUP(tblOrdenes[[#This Row],[id_operacion]],tblEjecucion[id_operacion],tblEjecucion[costo_plan_total],0)-tblOrdenes[[#This Row],[costo_servicio]])</f>
        <v/>
      </c>
      <c r="AF179" s="10">
        <f>tblOrdenes[[#This Row],[costo_servicio]]+tblOrdenes[[#This Row],[costo_materiales]]</f>
        <v/>
      </c>
      <c r="AG179" s="6" t="inlineStr"/>
      <c r="AH179" s="6" t="inlineStr"/>
      <c r="AI179" s="6" t="inlineStr"/>
      <c r="AJ179" s="3">
        <f>IF(tblOrdenes[[#This Row],[link_checklist]]="","",HYPERLINK(p_ruta_base_checklists&amp;tblOrdenes[[#This Row],[link_checklist]],"abrir"))</f>
        <v/>
      </c>
      <c r="AK179" s="6" t="inlineStr"/>
    </row>
    <row r="180">
      <c r="A180" s="3" t="inlineStr">
        <is>
          <t>OT-000177</t>
        </is>
      </c>
      <c r="B180" s="3" t="inlineStr">
        <is>
          <t>0010</t>
        </is>
      </c>
      <c r="C180" s="3">
        <f>tblOrdenes[[#This Row],[orden]]&amp;IF(tblOrdenes[[#This Row],[operacion]]="","0010",tblOrdenes[[#This Row],[operacion]])</f>
        <v/>
      </c>
      <c r="D180" s="3" t="inlineStr">
        <is>
          <t>Inspección de rutina — EQ-103</t>
        </is>
      </c>
      <c r="E180" s="3" t="inlineStr">
        <is>
          <t>Inspección de rutina en EQ-103</t>
        </is>
      </c>
      <c r="F180" s="3" t="inlineStr">
        <is>
          <t>EQ-103</t>
        </is>
      </c>
      <c r="G180" s="3" t="inlineStr">
        <is>
          <t>CC-110</t>
        </is>
      </c>
      <c r="H180" s="3" t="inlineStr">
        <is>
          <t>PU-MEC</t>
        </is>
      </c>
      <c r="I180" s="3" t="inlineStr">
        <is>
          <t>ACT-01</t>
        </is>
      </c>
      <c r="J180" s="3" t="inlineStr">
        <is>
          <t>TIPO-P2</t>
        </is>
      </c>
      <c r="K180" s="11" t="n">
        <v>46262</v>
      </c>
      <c r="L180" s="3" t="n">
        <v>6</v>
      </c>
      <c r="M180" s="10" t="n">
        <v>150</v>
      </c>
      <c r="N180" s="3">
        <f>_xlfn.XLOOKUP(_xlfn.XLOOKUP(tblOrdenes[[#This Row],[id_operacion]],tblEjecucion[id_operacion],tblEjecucion[estado_sistema],""),tblEstados[estado_sistema],tblEstados[estado_normalizado],"Pendiente")</f>
        <v/>
      </c>
      <c r="O180" s="3">
        <f>IF(tblOrdenes[[#This Row],[fecha_inicio]]="","","S"&amp;IF(_xlfn.ISOWEEKNUM(tblOrdenes[[#This Row],[fecha_inicio]])=53,1,_xlfn.ISOWEEKNUM(tblOrdenes[[#This Row],[fecha_inicio]])))</f>
        <v/>
      </c>
      <c r="P180" s="3">
        <f>IF(tblOrdenes[[#This Row],[fecha_inicio]]="","",YEAR(tblOrdenes[[#This Row],[fecha_inicio]]))</f>
        <v/>
      </c>
      <c r="Q180" s="3">
        <f>IF(tblOrdenes[[#This Row],[fecha_inicio]]="","",MONTH(tblOrdenes[[#This Row],[fecha_inicio]]))</f>
        <v/>
      </c>
      <c r="R180" s="3">
        <f>IF(tblOrdenes[[#This Row],[fecha_inicio]]="","",INDEX(lista_dias,WEEKDAY(tblOrdenes[[#This Row],[fecha_inicio]],2)))</f>
        <v/>
      </c>
      <c r="S180" s="3">
        <f>_xlfn.XLOOKUP(tblOrdenes[[#This Row],[tipo_ot]],tblTiposOT[codigo],tblTiposOT[clasificacion],"sin_clasificar")</f>
        <v/>
      </c>
      <c r="T180" s="3">
        <f>_xlfn.XLOOKUP(tblOrdenes[[#This Row],[centro_costo]],tblCECO[codigo],tblCECO[linea],"(sin catálogo)")</f>
        <v/>
      </c>
      <c r="U180" s="3">
        <f>_xlfn.XLOOKUP(tblOrdenes[[#This Row],[centro_costo]],tblCECO[codigo],tblCECO[area],"(sin catálogo)")</f>
        <v/>
      </c>
      <c r="V180" s="3">
        <f>_xlfn.XLOOKUP(tblOrdenes[[#This Row],[centro_costo]],tblCECO[codigo],tblCECO[coordinador],"(sin catálogo)")</f>
        <v/>
      </c>
      <c r="W180" s="3">
        <f>_xlfn.XLOOKUP(tblOrdenes[[#This Row],[puesto_trabajo]],tblPuestos[codigo],tblPuestos[especialidad],"(sin catálogo)")</f>
        <v/>
      </c>
      <c r="X180" s="3">
        <f>_xlfn.XLOOKUP(tblOrdenes[[#This Row],[cod_actividad]],tblActividades[codigo],tblActividades[descripcion],"(sin catálogo)")</f>
        <v/>
      </c>
      <c r="Y180" s="12">
        <f>IF(tblOrdenes[[#This Row],[fecha_inicio]]="","",TODAY()-tblOrdenes[[#This Row],[fecha_inicio]])</f>
        <v/>
      </c>
      <c r="Z180" s="3">
        <f>IF(tblOrdenes[[#This Row],[backlog_dias]]="","",IF(tblOrdenes[[#This Row],[backlog_dias]]&lt;0,"FUTURO",IF(tblOrdenes[[#This Row],[backlog_dias]]&gt;p_dias_backlog_max,"BACKLOG","MES CORRIENTE")))</f>
        <v/>
      </c>
      <c r="AA180" s="3">
        <f>IF(tblOrdenes[[#This Row],[backlog_dias]]="",FALSE,AND(tblOrdenes[[#This Row],[backlog_dias]]&gt;p_dias_backlog_min,tblOrdenes[[#This Row],[backlog_dias]]&lt;=p_dias_backlog_max))</f>
        <v/>
      </c>
      <c r="AB180" s="6" t="inlineStr"/>
      <c r="AC18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0" s="10">
        <f>_xlfn.XLOOKUP(tblOrdenes[[#This Row],[id_operacion]],tblEjecucion[id_operacion],tblEjecucion[precio],0)</f>
        <v/>
      </c>
      <c r="AE180" s="10">
        <f>MAX(0,_xlfn.XLOOKUP(tblOrdenes[[#This Row],[id_operacion]],tblEjecucion[id_operacion],tblEjecucion[costo_plan_total],0)-tblOrdenes[[#This Row],[costo_servicio]])</f>
        <v/>
      </c>
      <c r="AF180" s="10">
        <f>tblOrdenes[[#This Row],[costo_servicio]]+tblOrdenes[[#This Row],[costo_materiales]]</f>
        <v/>
      </c>
      <c r="AG180" s="6" t="inlineStr"/>
      <c r="AH180" s="6" t="inlineStr"/>
      <c r="AI180" s="6" t="inlineStr"/>
      <c r="AJ180" s="3">
        <f>IF(tblOrdenes[[#This Row],[link_checklist]]="","",HYPERLINK(p_ruta_base_checklists&amp;tblOrdenes[[#This Row],[link_checklist]],"abrir"))</f>
        <v/>
      </c>
      <c r="AK180" s="6" t="inlineStr"/>
    </row>
    <row r="181">
      <c r="A181" s="3" t="inlineStr">
        <is>
          <t>OT-000178</t>
        </is>
      </c>
      <c r="B181" s="3" t="inlineStr">
        <is>
          <t>0010</t>
        </is>
      </c>
      <c r="C181" s="3">
        <f>tblOrdenes[[#This Row],[orden]]&amp;IF(tblOrdenes[[#This Row],[operacion]]="","0010",tblOrdenes[[#This Row],[operacion]])</f>
        <v/>
      </c>
      <c r="D181" s="3" t="inlineStr">
        <is>
          <t>Lubricación programada — EQ-104</t>
        </is>
      </c>
      <c r="E181" s="3" t="inlineStr">
        <is>
          <t>Lubricación programada en EQ-104</t>
        </is>
      </c>
      <c r="F181" s="3" t="inlineStr">
        <is>
          <t>EQ-104</t>
        </is>
      </c>
      <c r="G181" s="3" t="inlineStr">
        <is>
          <t>CC-110</t>
        </is>
      </c>
      <c r="H181" s="3" t="inlineStr">
        <is>
          <t>PU-MEC</t>
        </is>
      </c>
      <c r="I181" s="3" t="inlineStr">
        <is>
          <t>ACT-02</t>
        </is>
      </c>
      <c r="J181" s="3" t="inlineStr">
        <is>
          <t>TIPO-P1</t>
        </is>
      </c>
      <c r="K181" s="11" t="n">
        <v>46262</v>
      </c>
      <c r="L181" s="3" t="n">
        <v>6</v>
      </c>
      <c r="M181" s="10" t="n">
        <v>150</v>
      </c>
      <c r="N181" s="3">
        <f>_xlfn.XLOOKUP(_xlfn.XLOOKUP(tblOrdenes[[#This Row],[id_operacion]],tblEjecucion[id_operacion],tblEjecucion[estado_sistema],""),tblEstados[estado_sistema],tblEstados[estado_normalizado],"Pendiente")</f>
        <v/>
      </c>
      <c r="O181" s="3">
        <f>IF(tblOrdenes[[#This Row],[fecha_inicio]]="","","S"&amp;IF(_xlfn.ISOWEEKNUM(tblOrdenes[[#This Row],[fecha_inicio]])=53,1,_xlfn.ISOWEEKNUM(tblOrdenes[[#This Row],[fecha_inicio]])))</f>
        <v/>
      </c>
      <c r="P181" s="3">
        <f>IF(tblOrdenes[[#This Row],[fecha_inicio]]="","",YEAR(tblOrdenes[[#This Row],[fecha_inicio]]))</f>
        <v/>
      </c>
      <c r="Q181" s="3">
        <f>IF(tblOrdenes[[#This Row],[fecha_inicio]]="","",MONTH(tblOrdenes[[#This Row],[fecha_inicio]]))</f>
        <v/>
      </c>
      <c r="R181" s="3">
        <f>IF(tblOrdenes[[#This Row],[fecha_inicio]]="","",INDEX(lista_dias,WEEKDAY(tblOrdenes[[#This Row],[fecha_inicio]],2)))</f>
        <v/>
      </c>
      <c r="S181" s="3">
        <f>_xlfn.XLOOKUP(tblOrdenes[[#This Row],[tipo_ot]],tblTiposOT[codigo],tblTiposOT[clasificacion],"sin_clasificar")</f>
        <v/>
      </c>
      <c r="T181" s="3">
        <f>_xlfn.XLOOKUP(tblOrdenes[[#This Row],[centro_costo]],tblCECO[codigo],tblCECO[linea],"(sin catálogo)")</f>
        <v/>
      </c>
      <c r="U181" s="3">
        <f>_xlfn.XLOOKUP(tblOrdenes[[#This Row],[centro_costo]],tblCECO[codigo],tblCECO[area],"(sin catálogo)")</f>
        <v/>
      </c>
      <c r="V181" s="3">
        <f>_xlfn.XLOOKUP(tblOrdenes[[#This Row],[centro_costo]],tblCECO[codigo],tblCECO[coordinador],"(sin catálogo)")</f>
        <v/>
      </c>
      <c r="W181" s="3">
        <f>_xlfn.XLOOKUP(tblOrdenes[[#This Row],[puesto_trabajo]],tblPuestos[codigo],tblPuestos[especialidad],"(sin catálogo)")</f>
        <v/>
      </c>
      <c r="X181" s="3">
        <f>_xlfn.XLOOKUP(tblOrdenes[[#This Row],[cod_actividad]],tblActividades[codigo],tblActividades[descripcion],"(sin catálogo)")</f>
        <v/>
      </c>
      <c r="Y181" s="12">
        <f>IF(tblOrdenes[[#This Row],[fecha_inicio]]="","",TODAY()-tblOrdenes[[#This Row],[fecha_inicio]])</f>
        <v/>
      </c>
      <c r="Z181" s="3">
        <f>IF(tblOrdenes[[#This Row],[backlog_dias]]="","",IF(tblOrdenes[[#This Row],[backlog_dias]]&lt;0,"FUTURO",IF(tblOrdenes[[#This Row],[backlog_dias]]&gt;p_dias_backlog_max,"BACKLOG","MES CORRIENTE")))</f>
        <v/>
      </c>
      <c r="AA181" s="3">
        <f>IF(tblOrdenes[[#This Row],[backlog_dias]]="",FALSE,AND(tblOrdenes[[#This Row],[backlog_dias]]&gt;p_dias_backlog_min,tblOrdenes[[#This Row],[backlog_dias]]&lt;=p_dias_backlog_max))</f>
        <v/>
      </c>
      <c r="AB181" s="6" t="inlineStr"/>
      <c r="AC18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1" s="10">
        <f>_xlfn.XLOOKUP(tblOrdenes[[#This Row],[id_operacion]],tblEjecucion[id_operacion],tblEjecucion[precio],0)</f>
        <v/>
      </c>
      <c r="AE181" s="10">
        <f>MAX(0,_xlfn.XLOOKUP(tblOrdenes[[#This Row],[id_operacion]],tblEjecucion[id_operacion],tblEjecucion[costo_plan_total],0)-tblOrdenes[[#This Row],[costo_servicio]])</f>
        <v/>
      </c>
      <c r="AF181" s="10">
        <f>tblOrdenes[[#This Row],[costo_servicio]]+tblOrdenes[[#This Row],[costo_materiales]]</f>
        <v/>
      </c>
      <c r="AG181" s="6" t="inlineStr"/>
      <c r="AH181" s="6" t="inlineStr"/>
      <c r="AI181" s="6" t="inlineStr"/>
      <c r="AJ181" s="3">
        <f>IF(tblOrdenes[[#This Row],[link_checklist]]="","",HYPERLINK(p_ruta_base_checklists&amp;tblOrdenes[[#This Row],[link_checklist]],"abrir"))</f>
        <v/>
      </c>
      <c r="AK181" s="6" t="inlineStr"/>
    </row>
    <row r="182">
      <c r="A182" s="3" t="inlineStr">
        <is>
          <t>OT-000179</t>
        </is>
      </c>
      <c r="B182" s="3" t="inlineStr">
        <is>
          <t>0010</t>
        </is>
      </c>
      <c r="C182" s="3">
        <f>tblOrdenes[[#This Row],[orden]]&amp;IF(tblOrdenes[[#This Row],[operacion]]="","0010",tblOrdenes[[#This Row],[operacion]])</f>
        <v/>
      </c>
      <c r="D182" s="3" t="inlineStr">
        <is>
          <t>Análisis predictivo — EQ-105</t>
        </is>
      </c>
      <c r="E182" s="3" t="inlineStr">
        <is>
          <t>Análisis predictivo en EQ-105</t>
        </is>
      </c>
      <c r="F182" s="3" t="inlineStr">
        <is>
          <t>EQ-105</t>
        </is>
      </c>
      <c r="G182" s="3" t="inlineStr">
        <is>
          <t>CC-110</t>
        </is>
      </c>
      <c r="H182" s="3" t="inlineStr">
        <is>
          <t>PU-MEC</t>
        </is>
      </c>
      <c r="I182" s="3" t="inlineStr">
        <is>
          <t>ACT-04</t>
        </is>
      </c>
      <c r="J182" s="3" t="inlineStr">
        <is>
          <t>TIPO-P2</t>
        </is>
      </c>
      <c r="K182" s="11" t="n">
        <v>46262</v>
      </c>
      <c r="L182" s="3" t="n">
        <v>6</v>
      </c>
      <c r="M182" s="10" t="n">
        <v>150</v>
      </c>
      <c r="N182" s="3">
        <f>_xlfn.XLOOKUP(_xlfn.XLOOKUP(tblOrdenes[[#This Row],[id_operacion]],tblEjecucion[id_operacion],tblEjecucion[estado_sistema],""),tblEstados[estado_sistema],tblEstados[estado_normalizado],"Pendiente")</f>
        <v/>
      </c>
      <c r="O182" s="3">
        <f>IF(tblOrdenes[[#This Row],[fecha_inicio]]="","","S"&amp;IF(_xlfn.ISOWEEKNUM(tblOrdenes[[#This Row],[fecha_inicio]])=53,1,_xlfn.ISOWEEKNUM(tblOrdenes[[#This Row],[fecha_inicio]])))</f>
        <v/>
      </c>
      <c r="P182" s="3">
        <f>IF(tblOrdenes[[#This Row],[fecha_inicio]]="","",YEAR(tblOrdenes[[#This Row],[fecha_inicio]]))</f>
        <v/>
      </c>
      <c r="Q182" s="3">
        <f>IF(tblOrdenes[[#This Row],[fecha_inicio]]="","",MONTH(tblOrdenes[[#This Row],[fecha_inicio]]))</f>
        <v/>
      </c>
      <c r="R182" s="3">
        <f>IF(tblOrdenes[[#This Row],[fecha_inicio]]="","",INDEX(lista_dias,WEEKDAY(tblOrdenes[[#This Row],[fecha_inicio]],2)))</f>
        <v/>
      </c>
      <c r="S182" s="3">
        <f>_xlfn.XLOOKUP(tblOrdenes[[#This Row],[tipo_ot]],tblTiposOT[codigo],tblTiposOT[clasificacion],"sin_clasificar")</f>
        <v/>
      </c>
      <c r="T182" s="3">
        <f>_xlfn.XLOOKUP(tblOrdenes[[#This Row],[centro_costo]],tblCECO[codigo],tblCECO[linea],"(sin catálogo)")</f>
        <v/>
      </c>
      <c r="U182" s="3">
        <f>_xlfn.XLOOKUP(tblOrdenes[[#This Row],[centro_costo]],tblCECO[codigo],tblCECO[area],"(sin catálogo)")</f>
        <v/>
      </c>
      <c r="V182" s="3">
        <f>_xlfn.XLOOKUP(tblOrdenes[[#This Row],[centro_costo]],tblCECO[codigo],tblCECO[coordinador],"(sin catálogo)")</f>
        <v/>
      </c>
      <c r="W182" s="3">
        <f>_xlfn.XLOOKUP(tblOrdenes[[#This Row],[puesto_trabajo]],tblPuestos[codigo],tblPuestos[especialidad],"(sin catálogo)")</f>
        <v/>
      </c>
      <c r="X182" s="3">
        <f>_xlfn.XLOOKUP(tblOrdenes[[#This Row],[cod_actividad]],tblActividades[codigo],tblActividades[descripcion],"(sin catálogo)")</f>
        <v/>
      </c>
      <c r="Y182" s="12">
        <f>IF(tblOrdenes[[#This Row],[fecha_inicio]]="","",TODAY()-tblOrdenes[[#This Row],[fecha_inicio]])</f>
        <v/>
      </c>
      <c r="Z182" s="3">
        <f>IF(tblOrdenes[[#This Row],[backlog_dias]]="","",IF(tblOrdenes[[#This Row],[backlog_dias]]&lt;0,"FUTURO",IF(tblOrdenes[[#This Row],[backlog_dias]]&gt;p_dias_backlog_max,"BACKLOG","MES CORRIENTE")))</f>
        <v/>
      </c>
      <c r="AA182" s="3">
        <f>IF(tblOrdenes[[#This Row],[backlog_dias]]="",FALSE,AND(tblOrdenes[[#This Row],[backlog_dias]]&gt;p_dias_backlog_min,tblOrdenes[[#This Row],[backlog_dias]]&lt;=p_dias_backlog_max))</f>
        <v/>
      </c>
      <c r="AB182" s="6" t="inlineStr"/>
      <c r="AC18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2" s="10">
        <f>_xlfn.XLOOKUP(tblOrdenes[[#This Row],[id_operacion]],tblEjecucion[id_operacion],tblEjecucion[precio],0)</f>
        <v/>
      </c>
      <c r="AE182" s="10">
        <f>MAX(0,_xlfn.XLOOKUP(tblOrdenes[[#This Row],[id_operacion]],tblEjecucion[id_operacion],tblEjecucion[costo_plan_total],0)-tblOrdenes[[#This Row],[costo_servicio]])</f>
        <v/>
      </c>
      <c r="AF182" s="10">
        <f>tblOrdenes[[#This Row],[costo_servicio]]+tblOrdenes[[#This Row],[costo_materiales]]</f>
        <v/>
      </c>
      <c r="AG182" s="6" t="inlineStr"/>
      <c r="AH182" s="6" t="inlineStr"/>
      <c r="AI182" s="6" t="inlineStr"/>
      <c r="AJ182" s="3">
        <f>IF(tblOrdenes[[#This Row],[link_checklist]]="","",HYPERLINK(p_ruta_base_checklists&amp;tblOrdenes[[#This Row],[link_checklist]],"abrir"))</f>
        <v/>
      </c>
      <c r="AK182" s="6" t="inlineStr"/>
    </row>
    <row r="183">
      <c r="A183" s="3" t="inlineStr">
        <is>
          <t>OT-000180</t>
        </is>
      </c>
      <c r="B183" s="3" t="inlineStr">
        <is>
          <t>0010</t>
        </is>
      </c>
      <c r="C183" s="3">
        <f>tblOrdenes[[#This Row],[orden]]&amp;IF(tblOrdenes[[#This Row],[operacion]]="","0010",tblOrdenes[[#This Row],[operacion]])</f>
        <v/>
      </c>
      <c r="D183" s="3" t="inlineStr">
        <is>
          <t>Inspección de rutina — EQ-101</t>
        </is>
      </c>
      <c r="E183" s="3" t="inlineStr">
        <is>
          <t>Inspección de rutina en EQ-101</t>
        </is>
      </c>
      <c r="F183" s="3" t="inlineStr">
        <is>
          <t>EQ-101</t>
        </is>
      </c>
      <c r="G183" s="3" t="inlineStr">
        <is>
          <t>CC-110</t>
        </is>
      </c>
      <c r="H183" s="3" t="inlineStr">
        <is>
          <t>PU-ELE</t>
        </is>
      </c>
      <c r="I183" s="3" t="inlineStr">
        <is>
          <t>ACT-01</t>
        </is>
      </c>
      <c r="J183" s="3" t="inlineStr">
        <is>
          <t>TIPO-P1</t>
        </is>
      </c>
      <c r="K183" s="11" t="n">
        <v>46322</v>
      </c>
      <c r="L183" s="3" t="n">
        <v>6</v>
      </c>
      <c r="M183" s="10" t="n">
        <v>150</v>
      </c>
      <c r="N183" s="3">
        <f>_xlfn.XLOOKUP(_xlfn.XLOOKUP(tblOrdenes[[#This Row],[id_operacion]],tblEjecucion[id_operacion],tblEjecucion[estado_sistema],""),tblEstados[estado_sistema],tblEstados[estado_normalizado],"Pendiente")</f>
        <v/>
      </c>
      <c r="O183" s="3">
        <f>IF(tblOrdenes[[#This Row],[fecha_inicio]]="","","S"&amp;IF(_xlfn.ISOWEEKNUM(tblOrdenes[[#This Row],[fecha_inicio]])=53,1,_xlfn.ISOWEEKNUM(tblOrdenes[[#This Row],[fecha_inicio]])))</f>
        <v/>
      </c>
      <c r="P183" s="3">
        <f>IF(tblOrdenes[[#This Row],[fecha_inicio]]="","",YEAR(tblOrdenes[[#This Row],[fecha_inicio]]))</f>
        <v/>
      </c>
      <c r="Q183" s="3">
        <f>IF(tblOrdenes[[#This Row],[fecha_inicio]]="","",MONTH(tblOrdenes[[#This Row],[fecha_inicio]]))</f>
        <v/>
      </c>
      <c r="R183" s="3">
        <f>IF(tblOrdenes[[#This Row],[fecha_inicio]]="","",INDEX(lista_dias,WEEKDAY(tblOrdenes[[#This Row],[fecha_inicio]],2)))</f>
        <v/>
      </c>
      <c r="S183" s="3">
        <f>_xlfn.XLOOKUP(tblOrdenes[[#This Row],[tipo_ot]],tblTiposOT[codigo],tblTiposOT[clasificacion],"sin_clasificar")</f>
        <v/>
      </c>
      <c r="T183" s="3">
        <f>_xlfn.XLOOKUP(tblOrdenes[[#This Row],[centro_costo]],tblCECO[codigo],tblCECO[linea],"(sin catálogo)")</f>
        <v/>
      </c>
      <c r="U183" s="3">
        <f>_xlfn.XLOOKUP(tblOrdenes[[#This Row],[centro_costo]],tblCECO[codigo],tblCECO[area],"(sin catálogo)")</f>
        <v/>
      </c>
      <c r="V183" s="3">
        <f>_xlfn.XLOOKUP(tblOrdenes[[#This Row],[centro_costo]],tblCECO[codigo],tblCECO[coordinador],"(sin catálogo)")</f>
        <v/>
      </c>
      <c r="W183" s="3">
        <f>_xlfn.XLOOKUP(tblOrdenes[[#This Row],[puesto_trabajo]],tblPuestos[codigo],tblPuestos[especialidad],"(sin catálogo)")</f>
        <v/>
      </c>
      <c r="X183" s="3">
        <f>_xlfn.XLOOKUP(tblOrdenes[[#This Row],[cod_actividad]],tblActividades[codigo],tblActividades[descripcion],"(sin catálogo)")</f>
        <v/>
      </c>
      <c r="Y183" s="12">
        <f>IF(tblOrdenes[[#This Row],[fecha_inicio]]="","",TODAY()-tblOrdenes[[#This Row],[fecha_inicio]])</f>
        <v/>
      </c>
      <c r="Z183" s="3">
        <f>IF(tblOrdenes[[#This Row],[backlog_dias]]="","",IF(tblOrdenes[[#This Row],[backlog_dias]]&lt;0,"FUTURO",IF(tblOrdenes[[#This Row],[backlog_dias]]&gt;p_dias_backlog_max,"BACKLOG","MES CORRIENTE")))</f>
        <v/>
      </c>
      <c r="AA183" s="3">
        <f>IF(tblOrdenes[[#This Row],[backlog_dias]]="",FALSE,AND(tblOrdenes[[#This Row],[backlog_dias]]&gt;p_dias_backlog_min,tblOrdenes[[#This Row],[backlog_dias]]&lt;=p_dias_backlog_max))</f>
        <v/>
      </c>
      <c r="AB183" s="6" t="inlineStr"/>
      <c r="AC18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3" s="10">
        <f>_xlfn.XLOOKUP(tblOrdenes[[#This Row],[id_operacion]],tblEjecucion[id_operacion],tblEjecucion[precio],0)</f>
        <v/>
      </c>
      <c r="AE183" s="10">
        <f>MAX(0,_xlfn.XLOOKUP(tblOrdenes[[#This Row],[id_operacion]],tblEjecucion[id_operacion],tblEjecucion[costo_plan_total],0)-tblOrdenes[[#This Row],[costo_servicio]])</f>
        <v/>
      </c>
      <c r="AF183" s="10">
        <f>tblOrdenes[[#This Row],[costo_servicio]]+tblOrdenes[[#This Row],[costo_materiales]]</f>
        <v/>
      </c>
      <c r="AG183" s="6" t="inlineStr"/>
      <c r="AH183" s="6" t="inlineStr"/>
      <c r="AI183" s="6" t="inlineStr"/>
      <c r="AJ183" s="3">
        <f>IF(tblOrdenes[[#This Row],[link_checklist]]="","",HYPERLINK(p_ruta_base_checklists&amp;tblOrdenes[[#This Row],[link_checklist]],"abrir"))</f>
        <v/>
      </c>
      <c r="AK183" s="6" t="inlineStr"/>
    </row>
    <row r="184">
      <c r="A184" s="3" t="inlineStr">
        <is>
          <t>OT-000181</t>
        </is>
      </c>
      <c r="B184" s="3" t="inlineStr">
        <is>
          <t>0010</t>
        </is>
      </c>
      <c r="C184" s="3">
        <f>tblOrdenes[[#This Row],[orden]]&amp;IF(tblOrdenes[[#This Row],[operacion]]="","0010",tblOrdenes[[#This Row],[operacion]])</f>
        <v/>
      </c>
      <c r="D184" s="3" t="inlineStr">
        <is>
          <t>Lubricación programada — EQ-102</t>
        </is>
      </c>
      <c r="E184" s="3" t="inlineStr">
        <is>
          <t>Lubricación programada en EQ-102</t>
        </is>
      </c>
      <c r="F184" s="3" t="inlineStr">
        <is>
          <t>EQ-102</t>
        </is>
      </c>
      <c r="G184" s="3" t="inlineStr">
        <is>
          <t>CC-110</t>
        </is>
      </c>
      <c r="H184" s="3" t="inlineStr">
        <is>
          <t>PU-ELE</t>
        </is>
      </c>
      <c r="I184" s="3" t="inlineStr">
        <is>
          <t>ACT-02</t>
        </is>
      </c>
      <c r="J184" s="3" t="inlineStr">
        <is>
          <t>TIPO-P2</t>
        </is>
      </c>
      <c r="K184" s="11" t="n">
        <v>46322</v>
      </c>
      <c r="L184" s="3" t="n">
        <v>6</v>
      </c>
      <c r="M184" s="10" t="n">
        <v>150</v>
      </c>
      <c r="N184" s="3">
        <f>_xlfn.XLOOKUP(_xlfn.XLOOKUP(tblOrdenes[[#This Row],[id_operacion]],tblEjecucion[id_operacion],tblEjecucion[estado_sistema],""),tblEstados[estado_sistema],tblEstados[estado_normalizado],"Pendiente")</f>
        <v/>
      </c>
      <c r="O184" s="3">
        <f>IF(tblOrdenes[[#This Row],[fecha_inicio]]="","","S"&amp;IF(_xlfn.ISOWEEKNUM(tblOrdenes[[#This Row],[fecha_inicio]])=53,1,_xlfn.ISOWEEKNUM(tblOrdenes[[#This Row],[fecha_inicio]])))</f>
        <v/>
      </c>
      <c r="P184" s="3">
        <f>IF(tblOrdenes[[#This Row],[fecha_inicio]]="","",YEAR(tblOrdenes[[#This Row],[fecha_inicio]]))</f>
        <v/>
      </c>
      <c r="Q184" s="3">
        <f>IF(tblOrdenes[[#This Row],[fecha_inicio]]="","",MONTH(tblOrdenes[[#This Row],[fecha_inicio]]))</f>
        <v/>
      </c>
      <c r="R184" s="3">
        <f>IF(tblOrdenes[[#This Row],[fecha_inicio]]="","",INDEX(lista_dias,WEEKDAY(tblOrdenes[[#This Row],[fecha_inicio]],2)))</f>
        <v/>
      </c>
      <c r="S184" s="3">
        <f>_xlfn.XLOOKUP(tblOrdenes[[#This Row],[tipo_ot]],tblTiposOT[codigo],tblTiposOT[clasificacion],"sin_clasificar")</f>
        <v/>
      </c>
      <c r="T184" s="3">
        <f>_xlfn.XLOOKUP(tblOrdenes[[#This Row],[centro_costo]],tblCECO[codigo],tblCECO[linea],"(sin catálogo)")</f>
        <v/>
      </c>
      <c r="U184" s="3">
        <f>_xlfn.XLOOKUP(tblOrdenes[[#This Row],[centro_costo]],tblCECO[codigo],tblCECO[area],"(sin catálogo)")</f>
        <v/>
      </c>
      <c r="V184" s="3">
        <f>_xlfn.XLOOKUP(tblOrdenes[[#This Row],[centro_costo]],tblCECO[codigo],tblCECO[coordinador],"(sin catálogo)")</f>
        <v/>
      </c>
      <c r="W184" s="3">
        <f>_xlfn.XLOOKUP(tblOrdenes[[#This Row],[puesto_trabajo]],tblPuestos[codigo],tblPuestos[especialidad],"(sin catálogo)")</f>
        <v/>
      </c>
      <c r="X184" s="3">
        <f>_xlfn.XLOOKUP(tblOrdenes[[#This Row],[cod_actividad]],tblActividades[codigo],tblActividades[descripcion],"(sin catálogo)")</f>
        <v/>
      </c>
      <c r="Y184" s="12">
        <f>IF(tblOrdenes[[#This Row],[fecha_inicio]]="","",TODAY()-tblOrdenes[[#This Row],[fecha_inicio]])</f>
        <v/>
      </c>
      <c r="Z184" s="3">
        <f>IF(tblOrdenes[[#This Row],[backlog_dias]]="","",IF(tblOrdenes[[#This Row],[backlog_dias]]&lt;0,"FUTURO",IF(tblOrdenes[[#This Row],[backlog_dias]]&gt;p_dias_backlog_max,"BACKLOG","MES CORRIENTE")))</f>
        <v/>
      </c>
      <c r="AA184" s="3">
        <f>IF(tblOrdenes[[#This Row],[backlog_dias]]="",FALSE,AND(tblOrdenes[[#This Row],[backlog_dias]]&gt;p_dias_backlog_min,tblOrdenes[[#This Row],[backlog_dias]]&lt;=p_dias_backlog_max))</f>
        <v/>
      </c>
      <c r="AB184" s="6" t="inlineStr"/>
      <c r="AC18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4" s="10">
        <f>_xlfn.XLOOKUP(tblOrdenes[[#This Row],[id_operacion]],tblEjecucion[id_operacion],tblEjecucion[precio],0)</f>
        <v/>
      </c>
      <c r="AE184" s="10">
        <f>MAX(0,_xlfn.XLOOKUP(tblOrdenes[[#This Row],[id_operacion]],tblEjecucion[id_operacion],tblEjecucion[costo_plan_total],0)-tblOrdenes[[#This Row],[costo_servicio]])</f>
        <v/>
      </c>
      <c r="AF184" s="10">
        <f>tblOrdenes[[#This Row],[costo_servicio]]+tblOrdenes[[#This Row],[costo_materiales]]</f>
        <v/>
      </c>
      <c r="AG184" s="6" t="inlineStr"/>
      <c r="AH184" s="6" t="inlineStr"/>
      <c r="AI184" s="6" t="inlineStr"/>
      <c r="AJ184" s="3">
        <f>IF(tblOrdenes[[#This Row],[link_checklist]]="","",HYPERLINK(p_ruta_base_checklists&amp;tblOrdenes[[#This Row],[link_checklist]],"abrir"))</f>
        <v/>
      </c>
      <c r="AK184" s="6" t="inlineStr"/>
    </row>
    <row r="185">
      <c r="A185" s="3" t="inlineStr">
        <is>
          <t>OT-000182</t>
        </is>
      </c>
      <c r="B185" s="3" t="inlineStr">
        <is>
          <t>0010</t>
        </is>
      </c>
      <c r="C185" s="3">
        <f>tblOrdenes[[#This Row],[orden]]&amp;IF(tblOrdenes[[#This Row],[operacion]]="","0010",tblOrdenes[[#This Row],[operacion]])</f>
        <v/>
      </c>
      <c r="D185" s="3" t="inlineStr">
        <is>
          <t>Análisis predictivo — EQ-103</t>
        </is>
      </c>
      <c r="E185" s="3" t="inlineStr">
        <is>
          <t>Análisis predictivo en EQ-103</t>
        </is>
      </c>
      <c r="F185" s="3" t="inlineStr">
        <is>
          <t>EQ-103</t>
        </is>
      </c>
      <c r="G185" s="3" t="inlineStr">
        <is>
          <t>CC-110</t>
        </is>
      </c>
      <c r="H185" s="3" t="inlineStr">
        <is>
          <t>PU-AUT</t>
        </is>
      </c>
      <c r="I185" s="3" t="inlineStr">
        <is>
          <t>ACT-04</t>
        </is>
      </c>
      <c r="J185" s="3" t="inlineStr">
        <is>
          <t>TIPO-P1</t>
        </is>
      </c>
      <c r="K185" s="11" t="n">
        <v>46385</v>
      </c>
      <c r="L185" s="3" t="n">
        <v>4</v>
      </c>
      <c r="M185" s="10" t="n">
        <v>100</v>
      </c>
      <c r="N185" s="3">
        <f>_xlfn.XLOOKUP(_xlfn.XLOOKUP(tblOrdenes[[#This Row],[id_operacion]],tblEjecucion[id_operacion],tblEjecucion[estado_sistema],""),tblEstados[estado_sistema],tblEstados[estado_normalizado],"Pendiente")</f>
        <v/>
      </c>
      <c r="O185" s="3">
        <f>IF(tblOrdenes[[#This Row],[fecha_inicio]]="","","S"&amp;IF(_xlfn.ISOWEEKNUM(tblOrdenes[[#This Row],[fecha_inicio]])=53,1,_xlfn.ISOWEEKNUM(tblOrdenes[[#This Row],[fecha_inicio]])))</f>
        <v/>
      </c>
      <c r="P185" s="3">
        <f>IF(tblOrdenes[[#This Row],[fecha_inicio]]="","",YEAR(tblOrdenes[[#This Row],[fecha_inicio]]))</f>
        <v/>
      </c>
      <c r="Q185" s="3">
        <f>IF(tblOrdenes[[#This Row],[fecha_inicio]]="","",MONTH(tblOrdenes[[#This Row],[fecha_inicio]]))</f>
        <v/>
      </c>
      <c r="R185" s="3">
        <f>IF(tblOrdenes[[#This Row],[fecha_inicio]]="","",INDEX(lista_dias,WEEKDAY(tblOrdenes[[#This Row],[fecha_inicio]],2)))</f>
        <v/>
      </c>
      <c r="S185" s="3">
        <f>_xlfn.XLOOKUP(tblOrdenes[[#This Row],[tipo_ot]],tblTiposOT[codigo],tblTiposOT[clasificacion],"sin_clasificar")</f>
        <v/>
      </c>
      <c r="T185" s="3">
        <f>_xlfn.XLOOKUP(tblOrdenes[[#This Row],[centro_costo]],tblCECO[codigo],tblCECO[linea],"(sin catálogo)")</f>
        <v/>
      </c>
      <c r="U185" s="3">
        <f>_xlfn.XLOOKUP(tblOrdenes[[#This Row],[centro_costo]],tblCECO[codigo],tblCECO[area],"(sin catálogo)")</f>
        <v/>
      </c>
      <c r="V185" s="3">
        <f>_xlfn.XLOOKUP(tblOrdenes[[#This Row],[centro_costo]],tblCECO[codigo],tblCECO[coordinador],"(sin catálogo)")</f>
        <v/>
      </c>
      <c r="W185" s="3">
        <f>_xlfn.XLOOKUP(tblOrdenes[[#This Row],[puesto_trabajo]],tblPuestos[codigo],tblPuestos[especialidad],"(sin catálogo)")</f>
        <v/>
      </c>
      <c r="X185" s="3">
        <f>_xlfn.XLOOKUP(tblOrdenes[[#This Row],[cod_actividad]],tblActividades[codigo],tblActividades[descripcion],"(sin catálogo)")</f>
        <v/>
      </c>
      <c r="Y185" s="12">
        <f>IF(tblOrdenes[[#This Row],[fecha_inicio]]="","",TODAY()-tblOrdenes[[#This Row],[fecha_inicio]])</f>
        <v/>
      </c>
      <c r="Z185" s="3">
        <f>IF(tblOrdenes[[#This Row],[backlog_dias]]="","",IF(tblOrdenes[[#This Row],[backlog_dias]]&lt;0,"FUTURO",IF(tblOrdenes[[#This Row],[backlog_dias]]&gt;p_dias_backlog_max,"BACKLOG","MES CORRIENTE")))</f>
        <v/>
      </c>
      <c r="AA185" s="3">
        <f>IF(tblOrdenes[[#This Row],[backlog_dias]]="",FALSE,AND(tblOrdenes[[#This Row],[backlog_dias]]&gt;p_dias_backlog_min,tblOrdenes[[#This Row],[backlog_dias]]&lt;=p_dias_backlog_max))</f>
        <v/>
      </c>
      <c r="AB185" s="6" t="inlineStr"/>
      <c r="AC18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5" s="10">
        <f>_xlfn.XLOOKUP(tblOrdenes[[#This Row],[id_operacion]],tblEjecucion[id_operacion],tblEjecucion[precio],0)</f>
        <v/>
      </c>
      <c r="AE185" s="10">
        <f>MAX(0,_xlfn.XLOOKUP(tblOrdenes[[#This Row],[id_operacion]],tblEjecucion[id_operacion],tblEjecucion[costo_plan_total],0)-tblOrdenes[[#This Row],[costo_servicio]])</f>
        <v/>
      </c>
      <c r="AF185" s="10">
        <f>tblOrdenes[[#This Row],[costo_servicio]]+tblOrdenes[[#This Row],[costo_materiales]]</f>
        <v/>
      </c>
      <c r="AG185" s="6" t="inlineStr"/>
      <c r="AH185" s="6" t="inlineStr"/>
      <c r="AI185" s="6" t="inlineStr"/>
      <c r="AJ185" s="3">
        <f>IF(tblOrdenes[[#This Row],[link_checklist]]="","",HYPERLINK(p_ruta_base_checklists&amp;tblOrdenes[[#This Row],[link_checklist]],"abrir"))</f>
        <v/>
      </c>
      <c r="AK185" s="6" t="inlineStr"/>
    </row>
    <row r="186">
      <c r="A186" s="3" t="inlineStr">
        <is>
          <t>OT-000900</t>
        </is>
      </c>
      <c r="B186" s="3" t="inlineStr">
        <is>
          <t>0010</t>
        </is>
      </c>
      <c r="C186" s="3">
        <f>tblOrdenes[[#This Row],[orden]]&amp;IF(tblOrdenes[[#This Row],[operacion]]="","0010",tblOrdenes[[#This Row],[operacion]])</f>
        <v/>
      </c>
      <c r="D186" s="3" t="inlineStr">
        <is>
          <t>Reparación de falla — EQ-104</t>
        </is>
      </c>
      <c r="E186" s="3" t="inlineStr">
        <is>
          <t>Reparación de falla en EQ-104</t>
        </is>
      </c>
      <c r="F186" s="3" t="inlineStr">
        <is>
          <t>EQ-104</t>
        </is>
      </c>
      <c r="G186" s="3" t="inlineStr">
        <is>
          <t>CC-110</t>
        </is>
      </c>
      <c r="H186" s="3" t="inlineStr">
        <is>
          <t>PU-MEC</t>
        </is>
      </c>
      <c r="I186" s="3" t="inlineStr">
        <is>
          <t>ACT-03</t>
        </is>
      </c>
      <c r="J186" s="3" t="inlineStr">
        <is>
          <t>TIPO-C2</t>
        </is>
      </c>
      <c r="K186" s="11" t="n">
        <v>46172</v>
      </c>
      <c r="L186" s="3" t="n">
        <v>6</v>
      </c>
      <c r="M186" s="10" t="n">
        <v>240</v>
      </c>
      <c r="N186" s="3">
        <f>_xlfn.XLOOKUP(_xlfn.XLOOKUP(tblOrdenes[[#This Row],[id_operacion]],tblEjecucion[id_operacion],tblEjecucion[estado_sistema],""),tblEstados[estado_sistema],tblEstados[estado_normalizado],"Pendiente")</f>
        <v/>
      </c>
      <c r="O186" s="3">
        <f>IF(tblOrdenes[[#This Row],[fecha_inicio]]="","","S"&amp;IF(_xlfn.ISOWEEKNUM(tblOrdenes[[#This Row],[fecha_inicio]])=53,1,_xlfn.ISOWEEKNUM(tblOrdenes[[#This Row],[fecha_inicio]])))</f>
        <v/>
      </c>
      <c r="P186" s="3">
        <f>IF(tblOrdenes[[#This Row],[fecha_inicio]]="","",YEAR(tblOrdenes[[#This Row],[fecha_inicio]]))</f>
        <v/>
      </c>
      <c r="Q186" s="3">
        <f>IF(tblOrdenes[[#This Row],[fecha_inicio]]="","",MONTH(tblOrdenes[[#This Row],[fecha_inicio]]))</f>
        <v/>
      </c>
      <c r="R186" s="3">
        <f>IF(tblOrdenes[[#This Row],[fecha_inicio]]="","",INDEX(lista_dias,WEEKDAY(tblOrdenes[[#This Row],[fecha_inicio]],2)))</f>
        <v/>
      </c>
      <c r="S186" s="3">
        <f>_xlfn.XLOOKUP(tblOrdenes[[#This Row],[tipo_ot]],tblTiposOT[codigo],tblTiposOT[clasificacion],"sin_clasificar")</f>
        <v/>
      </c>
      <c r="T186" s="3">
        <f>_xlfn.XLOOKUP(tblOrdenes[[#This Row],[centro_costo]],tblCECO[codigo],tblCECO[linea],"(sin catálogo)")</f>
        <v/>
      </c>
      <c r="U186" s="3">
        <f>_xlfn.XLOOKUP(tblOrdenes[[#This Row],[centro_costo]],tblCECO[codigo],tblCECO[area],"(sin catálogo)")</f>
        <v/>
      </c>
      <c r="V186" s="3">
        <f>_xlfn.XLOOKUP(tblOrdenes[[#This Row],[centro_costo]],tblCECO[codigo],tblCECO[coordinador],"(sin catálogo)")</f>
        <v/>
      </c>
      <c r="W186" s="3">
        <f>_xlfn.XLOOKUP(tblOrdenes[[#This Row],[puesto_trabajo]],tblPuestos[codigo],tblPuestos[especialidad],"(sin catálogo)")</f>
        <v/>
      </c>
      <c r="X186" s="3">
        <f>_xlfn.XLOOKUP(tblOrdenes[[#This Row],[cod_actividad]],tblActividades[codigo],tblActividades[descripcion],"(sin catálogo)")</f>
        <v/>
      </c>
      <c r="Y186" s="12">
        <f>IF(tblOrdenes[[#This Row],[fecha_inicio]]="","",TODAY()-tblOrdenes[[#This Row],[fecha_inicio]])</f>
        <v/>
      </c>
      <c r="Z186" s="3">
        <f>IF(tblOrdenes[[#This Row],[backlog_dias]]="","",IF(tblOrdenes[[#This Row],[backlog_dias]]&lt;0,"FUTURO",IF(tblOrdenes[[#This Row],[backlog_dias]]&gt;p_dias_backlog_max,"BACKLOG","MES CORRIENTE")))</f>
        <v/>
      </c>
      <c r="AA186" s="3">
        <f>IF(tblOrdenes[[#This Row],[backlog_dias]]="",FALSE,AND(tblOrdenes[[#This Row],[backlog_dias]]&gt;p_dias_backlog_min,tblOrdenes[[#This Row],[backlog_dias]]&lt;=p_dias_backlog_max))</f>
        <v/>
      </c>
      <c r="AB186" s="6" t="inlineStr"/>
      <c r="AC18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6" s="10">
        <f>_xlfn.XLOOKUP(tblOrdenes[[#This Row],[id_operacion]],tblEjecucion[id_operacion],tblEjecucion[precio],0)</f>
        <v/>
      </c>
      <c r="AE186" s="10">
        <f>MAX(0,_xlfn.XLOOKUP(tblOrdenes[[#This Row],[id_operacion]],tblEjecucion[id_operacion],tblEjecucion[costo_plan_total],0)-tblOrdenes[[#This Row],[costo_servicio]])</f>
        <v/>
      </c>
      <c r="AF186" s="10">
        <f>tblOrdenes[[#This Row],[costo_servicio]]+tblOrdenes[[#This Row],[costo_materiales]]</f>
        <v/>
      </c>
      <c r="AG186" s="6" t="inlineStr"/>
      <c r="AH186" s="6" t="inlineStr"/>
      <c r="AI186" s="6" t="inlineStr"/>
      <c r="AJ186" s="3">
        <f>IF(tblOrdenes[[#This Row],[link_checklist]]="","",HYPERLINK(p_ruta_base_checklists&amp;tblOrdenes[[#This Row],[link_checklist]],"abrir"))</f>
        <v/>
      </c>
      <c r="AK186" s="6" t="inlineStr"/>
    </row>
    <row r="187">
      <c r="A187" s="3" t="inlineStr">
        <is>
          <t>OT-000900</t>
        </is>
      </c>
      <c r="B187" s="3" t="inlineStr">
        <is>
          <t>0010</t>
        </is>
      </c>
      <c r="C187" s="3">
        <f>tblOrdenes[[#This Row],[orden]]&amp;IF(tblOrdenes[[#This Row],[operacion]]="","0010",tblOrdenes[[#This Row],[operacion]])</f>
        <v/>
      </c>
      <c r="D187" s="3" t="inlineStr">
        <is>
          <t>Reparación de falla — EQ-104</t>
        </is>
      </c>
      <c r="E187" s="3" t="inlineStr">
        <is>
          <t>Reparación de falla en EQ-104</t>
        </is>
      </c>
      <c r="F187" s="3" t="inlineStr">
        <is>
          <t>EQ-104</t>
        </is>
      </c>
      <c r="G187" s="3" t="inlineStr">
        <is>
          <t>CC-110</t>
        </is>
      </c>
      <c r="H187" s="3" t="inlineStr">
        <is>
          <t>PU-MEC</t>
        </is>
      </c>
      <c r="I187" s="3" t="inlineStr">
        <is>
          <t>ACT-03</t>
        </is>
      </c>
      <c r="J187" s="3" t="inlineStr">
        <is>
          <t>TIPO-C2</t>
        </is>
      </c>
      <c r="K187" s="11" t="n">
        <v>46172</v>
      </c>
      <c r="L187" s="3" t="n">
        <v>6</v>
      </c>
      <c r="M187" s="10" t="n">
        <v>240</v>
      </c>
      <c r="N187" s="3">
        <f>_xlfn.XLOOKUP(_xlfn.XLOOKUP(tblOrdenes[[#This Row],[id_operacion]],tblEjecucion[id_operacion],tblEjecucion[estado_sistema],""),tblEstados[estado_sistema],tblEstados[estado_normalizado],"Pendiente")</f>
        <v/>
      </c>
      <c r="O187" s="3">
        <f>IF(tblOrdenes[[#This Row],[fecha_inicio]]="","","S"&amp;IF(_xlfn.ISOWEEKNUM(tblOrdenes[[#This Row],[fecha_inicio]])=53,1,_xlfn.ISOWEEKNUM(tblOrdenes[[#This Row],[fecha_inicio]])))</f>
        <v/>
      </c>
      <c r="P187" s="3">
        <f>IF(tblOrdenes[[#This Row],[fecha_inicio]]="","",YEAR(tblOrdenes[[#This Row],[fecha_inicio]]))</f>
        <v/>
      </c>
      <c r="Q187" s="3">
        <f>IF(tblOrdenes[[#This Row],[fecha_inicio]]="","",MONTH(tblOrdenes[[#This Row],[fecha_inicio]]))</f>
        <v/>
      </c>
      <c r="R187" s="3">
        <f>IF(tblOrdenes[[#This Row],[fecha_inicio]]="","",INDEX(lista_dias,WEEKDAY(tblOrdenes[[#This Row],[fecha_inicio]],2)))</f>
        <v/>
      </c>
      <c r="S187" s="3">
        <f>_xlfn.XLOOKUP(tblOrdenes[[#This Row],[tipo_ot]],tblTiposOT[codigo],tblTiposOT[clasificacion],"sin_clasificar")</f>
        <v/>
      </c>
      <c r="T187" s="3">
        <f>_xlfn.XLOOKUP(tblOrdenes[[#This Row],[centro_costo]],tblCECO[codigo],tblCECO[linea],"(sin catálogo)")</f>
        <v/>
      </c>
      <c r="U187" s="3">
        <f>_xlfn.XLOOKUP(tblOrdenes[[#This Row],[centro_costo]],tblCECO[codigo],tblCECO[area],"(sin catálogo)")</f>
        <v/>
      </c>
      <c r="V187" s="3">
        <f>_xlfn.XLOOKUP(tblOrdenes[[#This Row],[centro_costo]],tblCECO[codigo],tblCECO[coordinador],"(sin catálogo)")</f>
        <v/>
      </c>
      <c r="W187" s="3">
        <f>_xlfn.XLOOKUP(tblOrdenes[[#This Row],[puesto_trabajo]],tblPuestos[codigo],tblPuestos[especialidad],"(sin catálogo)")</f>
        <v/>
      </c>
      <c r="X187" s="3">
        <f>_xlfn.XLOOKUP(tblOrdenes[[#This Row],[cod_actividad]],tblActividades[codigo],tblActividades[descripcion],"(sin catálogo)")</f>
        <v/>
      </c>
      <c r="Y187" s="12">
        <f>IF(tblOrdenes[[#This Row],[fecha_inicio]]="","",TODAY()-tblOrdenes[[#This Row],[fecha_inicio]])</f>
        <v/>
      </c>
      <c r="Z187" s="3">
        <f>IF(tblOrdenes[[#This Row],[backlog_dias]]="","",IF(tblOrdenes[[#This Row],[backlog_dias]]&lt;0,"FUTURO",IF(tblOrdenes[[#This Row],[backlog_dias]]&gt;p_dias_backlog_max,"BACKLOG","MES CORRIENTE")))</f>
        <v/>
      </c>
      <c r="AA187" s="3">
        <f>IF(tblOrdenes[[#This Row],[backlog_dias]]="",FALSE,AND(tblOrdenes[[#This Row],[backlog_dias]]&gt;p_dias_backlog_min,tblOrdenes[[#This Row],[backlog_dias]]&lt;=p_dias_backlog_max))</f>
        <v/>
      </c>
      <c r="AB187" s="6" t="inlineStr"/>
      <c r="AC18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7" s="10">
        <f>_xlfn.XLOOKUP(tblOrdenes[[#This Row],[id_operacion]],tblEjecucion[id_operacion],tblEjecucion[precio],0)</f>
        <v/>
      </c>
      <c r="AE187" s="10">
        <f>MAX(0,_xlfn.XLOOKUP(tblOrdenes[[#This Row],[id_operacion]],tblEjecucion[id_operacion],tblEjecucion[costo_plan_total],0)-tblOrdenes[[#This Row],[costo_servicio]])</f>
        <v/>
      </c>
      <c r="AF187" s="10">
        <f>tblOrdenes[[#This Row],[costo_servicio]]+tblOrdenes[[#This Row],[costo_materiales]]</f>
        <v/>
      </c>
      <c r="AG187" s="6" t="inlineStr"/>
      <c r="AH187" s="6" t="inlineStr"/>
      <c r="AI187" s="6" t="inlineStr"/>
      <c r="AJ187" s="3">
        <f>IF(tblOrdenes[[#This Row],[link_checklist]]="","",HYPERLINK(p_ruta_base_checklists&amp;tblOrdenes[[#This Row],[link_checklist]],"abrir"))</f>
        <v/>
      </c>
      <c r="AK187" s="6" t="inlineStr"/>
    </row>
    <row r="188">
      <c r="A188" s="3" t="inlineStr">
        <is>
          <t>OT-000901</t>
        </is>
      </c>
      <c r="B188" s="3" t="inlineStr">
        <is>
          <t>0010</t>
        </is>
      </c>
      <c r="C188" s="3">
        <f>tblOrdenes[[#This Row],[orden]]&amp;IF(tblOrdenes[[#This Row],[operacion]]="","0010",tblOrdenes[[#This Row],[operacion]])</f>
        <v/>
      </c>
      <c r="D188" s="3" t="inlineStr">
        <is>
          <t>Reparación de falla — EQ-101</t>
        </is>
      </c>
      <c r="E188" s="3" t="inlineStr">
        <is>
          <t>Reparación de falla en EQ-101</t>
        </is>
      </c>
      <c r="F188" s="3" t="inlineStr">
        <is>
          <t>EQ-101</t>
        </is>
      </c>
      <c r="G188" s="3" t="inlineStr">
        <is>
          <t>CC-110</t>
        </is>
      </c>
      <c r="H188" s="3" t="inlineStr">
        <is>
          <t>PU-ELE</t>
        </is>
      </c>
      <c r="I188" s="3" t="inlineStr">
        <is>
          <t>ACT-03</t>
        </is>
      </c>
      <c r="J188" s="3" t="inlineStr">
        <is>
          <t>TIPO-C2</t>
        </is>
      </c>
      <c r="K188" s="11" t="n"/>
      <c r="L188" s="3" t="n">
        <v>4</v>
      </c>
      <c r="M188" s="10" t="n">
        <v>160</v>
      </c>
      <c r="N188" s="3">
        <f>_xlfn.XLOOKUP(_xlfn.XLOOKUP(tblOrdenes[[#This Row],[id_operacion]],tblEjecucion[id_operacion],tblEjecucion[estado_sistema],""),tblEstados[estado_sistema],tblEstados[estado_normalizado],"Pendiente")</f>
        <v/>
      </c>
      <c r="O188" s="3">
        <f>IF(tblOrdenes[[#This Row],[fecha_inicio]]="","","S"&amp;IF(_xlfn.ISOWEEKNUM(tblOrdenes[[#This Row],[fecha_inicio]])=53,1,_xlfn.ISOWEEKNUM(tblOrdenes[[#This Row],[fecha_inicio]])))</f>
        <v/>
      </c>
      <c r="P188" s="3">
        <f>IF(tblOrdenes[[#This Row],[fecha_inicio]]="","",YEAR(tblOrdenes[[#This Row],[fecha_inicio]]))</f>
        <v/>
      </c>
      <c r="Q188" s="3">
        <f>IF(tblOrdenes[[#This Row],[fecha_inicio]]="","",MONTH(tblOrdenes[[#This Row],[fecha_inicio]]))</f>
        <v/>
      </c>
      <c r="R188" s="3">
        <f>IF(tblOrdenes[[#This Row],[fecha_inicio]]="","",INDEX(lista_dias,WEEKDAY(tblOrdenes[[#This Row],[fecha_inicio]],2)))</f>
        <v/>
      </c>
      <c r="S188" s="3">
        <f>_xlfn.XLOOKUP(tblOrdenes[[#This Row],[tipo_ot]],tblTiposOT[codigo],tblTiposOT[clasificacion],"sin_clasificar")</f>
        <v/>
      </c>
      <c r="T188" s="3">
        <f>_xlfn.XLOOKUP(tblOrdenes[[#This Row],[centro_costo]],tblCECO[codigo],tblCECO[linea],"(sin catálogo)")</f>
        <v/>
      </c>
      <c r="U188" s="3">
        <f>_xlfn.XLOOKUP(tblOrdenes[[#This Row],[centro_costo]],tblCECO[codigo],tblCECO[area],"(sin catálogo)")</f>
        <v/>
      </c>
      <c r="V188" s="3">
        <f>_xlfn.XLOOKUP(tblOrdenes[[#This Row],[centro_costo]],tblCECO[codigo],tblCECO[coordinador],"(sin catálogo)")</f>
        <v/>
      </c>
      <c r="W188" s="3">
        <f>_xlfn.XLOOKUP(tblOrdenes[[#This Row],[puesto_trabajo]],tblPuestos[codigo],tblPuestos[especialidad],"(sin catálogo)")</f>
        <v/>
      </c>
      <c r="X188" s="3">
        <f>_xlfn.XLOOKUP(tblOrdenes[[#This Row],[cod_actividad]],tblActividades[codigo],tblActividades[descripcion],"(sin catálogo)")</f>
        <v/>
      </c>
      <c r="Y188" s="12">
        <f>IF(tblOrdenes[[#This Row],[fecha_inicio]]="","",TODAY()-tblOrdenes[[#This Row],[fecha_inicio]])</f>
        <v/>
      </c>
      <c r="Z188" s="3">
        <f>IF(tblOrdenes[[#This Row],[backlog_dias]]="","",IF(tblOrdenes[[#This Row],[backlog_dias]]&lt;0,"FUTURO",IF(tblOrdenes[[#This Row],[backlog_dias]]&gt;p_dias_backlog_max,"BACKLOG","MES CORRIENTE")))</f>
        <v/>
      </c>
      <c r="AA188" s="3">
        <f>IF(tblOrdenes[[#This Row],[backlog_dias]]="",FALSE,AND(tblOrdenes[[#This Row],[backlog_dias]]&gt;p_dias_backlog_min,tblOrdenes[[#This Row],[backlog_dias]]&lt;=p_dias_backlog_max))</f>
        <v/>
      </c>
      <c r="AB188" s="6" t="inlineStr"/>
      <c r="AC18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8" s="10">
        <f>_xlfn.XLOOKUP(tblOrdenes[[#This Row],[id_operacion]],tblEjecucion[id_operacion],tblEjecucion[precio],0)</f>
        <v/>
      </c>
      <c r="AE188" s="10">
        <f>MAX(0,_xlfn.XLOOKUP(tblOrdenes[[#This Row],[id_operacion]],tblEjecucion[id_operacion],tblEjecucion[costo_plan_total],0)-tblOrdenes[[#This Row],[costo_servicio]])</f>
        <v/>
      </c>
      <c r="AF188" s="10">
        <f>tblOrdenes[[#This Row],[costo_servicio]]+tblOrdenes[[#This Row],[costo_materiales]]</f>
        <v/>
      </c>
      <c r="AG188" s="6" t="inlineStr"/>
      <c r="AH188" s="6" t="inlineStr"/>
      <c r="AI188" s="6" t="inlineStr"/>
      <c r="AJ188" s="3">
        <f>IF(tblOrdenes[[#This Row],[link_checklist]]="","",HYPERLINK(p_ruta_base_checklists&amp;tblOrdenes[[#This Row],[link_checklist]],"abrir"))</f>
        <v/>
      </c>
      <c r="AK188" s="6" t="inlineStr"/>
    </row>
    <row r="189">
      <c r="A189" s="3" t="inlineStr">
        <is>
          <t>OT-000902</t>
        </is>
      </c>
      <c r="B189" s="3" t="inlineStr">
        <is>
          <t>0010</t>
        </is>
      </c>
      <c r="C189" s="3">
        <f>tblOrdenes[[#This Row],[orden]]&amp;IF(tblOrdenes[[#This Row],[operacion]]="","0010",tblOrdenes[[#This Row],[operacion]])</f>
        <v/>
      </c>
      <c r="D189" s="3" t="inlineStr">
        <is>
          <t>Inspección de rutina — EQ-102</t>
        </is>
      </c>
      <c r="E189" s="3" t="inlineStr">
        <is>
          <t>Inspección de rutina en EQ-102</t>
        </is>
      </c>
      <c r="F189" s="3" t="inlineStr">
        <is>
          <t>EQ-102</t>
        </is>
      </c>
      <c r="G189" s="3" t="inlineStr">
        <is>
          <t>CC-110</t>
        </is>
      </c>
      <c r="H189" s="3" t="inlineStr">
        <is>
          <t>PU-MEC</t>
        </is>
      </c>
      <c r="I189" s="3" t="inlineStr">
        <is>
          <t>ACT-01</t>
        </is>
      </c>
      <c r="J189" s="3" t="inlineStr">
        <is>
          <t>TIPO-P1</t>
        </is>
      </c>
      <c r="K189" s="11" t="n"/>
      <c r="L189" s="3" t="n">
        <v>6</v>
      </c>
      <c r="M189" s="10" t="n">
        <v>150</v>
      </c>
      <c r="N189" s="3">
        <f>_xlfn.XLOOKUP(_xlfn.XLOOKUP(tblOrdenes[[#This Row],[id_operacion]],tblEjecucion[id_operacion],tblEjecucion[estado_sistema],""),tblEstados[estado_sistema],tblEstados[estado_normalizado],"Pendiente")</f>
        <v/>
      </c>
      <c r="O189" s="3">
        <f>IF(tblOrdenes[[#This Row],[fecha_inicio]]="","","S"&amp;IF(_xlfn.ISOWEEKNUM(tblOrdenes[[#This Row],[fecha_inicio]])=53,1,_xlfn.ISOWEEKNUM(tblOrdenes[[#This Row],[fecha_inicio]])))</f>
        <v/>
      </c>
      <c r="P189" s="3">
        <f>IF(tblOrdenes[[#This Row],[fecha_inicio]]="","",YEAR(tblOrdenes[[#This Row],[fecha_inicio]]))</f>
        <v/>
      </c>
      <c r="Q189" s="3">
        <f>IF(tblOrdenes[[#This Row],[fecha_inicio]]="","",MONTH(tblOrdenes[[#This Row],[fecha_inicio]]))</f>
        <v/>
      </c>
      <c r="R189" s="3">
        <f>IF(tblOrdenes[[#This Row],[fecha_inicio]]="","",INDEX(lista_dias,WEEKDAY(tblOrdenes[[#This Row],[fecha_inicio]],2)))</f>
        <v/>
      </c>
      <c r="S189" s="3">
        <f>_xlfn.XLOOKUP(tblOrdenes[[#This Row],[tipo_ot]],tblTiposOT[codigo],tblTiposOT[clasificacion],"sin_clasificar")</f>
        <v/>
      </c>
      <c r="T189" s="3">
        <f>_xlfn.XLOOKUP(tblOrdenes[[#This Row],[centro_costo]],tblCECO[codigo],tblCECO[linea],"(sin catálogo)")</f>
        <v/>
      </c>
      <c r="U189" s="3">
        <f>_xlfn.XLOOKUP(tblOrdenes[[#This Row],[centro_costo]],tblCECO[codigo],tblCECO[area],"(sin catálogo)")</f>
        <v/>
      </c>
      <c r="V189" s="3">
        <f>_xlfn.XLOOKUP(tblOrdenes[[#This Row],[centro_costo]],tblCECO[codigo],tblCECO[coordinador],"(sin catálogo)")</f>
        <v/>
      </c>
      <c r="W189" s="3">
        <f>_xlfn.XLOOKUP(tblOrdenes[[#This Row],[puesto_trabajo]],tblPuestos[codigo],tblPuestos[especialidad],"(sin catálogo)")</f>
        <v/>
      </c>
      <c r="X189" s="3">
        <f>_xlfn.XLOOKUP(tblOrdenes[[#This Row],[cod_actividad]],tblActividades[codigo],tblActividades[descripcion],"(sin catálogo)")</f>
        <v/>
      </c>
      <c r="Y189" s="12">
        <f>IF(tblOrdenes[[#This Row],[fecha_inicio]]="","",TODAY()-tblOrdenes[[#This Row],[fecha_inicio]])</f>
        <v/>
      </c>
      <c r="Z189" s="3">
        <f>IF(tblOrdenes[[#This Row],[backlog_dias]]="","",IF(tblOrdenes[[#This Row],[backlog_dias]]&lt;0,"FUTURO",IF(tblOrdenes[[#This Row],[backlog_dias]]&gt;p_dias_backlog_max,"BACKLOG","MES CORRIENTE")))</f>
        <v/>
      </c>
      <c r="AA189" s="3">
        <f>IF(tblOrdenes[[#This Row],[backlog_dias]]="",FALSE,AND(tblOrdenes[[#This Row],[backlog_dias]]&gt;p_dias_backlog_min,tblOrdenes[[#This Row],[backlog_dias]]&lt;=p_dias_backlog_max))</f>
        <v/>
      </c>
      <c r="AB189" s="6" t="inlineStr"/>
      <c r="AC18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9" s="10">
        <f>_xlfn.XLOOKUP(tblOrdenes[[#This Row],[id_operacion]],tblEjecucion[id_operacion],tblEjecucion[precio],0)</f>
        <v/>
      </c>
      <c r="AE189" s="10">
        <f>MAX(0,_xlfn.XLOOKUP(tblOrdenes[[#This Row],[id_operacion]],tblEjecucion[id_operacion],tblEjecucion[costo_plan_total],0)-tblOrdenes[[#This Row],[costo_servicio]])</f>
        <v/>
      </c>
      <c r="AF189" s="10">
        <f>tblOrdenes[[#This Row],[costo_servicio]]+tblOrdenes[[#This Row],[costo_materiales]]</f>
        <v/>
      </c>
      <c r="AG189" s="6" t="inlineStr"/>
      <c r="AH189" s="6" t="inlineStr"/>
      <c r="AI189" s="6" t="inlineStr"/>
      <c r="AJ189" s="3">
        <f>IF(tblOrdenes[[#This Row],[link_checklist]]="","",HYPERLINK(p_ruta_base_checklists&amp;tblOrdenes[[#This Row],[link_checklist]],"abrir"))</f>
        <v/>
      </c>
      <c r="AK189" s="6" t="inlineStr"/>
    </row>
    <row r="190">
      <c r="A190" s="3" t="inlineStr">
        <is>
          <t>OT-000903</t>
        </is>
      </c>
      <c r="B190" s="3" t="inlineStr">
        <is>
          <t>0010</t>
        </is>
      </c>
      <c r="C190" s="3">
        <f>tblOrdenes[[#This Row],[orden]]&amp;IF(tblOrdenes[[#This Row],[operacion]]="","0010",tblOrdenes[[#This Row],[operacion]])</f>
        <v/>
      </c>
      <c r="D190" s="3" t="inlineStr">
        <is>
          <t>Reparación de falla — EQ-103</t>
        </is>
      </c>
      <c r="E190" s="3" t="inlineStr">
        <is>
          <t>Reparación de falla en EQ-103</t>
        </is>
      </c>
      <c r="F190" s="3" t="inlineStr">
        <is>
          <t>EQ-103</t>
        </is>
      </c>
      <c r="G190" s="3" t="inlineStr">
        <is>
          <t>CC-110</t>
        </is>
      </c>
      <c r="H190" s="3" t="inlineStr">
        <is>
          <t>PU-AUT</t>
        </is>
      </c>
      <c r="I190" s="3" t="inlineStr">
        <is>
          <t>ACT-03</t>
        </is>
      </c>
      <c r="J190" s="3" t="inlineStr">
        <is>
          <t>TIPO-C2</t>
        </is>
      </c>
      <c r="K190" s="11" t="n">
        <v>46167</v>
      </c>
      <c r="L190" s="3" t="n"/>
      <c r="M190" s="10" t="n">
        <v>0</v>
      </c>
      <c r="N190" s="3">
        <f>_xlfn.XLOOKUP(_xlfn.XLOOKUP(tblOrdenes[[#This Row],[id_operacion]],tblEjecucion[id_operacion],tblEjecucion[estado_sistema],""),tblEstados[estado_sistema],tblEstados[estado_normalizado],"Pendiente")</f>
        <v/>
      </c>
      <c r="O190" s="3">
        <f>IF(tblOrdenes[[#This Row],[fecha_inicio]]="","","S"&amp;IF(_xlfn.ISOWEEKNUM(tblOrdenes[[#This Row],[fecha_inicio]])=53,1,_xlfn.ISOWEEKNUM(tblOrdenes[[#This Row],[fecha_inicio]])))</f>
        <v/>
      </c>
      <c r="P190" s="3">
        <f>IF(tblOrdenes[[#This Row],[fecha_inicio]]="","",YEAR(tblOrdenes[[#This Row],[fecha_inicio]]))</f>
        <v/>
      </c>
      <c r="Q190" s="3">
        <f>IF(tblOrdenes[[#This Row],[fecha_inicio]]="","",MONTH(tblOrdenes[[#This Row],[fecha_inicio]]))</f>
        <v/>
      </c>
      <c r="R190" s="3">
        <f>IF(tblOrdenes[[#This Row],[fecha_inicio]]="","",INDEX(lista_dias,WEEKDAY(tblOrdenes[[#This Row],[fecha_inicio]],2)))</f>
        <v/>
      </c>
      <c r="S190" s="3">
        <f>_xlfn.XLOOKUP(tblOrdenes[[#This Row],[tipo_ot]],tblTiposOT[codigo],tblTiposOT[clasificacion],"sin_clasificar")</f>
        <v/>
      </c>
      <c r="T190" s="3">
        <f>_xlfn.XLOOKUP(tblOrdenes[[#This Row],[centro_costo]],tblCECO[codigo],tblCECO[linea],"(sin catálogo)")</f>
        <v/>
      </c>
      <c r="U190" s="3">
        <f>_xlfn.XLOOKUP(tblOrdenes[[#This Row],[centro_costo]],tblCECO[codigo],tblCECO[area],"(sin catálogo)")</f>
        <v/>
      </c>
      <c r="V190" s="3">
        <f>_xlfn.XLOOKUP(tblOrdenes[[#This Row],[centro_costo]],tblCECO[codigo],tblCECO[coordinador],"(sin catálogo)")</f>
        <v/>
      </c>
      <c r="W190" s="3">
        <f>_xlfn.XLOOKUP(tblOrdenes[[#This Row],[puesto_trabajo]],tblPuestos[codigo],tblPuestos[especialidad],"(sin catálogo)")</f>
        <v/>
      </c>
      <c r="X190" s="3">
        <f>_xlfn.XLOOKUP(tblOrdenes[[#This Row],[cod_actividad]],tblActividades[codigo],tblActividades[descripcion],"(sin catálogo)")</f>
        <v/>
      </c>
      <c r="Y190" s="12">
        <f>IF(tblOrdenes[[#This Row],[fecha_inicio]]="","",TODAY()-tblOrdenes[[#This Row],[fecha_inicio]])</f>
        <v/>
      </c>
      <c r="Z190" s="3">
        <f>IF(tblOrdenes[[#This Row],[backlog_dias]]="","",IF(tblOrdenes[[#This Row],[backlog_dias]]&lt;0,"FUTURO",IF(tblOrdenes[[#This Row],[backlog_dias]]&gt;p_dias_backlog_max,"BACKLOG","MES CORRIENTE")))</f>
        <v/>
      </c>
      <c r="AA190" s="3">
        <f>IF(tblOrdenes[[#This Row],[backlog_dias]]="",FALSE,AND(tblOrdenes[[#This Row],[backlog_dias]]&gt;p_dias_backlog_min,tblOrdenes[[#This Row],[backlog_dias]]&lt;=p_dias_backlog_max))</f>
        <v/>
      </c>
      <c r="AB190" s="6" t="inlineStr"/>
      <c r="AC19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0" s="10">
        <f>_xlfn.XLOOKUP(tblOrdenes[[#This Row],[id_operacion]],tblEjecucion[id_operacion],tblEjecucion[precio],0)</f>
        <v/>
      </c>
      <c r="AE190" s="10">
        <f>MAX(0,_xlfn.XLOOKUP(tblOrdenes[[#This Row],[id_operacion]],tblEjecucion[id_operacion],tblEjecucion[costo_plan_total],0)-tblOrdenes[[#This Row],[costo_servicio]])</f>
        <v/>
      </c>
      <c r="AF190" s="10">
        <f>tblOrdenes[[#This Row],[costo_servicio]]+tblOrdenes[[#This Row],[costo_materiales]]</f>
        <v/>
      </c>
      <c r="AG190" s="6" t="inlineStr"/>
      <c r="AH190" s="6" t="inlineStr"/>
      <c r="AI190" s="6" t="inlineStr"/>
      <c r="AJ190" s="3">
        <f>IF(tblOrdenes[[#This Row],[link_checklist]]="","",HYPERLINK(p_ruta_base_checklists&amp;tblOrdenes[[#This Row],[link_checklist]],"abrir"))</f>
        <v/>
      </c>
      <c r="AK190" s="6" t="inlineStr"/>
    </row>
    <row r="191">
      <c r="A191" s="3" t="inlineStr">
        <is>
          <t>OT-000904</t>
        </is>
      </c>
      <c r="B191" s="3" t="inlineStr">
        <is>
          <t>0010</t>
        </is>
      </c>
      <c r="C191" s="3">
        <f>tblOrdenes[[#This Row],[orden]]&amp;IF(tblOrdenes[[#This Row],[operacion]]="","0010",tblOrdenes[[#This Row],[operacion]])</f>
        <v/>
      </c>
      <c r="D191" s="3" t="inlineStr">
        <is>
          <t>Reparación de falla — EQ-104</t>
        </is>
      </c>
      <c r="E191" s="3" t="inlineStr">
        <is>
          <t>Reparación de falla en EQ-104</t>
        </is>
      </c>
      <c r="F191" s="3" t="inlineStr">
        <is>
          <t>EQ-104</t>
        </is>
      </c>
      <c r="G191" s="3" t="inlineStr">
        <is>
          <t>CC-110</t>
        </is>
      </c>
      <c r="H191" s="3" t="inlineStr">
        <is>
          <t>PU-OP</t>
        </is>
      </c>
      <c r="I191" s="3" t="inlineStr">
        <is>
          <t>ACT-03</t>
        </is>
      </c>
      <c r="J191" s="3" t="inlineStr">
        <is>
          <t>TIPO-C1</t>
        </is>
      </c>
      <c r="K191" s="11" t="n">
        <v>46167</v>
      </c>
      <c r="L191" s="3" t="n"/>
      <c r="M191" s="10" t="n">
        <v>0</v>
      </c>
      <c r="N191" s="3">
        <f>_xlfn.XLOOKUP(_xlfn.XLOOKUP(tblOrdenes[[#This Row],[id_operacion]],tblEjecucion[id_operacion],tblEjecucion[estado_sistema],""),tblEstados[estado_sistema],tblEstados[estado_normalizado],"Pendiente")</f>
        <v/>
      </c>
      <c r="O191" s="3">
        <f>IF(tblOrdenes[[#This Row],[fecha_inicio]]="","","S"&amp;IF(_xlfn.ISOWEEKNUM(tblOrdenes[[#This Row],[fecha_inicio]])=53,1,_xlfn.ISOWEEKNUM(tblOrdenes[[#This Row],[fecha_inicio]])))</f>
        <v/>
      </c>
      <c r="P191" s="3">
        <f>IF(tblOrdenes[[#This Row],[fecha_inicio]]="","",YEAR(tblOrdenes[[#This Row],[fecha_inicio]]))</f>
        <v/>
      </c>
      <c r="Q191" s="3">
        <f>IF(tblOrdenes[[#This Row],[fecha_inicio]]="","",MONTH(tblOrdenes[[#This Row],[fecha_inicio]]))</f>
        <v/>
      </c>
      <c r="R191" s="3">
        <f>IF(tblOrdenes[[#This Row],[fecha_inicio]]="","",INDEX(lista_dias,WEEKDAY(tblOrdenes[[#This Row],[fecha_inicio]],2)))</f>
        <v/>
      </c>
      <c r="S191" s="3">
        <f>_xlfn.XLOOKUP(tblOrdenes[[#This Row],[tipo_ot]],tblTiposOT[codigo],tblTiposOT[clasificacion],"sin_clasificar")</f>
        <v/>
      </c>
      <c r="T191" s="3">
        <f>_xlfn.XLOOKUP(tblOrdenes[[#This Row],[centro_costo]],tblCECO[codigo],tblCECO[linea],"(sin catálogo)")</f>
        <v/>
      </c>
      <c r="U191" s="3">
        <f>_xlfn.XLOOKUP(tblOrdenes[[#This Row],[centro_costo]],tblCECO[codigo],tblCECO[area],"(sin catálogo)")</f>
        <v/>
      </c>
      <c r="V191" s="3">
        <f>_xlfn.XLOOKUP(tblOrdenes[[#This Row],[centro_costo]],tblCECO[codigo],tblCECO[coordinador],"(sin catálogo)")</f>
        <v/>
      </c>
      <c r="W191" s="3">
        <f>_xlfn.XLOOKUP(tblOrdenes[[#This Row],[puesto_trabajo]],tblPuestos[codigo],tblPuestos[especialidad],"(sin catálogo)")</f>
        <v/>
      </c>
      <c r="X191" s="3">
        <f>_xlfn.XLOOKUP(tblOrdenes[[#This Row],[cod_actividad]],tblActividades[codigo],tblActividades[descripcion],"(sin catálogo)")</f>
        <v/>
      </c>
      <c r="Y191" s="12">
        <f>IF(tblOrdenes[[#This Row],[fecha_inicio]]="","",TODAY()-tblOrdenes[[#This Row],[fecha_inicio]])</f>
        <v/>
      </c>
      <c r="Z191" s="3">
        <f>IF(tblOrdenes[[#This Row],[backlog_dias]]="","",IF(tblOrdenes[[#This Row],[backlog_dias]]&lt;0,"FUTURO",IF(tblOrdenes[[#This Row],[backlog_dias]]&gt;p_dias_backlog_max,"BACKLOG","MES CORRIENTE")))</f>
        <v/>
      </c>
      <c r="AA191" s="3">
        <f>IF(tblOrdenes[[#This Row],[backlog_dias]]="",FALSE,AND(tblOrdenes[[#This Row],[backlog_dias]]&gt;p_dias_backlog_min,tblOrdenes[[#This Row],[backlog_dias]]&lt;=p_dias_backlog_max))</f>
        <v/>
      </c>
      <c r="AB191" s="6" t="inlineStr"/>
      <c r="AC19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1" s="10">
        <f>_xlfn.XLOOKUP(tblOrdenes[[#This Row],[id_operacion]],tblEjecucion[id_operacion],tblEjecucion[precio],0)</f>
        <v/>
      </c>
      <c r="AE191" s="10">
        <f>MAX(0,_xlfn.XLOOKUP(tblOrdenes[[#This Row],[id_operacion]],tblEjecucion[id_operacion],tblEjecucion[costo_plan_total],0)-tblOrdenes[[#This Row],[costo_servicio]])</f>
        <v/>
      </c>
      <c r="AF191" s="10">
        <f>tblOrdenes[[#This Row],[costo_servicio]]+tblOrdenes[[#This Row],[costo_materiales]]</f>
        <v/>
      </c>
      <c r="AG191" s="6" t="inlineStr"/>
      <c r="AH191" s="6" t="inlineStr"/>
      <c r="AI191" s="6" t="inlineStr"/>
      <c r="AJ191" s="3">
        <f>IF(tblOrdenes[[#This Row],[link_checklist]]="","",HYPERLINK(p_ruta_base_checklists&amp;tblOrdenes[[#This Row],[link_checklist]],"abrir"))</f>
        <v/>
      </c>
      <c r="AK191" s="6" t="inlineStr"/>
    </row>
    <row r="192">
      <c r="A192" s="3" t="inlineStr">
        <is>
          <t>OT-000905</t>
        </is>
      </c>
      <c r="B192" s="3" t="inlineStr">
        <is>
          <t>0010</t>
        </is>
      </c>
      <c r="C192" s="3">
        <f>tblOrdenes[[#This Row],[orden]]&amp;IF(tblOrdenes[[#This Row],[operacion]]="","0010",tblOrdenes[[#This Row],[operacion]])</f>
        <v/>
      </c>
      <c r="D192" s="3" t="inlineStr">
        <is>
          <t>Reparación de falla — EQ-105</t>
        </is>
      </c>
      <c r="E192" s="3" t="inlineStr">
        <is>
          <t>Reparación de falla en EQ-105</t>
        </is>
      </c>
      <c r="F192" s="3" t="inlineStr">
        <is>
          <t>EQ-105</t>
        </is>
      </c>
      <c r="G192" s="3" t="inlineStr">
        <is>
          <t>CC-110</t>
        </is>
      </c>
      <c r="H192" s="3" t="inlineStr">
        <is>
          <t>PU-MEC</t>
        </is>
      </c>
      <c r="I192" s="3" t="inlineStr">
        <is>
          <t>ACT-03</t>
        </is>
      </c>
      <c r="J192" s="3" t="inlineStr">
        <is>
          <t>TIPO-X9</t>
        </is>
      </c>
      <c r="K192" s="11" t="n">
        <v>46162</v>
      </c>
      <c r="L192" s="3" t="n">
        <v>4</v>
      </c>
      <c r="M192" s="10" t="n">
        <v>160</v>
      </c>
      <c r="N192" s="3">
        <f>_xlfn.XLOOKUP(_xlfn.XLOOKUP(tblOrdenes[[#This Row],[id_operacion]],tblEjecucion[id_operacion],tblEjecucion[estado_sistema],""),tblEstados[estado_sistema],tblEstados[estado_normalizado],"Pendiente")</f>
        <v/>
      </c>
      <c r="O192" s="3">
        <f>IF(tblOrdenes[[#This Row],[fecha_inicio]]="","","S"&amp;IF(_xlfn.ISOWEEKNUM(tblOrdenes[[#This Row],[fecha_inicio]])=53,1,_xlfn.ISOWEEKNUM(tblOrdenes[[#This Row],[fecha_inicio]])))</f>
        <v/>
      </c>
      <c r="P192" s="3">
        <f>IF(tblOrdenes[[#This Row],[fecha_inicio]]="","",YEAR(tblOrdenes[[#This Row],[fecha_inicio]]))</f>
        <v/>
      </c>
      <c r="Q192" s="3">
        <f>IF(tblOrdenes[[#This Row],[fecha_inicio]]="","",MONTH(tblOrdenes[[#This Row],[fecha_inicio]]))</f>
        <v/>
      </c>
      <c r="R192" s="3">
        <f>IF(tblOrdenes[[#This Row],[fecha_inicio]]="","",INDEX(lista_dias,WEEKDAY(tblOrdenes[[#This Row],[fecha_inicio]],2)))</f>
        <v/>
      </c>
      <c r="S192" s="3">
        <f>_xlfn.XLOOKUP(tblOrdenes[[#This Row],[tipo_ot]],tblTiposOT[codigo],tblTiposOT[clasificacion],"sin_clasificar")</f>
        <v/>
      </c>
      <c r="T192" s="3">
        <f>_xlfn.XLOOKUP(tblOrdenes[[#This Row],[centro_costo]],tblCECO[codigo],tblCECO[linea],"(sin catálogo)")</f>
        <v/>
      </c>
      <c r="U192" s="3">
        <f>_xlfn.XLOOKUP(tblOrdenes[[#This Row],[centro_costo]],tblCECO[codigo],tblCECO[area],"(sin catálogo)")</f>
        <v/>
      </c>
      <c r="V192" s="3">
        <f>_xlfn.XLOOKUP(tblOrdenes[[#This Row],[centro_costo]],tblCECO[codigo],tblCECO[coordinador],"(sin catálogo)")</f>
        <v/>
      </c>
      <c r="W192" s="3">
        <f>_xlfn.XLOOKUP(tblOrdenes[[#This Row],[puesto_trabajo]],tblPuestos[codigo],tblPuestos[especialidad],"(sin catálogo)")</f>
        <v/>
      </c>
      <c r="X192" s="3">
        <f>_xlfn.XLOOKUP(tblOrdenes[[#This Row],[cod_actividad]],tblActividades[codigo],tblActividades[descripcion],"(sin catálogo)")</f>
        <v/>
      </c>
      <c r="Y192" s="12">
        <f>IF(tblOrdenes[[#This Row],[fecha_inicio]]="","",TODAY()-tblOrdenes[[#This Row],[fecha_inicio]])</f>
        <v/>
      </c>
      <c r="Z192" s="3">
        <f>IF(tblOrdenes[[#This Row],[backlog_dias]]="","",IF(tblOrdenes[[#This Row],[backlog_dias]]&lt;0,"FUTURO",IF(tblOrdenes[[#This Row],[backlog_dias]]&gt;p_dias_backlog_max,"BACKLOG","MES CORRIENTE")))</f>
        <v/>
      </c>
      <c r="AA192" s="3">
        <f>IF(tblOrdenes[[#This Row],[backlog_dias]]="",FALSE,AND(tblOrdenes[[#This Row],[backlog_dias]]&gt;p_dias_backlog_min,tblOrdenes[[#This Row],[backlog_dias]]&lt;=p_dias_backlog_max))</f>
        <v/>
      </c>
      <c r="AB192" s="6" t="inlineStr"/>
      <c r="AC19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2" s="10">
        <f>_xlfn.XLOOKUP(tblOrdenes[[#This Row],[id_operacion]],tblEjecucion[id_operacion],tblEjecucion[precio],0)</f>
        <v/>
      </c>
      <c r="AE192" s="10">
        <f>MAX(0,_xlfn.XLOOKUP(tblOrdenes[[#This Row],[id_operacion]],tblEjecucion[id_operacion],tblEjecucion[costo_plan_total],0)-tblOrdenes[[#This Row],[costo_servicio]])</f>
        <v/>
      </c>
      <c r="AF192" s="10">
        <f>tblOrdenes[[#This Row],[costo_servicio]]+tblOrdenes[[#This Row],[costo_materiales]]</f>
        <v/>
      </c>
      <c r="AG192" s="6" t="inlineStr"/>
      <c r="AH192" s="6" t="inlineStr"/>
      <c r="AI192" s="6" t="inlineStr"/>
      <c r="AJ192" s="3">
        <f>IF(tblOrdenes[[#This Row],[link_checklist]]="","",HYPERLINK(p_ruta_base_checklists&amp;tblOrdenes[[#This Row],[link_checklist]],"abrir"))</f>
        <v/>
      </c>
      <c r="AK192" s="6" t="inlineStr"/>
    </row>
    <row r="193">
      <c r="A193" s="3" t="inlineStr">
        <is>
          <t>OT-000906</t>
        </is>
      </c>
      <c r="B193" s="3" t="inlineStr">
        <is>
          <t>0010</t>
        </is>
      </c>
      <c r="C193" s="3">
        <f>tblOrdenes[[#This Row],[orden]]&amp;IF(tblOrdenes[[#This Row],[operacion]]="","0010",tblOrdenes[[#This Row],[operacion]])</f>
        <v/>
      </c>
      <c r="D193" s="3" t="inlineStr">
        <is>
          <t>Reparación de falla — EQ-101</t>
        </is>
      </c>
      <c r="E193" s="3" t="inlineStr">
        <is>
          <t>Reparación de falla en EQ-101</t>
        </is>
      </c>
      <c r="F193" s="3" t="inlineStr">
        <is>
          <t>EQ-101</t>
        </is>
      </c>
      <c r="G193" s="3" t="inlineStr">
        <is>
          <t>CC-110</t>
        </is>
      </c>
      <c r="H193" s="3" t="inlineStr">
        <is>
          <t>PU-ELE</t>
        </is>
      </c>
      <c r="I193" s="3" t="inlineStr">
        <is>
          <t>ACT-03</t>
        </is>
      </c>
      <c r="J193" s="3" t="inlineStr">
        <is>
          <t>TIPO-X9</t>
        </is>
      </c>
      <c r="K193" s="11" t="n">
        <v>46162</v>
      </c>
      <c r="L193" s="3" t="n">
        <v>4</v>
      </c>
      <c r="M193" s="10" t="n">
        <v>160</v>
      </c>
      <c r="N193" s="3">
        <f>_xlfn.XLOOKUP(_xlfn.XLOOKUP(tblOrdenes[[#This Row],[id_operacion]],tblEjecucion[id_operacion],tblEjecucion[estado_sistema],""),tblEstados[estado_sistema],tblEstados[estado_normalizado],"Pendiente")</f>
        <v/>
      </c>
      <c r="O193" s="3">
        <f>IF(tblOrdenes[[#This Row],[fecha_inicio]]="","","S"&amp;IF(_xlfn.ISOWEEKNUM(tblOrdenes[[#This Row],[fecha_inicio]])=53,1,_xlfn.ISOWEEKNUM(tblOrdenes[[#This Row],[fecha_inicio]])))</f>
        <v/>
      </c>
      <c r="P193" s="3">
        <f>IF(tblOrdenes[[#This Row],[fecha_inicio]]="","",YEAR(tblOrdenes[[#This Row],[fecha_inicio]]))</f>
        <v/>
      </c>
      <c r="Q193" s="3">
        <f>IF(tblOrdenes[[#This Row],[fecha_inicio]]="","",MONTH(tblOrdenes[[#This Row],[fecha_inicio]]))</f>
        <v/>
      </c>
      <c r="R193" s="3">
        <f>IF(tblOrdenes[[#This Row],[fecha_inicio]]="","",INDEX(lista_dias,WEEKDAY(tblOrdenes[[#This Row],[fecha_inicio]],2)))</f>
        <v/>
      </c>
      <c r="S193" s="3">
        <f>_xlfn.XLOOKUP(tblOrdenes[[#This Row],[tipo_ot]],tblTiposOT[codigo],tblTiposOT[clasificacion],"sin_clasificar")</f>
        <v/>
      </c>
      <c r="T193" s="3">
        <f>_xlfn.XLOOKUP(tblOrdenes[[#This Row],[centro_costo]],tblCECO[codigo],tblCECO[linea],"(sin catálogo)")</f>
        <v/>
      </c>
      <c r="U193" s="3">
        <f>_xlfn.XLOOKUP(tblOrdenes[[#This Row],[centro_costo]],tblCECO[codigo],tblCECO[area],"(sin catálogo)")</f>
        <v/>
      </c>
      <c r="V193" s="3">
        <f>_xlfn.XLOOKUP(tblOrdenes[[#This Row],[centro_costo]],tblCECO[codigo],tblCECO[coordinador],"(sin catálogo)")</f>
        <v/>
      </c>
      <c r="W193" s="3">
        <f>_xlfn.XLOOKUP(tblOrdenes[[#This Row],[puesto_trabajo]],tblPuestos[codigo],tblPuestos[especialidad],"(sin catálogo)")</f>
        <v/>
      </c>
      <c r="X193" s="3">
        <f>_xlfn.XLOOKUP(tblOrdenes[[#This Row],[cod_actividad]],tblActividades[codigo],tblActividades[descripcion],"(sin catálogo)")</f>
        <v/>
      </c>
      <c r="Y193" s="12">
        <f>IF(tblOrdenes[[#This Row],[fecha_inicio]]="","",TODAY()-tblOrdenes[[#This Row],[fecha_inicio]])</f>
        <v/>
      </c>
      <c r="Z193" s="3">
        <f>IF(tblOrdenes[[#This Row],[backlog_dias]]="","",IF(tblOrdenes[[#This Row],[backlog_dias]]&lt;0,"FUTURO",IF(tblOrdenes[[#This Row],[backlog_dias]]&gt;p_dias_backlog_max,"BACKLOG","MES CORRIENTE")))</f>
        <v/>
      </c>
      <c r="AA193" s="3">
        <f>IF(tblOrdenes[[#This Row],[backlog_dias]]="",FALSE,AND(tblOrdenes[[#This Row],[backlog_dias]]&gt;p_dias_backlog_min,tblOrdenes[[#This Row],[backlog_dias]]&lt;=p_dias_backlog_max))</f>
        <v/>
      </c>
      <c r="AB193" s="6" t="inlineStr"/>
      <c r="AC19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3" s="10">
        <f>_xlfn.XLOOKUP(tblOrdenes[[#This Row],[id_operacion]],tblEjecucion[id_operacion],tblEjecucion[precio],0)</f>
        <v/>
      </c>
      <c r="AE193" s="10">
        <f>MAX(0,_xlfn.XLOOKUP(tblOrdenes[[#This Row],[id_operacion]],tblEjecucion[id_operacion],tblEjecucion[costo_plan_total],0)-tblOrdenes[[#This Row],[costo_servicio]])</f>
        <v/>
      </c>
      <c r="AF193" s="10">
        <f>tblOrdenes[[#This Row],[costo_servicio]]+tblOrdenes[[#This Row],[costo_materiales]]</f>
        <v/>
      </c>
      <c r="AG193" s="6" t="inlineStr"/>
      <c r="AH193" s="6" t="inlineStr"/>
      <c r="AI193" s="6" t="inlineStr"/>
      <c r="AJ193" s="3">
        <f>IF(tblOrdenes[[#This Row],[link_checklist]]="","",HYPERLINK(p_ruta_base_checklists&amp;tblOrdenes[[#This Row],[link_checklist]],"abrir"))</f>
        <v/>
      </c>
      <c r="AK193" s="6" t="inlineStr"/>
    </row>
    <row r="194">
      <c r="A194" s="3" t="inlineStr">
        <is>
          <t>OT-000907</t>
        </is>
      </c>
      <c r="B194" s="3" t="inlineStr">
        <is>
          <t>0010</t>
        </is>
      </c>
      <c r="C194" s="3">
        <f>tblOrdenes[[#This Row],[orden]]&amp;IF(tblOrdenes[[#This Row],[operacion]]="","0010",tblOrdenes[[#This Row],[operacion]])</f>
        <v/>
      </c>
      <c r="D194" s="3" t="inlineStr">
        <is>
          <t>Reparación de falla — EQ-102</t>
        </is>
      </c>
      <c r="E194" s="3" t="inlineStr">
        <is>
          <t>Reparación de falla en EQ-102</t>
        </is>
      </c>
      <c r="F194" s="3" t="inlineStr">
        <is>
          <t>EQ-102</t>
        </is>
      </c>
      <c r="G194" s="3" t="inlineStr">
        <is>
          <t>CC-999</t>
        </is>
      </c>
      <c r="H194" s="3" t="inlineStr">
        <is>
          <t>PU-MEC</t>
        </is>
      </c>
      <c r="I194" s="3" t="inlineStr">
        <is>
          <t>ACT-03</t>
        </is>
      </c>
      <c r="J194" s="3" t="inlineStr">
        <is>
          <t>TIPO-C2</t>
        </is>
      </c>
      <c r="K194" s="11" t="n">
        <v>46160</v>
      </c>
      <c r="L194" s="3" t="n">
        <v>4</v>
      </c>
      <c r="M194" s="10" t="n">
        <v>160</v>
      </c>
      <c r="N194" s="3">
        <f>_xlfn.XLOOKUP(_xlfn.XLOOKUP(tblOrdenes[[#This Row],[id_operacion]],tblEjecucion[id_operacion],tblEjecucion[estado_sistema],""),tblEstados[estado_sistema],tblEstados[estado_normalizado],"Pendiente")</f>
        <v/>
      </c>
      <c r="O194" s="3">
        <f>IF(tblOrdenes[[#This Row],[fecha_inicio]]="","","S"&amp;IF(_xlfn.ISOWEEKNUM(tblOrdenes[[#This Row],[fecha_inicio]])=53,1,_xlfn.ISOWEEKNUM(tblOrdenes[[#This Row],[fecha_inicio]])))</f>
        <v/>
      </c>
      <c r="P194" s="3">
        <f>IF(tblOrdenes[[#This Row],[fecha_inicio]]="","",YEAR(tblOrdenes[[#This Row],[fecha_inicio]]))</f>
        <v/>
      </c>
      <c r="Q194" s="3">
        <f>IF(tblOrdenes[[#This Row],[fecha_inicio]]="","",MONTH(tblOrdenes[[#This Row],[fecha_inicio]]))</f>
        <v/>
      </c>
      <c r="R194" s="3">
        <f>IF(tblOrdenes[[#This Row],[fecha_inicio]]="","",INDEX(lista_dias,WEEKDAY(tblOrdenes[[#This Row],[fecha_inicio]],2)))</f>
        <v/>
      </c>
      <c r="S194" s="3">
        <f>_xlfn.XLOOKUP(tblOrdenes[[#This Row],[tipo_ot]],tblTiposOT[codigo],tblTiposOT[clasificacion],"sin_clasificar")</f>
        <v/>
      </c>
      <c r="T194" s="3">
        <f>_xlfn.XLOOKUP(tblOrdenes[[#This Row],[centro_costo]],tblCECO[codigo],tblCECO[linea],"(sin catálogo)")</f>
        <v/>
      </c>
      <c r="U194" s="3">
        <f>_xlfn.XLOOKUP(tblOrdenes[[#This Row],[centro_costo]],tblCECO[codigo],tblCECO[area],"(sin catálogo)")</f>
        <v/>
      </c>
      <c r="V194" s="3">
        <f>_xlfn.XLOOKUP(tblOrdenes[[#This Row],[centro_costo]],tblCECO[codigo],tblCECO[coordinador],"(sin catálogo)")</f>
        <v/>
      </c>
      <c r="W194" s="3">
        <f>_xlfn.XLOOKUP(tblOrdenes[[#This Row],[puesto_trabajo]],tblPuestos[codigo],tblPuestos[especialidad],"(sin catálogo)")</f>
        <v/>
      </c>
      <c r="X194" s="3">
        <f>_xlfn.XLOOKUP(tblOrdenes[[#This Row],[cod_actividad]],tblActividades[codigo],tblActividades[descripcion],"(sin catálogo)")</f>
        <v/>
      </c>
      <c r="Y194" s="12">
        <f>IF(tblOrdenes[[#This Row],[fecha_inicio]]="","",TODAY()-tblOrdenes[[#This Row],[fecha_inicio]])</f>
        <v/>
      </c>
      <c r="Z194" s="3">
        <f>IF(tblOrdenes[[#This Row],[backlog_dias]]="","",IF(tblOrdenes[[#This Row],[backlog_dias]]&lt;0,"FUTURO",IF(tblOrdenes[[#This Row],[backlog_dias]]&gt;p_dias_backlog_max,"BACKLOG","MES CORRIENTE")))</f>
        <v/>
      </c>
      <c r="AA194" s="3">
        <f>IF(tblOrdenes[[#This Row],[backlog_dias]]="",FALSE,AND(tblOrdenes[[#This Row],[backlog_dias]]&gt;p_dias_backlog_min,tblOrdenes[[#This Row],[backlog_dias]]&lt;=p_dias_backlog_max))</f>
        <v/>
      </c>
      <c r="AB194" s="6" t="inlineStr"/>
      <c r="AC19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4" s="10">
        <f>_xlfn.XLOOKUP(tblOrdenes[[#This Row],[id_operacion]],tblEjecucion[id_operacion],tblEjecucion[precio],0)</f>
        <v/>
      </c>
      <c r="AE194" s="10">
        <f>MAX(0,_xlfn.XLOOKUP(tblOrdenes[[#This Row],[id_operacion]],tblEjecucion[id_operacion],tblEjecucion[costo_plan_total],0)-tblOrdenes[[#This Row],[costo_servicio]])</f>
        <v/>
      </c>
      <c r="AF194" s="10">
        <f>tblOrdenes[[#This Row],[costo_servicio]]+tblOrdenes[[#This Row],[costo_materiales]]</f>
        <v/>
      </c>
      <c r="AG194" s="6" t="inlineStr"/>
      <c r="AH194" s="6" t="inlineStr"/>
      <c r="AI194" s="6" t="inlineStr"/>
      <c r="AJ194" s="3">
        <f>IF(tblOrdenes[[#This Row],[link_checklist]]="","",HYPERLINK(p_ruta_base_checklists&amp;tblOrdenes[[#This Row],[link_checklist]],"abrir"))</f>
        <v/>
      </c>
      <c r="AK194" s="6" t="inlineStr"/>
    </row>
    <row r="195">
      <c r="A195" s="3" t="inlineStr">
        <is>
          <t>OT-000908</t>
        </is>
      </c>
      <c r="B195" s="3" t="inlineStr">
        <is>
          <t>0010</t>
        </is>
      </c>
      <c r="C195" s="3">
        <f>tblOrdenes[[#This Row],[orden]]&amp;IF(tblOrdenes[[#This Row],[operacion]]="","0010",tblOrdenes[[#This Row],[operacion]])</f>
        <v/>
      </c>
      <c r="D195" s="3" t="inlineStr">
        <is>
          <t>Reparación de falla — EQ-103</t>
        </is>
      </c>
      <c r="E195" s="3" t="inlineStr">
        <is>
          <t>Reparación de falla en EQ-103</t>
        </is>
      </c>
      <c r="F195" s="3" t="inlineStr">
        <is>
          <t>EQ-103</t>
        </is>
      </c>
      <c r="G195" s="3" t="inlineStr">
        <is>
          <t>CC-110</t>
        </is>
      </c>
      <c r="H195" s="3" t="inlineStr">
        <is>
          <t>PU-XXX</t>
        </is>
      </c>
      <c r="I195" s="3" t="inlineStr">
        <is>
          <t>ACT-03</t>
        </is>
      </c>
      <c r="J195" s="3" t="inlineStr">
        <is>
          <t>TIPO-C1</t>
        </is>
      </c>
      <c r="K195" s="11" t="n">
        <v>46160</v>
      </c>
      <c r="L195" s="3" t="n">
        <v>4</v>
      </c>
      <c r="M195" s="10" t="n">
        <v>160</v>
      </c>
      <c r="N195" s="3">
        <f>_xlfn.XLOOKUP(_xlfn.XLOOKUP(tblOrdenes[[#This Row],[id_operacion]],tblEjecucion[id_operacion],tblEjecucion[estado_sistema],""),tblEstados[estado_sistema],tblEstados[estado_normalizado],"Pendiente")</f>
        <v/>
      </c>
      <c r="O195" s="3">
        <f>IF(tblOrdenes[[#This Row],[fecha_inicio]]="","","S"&amp;IF(_xlfn.ISOWEEKNUM(tblOrdenes[[#This Row],[fecha_inicio]])=53,1,_xlfn.ISOWEEKNUM(tblOrdenes[[#This Row],[fecha_inicio]])))</f>
        <v/>
      </c>
      <c r="P195" s="3">
        <f>IF(tblOrdenes[[#This Row],[fecha_inicio]]="","",YEAR(tblOrdenes[[#This Row],[fecha_inicio]]))</f>
        <v/>
      </c>
      <c r="Q195" s="3">
        <f>IF(tblOrdenes[[#This Row],[fecha_inicio]]="","",MONTH(tblOrdenes[[#This Row],[fecha_inicio]]))</f>
        <v/>
      </c>
      <c r="R195" s="3">
        <f>IF(tblOrdenes[[#This Row],[fecha_inicio]]="","",INDEX(lista_dias,WEEKDAY(tblOrdenes[[#This Row],[fecha_inicio]],2)))</f>
        <v/>
      </c>
      <c r="S195" s="3">
        <f>_xlfn.XLOOKUP(tblOrdenes[[#This Row],[tipo_ot]],tblTiposOT[codigo],tblTiposOT[clasificacion],"sin_clasificar")</f>
        <v/>
      </c>
      <c r="T195" s="3">
        <f>_xlfn.XLOOKUP(tblOrdenes[[#This Row],[centro_costo]],tblCECO[codigo],tblCECO[linea],"(sin catálogo)")</f>
        <v/>
      </c>
      <c r="U195" s="3">
        <f>_xlfn.XLOOKUP(tblOrdenes[[#This Row],[centro_costo]],tblCECO[codigo],tblCECO[area],"(sin catálogo)")</f>
        <v/>
      </c>
      <c r="V195" s="3">
        <f>_xlfn.XLOOKUP(tblOrdenes[[#This Row],[centro_costo]],tblCECO[codigo],tblCECO[coordinador],"(sin catálogo)")</f>
        <v/>
      </c>
      <c r="W195" s="3">
        <f>_xlfn.XLOOKUP(tblOrdenes[[#This Row],[puesto_trabajo]],tblPuestos[codigo],tblPuestos[especialidad],"(sin catálogo)")</f>
        <v/>
      </c>
      <c r="X195" s="3">
        <f>_xlfn.XLOOKUP(tblOrdenes[[#This Row],[cod_actividad]],tblActividades[codigo],tblActividades[descripcion],"(sin catálogo)")</f>
        <v/>
      </c>
      <c r="Y195" s="12">
        <f>IF(tblOrdenes[[#This Row],[fecha_inicio]]="","",TODAY()-tblOrdenes[[#This Row],[fecha_inicio]])</f>
        <v/>
      </c>
      <c r="Z195" s="3">
        <f>IF(tblOrdenes[[#This Row],[backlog_dias]]="","",IF(tblOrdenes[[#This Row],[backlog_dias]]&lt;0,"FUTURO",IF(tblOrdenes[[#This Row],[backlog_dias]]&gt;p_dias_backlog_max,"BACKLOG","MES CORRIENTE")))</f>
        <v/>
      </c>
      <c r="AA195" s="3">
        <f>IF(tblOrdenes[[#This Row],[backlog_dias]]="",FALSE,AND(tblOrdenes[[#This Row],[backlog_dias]]&gt;p_dias_backlog_min,tblOrdenes[[#This Row],[backlog_dias]]&lt;=p_dias_backlog_max))</f>
        <v/>
      </c>
      <c r="AB195" s="6" t="inlineStr"/>
      <c r="AC19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5" s="10">
        <f>_xlfn.XLOOKUP(tblOrdenes[[#This Row],[id_operacion]],tblEjecucion[id_operacion],tblEjecucion[precio],0)</f>
        <v/>
      </c>
      <c r="AE195" s="10">
        <f>MAX(0,_xlfn.XLOOKUP(tblOrdenes[[#This Row],[id_operacion]],tblEjecucion[id_operacion],tblEjecucion[costo_plan_total],0)-tblOrdenes[[#This Row],[costo_servicio]])</f>
        <v/>
      </c>
      <c r="AF195" s="10">
        <f>tblOrdenes[[#This Row],[costo_servicio]]+tblOrdenes[[#This Row],[costo_materiales]]</f>
        <v/>
      </c>
      <c r="AG195" s="6" t="inlineStr"/>
      <c r="AH195" s="6" t="inlineStr"/>
      <c r="AI195" s="6" t="inlineStr"/>
      <c r="AJ195" s="3">
        <f>IF(tblOrdenes[[#This Row],[link_checklist]]="","",HYPERLINK(p_ruta_base_checklists&amp;tblOrdenes[[#This Row],[link_checklist]],"abrir"))</f>
        <v/>
      </c>
      <c r="AK195" s="6" t="inlineStr"/>
    </row>
    <row r="196">
      <c r="A196" s="3" t="inlineStr">
        <is>
          <t>OT-000909</t>
        </is>
      </c>
      <c r="B196" s="3" t="inlineStr">
        <is>
          <t>0010</t>
        </is>
      </c>
      <c r="C196" s="3">
        <f>tblOrdenes[[#This Row],[orden]]&amp;IF(tblOrdenes[[#This Row],[operacion]]="","0010",tblOrdenes[[#This Row],[operacion]])</f>
        <v/>
      </c>
      <c r="D196" s="3" t="inlineStr">
        <is>
          <t>Reparación de falla — EQ-104</t>
        </is>
      </c>
      <c r="E196" s="3" t="inlineStr">
        <is>
          <t>Reparación de falla en EQ-104</t>
        </is>
      </c>
      <c r="F196" s="3" t="inlineStr">
        <is>
          <t>EQ-104</t>
        </is>
      </c>
      <c r="G196" s="3" t="inlineStr">
        <is>
          <t>CC-110</t>
        </is>
      </c>
      <c r="H196" s="3" t="inlineStr">
        <is>
          <t>PU-AUT</t>
        </is>
      </c>
      <c r="I196" s="3" t="inlineStr">
        <is>
          <t>ACT-99</t>
        </is>
      </c>
      <c r="J196" s="3" t="inlineStr">
        <is>
          <t>TIPO-C2</t>
        </is>
      </c>
      <c r="K196" s="11" t="n">
        <v>46158</v>
      </c>
      <c r="L196" s="3" t="n">
        <v>4</v>
      </c>
      <c r="M196" s="10" t="n">
        <v>160</v>
      </c>
      <c r="N196" s="3">
        <f>_xlfn.XLOOKUP(_xlfn.XLOOKUP(tblOrdenes[[#This Row],[id_operacion]],tblEjecucion[id_operacion],tblEjecucion[estado_sistema],""),tblEstados[estado_sistema],tblEstados[estado_normalizado],"Pendiente")</f>
        <v/>
      </c>
      <c r="O196" s="3">
        <f>IF(tblOrdenes[[#This Row],[fecha_inicio]]="","","S"&amp;IF(_xlfn.ISOWEEKNUM(tblOrdenes[[#This Row],[fecha_inicio]])=53,1,_xlfn.ISOWEEKNUM(tblOrdenes[[#This Row],[fecha_inicio]])))</f>
        <v/>
      </c>
      <c r="P196" s="3">
        <f>IF(tblOrdenes[[#This Row],[fecha_inicio]]="","",YEAR(tblOrdenes[[#This Row],[fecha_inicio]]))</f>
        <v/>
      </c>
      <c r="Q196" s="3">
        <f>IF(tblOrdenes[[#This Row],[fecha_inicio]]="","",MONTH(tblOrdenes[[#This Row],[fecha_inicio]]))</f>
        <v/>
      </c>
      <c r="R196" s="3">
        <f>IF(tblOrdenes[[#This Row],[fecha_inicio]]="","",INDEX(lista_dias,WEEKDAY(tblOrdenes[[#This Row],[fecha_inicio]],2)))</f>
        <v/>
      </c>
      <c r="S196" s="3">
        <f>_xlfn.XLOOKUP(tblOrdenes[[#This Row],[tipo_ot]],tblTiposOT[codigo],tblTiposOT[clasificacion],"sin_clasificar")</f>
        <v/>
      </c>
      <c r="T196" s="3">
        <f>_xlfn.XLOOKUP(tblOrdenes[[#This Row],[centro_costo]],tblCECO[codigo],tblCECO[linea],"(sin catálogo)")</f>
        <v/>
      </c>
      <c r="U196" s="3">
        <f>_xlfn.XLOOKUP(tblOrdenes[[#This Row],[centro_costo]],tblCECO[codigo],tblCECO[area],"(sin catálogo)")</f>
        <v/>
      </c>
      <c r="V196" s="3">
        <f>_xlfn.XLOOKUP(tblOrdenes[[#This Row],[centro_costo]],tblCECO[codigo],tblCECO[coordinador],"(sin catálogo)")</f>
        <v/>
      </c>
      <c r="W196" s="3">
        <f>_xlfn.XLOOKUP(tblOrdenes[[#This Row],[puesto_trabajo]],tblPuestos[codigo],tblPuestos[especialidad],"(sin catálogo)")</f>
        <v/>
      </c>
      <c r="X196" s="3">
        <f>_xlfn.XLOOKUP(tblOrdenes[[#This Row],[cod_actividad]],tblActividades[codigo],tblActividades[descripcion],"(sin catálogo)")</f>
        <v/>
      </c>
      <c r="Y196" s="12">
        <f>IF(tblOrdenes[[#This Row],[fecha_inicio]]="","",TODAY()-tblOrdenes[[#This Row],[fecha_inicio]])</f>
        <v/>
      </c>
      <c r="Z196" s="3">
        <f>IF(tblOrdenes[[#This Row],[backlog_dias]]="","",IF(tblOrdenes[[#This Row],[backlog_dias]]&lt;0,"FUTURO",IF(tblOrdenes[[#This Row],[backlog_dias]]&gt;p_dias_backlog_max,"BACKLOG","MES CORRIENTE")))</f>
        <v/>
      </c>
      <c r="AA196" s="3">
        <f>IF(tblOrdenes[[#This Row],[backlog_dias]]="",FALSE,AND(tblOrdenes[[#This Row],[backlog_dias]]&gt;p_dias_backlog_min,tblOrdenes[[#This Row],[backlog_dias]]&lt;=p_dias_backlog_max))</f>
        <v/>
      </c>
      <c r="AB196" s="6" t="inlineStr"/>
      <c r="AC19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6" s="10">
        <f>_xlfn.XLOOKUP(tblOrdenes[[#This Row],[id_operacion]],tblEjecucion[id_operacion],tblEjecucion[precio],0)</f>
        <v/>
      </c>
      <c r="AE196" s="10">
        <f>MAX(0,_xlfn.XLOOKUP(tblOrdenes[[#This Row],[id_operacion]],tblEjecucion[id_operacion],tblEjecucion[costo_plan_total],0)-tblOrdenes[[#This Row],[costo_servicio]])</f>
        <v/>
      </c>
      <c r="AF196" s="10">
        <f>tblOrdenes[[#This Row],[costo_servicio]]+tblOrdenes[[#This Row],[costo_materiales]]</f>
        <v/>
      </c>
      <c r="AG196" s="6" t="inlineStr"/>
      <c r="AH196" s="6" t="inlineStr"/>
      <c r="AI196" s="6" t="inlineStr"/>
      <c r="AJ196" s="3">
        <f>IF(tblOrdenes[[#This Row],[link_checklist]]="","",HYPERLINK(p_ruta_base_checklists&amp;tblOrdenes[[#This Row],[link_checklist]],"abrir"))</f>
        <v/>
      </c>
      <c r="AK196" s="6" t="inlineStr"/>
    </row>
    <row r="197">
      <c r="A197" s="3" t="inlineStr">
        <is>
          <t>OT-000194</t>
        </is>
      </c>
      <c r="B197" s="3" t="inlineStr">
        <is>
          <t>0010</t>
        </is>
      </c>
      <c r="C197" s="3">
        <f>tblOrdenes[[#This Row],[orden]]&amp;IF(tblOrdenes[[#This Row],[operacion]]="","0010",tblOrdenes[[#This Row],[operacion]])</f>
        <v/>
      </c>
      <c r="D197" s="3" t="inlineStr">
        <is>
          <t>Reparación de falla — EQ-108</t>
        </is>
      </c>
      <c r="E197" s="3" t="inlineStr">
        <is>
          <t>Reparación de falla en EQ-108</t>
        </is>
      </c>
      <c r="F197" s="3" t="inlineStr">
        <is>
          <t>EQ-108</t>
        </is>
      </c>
      <c r="G197" s="3" t="inlineStr">
        <is>
          <t>CC-220</t>
        </is>
      </c>
      <c r="H197" s="3" t="inlineStr">
        <is>
          <t>PU-ELE</t>
        </is>
      </c>
      <c r="I197" s="3" t="inlineStr">
        <is>
          <t>ACT-03</t>
        </is>
      </c>
      <c r="J197" s="3" t="inlineStr">
        <is>
          <t>TIPO-C1</t>
        </is>
      </c>
      <c r="K197" s="11" t="n">
        <v>46187</v>
      </c>
      <c r="L197" s="3" t="n">
        <v>2</v>
      </c>
      <c r="M197" s="10" t="n">
        <v>80</v>
      </c>
      <c r="N197" s="3">
        <f>_xlfn.XLOOKUP(_xlfn.XLOOKUP(tblOrdenes[[#This Row],[id_operacion]],tblEjecucion[id_operacion],tblEjecucion[estado_sistema],""),tblEstados[estado_sistema],tblEstados[estado_normalizado],"Pendiente")</f>
        <v/>
      </c>
      <c r="O197" s="3">
        <f>IF(tblOrdenes[[#This Row],[fecha_inicio]]="","","S"&amp;IF(_xlfn.ISOWEEKNUM(tblOrdenes[[#This Row],[fecha_inicio]])=53,1,_xlfn.ISOWEEKNUM(tblOrdenes[[#This Row],[fecha_inicio]])))</f>
        <v/>
      </c>
      <c r="P197" s="3">
        <f>IF(tblOrdenes[[#This Row],[fecha_inicio]]="","",YEAR(tblOrdenes[[#This Row],[fecha_inicio]]))</f>
        <v/>
      </c>
      <c r="Q197" s="3">
        <f>IF(tblOrdenes[[#This Row],[fecha_inicio]]="","",MONTH(tblOrdenes[[#This Row],[fecha_inicio]]))</f>
        <v/>
      </c>
      <c r="R197" s="3">
        <f>IF(tblOrdenes[[#This Row],[fecha_inicio]]="","",INDEX(lista_dias,WEEKDAY(tblOrdenes[[#This Row],[fecha_inicio]],2)))</f>
        <v/>
      </c>
      <c r="S197" s="3">
        <f>_xlfn.XLOOKUP(tblOrdenes[[#This Row],[tipo_ot]],tblTiposOT[codigo],tblTiposOT[clasificacion],"sin_clasificar")</f>
        <v/>
      </c>
      <c r="T197" s="3">
        <f>_xlfn.XLOOKUP(tblOrdenes[[#This Row],[centro_costo]],tblCECO[codigo],tblCECO[linea],"(sin catálogo)")</f>
        <v/>
      </c>
      <c r="U197" s="3">
        <f>_xlfn.XLOOKUP(tblOrdenes[[#This Row],[centro_costo]],tblCECO[codigo],tblCECO[area],"(sin catálogo)")</f>
        <v/>
      </c>
      <c r="V197" s="3">
        <f>_xlfn.XLOOKUP(tblOrdenes[[#This Row],[centro_costo]],tblCECO[codigo],tblCECO[coordinador],"(sin catálogo)")</f>
        <v/>
      </c>
      <c r="W197" s="3">
        <f>_xlfn.XLOOKUP(tblOrdenes[[#This Row],[puesto_trabajo]],tblPuestos[codigo],tblPuestos[especialidad],"(sin catálogo)")</f>
        <v/>
      </c>
      <c r="X197" s="3">
        <f>_xlfn.XLOOKUP(tblOrdenes[[#This Row],[cod_actividad]],tblActividades[codigo],tblActividades[descripcion],"(sin catálogo)")</f>
        <v/>
      </c>
      <c r="Y197" s="12">
        <f>IF(tblOrdenes[[#This Row],[fecha_inicio]]="","",TODAY()-tblOrdenes[[#This Row],[fecha_inicio]])</f>
        <v/>
      </c>
      <c r="Z197" s="3">
        <f>IF(tblOrdenes[[#This Row],[backlog_dias]]="","",IF(tblOrdenes[[#This Row],[backlog_dias]]&lt;0,"FUTURO",IF(tblOrdenes[[#This Row],[backlog_dias]]&gt;p_dias_backlog_max,"BACKLOG","MES CORRIENTE")))</f>
        <v/>
      </c>
      <c r="AA197" s="3">
        <f>IF(tblOrdenes[[#This Row],[backlog_dias]]="",FALSE,AND(tblOrdenes[[#This Row],[backlog_dias]]&gt;p_dias_backlog_min,tblOrdenes[[#This Row],[backlog_dias]]&lt;=p_dias_backlog_max))</f>
        <v/>
      </c>
      <c r="AB197" s="6" t="inlineStr"/>
      <c r="AC19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7" s="10">
        <f>_xlfn.XLOOKUP(tblOrdenes[[#This Row],[id_operacion]],tblEjecucion[id_operacion],tblEjecucion[precio],0)</f>
        <v/>
      </c>
      <c r="AE197" s="10">
        <f>MAX(0,_xlfn.XLOOKUP(tblOrdenes[[#This Row],[id_operacion]],tblEjecucion[id_operacion],tblEjecucion[costo_plan_total],0)-tblOrdenes[[#This Row],[costo_servicio]])</f>
        <v/>
      </c>
      <c r="AF197" s="10">
        <f>tblOrdenes[[#This Row],[costo_servicio]]+tblOrdenes[[#This Row],[costo_materiales]]</f>
        <v/>
      </c>
      <c r="AG197" s="6" t="inlineStr"/>
      <c r="AH197" s="6" t="inlineStr"/>
      <c r="AI197" s="6" t="inlineStr"/>
      <c r="AJ197" s="3">
        <f>IF(tblOrdenes[[#This Row],[link_checklist]]="","",HYPERLINK(p_ruta_base_checklists&amp;tblOrdenes[[#This Row],[link_checklist]],"abrir"))</f>
        <v/>
      </c>
      <c r="AK197" s="6" t="inlineStr"/>
    </row>
    <row r="198">
      <c r="A198" s="3" t="inlineStr">
        <is>
          <t>OT-000195</t>
        </is>
      </c>
      <c r="B198" s="3" t="inlineStr">
        <is>
          <t>0010</t>
        </is>
      </c>
      <c r="C198" s="3">
        <f>tblOrdenes[[#This Row],[orden]]&amp;IF(tblOrdenes[[#This Row],[operacion]]="","0010",tblOrdenes[[#This Row],[operacion]])</f>
        <v/>
      </c>
      <c r="D198" s="3" t="inlineStr">
        <is>
          <t>Reparación de falla — EQ-109</t>
        </is>
      </c>
      <c r="E198" s="3" t="inlineStr">
        <is>
          <t>Reparación de falla en EQ-109</t>
        </is>
      </c>
      <c r="F198" s="3" t="inlineStr">
        <is>
          <t>EQ-109</t>
        </is>
      </c>
      <c r="G198" s="3" t="inlineStr">
        <is>
          <t>CC-220</t>
        </is>
      </c>
      <c r="H198" s="3" t="inlineStr">
        <is>
          <t>PU-ELE</t>
        </is>
      </c>
      <c r="I198" s="3" t="inlineStr">
        <is>
          <t>ACT-03</t>
        </is>
      </c>
      <c r="J198" s="3" t="inlineStr">
        <is>
          <t>TIPO-C2</t>
        </is>
      </c>
      <c r="K198" s="11" t="n">
        <v>46186</v>
      </c>
      <c r="L198" s="3" t="n">
        <v>2</v>
      </c>
      <c r="M198" s="10" t="n">
        <v>80</v>
      </c>
      <c r="N198" s="3">
        <f>_xlfn.XLOOKUP(_xlfn.XLOOKUP(tblOrdenes[[#This Row],[id_operacion]],tblEjecucion[id_operacion],tblEjecucion[estado_sistema],""),tblEstados[estado_sistema],tblEstados[estado_normalizado],"Pendiente")</f>
        <v/>
      </c>
      <c r="O198" s="3">
        <f>IF(tblOrdenes[[#This Row],[fecha_inicio]]="","","S"&amp;IF(_xlfn.ISOWEEKNUM(tblOrdenes[[#This Row],[fecha_inicio]])=53,1,_xlfn.ISOWEEKNUM(tblOrdenes[[#This Row],[fecha_inicio]])))</f>
        <v/>
      </c>
      <c r="P198" s="3">
        <f>IF(tblOrdenes[[#This Row],[fecha_inicio]]="","",YEAR(tblOrdenes[[#This Row],[fecha_inicio]]))</f>
        <v/>
      </c>
      <c r="Q198" s="3">
        <f>IF(tblOrdenes[[#This Row],[fecha_inicio]]="","",MONTH(tblOrdenes[[#This Row],[fecha_inicio]]))</f>
        <v/>
      </c>
      <c r="R198" s="3">
        <f>IF(tblOrdenes[[#This Row],[fecha_inicio]]="","",INDEX(lista_dias,WEEKDAY(tblOrdenes[[#This Row],[fecha_inicio]],2)))</f>
        <v/>
      </c>
      <c r="S198" s="3">
        <f>_xlfn.XLOOKUP(tblOrdenes[[#This Row],[tipo_ot]],tblTiposOT[codigo],tblTiposOT[clasificacion],"sin_clasificar")</f>
        <v/>
      </c>
      <c r="T198" s="3">
        <f>_xlfn.XLOOKUP(tblOrdenes[[#This Row],[centro_costo]],tblCECO[codigo],tblCECO[linea],"(sin catálogo)")</f>
        <v/>
      </c>
      <c r="U198" s="3">
        <f>_xlfn.XLOOKUP(tblOrdenes[[#This Row],[centro_costo]],tblCECO[codigo],tblCECO[area],"(sin catálogo)")</f>
        <v/>
      </c>
      <c r="V198" s="3">
        <f>_xlfn.XLOOKUP(tblOrdenes[[#This Row],[centro_costo]],tblCECO[codigo],tblCECO[coordinador],"(sin catálogo)")</f>
        <v/>
      </c>
      <c r="W198" s="3">
        <f>_xlfn.XLOOKUP(tblOrdenes[[#This Row],[puesto_trabajo]],tblPuestos[codigo],tblPuestos[especialidad],"(sin catálogo)")</f>
        <v/>
      </c>
      <c r="X198" s="3">
        <f>_xlfn.XLOOKUP(tblOrdenes[[#This Row],[cod_actividad]],tblActividades[codigo],tblActividades[descripcion],"(sin catálogo)")</f>
        <v/>
      </c>
      <c r="Y198" s="12">
        <f>IF(tblOrdenes[[#This Row],[fecha_inicio]]="","",TODAY()-tblOrdenes[[#This Row],[fecha_inicio]])</f>
        <v/>
      </c>
      <c r="Z198" s="3">
        <f>IF(tblOrdenes[[#This Row],[backlog_dias]]="","",IF(tblOrdenes[[#This Row],[backlog_dias]]&lt;0,"FUTURO",IF(tblOrdenes[[#This Row],[backlog_dias]]&gt;p_dias_backlog_max,"BACKLOG","MES CORRIENTE")))</f>
        <v/>
      </c>
      <c r="AA198" s="3">
        <f>IF(tblOrdenes[[#This Row],[backlog_dias]]="",FALSE,AND(tblOrdenes[[#This Row],[backlog_dias]]&gt;p_dias_backlog_min,tblOrdenes[[#This Row],[backlog_dias]]&lt;=p_dias_backlog_max))</f>
        <v/>
      </c>
      <c r="AB198" s="6" t="inlineStr"/>
      <c r="AC19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8" s="10">
        <f>_xlfn.XLOOKUP(tblOrdenes[[#This Row],[id_operacion]],tblEjecucion[id_operacion],tblEjecucion[precio],0)</f>
        <v/>
      </c>
      <c r="AE198" s="10">
        <f>MAX(0,_xlfn.XLOOKUP(tblOrdenes[[#This Row],[id_operacion]],tblEjecucion[id_operacion],tblEjecucion[costo_plan_total],0)-tblOrdenes[[#This Row],[costo_servicio]])</f>
        <v/>
      </c>
      <c r="AF198" s="10">
        <f>tblOrdenes[[#This Row],[costo_servicio]]+tblOrdenes[[#This Row],[costo_materiales]]</f>
        <v/>
      </c>
      <c r="AG198" s="6" t="inlineStr"/>
      <c r="AH198" s="6" t="inlineStr"/>
      <c r="AI198" s="6" t="inlineStr"/>
      <c r="AJ198" s="3">
        <f>IF(tblOrdenes[[#This Row],[link_checklist]]="","",HYPERLINK(p_ruta_base_checklists&amp;tblOrdenes[[#This Row],[link_checklist]],"abrir"))</f>
        <v/>
      </c>
      <c r="AK198" s="6" t="inlineStr"/>
    </row>
    <row r="199">
      <c r="A199" s="3" t="inlineStr">
        <is>
          <t>OT-000196</t>
        </is>
      </c>
      <c r="B199" s="3" t="inlineStr">
        <is>
          <t>0010</t>
        </is>
      </c>
      <c r="C199" s="3">
        <f>tblOrdenes[[#This Row],[orden]]&amp;IF(tblOrdenes[[#This Row],[operacion]]="","0010",tblOrdenes[[#This Row],[operacion]])</f>
        <v/>
      </c>
      <c r="D199" s="3" t="inlineStr">
        <is>
          <t>Reparación de falla — EQ-106</t>
        </is>
      </c>
      <c r="E199" s="3" t="inlineStr">
        <is>
          <t>Reparación de falla en EQ-106</t>
        </is>
      </c>
      <c r="F199" s="3" t="inlineStr">
        <is>
          <t>EQ-106</t>
        </is>
      </c>
      <c r="G199" s="3" t="inlineStr">
        <is>
          <t>CC-220</t>
        </is>
      </c>
      <c r="H199" s="3" t="inlineStr">
        <is>
          <t>PU-ELE</t>
        </is>
      </c>
      <c r="I199" s="3" t="inlineStr">
        <is>
          <t>ACT-03</t>
        </is>
      </c>
      <c r="J199" s="3" t="inlineStr">
        <is>
          <t>TIPO-C1</t>
        </is>
      </c>
      <c r="K199" s="11" t="n">
        <v>46185</v>
      </c>
      <c r="L199" s="3" t="n">
        <v>2</v>
      </c>
      <c r="M199" s="10" t="n">
        <v>80</v>
      </c>
      <c r="N199" s="3">
        <f>_xlfn.XLOOKUP(_xlfn.XLOOKUP(tblOrdenes[[#This Row],[id_operacion]],tblEjecucion[id_operacion],tblEjecucion[estado_sistema],""),tblEstados[estado_sistema],tblEstados[estado_normalizado],"Pendiente")</f>
        <v/>
      </c>
      <c r="O199" s="3">
        <f>IF(tblOrdenes[[#This Row],[fecha_inicio]]="","","S"&amp;IF(_xlfn.ISOWEEKNUM(tblOrdenes[[#This Row],[fecha_inicio]])=53,1,_xlfn.ISOWEEKNUM(tblOrdenes[[#This Row],[fecha_inicio]])))</f>
        <v/>
      </c>
      <c r="P199" s="3">
        <f>IF(tblOrdenes[[#This Row],[fecha_inicio]]="","",YEAR(tblOrdenes[[#This Row],[fecha_inicio]]))</f>
        <v/>
      </c>
      <c r="Q199" s="3">
        <f>IF(tblOrdenes[[#This Row],[fecha_inicio]]="","",MONTH(tblOrdenes[[#This Row],[fecha_inicio]]))</f>
        <v/>
      </c>
      <c r="R199" s="3">
        <f>IF(tblOrdenes[[#This Row],[fecha_inicio]]="","",INDEX(lista_dias,WEEKDAY(tblOrdenes[[#This Row],[fecha_inicio]],2)))</f>
        <v/>
      </c>
      <c r="S199" s="3">
        <f>_xlfn.XLOOKUP(tblOrdenes[[#This Row],[tipo_ot]],tblTiposOT[codigo],tblTiposOT[clasificacion],"sin_clasificar")</f>
        <v/>
      </c>
      <c r="T199" s="3">
        <f>_xlfn.XLOOKUP(tblOrdenes[[#This Row],[centro_costo]],tblCECO[codigo],tblCECO[linea],"(sin catálogo)")</f>
        <v/>
      </c>
      <c r="U199" s="3">
        <f>_xlfn.XLOOKUP(tblOrdenes[[#This Row],[centro_costo]],tblCECO[codigo],tblCECO[area],"(sin catálogo)")</f>
        <v/>
      </c>
      <c r="V199" s="3">
        <f>_xlfn.XLOOKUP(tblOrdenes[[#This Row],[centro_costo]],tblCECO[codigo],tblCECO[coordinador],"(sin catálogo)")</f>
        <v/>
      </c>
      <c r="W199" s="3">
        <f>_xlfn.XLOOKUP(tblOrdenes[[#This Row],[puesto_trabajo]],tblPuestos[codigo],tblPuestos[especialidad],"(sin catálogo)")</f>
        <v/>
      </c>
      <c r="X199" s="3">
        <f>_xlfn.XLOOKUP(tblOrdenes[[#This Row],[cod_actividad]],tblActividades[codigo],tblActividades[descripcion],"(sin catálogo)")</f>
        <v/>
      </c>
      <c r="Y199" s="12">
        <f>IF(tblOrdenes[[#This Row],[fecha_inicio]]="","",TODAY()-tblOrdenes[[#This Row],[fecha_inicio]])</f>
        <v/>
      </c>
      <c r="Z199" s="3">
        <f>IF(tblOrdenes[[#This Row],[backlog_dias]]="","",IF(tblOrdenes[[#This Row],[backlog_dias]]&lt;0,"FUTURO",IF(tblOrdenes[[#This Row],[backlog_dias]]&gt;p_dias_backlog_max,"BACKLOG","MES CORRIENTE")))</f>
        <v/>
      </c>
      <c r="AA199" s="3">
        <f>IF(tblOrdenes[[#This Row],[backlog_dias]]="",FALSE,AND(tblOrdenes[[#This Row],[backlog_dias]]&gt;p_dias_backlog_min,tblOrdenes[[#This Row],[backlog_dias]]&lt;=p_dias_backlog_max))</f>
        <v/>
      </c>
      <c r="AB199" s="6" t="inlineStr"/>
      <c r="AC19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9" s="10">
        <f>_xlfn.XLOOKUP(tblOrdenes[[#This Row],[id_operacion]],tblEjecucion[id_operacion],tblEjecucion[precio],0)</f>
        <v/>
      </c>
      <c r="AE199" s="10">
        <f>MAX(0,_xlfn.XLOOKUP(tblOrdenes[[#This Row],[id_operacion]],tblEjecucion[id_operacion],tblEjecucion[costo_plan_total],0)-tblOrdenes[[#This Row],[costo_servicio]])</f>
        <v/>
      </c>
      <c r="AF199" s="10">
        <f>tblOrdenes[[#This Row],[costo_servicio]]+tblOrdenes[[#This Row],[costo_materiales]]</f>
        <v/>
      </c>
      <c r="AG199" s="6" t="inlineStr"/>
      <c r="AH199" s="6" t="inlineStr"/>
      <c r="AI199" s="6" t="inlineStr"/>
      <c r="AJ199" s="3">
        <f>IF(tblOrdenes[[#This Row],[link_checklist]]="","",HYPERLINK(p_ruta_base_checklists&amp;tblOrdenes[[#This Row],[link_checklist]],"abrir"))</f>
        <v/>
      </c>
      <c r="AK199" s="6" t="inlineStr"/>
    </row>
    <row r="200">
      <c r="A200" s="3" t="inlineStr">
        <is>
          <t>OT-000197</t>
        </is>
      </c>
      <c r="B200" s="3" t="inlineStr">
        <is>
          <t>0010</t>
        </is>
      </c>
      <c r="C200" s="3">
        <f>tblOrdenes[[#This Row],[orden]]&amp;IF(tblOrdenes[[#This Row],[operacion]]="","0010",tblOrdenes[[#This Row],[operacion]])</f>
        <v/>
      </c>
      <c r="D200" s="3" t="inlineStr">
        <is>
          <t>Reparación de falla — EQ-107</t>
        </is>
      </c>
      <c r="E200" s="3" t="inlineStr">
        <is>
          <t>Reparación de falla en EQ-107</t>
        </is>
      </c>
      <c r="F200" s="3" t="inlineStr">
        <is>
          <t>EQ-107</t>
        </is>
      </c>
      <c r="G200" s="3" t="inlineStr">
        <is>
          <t>CC-220</t>
        </is>
      </c>
      <c r="H200" s="3" t="inlineStr">
        <is>
          <t>PU-ELE</t>
        </is>
      </c>
      <c r="I200" s="3" t="inlineStr">
        <is>
          <t>ACT-03</t>
        </is>
      </c>
      <c r="J200" s="3" t="inlineStr">
        <is>
          <t>TIPO-C2</t>
        </is>
      </c>
      <c r="K200" s="11" t="n">
        <v>46184</v>
      </c>
      <c r="L200" s="3" t="n">
        <v>2</v>
      </c>
      <c r="M200" s="10" t="n">
        <v>80</v>
      </c>
      <c r="N200" s="3">
        <f>_xlfn.XLOOKUP(_xlfn.XLOOKUP(tblOrdenes[[#This Row],[id_operacion]],tblEjecucion[id_operacion],tblEjecucion[estado_sistema],""),tblEstados[estado_sistema],tblEstados[estado_normalizado],"Pendiente")</f>
        <v/>
      </c>
      <c r="O200" s="3">
        <f>IF(tblOrdenes[[#This Row],[fecha_inicio]]="","","S"&amp;IF(_xlfn.ISOWEEKNUM(tblOrdenes[[#This Row],[fecha_inicio]])=53,1,_xlfn.ISOWEEKNUM(tblOrdenes[[#This Row],[fecha_inicio]])))</f>
        <v/>
      </c>
      <c r="P200" s="3">
        <f>IF(tblOrdenes[[#This Row],[fecha_inicio]]="","",YEAR(tblOrdenes[[#This Row],[fecha_inicio]]))</f>
        <v/>
      </c>
      <c r="Q200" s="3">
        <f>IF(tblOrdenes[[#This Row],[fecha_inicio]]="","",MONTH(tblOrdenes[[#This Row],[fecha_inicio]]))</f>
        <v/>
      </c>
      <c r="R200" s="3">
        <f>IF(tblOrdenes[[#This Row],[fecha_inicio]]="","",INDEX(lista_dias,WEEKDAY(tblOrdenes[[#This Row],[fecha_inicio]],2)))</f>
        <v/>
      </c>
      <c r="S200" s="3">
        <f>_xlfn.XLOOKUP(tblOrdenes[[#This Row],[tipo_ot]],tblTiposOT[codigo],tblTiposOT[clasificacion],"sin_clasificar")</f>
        <v/>
      </c>
      <c r="T200" s="3">
        <f>_xlfn.XLOOKUP(tblOrdenes[[#This Row],[centro_costo]],tblCECO[codigo],tblCECO[linea],"(sin catálogo)")</f>
        <v/>
      </c>
      <c r="U200" s="3">
        <f>_xlfn.XLOOKUP(tblOrdenes[[#This Row],[centro_costo]],tblCECO[codigo],tblCECO[area],"(sin catálogo)")</f>
        <v/>
      </c>
      <c r="V200" s="3">
        <f>_xlfn.XLOOKUP(tblOrdenes[[#This Row],[centro_costo]],tblCECO[codigo],tblCECO[coordinador],"(sin catálogo)")</f>
        <v/>
      </c>
      <c r="W200" s="3">
        <f>_xlfn.XLOOKUP(tblOrdenes[[#This Row],[puesto_trabajo]],tblPuestos[codigo],tblPuestos[especialidad],"(sin catálogo)")</f>
        <v/>
      </c>
      <c r="X200" s="3">
        <f>_xlfn.XLOOKUP(tblOrdenes[[#This Row],[cod_actividad]],tblActividades[codigo],tblActividades[descripcion],"(sin catálogo)")</f>
        <v/>
      </c>
      <c r="Y200" s="12">
        <f>IF(tblOrdenes[[#This Row],[fecha_inicio]]="","",TODAY()-tblOrdenes[[#This Row],[fecha_inicio]])</f>
        <v/>
      </c>
      <c r="Z200" s="3">
        <f>IF(tblOrdenes[[#This Row],[backlog_dias]]="","",IF(tblOrdenes[[#This Row],[backlog_dias]]&lt;0,"FUTURO",IF(tblOrdenes[[#This Row],[backlog_dias]]&gt;p_dias_backlog_max,"BACKLOG","MES CORRIENTE")))</f>
        <v/>
      </c>
      <c r="AA200" s="3">
        <f>IF(tblOrdenes[[#This Row],[backlog_dias]]="",FALSE,AND(tblOrdenes[[#This Row],[backlog_dias]]&gt;p_dias_backlog_min,tblOrdenes[[#This Row],[backlog_dias]]&lt;=p_dias_backlog_max))</f>
        <v/>
      </c>
      <c r="AB200" s="6" t="inlineStr"/>
      <c r="AC20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00" s="10">
        <f>_xlfn.XLOOKUP(tblOrdenes[[#This Row],[id_operacion]],tblEjecucion[id_operacion],tblEjecucion[precio],0)</f>
        <v/>
      </c>
      <c r="AE200" s="10">
        <f>MAX(0,_xlfn.XLOOKUP(tblOrdenes[[#This Row],[id_operacion]],tblEjecucion[id_operacion],tblEjecucion[costo_plan_total],0)-tblOrdenes[[#This Row],[costo_servicio]])</f>
        <v/>
      </c>
      <c r="AF200" s="10">
        <f>tblOrdenes[[#This Row],[costo_servicio]]+tblOrdenes[[#This Row],[costo_materiales]]</f>
        <v/>
      </c>
      <c r="AG200" s="6" t="inlineStr"/>
      <c r="AH200" s="6" t="inlineStr"/>
      <c r="AI200" s="6" t="inlineStr"/>
      <c r="AJ200" s="3">
        <f>IF(tblOrdenes[[#This Row],[link_checklist]]="","",HYPERLINK(p_ruta_base_checklists&amp;tblOrdenes[[#This Row],[link_checklist]],"abrir"))</f>
        <v/>
      </c>
      <c r="AK200" s="6" t="inlineStr"/>
    </row>
    <row r="201">
      <c r="A201" s="3" t="inlineStr">
        <is>
          <t>OT-000198</t>
        </is>
      </c>
      <c r="B201" s="3" t="inlineStr">
        <is>
          <t>0010</t>
        </is>
      </c>
      <c r="C201" s="3">
        <f>tblOrdenes[[#This Row],[orden]]&amp;IF(tblOrdenes[[#This Row],[operacion]]="","0010",tblOrdenes[[#This Row],[operacion]])</f>
        <v/>
      </c>
      <c r="D201" s="3" t="inlineStr">
        <is>
          <t>Reparación de falla — EQ-108</t>
        </is>
      </c>
      <c r="E201" s="3" t="inlineStr">
        <is>
          <t>Reparación de falla en EQ-108</t>
        </is>
      </c>
      <c r="F201" s="3" t="inlineStr">
        <is>
          <t>EQ-108</t>
        </is>
      </c>
      <c r="G201" s="3" t="inlineStr">
        <is>
          <t>CC-220</t>
        </is>
      </c>
      <c r="H201" s="3" t="inlineStr">
        <is>
          <t>PU-ELE</t>
        </is>
      </c>
      <c r="I201" s="3" t="inlineStr">
        <is>
          <t>ACT-03</t>
        </is>
      </c>
      <c r="J201" s="3" t="inlineStr">
        <is>
          <t>TIPO-C1</t>
        </is>
      </c>
      <c r="K201" s="11" t="n">
        <v>46183</v>
      </c>
      <c r="L201" s="3" t="n">
        <v>2</v>
      </c>
      <c r="M201" s="10" t="n">
        <v>80</v>
      </c>
      <c r="N201" s="3">
        <f>_xlfn.XLOOKUP(_xlfn.XLOOKUP(tblOrdenes[[#This Row],[id_operacion]],tblEjecucion[id_operacion],tblEjecucion[estado_sistema],""),tblEstados[estado_sistema],tblEstados[estado_normalizado],"Pendiente")</f>
        <v/>
      </c>
      <c r="O201" s="3">
        <f>IF(tblOrdenes[[#This Row],[fecha_inicio]]="","","S"&amp;IF(_xlfn.ISOWEEKNUM(tblOrdenes[[#This Row],[fecha_inicio]])=53,1,_xlfn.ISOWEEKNUM(tblOrdenes[[#This Row],[fecha_inicio]])))</f>
        <v/>
      </c>
      <c r="P201" s="3">
        <f>IF(tblOrdenes[[#This Row],[fecha_inicio]]="","",YEAR(tblOrdenes[[#This Row],[fecha_inicio]]))</f>
        <v/>
      </c>
      <c r="Q201" s="3">
        <f>IF(tblOrdenes[[#This Row],[fecha_inicio]]="","",MONTH(tblOrdenes[[#This Row],[fecha_inicio]]))</f>
        <v/>
      </c>
      <c r="R201" s="3">
        <f>IF(tblOrdenes[[#This Row],[fecha_inicio]]="","",INDEX(lista_dias,WEEKDAY(tblOrdenes[[#This Row],[fecha_inicio]],2)))</f>
        <v/>
      </c>
      <c r="S201" s="3">
        <f>_xlfn.XLOOKUP(tblOrdenes[[#This Row],[tipo_ot]],tblTiposOT[codigo],tblTiposOT[clasificacion],"sin_clasificar")</f>
        <v/>
      </c>
      <c r="T201" s="3">
        <f>_xlfn.XLOOKUP(tblOrdenes[[#This Row],[centro_costo]],tblCECO[codigo],tblCECO[linea],"(sin catálogo)")</f>
        <v/>
      </c>
      <c r="U201" s="3">
        <f>_xlfn.XLOOKUP(tblOrdenes[[#This Row],[centro_costo]],tblCECO[codigo],tblCECO[area],"(sin catálogo)")</f>
        <v/>
      </c>
      <c r="V201" s="3">
        <f>_xlfn.XLOOKUP(tblOrdenes[[#This Row],[centro_costo]],tblCECO[codigo],tblCECO[coordinador],"(sin catálogo)")</f>
        <v/>
      </c>
      <c r="W201" s="3">
        <f>_xlfn.XLOOKUP(tblOrdenes[[#This Row],[puesto_trabajo]],tblPuestos[codigo],tblPuestos[especialidad],"(sin catálogo)")</f>
        <v/>
      </c>
      <c r="X201" s="3">
        <f>_xlfn.XLOOKUP(tblOrdenes[[#This Row],[cod_actividad]],tblActividades[codigo],tblActividades[descripcion],"(sin catálogo)")</f>
        <v/>
      </c>
      <c r="Y201" s="12">
        <f>IF(tblOrdenes[[#This Row],[fecha_inicio]]="","",TODAY()-tblOrdenes[[#This Row],[fecha_inicio]])</f>
        <v/>
      </c>
      <c r="Z201" s="3">
        <f>IF(tblOrdenes[[#This Row],[backlog_dias]]="","",IF(tblOrdenes[[#This Row],[backlog_dias]]&lt;0,"FUTURO",IF(tblOrdenes[[#This Row],[backlog_dias]]&gt;p_dias_backlog_max,"BACKLOG","MES CORRIENTE")))</f>
        <v/>
      </c>
      <c r="AA201" s="3">
        <f>IF(tblOrdenes[[#This Row],[backlog_dias]]="",FALSE,AND(tblOrdenes[[#This Row],[backlog_dias]]&gt;p_dias_backlog_min,tblOrdenes[[#This Row],[backlog_dias]]&lt;=p_dias_backlog_max))</f>
        <v/>
      </c>
      <c r="AB201" s="6" t="inlineStr"/>
      <c r="AC20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01" s="10">
        <f>_xlfn.XLOOKUP(tblOrdenes[[#This Row],[id_operacion]],tblEjecucion[id_operacion],tblEjecucion[precio],0)</f>
        <v/>
      </c>
      <c r="AE201" s="10">
        <f>MAX(0,_xlfn.XLOOKUP(tblOrdenes[[#This Row],[id_operacion]],tblEjecucion[id_operacion],tblEjecucion[costo_plan_total],0)-tblOrdenes[[#This Row],[costo_servicio]])</f>
        <v/>
      </c>
      <c r="AF201" s="10">
        <f>tblOrdenes[[#This Row],[costo_servicio]]+tblOrdenes[[#This Row],[costo_materiales]]</f>
        <v/>
      </c>
      <c r="AG201" s="6" t="inlineStr"/>
      <c r="AH201" s="6" t="inlineStr"/>
      <c r="AI201" s="6" t="inlineStr"/>
      <c r="AJ201" s="3">
        <f>IF(tblOrdenes[[#This Row],[link_checklist]]="","",HYPERLINK(p_ruta_base_checklists&amp;tblOrdenes[[#This Row],[link_checklist]],"abrir"))</f>
        <v/>
      </c>
      <c r="AK201" s="6" t="inlineStr"/>
    </row>
    <row r="202">
      <c r="A202" s="3" t="inlineStr">
        <is>
          <t>OT-000199</t>
        </is>
      </c>
      <c r="B202" s="3" t="inlineStr">
        <is>
          <t>0010</t>
        </is>
      </c>
      <c r="C202" s="3">
        <f>tblOrdenes[[#This Row],[orden]]&amp;IF(tblOrdenes[[#This Row],[operacion]]="","0010",tblOrdenes[[#This Row],[operacion]])</f>
        <v/>
      </c>
      <c r="D202" s="3" t="inlineStr">
        <is>
          <t>Reparación de falla — EQ-109</t>
        </is>
      </c>
      <c r="E202" s="3" t="inlineStr">
        <is>
          <t>Reparación de falla en EQ-109</t>
        </is>
      </c>
      <c r="F202" s="3" t="inlineStr">
        <is>
          <t>EQ-109</t>
        </is>
      </c>
      <c r="G202" s="3" t="inlineStr">
        <is>
          <t>CC-220</t>
        </is>
      </c>
      <c r="H202" s="3" t="inlineStr">
        <is>
          <t>PU-ELE</t>
        </is>
      </c>
      <c r="I202" s="3" t="inlineStr">
        <is>
          <t>ACT-03</t>
        </is>
      </c>
      <c r="J202" s="3" t="inlineStr">
        <is>
          <t>TIPO-C2</t>
        </is>
      </c>
      <c r="K202" s="11" t="n">
        <v>46182</v>
      </c>
      <c r="L202" s="3" t="n">
        <v>2</v>
      </c>
      <c r="M202" s="10" t="n">
        <v>80</v>
      </c>
      <c r="N202" s="3">
        <f>_xlfn.XLOOKUP(_xlfn.XLOOKUP(tblOrdenes[[#This Row],[id_operacion]],tblEjecucion[id_operacion],tblEjecucion[estado_sistema],""),tblEstados[estado_sistema],tblEstados[estado_normalizado],"Pendiente")</f>
        <v/>
      </c>
      <c r="O202" s="3">
        <f>IF(tblOrdenes[[#This Row],[fecha_inicio]]="","","S"&amp;IF(_xlfn.ISOWEEKNUM(tblOrdenes[[#This Row],[fecha_inicio]])=53,1,_xlfn.ISOWEEKNUM(tblOrdenes[[#This Row],[fecha_inicio]])))</f>
        <v/>
      </c>
      <c r="P202" s="3">
        <f>IF(tblOrdenes[[#This Row],[fecha_inicio]]="","",YEAR(tblOrdenes[[#This Row],[fecha_inicio]]))</f>
        <v/>
      </c>
      <c r="Q202" s="3">
        <f>IF(tblOrdenes[[#This Row],[fecha_inicio]]="","",MONTH(tblOrdenes[[#This Row],[fecha_inicio]]))</f>
        <v/>
      </c>
      <c r="R202" s="3">
        <f>IF(tblOrdenes[[#This Row],[fecha_inicio]]="","",INDEX(lista_dias,WEEKDAY(tblOrdenes[[#This Row],[fecha_inicio]],2)))</f>
        <v/>
      </c>
      <c r="S202" s="3">
        <f>_xlfn.XLOOKUP(tblOrdenes[[#This Row],[tipo_ot]],tblTiposOT[codigo],tblTiposOT[clasificacion],"sin_clasificar")</f>
        <v/>
      </c>
      <c r="T202" s="3">
        <f>_xlfn.XLOOKUP(tblOrdenes[[#This Row],[centro_costo]],tblCECO[codigo],tblCECO[linea],"(sin catálogo)")</f>
        <v/>
      </c>
      <c r="U202" s="3">
        <f>_xlfn.XLOOKUP(tblOrdenes[[#This Row],[centro_costo]],tblCECO[codigo],tblCECO[area],"(sin catálogo)")</f>
        <v/>
      </c>
      <c r="V202" s="3">
        <f>_xlfn.XLOOKUP(tblOrdenes[[#This Row],[centro_costo]],tblCECO[codigo],tblCECO[coordinador],"(sin catálogo)")</f>
        <v/>
      </c>
      <c r="W202" s="3">
        <f>_xlfn.XLOOKUP(tblOrdenes[[#This Row],[puesto_trabajo]],tblPuestos[codigo],tblPuestos[especialidad],"(sin catálogo)")</f>
        <v/>
      </c>
      <c r="X202" s="3">
        <f>_xlfn.XLOOKUP(tblOrdenes[[#This Row],[cod_actividad]],tblActividades[codigo],tblActividades[descripcion],"(sin catálogo)")</f>
        <v/>
      </c>
      <c r="Y202" s="12">
        <f>IF(tblOrdenes[[#This Row],[fecha_inicio]]="","",TODAY()-tblOrdenes[[#This Row],[fecha_inicio]])</f>
        <v/>
      </c>
      <c r="Z202" s="3">
        <f>IF(tblOrdenes[[#This Row],[backlog_dias]]="","",IF(tblOrdenes[[#This Row],[backlog_dias]]&lt;0,"FUTURO",IF(tblOrdenes[[#This Row],[backlog_dias]]&gt;p_dias_backlog_max,"BACKLOG","MES CORRIENTE")))</f>
        <v/>
      </c>
      <c r="AA202" s="3">
        <f>IF(tblOrdenes[[#This Row],[backlog_dias]]="",FALSE,AND(tblOrdenes[[#This Row],[backlog_dias]]&gt;p_dias_backlog_min,tblOrdenes[[#This Row],[backlog_dias]]&lt;=p_dias_backlog_max))</f>
        <v/>
      </c>
      <c r="AB202" s="6" t="inlineStr"/>
      <c r="AC20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02" s="10">
        <f>_xlfn.XLOOKUP(tblOrdenes[[#This Row],[id_operacion]],tblEjecucion[id_operacion],tblEjecucion[precio],0)</f>
        <v/>
      </c>
      <c r="AE202" s="10">
        <f>MAX(0,_xlfn.XLOOKUP(tblOrdenes[[#This Row],[id_operacion]],tblEjecucion[id_operacion],tblEjecucion[costo_plan_total],0)-tblOrdenes[[#This Row],[costo_servicio]])</f>
        <v/>
      </c>
      <c r="AF202" s="10">
        <f>tblOrdenes[[#This Row],[costo_servicio]]+tblOrdenes[[#This Row],[costo_materiales]]</f>
        <v/>
      </c>
      <c r="AG202" s="6" t="inlineStr"/>
      <c r="AH202" s="6" t="inlineStr"/>
      <c r="AI202" s="6" t="inlineStr"/>
      <c r="AJ202" s="3">
        <f>IF(tblOrdenes[[#This Row],[link_checklist]]="","",HYPERLINK(p_ruta_base_checklists&amp;tblOrdenes[[#This Row],[link_checklist]],"abrir"))</f>
        <v/>
      </c>
      <c r="AK202" s="6" t="inlineStr"/>
    </row>
    <row r="203">
      <c r="A203" s="3" t="inlineStr">
        <is>
          <t>OT-000200</t>
        </is>
      </c>
      <c r="B203" s="3" t="inlineStr">
        <is>
          <t>0010</t>
        </is>
      </c>
      <c r="C203" s="3">
        <f>tblOrdenes[[#This Row],[orden]]&amp;IF(tblOrdenes[[#This Row],[operacion]]="","0010",tblOrdenes[[#This Row],[operacion]])</f>
        <v/>
      </c>
      <c r="D203" s="3" t="inlineStr">
        <is>
          <t>Reparación de falla — EQ-106</t>
        </is>
      </c>
      <c r="E203" s="3" t="inlineStr">
        <is>
          <t>Reparación de falla en EQ-106</t>
        </is>
      </c>
      <c r="F203" s="3" t="inlineStr">
        <is>
          <t>EQ-106</t>
        </is>
      </c>
      <c r="G203" s="3" t="inlineStr">
        <is>
          <t>CC-220</t>
        </is>
      </c>
      <c r="H203" s="3" t="inlineStr">
        <is>
          <t>PU-ELE</t>
        </is>
      </c>
      <c r="I203" s="3" t="inlineStr">
        <is>
          <t>ACT-03</t>
        </is>
      </c>
      <c r="J203" s="3" t="inlineStr">
        <is>
          <t>TIPO-C1</t>
        </is>
      </c>
      <c r="K203" s="11" t="n">
        <v>46181</v>
      </c>
      <c r="L203" s="3" t="n">
        <v>2</v>
      </c>
      <c r="M203" s="10" t="n">
        <v>80</v>
      </c>
      <c r="N203" s="3">
        <f>_xlfn.XLOOKUP(_xlfn.XLOOKUP(tblOrdenes[[#This Row],[id_operacion]],tblEjecucion[id_operacion],tblEjecucion[estado_sistema],""),tblEstados[estado_sistema],tblEstados[estado_normalizado],"Pendiente")</f>
        <v/>
      </c>
      <c r="O203" s="3">
        <f>IF(tblOrdenes[[#This Row],[fecha_inicio]]="","","S"&amp;IF(_xlfn.ISOWEEKNUM(tblOrdenes[[#This Row],[fecha_inicio]])=53,1,_xlfn.ISOWEEKNUM(tblOrdenes[[#This Row],[fecha_inicio]])))</f>
        <v/>
      </c>
      <c r="P203" s="3">
        <f>IF(tblOrdenes[[#This Row],[fecha_inicio]]="","",YEAR(tblOrdenes[[#This Row],[fecha_inicio]]))</f>
        <v/>
      </c>
      <c r="Q203" s="3">
        <f>IF(tblOrdenes[[#This Row],[fecha_inicio]]="","",MONTH(tblOrdenes[[#This Row],[fecha_inicio]]))</f>
        <v/>
      </c>
      <c r="R203" s="3">
        <f>IF(tblOrdenes[[#This Row],[fecha_inicio]]="","",INDEX(lista_dias,WEEKDAY(tblOrdenes[[#This Row],[fecha_inicio]],2)))</f>
        <v/>
      </c>
      <c r="S203" s="3">
        <f>_xlfn.XLOOKUP(tblOrdenes[[#This Row],[tipo_ot]],tblTiposOT[codigo],tblTiposOT[clasificacion],"sin_clasificar")</f>
        <v/>
      </c>
      <c r="T203" s="3">
        <f>_xlfn.XLOOKUP(tblOrdenes[[#This Row],[centro_costo]],tblCECO[codigo],tblCECO[linea],"(sin catálogo)")</f>
        <v/>
      </c>
      <c r="U203" s="3">
        <f>_xlfn.XLOOKUP(tblOrdenes[[#This Row],[centro_costo]],tblCECO[codigo],tblCECO[area],"(sin catálogo)")</f>
        <v/>
      </c>
      <c r="V203" s="3">
        <f>_xlfn.XLOOKUP(tblOrdenes[[#This Row],[centro_costo]],tblCECO[codigo],tblCECO[coordinador],"(sin catálogo)")</f>
        <v/>
      </c>
      <c r="W203" s="3">
        <f>_xlfn.XLOOKUP(tblOrdenes[[#This Row],[puesto_trabajo]],tblPuestos[codigo],tblPuestos[especialidad],"(sin catálogo)")</f>
        <v/>
      </c>
      <c r="X203" s="3">
        <f>_xlfn.XLOOKUP(tblOrdenes[[#This Row],[cod_actividad]],tblActividades[codigo],tblActividades[descripcion],"(sin catálogo)")</f>
        <v/>
      </c>
      <c r="Y203" s="12">
        <f>IF(tblOrdenes[[#This Row],[fecha_inicio]]="","",TODAY()-tblOrdenes[[#This Row],[fecha_inicio]])</f>
        <v/>
      </c>
      <c r="Z203" s="3">
        <f>IF(tblOrdenes[[#This Row],[backlog_dias]]="","",IF(tblOrdenes[[#This Row],[backlog_dias]]&lt;0,"FUTURO",IF(tblOrdenes[[#This Row],[backlog_dias]]&gt;p_dias_backlog_max,"BACKLOG","MES CORRIENTE")))</f>
        <v/>
      </c>
      <c r="AA203" s="3">
        <f>IF(tblOrdenes[[#This Row],[backlog_dias]]="",FALSE,AND(tblOrdenes[[#This Row],[backlog_dias]]&gt;p_dias_backlog_min,tblOrdenes[[#This Row],[backlog_dias]]&lt;=p_dias_backlog_max))</f>
        <v/>
      </c>
      <c r="AB203" s="6" t="inlineStr"/>
      <c r="AC20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03" s="10">
        <f>_xlfn.XLOOKUP(tblOrdenes[[#This Row],[id_operacion]],tblEjecucion[id_operacion],tblEjecucion[precio],0)</f>
        <v/>
      </c>
      <c r="AE203" s="10">
        <f>MAX(0,_xlfn.XLOOKUP(tblOrdenes[[#This Row],[id_operacion]],tblEjecucion[id_operacion],tblEjecucion[costo_plan_total],0)-tblOrdenes[[#This Row],[costo_servicio]])</f>
        <v/>
      </c>
      <c r="AF203" s="10">
        <f>tblOrdenes[[#This Row],[costo_servicio]]+tblOrdenes[[#This Row],[costo_materiales]]</f>
        <v/>
      </c>
      <c r="AG203" s="6" t="inlineStr"/>
      <c r="AH203" s="6" t="inlineStr"/>
      <c r="AI203" s="6" t="inlineStr"/>
      <c r="AJ203" s="3">
        <f>IF(tblOrdenes[[#This Row],[link_checklist]]="","",HYPERLINK(p_ruta_base_checklists&amp;tblOrdenes[[#This Row],[link_checklist]],"abrir"))</f>
        <v/>
      </c>
      <c r="AK203" s="6" t="inlineStr"/>
    </row>
  </sheetData>
  <conditionalFormatting sqref="Y4:Y203">
    <cfRule type="cellIs" priority="1" operator="greaterThan" dxfId="0">
      <formula>90</formula>
    </cfRule>
  </conditionalFormatting>
  <conditionalFormatting sqref="AB4:AB203">
    <cfRule type="expression" priority="2" dxfId="1">
      <formula>AND($AA4=TRUE,$AB4="")</formula>
    </cfRule>
  </conditionalFormatting>
  <dataValidations count="1">
    <dataValidation sqref="AB4:AB203" showDropDown="0" showInputMessage="0" showErrorMessage="0" allowBlank="1" type="list">
      <formula1>lista_tecnicos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4" customWidth="1" min="4" max="4"/>
    <col width="16" customWidth="1" min="5" max="5"/>
    <col width="8" customWidth="1" min="6" max="6"/>
  </cols>
  <sheetData>
    <row r="1">
      <c r="A1" s="4" t="inlineStr">
        <is>
          <t>TECNICOS (tblTecnicos) — catálogo editable de personal propio</t>
        </is>
      </c>
    </row>
    <row r="3">
      <c r="A3" s="5" t="inlineStr">
        <is>
          <t>id</t>
        </is>
      </c>
      <c r="B3" s="5" t="inlineStr">
        <is>
          <t>nombre</t>
        </is>
      </c>
      <c r="C3" s="5" t="inlineStr">
        <is>
          <t>especialidad</t>
        </is>
      </c>
      <c r="D3" s="5" t="inlineStr">
        <is>
          <t>area</t>
        </is>
      </c>
      <c r="E3" s="5" t="inlineStr">
        <is>
          <t>coordinador</t>
        </is>
      </c>
      <c r="F3" s="5" t="inlineStr">
        <is>
          <t>activo</t>
        </is>
      </c>
    </row>
    <row r="4">
      <c r="A4" s="6" t="inlineStr">
        <is>
          <t>TEC-01</t>
        </is>
      </c>
      <c r="B4" s="6" t="inlineStr">
        <is>
          <t>Técnico 01</t>
        </is>
      </c>
      <c r="C4" s="6" t="inlineStr">
        <is>
          <t>MEC</t>
        </is>
      </c>
      <c r="D4" s="6" t="inlineStr">
        <is>
          <t>PRODUCCION</t>
        </is>
      </c>
      <c r="E4" s="6" t="inlineStr">
        <is>
          <t>Coordinador A</t>
        </is>
      </c>
      <c r="F4" s="6" t="inlineStr">
        <is>
          <t>SI</t>
        </is>
      </c>
    </row>
    <row r="5">
      <c r="A5" s="6" t="inlineStr">
        <is>
          <t>TEC-02</t>
        </is>
      </c>
      <c r="B5" s="6" t="inlineStr">
        <is>
          <t>Técnico 02</t>
        </is>
      </c>
      <c r="C5" s="6" t="inlineStr">
        <is>
          <t>MEC</t>
        </is>
      </c>
      <c r="D5" s="6" t="inlineStr">
        <is>
          <t>PRODUCCION</t>
        </is>
      </c>
      <c r="E5" s="6" t="inlineStr">
        <is>
          <t>Coordinador A</t>
        </is>
      </c>
      <c r="F5" s="6" t="inlineStr">
        <is>
          <t>SI</t>
        </is>
      </c>
    </row>
    <row r="6">
      <c r="A6" s="6" t="inlineStr">
        <is>
          <t>TEC-03</t>
        </is>
      </c>
      <c r="B6" s="6" t="inlineStr">
        <is>
          <t>Técnico 03</t>
        </is>
      </c>
      <c r="C6" s="6" t="inlineStr">
        <is>
          <t>MEC</t>
        </is>
      </c>
      <c r="D6" s="6" t="inlineStr">
        <is>
          <t>EMPAQUE</t>
        </is>
      </c>
      <c r="E6" s="6" t="inlineStr">
        <is>
          <t>Coordinador B</t>
        </is>
      </c>
      <c r="F6" s="6" t="inlineStr">
        <is>
          <t>SI</t>
        </is>
      </c>
    </row>
    <row r="7">
      <c r="A7" s="6" t="inlineStr">
        <is>
          <t>TEC-04</t>
        </is>
      </c>
      <c r="B7" s="6" t="inlineStr">
        <is>
          <t>Técnico 04</t>
        </is>
      </c>
      <c r="C7" s="6" t="inlineStr">
        <is>
          <t>MEC</t>
        </is>
      </c>
      <c r="D7" s="6" t="inlineStr">
        <is>
          <t>SERVICIOS</t>
        </is>
      </c>
      <c r="E7" s="6" t="inlineStr">
        <is>
          <t>Coordinador C</t>
        </is>
      </c>
      <c r="F7" s="6" t="inlineStr">
        <is>
          <t>SI</t>
        </is>
      </c>
    </row>
    <row r="8">
      <c r="A8" s="6" t="inlineStr">
        <is>
          <t>TEC-05</t>
        </is>
      </c>
      <c r="B8" s="6" t="inlineStr">
        <is>
          <t>Técnico 05</t>
        </is>
      </c>
      <c r="C8" s="6" t="inlineStr">
        <is>
          <t>ELE</t>
        </is>
      </c>
      <c r="D8" s="6" t="inlineStr">
        <is>
          <t>PRODUCCION</t>
        </is>
      </c>
      <c r="E8" s="6" t="inlineStr">
        <is>
          <t>Coordinador A</t>
        </is>
      </c>
      <c r="F8" s="6" t="inlineStr">
        <is>
          <t>SI</t>
        </is>
      </c>
    </row>
    <row r="9">
      <c r="A9" s="6" t="inlineStr">
        <is>
          <t>TEC-06</t>
        </is>
      </c>
      <c r="B9" s="6" t="inlineStr">
        <is>
          <t>Técnico 06</t>
        </is>
      </c>
      <c r="C9" s="6" t="inlineStr">
        <is>
          <t>ELE</t>
        </is>
      </c>
      <c r="D9" s="6" t="inlineStr">
        <is>
          <t>PRODUCCION</t>
        </is>
      </c>
      <c r="E9" s="6" t="inlineStr">
        <is>
          <t>Coordinador A</t>
        </is>
      </c>
      <c r="F9" s="6" t="inlineStr">
        <is>
          <t>SI</t>
        </is>
      </c>
    </row>
    <row r="10">
      <c r="A10" s="6" t="inlineStr">
        <is>
          <t>TEC-07</t>
        </is>
      </c>
      <c r="B10" s="6" t="inlineStr">
        <is>
          <t>Técnico 07</t>
        </is>
      </c>
      <c r="C10" s="6" t="inlineStr">
        <is>
          <t>ELE</t>
        </is>
      </c>
      <c r="D10" s="6" t="inlineStr">
        <is>
          <t>EMPAQUE</t>
        </is>
      </c>
      <c r="E10" s="6" t="inlineStr">
        <is>
          <t>Coordinador B</t>
        </is>
      </c>
      <c r="F10" s="6" t="inlineStr">
        <is>
          <t>SI</t>
        </is>
      </c>
    </row>
    <row r="11">
      <c r="A11" s="6" t="inlineStr">
        <is>
          <t>TEC-08</t>
        </is>
      </c>
      <c r="B11" s="6" t="inlineStr">
        <is>
          <t>Técnico 08</t>
        </is>
      </c>
      <c r="C11" s="6" t="inlineStr">
        <is>
          <t>AUT</t>
        </is>
      </c>
      <c r="D11" s="6" t="inlineStr">
        <is>
          <t>PRODUCCION</t>
        </is>
      </c>
      <c r="E11" s="6" t="inlineStr">
        <is>
          <t>Coordinador A</t>
        </is>
      </c>
      <c r="F11" s="6" t="inlineStr">
        <is>
          <t>SI</t>
        </is>
      </c>
    </row>
    <row r="12">
      <c r="A12" s="6" t="inlineStr">
        <is>
          <t>TEC-09</t>
        </is>
      </c>
      <c r="B12" s="6" t="inlineStr">
        <is>
          <t>Técnico 09</t>
        </is>
      </c>
      <c r="C12" s="6" t="inlineStr">
        <is>
          <t>AUT</t>
        </is>
      </c>
      <c r="D12" s="6" t="inlineStr">
        <is>
          <t>EMPAQUE</t>
        </is>
      </c>
      <c r="E12" s="6" t="inlineStr">
        <is>
          <t>Coordinador B</t>
        </is>
      </c>
      <c r="F12" s="6" t="inlineStr">
        <is>
          <t>SI</t>
        </is>
      </c>
    </row>
    <row r="13">
      <c r="A13" s="6" t="inlineStr">
        <is>
          <t>TEC-10</t>
        </is>
      </c>
      <c r="B13" s="6" t="inlineStr">
        <is>
          <t>Técnico 10</t>
        </is>
      </c>
      <c r="C13" s="6" t="inlineStr">
        <is>
          <t>OP</t>
        </is>
      </c>
      <c r="D13" s="6" t="inlineStr">
        <is>
          <t>PRODUCCION</t>
        </is>
      </c>
      <c r="E13" s="6" t="inlineStr">
        <is>
          <t>Coordinador A</t>
        </is>
      </c>
      <c r="F13" s="6" t="inlineStr">
        <is>
          <t>SI</t>
        </is>
      </c>
    </row>
    <row r="14">
      <c r="A14" s="6" t="inlineStr">
        <is>
          <t>TEC-11</t>
        </is>
      </c>
      <c r="B14" s="6" t="inlineStr">
        <is>
          <t>Técnico 11</t>
        </is>
      </c>
      <c r="C14" s="6" t="inlineStr">
        <is>
          <t>OP</t>
        </is>
      </c>
      <c r="D14" s="6" t="inlineStr">
        <is>
          <t>EMPAQUE</t>
        </is>
      </c>
      <c r="E14" s="6" t="inlineStr">
        <is>
          <t>Coordinador B</t>
        </is>
      </c>
      <c r="F14" s="6" t="inlineStr">
        <is>
          <t>SI</t>
        </is>
      </c>
    </row>
    <row r="15">
      <c r="A15" s="6" t="inlineStr">
        <is>
          <t>TEC-12</t>
        </is>
      </c>
      <c r="B15" s="6" t="inlineStr">
        <is>
          <t>Técnico 12</t>
        </is>
      </c>
      <c r="C15" s="6" t="inlineStr">
        <is>
          <t>OP</t>
        </is>
      </c>
      <c r="D15" s="6" t="inlineStr">
        <is>
          <t>SERVICIOS</t>
        </is>
      </c>
      <c r="E15" s="6" t="inlineStr">
        <is>
          <t>Coordinador C</t>
        </is>
      </c>
      <c r="F15" s="6" t="inlineStr">
        <is>
          <t>SI</t>
        </is>
      </c>
    </row>
  </sheetData>
  <dataValidations count="2">
    <dataValidation sqref="C4:C15" showDropDown="0" showInputMessage="0" showErrorMessage="0" allowBlank="0" type="list">
      <formula1>"ELE,MEC,AUT,OP"</formula1>
    </dataValidation>
    <dataValidation sqref="F4:F15" showDropDown="0" showInputMessage="0" showErrorMessage="0" allowBlank="0" type="list">
      <formula1>"SI,NO"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I3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5" customWidth="1" min="7" max="7"/>
    <col width="16" customWidth="1" min="8" max="8"/>
    <col width="26" customWidth="1" min="9" max="9"/>
  </cols>
  <sheetData>
    <row r="1">
      <c r="A1" s="4" t="inlineStr">
        <is>
          <t>ASIGNACIONES — turno por técnico, día y semana. El turno se elige de la lista desplegable; REGLA-5 calcula las horas.</t>
        </is>
      </c>
    </row>
    <row r="3">
      <c r="A3" s="5" t="inlineStr">
        <is>
          <t>semana</t>
        </is>
      </c>
      <c r="B3" s="5" t="inlineStr">
        <is>
          <t>dia</t>
        </is>
      </c>
      <c r="C3" s="5" t="inlineStr">
        <is>
          <t>tecnico</t>
        </is>
      </c>
      <c r="D3" s="5" t="inlineStr">
        <is>
          <t>area</t>
        </is>
      </c>
      <c r="E3" s="5" t="inlineStr">
        <is>
          <t>especialidad</t>
        </is>
      </c>
      <c r="F3" s="5" t="inlineStr">
        <is>
          <t>turno</t>
        </is>
      </c>
      <c r="G3" s="5" t="inlineStr">
        <is>
          <t>coordinador</t>
        </is>
      </c>
      <c r="H3" s="5" t="inlineStr">
        <is>
          <t>horas_disponibles</t>
        </is>
      </c>
      <c r="I3" s="5" t="inlineStr">
        <is>
          <t>clave</t>
        </is>
      </c>
    </row>
    <row r="4">
      <c r="A4" s="3" t="inlineStr">
        <is>
          <t>S28</t>
        </is>
      </c>
      <c r="B4" s="3" t="inlineStr">
        <is>
          <t>lunes</t>
        </is>
      </c>
      <c r="C4" s="3" t="inlineStr">
        <is>
          <t>Técnico 01</t>
        </is>
      </c>
      <c r="D4" s="3">
        <f>_xlfn.XLOOKUP(tblAsignaciones[[#This Row],[tecnico]],tblTecnicos[nombre],tblTecnicos[area],"")</f>
        <v/>
      </c>
      <c r="E4" s="3">
        <f>_xlfn.XLOOKUP(tblAsignaciones[[#This Row],[tecnico]],tblTecnicos[nombre],tblTecnicos[especialidad],"")</f>
        <v/>
      </c>
      <c r="F4" s="6" t="inlineStr">
        <is>
          <t>T1</t>
        </is>
      </c>
      <c r="G4" s="3">
        <f>_xlfn.XLOOKUP(tblAsignaciones[[#This Row],[tecnico]],tblTecnicos[nombre],tblTecnicos[coordinador],"")</f>
        <v/>
      </c>
      <c r="H4" s="3">
        <f>IF(OR(tblAsignaciones[[#This Row],[turno]]="",ISNUMBER(MATCH(tblAsignaciones[[#This Row],[turno]],lista_no_disponible,0))),0,p_horas_jornada)</f>
        <v/>
      </c>
      <c r="I4" s="3">
        <f>tblAsignaciones[[#This Row],[semana]]&amp;"|"&amp;tblAsignaciones[[#This Row],[dia]]&amp;"|"&amp;tblAsignaciones[[#This Row],[tecnico]]</f>
        <v/>
      </c>
    </row>
    <row r="5">
      <c r="A5" s="3" t="inlineStr">
        <is>
          <t>S28</t>
        </is>
      </c>
      <c r="B5" s="3" t="inlineStr">
        <is>
          <t>martes</t>
        </is>
      </c>
      <c r="C5" s="3" t="inlineStr">
        <is>
          <t>Técnico 01</t>
        </is>
      </c>
      <c r="D5" s="3">
        <f>_xlfn.XLOOKUP(tblAsignaciones[[#This Row],[tecnico]],tblTecnicos[nombre],tblTecnicos[area],"")</f>
        <v/>
      </c>
      <c r="E5" s="3">
        <f>_xlfn.XLOOKUP(tblAsignaciones[[#This Row],[tecnico]],tblTecnicos[nombre],tblTecnicos[especialidad],"")</f>
        <v/>
      </c>
      <c r="F5" s="6" t="inlineStr">
        <is>
          <t>T1</t>
        </is>
      </c>
      <c r="G5" s="3">
        <f>_xlfn.XLOOKUP(tblAsignaciones[[#This Row],[tecnico]],tblTecnicos[nombre],tblTecnicos[coordinador],"")</f>
        <v/>
      </c>
      <c r="H5" s="3">
        <f>IF(OR(tblAsignaciones[[#This Row],[turno]]="",ISNUMBER(MATCH(tblAsignaciones[[#This Row],[turno]],lista_no_disponible,0))),0,p_horas_jornada)</f>
        <v/>
      </c>
      <c r="I5" s="3">
        <f>tblAsignaciones[[#This Row],[semana]]&amp;"|"&amp;tblAsignaciones[[#This Row],[dia]]&amp;"|"&amp;tblAsignaciones[[#This Row],[tecnico]]</f>
        <v/>
      </c>
    </row>
    <row r="6">
      <c r="A6" s="3" t="inlineStr">
        <is>
          <t>S28</t>
        </is>
      </c>
      <c r="B6" s="3" t="inlineStr">
        <is>
          <t>miércoles</t>
        </is>
      </c>
      <c r="C6" s="3" t="inlineStr">
        <is>
          <t>Técnico 01</t>
        </is>
      </c>
      <c r="D6" s="3">
        <f>_xlfn.XLOOKUP(tblAsignaciones[[#This Row],[tecnico]],tblTecnicos[nombre],tblTecnicos[area],"")</f>
        <v/>
      </c>
      <c r="E6" s="3">
        <f>_xlfn.XLOOKUP(tblAsignaciones[[#This Row],[tecnico]],tblTecnicos[nombre],tblTecnicos[especialidad],"")</f>
        <v/>
      </c>
      <c r="F6" s="6" t="inlineStr">
        <is>
          <t>T1</t>
        </is>
      </c>
      <c r="G6" s="3">
        <f>_xlfn.XLOOKUP(tblAsignaciones[[#This Row],[tecnico]],tblTecnicos[nombre],tblTecnicos[coordinador],"")</f>
        <v/>
      </c>
      <c r="H6" s="3">
        <f>IF(OR(tblAsignaciones[[#This Row],[turno]]="",ISNUMBER(MATCH(tblAsignaciones[[#This Row],[turno]],lista_no_disponible,0))),0,p_horas_jornada)</f>
        <v/>
      </c>
      <c r="I6" s="3">
        <f>tblAsignaciones[[#This Row],[semana]]&amp;"|"&amp;tblAsignaciones[[#This Row],[dia]]&amp;"|"&amp;tblAsignaciones[[#This Row],[tecnico]]</f>
        <v/>
      </c>
    </row>
    <row r="7">
      <c r="A7" s="3" t="inlineStr">
        <is>
          <t>S28</t>
        </is>
      </c>
      <c r="B7" s="3" t="inlineStr">
        <is>
          <t>jueves</t>
        </is>
      </c>
      <c r="C7" s="3" t="inlineStr">
        <is>
          <t>Técnico 01</t>
        </is>
      </c>
      <c r="D7" s="3">
        <f>_xlfn.XLOOKUP(tblAsignaciones[[#This Row],[tecnico]],tblTecnicos[nombre],tblTecnicos[area],"")</f>
        <v/>
      </c>
      <c r="E7" s="3">
        <f>_xlfn.XLOOKUP(tblAsignaciones[[#This Row],[tecnico]],tblTecnicos[nombre],tblTecnicos[especialidad],"")</f>
        <v/>
      </c>
      <c r="F7" s="6" t="inlineStr">
        <is>
          <t>T1</t>
        </is>
      </c>
      <c r="G7" s="3">
        <f>_xlfn.XLOOKUP(tblAsignaciones[[#This Row],[tecnico]],tblTecnicos[nombre],tblTecnicos[coordinador],"")</f>
        <v/>
      </c>
      <c r="H7" s="3">
        <f>IF(OR(tblAsignaciones[[#This Row],[turno]]="",ISNUMBER(MATCH(tblAsignaciones[[#This Row],[turno]],lista_no_disponible,0))),0,p_horas_jornada)</f>
        <v/>
      </c>
      <c r="I7" s="3">
        <f>tblAsignaciones[[#This Row],[semana]]&amp;"|"&amp;tblAsignaciones[[#This Row],[dia]]&amp;"|"&amp;tblAsignaciones[[#This Row],[tecnico]]</f>
        <v/>
      </c>
    </row>
    <row r="8">
      <c r="A8" s="3" t="inlineStr">
        <is>
          <t>S28</t>
        </is>
      </c>
      <c r="B8" s="3" t="inlineStr">
        <is>
          <t>viernes</t>
        </is>
      </c>
      <c r="C8" s="3" t="inlineStr">
        <is>
          <t>Técnico 01</t>
        </is>
      </c>
      <c r="D8" s="3">
        <f>_xlfn.XLOOKUP(tblAsignaciones[[#This Row],[tecnico]],tblTecnicos[nombre],tblTecnicos[area],"")</f>
        <v/>
      </c>
      <c r="E8" s="3">
        <f>_xlfn.XLOOKUP(tblAsignaciones[[#This Row],[tecnico]],tblTecnicos[nombre],tblTecnicos[especialidad],"")</f>
        <v/>
      </c>
      <c r="F8" s="6" t="inlineStr">
        <is>
          <t>T1</t>
        </is>
      </c>
      <c r="G8" s="3">
        <f>_xlfn.XLOOKUP(tblAsignaciones[[#This Row],[tecnico]],tblTecnicos[nombre],tblTecnicos[coordinador],"")</f>
        <v/>
      </c>
      <c r="H8" s="3">
        <f>IF(OR(tblAsignaciones[[#This Row],[turno]]="",ISNUMBER(MATCH(tblAsignaciones[[#This Row],[turno]],lista_no_disponible,0))),0,p_horas_jornada)</f>
        <v/>
      </c>
      <c r="I8" s="3">
        <f>tblAsignaciones[[#This Row],[semana]]&amp;"|"&amp;tblAsignaciones[[#This Row],[dia]]&amp;"|"&amp;tblAsignaciones[[#This Row],[tecnico]]</f>
        <v/>
      </c>
    </row>
    <row r="9">
      <c r="A9" s="3" t="inlineStr">
        <is>
          <t>S28</t>
        </is>
      </c>
      <c r="B9" s="3" t="inlineStr">
        <is>
          <t>sábado</t>
        </is>
      </c>
      <c r="C9" s="3" t="inlineStr">
        <is>
          <t>Técnico 01</t>
        </is>
      </c>
      <c r="D9" s="3">
        <f>_xlfn.XLOOKUP(tblAsignaciones[[#This Row],[tecnico]],tblTecnicos[nombre],tblTecnicos[area],"")</f>
        <v/>
      </c>
      <c r="E9" s="3">
        <f>_xlfn.XLOOKUP(tblAsignaciones[[#This Row],[tecnico]],tblTecnicos[nombre],tblTecnicos[especialidad],"")</f>
        <v/>
      </c>
      <c r="F9" s="6" t="inlineStr"/>
      <c r="G9" s="3">
        <f>_xlfn.XLOOKUP(tblAsignaciones[[#This Row],[tecnico]],tblTecnicos[nombre],tblTecnicos[coordinador],"")</f>
        <v/>
      </c>
      <c r="H9" s="3">
        <f>IF(OR(tblAsignaciones[[#This Row],[turno]]="",ISNUMBER(MATCH(tblAsignaciones[[#This Row],[turno]],lista_no_disponible,0))),0,p_horas_jornada)</f>
        <v/>
      </c>
      <c r="I9" s="3">
        <f>tblAsignaciones[[#This Row],[semana]]&amp;"|"&amp;tblAsignaciones[[#This Row],[dia]]&amp;"|"&amp;tblAsignaciones[[#This Row],[tecnico]]</f>
        <v/>
      </c>
    </row>
    <row r="10">
      <c r="A10" s="3" t="inlineStr">
        <is>
          <t>S28</t>
        </is>
      </c>
      <c r="B10" s="3" t="inlineStr">
        <is>
          <t>domingo</t>
        </is>
      </c>
      <c r="C10" s="3" t="inlineStr">
        <is>
          <t>Técnico 01</t>
        </is>
      </c>
      <c r="D10" s="3">
        <f>_xlfn.XLOOKUP(tblAsignaciones[[#This Row],[tecnico]],tblTecnicos[nombre],tblTecnicos[area],"")</f>
        <v/>
      </c>
      <c r="E10" s="3">
        <f>_xlfn.XLOOKUP(tblAsignaciones[[#This Row],[tecnico]],tblTecnicos[nombre],tblTecnicos[especialidad],"")</f>
        <v/>
      </c>
      <c r="F10" s="6" t="inlineStr"/>
      <c r="G10" s="3">
        <f>_xlfn.XLOOKUP(tblAsignaciones[[#This Row],[tecnico]],tblTecnicos[nombre],tblTecnicos[coordinador],"")</f>
        <v/>
      </c>
      <c r="H10" s="3">
        <f>IF(OR(tblAsignaciones[[#This Row],[turno]]="",ISNUMBER(MATCH(tblAsignaciones[[#This Row],[turno]],lista_no_disponible,0))),0,p_horas_jornada)</f>
        <v/>
      </c>
      <c r="I10" s="3">
        <f>tblAsignaciones[[#This Row],[semana]]&amp;"|"&amp;tblAsignaciones[[#This Row],[dia]]&amp;"|"&amp;tblAsignaciones[[#This Row],[tecnico]]</f>
        <v/>
      </c>
    </row>
    <row r="11">
      <c r="A11" s="3" t="inlineStr">
        <is>
          <t>S28</t>
        </is>
      </c>
      <c r="B11" s="3" t="inlineStr">
        <is>
          <t>lunes</t>
        </is>
      </c>
      <c r="C11" s="3" t="inlineStr">
        <is>
          <t>Técnico 02</t>
        </is>
      </c>
      <c r="D11" s="3">
        <f>_xlfn.XLOOKUP(tblAsignaciones[[#This Row],[tecnico]],tblTecnicos[nombre],tblTecnicos[area],"")</f>
        <v/>
      </c>
      <c r="E11" s="3">
        <f>_xlfn.XLOOKUP(tblAsignaciones[[#This Row],[tecnico]],tblTecnicos[nombre],tblTecnicos[especialidad],"")</f>
        <v/>
      </c>
      <c r="F11" s="6" t="inlineStr">
        <is>
          <t>T2</t>
        </is>
      </c>
      <c r="G11" s="3">
        <f>_xlfn.XLOOKUP(tblAsignaciones[[#This Row],[tecnico]],tblTecnicos[nombre],tblTecnicos[coordinador],"")</f>
        <v/>
      </c>
      <c r="H11" s="3">
        <f>IF(OR(tblAsignaciones[[#This Row],[turno]]="",ISNUMBER(MATCH(tblAsignaciones[[#This Row],[turno]],lista_no_disponible,0))),0,p_horas_jornada)</f>
        <v/>
      </c>
      <c r="I11" s="3">
        <f>tblAsignaciones[[#This Row],[semana]]&amp;"|"&amp;tblAsignaciones[[#This Row],[dia]]&amp;"|"&amp;tblAsignaciones[[#This Row],[tecnico]]</f>
        <v/>
      </c>
    </row>
    <row r="12">
      <c r="A12" s="3" t="inlineStr">
        <is>
          <t>S28</t>
        </is>
      </c>
      <c r="B12" s="3" t="inlineStr">
        <is>
          <t>martes</t>
        </is>
      </c>
      <c r="C12" s="3" t="inlineStr">
        <is>
          <t>Técnico 02</t>
        </is>
      </c>
      <c r="D12" s="3">
        <f>_xlfn.XLOOKUP(tblAsignaciones[[#This Row],[tecnico]],tblTecnicos[nombre],tblTecnicos[area],"")</f>
        <v/>
      </c>
      <c r="E12" s="3">
        <f>_xlfn.XLOOKUP(tblAsignaciones[[#This Row],[tecnico]],tblTecnicos[nombre],tblTecnicos[especialidad],"")</f>
        <v/>
      </c>
      <c r="F12" s="6" t="inlineStr">
        <is>
          <t>T2</t>
        </is>
      </c>
      <c r="G12" s="3">
        <f>_xlfn.XLOOKUP(tblAsignaciones[[#This Row],[tecnico]],tblTecnicos[nombre],tblTecnicos[coordinador],"")</f>
        <v/>
      </c>
      <c r="H12" s="3">
        <f>IF(OR(tblAsignaciones[[#This Row],[turno]]="",ISNUMBER(MATCH(tblAsignaciones[[#This Row],[turno]],lista_no_disponible,0))),0,p_horas_jornada)</f>
        <v/>
      </c>
      <c r="I12" s="3">
        <f>tblAsignaciones[[#This Row],[semana]]&amp;"|"&amp;tblAsignaciones[[#This Row],[dia]]&amp;"|"&amp;tblAsignaciones[[#This Row],[tecnico]]</f>
        <v/>
      </c>
    </row>
    <row r="13">
      <c r="A13" s="3" t="inlineStr">
        <is>
          <t>S28</t>
        </is>
      </c>
      <c r="B13" s="3" t="inlineStr">
        <is>
          <t>miércoles</t>
        </is>
      </c>
      <c r="C13" s="3" t="inlineStr">
        <is>
          <t>Técnico 02</t>
        </is>
      </c>
      <c r="D13" s="3">
        <f>_xlfn.XLOOKUP(tblAsignaciones[[#This Row],[tecnico]],tblTecnicos[nombre],tblTecnicos[area],"")</f>
        <v/>
      </c>
      <c r="E13" s="3">
        <f>_xlfn.XLOOKUP(tblAsignaciones[[#This Row],[tecnico]],tblTecnicos[nombre],tblTecnicos[especialidad],"")</f>
        <v/>
      </c>
      <c r="F13" s="6" t="inlineStr">
        <is>
          <t>T2</t>
        </is>
      </c>
      <c r="G13" s="3">
        <f>_xlfn.XLOOKUP(tblAsignaciones[[#This Row],[tecnico]],tblTecnicos[nombre],tblTecnicos[coordinador],"")</f>
        <v/>
      </c>
      <c r="H13" s="3">
        <f>IF(OR(tblAsignaciones[[#This Row],[turno]]="",ISNUMBER(MATCH(tblAsignaciones[[#This Row],[turno]],lista_no_disponible,0))),0,p_horas_jornada)</f>
        <v/>
      </c>
      <c r="I13" s="3">
        <f>tblAsignaciones[[#This Row],[semana]]&amp;"|"&amp;tblAsignaciones[[#This Row],[dia]]&amp;"|"&amp;tblAsignaciones[[#This Row],[tecnico]]</f>
        <v/>
      </c>
    </row>
    <row r="14">
      <c r="A14" s="3" t="inlineStr">
        <is>
          <t>S28</t>
        </is>
      </c>
      <c r="B14" s="3" t="inlineStr">
        <is>
          <t>jueves</t>
        </is>
      </c>
      <c r="C14" s="3" t="inlineStr">
        <is>
          <t>Técnico 02</t>
        </is>
      </c>
      <c r="D14" s="3">
        <f>_xlfn.XLOOKUP(tblAsignaciones[[#This Row],[tecnico]],tblTecnicos[nombre],tblTecnicos[area],"")</f>
        <v/>
      </c>
      <c r="E14" s="3">
        <f>_xlfn.XLOOKUP(tblAsignaciones[[#This Row],[tecnico]],tblTecnicos[nombre],tblTecnicos[especialidad],"")</f>
        <v/>
      </c>
      <c r="F14" s="6" t="inlineStr">
        <is>
          <t>T2</t>
        </is>
      </c>
      <c r="G14" s="3">
        <f>_xlfn.XLOOKUP(tblAsignaciones[[#This Row],[tecnico]],tblTecnicos[nombre],tblTecnicos[coordinador],"")</f>
        <v/>
      </c>
      <c r="H14" s="3">
        <f>IF(OR(tblAsignaciones[[#This Row],[turno]]="",ISNUMBER(MATCH(tblAsignaciones[[#This Row],[turno]],lista_no_disponible,0))),0,p_horas_jornada)</f>
        <v/>
      </c>
      <c r="I14" s="3">
        <f>tblAsignaciones[[#This Row],[semana]]&amp;"|"&amp;tblAsignaciones[[#This Row],[dia]]&amp;"|"&amp;tblAsignaciones[[#This Row],[tecnico]]</f>
        <v/>
      </c>
    </row>
    <row r="15">
      <c r="A15" s="3" t="inlineStr">
        <is>
          <t>S28</t>
        </is>
      </c>
      <c r="B15" s="3" t="inlineStr">
        <is>
          <t>viernes</t>
        </is>
      </c>
      <c r="C15" s="3" t="inlineStr">
        <is>
          <t>Técnico 02</t>
        </is>
      </c>
      <c r="D15" s="3">
        <f>_xlfn.XLOOKUP(tblAsignaciones[[#This Row],[tecnico]],tblTecnicos[nombre],tblTecnicos[area],"")</f>
        <v/>
      </c>
      <c r="E15" s="3">
        <f>_xlfn.XLOOKUP(tblAsignaciones[[#This Row],[tecnico]],tblTecnicos[nombre],tblTecnicos[especialidad],"")</f>
        <v/>
      </c>
      <c r="F15" s="6" t="inlineStr">
        <is>
          <t>T2</t>
        </is>
      </c>
      <c r="G15" s="3">
        <f>_xlfn.XLOOKUP(tblAsignaciones[[#This Row],[tecnico]],tblTecnicos[nombre],tblTecnicos[coordinador],"")</f>
        <v/>
      </c>
      <c r="H15" s="3">
        <f>IF(OR(tblAsignaciones[[#This Row],[turno]]="",ISNUMBER(MATCH(tblAsignaciones[[#This Row],[turno]],lista_no_disponible,0))),0,p_horas_jornada)</f>
        <v/>
      </c>
      <c r="I15" s="3">
        <f>tblAsignaciones[[#This Row],[semana]]&amp;"|"&amp;tblAsignaciones[[#This Row],[dia]]&amp;"|"&amp;tblAsignaciones[[#This Row],[tecnico]]</f>
        <v/>
      </c>
    </row>
    <row r="16">
      <c r="A16" s="3" t="inlineStr">
        <is>
          <t>S28</t>
        </is>
      </c>
      <c r="B16" s="3" t="inlineStr">
        <is>
          <t>sábado</t>
        </is>
      </c>
      <c r="C16" s="3" t="inlineStr">
        <is>
          <t>Técnico 02</t>
        </is>
      </c>
      <c r="D16" s="3">
        <f>_xlfn.XLOOKUP(tblAsignaciones[[#This Row],[tecnico]],tblTecnicos[nombre],tblTecnicos[area],"")</f>
        <v/>
      </c>
      <c r="E16" s="3">
        <f>_xlfn.XLOOKUP(tblAsignaciones[[#This Row],[tecnico]],tblTecnicos[nombre],tblTecnicos[especialidad],"")</f>
        <v/>
      </c>
      <c r="F16" s="6" t="inlineStr"/>
      <c r="G16" s="3">
        <f>_xlfn.XLOOKUP(tblAsignaciones[[#This Row],[tecnico]],tblTecnicos[nombre],tblTecnicos[coordinador],"")</f>
        <v/>
      </c>
      <c r="H16" s="3">
        <f>IF(OR(tblAsignaciones[[#This Row],[turno]]="",ISNUMBER(MATCH(tblAsignaciones[[#This Row],[turno]],lista_no_disponible,0))),0,p_horas_jornada)</f>
        <v/>
      </c>
      <c r="I16" s="3">
        <f>tblAsignaciones[[#This Row],[semana]]&amp;"|"&amp;tblAsignaciones[[#This Row],[dia]]&amp;"|"&amp;tblAsignaciones[[#This Row],[tecnico]]</f>
        <v/>
      </c>
    </row>
    <row r="17">
      <c r="A17" s="3" t="inlineStr">
        <is>
          <t>S28</t>
        </is>
      </c>
      <c r="B17" s="3" t="inlineStr">
        <is>
          <t>domingo</t>
        </is>
      </c>
      <c r="C17" s="3" t="inlineStr">
        <is>
          <t>Técnico 02</t>
        </is>
      </c>
      <c r="D17" s="3">
        <f>_xlfn.XLOOKUP(tblAsignaciones[[#This Row],[tecnico]],tblTecnicos[nombre],tblTecnicos[area],"")</f>
        <v/>
      </c>
      <c r="E17" s="3">
        <f>_xlfn.XLOOKUP(tblAsignaciones[[#This Row],[tecnico]],tblTecnicos[nombre],tblTecnicos[especialidad],"")</f>
        <v/>
      </c>
      <c r="F17" s="6" t="inlineStr"/>
      <c r="G17" s="3">
        <f>_xlfn.XLOOKUP(tblAsignaciones[[#This Row],[tecnico]],tblTecnicos[nombre],tblTecnicos[coordinador],"")</f>
        <v/>
      </c>
      <c r="H17" s="3">
        <f>IF(OR(tblAsignaciones[[#This Row],[turno]]="",ISNUMBER(MATCH(tblAsignaciones[[#This Row],[turno]],lista_no_disponible,0))),0,p_horas_jornada)</f>
        <v/>
      </c>
      <c r="I17" s="3">
        <f>tblAsignaciones[[#This Row],[semana]]&amp;"|"&amp;tblAsignaciones[[#This Row],[dia]]&amp;"|"&amp;tblAsignaciones[[#This Row],[tecnico]]</f>
        <v/>
      </c>
    </row>
    <row r="18">
      <c r="A18" s="3" t="inlineStr">
        <is>
          <t>S28</t>
        </is>
      </c>
      <c r="B18" s="3" t="inlineStr">
        <is>
          <t>lunes</t>
        </is>
      </c>
      <c r="C18" s="3" t="inlineStr">
        <is>
          <t>Técnico 03</t>
        </is>
      </c>
      <c r="D18" s="3">
        <f>_xlfn.XLOOKUP(tblAsignaciones[[#This Row],[tecnico]],tblTecnicos[nombre],tblTecnicos[area],"")</f>
        <v/>
      </c>
      <c r="E18" s="3">
        <f>_xlfn.XLOOKUP(tblAsignaciones[[#This Row],[tecnico]],tblTecnicos[nombre],tblTecnicos[especialidad],"")</f>
        <v/>
      </c>
      <c r="F18" s="6" t="inlineStr">
        <is>
          <t>T1</t>
        </is>
      </c>
      <c r="G18" s="3">
        <f>_xlfn.XLOOKUP(tblAsignaciones[[#This Row],[tecnico]],tblTecnicos[nombre],tblTecnicos[coordinador],"")</f>
        <v/>
      </c>
      <c r="H18" s="3">
        <f>IF(OR(tblAsignaciones[[#This Row],[turno]]="",ISNUMBER(MATCH(tblAsignaciones[[#This Row],[turno]],lista_no_disponible,0))),0,p_horas_jornada)</f>
        <v/>
      </c>
      <c r="I18" s="3">
        <f>tblAsignaciones[[#This Row],[semana]]&amp;"|"&amp;tblAsignaciones[[#This Row],[dia]]&amp;"|"&amp;tblAsignaciones[[#This Row],[tecnico]]</f>
        <v/>
      </c>
    </row>
    <row r="19">
      <c r="A19" s="3" t="inlineStr">
        <is>
          <t>S28</t>
        </is>
      </c>
      <c r="B19" s="3" t="inlineStr">
        <is>
          <t>martes</t>
        </is>
      </c>
      <c r="C19" s="3" t="inlineStr">
        <is>
          <t>Técnico 03</t>
        </is>
      </c>
      <c r="D19" s="3">
        <f>_xlfn.XLOOKUP(tblAsignaciones[[#This Row],[tecnico]],tblTecnicos[nombre],tblTecnicos[area],"")</f>
        <v/>
      </c>
      <c r="E19" s="3">
        <f>_xlfn.XLOOKUP(tblAsignaciones[[#This Row],[tecnico]],tblTecnicos[nombre],tblTecnicos[especialidad],"")</f>
        <v/>
      </c>
      <c r="F19" s="6" t="inlineStr">
        <is>
          <t>T1</t>
        </is>
      </c>
      <c r="G19" s="3">
        <f>_xlfn.XLOOKUP(tblAsignaciones[[#This Row],[tecnico]],tblTecnicos[nombre],tblTecnicos[coordinador],"")</f>
        <v/>
      </c>
      <c r="H19" s="3">
        <f>IF(OR(tblAsignaciones[[#This Row],[turno]]="",ISNUMBER(MATCH(tblAsignaciones[[#This Row],[turno]],lista_no_disponible,0))),0,p_horas_jornada)</f>
        <v/>
      </c>
      <c r="I19" s="3">
        <f>tblAsignaciones[[#This Row],[semana]]&amp;"|"&amp;tblAsignaciones[[#This Row],[dia]]&amp;"|"&amp;tblAsignaciones[[#This Row],[tecnico]]</f>
        <v/>
      </c>
    </row>
    <row r="20">
      <c r="A20" s="3" t="inlineStr">
        <is>
          <t>S28</t>
        </is>
      </c>
      <c r="B20" s="3" t="inlineStr">
        <is>
          <t>miércoles</t>
        </is>
      </c>
      <c r="C20" s="3" t="inlineStr">
        <is>
          <t>Técnico 03</t>
        </is>
      </c>
      <c r="D20" s="3">
        <f>_xlfn.XLOOKUP(tblAsignaciones[[#This Row],[tecnico]],tblTecnicos[nombre],tblTecnicos[area],"")</f>
        <v/>
      </c>
      <c r="E20" s="3">
        <f>_xlfn.XLOOKUP(tblAsignaciones[[#This Row],[tecnico]],tblTecnicos[nombre],tblTecnicos[especialidad],"")</f>
        <v/>
      </c>
      <c r="F20" s="6" t="inlineStr">
        <is>
          <t>T1</t>
        </is>
      </c>
      <c r="G20" s="3">
        <f>_xlfn.XLOOKUP(tblAsignaciones[[#This Row],[tecnico]],tblTecnicos[nombre],tblTecnicos[coordinador],"")</f>
        <v/>
      </c>
      <c r="H20" s="3">
        <f>IF(OR(tblAsignaciones[[#This Row],[turno]]="",ISNUMBER(MATCH(tblAsignaciones[[#This Row],[turno]],lista_no_disponible,0))),0,p_horas_jornada)</f>
        <v/>
      </c>
      <c r="I20" s="3">
        <f>tblAsignaciones[[#This Row],[semana]]&amp;"|"&amp;tblAsignaciones[[#This Row],[dia]]&amp;"|"&amp;tblAsignaciones[[#This Row],[tecnico]]</f>
        <v/>
      </c>
    </row>
    <row r="21">
      <c r="A21" s="3" t="inlineStr">
        <is>
          <t>S28</t>
        </is>
      </c>
      <c r="B21" s="3" t="inlineStr">
        <is>
          <t>jueves</t>
        </is>
      </c>
      <c r="C21" s="3" t="inlineStr">
        <is>
          <t>Técnico 03</t>
        </is>
      </c>
      <c r="D21" s="3">
        <f>_xlfn.XLOOKUP(tblAsignaciones[[#This Row],[tecnico]],tblTecnicos[nombre],tblTecnicos[area],"")</f>
        <v/>
      </c>
      <c r="E21" s="3">
        <f>_xlfn.XLOOKUP(tblAsignaciones[[#This Row],[tecnico]],tblTecnicos[nombre],tblTecnicos[especialidad],"")</f>
        <v/>
      </c>
      <c r="F21" s="6" t="inlineStr">
        <is>
          <t>T1</t>
        </is>
      </c>
      <c r="G21" s="3">
        <f>_xlfn.XLOOKUP(tblAsignaciones[[#This Row],[tecnico]],tblTecnicos[nombre],tblTecnicos[coordinador],"")</f>
        <v/>
      </c>
      <c r="H21" s="3">
        <f>IF(OR(tblAsignaciones[[#This Row],[turno]]="",ISNUMBER(MATCH(tblAsignaciones[[#This Row],[turno]],lista_no_disponible,0))),0,p_horas_jornada)</f>
        <v/>
      </c>
      <c r="I21" s="3">
        <f>tblAsignaciones[[#This Row],[semana]]&amp;"|"&amp;tblAsignaciones[[#This Row],[dia]]&amp;"|"&amp;tblAsignaciones[[#This Row],[tecnico]]</f>
        <v/>
      </c>
    </row>
    <row r="22">
      <c r="A22" s="3" t="inlineStr">
        <is>
          <t>S28</t>
        </is>
      </c>
      <c r="B22" s="3" t="inlineStr">
        <is>
          <t>viernes</t>
        </is>
      </c>
      <c r="C22" s="3" t="inlineStr">
        <is>
          <t>Técnico 03</t>
        </is>
      </c>
      <c r="D22" s="3">
        <f>_xlfn.XLOOKUP(tblAsignaciones[[#This Row],[tecnico]],tblTecnicos[nombre],tblTecnicos[area],"")</f>
        <v/>
      </c>
      <c r="E22" s="3">
        <f>_xlfn.XLOOKUP(tblAsignaciones[[#This Row],[tecnico]],tblTecnicos[nombre],tblTecnicos[especialidad],"")</f>
        <v/>
      </c>
      <c r="F22" s="6" t="inlineStr">
        <is>
          <t>T1</t>
        </is>
      </c>
      <c r="G22" s="3">
        <f>_xlfn.XLOOKUP(tblAsignaciones[[#This Row],[tecnico]],tblTecnicos[nombre],tblTecnicos[coordinador],"")</f>
        <v/>
      </c>
      <c r="H22" s="3">
        <f>IF(OR(tblAsignaciones[[#This Row],[turno]]="",ISNUMBER(MATCH(tblAsignaciones[[#This Row],[turno]],lista_no_disponible,0))),0,p_horas_jornada)</f>
        <v/>
      </c>
      <c r="I22" s="3">
        <f>tblAsignaciones[[#This Row],[semana]]&amp;"|"&amp;tblAsignaciones[[#This Row],[dia]]&amp;"|"&amp;tblAsignaciones[[#This Row],[tecnico]]</f>
        <v/>
      </c>
    </row>
    <row r="23">
      <c r="A23" s="3" t="inlineStr">
        <is>
          <t>S28</t>
        </is>
      </c>
      <c r="B23" s="3" t="inlineStr">
        <is>
          <t>sábado</t>
        </is>
      </c>
      <c r="C23" s="3" t="inlineStr">
        <is>
          <t>Técnico 03</t>
        </is>
      </c>
      <c r="D23" s="3">
        <f>_xlfn.XLOOKUP(tblAsignaciones[[#This Row],[tecnico]],tblTecnicos[nombre],tblTecnicos[area],"")</f>
        <v/>
      </c>
      <c r="E23" s="3">
        <f>_xlfn.XLOOKUP(tblAsignaciones[[#This Row],[tecnico]],tblTecnicos[nombre],tblTecnicos[especialidad],"")</f>
        <v/>
      </c>
      <c r="F23" s="6" t="inlineStr"/>
      <c r="G23" s="3">
        <f>_xlfn.XLOOKUP(tblAsignaciones[[#This Row],[tecnico]],tblTecnicos[nombre],tblTecnicos[coordinador],"")</f>
        <v/>
      </c>
      <c r="H23" s="3">
        <f>IF(OR(tblAsignaciones[[#This Row],[turno]]="",ISNUMBER(MATCH(tblAsignaciones[[#This Row],[turno]],lista_no_disponible,0))),0,p_horas_jornada)</f>
        <v/>
      </c>
      <c r="I23" s="3">
        <f>tblAsignaciones[[#This Row],[semana]]&amp;"|"&amp;tblAsignaciones[[#This Row],[dia]]&amp;"|"&amp;tblAsignaciones[[#This Row],[tecnico]]</f>
        <v/>
      </c>
    </row>
    <row r="24">
      <c r="A24" s="3" t="inlineStr">
        <is>
          <t>S28</t>
        </is>
      </c>
      <c r="B24" s="3" t="inlineStr">
        <is>
          <t>domingo</t>
        </is>
      </c>
      <c r="C24" s="3" t="inlineStr">
        <is>
          <t>Técnico 03</t>
        </is>
      </c>
      <c r="D24" s="3">
        <f>_xlfn.XLOOKUP(tblAsignaciones[[#This Row],[tecnico]],tblTecnicos[nombre],tblTecnicos[area],"")</f>
        <v/>
      </c>
      <c r="E24" s="3">
        <f>_xlfn.XLOOKUP(tblAsignaciones[[#This Row],[tecnico]],tblTecnicos[nombre],tblTecnicos[especialidad],"")</f>
        <v/>
      </c>
      <c r="F24" s="6" t="inlineStr"/>
      <c r="G24" s="3">
        <f>_xlfn.XLOOKUP(tblAsignaciones[[#This Row],[tecnico]],tblTecnicos[nombre],tblTecnicos[coordinador],"")</f>
        <v/>
      </c>
      <c r="H24" s="3">
        <f>IF(OR(tblAsignaciones[[#This Row],[turno]]="",ISNUMBER(MATCH(tblAsignaciones[[#This Row],[turno]],lista_no_disponible,0))),0,p_horas_jornada)</f>
        <v/>
      </c>
      <c r="I24" s="3">
        <f>tblAsignaciones[[#This Row],[semana]]&amp;"|"&amp;tblAsignaciones[[#This Row],[dia]]&amp;"|"&amp;tblAsignaciones[[#This Row],[tecnico]]</f>
        <v/>
      </c>
    </row>
    <row r="25">
      <c r="A25" s="3" t="inlineStr">
        <is>
          <t>S28</t>
        </is>
      </c>
      <c r="B25" s="3" t="inlineStr">
        <is>
          <t>lunes</t>
        </is>
      </c>
      <c r="C25" s="3" t="inlineStr">
        <is>
          <t>Técnico 04</t>
        </is>
      </c>
      <c r="D25" s="3">
        <f>_xlfn.XLOOKUP(tblAsignaciones[[#This Row],[tecnico]],tblTecnicos[nombre],tblTecnicos[area],"")</f>
        <v/>
      </c>
      <c r="E25" s="3">
        <f>_xlfn.XLOOKUP(tblAsignaciones[[#This Row],[tecnico]],tblTecnicos[nombre],tblTecnicos[especialidad],"")</f>
        <v/>
      </c>
      <c r="F25" s="6" t="inlineStr">
        <is>
          <t>T1</t>
        </is>
      </c>
      <c r="G25" s="3">
        <f>_xlfn.XLOOKUP(tblAsignaciones[[#This Row],[tecnico]],tblTecnicos[nombre],tblTecnicos[coordinador],"")</f>
        <v/>
      </c>
      <c r="H25" s="3">
        <f>IF(OR(tblAsignaciones[[#This Row],[turno]]="",ISNUMBER(MATCH(tblAsignaciones[[#This Row],[turno]],lista_no_disponible,0))),0,p_horas_jornada)</f>
        <v/>
      </c>
      <c r="I25" s="3">
        <f>tblAsignaciones[[#This Row],[semana]]&amp;"|"&amp;tblAsignaciones[[#This Row],[dia]]&amp;"|"&amp;tblAsignaciones[[#This Row],[tecnico]]</f>
        <v/>
      </c>
    </row>
    <row r="26">
      <c r="A26" s="3" t="inlineStr">
        <is>
          <t>S28</t>
        </is>
      </c>
      <c r="B26" s="3" t="inlineStr">
        <is>
          <t>martes</t>
        </is>
      </c>
      <c r="C26" s="3" t="inlineStr">
        <is>
          <t>Técnico 04</t>
        </is>
      </c>
      <c r="D26" s="3">
        <f>_xlfn.XLOOKUP(tblAsignaciones[[#This Row],[tecnico]],tblTecnicos[nombre],tblTecnicos[area],"")</f>
        <v/>
      </c>
      <c r="E26" s="3">
        <f>_xlfn.XLOOKUP(tblAsignaciones[[#This Row],[tecnico]],tblTecnicos[nombre],tblTecnicos[especialidad],"")</f>
        <v/>
      </c>
      <c r="F26" s="6" t="inlineStr">
        <is>
          <t>T1</t>
        </is>
      </c>
      <c r="G26" s="3">
        <f>_xlfn.XLOOKUP(tblAsignaciones[[#This Row],[tecnico]],tblTecnicos[nombre],tblTecnicos[coordinador],"")</f>
        <v/>
      </c>
      <c r="H26" s="3">
        <f>IF(OR(tblAsignaciones[[#This Row],[turno]]="",ISNUMBER(MATCH(tblAsignaciones[[#This Row],[turno]],lista_no_disponible,0))),0,p_horas_jornada)</f>
        <v/>
      </c>
      <c r="I26" s="3">
        <f>tblAsignaciones[[#This Row],[semana]]&amp;"|"&amp;tblAsignaciones[[#This Row],[dia]]&amp;"|"&amp;tblAsignaciones[[#This Row],[tecnico]]</f>
        <v/>
      </c>
    </row>
    <row r="27">
      <c r="A27" s="3" t="inlineStr">
        <is>
          <t>S28</t>
        </is>
      </c>
      <c r="B27" s="3" t="inlineStr">
        <is>
          <t>miércoles</t>
        </is>
      </c>
      <c r="C27" s="3" t="inlineStr">
        <is>
          <t>Técnico 04</t>
        </is>
      </c>
      <c r="D27" s="3">
        <f>_xlfn.XLOOKUP(tblAsignaciones[[#This Row],[tecnico]],tblTecnicos[nombre],tblTecnicos[area],"")</f>
        <v/>
      </c>
      <c r="E27" s="3">
        <f>_xlfn.XLOOKUP(tblAsignaciones[[#This Row],[tecnico]],tblTecnicos[nombre],tblTecnicos[especialidad],"")</f>
        <v/>
      </c>
      <c r="F27" s="6" t="inlineStr">
        <is>
          <t>T1</t>
        </is>
      </c>
      <c r="G27" s="3">
        <f>_xlfn.XLOOKUP(tblAsignaciones[[#This Row],[tecnico]],tblTecnicos[nombre],tblTecnicos[coordinador],"")</f>
        <v/>
      </c>
      <c r="H27" s="3">
        <f>IF(OR(tblAsignaciones[[#This Row],[turno]]="",ISNUMBER(MATCH(tblAsignaciones[[#This Row],[turno]],lista_no_disponible,0))),0,p_horas_jornada)</f>
        <v/>
      </c>
      <c r="I27" s="3">
        <f>tblAsignaciones[[#This Row],[semana]]&amp;"|"&amp;tblAsignaciones[[#This Row],[dia]]&amp;"|"&amp;tblAsignaciones[[#This Row],[tecnico]]</f>
        <v/>
      </c>
    </row>
    <row r="28">
      <c r="A28" s="3" t="inlineStr">
        <is>
          <t>S28</t>
        </is>
      </c>
      <c r="B28" s="3" t="inlineStr">
        <is>
          <t>jueves</t>
        </is>
      </c>
      <c r="C28" s="3" t="inlineStr">
        <is>
          <t>Técnico 04</t>
        </is>
      </c>
      <c r="D28" s="3">
        <f>_xlfn.XLOOKUP(tblAsignaciones[[#This Row],[tecnico]],tblTecnicos[nombre],tblTecnicos[area],"")</f>
        <v/>
      </c>
      <c r="E28" s="3">
        <f>_xlfn.XLOOKUP(tblAsignaciones[[#This Row],[tecnico]],tblTecnicos[nombre],tblTecnicos[especialidad],"")</f>
        <v/>
      </c>
      <c r="F28" s="6" t="inlineStr">
        <is>
          <t>T1</t>
        </is>
      </c>
      <c r="G28" s="3">
        <f>_xlfn.XLOOKUP(tblAsignaciones[[#This Row],[tecnico]],tblTecnicos[nombre],tblTecnicos[coordinador],"")</f>
        <v/>
      </c>
      <c r="H28" s="3">
        <f>IF(OR(tblAsignaciones[[#This Row],[turno]]="",ISNUMBER(MATCH(tblAsignaciones[[#This Row],[turno]],lista_no_disponible,0))),0,p_horas_jornada)</f>
        <v/>
      </c>
      <c r="I28" s="3">
        <f>tblAsignaciones[[#This Row],[semana]]&amp;"|"&amp;tblAsignaciones[[#This Row],[dia]]&amp;"|"&amp;tblAsignaciones[[#This Row],[tecnico]]</f>
        <v/>
      </c>
    </row>
    <row r="29">
      <c r="A29" s="3" t="inlineStr">
        <is>
          <t>S28</t>
        </is>
      </c>
      <c r="B29" s="3" t="inlineStr">
        <is>
          <t>viernes</t>
        </is>
      </c>
      <c r="C29" s="3" t="inlineStr">
        <is>
          <t>Técnico 04</t>
        </is>
      </c>
      <c r="D29" s="3">
        <f>_xlfn.XLOOKUP(tblAsignaciones[[#This Row],[tecnico]],tblTecnicos[nombre],tblTecnicos[area],"")</f>
        <v/>
      </c>
      <c r="E29" s="3">
        <f>_xlfn.XLOOKUP(tblAsignaciones[[#This Row],[tecnico]],tblTecnicos[nombre],tblTecnicos[especialidad],"")</f>
        <v/>
      </c>
      <c r="F29" s="6" t="inlineStr">
        <is>
          <t>T1</t>
        </is>
      </c>
      <c r="G29" s="3">
        <f>_xlfn.XLOOKUP(tblAsignaciones[[#This Row],[tecnico]],tblTecnicos[nombre],tblTecnicos[coordinador],"")</f>
        <v/>
      </c>
      <c r="H29" s="3">
        <f>IF(OR(tblAsignaciones[[#This Row],[turno]]="",ISNUMBER(MATCH(tblAsignaciones[[#This Row],[turno]],lista_no_disponible,0))),0,p_horas_jornada)</f>
        <v/>
      </c>
      <c r="I29" s="3">
        <f>tblAsignaciones[[#This Row],[semana]]&amp;"|"&amp;tblAsignaciones[[#This Row],[dia]]&amp;"|"&amp;tblAsignaciones[[#This Row],[tecnico]]</f>
        <v/>
      </c>
    </row>
    <row r="30">
      <c r="A30" s="3" t="inlineStr">
        <is>
          <t>S28</t>
        </is>
      </c>
      <c r="B30" s="3" t="inlineStr">
        <is>
          <t>sábado</t>
        </is>
      </c>
      <c r="C30" s="3" t="inlineStr">
        <is>
          <t>Técnico 04</t>
        </is>
      </c>
      <c r="D30" s="3">
        <f>_xlfn.XLOOKUP(tblAsignaciones[[#This Row],[tecnico]],tblTecnicos[nombre],tblTecnicos[area],"")</f>
        <v/>
      </c>
      <c r="E30" s="3">
        <f>_xlfn.XLOOKUP(tblAsignaciones[[#This Row],[tecnico]],tblTecnicos[nombre],tblTecnicos[especialidad],"")</f>
        <v/>
      </c>
      <c r="F30" s="6" t="inlineStr"/>
      <c r="G30" s="3">
        <f>_xlfn.XLOOKUP(tblAsignaciones[[#This Row],[tecnico]],tblTecnicos[nombre],tblTecnicos[coordinador],"")</f>
        <v/>
      </c>
      <c r="H30" s="3">
        <f>IF(OR(tblAsignaciones[[#This Row],[turno]]="",ISNUMBER(MATCH(tblAsignaciones[[#This Row],[turno]],lista_no_disponible,0))),0,p_horas_jornada)</f>
        <v/>
      </c>
      <c r="I30" s="3">
        <f>tblAsignaciones[[#This Row],[semana]]&amp;"|"&amp;tblAsignaciones[[#This Row],[dia]]&amp;"|"&amp;tblAsignaciones[[#This Row],[tecnico]]</f>
        <v/>
      </c>
    </row>
    <row r="31">
      <c r="A31" s="3" t="inlineStr">
        <is>
          <t>S28</t>
        </is>
      </c>
      <c r="B31" s="3" t="inlineStr">
        <is>
          <t>domingo</t>
        </is>
      </c>
      <c r="C31" s="3" t="inlineStr">
        <is>
          <t>Técnico 04</t>
        </is>
      </c>
      <c r="D31" s="3">
        <f>_xlfn.XLOOKUP(tblAsignaciones[[#This Row],[tecnico]],tblTecnicos[nombre],tblTecnicos[area],"")</f>
        <v/>
      </c>
      <c r="E31" s="3">
        <f>_xlfn.XLOOKUP(tblAsignaciones[[#This Row],[tecnico]],tblTecnicos[nombre],tblTecnicos[especialidad],"")</f>
        <v/>
      </c>
      <c r="F31" s="6" t="inlineStr"/>
      <c r="G31" s="3">
        <f>_xlfn.XLOOKUP(tblAsignaciones[[#This Row],[tecnico]],tblTecnicos[nombre],tblTecnicos[coordinador],"")</f>
        <v/>
      </c>
      <c r="H31" s="3">
        <f>IF(OR(tblAsignaciones[[#This Row],[turno]]="",ISNUMBER(MATCH(tblAsignaciones[[#This Row],[turno]],lista_no_disponible,0))),0,p_horas_jornada)</f>
        <v/>
      </c>
      <c r="I31" s="3">
        <f>tblAsignaciones[[#This Row],[semana]]&amp;"|"&amp;tblAsignaciones[[#This Row],[dia]]&amp;"|"&amp;tblAsignaciones[[#This Row],[tecnico]]</f>
        <v/>
      </c>
    </row>
    <row r="32">
      <c r="A32" s="3" t="inlineStr">
        <is>
          <t>S28</t>
        </is>
      </c>
      <c r="B32" s="3" t="inlineStr">
        <is>
          <t>lunes</t>
        </is>
      </c>
      <c r="C32" s="3" t="inlineStr">
        <is>
          <t>Técnico 05</t>
        </is>
      </c>
      <c r="D32" s="3">
        <f>_xlfn.XLOOKUP(tblAsignaciones[[#This Row],[tecnico]],tblTecnicos[nombre],tblTecnicos[area],"")</f>
        <v/>
      </c>
      <c r="E32" s="3">
        <f>_xlfn.XLOOKUP(tblAsignaciones[[#This Row],[tecnico]],tblTecnicos[nombre],tblTecnicos[especialidad],"")</f>
        <v/>
      </c>
      <c r="F32" s="6" t="inlineStr">
        <is>
          <t>T1</t>
        </is>
      </c>
      <c r="G32" s="3">
        <f>_xlfn.XLOOKUP(tblAsignaciones[[#This Row],[tecnico]],tblTecnicos[nombre],tblTecnicos[coordinador],"")</f>
        <v/>
      </c>
      <c r="H32" s="3">
        <f>IF(OR(tblAsignaciones[[#This Row],[turno]]="",ISNUMBER(MATCH(tblAsignaciones[[#This Row],[turno]],lista_no_disponible,0))),0,p_horas_jornada)</f>
        <v/>
      </c>
      <c r="I32" s="3">
        <f>tblAsignaciones[[#This Row],[semana]]&amp;"|"&amp;tblAsignaciones[[#This Row],[dia]]&amp;"|"&amp;tblAsignaciones[[#This Row],[tecnico]]</f>
        <v/>
      </c>
    </row>
    <row r="33">
      <c r="A33" s="3" t="inlineStr">
        <is>
          <t>S28</t>
        </is>
      </c>
      <c r="B33" s="3" t="inlineStr">
        <is>
          <t>martes</t>
        </is>
      </c>
      <c r="C33" s="3" t="inlineStr">
        <is>
          <t>Técnico 05</t>
        </is>
      </c>
      <c r="D33" s="3">
        <f>_xlfn.XLOOKUP(tblAsignaciones[[#This Row],[tecnico]],tblTecnicos[nombre],tblTecnicos[area],"")</f>
        <v/>
      </c>
      <c r="E33" s="3">
        <f>_xlfn.XLOOKUP(tblAsignaciones[[#This Row],[tecnico]],tblTecnicos[nombre],tblTecnicos[especialidad],"")</f>
        <v/>
      </c>
      <c r="F33" s="6" t="inlineStr">
        <is>
          <t>T1</t>
        </is>
      </c>
      <c r="G33" s="3">
        <f>_xlfn.XLOOKUP(tblAsignaciones[[#This Row],[tecnico]],tblTecnicos[nombre],tblTecnicos[coordinador],"")</f>
        <v/>
      </c>
      <c r="H33" s="3">
        <f>IF(OR(tblAsignaciones[[#This Row],[turno]]="",ISNUMBER(MATCH(tblAsignaciones[[#This Row],[turno]],lista_no_disponible,0))),0,p_horas_jornada)</f>
        <v/>
      </c>
      <c r="I33" s="3">
        <f>tblAsignaciones[[#This Row],[semana]]&amp;"|"&amp;tblAsignaciones[[#This Row],[dia]]&amp;"|"&amp;tblAsignaciones[[#This Row],[tecnico]]</f>
        <v/>
      </c>
    </row>
    <row r="34">
      <c r="A34" s="3" t="inlineStr">
        <is>
          <t>S28</t>
        </is>
      </c>
      <c r="B34" s="3" t="inlineStr">
        <is>
          <t>miércoles</t>
        </is>
      </c>
      <c r="C34" s="3" t="inlineStr">
        <is>
          <t>Técnico 05</t>
        </is>
      </c>
      <c r="D34" s="3">
        <f>_xlfn.XLOOKUP(tblAsignaciones[[#This Row],[tecnico]],tblTecnicos[nombre],tblTecnicos[area],"")</f>
        <v/>
      </c>
      <c r="E34" s="3">
        <f>_xlfn.XLOOKUP(tblAsignaciones[[#This Row],[tecnico]],tblTecnicos[nombre],tblTecnicos[especialidad],"")</f>
        <v/>
      </c>
      <c r="F34" s="6" t="inlineStr">
        <is>
          <t>T1</t>
        </is>
      </c>
      <c r="G34" s="3">
        <f>_xlfn.XLOOKUP(tblAsignaciones[[#This Row],[tecnico]],tblTecnicos[nombre],tblTecnicos[coordinador],"")</f>
        <v/>
      </c>
      <c r="H34" s="3">
        <f>IF(OR(tblAsignaciones[[#This Row],[turno]]="",ISNUMBER(MATCH(tblAsignaciones[[#This Row],[turno]],lista_no_disponible,0))),0,p_horas_jornada)</f>
        <v/>
      </c>
      <c r="I34" s="3">
        <f>tblAsignaciones[[#This Row],[semana]]&amp;"|"&amp;tblAsignaciones[[#This Row],[dia]]&amp;"|"&amp;tblAsignaciones[[#This Row],[tecnico]]</f>
        <v/>
      </c>
    </row>
    <row r="35">
      <c r="A35" s="3" t="inlineStr">
        <is>
          <t>S28</t>
        </is>
      </c>
      <c r="B35" s="3" t="inlineStr">
        <is>
          <t>jueves</t>
        </is>
      </c>
      <c r="C35" s="3" t="inlineStr">
        <is>
          <t>Técnico 05</t>
        </is>
      </c>
      <c r="D35" s="3">
        <f>_xlfn.XLOOKUP(tblAsignaciones[[#This Row],[tecnico]],tblTecnicos[nombre],tblTecnicos[area],"")</f>
        <v/>
      </c>
      <c r="E35" s="3">
        <f>_xlfn.XLOOKUP(tblAsignaciones[[#This Row],[tecnico]],tblTecnicos[nombre],tblTecnicos[especialidad],"")</f>
        <v/>
      </c>
      <c r="F35" s="6" t="inlineStr">
        <is>
          <t>T1</t>
        </is>
      </c>
      <c r="G35" s="3">
        <f>_xlfn.XLOOKUP(tblAsignaciones[[#This Row],[tecnico]],tblTecnicos[nombre],tblTecnicos[coordinador],"")</f>
        <v/>
      </c>
      <c r="H35" s="3">
        <f>IF(OR(tblAsignaciones[[#This Row],[turno]]="",ISNUMBER(MATCH(tblAsignaciones[[#This Row],[turno]],lista_no_disponible,0))),0,p_horas_jornada)</f>
        <v/>
      </c>
      <c r="I35" s="3">
        <f>tblAsignaciones[[#This Row],[semana]]&amp;"|"&amp;tblAsignaciones[[#This Row],[dia]]&amp;"|"&amp;tblAsignaciones[[#This Row],[tecnico]]</f>
        <v/>
      </c>
    </row>
    <row r="36">
      <c r="A36" s="3" t="inlineStr">
        <is>
          <t>S28</t>
        </is>
      </c>
      <c r="B36" s="3" t="inlineStr">
        <is>
          <t>viernes</t>
        </is>
      </c>
      <c r="C36" s="3" t="inlineStr">
        <is>
          <t>Técnico 05</t>
        </is>
      </c>
      <c r="D36" s="3">
        <f>_xlfn.XLOOKUP(tblAsignaciones[[#This Row],[tecnico]],tblTecnicos[nombre],tblTecnicos[area],"")</f>
        <v/>
      </c>
      <c r="E36" s="3">
        <f>_xlfn.XLOOKUP(tblAsignaciones[[#This Row],[tecnico]],tblTecnicos[nombre],tblTecnicos[especialidad],"")</f>
        <v/>
      </c>
      <c r="F36" s="6" t="inlineStr">
        <is>
          <t>T1</t>
        </is>
      </c>
      <c r="G36" s="3">
        <f>_xlfn.XLOOKUP(tblAsignaciones[[#This Row],[tecnico]],tblTecnicos[nombre],tblTecnicos[coordinador],"")</f>
        <v/>
      </c>
      <c r="H36" s="3">
        <f>IF(OR(tblAsignaciones[[#This Row],[turno]]="",ISNUMBER(MATCH(tblAsignaciones[[#This Row],[turno]],lista_no_disponible,0))),0,p_horas_jornada)</f>
        <v/>
      </c>
      <c r="I36" s="3">
        <f>tblAsignaciones[[#This Row],[semana]]&amp;"|"&amp;tblAsignaciones[[#This Row],[dia]]&amp;"|"&amp;tblAsignaciones[[#This Row],[tecnico]]</f>
        <v/>
      </c>
    </row>
    <row r="37">
      <c r="A37" s="3" t="inlineStr">
        <is>
          <t>S28</t>
        </is>
      </c>
      <c r="B37" s="3" t="inlineStr">
        <is>
          <t>sábado</t>
        </is>
      </c>
      <c r="C37" s="3" t="inlineStr">
        <is>
          <t>Técnico 05</t>
        </is>
      </c>
      <c r="D37" s="3">
        <f>_xlfn.XLOOKUP(tblAsignaciones[[#This Row],[tecnico]],tblTecnicos[nombre],tblTecnicos[area],"")</f>
        <v/>
      </c>
      <c r="E37" s="3">
        <f>_xlfn.XLOOKUP(tblAsignaciones[[#This Row],[tecnico]],tblTecnicos[nombre],tblTecnicos[especialidad],"")</f>
        <v/>
      </c>
      <c r="F37" s="6" t="inlineStr"/>
      <c r="G37" s="3">
        <f>_xlfn.XLOOKUP(tblAsignaciones[[#This Row],[tecnico]],tblTecnicos[nombre],tblTecnicos[coordinador],"")</f>
        <v/>
      </c>
      <c r="H37" s="3">
        <f>IF(OR(tblAsignaciones[[#This Row],[turno]]="",ISNUMBER(MATCH(tblAsignaciones[[#This Row],[turno]],lista_no_disponible,0))),0,p_horas_jornada)</f>
        <v/>
      </c>
      <c r="I37" s="3">
        <f>tblAsignaciones[[#This Row],[semana]]&amp;"|"&amp;tblAsignaciones[[#This Row],[dia]]&amp;"|"&amp;tblAsignaciones[[#This Row],[tecnico]]</f>
        <v/>
      </c>
    </row>
    <row r="38">
      <c r="A38" s="3" t="inlineStr">
        <is>
          <t>S28</t>
        </is>
      </c>
      <c r="B38" s="3" t="inlineStr">
        <is>
          <t>domingo</t>
        </is>
      </c>
      <c r="C38" s="3" t="inlineStr">
        <is>
          <t>Técnico 05</t>
        </is>
      </c>
      <c r="D38" s="3">
        <f>_xlfn.XLOOKUP(tblAsignaciones[[#This Row],[tecnico]],tblTecnicos[nombre],tblTecnicos[area],"")</f>
        <v/>
      </c>
      <c r="E38" s="3">
        <f>_xlfn.XLOOKUP(tblAsignaciones[[#This Row],[tecnico]],tblTecnicos[nombre],tblTecnicos[especialidad],"")</f>
        <v/>
      </c>
      <c r="F38" s="6" t="inlineStr"/>
      <c r="G38" s="3">
        <f>_xlfn.XLOOKUP(tblAsignaciones[[#This Row],[tecnico]],tblTecnicos[nombre],tblTecnicos[coordinador],"")</f>
        <v/>
      </c>
      <c r="H38" s="3">
        <f>IF(OR(tblAsignaciones[[#This Row],[turno]]="",ISNUMBER(MATCH(tblAsignaciones[[#This Row],[turno]],lista_no_disponible,0))),0,p_horas_jornada)</f>
        <v/>
      </c>
      <c r="I38" s="3">
        <f>tblAsignaciones[[#This Row],[semana]]&amp;"|"&amp;tblAsignaciones[[#This Row],[dia]]&amp;"|"&amp;tblAsignaciones[[#This Row],[tecnico]]</f>
        <v/>
      </c>
    </row>
    <row r="39">
      <c r="A39" s="3" t="inlineStr">
        <is>
          <t>S28</t>
        </is>
      </c>
      <c r="B39" s="3" t="inlineStr">
        <is>
          <t>lunes</t>
        </is>
      </c>
      <c r="C39" s="3" t="inlineStr">
        <is>
          <t>Técnico 06</t>
        </is>
      </c>
      <c r="D39" s="3">
        <f>_xlfn.XLOOKUP(tblAsignaciones[[#This Row],[tecnico]],tblTecnicos[nombre],tblTecnicos[area],"")</f>
        <v/>
      </c>
      <c r="E39" s="3">
        <f>_xlfn.XLOOKUP(tblAsignaciones[[#This Row],[tecnico]],tblTecnicos[nombre],tblTecnicos[especialidad],"")</f>
        <v/>
      </c>
      <c r="F39" s="6" t="inlineStr">
        <is>
          <t>T1</t>
        </is>
      </c>
      <c r="G39" s="3">
        <f>_xlfn.XLOOKUP(tblAsignaciones[[#This Row],[tecnico]],tblTecnicos[nombre],tblTecnicos[coordinador],"")</f>
        <v/>
      </c>
      <c r="H39" s="3">
        <f>IF(OR(tblAsignaciones[[#This Row],[turno]]="",ISNUMBER(MATCH(tblAsignaciones[[#This Row],[turno]],lista_no_disponible,0))),0,p_horas_jornada)</f>
        <v/>
      </c>
      <c r="I39" s="3">
        <f>tblAsignaciones[[#This Row],[semana]]&amp;"|"&amp;tblAsignaciones[[#This Row],[dia]]&amp;"|"&amp;tblAsignaciones[[#This Row],[tecnico]]</f>
        <v/>
      </c>
    </row>
    <row r="40">
      <c r="A40" s="3" t="inlineStr">
        <is>
          <t>S28</t>
        </is>
      </c>
      <c r="B40" s="3" t="inlineStr">
        <is>
          <t>martes</t>
        </is>
      </c>
      <c r="C40" s="3" t="inlineStr">
        <is>
          <t>Técnico 06</t>
        </is>
      </c>
      <c r="D40" s="3">
        <f>_xlfn.XLOOKUP(tblAsignaciones[[#This Row],[tecnico]],tblTecnicos[nombre],tblTecnicos[area],"")</f>
        <v/>
      </c>
      <c r="E40" s="3">
        <f>_xlfn.XLOOKUP(tblAsignaciones[[#This Row],[tecnico]],tblTecnicos[nombre],tblTecnicos[especialidad],"")</f>
        <v/>
      </c>
      <c r="F40" s="6" t="inlineStr">
        <is>
          <t>T1</t>
        </is>
      </c>
      <c r="G40" s="3">
        <f>_xlfn.XLOOKUP(tblAsignaciones[[#This Row],[tecnico]],tblTecnicos[nombre],tblTecnicos[coordinador],"")</f>
        <v/>
      </c>
      <c r="H40" s="3">
        <f>IF(OR(tblAsignaciones[[#This Row],[turno]]="",ISNUMBER(MATCH(tblAsignaciones[[#This Row],[turno]],lista_no_disponible,0))),0,p_horas_jornada)</f>
        <v/>
      </c>
      <c r="I40" s="3">
        <f>tblAsignaciones[[#This Row],[semana]]&amp;"|"&amp;tblAsignaciones[[#This Row],[dia]]&amp;"|"&amp;tblAsignaciones[[#This Row],[tecnico]]</f>
        <v/>
      </c>
    </row>
    <row r="41">
      <c r="A41" s="3" t="inlineStr">
        <is>
          <t>S28</t>
        </is>
      </c>
      <c r="B41" s="3" t="inlineStr">
        <is>
          <t>miércoles</t>
        </is>
      </c>
      <c r="C41" s="3" t="inlineStr">
        <is>
          <t>Técnico 06</t>
        </is>
      </c>
      <c r="D41" s="3">
        <f>_xlfn.XLOOKUP(tblAsignaciones[[#This Row],[tecnico]],tblTecnicos[nombre],tblTecnicos[area],"")</f>
        <v/>
      </c>
      <c r="E41" s="3">
        <f>_xlfn.XLOOKUP(tblAsignaciones[[#This Row],[tecnico]],tblTecnicos[nombre],tblTecnicos[especialidad],"")</f>
        <v/>
      </c>
      <c r="F41" s="6" t="inlineStr">
        <is>
          <t>T1</t>
        </is>
      </c>
      <c r="G41" s="3">
        <f>_xlfn.XLOOKUP(tblAsignaciones[[#This Row],[tecnico]],tblTecnicos[nombre],tblTecnicos[coordinador],"")</f>
        <v/>
      </c>
      <c r="H41" s="3">
        <f>IF(OR(tblAsignaciones[[#This Row],[turno]]="",ISNUMBER(MATCH(tblAsignaciones[[#This Row],[turno]],lista_no_disponible,0))),0,p_horas_jornada)</f>
        <v/>
      </c>
      <c r="I41" s="3">
        <f>tblAsignaciones[[#This Row],[semana]]&amp;"|"&amp;tblAsignaciones[[#This Row],[dia]]&amp;"|"&amp;tblAsignaciones[[#This Row],[tecnico]]</f>
        <v/>
      </c>
    </row>
    <row r="42">
      <c r="A42" s="3" t="inlineStr">
        <is>
          <t>S28</t>
        </is>
      </c>
      <c r="B42" s="3" t="inlineStr">
        <is>
          <t>jueves</t>
        </is>
      </c>
      <c r="C42" s="3" t="inlineStr">
        <is>
          <t>Técnico 06</t>
        </is>
      </c>
      <c r="D42" s="3">
        <f>_xlfn.XLOOKUP(tblAsignaciones[[#This Row],[tecnico]],tblTecnicos[nombre],tblTecnicos[area],"")</f>
        <v/>
      </c>
      <c r="E42" s="3">
        <f>_xlfn.XLOOKUP(tblAsignaciones[[#This Row],[tecnico]],tblTecnicos[nombre],tblTecnicos[especialidad],"")</f>
        <v/>
      </c>
      <c r="F42" s="6" t="inlineStr">
        <is>
          <t>T1</t>
        </is>
      </c>
      <c r="G42" s="3">
        <f>_xlfn.XLOOKUP(tblAsignaciones[[#This Row],[tecnico]],tblTecnicos[nombre],tblTecnicos[coordinador],"")</f>
        <v/>
      </c>
      <c r="H42" s="3">
        <f>IF(OR(tblAsignaciones[[#This Row],[turno]]="",ISNUMBER(MATCH(tblAsignaciones[[#This Row],[turno]],lista_no_disponible,0))),0,p_horas_jornada)</f>
        <v/>
      </c>
      <c r="I42" s="3">
        <f>tblAsignaciones[[#This Row],[semana]]&amp;"|"&amp;tblAsignaciones[[#This Row],[dia]]&amp;"|"&amp;tblAsignaciones[[#This Row],[tecnico]]</f>
        <v/>
      </c>
    </row>
    <row r="43">
      <c r="A43" s="3" t="inlineStr">
        <is>
          <t>S28</t>
        </is>
      </c>
      <c r="B43" s="3" t="inlineStr">
        <is>
          <t>viernes</t>
        </is>
      </c>
      <c r="C43" s="3" t="inlineStr">
        <is>
          <t>Técnico 06</t>
        </is>
      </c>
      <c r="D43" s="3">
        <f>_xlfn.XLOOKUP(tblAsignaciones[[#This Row],[tecnico]],tblTecnicos[nombre],tblTecnicos[area],"")</f>
        <v/>
      </c>
      <c r="E43" s="3">
        <f>_xlfn.XLOOKUP(tblAsignaciones[[#This Row],[tecnico]],tblTecnicos[nombre],tblTecnicos[especialidad],"")</f>
        <v/>
      </c>
      <c r="F43" s="6" t="inlineStr">
        <is>
          <t>T1</t>
        </is>
      </c>
      <c r="G43" s="3">
        <f>_xlfn.XLOOKUP(tblAsignaciones[[#This Row],[tecnico]],tblTecnicos[nombre],tblTecnicos[coordinador],"")</f>
        <v/>
      </c>
      <c r="H43" s="3">
        <f>IF(OR(tblAsignaciones[[#This Row],[turno]]="",ISNUMBER(MATCH(tblAsignaciones[[#This Row],[turno]],lista_no_disponible,0))),0,p_horas_jornada)</f>
        <v/>
      </c>
      <c r="I43" s="3">
        <f>tblAsignaciones[[#This Row],[semana]]&amp;"|"&amp;tblAsignaciones[[#This Row],[dia]]&amp;"|"&amp;tblAsignaciones[[#This Row],[tecnico]]</f>
        <v/>
      </c>
    </row>
    <row r="44">
      <c r="A44" s="3" t="inlineStr">
        <is>
          <t>S28</t>
        </is>
      </c>
      <c r="B44" s="3" t="inlineStr">
        <is>
          <t>sábado</t>
        </is>
      </c>
      <c r="C44" s="3" t="inlineStr">
        <is>
          <t>Técnico 06</t>
        </is>
      </c>
      <c r="D44" s="3">
        <f>_xlfn.XLOOKUP(tblAsignaciones[[#This Row],[tecnico]],tblTecnicos[nombre],tblTecnicos[area],"")</f>
        <v/>
      </c>
      <c r="E44" s="3">
        <f>_xlfn.XLOOKUP(tblAsignaciones[[#This Row],[tecnico]],tblTecnicos[nombre],tblTecnicos[especialidad],"")</f>
        <v/>
      </c>
      <c r="F44" s="6" t="inlineStr"/>
      <c r="G44" s="3">
        <f>_xlfn.XLOOKUP(tblAsignaciones[[#This Row],[tecnico]],tblTecnicos[nombre],tblTecnicos[coordinador],"")</f>
        <v/>
      </c>
      <c r="H44" s="3">
        <f>IF(OR(tblAsignaciones[[#This Row],[turno]]="",ISNUMBER(MATCH(tblAsignaciones[[#This Row],[turno]],lista_no_disponible,0))),0,p_horas_jornada)</f>
        <v/>
      </c>
      <c r="I44" s="3">
        <f>tblAsignaciones[[#This Row],[semana]]&amp;"|"&amp;tblAsignaciones[[#This Row],[dia]]&amp;"|"&amp;tblAsignaciones[[#This Row],[tecnico]]</f>
        <v/>
      </c>
    </row>
    <row r="45">
      <c r="A45" s="3" t="inlineStr">
        <is>
          <t>S28</t>
        </is>
      </c>
      <c r="B45" s="3" t="inlineStr">
        <is>
          <t>domingo</t>
        </is>
      </c>
      <c r="C45" s="3" t="inlineStr">
        <is>
          <t>Técnico 06</t>
        </is>
      </c>
      <c r="D45" s="3">
        <f>_xlfn.XLOOKUP(tblAsignaciones[[#This Row],[tecnico]],tblTecnicos[nombre],tblTecnicos[area],"")</f>
        <v/>
      </c>
      <c r="E45" s="3">
        <f>_xlfn.XLOOKUP(tblAsignaciones[[#This Row],[tecnico]],tblTecnicos[nombre],tblTecnicos[especialidad],"")</f>
        <v/>
      </c>
      <c r="F45" s="6" t="inlineStr"/>
      <c r="G45" s="3">
        <f>_xlfn.XLOOKUP(tblAsignaciones[[#This Row],[tecnico]],tblTecnicos[nombre],tblTecnicos[coordinador],"")</f>
        <v/>
      </c>
      <c r="H45" s="3">
        <f>IF(OR(tblAsignaciones[[#This Row],[turno]]="",ISNUMBER(MATCH(tblAsignaciones[[#This Row],[turno]],lista_no_disponible,0))),0,p_horas_jornada)</f>
        <v/>
      </c>
      <c r="I45" s="3">
        <f>tblAsignaciones[[#This Row],[semana]]&amp;"|"&amp;tblAsignaciones[[#This Row],[dia]]&amp;"|"&amp;tblAsignaciones[[#This Row],[tecnico]]</f>
        <v/>
      </c>
    </row>
    <row r="46">
      <c r="A46" s="3" t="inlineStr">
        <is>
          <t>S28</t>
        </is>
      </c>
      <c r="B46" s="3" t="inlineStr">
        <is>
          <t>lunes</t>
        </is>
      </c>
      <c r="C46" s="3" t="inlineStr">
        <is>
          <t>Técnico 07</t>
        </is>
      </c>
      <c r="D46" s="3">
        <f>_xlfn.XLOOKUP(tblAsignaciones[[#This Row],[tecnico]],tblTecnicos[nombre],tblTecnicos[area],"")</f>
        <v/>
      </c>
      <c r="E46" s="3">
        <f>_xlfn.XLOOKUP(tblAsignaciones[[#This Row],[tecnico]],tblTecnicos[nombre],tblTecnicos[especialidad],"")</f>
        <v/>
      </c>
      <c r="F46" s="6" t="inlineStr">
        <is>
          <t>T1</t>
        </is>
      </c>
      <c r="G46" s="3">
        <f>_xlfn.XLOOKUP(tblAsignaciones[[#This Row],[tecnico]],tblTecnicos[nombre],tblTecnicos[coordinador],"")</f>
        <v/>
      </c>
      <c r="H46" s="3">
        <f>IF(OR(tblAsignaciones[[#This Row],[turno]]="",ISNUMBER(MATCH(tblAsignaciones[[#This Row],[turno]],lista_no_disponible,0))),0,p_horas_jornada)</f>
        <v/>
      </c>
      <c r="I46" s="3">
        <f>tblAsignaciones[[#This Row],[semana]]&amp;"|"&amp;tblAsignaciones[[#This Row],[dia]]&amp;"|"&amp;tblAsignaciones[[#This Row],[tecnico]]</f>
        <v/>
      </c>
    </row>
    <row r="47">
      <c r="A47" s="3" t="inlineStr">
        <is>
          <t>S28</t>
        </is>
      </c>
      <c r="B47" s="3" t="inlineStr">
        <is>
          <t>martes</t>
        </is>
      </c>
      <c r="C47" s="3" t="inlineStr">
        <is>
          <t>Técnico 07</t>
        </is>
      </c>
      <c r="D47" s="3">
        <f>_xlfn.XLOOKUP(tblAsignaciones[[#This Row],[tecnico]],tblTecnicos[nombre],tblTecnicos[area],"")</f>
        <v/>
      </c>
      <c r="E47" s="3">
        <f>_xlfn.XLOOKUP(tblAsignaciones[[#This Row],[tecnico]],tblTecnicos[nombre],tblTecnicos[especialidad],"")</f>
        <v/>
      </c>
      <c r="F47" s="6" t="inlineStr">
        <is>
          <t>T1</t>
        </is>
      </c>
      <c r="G47" s="3">
        <f>_xlfn.XLOOKUP(tblAsignaciones[[#This Row],[tecnico]],tblTecnicos[nombre],tblTecnicos[coordinador],"")</f>
        <v/>
      </c>
      <c r="H47" s="3">
        <f>IF(OR(tblAsignaciones[[#This Row],[turno]]="",ISNUMBER(MATCH(tblAsignaciones[[#This Row],[turno]],lista_no_disponible,0))),0,p_horas_jornada)</f>
        <v/>
      </c>
      <c r="I47" s="3">
        <f>tblAsignaciones[[#This Row],[semana]]&amp;"|"&amp;tblAsignaciones[[#This Row],[dia]]&amp;"|"&amp;tblAsignaciones[[#This Row],[tecnico]]</f>
        <v/>
      </c>
    </row>
    <row r="48">
      <c r="A48" s="3" t="inlineStr">
        <is>
          <t>S28</t>
        </is>
      </c>
      <c r="B48" s="3" t="inlineStr">
        <is>
          <t>miércoles</t>
        </is>
      </c>
      <c r="C48" s="3" t="inlineStr">
        <is>
          <t>Técnico 07</t>
        </is>
      </c>
      <c r="D48" s="3">
        <f>_xlfn.XLOOKUP(tblAsignaciones[[#This Row],[tecnico]],tblTecnicos[nombre],tblTecnicos[area],"")</f>
        <v/>
      </c>
      <c r="E48" s="3">
        <f>_xlfn.XLOOKUP(tblAsignaciones[[#This Row],[tecnico]],tblTecnicos[nombre],tblTecnicos[especialidad],"")</f>
        <v/>
      </c>
      <c r="F48" s="6" t="inlineStr">
        <is>
          <t>T1</t>
        </is>
      </c>
      <c r="G48" s="3">
        <f>_xlfn.XLOOKUP(tblAsignaciones[[#This Row],[tecnico]],tblTecnicos[nombre],tblTecnicos[coordinador],"")</f>
        <v/>
      </c>
      <c r="H48" s="3">
        <f>IF(OR(tblAsignaciones[[#This Row],[turno]]="",ISNUMBER(MATCH(tblAsignaciones[[#This Row],[turno]],lista_no_disponible,0))),0,p_horas_jornada)</f>
        <v/>
      </c>
      <c r="I48" s="3">
        <f>tblAsignaciones[[#This Row],[semana]]&amp;"|"&amp;tblAsignaciones[[#This Row],[dia]]&amp;"|"&amp;tblAsignaciones[[#This Row],[tecnico]]</f>
        <v/>
      </c>
    </row>
    <row r="49">
      <c r="A49" s="3" t="inlineStr">
        <is>
          <t>S28</t>
        </is>
      </c>
      <c r="B49" s="3" t="inlineStr">
        <is>
          <t>jueves</t>
        </is>
      </c>
      <c r="C49" s="3" t="inlineStr">
        <is>
          <t>Técnico 07</t>
        </is>
      </c>
      <c r="D49" s="3">
        <f>_xlfn.XLOOKUP(tblAsignaciones[[#This Row],[tecnico]],tblTecnicos[nombre],tblTecnicos[area],"")</f>
        <v/>
      </c>
      <c r="E49" s="3">
        <f>_xlfn.XLOOKUP(tblAsignaciones[[#This Row],[tecnico]],tblTecnicos[nombre],tblTecnicos[especialidad],"")</f>
        <v/>
      </c>
      <c r="F49" s="6" t="inlineStr">
        <is>
          <t>T1</t>
        </is>
      </c>
      <c r="G49" s="3">
        <f>_xlfn.XLOOKUP(tblAsignaciones[[#This Row],[tecnico]],tblTecnicos[nombre],tblTecnicos[coordinador],"")</f>
        <v/>
      </c>
      <c r="H49" s="3">
        <f>IF(OR(tblAsignaciones[[#This Row],[turno]]="",ISNUMBER(MATCH(tblAsignaciones[[#This Row],[turno]],lista_no_disponible,0))),0,p_horas_jornada)</f>
        <v/>
      </c>
      <c r="I49" s="3">
        <f>tblAsignaciones[[#This Row],[semana]]&amp;"|"&amp;tblAsignaciones[[#This Row],[dia]]&amp;"|"&amp;tblAsignaciones[[#This Row],[tecnico]]</f>
        <v/>
      </c>
    </row>
    <row r="50">
      <c r="A50" s="3" t="inlineStr">
        <is>
          <t>S28</t>
        </is>
      </c>
      <c r="B50" s="3" t="inlineStr">
        <is>
          <t>viernes</t>
        </is>
      </c>
      <c r="C50" s="3" t="inlineStr">
        <is>
          <t>Técnico 07</t>
        </is>
      </c>
      <c r="D50" s="3">
        <f>_xlfn.XLOOKUP(tblAsignaciones[[#This Row],[tecnico]],tblTecnicos[nombre],tblTecnicos[area],"")</f>
        <v/>
      </c>
      <c r="E50" s="3">
        <f>_xlfn.XLOOKUP(tblAsignaciones[[#This Row],[tecnico]],tblTecnicos[nombre],tblTecnicos[especialidad],"")</f>
        <v/>
      </c>
      <c r="F50" s="6" t="inlineStr">
        <is>
          <t>T1</t>
        </is>
      </c>
      <c r="G50" s="3">
        <f>_xlfn.XLOOKUP(tblAsignaciones[[#This Row],[tecnico]],tblTecnicos[nombre],tblTecnicos[coordinador],"")</f>
        <v/>
      </c>
      <c r="H50" s="3">
        <f>IF(OR(tblAsignaciones[[#This Row],[turno]]="",ISNUMBER(MATCH(tblAsignaciones[[#This Row],[turno]],lista_no_disponible,0))),0,p_horas_jornada)</f>
        <v/>
      </c>
      <c r="I50" s="3">
        <f>tblAsignaciones[[#This Row],[semana]]&amp;"|"&amp;tblAsignaciones[[#This Row],[dia]]&amp;"|"&amp;tblAsignaciones[[#This Row],[tecnico]]</f>
        <v/>
      </c>
    </row>
    <row r="51">
      <c r="A51" s="3" t="inlineStr">
        <is>
          <t>S28</t>
        </is>
      </c>
      <c r="B51" s="3" t="inlineStr">
        <is>
          <t>sábado</t>
        </is>
      </c>
      <c r="C51" s="3" t="inlineStr">
        <is>
          <t>Técnico 07</t>
        </is>
      </c>
      <c r="D51" s="3">
        <f>_xlfn.XLOOKUP(tblAsignaciones[[#This Row],[tecnico]],tblTecnicos[nombre],tblTecnicos[area],"")</f>
        <v/>
      </c>
      <c r="E51" s="3">
        <f>_xlfn.XLOOKUP(tblAsignaciones[[#This Row],[tecnico]],tblTecnicos[nombre],tblTecnicos[especialidad],"")</f>
        <v/>
      </c>
      <c r="F51" s="6" t="inlineStr"/>
      <c r="G51" s="3">
        <f>_xlfn.XLOOKUP(tblAsignaciones[[#This Row],[tecnico]],tblTecnicos[nombre],tblTecnicos[coordinador],"")</f>
        <v/>
      </c>
      <c r="H51" s="3">
        <f>IF(OR(tblAsignaciones[[#This Row],[turno]]="",ISNUMBER(MATCH(tblAsignaciones[[#This Row],[turno]],lista_no_disponible,0))),0,p_horas_jornada)</f>
        <v/>
      </c>
      <c r="I51" s="3">
        <f>tblAsignaciones[[#This Row],[semana]]&amp;"|"&amp;tblAsignaciones[[#This Row],[dia]]&amp;"|"&amp;tblAsignaciones[[#This Row],[tecnico]]</f>
        <v/>
      </c>
    </row>
    <row r="52">
      <c r="A52" s="3" t="inlineStr">
        <is>
          <t>S28</t>
        </is>
      </c>
      <c r="B52" s="3" t="inlineStr">
        <is>
          <t>domingo</t>
        </is>
      </c>
      <c r="C52" s="3" t="inlineStr">
        <is>
          <t>Técnico 07</t>
        </is>
      </c>
      <c r="D52" s="3">
        <f>_xlfn.XLOOKUP(tblAsignaciones[[#This Row],[tecnico]],tblTecnicos[nombre],tblTecnicos[area],"")</f>
        <v/>
      </c>
      <c r="E52" s="3">
        <f>_xlfn.XLOOKUP(tblAsignaciones[[#This Row],[tecnico]],tblTecnicos[nombre],tblTecnicos[especialidad],"")</f>
        <v/>
      </c>
      <c r="F52" s="6" t="inlineStr"/>
      <c r="G52" s="3">
        <f>_xlfn.XLOOKUP(tblAsignaciones[[#This Row],[tecnico]],tblTecnicos[nombre],tblTecnicos[coordinador],"")</f>
        <v/>
      </c>
      <c r="H52" s="3">
        <f>IF(OR(tblAsignaciones[[#This Row],[turno]]="",ISNUMBER(MATCH(tblAsignaciones[[#This Row],[turno]],lista_no_disponible,0))),0,p_horas_jornada)</f>
        <v/>
      </c>
      <c r="I52" s="3">
        <f>tblAsignaciones[[#This Row],[semana]]&amp;"|"&amp;tblAsignaciones[[#This Row],[dia]]&amp;"|"&amp;tblAsignaciones[[#This Row],[tecnico]]</f>
        <v/>
      </c>
    </row>
    <row r="53">
      <c r="A53" s="3" t="inlineStr">
        <is>
          <t>S28</t>
        </is>
      </c>
      <c r="B53" s="3" t="inlineStr">
        <is>
          <t>lunes</t>
        </is>
      </c>
      <c r="C53" s="3" t="inlineStr">
        <is>
          <t>Técnico 08</t>
        </is>
      </c>
      <c r="D53" s="3">
        <f>_xlfn.XLOOKUP(tblAsignaciones[[#This Row],[tecnico]],tblTecnicos[nombre],tblTecnicos[area],"")</f>
        <v/>
      </c>
      <c r="E53" s="3">
        <f>_xlfn.XLOOKUP(tblAsignaciones[[#This Row],[tecnico]],tblTecnicos[nombre],tblTecnicos[especialidad],"")</f>
        <v/>
      </c>
      <c r="F53" s="6" t="inlineStr">
        <is>
          <t>T3</t>
        </is>
      </c>
      <c r="G53" s="3">
        <f>_xlfn.XLOOKUP(tblAsignaciones[[#This Row],[tecnico]],tblTecnicos[nombre],tblTecnicos[coordinador],"")</f>
        <v/>
      </c>
      <c r="H53" s="3">
        <f>IF(OR(tblAsignaciones[[#This Row],[turno]]="",ISNUMBER(MATCH(tblAsignaciones[[#This Row],[turno]],lista_no_disponible,0))),0,p_horas_jornada)</f>
        <v/>
      </c>
      <c r="I53" s="3">
        <f>tblAsignaciones[[#This Row],[semana]]&amp;"|"&amp;tblAsignaciones[[#This Row],[dia]]&amp;"|"&amp;tblAsignaciones[[#This Row],[tecnico]]</f>
        <v/>
      </c>
    </row>
    <row r="54">
      <c r="A54" s="3" t="inlineStr">
        <is>
          <t>S28</t>
        </is>
      </c>
      <c r="B54" s="3" t="inlineStr">
        <is>
          <t>martes</t>
        </is>
      </c>
      <c r="C54" s="3" t="inlineStr">
        <is>
          <t>Técnico 08</t>
        </is>
      </c>
      <c r="D54" s="3">
        <f>_xlfn.XLOOKUP(tblAsignaciones[[#This Row],[tecnico]],tblTecnicos[nombre],tblTecnicos[area],"")</f>
        <v/>
      </c>
      <c r="E54" s="3">
        <f>_xlfn.XLOOKUP(tblAsignaciones[[#This Row],[tecnico]],tblTecnicos[nombre],tblTecnicos[especialidad],"")</f>
        <v/>
      </c>
      <c r="F54" s="6" t="inlineStr">
        <is>
          <t>T3</t>
        </is>
      </c>
      <c r="G54" s="3">
        <f>_xlfn.XLOOKUP(tblAsignaciones[[#This Row],[tecnico]],tblTecnicos[nombre],tblTecnicos[coordinador],"")</f>
        <v/>
      </c>
      <c r="H54" s="3">
        <f>IF(OR(tblAsignaciones[[#This Row],[turno]]="",ISNUMBER(MATCH(tblAsignaciones[[#This Row],[turno]],lista_no_disponible,0))),0,p_horas_jornada)</f>
        <v/>
      </c>
      <c r="I54" s="3">
        <f>tblAsignaciones[[#This Row],[semana]]&amp;"|"&amp;tblAsignaciones[[#This Row],[dia]]&amp;"|"&amp;tblAsignaciones[[#This Row],[tecnico]]</f>
        <v/>
      </c>
    </row>
    <row r="55">
      <c r="A55" s="3" t="inlineStr">
        <is>
          <t>S28</t>
        </is>
      </c>
      <c r="B55" s="3" t="inlineStr">
        <is>
          <t>miércoles</t>
        </is>
      </c>
      <c r="C55" s="3" t="inlineStr">
        <is>
          <t>Técnico 08</t>
        </is>
      </c>
      <c r="D55" s="3">
        <f>_xlfn.XLOOKUP(tblAsignaciones[[#This Row],[tecnico]],tblTecnicos[nombre],tblTecnicos[area],"")</f>
        <v/>
      </c>
      <c r="E55" s="3">
        <f>_xlfn.XLOOKUP(tblAsignaciones[[#This Row],[tecnico]],tblTecnicos[nombre],tblTecnicos[especialidad],"")</f>
        <v/>
      </c>
      <c r="F55" s="6" t="inlineStr">
        <is>
          <t>T3</t>
        </is>
      </c>
      <c r="G55" s="3">
        <f>_xlfn.XLOOKUP(tblAsignaciones[[#This Row],[tecnico]],tblTecnicos[nombre],tblTecnicos[coordinador],"")</f>
        <v/>
      </c>
      <c r="H55" s="3">
        <f>IF(OR(tblAsignaciones[[#This Row],[turno]]="",ISNUMBER(MATCH(tblAsignaciones[[#This Row],[turno]],lista_no_disponible,0))),0,p_horas_jornada)</f>
        <v/>
      </c>
      <c r="I55" s="3">
        <f>tblAsignaciones[[#This Row],[semana]]&amp;"|"&amp;tblAsignaciones[[#This Row],[dia]]&amp;"|"&amp;tblAsignaciones[[#This Row],[tecnico]]</f>
        <v/>
      </c>
    </row>
    <row r="56">
      <c r="A56" s="3" t="inlineStr">
        <is>
          <t>S28</t>
        </is>
      </c>
      <c r="B56" s="3" t="inlineStr">
        <is>
          <t>jueves</t>
        </is>
      </c>
      <c r="C56" s="3" t="inlineStr">
        <is>
          <t>Técnico 08</t>
        </is>
      </c>
      <c r="D56" s="3">
        <f>_xlfn.XLOOKUP(tblAsignaciones[[#This Row],[tecnico]],tblTecnicos[nombre],tblTecnicos[area],"")</f>
        <v/>
      </c>
      <c r="E56" s="3">
        <f>_xlfn.XLOOKUP(tblAsignaciones[[#This Row],[tecnico]],tblTecnicos[nombre],tblTecnicos[especialidad],"")</f>
        <v/>
      </c>
      <c r="F56" s="6" t="inlineStr">
        <is>
          <t>T3</t>
        </is>
      </c>
      <c r="G56" s="3">
        <f>_xlfn.XLOOKUP(tblAsignaciones[[#This Row],[tecnico]],tblTecnicos[nombre],tblTecnicos[coordinador],"")</f>
        <v/>
      </c>
      <c r="H56" s="3">
        <f>IF(OR(tblAsignaciones[[#This Row],[turno]]="",ISNUMBER(MATCH(tblAsignaciones[[#This Row],[turno]],lista_no_disponible,0))),0,p_horas_jornada)</f>
        <v/>
      </c>
      <c r="I56" s="3">
        <f>tblAsignaciones[[#This Row],[semana]]&amp;"|"&amp;tblAsignaciones[[#This Row],[dia]]&amp;"|"&amp;tblAsignaciones[[#This Row],[tecnico]]</f>
        <v/>
      </c>
    </row>
    <row r="57">
      <c r="A57" s="3" t="inlineStr">
        <is>
          <t>S28</t>
        </is>
      </c>
      <c r="B57" s="3" t="inlineStr">
        <is>
          <t>viernes</t>
        </is>
      </c>
      <c r="C57" s="3" t="inlineStr">
        <is>
          <t>Técnico 08</t>
        </is>
      </c>
      <c r="D57" s="3">
        <f>_xlfn.XLOOKUP(tblAsignaciones[[#This Row],[tecnico]],tblTecnicos[nombre],tblTecnicos[area],"")</f>
        <v/>
      </c>
      <c r="E57" s="3">
        <f>_xlfn.XLOOKUP(tblAsignaciones[[#This Row],[tecnico]],tblTecnicos[nombre],tblTecnicos[especialidad],"")</f>
        <v/>
      </c>
      <c r="F57" s="6" t="inlineStr">
        <is>
          <t>T3</t>
        </is>
      </c>
      <c r="G57" s="3">
        <f>_xlfn.XLOOKUP(tblAsignaciones[[#This Row],[tecnico]],tblTecnicos[nombre],tblTecnicos[coordinador],"")</f>
        <v/>
      </c>
      <c r="H57" s="3">
        <f>IF(OR(tblAsignaciones[[#This Row],[turno]]="",ISNUMBER(MATCH(tblAsignaciones[[#This Row],[turno]],lista_no_disponible,0))),0,p_horas_jornada)</f>
        <v/>
      </c>
      <c r="I57" s="3">
        <f>tblAsignaciones[[#This Row],[semana]]&amp;"|"&amp;tblAsignaciones[[#This Row],[dia]]&amp;"|"&amp;tblAsignaciones[[#This Row],[tecnico]]</f>
        <v/>
      </c>
    </row>
    <row r="58">
      <c r="A58" s="3" t="inlineStr">
        <is>
          <t>S28</t>
        </is>
      </c>
      <c r="B58" s="3" t="inlineStr">
        <is>
          <t>sábado</t>
        </is>
      </c>
      <c r="C58" s="3" t="inlineStr">
        <is>
          <t>Técnico 08</t>
        </is>
      </c>
      <c r="D58" s="3">
        <f>_xlfn.XLOOKUP(tblAsignaciones[[#This Row],[tecnico]],tblTecnicos[nombre],tblTecnicos[area],"")</f>
        <v/>
      </c>
      <c r="E58" s="3">
        <f>_xlfn.XLOOKUP(tblAsignaciones[[#This Row],[tecnico]],tblTecnicos[nombre],tblTecnicos[especialidad],"")</f>
        <v/>
      </c>
      <c r="F58" s="6" t="inlineStr"/>
      <c r="G58" s="3">
        <f>_xlfn.XLOOKUP(tblAsignaciones[[#This Row],[tecnico]],tblTecnicos[nombre],tblTecnicos[coordinador],"")</f>
        <v/>
      </c>
      <c r="H58" s="3">
        <f>IF(OR(tblAsignaciones[[#This Row],[turno]]="",ISNUMBER(MATCH(tblAsignaciones[[#This Row],[turno]],lista_no_disponible,0))),0,p_horas_jornada)</f>
        <v/>
      </c>
      <c r="I58" s="3">
        <f>tblAsignaciones[[#This Row],[semana]]&amp;"|"&amp;tblAsignaciones[[#This Row],[dia]]&amp;"|"&amp;tblAsignaciones[[#This Row],[tecnico]]</f>
        <v/>
      </c>
    </row>
    <row r="59">
      <c r="A59" s="3" t="inlineStr">
        <is>
          <t>S28</t>
        </is>
      </c>
      <c r="B59" s="3" t="inlineStr">
        <is>
          <t>domingo</t>
        </is>
      </c>
      <c r="C59" s="3" t="inlineStr">
        <is>
          <t>Técnico 08</t>
        </is>
      </c>
      <c r="D59" s="3">
        <f>_xlfn.XLOOKUP(tblAsignaciones[[#This Row],[tecnico]],tblTecnicos[nombre],tblTecnicos[area],"")</f>
        <v/>
      </c>
      <c r="E59" s="3">
        <f>_xlfn.XLOOKUP(tblAsignaciones[[#This Row],[tecnico]],tblTecnicos[nombre],tblTecnicos[especialidad],"")</f>
        <v/>
      </c>
      <c r="F59" s="6" t="inlineStr"/>
      <c r="G59" s="3">
        <f>_xlfn.XLOOKUP(tblAsignaciones[[#This Row],[tecnico]],tblTecnicos[nombre],tblTecnicos[coordinador],"")</f>
        <v/>
      </c>
      <c r="H59" s="3">
        <f>IF(OR(tblAsignaciones[[#This Row],[turno]]="",ISNUMBER(MATCH(tblAsignaciones[[#This Row],[turno]],lista_no_disponible,0))),0,p_horas_jornada)</f>
        <v/>
      </c>
      <c r="I59" s="3">
        <f>tblAsignaciones[[#This Row],[semana]]&amp;"|"&amp;tblAsignaciones[[#This Row],[dia]]&amp;"|"&amp;tblAsignaciones[[#This Row],[tecnico]]</f>
        <v/>
      </c>
    </row>
    <row r="60">
      <c r="A60" s="3" t="inlineStr">
        <is>
          <t>S28</t>
        </is>
      </c>
      <c r="B60" s="3" t="inlineStr">
        <is>
          <t>lunes</t>
        </is>
      </c>
      <c r="C60" s="3" t="inlineStr">
        <is>
          <t>Técnico 09</t>
        </is>
      </c>
      <c r="D60" s="3">
        <f>_xlfn.XLOOKUP(tblAsignaciones[[#This Row],[tecnico]],tblTecnicos[nombre],tblTecnicos[area],"")</f>
        <v/>
      </c>
      <c r="E60" s="3">
        <f>_xlfn.XLOOKUP(tblAsignaciones[[#This Row],[tecnico]],tblTecnicos[nombre],tblTecnicos[especialidad],"")</f>
        <v/>
      </c>
      <c r="F60" s="6" t="inlineStr">
        <is>
          <t>T1</t>
        </is>
      </c>
      <c r="G60" s="3">
        <f>_xlfn.XLOOKUP(tblAsignaciones[[#This Row],[tecnico]],tblTecnicos[nombre],tblTecnicos[coordinador],"")</f>
        <v/>
      </c>
      <c r="H60" s="3">
        <f>IF(OR(tblAsignaciones[[#This Row],[turno]]="",ISNUMBER(MATCH(tblAsignaciones[[#This Row],[turno]],lista_no_disponible,0))),0,p_horas_jornada)</f>
        <v/>
      </c>
      <c r="I60" s="3">
        <f>tblAsignaciones[[#This Row],[semana]]&amp;"|"&amp;tblAsignaciones[[#This Row],[dia]]&amp;"|"&amp;tblAsignaciones[[#This Row],[tecnico]]</f>
        <v/>
      </c>
    </row>
    <row r="61">
      <c r="A61" s="3" t="inlineStr">
        <is>
          <t>S28</t>
        </is>
      </c>
      <c r="B61" s="3" t="inlineStr">
        <is>
          <t>martes</t>
        </is>
      </c>
      <c r="C61" s="3" t="inlineStr">
        <is>
          <t>Técnico 09</t>
        </is>
      </c>
      <c r="D61" s="3">
        <f>_xlfn.XLOOKUP(tblAsignaciones[[#This Row],[tecnico]],tblTecnicos[nombre],tblTecnicos[area],"")</f>
        <v/>
      </c>
      <c r="E61" s="3">
        <f>_xlfn.XLOOKUP(tblAsignaciones[[#This Row],[tecnico]],tblTecnicos[nombre],tblTecnicos[especialidad],"")</f>
        <v/>
      </c>
      <c r="F61" s="6" t="inlineStr">
        <is>
          <t>T1</t>
        </is>
      </c>
      <c r="G61" s="3">
        <f>_xlfn.XLOOKUP(tblAsignaciones[[#This Row],[tecnico]],tblTecnicos[nombre],tblTecnicos[coordinador],"")</f>
        <v/>
      </c>
      <c r="H61" s="3">
        <f>IF(OR(tblAsignaciones[[#This Row],[turno]]="",ISNUMBER(MATCH(tblAsignaciones[[#This Row],[turno]],lista_no_disponible,0))),0,p_horas_jornada)</f>
        <v/>
      </c>
      <c r="I61" s="3">
        <f>tblAsignaciones[[#This Row],[semana]]&amp;"|"&amp;tblAsignaciones[[#This Row],[dia]]&amp;"|"&amp;tblAsignaciones[[#This Row],[tecnico]]</f>
        <v/>
      </c>
    </row>
    <row r="62">
      <c r="A62" s="3" t="inlineStr">
        <is>
          <t>S28</t>
        </is>
      </c>
      <c r="B62" s="3" t="inlineStr">
        <is>
          <t>miércoles</t>
        </is>
      </c>
      <c r="C62" s="3" t="inlineStr">
        <is>
          <t>Técnico 09</t>
        </is>
      </c>
      <c r="D62" s="3">
        <f>_xlfn.XLOOKUP(tblAsignaciones[[#This Row],[tecnico]],tblTecnicos[nombre],tblTecnicos[area],"")</f>
        <v/>
      </c>
      <c r="E62" s="3">
        <f>_xlfn.XLOOKUP(tblAsignaciones[[#This Row],[tecnico]],tblTecnicos[nombre],tblTecnicos[especialidad],"")</f>
        <v/>
      </c>
      <c r="F62" s="6" t="inlineStr">
        <is>
          <t>T1</t>
        </is>
      </c>
      <c r="G62" s="3">
        <f>_xlfn.XLOOKUP(tblAsignaciones[[#This Row],[tecnico]],tblTecnicos[nombre],tblTecnicos[coordinador],"")</f>
        <v/>
      </c>
      <c r="H62" s="3">
        <f>IF(OR(tblAsignaciones[[#This Row],[turno]]="",ISNUMBER(MATCH(tblAsignaciones[[#This Row],[turno]],lista_no_disponible,0))),0,p_horas_jornada)</f>
        <v/>
      </c>
      <c r="I62" s="3">
        <f>tblAsignaciones[[#This Row],[semana]]&amp;"|"&amp;tblAsignaciones[[#This Row],[dia]]&amp;"|"&amp;tblAsignaciones[[#This Row],[tecnico]]</f>
        <v/>
      </c>
    </row>
    <row r="63">
      <c r="A63" s="3" t="inlineStr">
        <is>
          <t>S28</t>
        </is>
      </c>
      <c r="B63" s="3" t="inlineStr">
        <is>
          <t>jueves</t>
        </is>
      </c>
      <c r="C63" s="3" t="inlineStr">
        <is>
          <t>Técnico 09</t>
        </is>
      </c>
      <c r="D63" s="3">
        <f>_xlfn.XLOOKUP(tblAsignaciones[[#This Row],[tecnico]],tblTecnicos[nombre],tblTecnicos[area],"")</f>
        <v/>
      </c>
      <c r="E63" s="3">
        <f>_xlfn.XLOOKUP(tblAsignaciones[[#This Row],[tecnico]],tblTecnicos[nombre],tblTecnicos[especialidad],"")</f>
        <v/>
      </c>
      <c r="F63" s="6" t="inlineStr">
        <is>
          <t>T1</t>
        </is>
      </c>
      <c r="G63" s="3">
        <f>_xlfn.XLOOKUP(tblAsignaciones[[#This Row],[tecnico]],tblTecnicos[nombre],tblTecnicos[coordinador],"")</f>
        <v/>
      </c>
      <c r="H63" s="3">
        <f>IF(OR(tblAsignaciones[[#This Row],[turno]]="",ISNUMBER(MATCH(tblAsignaciones[[#This Row],[turno]],lista_no_disponible,0))),0,p_horas_jornada)</f>
        <v/>
      </c>
      <c r="I63" s="3">
        <f>tblAsignaciones[[#This Row],[semana]]&amp;"|"&amp;tblAsignaciones[[#This Row],[dia]]&amp;"|"&amp;tblAsignaciones[[#This Row],[tecnico]]</f>
        <v/>
      </c>
    </row>
    <row r="64">
      <c r="A64" s="3" t="inlineStr">
        <is>
          <t>S28</t>
        </is>
      </c>
      <c r="B64" s="3" t="inlineStr">
        <is>
          <t>viernes</t>
        </is>
      </c>
      <c r="C64" s="3" t="inlineStr">
        <is>
          <t>Técnico 09</t>
        </is>
      </c>
      <c r="D64" s="3">
        <f>_xlfn.XLOOKUP(tblAsignaciones[[#This Row],[tecnico]],tblTecnicos[nombre],tblTecnicos[area],"")</f>
        <v/>
      </c>
      <c r="E64" s="3">
        <f>_xlfn.XLOOKUP(tblAsignaciones[[#This Row],[tecnico]],tblTecnicos[nombre],tblTecnicos[especialidad],"")</f>
        <v/>
      </c>
      <c r="F64" s="6" t="inlineStr">
        <is>
          <t>T1</t>
        </is>
      </c>
      <c r="G64" s="3">
        <f>_xlfn.XLOOKUP(tblAsignaciones[[#This Row],[tecnico]],tblTecnicos[nombre],tblTecnicos[coordinador],"")</f>
        <v/>
      </c>
      <c r="H64" s="3">
        <f>IF(OR(tblAsignaciones[[#This Row],[turno]]="",ISNUMBER(MATCH(tblAsignaciones[[#This Row],[turno]],lista_no_disponible,0))),0,p_horas_jornada)</f>
        <v/>
      </c>
      <c r="I64" s="3">
        <f>tblAsignaciones[[#This Row],[semana]]&amp;"|"&amp;tblAsignaciones[[#This Row],[dia]]&amp;"|"&amp;tblAsignaciones[[#This Row],[tecnico]]</f>
        <v/>
      </c>
    </row>
    <row r="65">
      <c r="A65" s="3" t="inlineStr">
        <is>
          <t>S28</t>
        </is>
      </c>
      <c r="B65" s="3" t="inlineStr">
        <is>
          <t>sábado</t>
        </is>
      </c>
      <c r="C65" s="3" t="inlineStr">
        <is>
          <t>Técnico 09</t>
        </is>
      </c>
      <c r="D65" s="3">
        <f>_xlfn.XLOOKUP(tblAsignaciones[[#This Row],[tecnico]],tblTecnicos[nombre],tblTecnicos[area],"")</f>
        <v/>
      </c>
      <c r="E65" s="3">
        <f>_xlfn.XLOOKUP(tblAsignaciones[[#This Row],[tecnico]],tblTecnicos[nombre],tblTecnicos[especialidad],"")</f>
        <v/>
      </c>
      <c r="F65" s="6" t="inlineStr"/>
      <c r="G65" s="3">
        <f>_xlfn.XLOOKUP(tblAsignaciones[[#This Row],[tecnico]],tblTecnicos[nombre],tblTecnicos[coordinador],"")</f>
        <v/>
      </c>
      <c r="H65" s="3">
        <f>IF(OR(tblAsignaciones[[#This Row],[turno]]="",ISNUMBER(MATCH(tblAsignaciones[[#This Row],[turno]],lista_no_disponible,0))),0,p_horas_jornada)</f>
        <v/>
      </c>
      <c r="I65" s="3">
        <f>tblAsignaciones[[#This Row],[semana]]&amp;"|"&amp;tblAsignaciones[[#This Row],[dia]]&amp;"|"&amp;tblAsignaciones[[#This Row],[tecnico]]</f>
        <v/>
      </c>
    </row>
    <row r="66">
      <c r="A66" s="3" t="inlineStr">
        <is>
          <t>S28</t>
        </is>
      </c>
      <c r="B66" s="3" t="inlineStr">
        <is>
          <t>domingo</t>
        </is>
      </c>
      <c r="C66" s="3" t="inlineStr">
        <is>
          <t>Técnico 09</t>
        </is>
      </c>
      <c r="D66" s="3">
        <f>_xlfn.XLOOKUP(tblAsignaciones[[#This Row],[tecnico]],tblTecnicos[nombre],tblTecnicos[area],"")</f>
        <v/>
      </c>
      <c r="E66" s="3">
        <f>_xlfn.XLOOKUP(tblAsignaciones[[#This Row],[tecnico]],tblTecnicos[nombre],tblTecnicos[especialidad],"")</f>
        <v/>
      </c>
      <c r="F66" s="6" t="inlineStr"/>
      <c r="G66" s="3">
        <f>_xlfn.XLOOKUP(tblAsignaciones[[#This Row],[tecnico]],tblTecnicos[nombre],tblTecnicos[coordinador],"")</f>
        <v/>
      </c>
      <c r="H66" s="3">
        <f>IF(OR(tblAsignaciones[[#This Row],[turno]]="",ISNUMBER(MATCH(tblAsignaciones[[#This Row],[turno]],lista_no_disponible,0))),0,p_horas_jornada)</f>
        <v/>
      </c>
      <c r="I66" s="3">
        <f>tblAsignaciones[[#This Row],[semana]]&amp;"|"&amp;tblAsignaciones[[#This Row],[dia]]&amp;"|"&amp;tblAsignaciones[[#This Row],[tecnico]]</f>
        <v/>
      </c>
    </row>
    <row r="67">
      <c r="A67" s="3" t="inlineStr">
        <is>
          <t>S28</t>
        </is>
      </c>
      <c r="B67" s="3" t="inlineStr">
        <is>
          <t>lunes</t>
        </is>
      </c>
      <c r="C67" s="3" t="inlineStr">
        <is>
          <t>Técnico 10</t>
        </is>
      </c>
      <c r="D67" s="3">
        <f>_xlfn.XLOOKUP(tblAsignaciones[[#This Row],[tecnico]],tblTecnicos[nombre],tblTecnicos[area],"")</f>
        <v/>
      </c>
      <c r="E67" s="3">
        <f>_xlfn.XLOOKUP(tblAsignaciones[[#This Row],[tecnico]],tblTecnicos[nombre],tblTecnicos[especialidad],"")</f>
        <v/>
      </c>
      <c r="F67" s="6" t="inlineStr">
        <is>
          <t>B1</t>
        </is>
      </c>
      <c r="G67" s="3">
        <f>_xlfn.XLOOKUP(tblAsignaciones[[#This Row],[tecnico]],tblTecnicos[nombre],tblTecnicos[coordinador],"")</f>
        <v/>
      </c>
      <c r="H67" s="3">
        <f>IF(OR(tblAsignaciones[[#This Row],[turno]]="",ISNUMBER(MATCH(tblAsignaciones[[#This Row],[turno]],lista_no_disponible,0))),0,p_horas_jornada)</f>
        <v/>
      </c>
      <c r="I67" s="3">
        <f>tblAsignaciones[[#This Row],[semana]]&amp;"|"&amp;tblAsignaciones[[#This Row],[dia]]&amp;"|"&amp;tblAsignaciones[[#This Row],[tecnico]]</f>
        <v/>
      </c>
    </row>
    <row r="68">
      <c r="A68" s="3" t="inlineStr">
        <is>
          <t>S28</t>
        </is>
      </c>
      <c r="B68" s="3" t="inlineStr">
        <is>
          <t>martes</t>
        </is>
      </c>
      <c r="C68" s="3" t="inlineStr">
        <is>
          <t>Técnico 10</t>
        </is>
      </c>
      <c r="D68" s="3">
        <f>_xlfn.XLOOKUP(tblAsignaciones[[#This Row],[tecnico]],tblTecnicos[nombre],tblTecnicos[area],"")</f>
        <v/>
      </c>
      <c r="E68" s="3">
        <f>_xlfn.XLOOKUP(tblAsignaciones[[#This Row],[tecnico]],tblTecnicos[nombre],tblTecnicos[especialidad],"")</f>
        <v/>
      </c>
      <c r="F68" s="6" t="inlineStr">
        <is>
          <t>B1</t>
        </is>
      </c>
      <c r="G68" s="3">
        <f>_xlfn.XLOOKUP(tblAsignaciones[[#This Row],[tecnico]],tblTecnicos[nombre],tblTecnicos[coordinador],"")</f>
        <v/>
      </c>
      <c r="H68" s="3">
        <f>IF(OR(tblAsignaciones[[#This Row],[turno]]="",ISNUMBER(MATCH(tblAsignaciones[[#This Row],[turno]],lista_no_disponible,0))),0,p_horas_jornada)</f>
        <v/>
      </c>
      <c r="I68" s="3">
        <f>tblAsignaciones[[#This Row],[semana]]&amp;"|"&amp;tblAsignaciones[[#This Row],[dia]]&amp;"|"&amp;tblAsignaciones[[#This Row],[tecnico]]</f>
        <v/>
      </c>
    </row>
    <row r="69">
      <c r="A69" s="3" t="inlineStr">
        <is>
          <t>S28</t>
        </is>
      </c>
      <c r="B69" s="3" t="inlineStr">
        <is>
          <t>miércoles</t>
        </is>
      </c>
      <c r="C69" s="3" t="inlineStr">
        <is>
          <t>Técnico 10</t>
        </is>
      </c>
      <c r="D69" s="3">
        <f>_xlfn.XLOOKUP(tblAsignaciones[[#This Row],[tecnico]],tblTecnicos[nombre],tblTecnicos[area],"")</f>
        <v/>
      </c>
      <c r="E69" s="3">
        <f>_xlfn.XLOOKUP(tblAsignaciones[[#This Row],[tecnico]],tblTecnicos[nombre],tblTecnicos[especialidad],"")</f>
        <v/>
      </c>
      <c r="F69" s="6" t="inlineStr">
        <is>
          <t>B1</t>
        </is>
      </c>
      <c r="G69" s="3">
        <f>_xlfn.XLOOKUP(tblAsignaciones[[#This Row],[tecnico]],tblTecnicos[nombre],tblTecnicos[coordinador],"")</f>
        <v/>
      </c>
      <c r="H69" s="3">
        <f>IF(OR(tblAsignaciones[[#This Row],[turno]]="",ISNUMBER(MATCH(tblAsignaciones[[#This Row],[turno]],lista_no_disponible,0))),0,p_horas_jornada)</f>
        <v/>
      </c>
      <c r="I69" s="3">
        <f>tblAsignaciones[[#This Row],[semana]]&amp;"|"&amp;tblAsignaciones[[#This Row],[dia]]&amp;"|"&amp;tblAsignaciones[[#This Row],[tecnico]]</f>
        <v/>
      </c>
    </row>
    <row r="70">
      <c r="A70" s="3" t="inlineStr">
        <is>
          <t>S28</t>
        </is>
      </c>
      <c r="B70" s="3" t="inlineStr">
        <is>
          <t>jueves</t>
        </is>
      </c>
      <c r="C70" s="3" t="inlineStr">
        <is>
          <t>Técnico 10</t>
        </is>
      </c>
      <c r="D70" s="3">
        <f>_xlfn.XLOOKUP(tblAsignaciones[[#This Row],[tecnico]],tblTecnicos[nombre],tblTecnicos[area],"")</f>
        <v/>
      </c>
      <c r="E70" s="3">
        <f>_xlfn.XLOOKUP(tblAsignaciones[[#This Row],[tecnico]],tblTecnicos[nombre],tblTecnicos[especialidad],"")</f>
        <v/>
      </c>
      <c r="F70" s="6" t="inlineStr">
        <is>
          <t>B1</t>
        </is>
      </c>
      <c r="G70" s="3">
        <f>_xlfn.XLOOKUP(tblAsignaciones[[#This Row],[tecnico]],tblTecnicos[nombre],tblTecnicos[coordinador],"")</f>
        <v/>
      </c>
      <c r="H70" s="3">
        <f>IF(OR(tblAsignaciones[[#This Row],[turno]]="",ISNUMBER(MATCH(tblAsignaciones[[#This Row],[turno]],lista_no_disponible,0))),0,p_horas_jornada)</f>
        <v/>
      </c>
      <c r="I70" s="3">
        <f>tblAsignaciones[[#This Row],[semana]]&amp;"|"&amp;tblAsignaciones[[#This Row],[dia]]&amp;"|"&amp;tblAsignaciones[[#This Row],[tecnico]]</f>
        <v/>
      </c>
    </row>
    <row r="71">
      <c r="A71" s="3" t="inlineStr">
        <is>
          <t>S28</t>
        </is>
      </c>
      <c r="B71" s="3" t="inlineStr">
        <is>
          <t>viernes</t>
        </is>
      </c>
      <c r="C71" s="3" t="inlineStr">
        <is>
          <t>Técnico 10</t>
        </is>
      </c>
      <c r="D71" s="3">
        <f>_xlfn.XLOOKUP(tblAsignaciones[[#This Row],[tecnico]],tblTecnicos[nombre],tblTecnicos[area],"")</f>
        <v/>
      </c>
      <c r="E71" s="3">
        <f>_xlfn.XLOOKUP(tblAsignaciones[[#This Row],[tecnico]],tblTecnicos[nombre],tblTecnicos[especialidad],"")</f>
        <v/>
      </c>
      <c r="F71" s="6" t="inlineStr">
        <is>
          <t>B1</t>
        </is>
      </c>
      <c r="G71" s="3">
        <f>_xlfn.XLOOKUP(tblAsignaciones[[#This Row],[tecnico]],tblTecnicos[nombre],tblTecnicos[coordinador],"")</f>
        <v/>
      </c>
      <c r="H71" s="3">
        <f>IF(OR(tblAsignaciones[[#This Row],[turno]]="",ISNUMBER(MATCH(tblAsignaciones[[#This Row],[turno]],lista_no_disponible,0))),0,p_horas_jornada)</f>
        <v/>
      </c>
      <c r="I71" s="3">
        <f>tblAsignaciones[[#This Row],[semana]]&amp;"|"&amp;tblAsignaciones[[#This Row],[dia]]&amp;"|"&amp;tblAsignaciones[[#This Row],[tecnico]]</f>
        <v/>
      </c>
    </row>
    <row r="72">
      <c r="A72" s="3" t="inlineStr">
        <is>
          <t>S28</t>
        </is>
      </c>
      <c r="B72" s="3" t="inlineStr">
        <is>
          <t>sábado</t>
        </is>
      </c>
      <c r="C72" s="3" t="inlineStr">
        <is>
          <t>Técnico 10</t>
        </is>
      </c>
      <c r="D72" s="3">
        <f>_xlfn.XLOOKUP(tblAsignaciones[[#This Row],[tecnico]],tblTecnicos[nombre],tblTecnicos[area],"")</f>
        <v/>
      </c>
      <c r="E72" s="3">
        <f>_xlfn.XLOOKUP(tblAsignaciones[[#This Row],[tecnico]],tblTecnicos[nombre],tblTecnicos[especialidad],"")</f>
        <v/>
      </c>
      <c r="F72" s="6" t="inlineStr"/>
      <c r="G72" s="3">
        <f>_xlfn.XLOOKUP(tblAsignaciones[[#This Row],[tecnico]],tblTecnicos[nombre],tblTecnicos[coordinador],"")</f>
        <v/>
      </c>
      <c r="H72" s="3">
        <f>IF(OR(tblAsignaciones[[#This Row],[turno]]="",ISNUMBER(MATCH(tblAsignaciones[[#This Row],[turno]],lista_no_disponible,0))),0,p_horas_jornada)</f>
        <v/>
      </c>
      <c r="I72" s="3">
        <f>tblAsignaciones[[#This Row],[semana]]&amp;"|"&amp;tblAsignaciones[[#This Row],[dia]]&amp;"|"&amp;tblAsignaciones[[#This Row],[tecnico]]</f>
        <v/>
      </c>
    </row>
    <row r="73">
      <c r="A73" s="3" t="inlineStr">
        <is>
          <t>S28</t>
        </is>
      </c>
      <c r="B73" s="3" t="inlineStr">
        <is>
          <t>domingo</t>
        </is>
      </c>
      <c r="C73" s="3" t="inlineStr">
        <is>
          <t>Técnico 10</t>
        </is>
      </c>
      <c r="D73" s="3">
        <f>_xlfn.XLOOKUP(tblAsignaciones[[#This Row],[tecnico]],tblTecnicos[nombre],tblTecnicos[area],"")</f>
        <v/>
      </c>
      <c r="E73" s="3">
        <f>_xlfn.XLOOKUP(tblAsignaciones[[#This Row],[tecnico]],tblTecnicos[nombre],tblTecnicos[especialidad],"")</f>
        <v/>
      </c>
      <c r="F73" s="6" t="inlineStr"/>
      <c r="G73" s="3">
        <f>_xlfn.XLOOKUP(tblAsignaciones[[#This Row],[tecnico]],tblTecnicos[nombre],tblTecnicos[coordinador],"")</f>
        <v/>
      </c>
      <c r="H73" s="3">
        <f>IF(OR(tblAsignaciones[[#This Row],[turno]]="",ISNUMBER(MATCH(tblAsignaciones[[#This Row],[turno]],lista_no_disponible,0))),0,p_horas_jornada)</f>
        <v/>
      </c>
      <c r="I73" s="3">
        <f>tblAsignaciones[[#This Row],[semana]]&amp;"|"&amp;tblAsignaciones[[#This Row],[dia]]&amp;"|"&amp;tblAsignaciones[[#This Row],[tecnico]]</f>
        <v/>
      </c>
    </row>
    <row r="74">
      <c r="A74" s="3" t="inlineStr">
        <is>
          <t>S28</t>
        </is>
      </c>
      <c r="B74" s="3" t="inlineStr">
        <is>
          <t>lunes</t>
        </is>
      </c>
      <c r="C74" s="3" t="inlineStr">
        <is>
          <t>Técnico 11</t>
        </is>
      </c>
      <c r="D74" s="3">
        <f>_xlfn.XLOOKUP(tblAsignaciones[[#This Row],[tecnico]],tblTecnicos[nombre],tblTecnicos[area],"")</f>
        <v/>
      </c>
      <c r="E74" s="3">
        <f>_xlfn.XLOOKUP(tblAsignaciones[[#This Row],[tecnico]],tblTecnicos[nombre],tblTecnicos[especialidad],"")</f>
        <v/>
      </c>
      <c r="F74" s="6" t="inlineStr">
        <is>
          <t>T1</t>
        </is>
      </c>
      <c r="G74" s="3">
        <f>_xlfn.XLOOKUP(tblAsignaciones[[#This Row],[tecnico]],tblTecnicos[nombre],tblTecnicos[coordinador],"")</f>
        <v/>
      </c>
      <c r="H74" s="3">
        <f>IF(OR(tblAsignaciones[[#This Row],[turno]]="",ISNUMBER(MATCH(tblAsignaciones[[#This Row],[turno]],lista_no_disponible,0))),0,p_horas_jornada)</f>
        <v/>
      </c>
      <c r="I74" s="3">
        <f>tblAsignaciones[[#This Row],[semana]]&amp;"|"&amp;tblAsignaciones[[#This Row],[dia]]&amp;"|"&amp;tblAsignaciones[[#This Row],[tecnico]]</f>
        <v/>
      </c>
    </row>
    <row r="75">
      <c r="A75" s="3" t="inlineStr">
        <is>
          <t>S28</t>
        </is>
      </c>
      <c r="B75" s="3" t="inlineStr">
        <is>
          <t>martes</t>
        </is>
      </c>
      <c r="C75" s="3" t="inlineStr">
        <is>
          <t>Técnico 11</t>
        </is>
      </c>
      <c r="D75" s="3">
        <f>_xlfn.XLOOKUP(tblAsignaciones[[#This Row],[tecnico]],tblTecnicos[nombre],tblTecnicos[area],"")</f>
        <v/>
      </c>
      <c r="E75" s="3">
        <f>_xlfn.XLOOKUP(tblAsignaciones[[#This Row],[tecnico]],tblTecnicos[nombre],tblTecnicos[especialidad],"")</f>
        <v/>
      </c>
      <c r="F75" s="6" t="inlineStr">
        <is>
          <t>T1</t>
        </is>
      </c>
      <c r="G75" s="3">
        <f>_xlfn.XLOOKUP(tblAsignaciones[[#This Row],[tecnico]],tblTecnicos[nombre],tblTecnicos[coordinador],"")</f>
        <v/>
      </c>
      <c r="H75" s="3">
        <f>IF(OR(tblAsignaciones[[#This Row],[turno]]="",ISNUMBER(MATCH(tblAsignaciones[[#This Row],[turno]],lista_no_disponible,0))),0,p_horas_jornada)</f>
        <v/>
      </c>
      <c r="I75" s="3">
        <f>tblAsignaciones[[#This Row],[semana]]&amp;"|"&amp;tblAsignaciones[[#This Row],[dia]]&amp;"|"&amp;tblAsignaciones[[#This Row],[tecnico]]</f>
        <v/>
      </c>
    </row>
    <row r="76">
      <c r="A76" s="3" t="inlineStr">
        <is>
          <t>S28</t>
        </is>
      </c>
      <c r="B76" s="3" t="inlineStr">
        <is>
          <t>miércoles</t>
        </is>
      </c>
      <c r="C76" s="3" t="inlineStr">
        <is>
          <t>Técnico 11</t>
        </is>
      </c>
      <c r="D76" s="3">
        <f>_xlfn.XLOOKUP(tblAsignaciones[[#This Row],[tecnico]],tblTecnicos[nombre],tblTecnicos[area],"")</f>
        <v/>
      </c>
      <c r="E76" s="3">
        <f>_xlfn.XLOOKUP(tblAsignaciones[[#This Row],[tecnico]],tblTecnicos[nombre],tblTecnicos[especialidad],"")</f>
        <v/>
      </c>
      <c r="F76" s="6" t="inlineStr">
        <is>
          <t>T1</t>
        </is>
      </c>
      <c r="G76" s="3">
        <f>_xlfn.XLOOKUP(tblAsignaciones[[#This Row],[tecnico]],tblTecnicos[nombre],tblTecnicos[coordinador],"")</f>
        <v/>
      </c>
      <c r="H76" s="3">
        <f>IF(OR(tblAsignaciones[[#This Row],[turno]]="",ISNUMBER(MATCH(tblAsignaciones[[#This Row],[turno]],lista_no_disponible,0))),0,p_horas_jornada)</f>
        <v/>
      </c>
      <c r="I76" s="3">
        <f>tblAsignaciones[[#This Row],[semana]]&amp;"|"&amp;tblAsignaciones[[#This Row],[dia]]&amp;"|"&amp;tblAsignaciones[[#This Row],[tecnico]]</f>
        <v/>
      </c>
    </row>
    <row r="77">
      <c r="A77" s="3" t="inlineStr">
        <is>
          <t>S28</t>
        </is>
      </c>
      <c r="B77" s="3" t="inlineStr">
        <is>
          <t>jueves</t>
        </is>
      </c>
      <c r="C77" s="3" t="inlineStr">
        <is>
          <t>Técnico 11</t>
        </is>
      </c>
      <c r="D77" s="3">
        <f>_xlfn.XLOOKUP(tblAsignaciones[[#This Row],[tecnico]],tblTecnicos[nombre],tblTecnicos[area],"")</f>
        <v/>
      </c>
      <c r="E77" s="3">
        <f>_xlfn.XLOOKUP(tblAsignaciones[[#This Row],[tecnico]],tblTecnicos[nombre],tblTecnicos[especialidad],"")</f>
        <v/>
      </c>
      <c r="F77" s="6" t="inlineStr">
        <is>
          <t>T1</t>
        </is>
      </c>
      <c r="G77" s="3">
        <f>_xlfn.XLOOKUP(tblAsignaciones[[#This Row],[tecnico]],tblTecnicos[nombre],tblTecnicos[coordinador],"")</f>
        <v/>
      </c>
      <c r="H77" s="3">
        <f>IF(OR(tblAsignaciones[[#This Row],[turno]]="",ISNUMBER(MATCH(tblAsignaciones[[#This Row],[turno]],lista_no_disponible,0))),0,p_horas_jornada)</f>
        <v/>
      </c>
      <c r="I77" s="3">
        <f>tblAsignaciones[[#This Row],[semana]]&amp;"|"&amp;tblAsignaciones[[#This Row],[dia]]&amp;"|"&amp;tblAsignaciones[[#This Row],[tecnico]]</f>
        <v/>
      </c>
    </row>
    <row r="78">
      <c r="A78" s="3" t="inlineStr">
        <is>
          <t>S28</t>
        </is>
      </c>
      <c r="B78" s="3" t="inlineStr">
        <is>
          <t>viernes</t>
        </is>
      </c>
      <c r="C78" s="3" t="inlineStr">
        <is>
          <t>Técnico 11</t>
        </is>
      </c>
      <c r="D78" s="3">
        <f>_xlfn.XLOOKUP(tblAsignaciones[[#This Row],[tecnico]],tblTecnicos[nombre],tblTecnicos[area],"")</f>
        <v/>
      </c>
      <c r="E78" s="3">
        <f>_xlfn.XLOOKUP(tblAsignaciones[[#This Row],[tecnico]],tblTecnicos[nombre],tblTecnicos[especialidad],"")</f>
        <v/>
      </c>
      <c r="F78" s="6" t="inlineStr">
        <is>
          <t>T1</t>
        </is>
      </c>
      <c r="G78" s="3">
        <f>_xlfn.XLOOKUP(tblAsignaciones[[#This Row],[tecnico]],tblTecnicos[nombre],tblTecnicos[coordinador],"")</f>
        <v/>
      </c>
      <c r="H78" s="3">
        <f>IF(OR(tblAsignaciones[[#This Row],[turno]]="",ISNUMBER(MATCH(tblAsignaciones[[#This Row],[turno]],lista_no_disponible,0))),0,p_horas_jornada)</f>
        <v/>
      </c>
      <c r="I78" s="3">
        <f>tblAsignaciones[[#This Row],[semana]]&amp;"|"&amp;tblAsignaciones[[#This Row],[dia]]&amp;"|"&amp;tblAsignaciones[[#This Row],[tecnico]]</f>
        <v/>
      </c>
    </row>
    <row r="79">
      <c r="A79" s="3" t="inlineStr">
        <is>
          <t>S28</t>
        </is>
      </c>
      <c r="B79" s="3" t="inlineStr">
        <is>
          <t>sábado</t>
        </is>
      </c>
      <c r="C79" s="3" t="inlineStr">
        <is>
          <t>Técnico 11</t>
        </is>
      </c>
      <c r="D79" s="3">
        <f>_xlfn.XLOOKUP(tblAsignaciones[[#This Row],[tecnico]],tblTecnicos[nombre],tblTecnicos[area],"")</f>
        <v/>
      </c>
      <c r="E79" s="3">
        <f>_xlfn.XLOOKUP(tblAsignaciones[[#This Row],[tecnico]],tblTecnicos[nombre],tblTecnicos[especialidad],"")</f>
        <v/>
      </c>
      <c r="F79" s="6" t="inlineStr"/>
      <c r="G79" s="3">
        <f>_xlfn.XLOOKUP(tblAsignaciones[[#This Row],[tecnico]],tblTecnicos[nombre],tblTecnicos[coordinador],"")</f>
        <v/>
      </c>
      <c r="H79" s="3">
        <f>IF(OR(tblAsignaciones[[#This Row],[turno]]="",ISNUMBER(MATCH(tblAsignaciones[[#This Row],[turno]],lista_no_disponible,0))),0,p_horas_jornada)</f>
        <v/>
      </c>
      <c r="I79" s="3">
        <f>tblAsignaciones[[#This Row],[semana]]&amp;"|"&amp;tblAsignaciones[[#This Row],[dia]]&amp;"|"&amp;tblAsignaciones[[#This Row],[tecnico]]</f>
        <v/>
      </c>
    </row>
    <row r="80">
      <c r="A80" s="3" t="inlineStr">
        <is>
          <t>S28</t>
        </is>
      </c>
      <c r="B80" s="3" t="inlineStr">
        <is>
          <t>domingo</t>
        </is>
      </c>
      <c r="C80" s="3" t="inlineStr">
        <is>
          <t>Técnico 11</t>
        </is>
      </c>
      <c r="D80" s="3">
        <f>_xlfn.XLOOKUP(tblAsignaciones[[#This Row],[tecnico]],tblTecnicos[nombre],tblTecnicos[area],"")</f>
        <v/>
      </c>
      <c r="E80" s="3">
        <f>_xlfn.XLOOKUP(tblAsignaciones[[#This Row],[tecnico]],tblTecnicos[nombre],tblTecnicos[especialidad],"")</f>
        <v/>
      </c>
      <c r="F80" s="6" t="inlineStr"/>
      <c r="G80" s="3">
        <f>_xlfn.XLOOKUP(tblAsignaciones[[#This Row],[tecnico]],tblTecnicos[nombre],tblTecnicos[coordinador],"")</f>
        <v/>
      </c>
      <c r="H80" s="3">
        <f>IF(OR(tblAsignaciones[[#This Row],[turno]]="",ISNUMBER(MATCH(tblAsignaciones[[#This Row],[turno]],lista_no_disponible,0))),0,p_horas_jornada)</f>
        <v/>
      </c>
      <c r="I80" s="3">
        <f>tblAsignaciones[[#This Row],[semana]]&amp;"|"&amp;tblAsignaciones[[#This Row],[dia]]&amp;"|"&amp;tblAsignaciones[[#This Row],[tecnico]]</f>
        <v/>
      </c>
    </row>
    <row r="81">
      <c r="A81" s="3" t="inlineStr">
        <is>
          <t>S28</t>
        </is>
      </c>
      <c r="B81" s="3" t="inlineStr">
        <is>
          <t>lunes</t>
        </is>
      </c>
      <c r="C81" s="3" t="inlineStr">
        <is>
          <t>Técnico 12</t>
        </is>
      </c>
      <c r="D81" s="3">
        <f>_xlfn.XLOOKUP(tblAsignaciones[[#This Row],[tecnico]],tblTecnicos[nombre],tblTecnicos[area],"")</f>
        <v/>
      </c>
      <c r="E81" s="3">
        <f>_xlfn.XLOOKUP(tblAsignaciones[[#This Row],[tecnico]],tblTecnicos[nombre],tblTecnicos[especialidad],"")</f>
        <v/>
      </c>
      <c r="F81" s="6" t="inlineStr">
        <is>
          <t>T1</t>
        </is>
      </c>
      <c r="G81" s="3">
        <f>_xlfn.XLOOKUP(tblAsignaciones[[#This Row],[tecnico]],tblTecnicos[nombre],tblTecnicos[coordinador],"")</f>
        <v/>
      </c>
      <c r="H81" s="3">
        <f>IF(OR(tblAsignaciones[[#This Row],[turno]]="",ISNUMBER(MATCH(tblAsignaciones[[#This Row],[turno]],lista_no_disponible,0))),0,p_horas_jornada)</f>
        <v/>
      </c>
      <c r="I81" s="3">
        <f>tblAsignaciones[[#This Row],[semana]]&amp;"|"&amp;tblAsignaciones[[#This Row],[dia]]&amp;"|"&amp;tblAsignaciones[[#This Row],[tecnico]]</f>
        <v/>
      </c>
    </row>
    <row r="82">
      <c r="A82" s="3" t="inlineStr">
        <is>
          <t>S28</t>
        </is>
      </c>
      <c r="B82" s="3" t="inlineStr">
        <is>
          <t>martes</t>
        </is>
      </c>
      <c r="C82" s="3" t="inlineStr">
        <is>
          <t>Técnico 12</t>
        </is>
      </c>
      <c r="D82" s="3">
        <f>_xlfn.XLOOKUP(tblAsignaciones[[#This Row],[tecnico]],tblTecnicos[nombre],tblTecnicos[area],"")</f>
        <v/>
      </c>
      <c r="E82" s="3">
        <f>_xlfn.XLOOKUP(tblAsignaciones[[#This Row],[tecnico]],tblTecnicos[nombre],tblTecnicos[especialidad],"")</f>
        <v/>
      </c>
      <c r="F82" s="6" t="inlineStr">
        <is>
          <t>T1</t>
        </is>
      </c>
      <c r="G82" s="3">
        <f>_xlfn.XLOOKUP(tblAsignaciones[[#This Row],[tecnico]],tblTecnicos[nombre],tblTecnicos[coordinador],"")</f>
        <v/>
      </c>
      <c r="H82" s="3">
        <f>IF(OR(tblAsignaciones[[#This Row],[turno]]="",ISNUMBER(MATCH(tblAsignaciones[[#This Row],[turno]],lista_no_disponible,0))),0,p_horas_jornada)</f>
        <v/>
      </c>
      <c r="I82" s="3">
        <f>tblAsignaciones[[#This Row],[semana]]&amp;"|"&amp;tblAsignaciones[[#This Row],[dia]]&amp;"|"&amp;tblAsignaciones[[#This Row],[tecnico]]</f>
        <v/>
      </c>
    </row>
    <row r="83">
      <c r="A83" s="3" t="inlineStr">
        <is>
          <t>S28</t>
        </is>
      </c>
      <c r="B83" s="3" t="inlineStr">
        <is>
          <t>miércoles</t>
        </is>
      </c>
      <c r="C83" s="3" t="inlineStr">
        <is>
          <t>Técnico 12</t>
        </is>
      </c>
      <c r="D83" s="3">
        <f>_xlfn.XLOOKUP(tblAsignaciones[[#This Row],[tecnico]],tblTecnicos[nombre],tblTecnicos[area],"")</f>
        <v/>
      </c>
      <c r="E83" s="3">
        <f>_xlfn.XLOOKUP(tblAsignaciones[[#This Row],[tecnico]],tblTecnicos[nombre],tblTecnicos[especialidad],"")</f>
        <v/>
      </c>
      <c r="F83" s="6" t="inlineStr">
        <is>
          <t>T1</t>
        </is>
      </c>
      <c r="G83" s="3">
        <f>_xlfn.XLOOKUP(tblAsignaciones[[#This Row],[tecnico]],tblTecnicos[nombre],tblTecnicos[coordinador],"")</f>
        <v/>
      </c>
      <c r="H83" s="3">
        <f>IF(OR(tblAsignaciones[[#This Row],[turno]]="",ISNUMBER(MATCH(tblAsignaciones[[#This Row],[turno]],lista_no_disponible,0))),0,p_horas_jornada)</f>
        <v/>
      </c>
      <c r="I83" s="3">
        <f>tblAsignaciones[[#This Row],[semana]]&amp;"|"&amp;tblAsignaciones[[#This Row],[dia]]&amp;"|"&amp;tblAsignaciones[[#This Row],[tecnico]]</f>
        <v/>
      </c>
    </row>
    <row r="84">
      <c r="A84" s="3" t="inlineStr">
        <is>
          <t>S28</t>
        </is>
      </c>
      <c r="B84" s="3" t="inlineStr">
        <is>
          <t>jueves</t>
        </is>
      </c>
      <c r="C84" s="3" t="inlineStr">
        <is>
          <t>Técnico 12</t>
        </is>
      </c>
      <c r="D84" s="3">
        <f>_xlfn.XLOOKUP(tblAsignaciones[[#This Row],[tecnico]],tblTecnicos[nombre],tblTecnicos[area],"")</f>
        <v/>
      </c>
      <c r="E84" s="3">
        <f>_xlfn.XLOOKUP(tblAsignaciones[[#This Row],[tecnico]],tblTecnicos[nombre],tblTecnicos[especialidad],"")</f>
        <v/>
      </c>
      <c r="F84" s="6" t="inlineStr">
        <is>
          <t>T1</t>
        </is>
      </c>
      <c r="G84" s="3">
        <f>_xlfn.XLOOKUP(tblAsignaciones[[#This Row],[tecnico]],tblTecnicos[nombre],tblTecnicos[coordinador],"")</f>
        <v/>
      </c>
      <c r="H84" s="3">
        <f>IF(OR(tblAsignaciones[[#This Row],[turno]]="",ISNUMBER(MATCH(tblAsignaciones[[#This Row],[turno]],lista_no_disponible,0))),0,p_horas_jornada)</f>
        <v/>
      </c>
      <c r="I84" s="3">
        <f>tblAsignaciones[[#This Row],[semana]]&amp;"|"&amp;tblAsignaciones[[#This Row],[dia]]&amp;"|"&amp;tblAsignaciones[[#This Row],[tecnico]]</f>
        <v/>
      </c>
    </row>
    <row r="85">
      <c r="A85" s="3" t="inlineStr">
        <is>
          <t>S28</t>
        </is>
      </c>
      <c r="B85" s="3" t="inlineStr">
        <is>
          <t>viernes</t>
        </is>
      </c>
      <c r="C85" s="3" t="inlineStr">
        <is>
          <t>Técnico 12</t>
        </is>
      </c>
      <c r="D85" s="3">
        <f>_xlfn.XLOOKUP(tblAsignaciones[[#This Row],[tecnico]],tblTecnicos[nombre],tblTecnicos[area],"")</f>
        <v/>
      </c>
      <c r="E85" s="3">
        <f>_xlfn.XLOOKUP(tblAsignaciones[[#This Row],[tecnico]],tblTecnicos[nombre],tblTecnicos[especialidad],"")</f>
        <v/>
      </c>
      <c r="F85" s="6" t="inlineStr">
        <is>
          <t>T1</t>
        </is>
      </c>
      <c r="G85" s="3">
        <f>_xlfn.XLOOKUP(tblAsignaciones[[#This Row],[tecnico]],tblTecnicos[nombre],tblTecnicos[coordinador],"")</f>
        <v/>
      </c>
      <c r="H85" s="3">
        <f>IF(OR(tblAsignaciones[[#This Row],[turno]]="",ISNUMBER(MATCH(tblAsignaciones[[#This Row],[turno]],lista_no_disponible,0))),0,p_horas_jornada)</f>
        <v/>
      </c>
      <c r="I85" s="3">
        <f>tblAsignaciones[[#This Row],[semana]]&amp;"|"&amp;tblAsignaciones[[#This Row],[dia]]&amp;"|"&amp;tblAsignaciones[[#This Row],[tecnico]]</f>
        <v/>
      </c>
    </row>
    <row r="86">
      <c r="A86" s="3" t="inlineStr">
        <is>
          <t>S28</t>
        </is>
      </c>
      <c r="B86" s="3" t="inlineStr">
        <is>
          <t>sábado</t>
        </is>
      </c>
      <c r="C86" s="3" t="inlineStr">
        <is>
          <t>Técnico 12</t>
        </is>
      </c>
      <c r="D86" s="3">
        <f>_xlfn.XLOOKUP(tblAsignaciones[[#This Row],[tecnico]],tblTecnicos[nombre],tblTecnicos[area],"")</f>
        <v/>
      </c>
      <c r="E86" s="3">
        <f>_xlfn.XLOOKUP(tblAsignaciones[[#This Row],[tecnico]],tblTecnicos[nombre],tblTecnicos[especialidad],"")</f>
        <v/>
      </c>
      <c r="F86" s="6" t="inlineStr"/>
      <c r="G86" s="3">
        <f>_xlfn.XLOOKUP(tblAsignaciones[[#This Row],[tecnico]],tblTecnicos[nombre],tblTecnicos[coordinador],"")</f>
        <v/>
      </c>
      <c r="H86" s="3">
        <f>IF(OR(tblAsignaciones[[#This Row],[turno]]="",ISNUMBER(MATCH(tblAsignaciones[[#This Row],[turno]],lista_no_disponible,0))),0,p_horas_jornada)</f>
        <v/>
      </c>
      <c r="I86" s="3">
        <f>tblAsignaciones[[#This Row],[semana]]&amp;"|"&amp;tblAsignaciones[[#This Row],[dia]]&amp;"|"&amp;tblAsignaciones[[#This Row],[tecnico]]</f>
        <v/>
      </c>
    </row>
    <row r="87">
      <c r="A87" s="3" t="inlineStr">
        <is>
          <t>S28</t>
        </is>
      </c>
      <c r="B87" s="3" t="inlineStr">
        <is>
          <t>domingo</t>
        </is>
      </c>
      <c r="C87" s="3" t="inlineStr">
        <is>
          <t>Técnico 12</t>
        </is>
      </c>
      <c r="D87" s="3">
        <f>_xlfn.XLOOKUP(tblAsignaciones[[#This Row],[tecnico]],tblTecnicos[nombre],tblTecnicos[area],"")</f>
        <v/>
      </c>
      <c r="E87" s="3">
        <f>_xlfn.XLOOKUP(tblAsignaciones[[#This Row],[tecnico]],tblTecnicos[nombre],tblTecnicos[especialidad],"")</f>
        <v/>
      </c>
      <c r="F87" s="6" t="inlineStr"/>
      <c r="G87" s="3">
        <f>_xlfn.XLOOKUP(tblAsignaciones[[#This Row],[tecnico]],tblTecnicos[nombre],tblTecnicos[coordinador],"")</f>
        <v/>
      </c>
      <c r="H87" s="3">
        <f>IF(OR(tblAsignaciones[[#This Row],[turno]]="",ISNUMBER(MATCH(tblAsignaciones[[#This Row],[turno]],lista_no_disponible,0))),0,p_horas_jornada)</f>
        <v/>
      </c>
      <c r="I87" s="3">
        <f>tblAsignaciones[[#This Row],[semana]]&amp;"|"&amp;tblAsignaciones[[#This Row],[dia]]&amp;"|"&amp;tblAsignaciones[[#This Row],[tecnico]]</f>
        <v/>
      </c>
    </row>
    <row r="88">
      <c r="A88" s="3" t="inlineStr">
        <is>
          <t>S29</t>
        </is>
      </c>
      <c r="B88" s="3" t="inlineStr">
        <is>
          <t>lunes</t>
        </is>
      </c>
      <c r="C88" s="3" t="inlineStr">
        <is>
          <t>Técnico 01</t>
        </is>
      </c>
      <c r="D88" s="3">
        <f>_xlfn.XLOOKUP(tblAsignaciones[[#This Row],[tecnico]],tblTecnicos[nombre],tblTecnicos[area],"")</f>
        <v/>
      </c>
      <c r="E88" s="3">
        <f>_xlfn.XLOOKUP(tblAsignaciones[[#This Row],[tecnico]],tblTecnicos[nombre],tblTecnicos[especialidad],"")</f>
        <v/>
      </c>
      <c r="F88" s="6" t="inlineStr">
        <is>
          <t>T1</t>
        </is>
      </c>
      <c r="G88" s="3">
        <f>_xlfn.XLOOKUP(tblAsignaciones[[#This Row],[tecnico]],tblTecnicos[nombre],tblTecnicos[coordinador],"")</f>
        <v/>
      </c>
      <c r="H88" s="3">
        <f>IF(OR(tblAsignaciones[[#This Row],[turno]]="",ISNUMBER(MATCH(tblAsignaciones[[#This Row],[turno]],lista_no_disponible,0))),0,p_horas_jornada)</f>
        <v/>
      </c>
      <c r="I88" s="3">
        <f>tblAsignaciones[[#This Row],[semana]]&amp;"|"&amp;tblAsignaciones[[#This Row],[dia]]&amp;"|"&amp;tblAsignaciones[[#This Row],[tecnico]]</f>
        <v/>
      </c>
    </row>
    <row r="89">
      <c r="A89" s="3" t="inlineStr">
        <is>
          <t>S29</t>
        </is>
      </c>
      <c r="B89" s="3" t="inlineStr">
        <is>
          <t>martes</t>
        </is>
      </c>
      <c r="C89" s="3" t="inlineStr">
        <is>
          <t>Técnico 01</t>
        </is>
      </c>
      <c r="D89" s="3">
        <f>_xlfn.XLOOKUP(tblAsignaciones[[#This Row],[tecnico]],tblTecnicos[nombre],tblTecnicos[area],"")</f>
        <v/>
      </c>
      <c r="E89" s="3">
        <f>_xlfn.XLOOKUP(tblAsignaciones[[#This Row],[tecnico]],tblTecnicos[nombre],tblTecnicos[especialidad],"")</f>
        <v/>
      </c>
      <c r="F89" s="6" t="inlineStr">
        <is>
          <t>T1</t>
        </is>
      </c>
      <c r="G89" s="3">
        <f>_xlfn.XLOOKUP(tblAsignaciones[[#This Row],[tecnico]],tblTecnicos[nombre],tblTecnicos[coordinador],"")</f>
        <v/>
      </c>
      <c r="H89" s="3">
        <f>IF(OR(tblAsignaciones[[#This Row],[turno]]="",ISNUMBER(MATCH(tblAsignaciones[[#This Row],[turno]],lista_no_disponible,0))),0,p_horas_jornada)</f>
        <v/>
      </c>
      <c r="I89" s="3">
        <f>tblAsignaciones[[#This Row],[semana]]&amp;"|"&amp;tblAsignaciones[[#This Row],[dia]]&amp;"|"&amp;tblAsignaciones[[#This Row],[tecnico]]</f>
        <v/>
      </c>
    </row>
    <row r="90">
      <c r="A90" s="3" t="inlineStr">
        <is>
          <t>S29</t>
        </is>
      </c>
      <c r="B90" s="3" t="inlineStr">
        <is>
          <t>miércoles</t>
        </is>
      </c>
      <c r="C90" s="3" t="inlineStr">
        <is>
          <t>Técnico 01</t>
        </is>
      </c>
      <c r="D90" s="3">
        <f>_xlfn.XLOOKUP(tblAsignaciones[[#This Row],[tecnico]],tblTecnicos[nombre],tblTecnicos[area],"")</f>
        <v/>
      </c>
      <c r="E90" s="3">
        <f>_xlfn.XLOOKUP(tblAsignaciones[[#This Row],[tecnico]],tblTecnicos[nombre],tblTecnicos[especialidad],"")</f>
        <v/>
      </c>
      <c r="F90" s="6" t="inlineStr">
        <is>
          <t>T1</t>
        </is>
      </c>
      <c r="G90" s="3">
        <f>_xlfn.XLOOKUP(tblAsignaciones[[#This Row],[tecnico]],tblTecnicos[nombre],tblTecnicos[coordinador],"")</f>
        <v/>
      </c>
      <c r="H90" s="3">
        <f>IF(OR(tblAsignaciones[[#This Row],[turno]]="",ISNUMBER(MATCH(tblAsignaciones[[#This Row],[turno]],lista_no_disponible,0))),0,p_horas_jornada)</f>
        <v/>
      </c>
      <c r="I90" s="3">
        <f>tblAsignaciones[[#This Row],[semana]]&amp;"|"&amp;tblAsignaciones[[#This Row],[dia]]&amp;"|"&amp;tblAsignaciones[[#This Row],[tecnico]]</f>
        <v/>
      </c>
    </row>
    <row r="91">
      <c r="A91" s="3" t="inlineStr">
        <is>
          <t>S29</t>
        </is>
      </c>
      <c r="B91" s="3" t="inlineStr">
        <is>
          <t>jueves</t>
        </is>
      </c>
      <c r="C91" s="3" t="inlineStr">
        <is>
          <t>Técnico 01</t>
        </is>
      </c>
      <c r="D91" s="3">
        <f>_xlfn.XLOOKUP(tblAsignaciones[[#This Row],[tecnico]],tblTecnicos[nombre],tblTecnicos[area],"")</f>
        <v/>
      </c>
      <c r="E91" s="3">
        <f>_xlfn.XLOOKUP(tblAsignaciones[[#This Row],[tecnico]],tblTecnicos[nombre],tblTecnicos[especialidad],"")</f>
        <v/>
      </c>
      <c r="F91" s="6" t="inlineStr">
        <is>
          <t>T1</t>
        </is>
      </c>
      <c r="G91" s="3">
        <f>_xlfn.XLOOKUP(tblAsignaciones[[#This Row],[tecnico]],tblTecnicos[nombre],tblTecnicos[coordinador],"")</f>
        <v/>
      </c>
      <c r="H91" s="3">
        <f>IF(OR(tblAsignaciones[[#This Row],[turno]]="",ISNUMBER(MATCH(tblAsignaciones[[#This Row],[turno]],lista_no_disponible,0))),0,p_horas_jornada)</f>
        <v/>
      </c>
      <c r="I91" s="3">
        <f>tblAsignaciones[[#This Row],[semana]]&amp;"|"&amp;tblAsignaciones[[#This Row],[dia]]&amp;"|"&amp;tblAsignaciones[[#This Row],[tecnico]]</f>
        <v/>
      </c>
    </row>
    <row r="92">
      <c r="A92" s="3" t="inlineStr">
        <is>
          <t>S29</t>
        </is>
      </c>
      <c r="B92" s="3" t="inlineStr">
        <is>
          <t>viernes</t>
        </is>
      </c>
      <c r="C92" s="3" t="inlineStr">
        <is>
          <t>Técnico 01</t>
        </is>
      </c>
      <c r="D92" s="3">
        <f>_xlfn.XLOOKUP(tblAsignaciones[[#This Row],[tecnico]],tblTecnicos[nombre],tblTecnicos[area],"")</f>
        <v/>
      </c>
      <c r="E92" s="3">
        <f>_xlfn.XLOOKUP(tblAsignaciones[[#This Row],[tecnico]],tblTecnicos[nombre],tblTecnicos[especialidad],"")</f>
        <v/>
      </c>
      <c r="F92" s="6" t="inlineStr">
        <is>
          <t>T1</t>
        </is>
      </c>
      <c r="G92" s="3">
        <f>_xlfn.XLOOKUP(tblAsignaciones[[#This Row],[tecnico]],tblTecnicos[nombre],tblTecnicos[coordinador],"")</f>
        <v/>
      </c>
      <c r="H92" s="3">
        <f>IF(OR(tblAsignaciones[[#This Row],[turno]]="",ISNUMBER(MATCH(tblAsignaciones[[#This Row],[turno]],lista_no_disponible,0))),0,p_horas_jornada)</f>
        <v/>
      </c>
      <c r="I92" s="3">
        <f>tblAsignaciones[[#This Row],[semana]]&amp;"|"&amp;tblAsignaciones[[#This Row],[dia]]&amp;"|"&amp;tblAsignaciones[[#This Row],[tecnico]]</f>
        <v/>
      </c>
    </row>
    <row r="93">
      <c r="A93" s="3" t="inlineStr">
        <is>
          <t>S29</t>
        </is>
      </c>
      <c r="B93" s="3" t="inlineStr">
        <is>
          <t>sábado</t>
        </is>
      </c>
      <c r="C93" s="3" t="inlineStr">
        <is>
          <t>Técnico 01</t>
        </is>
      </c>
      <c r="D93" s="3">
        <f>_xlfn.XLOOKUP(tblAsignaciones[[#This Row],[tecnico]],tblTecnicos[nombre],tblTecnicos[area],"")</f>
        <v/>
      </c>
      <c r="E93" s="3">
        <f>_xlfn.XLOOKUP(tblAsignaciones[[#This Row],[tecnico]],tblTecnicos[nombre],tblTecnicos[especialidad],"")</f>
        <v/>
      </c>
      <c r="F93" s="6" t="inlineStr"/>
      <c r="G93" s="3">
        <f>_xlfn.XLOOKUP(tblAsignaciones[[#This Row],[tecnico]],tblTecnicos[nombre],tblTecnicos[coordinador],"")</f>
        <v/>
      </c>
      <c r="H93" s="3">
        <f>IF(OR(tblAsignaciones[[#This Row],[turno]]="",ISNUMBER(MATCH(tblAsignaciones[[#This Row],[turno]],lista_no_disponible,0))),0,p_horas_jornada)</f>
        <v/>
      </c>
      <c r="I93" s="3">
        <f>tblAsignaciones[[#This Row],[semana]]&amp;"|"&amp;tblAsignaciones[[#This Row],[dia]]&amp;"|"&amp;tblAsignaciones[[#This Row],[tecnico]]</f>
        <v/>
      </c>
    </row>
    <row r="94">
      <c r="A94" s="3" t="inlineStr">
        <is>
          <t>S29</t>
        </is>
      </c>
      <c r="B94" s="3" t="inlineStr">
        <is>
          <t>domingo</t>
        </is>
      </c>
      <c r="C94" s="3" t="inlineStr">
        <is>
          <t>Técnico 01</t>
        </is>
      </c>
      <c r="D94" s="3">
        <f>_xlfn.XLOOKUP(tblAsignaciones[[#This Row],[tecnico]],tblTecnicos[nombre],tblTecnicos[area],"")</f>
        <v/>
      </c>
      <c r="E94" s="3">
        <f>_xlfn.XLOOKUP(tblAsignaciones[[#This Row],[tecnico]],tblTecnicos[nombre],tblTecnicos[especialidad],"")</f>
        <v/>
      </c>
      <c r="F94" s="6" t="inlineStr"/>
      <c r="G94" s="3">
        <f>_xlfn.XLOOKUP(tblAsignaciones[[#This Row],[tecnico]],tblTecnicos[nombre],tblTecnicos[coordinador],"")</f>
        <v/>
      </c>
      <c r="H94" s="3">
        <f>IF(OR(tblAsignaciones[[#This Row],[turno]]="",ISNUMBER(MATCH(tblAsignaciones[[#This Row],[turno]],lista_no_disponible,0))),0,p_horas_jornada)</f>
        <v/>
      </c>
      <c r="I94" s="3">
        <f>tblAsignaciones[[#This Row],[semana]]&amp;"|"&amp;tblAsignaciones[[#This Row],[dia]]&amp;"|"&amp;tblAsignaciones[[#This Row],[tecnico]]</f>
        <v/>
      </c>
    </row>
    <row r="95">
      <c r="A95" s="3" t="inlineStr">
        <is>
          <t>S29</t>
        </is>
      </c>
      <c r="B95" s="3" t="inlineStr">
        <is>
          <t>lunes</t>
        </is>
      </c>
      <c r="C95" s="3" t="inlineStr">
        <is>
          <t>Técnico 02</t>
        </is>
      </c>
      <c r="D95" s="3">
        <f>_xlfn.XLOOKUP(tblAsignaciones[[#This Row],[tecnico]],tblTecnicos[nombre],tblTecnicos[area],"")</f>
        <v/>
      </c>
      <c r="E95" s="3">
        <f>_xlfn.XLOOKUP(tblAsignaciones[[#This Row],[tecnico]],tblTecnicos[nombre],tblTecnicos[especialidad],"")</f>
        <v/>
      </c>
      <c r="F95" s="6" t="inlineStr">
        <is>
          <t>T2</t>
        </is>
      </c>
      <c r="G95" s="3">
        <f>_xlfn.XLOOKUP(tblAsignaciones[[#This Row],[tecnico]],tblTecnicos[nombre],tblTecnicos[coordinador],"")</f>
        <v/>
      </c>
      <c r="H95" s="3">
        <f>IF(OR(tblAsignaciones[[#This Row],[turno]]="",ISNUMBER(MATCH(tblAsignaciones[[#This Row],[turno]],lista_no_disponible,0))),0,p_horas_jornada)</f>
        <v/>
      </c>
      <c r="I95" s="3">
        <f>tblAsignaciones[[#This Row],[semana]]&amp;"|"&amp;tblAsignaciones[[#This Row],[dia]]&amp;"|"&amp;tblAsignaciones[[#This Row],[tecnico]]</f>
        <v/>
      </c>
    </row>
    <row r="96">
      <c r="A96" s="3" t="inlineStr">
        <is>
          <t>S29</t>
        </is>
      </c>
      <c r="B96" s="3" t="inlineStr">
        <is>
          <t>martes</t>
        </is>
      </c>
      <c r="C96" s="3" t="inlineStr">
        <is>
          <t>Técnico 02</t>
        </is>
      </c>
      <c r="D96" s="3">
        <f>_xlfn.XLOOKUP(tblAsignaciones[[#This Row],[tecnico]],tblTecnicos[nombre],tblTecnicos[area],"")</f>
        <v/>
      </c>
      <c r="E96" s="3">
        <f>_xlfn.XLOOKUP(tblAsignaciones[[#This Row],[tecnico]],tblTecnicos[nombre],tblTecnicos[especialidad],"")</f>
        <v/>
      </c>
      <c r="F96" s="6" t="inlineStr">
        <is>
          <t>T2</t>
        </is>
      </c>
      <c r="G96" s="3">
        <f>_xlfn.XLOOKUP(tblAsignaciones[[#This Row],[tecnico]],tblTecnicos[nombre],tblTecnicos[coordinador],"")</f>
        <v/>
      </c>
      <c r="H96" s="3">
        <f>IF(OR(tblAsignaciones[[#This Row],[turno]]="",ISNUMBER(MATCH(tblAsignaciones[[#This Row],[turno]],lista_no_disponible,0))),0,p_horas_jornada)</f>
        <v/>
      </c>
      <c r="I96" s="3">
        <f>tblAsignaciones[[#This Row],[semana]]&amp;"|"&amp;tblAsignaciones[[#This Row],[dia]]&amp;"|"&amp;tblAsignaciones[[#This Row],[tecnico]]</f>
        <v/>
      </c>
    </row>
    <row r="97">
      <c r="A97" s="3" t="inlineStr">
        <is>
          <t>S29</t>
        </is>
      </c>
      <c r="B97" s="3" t="inlineStr">
        <is>
          <t>miércoles</t>
        </is>
      </c>
      <c r="C97" s="3" t="inlineStr">
        <is>
          <t>Técnico 02</t>
        </is>
      </c>
      <c r="D97" s="3">
        <f>_xlfn.XLOOKUP(tblAsignaciones[[#This Row],[tecnico]],tblTecnicos[nombre],tblTecnicos[area],"")</f>
        <v/>
      </c>
      <c r="E97" s="3">
        <f>_xlfn.XLOOKUP(tblAsignaciones[[#This Row],[tecnico]],tblTecnicos[nombre],tblTecnicos[especialidad],"")</f>
        <v/>
      </c>
      <c r="F97" s="6" t="inlineStr">
        <is>
          <t>T2</t>
        </is>
      </c>
      <c r="G97" s="3">
        <f>_xlfn.XLOOKUP(tblAsignaciones[[#This Row],[tecnico]],tblTecnicos[nombre],tblTecnicos[coordinador],"")</f>
        <v/>
      </c>
      <c r="H97" s="3">
        <f>IF(OR(tblAsignaciones[[#This Row],[turno]]="",ISNUMBER(MATCH(tblAsignaciones[[#This Row],[turno]],lista_no_disponible,0))),0,p_horas_jornada)</f>
        <v/>
      </c>
      <c r="I97" s="3">
        <f>tblAsignaciones[[#This Row],[semana]]&amp;"|"&amp;tblAsignaciones[[#This Row],[dia]]&amp;"|"&amp;tblAsignaciones[[#This Row],[tecnico]]</f>
        <v/>
      </c>
    </row>
    <row r="98">
      <c r="A98" s="3" t="inlineStr">
        <is>
          <t>S29</t>
        </is>
      </c>
      <c r="B98" s="3" t="inlineStr">
        <is>
          <t>jueves</t>
        </is>
      </c>
      <c r="C98" s="3" t="inlineStr">
        <is>
          <t>Técnico 02</t>
        </is>
      </c>
      <c r="D98" s="3">
        <f>_xlfn.XLOOKUP(tblAsignaciones[[#This Row],[tecnico]],tblTecnicos[nombre],tblTecnicos[area],"")</f>
        <v/>
      </c>
      <c r="E98" s="3">
        <f>_xlfn.XLOOKUP(tblAsignaciones[[#This Row],[tecnico]],tblTecnicos[nombre],tblTecnicos[especialidad],"")</f>
        <v/>
      </c>
      <c r="F98" s="6" t="inlineStr">
        <is>
          <t>T2</t>
        </is>
      </c>
      <c r="G98" s="3">
        <f>_xlfn.XLOOKUP(tblAsignaciones[[#This Row],[tecnico]],tblTecnicos[nombre],tblTecnicos[coordinador],"")</f>
        <v/>
      </c>
      <c r="H98" s="3">
        <f>IF(OR(tblAsignaciones[[#This Row],[turno]]="",ISNUMBER(MATCH(tblAsignaciones[[#This Row],[turno]],lista_no_disponible,0))),0,p_horas_jornada)</f>
        <v/>
      </c>
      <c r="I98" s="3">
        <f>tblAsignaciones[[#This Row],[semana]]&amp;"|"&amp;tblAsignaciones[[#This Row],[dia]]&amp;"|"&amp;tblAsignaciones[[#This Row],[tecnico]]</f>
        <v/>
      </c>
    </row>
    <row r="99">
      <c r="A99" s="3" t="inlineStr">
        <is>
          <t>S29</t>
        </is>
      </c>
      <c r="B99" s="3" t="inlineStr">
        <is>
          <t>viernes</t>
        </is>
      </c>
      <c r="C99" s="3" t="inlineStr">
        <is>
          <t>Técnico 02</t>
        </is>
      </c>
      <c r="D99" s="3">
        <f>_xlfn.XLOOKUP(tblAsignaciones[[#This Row],[tecnico]],tblTecnicos[nombre],tblTecnicos[area],"")</f>
        <v/>
      </c>
      <c r="E99" s="3">
        <f>_xlfn.XLOOKUP(tblAsignaciones[[#This Row],[tecnico]],tblTecnicos[nombre],tblTecnicos[especialidad],"")</f>
        <v/>
      </c>
      <c r="F99" s="6" t="inlineStr">
        <is>
          <t>T2</t>
        </is>
      </c>
      <c r="G99" s="3">
        <f>_xlfn.XLOOKUP(tblAsignaciones[[#This Row],[tecnico]],tblTecnicos[nombre],tblTecnicos[coordinador],"")</f>
        <v/>
      </c>
      <c r="H99" s="3">
        <f>IF(OR(tblAsignaciones[[#This Row],[turno]]="",ISNUMBER(MATCH(tblAsignaciones[[#This Row],[turno]],lista_no_disponible,0))),0,p_horas_jornada)</f>
        <v/>
      </c>
      <c r="I99" s="3">
        <f>tblAsignaciones[[#This Row],[semana]]&amp;"|"&amp;tblAsignaciones[[#This Row],[dia]]&amp;"|"&amp;tblAsignaciones[[#This Row],[tecnico]]</f>
        <v/>
      </c>
    </row>
    <row r="100">
      <c r="A100" s="3" t="inlineStr">
        <is>
          <t>S29</t>
        </is>
      </c>
      <c r="B100" s="3" t="inlineStr">
        <is>
          <t>sábado</t>
        </is>
      </c>
      <c r="C100" s="3" t="inlineStr">
        <is>
          <t>Técnico 02</t>
        </is>
      </c>
      <c r="D100" s="3">
        <f>_xlfn.XLOOKUP(tblAsignaciones[[#This Row],[tecnico]],tblTecnicos[nombre],tblTecnicos[area],"")</f>
        <v/>
      </c>
      <c r="E100" s="3">
        <f>_xlfn.XLOOKUP(tblAsignaciones[[#This Row],[tecnico]],tblTecnicos[nombre],tblTecnicos[especialidad],"")</f>
        <v/>
      </c>
      <c r="F100" s="6" t="inlineStr"/>
      <c r="G100" s="3">
        <f>_xlfn.XLOOKUP(tblAsignaciones[[#This Row],[tecnico]],tblTecnicos[nombre],tblTecnicos[coordinador],"")</f>
        <v/>
      </c>
      <c r="H100" s="3">
        <f>IF(OR(tblAsignaciones[[#This Row],[turno]]="",ISNUMBER(MATCH(tblAsignaciones[[#This Row],[turno]],lista_no_disponible,0))),0,p_horas_jornada)</f>
        <v/>
      </c>
      <c r="I100" s="3">
        <f>tblAsignaciones[[#This Row],[semana]]&amp;"|"&amp;tblAsignaciones[[#This Row],[dia]]&amp;"|"&amp;tblAsignaciones[[#This Row],[tecnico]]</f>
        <v/>
      </c>
    </row>
    <row r="101">
      <c r="A101" s="3" t="inlineStr">
        <is>
          <t>S29</t>
        </is>
      </c>
      <c r="B101" s="3" t="inlineStr">
        <is>
          <t>domingo</t>
        </is>
      </c>
      <c r="C101" s="3" t="inlineStr">
        <is>
          <t>Técnico 02</t>
        </is>
      </c>
      <c r="D101" s="3">
        <f>_xlfn.XLOOKUP(tblAsignaciones[[#This Row],[tecnico]],tblTecnicos[nombre],tblTecnicos[area],"")</f>
        <v/>
      </c>
      <c r="E101" s="3">
        <f>_xlfn.XLOOKUP(tblAsignaciones[[#This Row],[tecnico]],tblTecnicos[nombre],tblTecnicos[especialidad],"")</f>
        <v/>
      </c>
      <c r="F101" s="6" t="inlineStr"/>
      <c r="G101" s="3">
        <f>_xlfn.XLOOKUP(tblAsignaciones[[#This Row],[tecnico]],tblTecnicos[nombre],tblTecnicos[coordinador],"")</f>
        <v/>
      </c>
      <c r="H101" s="3">
        <f>IF(OR(tblAsignaciones[[#This Row],[turno]]="",ISNUMBER(MATCH(tblAsignaciones[[#This Row],[turno]],lista_no_disponible,0))),0,p_horas_jornada)</f>
        <v/>
      </c>
      <c r="I101" s="3">
        <f>tblAsignaciones[[#This Row],[semana]]&amp;"|"&amp;tblAsignaciones[[#This Row],[dia]]&amp;"|"&amp;tblAsignaciones[[#This Row],[tecnico]]</f>
        <v/>
      </c>
    </row>
    <row r="102">
      <c r="A102" s="3" t="inlineStr">
        <is>
          <t>S29</t>
        </is>
      </c>
      <c r="B102" s="3" t="inlineStr">
        <is>
          <t>lunes</t>
        </is>
      </c>
      <c r="C102" s="3" t="inlineStr">
        <is>
          <t>Técnico 03</t>
        </is>
      </c>
      <c r="D102" s="3">
        <f>_xlfn.XLOOKUP(tblAsignaciones[[#This Row],[tecnico]],tblTecnicos[nombre],tblTecnicos[area],"")</f>
        <v/>
      </c>
      <c r="E102" s="3">
        <f>_xlfn.XLOOKUP(tblAsignaciones[[#This Row],[tecnico]],tblTecnicos[nombre],tblTecnicos[especialidad],"")</f>
        <v/>
      </c>
      <c r="F102" s="6" t="inlineStr">
        <is>
          <t>T1</t>
        </is>
      </c>
      <c r="G102" s="3">
        <f>_xlfn.XLOOKUP(tblAsignaciones[[#This Row],[tecnico]],tblTecnicos[nombre],tblTecnicos[coordinador],"")</f>
        <v/>
      </c>
      <c r="H102" s="3">
        <f>IF(OR(tblAsignaciones[[#This Row],[turno]]="",ISNUMBER(MATCH(tblAsignaciones[[#This Row],[turno]],lista_no_disponible,0))),0,p_horas_jornada)</f>
        <v/>
      </c>
      <c r="I102" s="3">
        <f>tblAsignaciones[[#This Row],[semana]]&amp;"|"&amp;tblAsignaciones[[#This Row],[dia]]&amp;"|"&amp;tblAsignaciones[[#This Row],[tecnico]]</f>
        <v/>
      </c>
    </row>
    <row r="103">
      <c r="A103" s="3" t="inlineStr">
        <is>
          <t>S29</t>
        </is>
      </c>
      <c r="B103" s="3" t="inlineStr">
        <is>
          <t>martes</t>
        </is>
      </c>
      <c r="C103" s="3" t="inlineStr">
        <is>
          <t>Técnico 03</t>
        </is>
      </c>
      <c r="D103" s="3">
        <f>_xlfn.XLOOKUP(tblAsignaciones[[#This Row],[tecnico]],tblTecnicos[nombre],tblTecnicos[area],"")</f>
        <v/>
      </c>
      <c r="E103" s="3">
        <f>_xlfn.XLOOKUP(tblAsignaciones[[#This Row],[tecnico]],tblTecnicos[nombre],tblTecnicos[especialidad],"")</f>
        <v/>
      </c>
      <c r="F103" s="6" t="inlineStr">
        <is>
          <t>T1</t>
        </is>
      </c>
      <c r="G103" s="3">
        <f>_xlfn.XLOOKUP(tblAsignaciones[[#This Row],[tecnico]],tblTecnicos[nombre],tblTecnicos[coordinador],"")</f>
        <v/>
      </c>
      <c r="H103" s="3">
        <f>IF(OR(tblAsignaciones[[#This Row],[turno]]="",ISNUMBER(MATCH(tblAsignaciones[[#This Row],[turno]],lista_no_disponible,0))),0,p_horas_jornada)</f>
        <v/>
      </c>
      <c r="I103" s="3">
        <f>tblAsignaciones[[#This Row],[semana]]&amp;"|"&amp;tblAsignaciones[[#This Row],[dia]]&amp;"|"&amp;tblAsignaciones[[#This Row],[tecnico]]</f>
        <v/>
      </c>
    </row>
    <row r="104">
      <c r="A104" s="3" t="inlineStr">
        <is>
          <t>S29</t>
        </is>
      </c>
      <c r="B104" s="3" t="inlineStr">
        <is>
          <t>miércoles</t>
        </is>
      </c>
      <c r="C104" s="3" t="inlineStr">
        <is>
          <t>Técnico 03</t>
        </is>
      </c>
      <c r="D104" s="3">
        <f>_xlfn.XLOOKUP(tblAsignaciones[[#This Row],[tecnico]],tblTecnicos[nombre],tblTecnicos[area],"")</f>
        <v/>
      </c>
      <c r="E104" s="3">
        <f>_xlfn.XLOOKUP(tblAsignaciones[[#This Row],[tecnico]],tblTecnicos[nombre],tblTecnicos[especialidad],"")</f>
        <v/>
      </c>
      <c r="F104" s="6" t="inlineStr">
        <is>
          <t>T1</t>
        </is>
      </c>
      <c r="G104" s="3">
        <f>_xlfn.XLOOKUP(tblAsignaciones[[#This Row],[tecnico]],tblTecnicos[nombre],tblTecnicos[coordinador],"")</f>
        <v/>
      </c>
      <c r="H104" s="3">
        <f>IF(OR(tblAsignaciones[[#This Row],[turno]]="",ISNUMBER(MATCH(tblAsignaciones[[#This Row],[turno]],lista_no_disponible,0))),0,p_horas_jornada)</f>
        <v/>
      </c>
      <c r="I104" s="3">
        <f>tblAsignaciones[[#This Row],[semana]]&amp;"|"&amp;tblAsignaciones[[#This Row],[dia]]&amp;"|"&amp;tblAsignaciones[[#This Row],[tecnico]]</f>
        <v/>
      </c>
    </row>
    <row r="105">
      <c r="A105" s="3" t="inlineStr">
        <is>
          <t>S29</t>
        </is>
      </c>
      <c r="B105" s="3" t="inlineStr">
        <is>
          <t>jueves</t>
        </is>
      </c>
      <c r="C105" s="3" t="inlineStr">
        <is>
          <t>Técnico 03</t>
        </is>
      </c>
      <c r="D105" s="3">
        <f>_xlfn.XLOOKUP(tblAsignaciones[[#This Row],[tecnico]],tblTecnicos[nombre],tblTecnicos[area],"")</f>
        <v/>
      </c>
      <c r="E105" s="3">
        <f>_xlfn.XLOOKUP(tblAsignaciones[[#This Row],[tecnico]],tblTecnicos[nombre],tblTecnicos[especialidad],"")</f>
        <v/>
      </c>
      <c r="F105" s="6" t="inlineStr">
        <is>
          <t>T1</t>
        </is>
      </c>
      <c r="G105" s="3">
        <f>_xlfn.XLOOKUP(tblAsignaciones[[#This Row],[tecnico]],tblTecnicos[nombre],tblTecnicos[coordinador],"")</f>
        <v/>
      </c>
      <c r="H105" s="3">
        <f>IF(OR(tblAsignaciones[[#This Row],[turno]]="",ISNUMBER(MATCH(tblAsignaciones[[#This Row],[turno]],lista_no_disponible,0))),0,p_horas_jornada)</f>
        <v/>
      </c>
      <c r="I105" s="3">
        <f>tblAsignaciones[[#This Row],[semana]]&amp;"|"&amp;tblAsignaciones[[#This Row],[dia]]&amp;"|"&amp;tblAsignaciones[[#This Row],[tecnico]]</f>
        <v/>
      </c>
    </row>
    <row r="106">
      <c r="A106" s="3" t="inlineStr">
        <is>
          <t>S29</t>
        </is>
      </c>
      <c r="B106" s="3" t="inlineStr">
        <is>
          <t>viernes</t>
        </is>
      </c>
      <c r="C106" s="3" t="inlineStr">
        <is>
          <t>Técnico 03</t>
        </is>
      </c>
      <c r="D106" s="3">
        <f>_xlfn.XLOOKUP(tblAsignaciones[[#This Row],[tecnico]],tblTecnicos[nombre],tblTecnicos[area],"")</f>
        <v/>
      </c>
      <c r="E106" s="3">
        <f>_xlfn.XLOOKUP(tblAsignaciones[[#This Row],[tecnico]],tblTecnicos[nombre],tblTecnicos[especialidad],"")</f>
        <v/>
      </c>
      <c r="F106" s="6" t="inlineStr">
        <is>
          <t>T1</t>
        </is>
      </c>
      <c r="G106" s="3">
        <f>_xlfn.XLOOKUP(tblAsignaciones[[#This Row],[tecnico]],tblTecnicos[nombre],tblTecnicos[coordinador],"")</f>
        <v/>
      </c>
      <c r="H106" s="3">
        <f>IF(OR(tblAsignaciones[[#This Row],[turno]]="",ISNUMBER(MATCH(tblAsignaciones[[#This Row],[turno]],lista_no_disponible,0))),0,p_horas_jornada)</f>
        <v/>
      </c>
      <c r="I106" s="3">
        <f>tblAsignaciones[[#This Row],[semana]]&amp;"|"&amp;tblAsignaciones[[#This Row],[dia]]&amp;"|"&amp;tblAsignaciones[[#This Row],[tecnico]]</f>
        <v/>
      </c>
    </row>
    <row r="107">
      <c r="A107" s="3" t="inlineStr">
        <is>
          <t>S29</t>
        </is>
      </c>
      <c r="B107" s="3" t="inlineStr">
        <is>
          <t>sábado</t>
        </is>
      </c>
      <c r="C107" s="3" t="inlineStr">
        <is>
          <t>Técnico 03</t>
        </is>
      </c>
      <c r="D107" s="3">
        <f>_xlfn.XLOOKUP(tblAsignaciones[[#This Row],[tecnico]],tblTecnicos[nombre],tblTecnicos[area],"")</f>
        <v/>
      </c>
      <c r="E107" s="3">
        <f>_xlfn.XLOOKUP(tblAsignaciones[[#This Row],[tecnico]],tblTecnicos[nombre],tblTecnicos[especialidad],"")</f>
        <v/>
      </c>
      <c r="F107" s="6" t="inlineStr"/>
      <c r="G107" s="3">
        <f>_xlfn.XLOOKUP(tblAsignaciones[[#This Row],[tecnico]],tblTecnicos[nombre],tblTecnicos[coordinador],"")</f>
        <v/>
      </c>
      <c r="H107" s="3">
        <f>IF(OR(tblAsignaciones[[#This Row],[turno]]="",ISNUMBER(MATCH(tblAsignaciones[[#This Row],[turno]],lista_no_disponible,0))),0,p_horas_jornada)</f>
        <v/>
      </c>
      <c r="I107" s="3">
        <f>tblAsignaciones[[#This Row],[semana]]&amp;"|"&amp;tblAsignaciones[[#This Row],[dia]]&amp;"|"&amp;tblAsignaciones[[#This Row],[tecnico]]</f>
        <v/>
      </c>
    </row>
    <row r="108">
      <c r="A108" s="3" t="inlineStr">
        <is>
          <t>S29</t>
        </is>
      </c>
      <c r="B108" s="3" t="inlineStr">
        <is>
          <t>domingo</t>
        </is>
      </c>
      <c r="C108" s="3" t="inlineStr">
        <is>
          <t>Técnico 03</t>
        </is>
      </c>
      <c r="D108" s="3">
        <f>_xlfn.XLOOKUP(tblAsignaciones[[#This Row],[tecnico]],tblTecnicos[nombre],tblTecnicos[area],"")</f>
        <v/>
      </c>
      <c r="E108" s="3">
        <f>_xlfn.XLOOKUP(tblAsignaciones[[#This Row],[tecnico]],tblTecnicos[nombre],tblTecnicos[especialidad],"")</f>
        <v/>
      </c>
      <c r="F108" s="6" t="inlineStr"/>
      <c r="G108" s="3">
        <f>_xlfn.XLOOKUP(tblAsignaciones[[#This Row],[tecnico]],tblTecnicos[nombre],tblTecnicos[coordinador],"")</f>
        <v/>
      </c>
      <c r="H108" s="3">
        <f>IF(OR(tblAsignaciones[[#This Row],[turno]]="",ISNUMBER(MATCH(tblAsignaciones[[#This Row],[turno]],lista_no_disponible,0))),0,p_horas_jornada)</f>
        <v/>
      </c>
      <c r="I108" s="3">
        <f>tblAsignaciones[[#This Row],[semana]]&amp;"|"&amp;tblAsignaciones[[#This Row],[dia]]&amp;"|"&amp;tblAsignaciones[[#This Row],[tecnico]]</f>
        <v/>
      </c>
    </row>
    <row r="109">
      <c r="A109" s="3" t="inlineStr">
        <is>
          <t>S29</t>
        </is>
      </c>
      <c r="B109" s="3" t="inlineStr">
        <is>
          <t>lunes</t>
        </is>
      </c>
      <c r="C109" s="3" t="inlineStr">
        <is>
          <t>Técnico 04</t>
        </is>
      </c>
      <c r="D109" s="3">
        <f>_xlfn.XLOOKUP(tblAsignaciones[[#This Row],[tecnico]],tblTecnicos[nombre],tblTecnicos[area],"")</f>
        <v/>
      </c>
      <c r="E109" s="3">
        <f>_xlfn.XLOOKUP(tblAsignaciones[[#This Row],[tecnico]],tblTecnicos[nombre],tblTecnicos[especialidad],"")</f>
        <v/>
      </c>
      <c r="F109" s="6" t="inlineStr">
        <is>
          <t>T1</t>
        </is>
      </c>
      <c r="G109" s="3">
        <f>_xlfn.XLOOKUP(tblAsignaciones[[#This Row],[tecnico]],tblTecnicos[nombre],tblTecnicos[coordinador],"")</f>
        <v/>
      </c>
      <c r="H109" s="3">
        <f>IF(OR(tblAsignaciones[[#This Row],[turno]]="",ISNUMBER(MATCH(tblAsignaciones[[#This Row],[turno]],lista_no_disponible,0))),0,p_horas_jornada)</f>
        <v/>
      </c>
      <c r="I109" s="3">
        <f>tblAsignaciones[[#This Row],[semana]]&amp;"|"&amp;tblAsignaciones[[#This Row],[dia]]&amp;"|"&amp;tblAsignaciones[[#This Row],[tecnico]]</f>
        <v/>
      </c>
    </row>
    <row r="110">
      <c r="A110" s="3" t="inlineStr">
        <is>
          <t>S29</t>
        </is>
      </c>
      <c r="B110" s="3" t="inlineStr">
        <is>
          <t>martes</t>
        </is>
      </c>
      <c r="C110" s="3" t="inlineStr">
        <is>
          <t>Técnico 04</t>
        </is>
      </c>
      <c r="D110" s="3">
        <f>_xlfn.XLOOKUP(tblAsignaciones[[#This Row],[tecnico]],tblTecnicos[nombre],tblTecnicos[area],"")</f>
        <v/>
      </c>
      <c r="E110" s="3">
        <f>_xlfn.XLOOKUP(tblAsignaciones[[#This Row],[tecnico]],tblTecnicos[nombre],tblTecnicos[especialidad],"")</f>
        <v/>
      </c>
      <c r="F110" s="6" t="inlineStr">
        <is>
          <t>T1</t>
        </is>
      </c>
      <c r="G110" s="3">
        <f>_xlfn.XLOOKUP(tblAsignaciones[[#This Row],[tecnico]],tblTecnicos[nombre],tblTecnicos[coordinador],"")</f>
        <v/>
      </c>
      <c r="H110" s="3">
        <f>IF(OR(tblAsignaciones[[#This Row],[turno]]="",ISNUMBER(MATCH(tblAsignaciones[[#This Row],[turno]],lista_no_disponible,0))),0,p_horas_jornada)</f>
        <v/>
      </c>
      <c r="I110" s="3">
        <f>tblAsignaciones[[#This Row],[semana]]&amp;"|"&amp;tblAsignaciones[[#This Row],[dia]]&amp;"|"&amp;tblAsignaciones[[#This Row],[tecnico]]</f>
        <v/>
      </c>
    </row>
    <row r="111">
      <c r="A111" s="3" t="inlineStr">
        <is>
          <t>S29</t>
        </is>
      </c>
      <c r="B111" s="3" t="inlineStr">
        <is>
          <t>miércoles</t>
        </is>
      </c>
      <c r="C111" s="3" t="inlineStr">
        <is>
          <t>Técnico 04</t>
        </is>
      </c>
      <c r="D111" s="3">
        <f>_xlfn.XLOOKUP(tblAsignaciones[[#This Row],[tecnico]],tblTecnicos[nombre],tblTecnicos[area],"")</f>
        <v/>
      </c>
      <c r="E111" s="3">
        <f>_xlfn.XLOOKUP(tblAsignaciones[[#This Row],[tecnico]],tblTecnicos[nombre],tblTecnicos[especialidad],"")</f>
        <v/>
      </c>
      <c r="F111" s="6" t="inlineStr">
        <is>
          <t>T1</t>
        </is>
      </c>
      <c r="G111" s="3">
        <f>_xlfn.XLOOKUP(tblAsignaciones[[#This Row],[tecnico]],tblTecnicos[nombre],tblTecnicos[coordinador],"")</f>
        <v/>
      </c>
      <c r="H111" s="3">
        <f>IF(OR(tblAsignaciones[[#This Row],[turno]]="",ISNUMBER(MATCH(tblAsignaciones[[#This Row],[turno]],lista_no_disponible,0))),0,p_horas_jornada)</f>
        <v/>
      </c>
      <c r="I111" s="3">
        <f>tblAsignaciones[[#This Row],[semana]]&amp;"|"&amp;tblAsignaciones[[#This Row],[dia]]&amp;"|"&amp;tblAsignaciones[[#This Row],[tecnico]]</f>
        <v/>
      </c>
    </row>
    <row r="112">
      <c r="A112" s="3" t="inlineStr">
        <is>
          <t>S29</t>
        </is>
      </c>
      <c r="B112" s="3" t="inlineStr">
        <is>
          <t>jueves</t>
        </is>
      </c>
      <c r="C112" s="3" t="inlineStr">
        <is>
          <t>Técnico 04</t>
        </is>
      </c>
      <c r="D112" s="3">
        <f>_xlfn.XLOOKUP(tblAsignaciones[[#This Row],[tecnico]],tblTecnicos[nombre],tblTecnicos[area],"")</f>
        <v/>
      </c>
      <c r="E112" s="3">
        <f>_xlfn.XLOOKUP(tblAsignaciones[[#This Row],[tecnico]],tblTecnicos[nombre],tblTecnicos[especialidad],"")</f>
        <v/>
      </c>
      <c r="F112" s="6" t="inlineStr">
        <is>
          <t>T1</t>
        </is>
      </c>
      <c r="G112" s="3">
        <f>_xlfn.XLOOKUP(tblAsignaciones[[#This Row],[tecnico]],tblTecnicos[nombre],tblTecnicos[coordinador],"")</f>
        <v/>
      </c>
      <c r="H112" s="3">
        <f>IF(OR(tblAsignaciones[[#This Row],[turno]]="",ISNUMBER(MATCH(tblAsignaciones[[#This Row],[turno]],lista_no_disponible,0))),0,p_horas_jornada)</f>
        <v/>
      </c>
      <c r="I112" s="3">
        <f>tblAsignaciones[[#This Row],[semana]]&amp;"|"&amp;tblAsignaciones[[#This Row],[dia]]&amp;"|"&amp;tblAsignaciones[[#This Row],[tecnico]]</f>
        <v/>
      </c>
    </row>
    <row r="113">
      <c r="A113" s="3" t="inlineStr">
        <is>
          <t>S29</t>
        </is>
      </c>
      <c r="B113" s="3" t="inlineStr">
        <is>
          <t>viernes</t>
        </is>
      </c>
      <c r="C113" s="3" t="inlineStr">
        <is>
          <t>Técnico 04</t>
        </is>
      </c>
      <c r="D113" s="3">
        <f>_xlfn.XLOOKUP(tblAsignaciones[[#This Row],[tecnico]],tblTecnicos[nombre],tblTecnicos[area],"")</f>
        <v/>
      </c>
      <c r="E113" s="3">
        <f>_xlfn.XLOOKUP(tblAsignaciones[[#This Row],[tecnico]],tblTecnicos[nombre],tblTecnicos[especialidad],"")</f>
        <v/>
      </c>
      <c r="F113" s="6" t="inlineStr">
        <is>
          <t>T1</t>
        </is>
      </c>
      <c r="G113" s="3">
        <f>_xlfn.XLOOKUP(tblAsignaciones[[#This Row],[tecnico]],tblTecnicos[nombre],tblTecnicos[coordinador],"")</f>
        <v/>
      </c>
      <c r="H113" s="3">
        <f>IF(OR(tblAsignaciones[[#This Row],[turno]]="",ISNUMBER(MATCH(tblAsignaciones[[#This Row],[turno]],lista_no_disponible,0))),0,p_horas_jornada)</f>
        <v/>
      </c>
      <c r="I113" s="3">
        <f>tblAsignaciones[[#This Row],[semana]]&amp;"|"&amp;tblAsignaciones[[#This Row],[dia]]&amp;"|"&amp;tblAsignaciones[[#This Row],[tecnico]]</f>
        <v/>
      </c>
    </row>
    <row r="114">
      <c r="A114" s="3" t="inlineStr">
        <is>
          <t>S29</t>
        </is>
      </c>
      <c r="B114" s="3" t="inlineStr">
        <is>
          <t>sábado</t>
        </is>
      </c>
      <c r="C114" s="3" t="inlineStr">
        <is>
          <t>Técnico 04</t>
        </is>
      </c>
      <c r="D114" s="3">
        <f>_xlfn.XLOOKUP(tblAsignaciones[[#This Row],[tecnico]],tblTecnicos[nombre],tblTecnicos[area],"")</f>
        <v/>
      </c>
      <c r="E114" s="3">
        <f>_xlfn.XLOOKUP(tblAsignaciones[[#This Row],[tecnico]],tblTecnicos[nombre],tblTecnicos[especialidad],"")</f>
        <v/>
      </c>
      <c r="F114" s="6" t="inlineStr"/>
      <c r="G114" s="3">
        <f>_xlfn.XLOOKUP(tblAsignaciones[[#This Row],[tecnico]],tblTecnicos[nombre],tblTecnicos[coordinador],"")</f>
        <v/>
      </c>
      <c r="H114" s="3">
        <f>IF(OR(tblAsignaciones[[#This Row],[turno]]="",ISNUMBER(MATCH(tblAsignaciones[[#This Row],[turno]],lista_no_disponible,0))),0,p_horas_jornada)</f>
        <v/>
      </c>
      <c r="I114" s="3">
        <f>tblAsignaciones[[#This Row],[semana]]&amp;"|"&amp;tblAsignaciones[[#This Row],[dia]]&amp;"|"&amp;tblAsignaciones[[#This Row],[tecnico]]</f>
        <v/>
      </c>
    </row>
    <row r="115">
      <c r="A115" s="3" t="inlineStr">
        <is>
          <t>S29</t>
        </is>
      </c>
      <c r="B115" s="3" t="inlineStr">
        <is>
          <t>domingo</t>
        </is>
      </c>
      <c r="C115" s="3" t="inlineStr">
        <is>
          <t>Técnico 04</t>
        </is>
      </c>
      <c r="D115" s="3">
        <f>_xlfn.XLOOKUP(tblAsignaciones[[#This Row],[tecnico]],tblTecnicos[nombre],tblTecnicos[area],"")</f>
        <v/>
      </c>
      <c r="E115" s="3">
        <f>_xlfn.XLOOKUP(tblAsignaciones[[#This Row],[tecnico]],tblTecnicos[nombre],tblTecnicos[especialidad],"")</f>
        <v/>
      </c>
      <c r="F115" s="6" t="inlineStr"/>
      <c r="G115" s="3">
        <f>_xlfn.XLOOKUP(tblAsignaciones[[#This Row],[tecnico]],tblTecnicos[nombre],tblTecnicos[coordinador],"")</f>
        <v/>
      </c>
      <c r="H115" s="3">
        <f>IF(OR(tblAsignaciones[[#This Row],[turno]]="",ISNUMBER(MATCH(tblAsignaciones[[#This Row],[turno]],lista_no_disponible,0))),0,p_horas_jornada)</f>
        <v/>
      </c>
      <c r="I115" s="3">
        <f>tblAsignaciones[[#This Row],[semana]]&amp;"|"&amp;tblAsignaciones[[#This Row],[dia]]&amp;"|"&amp;tblAsignaciones[[#This Row],[tecnico]]</f>
        <v/>
      </c>
    </row>
    <row r="116">
      <c r="A116" s="3" t="inlineStr">
        <is>
          <t>S29</t>
        </is>
      </c>
      <c r="B116" s="3" t="inlineStr">
        <is>
          <t>lunes</t>
        </is>
      </c>
      <c r="C116" s="3" t="inlineStr">
        <is>
          <t>Técnico 05</t>
        </is>
      </c>
      <c r="D116" s="3">
        <f>_xlfn.XLOOKUP(tblAsignaciones[[#This Row],[tecnico]],tblTecnicos[nombre],tblTecnicos[area],"")</f>
        <v/>
      </c>
      <c r="E116" s="3">
        <f>_xlfn.XLOOKUP(tblAsignaciones[[#This Row],[tecnico]],tblTecnicos[nombre],tblTecnicos[especialidad],"")</f>
        <v/>
      </c>
      <c r="F116" s="6" t="inlineStr">
        <is>
          <t>T1</t>
        </is>
      </c>
      <c r="G116" s="3">
        <f>_xlfn.XLOOKUP(tblAsignaciones[[#This Row],[tecnico]],tblTecnicos[nombre],tblTecnicos[coordinador],"")</f>
        <v/>
      </c>
      <c r="H116" s="3">
        <f>IF(OR(tblAsignaciones[[#This Row],[turno]]="",ISNUMBER(MATCH(tblAsignaciones[[#This Row],[turno]],lista_no_disponible,0))),0,p_horas_jornada)</f>
        <v/>
      </c>
      <c r="I116" s="3">
        <f>tblAsignaciones[[#This Row],[semana]]&amp;"|"&amp;tblAsignaciones[[#This Row],[dia]]&amp;"|"&amp;tblAsignaciones[[#This Row],[tecnico]]</f>
        <v/>
      </c>
    </row>
    <row r="117">
      <c r="A117" s="3" t="inlineStr">
        <is>
          <t>S29</t>
        </is>
      </c>
      <c r="B117" s="3" t="inlineStr">
        <is>
          <t>martes</t>
        </is>
      </c>
      <c r="C117" s="3" t="inlineStr">
        <is>
          <t>Técnico 05</t>
        </is>
      </c>
      <c r="D117" s="3">
        <f>_xlfn.XLOOKUP(tblAsignaciones[[#This Row],[tecnico]],tblTecnicos[nombre],tblTecnicos[area],"")</f>
        <v/>
      </c>
      <c r="E117" s="3">
        <f>_xlfn.XLOOKUP(tblAsignaciones[[#This Row],[tecnico]],tblTecnicos[nombre],tblTecnicos[especialidad],"")</f>
        <v/>
      </c>
      <c r="F117" s="6" t="inlineStr">
        <is>
          <t>T1</t>
        </is>
      </c>
      <c r="G117" s="3">
        <f>_xlfn.XLOOKUP(tblAsignaciones[[#This Row],[tecnico]],tblTecnicos[nombre],tblTecnicos[coordinador],"")</f>
        <v/>
      </c>
      <c r="H117" s="3">
        <f>IF(OR(tblAsignaciones[[#This Row],[turno]]="",ISNUMBER(MATCH(tblAsignaciones[[#This Row],[turno]],lista_no_disponible,0))),0,p_horas_jornada)</f>
        <v/>
      </c>
      <c r="I117" s="3">
        <f>tblAsignaciones[[#This Row],[semana]]&amp;"|"&amp;tblAsignaciones[[#This Row],[dia]]&amp;"|"&amp;tblAsignaciones[[#This Row],[tecnico]]</f>
        <v/>
      </c>
    </row>
    <row r="118">
      <c r="A118" s="3" t="inlineStr">
        <is>
          <t>S29</t>
        </is>
      </c>
      <c r="B118" s="3" t="inlineStr">
        <is>
          <t>miércoles</t>
        </is>
      </c>
      <c r="C118" s="3" t="inlineStr">
        <is>
          <t>Técnico 05</t>
        </is>
      </c>
      <c r="D118" s="3">
        <f>_xlfn.XLOOKUP(tblAsignaciones[[#This Row],[tecnico]],tblTecnicos[nombre],tblTecnicos[area],"")</f>
        <v/>
      </c>
      <c r="E118" s="3">
        <f>_xlfn.XLOOKUP(tblAsignaciones[[#This Row],[tecnico]],tblTecnicos[nombre],tblTecnicos[especialidad],"")</f>
        <v/>
      </c>
      <c r="F118" s="6" t="inlineStr">
        <is>
          <t>T1</t>
        </is>
      </c>
      <c r="G118" s="3">
        <f>_xlfn.XLOOKUP(tblAsignaciones[[#This Row],[tecnico]],tblTecnicos[nombre],tblTecnicos[coordinador],"")</f>
        <v/>
      </c>
      <c r="H118" s="3">
        <f>IF(OR(tblAsignaciones[[#This Row],[turno]]="",ISNUMBER(MATCH(tblAsignaciones[[#This Row],[turno]],lista_no_disponible,0))),0,p_horas_jornada)</f>
        <v/>
      </c>
      <c r="I118" s="3">
        <f>tblAsignaciones[[#This Row],[semana]]&amp;"|"&amp;tblAsignaciones[[#This Row],[dia]]&amp;"|"&amp;tblAsignaciones[[#This Row],[tecnico]]</f>
        <v/>
      </c>
    </row>
    <row r="119">
      <c r="A119" s="3" t="inlineStr">
        <is>
          <t>S29</t>
        </is>
      </c>
      <c r="B119" s="3" t="inlineStr">
        <is>
          <t>jueves</t>
        </is>
      </c>
      <c r="C119" s="3" t="inlineStr">
        <is>
          <t>Técnico 05</t>
        </is>
      </c>
      <c r="D119" s="3">
        <f>_xlfn.XLOOKUP(tblAsignaciones[[#This Row],[tecnico]],tblTecnicos[nombre],tblTecnicos[area],"")</f>
        <v/>
      </c>
      <c r="E119" s="3">
        <f>_xlfn.XLOOKUP(tblAsignaciones[[#This Row],[tecnico]],tblTecnicos[nombre],tblTecnicos[especialidad],"")</f>
        <v/>
      </c>
      <c r="F119" s="6" t="inlineStr">
        <is>
          <t>T1</t>
        </is>
      </c>
      <c r="G119" s="3">
        <f>_xlfn.XLOOKUP(tblAsignaciones[[#This Row],[tecnico]],tblTecnicos[nombre],tblTecnicos[coordinador],"")</f>
        <v/>
      </c>
      <c r="H119" s="3">
        <f>IF(OR(tblAsignaciones[[#This Row],[turno]]="",ISNUMBER(MATCH(tblAsignaciones[[#This Row],[turno]],lista_no_disponible,0))),0,p_horas_jornada)</f>
        <v/>
      </c>
      <c r="I119" s="3">
        <f>tblAsignaciones[[#This Row],[semana]]&amp;"|"&amp;tblAsignaciones[[#This Row],[dia]]&amp;"|"&amp;tblAsignaciones[[#This Row],[tecnico]]</f>
        <v/>
      </c>
    </row>
    <row r="120">
      <c r="A120" s="3" t="inlineStr">
        <is>
          <t>S29</t>
        </is>
      </c>
      <c r="B120" s="3" t="inlineStr">
        <is>
          <t>viernes</t>
        </is>
      </c>
      <c r="C120" s="3" t="inlineStr">
        <is>
          <t>Técnico 05</t>
        </is>
      </c>
      <c r="D120" s="3">
        <f>_xlfn.XLOOKUP(tblAsignaciones[[#This Row],[tecnico]],tblTecnicos[nombre],tblTecnicos[area],"")</f>
        <v/>
      </c>
      <c r="E120" s="3">
        <f>_xlfn.XLOOKUP(tblAsignaciones[[#This Row],[tecnico]],tblTecnicos[nombre],tblTecnicos[especialidad],"")</f>
        <v/>
      </c>
      <c r="F120" s="6" t="inlineStr">
        <is>
          <t>T1</t>
        </is>
      </c>
      <c r="G120" s="3">
        <f>_xlfn.XLOOKUP(tblAsignaciones[[#This Row],[tecnico]],tblTecnicos[nombre],tblTecnicos[coordinador],"")</f>
        <v/>
      </c>
      <c r="H120" s="3">
        <f>IF(OR(tblAsignaciones[[#This Row],[turno]]="",ISNUMBER(MATCH(tblAsignaciones[[#This Row],[turno]],lista_no_disponible,0))),0,p_horas_jornada)</f>
        <v/>
      </c>
      <c r="I120" s="3">
        <f>tblAsignaciones[[#This Row],[semana]]&amp;"|"&amp;tblAsignaciones[[#This Row],[dia]]&amp;"|"&amp;tblAsignaciones[[#This Row],[tecnico]]</f>
        <v/>
      </c>
    </row>
    <row r="121">
      <c r="A121" s="3" t="inlineStr">
        <is>
          <t>S29</t>
        </is>
      </c>
      <c r="B121" s="3" t="inlineStr">
        <is>
          <t>sábado</t>
        </is>
      </c>
      <c r="C121" s="3" t="inlineStr">
        <is>
          <t>Técnico 05</t>
        </is>
      </c>
      <c r="D121" s="3">
        <f>_xlfn.XLOOKUP(tblAsignaciones[[#This Row],[tecnico]],tblTecnicos[nombre],tblTecnicos[area],"")</f>
        <v/>
      </c>
      <c r="E121" s="3">
        <f>_xlfn.XLOOKUP(tblAsignaciones[[#This Row],[tecnico]],tblTecnicos[nombre],tblTecnicos[especialidad],"")</f>
        <v/>
      </c>
      <c r="F121" s="6" t="inlineStr"/>
      <c r="G121" s="3">
        <f>_xlfn.XLOOKUP(tblAsignaciones[[#This Row],[tecnico]],tblTecnicos[nombre],tblTecnicos[coordinador],"")</f>
        <v/>
      </c>
      <c r="H121" s="3">
        <f>IF(OR(tblAsignaciones[[#This Row],[turno]]="",ISNUMBER(MATCH(tblAsignaciones[[#This Row],[turno]],lista_no_disponible,0))),0,p_horas_jornada)</f>
        <v/>
      </c>
      <c r="I121" s="3">
        <f>tblAsignaciones[[#This Row],[semana]]&amp;"|"&amp;tblAsignaciones[[#This Row],[dia]]&amp;"|"&amp;tblAsignaciones[[#This Row],[tecnico]]</f>
        <v/>
      </c>
    </row>
    <row r="122">
      <c r="A122" s="3" t="inlineStr">
        <is>
          <t>S29</t>
        </is>
      </c>
      <c r="B122" s="3" t="inlineStr">
        <is>
          <t>domingo</t>
        </is>
      </c>
      <c r="C122" s="3" t="inlineStr">
        <is>
          <t>Técnico 05</t>
        </is>
      </c>
      <c r="D122" s="3">
        <f>_xlfn.XLOOKUP(tblAsignaciones[[#This Row],[tecnico]],tblTecnicos[nombre],tblTecnicos[area],"")</f>
        <v/>
      </c>
      <c r="E122" s="3">
        <f>_xlfn.XLOOKUP(tblAsignaciones[[#This Row],[tecnico]],tblTecnicos[nombre],tblTecnicos[especialidad],"")</f>
        <v/>
      </c>
      <c r="F122" s="6" t="inlineStr"/>
      <c r="G122" s="3">
        <f>_xlfn.XLOOKUP(tblAsignaciones[[#This Row],[tecnico]],tblTecnicos[nombre],tblTecnicos[coordinador],"")</f>
        <v/>
      </c>
      <c r="H122" s="3">
        <f>IF(OR(tblAsignaciones[[#This Row],[turno]]="",ISNUMBER(MATCH(tblAsignaciones[[#This Row],[turno]],lista_no_disponible,0))),0,p_horas_jornada)</f>
        <v/>
      </c>
      <c r="I122" s="3">
        <f>tblAsignaciones[[#This Row],[semana]]&amp;"|"&amp;tblAsignaciones[[#This Row],[dia]]&amp;"|"&amp;tblAsignaciones[[#This Row],[tecnico]]</f>
        <v/>
      </c>
    </row>
    <row r="123">
      <c r="A123" s="3" t="inlineStr">
        <is>
          <t>S29</t>
        </is>
      </c>
      <c r="B123" s="3" t="inlineStr">
        <is>
          <t>lunes</t>
        </is>
      </c>
      <c r="C123" s="3" t="inlineStr">
        <is>
          <t>Técnico 06</t>
        </is>
      </c>
      <c r="D123" s="3">
        <f>_xlfn.XLOOKUP(tblAsignaciones[[#This Row],[tecnico]],tblTecnicos[nombre],tblTecnicos[area],"")</f>
        <v/>
      </c>
      <c r="E123" s="3">
        <f>_xlfn.XLOOKUP(tblAsignaciones[[#This Row],[tecnico]],tblTecnicos[nombre],tblTecnicos[especialidad],"")</f>
        <v/>
      </c>
      <c r="F123" s="6" t="inlineStr">
        <is>
          <t>T1</t>
        </is>
      </c>
      <c r="G123" s="3">
        <f>_xlfn.XLOOKUP(tblAsignaciones[[#This Row],[tecnico]],tblTecnicos[nombre],tblTecnicos[coordinador],"")</f>
        <v/>
      </c>
      <c r="H123" s="3">
        <f>IF(OR(tblAsignaciones[[#This Row],[turno]]="",ISNUMBER(MATCH(tblAsignaciones[[#This Row],[turno]],lista_no_disponible,0))),0,p_horas_jornada)</f>
        <v/>
      </c>
      <c r="I123" s="3">
        <f>tblAsignaciones[[#This Row],[semana]]&amp;"|"&amp;tblAsignaciones[[#This Row],[dia]]&amp;"|"&amp;tblAsignaciones[[#This Row],[tecnico]]</f>
        <v/>
      </c>
    </row>
    <row r="124">
      <c r="A124" s="3" t="inlineStr">
        <is>
          <t>S29</t>
        </is>
      </c>
      <c r="B124" s="3" t="inlineStr">
        <is>
          <t>martes</t>
        </is>
      </c>
      <c r="C124" s="3" t="inlineStr">
        <is>
          <t>Técnico 06</t>
        </is>
      </c>
      <c r="D124" s="3">
        <f>_xlfn.XLOOKUP(tblAsignaciones[[#This Row],[tecnico]],tblTecnicos[nombre],tblTecnicos[area],"")</f>
        <v/>
      </c>
      <c r="E124" s="3">
        <f>_xlfn.XLOOKUP(tblAsignaciones[[#This Row],[tecnico]],tblTecnicos[nombre],tblTecnicos[especialidad],"")</f>
        <v/>
      </c>
      <c r="F124" s="6" t="inlineStr">
        <is>
          <t>T1</t>
        </is>
      </c>
      <c r="G124" s="3">
        <f>_xlfn.XLOOKUP(tblAsignaciones[[#This Row],[tecnico]],tblTecnicos[nombre],tblTecnicos[coordinador],"")</f>
        <v/>
      </c>
      <c r="H124" s="3">
        <f>IF(OR(tblAsignaciones[[#This Row],[turno]]="",ISNUMBER(MATCH(tblAsignaciones[[#This Row],[turno]],lista_no_disponible,0))),0,p_horas_jornada)</f>
        <v/>
      </c>
      <c r="I124" s="3">
        <f>tblAsignaciones[[#This Row],[semana]]&amp;"|"&amp;tblAsignaciones[[#This Row],[dia]]&amp;"|"&amp;tblAsignaciones[[#This Row],[tecnico]]</f>
        <v/>
      </c>
    </row>
    <row r="125">
      <c r="A125" s="3" t="inlineStr">
        <is>
          <t>S29</t>
        </is>
      </c>
      <c r="B125" s="3" t="inlineStr">
        <is>
          <t>miércoles</t>
        </is>
      </c>
      <c r="C125" s="3" t="inlineStr">
        <is>
          <t>Técnico 06</t>
        </is>
      </c>
      <c r="D125" s="3">
        <f>_xlfn.XLOOKUP(tblAsignaciones[[#This Row],[tecnico]],tblTecnicos[nombre],tblTecnicos[area],"")</f>
        <v/>
      </c>
      <c r="E125" s="3">
        <f>_xlfn.XLOOKUP(tblAsignaciones[[#This Row],[tecnico]],tblTecnicos[nombre],tblTecnicos[especialidad],"")</f>
        <v/>
      </c>
      <c r="F125" s="6" t="inlineStr">
        <is>
          <t>T1</t>
        </is>
      </c>
      <c r="G125" s="3">
        <f>_xlfn.XLOOKUP(tblAsignaciones[[#This Row],[tecnico]],tblTecnicos[nombre],tblTecnicos[coordinador],"")</f>
        <v/>
      </c>
      <c r="H125" s="3">
        <f>IF(OR(tblAsignaciones[[#This Row],[turno]]="",ISNUMBER(MATCH(tblAsignaciones[[#This Row],[turno]],lista_no_disponible,0))),0,p_horas_jornada)</f>
        <v/>
      </c>
      <c r="I125" s="3">
        <f>tblAsignaciones[[#This Row],[semana]]&amp;"|"&amp;tblAsignaciones[[#This Row],[dia]]&amp;"|"&amp;tblAsignaciones[[#This Row],[tecnico]]</f>
        <v/>
      </c>
    </row>
    <row r="126">
      <c r="A126" s="3" t="inlineStr">
        <is>
          <t>S29</t>
        </is>
      </c>
      <c r="B126" s="3" t="inlineStr">
        <is>
          <t>jueves</t>
        </is>
      </c>
      <c r="C126" s="3" t="inlineStr">
        <is>
          <t>Técnico 06</t>
        </is>
      </c>
      <c r="D126" s="3">
        <f>_xlfn.XLOOKUP(tblAsignaciones[[#This Row],[tecnico]],tblTecnicos[nombre],tblTecnicos[area],"")</f>
        <v/>
      </c>
      <c r="E126" s="3">
        <f>_xlfn.XLOOKUP(tblAsignaciones[[#This Row],[tecnico]],tblTecnicos[nombre],tblTecnicos[especialidad],"")</f>
        <v/>
      </c>
      <c r="F126" s="6" t="inlineStr">
        <is>
          <t>T1</t>
        </is>
      </c>
      <c r="G126" s="3">
        <f>_xlfn.XLOOKUP(tblAsignaciones[[#This Row],[tecnico]],tblTecnicos[nombre],tblTecnicos[coordinador],"")</f>
        <v/>
      </c>
      <c r="H126" s="3">
        <f>IF(OR(tblAsignaciones[[#This Row],[turno]]="",ISNUMBER(MATCH(tblAsignaciones[[#This Row],[turno]],lista_no_disponible,0))),0,p_horas_jornada)</f>
        <v/>
      </c>
      <c r="I126" s="3">
        <f>tblAsignaciones[[#This Row],[semana]]&amp;"|"&amp;tblAsignaciones[[#This Row],[dia]]&amp;"|"&amp;tblAsignaciones[[#This Row],[tecnico]]</f>
        <v/>
      </c>
    </row>
    <row r="127">
      <c r="A127" s="3" t="inlineStr">
        <is>
          <t>S29</t>
        </is>
      </c>
      <c r="B127" s="3" t="inlineStr">
        <is>
          <t>viernes</t>
        </is>
      </c>
      <c r="C127" s="3" t="inlineStr">
        <is>
          <t>Técnico 06</t>
        </is>
      </c>
      <c r="D127" s="3">
        <f>_xlfn.XLOOKUP(tblAsignaciones[[#This Row],[tecnico]],tblTecnicos[nombre],tblTecnicos[area],"")</f>
        <v/>
      </c>
      <c r="E127" s="3">
        <f>_xlfn.XLOOKUP(tblAsignaciones[[#This Row],[tecnico]],tblTecnicos[nombre],tblTecnicos[especialidad],"")</f>
        <v/>
      </c>
      <c r="F127" s="6" t="inlineStr">
        <is>
          <t>T1</t>
        </is>
      </c>
      <c r="G127" s="3">
        <f>_xlfn.XLOOKUP(tblAsignaciones[[#This Row],[tecnico]],tblTecnicos[nombre],tblTecnicos[coordinador],"")</f>
        <v/>
      </c>
      <c r="H127" s="3">
        <f>IF(OR(tblAsignaciones[[#This Row],[turno]]="",ISNUMBER(MATCH(tblAsignaciones[[#This Row],[turno]],lista_no_disponible,0))),0,p_horas_jornada)</f>
        <v/>
      </c>
      <c r="I127" s="3">
        <f>tblAsignaciones[[#This Row],[semana]]&amp;"|"&amp;tblAsignaciones[[#This Row],[dia]]&amp;"|"&amp;tblAsignaciones[[#This Row],[tecnico]]</f>
        <v/>
      </c>
    </row>
    <row r="128">
      <c r="A128" s="3" t="inlineStr">
        <is>
          <t>S29</t>
        </is>
      </c>
      <c r="B128" s="3" t="inlineStr">
        <is>
          <t>sábado</t>
        </is>
      </c>
      <c r="C128" s="3" t="inlineStr">
        <is>
          <t>Técnico 06</t>
        </is>
      </c>
      <c r="D128" s="3">
        <f>_xlfn.XLOOKUP(tblAsignaciones[[#This Row],[tecnico]],tblTecnicos[nombre],tblTecnicos[area],"")</f>
        <v/>
      </c>
      <c r="E128" s="3">
        <f>_xlfn.XLOOKUP(tblAsignaciones[[#This Row],[tecnico]],tblTecnicos[nombre],tblTecnicos[especialidad],"")</f>
        <v/>
      </c>
      <c r="F128" s="6" t="inlineStr"/>
      <c r="G128" s="3">
        <f>_xlfn.XLOOKUP(tblAsignaciones[[#This Row],[tecnico]],tblTecnicos[nombre],tblTecnicos[coordinador],"")</f>
        <v/>
      </c>
      <c r="H128" s="3">
        <f>IF(OR(tblAsignaciones[[#This Row],[turno]]="",ISNUMBER(MATCH(tblAsignaciones[[#This Row],[turno]],lista_no_disponible,0))),0,p_horas_jornada)</f>
        <v/>
      </c>
      <c r="I128" s="3">
        <f>tblAsignaciones[[#This Row],[semana]]&amp;"|"&amp;tblAsignaciones[[#This Row],[dia]]&amp;"|"&amp;tblAsignaciones[[#This Row],[tecnico]]</f>
        <v/>
      </c>
    </row>
    <row r="129">
      <c r="A129" s="3" t="inlineStr">
        <is>
          <t>S29</t>
        </is>
      </c>
      <c r="B129" s="3" t="inlineStr">
        <is>
          <t>domingo</t>
        </is>
      </c>
      <c r="C129" s="3" t="inlineStr">
        <is>
          <t>Técnico 06</t>
        </is>
      </c>
      <c r="D129" s="3">
        <f>_xlfn.XLOOKUP(tblAsignaciones[[#This Row],[tecnico]],tblTecnicos[nombre],tblTecnicos[area],"")</f>
        <v/>
      </c>
      <c r="E129" s="3">
        <f>_xlfn.XLOOKUP(tblAsignaciones[[#This Row],[tecnico]],tblTecnicos[nombre],tblTecnicos[especialidad],"")</f>
        <v/>
      </c>
      <c r="F129" s="6" t="inlineStr"/>
      <c r="G129" s="3">
        <f>_xlfn.XLOOKUP(tblAsignaciones[[#This Row],[tecnico]],tblTecnicos[nombre],tblTecnicos[coordinador],"")</f>
        <v/>
      </c>
      <c r="H129" s="3">
        <f>IF(OR(tblAsignaciones[[#This Row],[turno]]="",ISNUMBER(MATCH(tblAsignaciones[[#This Row],[turno]],lista_no_disponible,0))),0,p_horas_jornada)</f>
        <v/>
      </c>
      <c r="I129" s="3">
        <f>tblAsignaciones[[#This Row],[semana]]&amp;"|"&amp;tblAsignaciones[[#This Row],[dia]]&amp;"|"&amp;tblAsignaciones[[#This Row],[tecnico]]</f>
        <v/>
      </c>
    </row>
    <row r="130">
      <c r="A130" s="3" t="inlineStr">
        <is>
          <t>S29</t>
        </is>
      </c>
      <c r="B130" s="3" t="inlineStr">
        <is>
          <t>lunes</t>
        </is>
      </c>
      <c r="C130" s="3" t="inlineStr">
        <is>
          <t>Técnico 07</t>
        </is>
      </c>
      <c r="D130" s="3">
        <f>_xlfn.XLOOKUP(tblAsignaciones[[#This Row],[tecnico]],tblTecnicos[nombre],tblTecnicos[area],"")</f>
        <v/>
      </c>
      <c r="E130" s="3">
        <f>_xlfn.XLOOKUP(tblAsignaciones[[#This Row],[tecnico]],tblTecnicos[nombre],tblTecnicos[especialidad],"")</f>
        <v/>
      </c>
      <c r="F130" s="6" t="inlineStr">
        <is>
          <t>T1</t>
        </is>
      </c>
      <c r="G130" s="3">
        <f>_xlfn.XLOOKUP(tblAsignaciones[[#This Row],[tecnico]],tblTecnicos[nombre],tblTecnicos[coordinador],"")</f>
        <v/>
      </c>
      <c r="H130" s="3">
        <f>IF(OR(tblAsignaciones[[#This Row],[turno]]="",ISNUMBER(MATCH(tblAsignaciones[[#This Row],[turno]],lista_no_disponible,0))),0,p_horas_jornada)</f>
        <v/>
      </c>
      <c r="I130" s="3">
        <f>tblAsignaciones[[#This Row],[semana]]&amp;"|"&amp;tblAsignaciones[[#This Row],[dia]]&amp;"|"&amp;tblAsignaciones[[#This Row],[tecnico]]</f>
        <v/>
      </c>
    </row>
    <row r="131">
      <c r="A131" s="3" t="inlineStr">
        <is>
          <t>S29</t>
        </is>
      </c>
      <c r="B131" s="3" t="inlineStr">
        <is>
          <t>martes</t>
        </is>
      </c>
      <c r="C131" s="3" t="inlineStr">
        <is>
          <t>Técnico 07</t>
        </is>
      </c>
      <c r="D131" s="3">
        <f>_xlfn.XLOOKUP(tblAsignaciones[[#This Row],[tecnico]],tblTecnicos[nombre],tblTecnicos[area],"")</f>
        <v/>
      </c>
      <c r="E131" s="3">
        <f>_xlfn.XLOOKUP(tblAsignaciones[[#This Row],[tecnico]],tblTecnicos[nombre],tblTecnicos[especialidad],"")</f>
        <v/>
      </c>
      <c r="F131" s="6" t="inlineStr">
        <is>
          <t>T1</t>
        </is>
      </c>
      <c r="G131" s="3">
        <f>_xlfn.XLOOKUP(tblAsignaciones[[#This Row],[tecnico]],tblTecnicos[nombre],tblTecnicos[coordinador],"")</f>
        <v/>
      </c>
      <c r="H131" s="3">
        <f>IF(OR(tblAsignaciones[[#This Row],[turno]]="",ISNUMBER(MATCH(tblAsignaciones[[#This Row],[turno]],lista_no_disponible,0))),0,p_horas_jornada)</f>
        <v/>
      </c>
      <c r="I131" s="3">
        <f>tblAsignaciones[[#This Row],[semana]]&amp;"|"&amp;tblAsignaciones[[#This Row],[dia]]&amp;"|"&amp;tblAsignaciones[[#This Row],[tecnico]]</f>
        <v/>
      </c>
    </row>
    <row r="132">
      <c r="A132" s="3" t="inlineStr">
        <is>
          <t>S29</t>
        </is>
      </c>
      <c r="B132" s="3" t="inlineStr">
        <is>
          <t>miércoles</t>
        </is>
      </c>
      <c r="C132" s="3" t="inlineStr">
        <is>
          <t>Técnico 07</t>
        </is>
      </c>
      <c r="D132" s="3">
        <f>_xlfn.XLOOKUP(tblAsignaciones[[#This Row],[tecnico]],tblTecnicos[nombre],tblTecnicos[area],"")</f>
        <v/>
      </c>
      <c r="E132" s="3">
        <f>_xlfn.XLOOKUP(tblAsignaciones[[#This Row],[tecnico]],tblTecnicos[nombre],tblTecnicos[especialidad],"")</f>
        <v/>
      </c>
      <c r="F132" s="6" t="inlineStr">
        <is>
          <t>T1</t>
        </is>
      </c>
      <c r="G132" s="3">
        <f>_xlfn.XLOOKUP(tblAsignaciones[[#This Row],[tecnico]],tblTecnicos[nombre],tblTecnicos[coordinador],"")</f>
        <v/>
      </c>
      <c r="H132" s="3">
        <f>IF(OR(tblAsignaciones[[#This Row],[turno]]="",ISNUMBER(MATCH(tblAsignaciones[[#This Row],[turno]],lista_no_disponible,0))),0,p_horas_jornada)</f>
        <v/>
      </c>
      <c r="I132" s="3">
        <f>tblAsignaciones[[#This Row],[semana]]&amp;"|"&amp;tblAsignaciones[[#This Row],[dia]]&amp;"|"&amp;tblAsignaciones[[#This Row],[tecnico]]</f>
        <v/>
      </c>
    </row>
    <row r="133">
      <c r="A133" s="3" t="inlineStr">
        <is>
          <t>S29</t>
        </is>
      </c>
      <c r="B133" s="3" t="inlineStr">
        <is>
          <t>jueves</t>
        </is>
      </c>
      <c r="C133" s="3" t="inlineStr">
        <is>
          <t>Técnico 07</t>
        </is>
      </c>
      <c r="D133" s="3">
        <f>_xlfn.XLOOKUP(tblAsignaciones[[#This Row],[tecnico]],tblTecnicos[nombre],tblTecnicos[area],"")</f>
        <v/>
      </c>
      <c r="E133" s="3">
        <f>_xlfn.XLOOKUP(tblAsignaciones[[#This Row],[tecnico]],tblTecnicos[nombre],tblTecnicos[especialidad],"")</f>
        <v/>
      </c>
      <c r="F133" s="6" t="inlineStr">
        <is>
          <t>T1</t>
        </is>
      </c>
      <c r="G133" s="3">
        <f>_xlfn.XLOOKUP(tblAsignaciones[[#This Row],[tecnico]],tblTecnicos[nombre],tblTecnicos[coordinador],"")</f>
        <v/>
      </c>
      <c r="H133" s="3">
        <f>IF(OR(tblAsignaciones[[#This Row],[turno]]="",ISNUMBER(MATCH(tblAsignaciones[[#This Row],[turno]],lista_no_disponible,0))),0,p_horas_jornada)</f>
        <v/>
      </c>
      <c r="I133" s="3">
        <f>tblAsignaciones[[#This Row],[semana]]&amp;"|"&amp;tblAsignaciones[[#This Row],[dia]]&amp;"|"&amp;tblAsignaciones[[#This Row],[tecnico]]</f>
        <v/>
      </c>
    </row>
    <row r="134">
      <c r="A134" s="3" t="inlineStr">
        <is>
          <t>S29</t>
        </is>
      </c>
      <c r="B134" s="3" t="inlineStr">
        <is>
          <t>viernes</t>
        </is>
      </c>
      <c r="C134" s="3" t="inlineStr">
        <is>
          <t>Técnico 07</t>
        </is>
      </c>
      <c r="D134" s="3">
        <f>_xlfn.XLOOKUP(tblAsignaciones[[#This Row],[tecnico]],tblTecnicos[nombre],tblTecnicos[area],"")</f>
        <v/>
      </c>
      <c r="E134" s="3">
        <f>_xlfn.XLOOKUP(tblAsignaciones[[#This Row],[tecnico]],tblTecnicos[nombre],tblTecnicos[especialidad],"")</f>
        <v/>
      </c>
      <c r="F134" s="6" t="inlineStr">
        <is>
          <t>X</t>
        </is>
      </c>
      <c r="G134" s="3">
        <f>_xlfn.XLOOKUP(tblAsignaciones[[#This Row],[tecnico]],tblTecnicos[nombre],tblTecnicos[coordinador],"")</f>
        <v/>
      </c>
      <c r="H134" s="3">
        <f>IF(OR(tblAsignaciones[[#This Row],[turno]]="",ISNUMBER(MATCH(tblAsignaciones[[#This Row],[turno]],lista_no_disponible,0))),0,p_horas_jornada)</f>
        <v/>
      </c>
      <c r="I134" s="3">
        <f>tblAsignaciones[[#This Row],[semana]]&amp;"|"&amp;tblAsignaciones[[#This Row],[dia]]&amp;"|"&amp;tblAsignaciones[[#This Row],[tecnico]]</f>
        <v/>
      </c>
    </row>
    <row r="135">
      <c r="A135" s="3" t="inlineStr">
        <is>
          <t>S29</t>
        </is>
      </c>
      <c r="B135" s="3" t="inlineStr">
        <is>
          <t>sábado</t>
        </is>
      </c>
      <c r="C135" s="3" t="inlineStr">
        <is>
          <t>Técnico 07</t>
        </is>
      </c>
      <c r="D135" s="3">
        <f>_xlfn.XLOOKUP(tblAsignaciones[[#This Row],[tecnico]],tblTecnicos[nombre],tblTecnicos[area],"")</f>
        <v/>
      </c>
      <c r="E135" s="3">
        <f>_xlfn.XLOOKUP(tblAsignaciones[[#This Row],[tecnico]],tblTecnicos[nombre],tblTecnicos[especialidad],"")</f>
        <v/>
      </c>
      <c r="F135" s="6" t="inlineStr"/>
      <c r="G135" s="3">
        <f>_xlfn.XLOOKUP(tblAsignaciones[[#This Row],[tecnico]],tblTecnicos[nombre],tblTecnicos[coordinador],"")</f>
        <v/>
      </c>
      <c r="H135" s="3">
        <f>IF(OR(tblAsignaciones[[#This Row],[turno]]="",ISNUMBER(MATCH(tblAsignaciones[[#This Row],[turno]],lista_no_disponible,0))),0,p_horas_jornada)</f>
        <v/>
      </c>
      <c r="I135" s="3">
        <f>tblAsignaciones[[#This Row],[semana]]&amp;"|"&amp;tblAsignaciones[[#This Row],[dia]]&amp;"|"&amp;tblAsignaciones[[#This Row],[tecnico]]</f>
        <v/>
      </c>
    </row>
    <row r="136">
      <c r="A136" s="3" t="inlineStr">
        <is>
          <t>S29</t>
        </is>
      </c>
      <c r="B136" s="3" t="inlineStr">
        <is>
          <t>domingo</t>
        </is>
      </c>
      <c r="C136" s="3" t="inlineStr">
        <is>
          <t>Técnico 07</t>
        </is>
      </c>
      <c r="D136" s="3">
        <f>_xlfn.XLOOKUP(tblAsignaciones[[#This Row],[tecnico]],tblTecnicos[nombre],tblTecnicos[area],"")</f>
        <v/>
      </c>
      <c r="E136" s="3">
        <f>_xlfn.XLOOKUP(tblAsignaciones[[#This Row],[tecnico]],tblTecnicos[nombre],tblTecnicos[especialidad],"")</f>
        <v/>
      </c>
      <c r="F136" s="6" t="inlineStr"/>
      <c r="G136" s="3">
        <f>_xlfn.XLOOKUP(tblAsignaciones[[#This Row],[tecnico]],tblTecnicos[nombre],tblTecnicos[coordinador],"")</f>
        <v/>
      </c>
      <c r="H136" s="3">
        <f>IF(OR(tblAsignaciones[[#This Row],[turno]]="",ISNUMBER(MATCH(tblAsignaciones[[#This Row],[turno]],lista_no_disponible,0))),0,p_horas_jornada)</f>
        <v/>
      </c>
      <c r="I136" s="3">
        <f>tblAsignaciones[[#This Row],[semana]]&amp;"|"&amp;tblAsignaciones[[#This Row],[dia]]&amp;"|"&amp;tblAsignaciones[[#This Row],[tecnico]]</f>
        <v/>
      </c>
    </row>
    <row r="137">
      <c r="A137" s="3" t="inlineStr">
        <is>
          <t>S29</t>
        </is>
      </c>
      <c r="B137" s="3" t="inlineStr">
        <is>
          <t>lunes</t>
        </is>
      </c>
      <c r="C137" s="3" t="inlineStr">
        <is>
          <t>Técnico 08</t>
        </is>
      </c>
      <c r="D137" s="3">
        <f>_xlfn.XLOOKUP(tblAsignaciones[[#This Row],[tecnico]],tblTecnicos[nombre],tblTecnicos[area],"")</f>
        <v/>
      </c>
      <c r="E137" s="3">
        <f>_xlfn.XLOOKUP(tblAsignaciones[[#This Row],[tecnico]],tblTecnicos[nombre],tblTecnicos[especialidad],"")</f>
        <v/>
      </c>
      <c r="F137" s="6" t="inlineStr">
        <is>
          <t>T3</t>
        </is>
      </c>
      <c r="G137" s="3">
        <f>_xlfn.XLOOKUP(tblAsignaciones[[#This Row],[tecnico]],tblTecnicos[nombre],tblTecnicos[coordinador],"")</f>
        <v/>
      </c>
      <c r="H137" s="3">
        <f>IF(OR(tblAsignaciones[[#This Row],[turno]]="",ISNUMBER(MATCH(tblAsignaciones[[#This Row],[turno]],lista_no_disponible,0))),0,p_horas_jornada)</f>
        <v/>
      </c>
      <c r="I137" s="3">
        <f>tblAsignaciones[[#This Row],[semana]]&amp;"|"&amp;tblAsignaciones[[#This Row],[dia]]&amp;"|"&amp;tblAsignaciones[[#This Row],[tecnico]]</f>
        <v/>
      </c>
    </row>
    <row r="138">
      <c r="A138" s="3" t="inlineStr">
        <is>
          <t>S29</t>
        </is>
      </c>
      <c r="B138" s="3" t="inlineStr">
        <is>
          <t>martes</t>
        </is>
      </c>
      <c r="C138" s="3" t="inlineStr">
        <is>
          <t>Técnico 08</t>
        </is>
      </c>
      <c r="D138" s="3">
        <f>_xlfn.XLOOKUP(tblAsignaciones[[#This Row],[tecnico]],tblTecnicos[nombre],tblTecnicos[area],"")</f>
        <v/>
      </c>
      <c r="E138" s="3">
        <f>_xlfn.XLOOKUP(tblAsignaciones[[#This Row],[tecnico]],tblTecnicos[nombre],tblTecnicos[especialidad],"")</f>
        <v/>
      </c>
      <c r="F138" s="6" t="inlineStr">
        <is>
          <t>T3</t>
        </is>
      </c>
      <c r="G138" s="3">
        <f>_xlfn.XLOOKUP(tblAsignaciones[[#This Row],[tecnico]],tblTecnicos[nombre],tblTecnicos[coordinador],"")</f>
        <v/>
      </c>
      <c r="H138" s="3">
        <f>IF(OR(tblAsignaciones[[#This Row],[turno]]="",ISNUMBER(MATCH(tblAsignaciones[[#This Row],[turno]],lista_no_disponible,0))),0,p_horas_jornada)</f>
        <v/>
      </c>
      <c r="I138" s="3">
        <f>tblAsignaciones[[#This Row],[semana]]&amp;"|"&amp;tblAsignaciones[[#This Row],[dia]]&amp;"|"&amp;tblAsignaciones[[#This Row],[tecnico]]</f>
        <v/>
      </c>
    </row>
    <row r="139">
      <c r="A139" s="3" t="inlineStr">
        <is>
          <t>S29</t>
        </is>
      </c>
      <c r="B139" s="3" t="inlineStr">
        <is>
          <t>miércoles</t>
        </is>
      </c>
      <c r="C139" s="3" t="inlineStr">
        <is>
          <t>Técnico 08</t>
        </is>
      </c>
      <c r="D139" s="3">
        <f>_xlfn.XLOOKUP(tblAsignaciones[[#This Row],[tecnico]],tblTecnicos[nombre],tblTecnicos[area],"")</f>
        <v/>
      </c>
      <c r="E139" s="3">
        <f>_xlfn.XLOOKUP(tblAsignaciones[[#This Row],[tecnico]],tblTecnicos[nombre],tblTecnicos[especialidad],"")</f>
        <v/>
      </c>
      <c r="F139" s="6" t="inlineStr">
        <is>
          <t>T3</t>
        </is>
      </c>
      <c r="G139" s="3">
        <f>_xlfn.XLOOKUP(tblAsignaciones[[#This Row],[tecnico]],tblTecnicos[nombre],tblTecnicos[coordinador],"")</f>
        <v/>
      </c>
      <c r="H139" s="3">
        <f>IF(OR(tblAsignaciones[[#This Row],[turno]]="",ISNUMBER(MATCH(tblAsignaciones[[#This Row],[turno]],lista_no_disponible,0))),0,p_horas_jornada)</f>
        <v/>
      </c>
      <c r="I139" s="3">
        <f>tblAsignaciones[[#This Row],[semana]]&amp;"|"&amp;tblAsignaciones[[#This Row],[dia]]&amp;"|"&amp;tblAsignaciones[[#This Row],[tecnico]]</f>
        <v/>
      </c>
    </row>
    <row r="140">
      <c r="A140" s="3" t="inlineStr">
        <is>
          <t>S29</t>
        </is>
      </c>
      <c r="B140" s="3" t="inlineStr">
        <is>
          <t>jueves</t>
        </is>
      </c>
      <c r="C140" s="3" t="inlineStr">
        <is>
          <t>Técnico 08</t>
        </is>
      </c>
      <c r="D140" s="3">
        <f>_xlfn.XLOOKUP(tblAsignaciones[[#This Row],[tecnico]],tblTecnicos[nombre],tblTecnicos[area],"")</f>
        <v/>
      </c>
      <c r="E140" s="3">
        <f>_xlfn.XLOOKUP(tblAsignaciones[[#This Row],[tecnico]],tblTecnicos[nombre],tblTecnicos[especialidad],"")</f>
        <v/>
      </c>
      <c r="F140" s="6" t="inlineStr">
        <is>
          <t>T3</t>
        </is>
      </c>
      <c r="G140" s="3">
        <f>_xlfn.XLOOKUP(tblAsignaciones[[#This Row],[tecnico]],tblTecnicos[nombre],tblTecnicos[coordinador],"")</f>
        <v/>
      </c>
      <c r="H140" s="3">
        <f>IF(OR(tblAsignaciones[[#This Row],[turno]]="",ISNUMBER(MATCH(tblAsignaciones[[#This Row],[turno]],lista_no_disponible,0))),0,p_horas_jornada)</f>
        <v/>
      </c>
      <c r="I140" s="3">
        <f>tblAsignaciones[[#This Row],[semana]]&amp;"|"&amp;tblAsignaciones[[#This Row],[dia]]&amp;"|"&amp;tblAsignaciones[[#This Row],[tecnico]]</f>
        <v/>
      </c>
    </row>
    <row r="141">
      <c r="A141" s="3" t="inlineStr">
        <is>
          <t>S29</t>
        </is>
      </c>
      <c r="B141" s="3" t="inlineStr">
        <is>
          <t>viernes</t>
        </is>
      </c>
      <c r="C141" s="3" t="inlineStr">
        <is>
          <t>Técnico 08</t>
        </is>
      </c>
      <c r="D141" s="3">
        <f>_xlfn.XLOOKUP(tblAsignaciones[[#This Row],[tecnico]],tblTecnicos[nombre],tblTecnicos[area],"")</f>
        <v/>
      </c>
      <c r="E141" s="3">
        <f>_xlfn.XLOOKUP(tblAsignaciones[[#This Row],[tecnico]],tblTecnicos[nombre],tblTecnicos[especialidad],"")</f>
        <v/>
      </c>
      <c r="F141" s="6" t="inlineStr">
        <is>
          <t>T3</t>
        </is>
      </c>
      <c r="G141" s="3">
        <f>_xlfn.XLOOKUP(tblAsignaciones[[#This Row],[tecnico]],tblTecnicos[nombre],tblTecnicos[coordinador],"")</f>
        <v/>
      </c>
      <c r="H141" s="3">
        <f>IF(OR(tblAsignaciones[[#This Row],[turno]]="",ISNUMBER(MATCH(tblAsignaciones[[#This Row],[turno]],lista_no_disponible,0))),0,p_horas_jornada)</f>
        <v/>
      </c>
      <c r="I141" s="3">
        <f>tblAsignaciones[[#This Row],[semana]]&amp;"|"&amp;tblAsignaciones[[#This Row],[dia]]&amp;"|"&amp;tblAsignaciones[[#This Row],[tecnico]]</f>
        <v/>
      </c>
    </row>
    <row r="142">
      <c r="A142" s="3" t="inlineStr">
        <is>
          <t>S29</t>
        </is>
      </c>
      <c r="B142" s="3" t="inlineStr">
        <is>
          <t>sábado</t>
        </is>
      </c>
      <c r="C142" s="3" t="inlineStr">
        <is>
          <t>Técnico 08</t>
        </is>
      </c>
      <c r="D142" s="3">
        <f>_xlfn.XLOOKUP(tblAsignaciones[[#This Row],[tecnico]],tblTecnicos[nombre],tblTecnicos[area],"")</f>
        <v/>
      </c>
      <c r="E142" s="3">
        <f>_xlfn.XLOOKUP(tblAsignaciones[[#This Row],[tecnico]],tblTecnicos[nombre],tblTecnicos[especialidad],"")</f>
        <v/>
      </c>
      <c r="F142" s="6" t="inlineStr"/>
      <c r="G142" s="3">
        <f>_xlfn.XLOOKUP(tblAsignaciones[[#This Row],[tecnico]],tblTecnicos[nombre],tblTecnicos[coordinador],"")</f>
        <v/>
      </c>
      <c r="H142" s="3">
        <f>IF(OR(tblAsignaciones[[#This Row],[turno]]="",ISNUMBER(MATCH(tblAsignaciones[[#This Row],[turno]],lista_no_disponible,0))),0,p_horas_jornada)</f>
        <v/>
      </c>
      <c r="I142" s="3">
        <f>tblAsignaciones[[#This Row],[semana]]&amp;"|"&amp;tblAsignaciones[[#This Row],[dia]]&amp;"|"&amp;tblAsignaciones[[#This Row],[tecnico]]</f>
        <v/>
      </c>
    </row>
    <row r="143">
      <c r="A143" s="3" t="inlineStr">
        <is>
          <t>S29</t>
        </is>
      </c>
      <c r="B143" s="3" t="inlineStr">
        <is>
          <t>domingo</t>
        </is>
      </c>
      <c r="C143" s="3" t="inlineStr">
        <is>
          <t>Técnico 08</t>
        </is>
      </c>
      <c r="D143" s="3">
        <f>_xlfn.XLOOKUP(tblAsignaciones[[#This Row],[tecnico]],tblTecnicos[nombre],tblTecnicos[area],"")</f>
        <v/>
      </c>
      <c r="E143" s="3">
        <f>_xlfn.XLOOKUP(tblAsignaciones[[#This Row],[tecnico]],tblTecnicos[nombre],tblTecnicos[especialidad],"")</f>
        <v/>
      </c>
      <c r="F143" s="6" t="inlineStr"/>
      <c r="G143" s="3">
        <f>_xlfn.XLOOKUP(tblAsignaciones[[#This Row],[tecnico]],tblTecnicos[nombre],tblTecnicos[coordinador],"")</f>
        <v/>
      </c>
      <c r="H143" s="3">
        <f>IF(OR(tblAsignaciones[[#This Row],[turno]]="",ISNUMBER(MATCH(tblAsignaciones[[#This Row],[turno]],lista_no_disponible,0))),0,p_horas_jornada)</f>
        <v/>
      </c>
      <c r="I143" s="3">
        <f>tblAsignaciones[[#This Row],[semana]]&amp;"|"&amp;tblAsignaciones[[#This Row],[dia]]&amp;"|"&amp;tblAsignaciones[[#This Row],[tecnico]]</f>
        <v/>
      </c>
    </row>
    <row r="144">
      <c r="A144" s="3" t="inlineStr">
        <is>
          <t>S29</t>
        </is>
      </c>
      <c r="B144" s="3" t="inlineStr">
        <is>
          <t>lunes</t>
        </is>
      </c>
      <c r="C144" s="3" t="inlineStr">
        <is>
          <t>Técnico 09</t>
        </is>
      </c>
      <c r="D144" s="3">
        <f>_xlfn.XLOOKUP(tblAsignaciones[[#This Row],[tecnico]],tblTecnicos[nombre],tblTecnicos[area],"")</f>
        <v/>
      </c>
      <c r="E144" s="3">
        <f>_xlfn.XLOOKUP(tblAsignaciones[[#This Row],[tecnico]],tblTecnicos[nombre],tblTecnicos[especialidad],"")</f>
        <v/>
      </c>
      <c r="F144" s="6" t="inlineStr">
        <is>
          <t>T1</t>
        </is>
      </c>
      <c r="G144" s="3">
        <f>_xlfn.XLOOKUP(tblAsignaciones[[#This Row],[tecnico]],tblTecnicos[nombre],tblTecnicos[coordinador],"")</f>
        <v/>
      </c>
      <c r="H144" s="3">
        <f>IF(OR(tblAsignaciones[[#This Row],[turno]]="",ISNUMBER(MATCH(tblAsignaciones[[#This Row],[turno]],lista_no_disponible,0))),0,p_horas_jornada)</f>
        <v/>
      </c>
      <c r="I144" s="3">
        <f>tblAsignaciones[[#This Row],[semana]]&amp;"|"&amp;tblAsignaciones[[#This Row],[dia]]&amp;"|"&amp;tblAsignaciones[[#This Row],[tecnico]]</f>
        <v/>
      </c>
    </row>
    <row r="145">
      <c r="A145" s="3" t="inlineStr">
        <is>
          <t>S29</t>
        </is>
      </c>
      <c r="B145" s="3" t="inlineStr">
        <is>
          <t>martes</t>
        </is>
      </c>
      <c r="C145" s="3" t="inlineStr">
        <is>
          <t>Técnico 09</t>
        </is>
      </c>
      <c r="D145" s="3">
        <f>_xlfn.XLOOKUP(tblAsignaciones[[#This Row],[tecnico]],tblTecnicos[nombre],tblTecnicos[area],"")</f>
        <v/>
      </c>
      <c r="E145" s="3">
        <f>_xlfn.XLOOKUP(tblAsignaciones[[#This Row],[tecnico]],tblTecnicos[nombre],tblTecnicos[especialidad],"")</f>
        <v/>
      </c>
      <c r="F145" s="6" t="inlineStr">
        <is>
          <t>T1</t>
        </is>
      </c>
      <c r="G145" s="3">
        <f>_xlfn.XLOOKUP(tblAsignaciones[[#This Row],[tecnico]],tblTecnicos[nombre],tblTecnicos[coordinador],"")</f>
        <v/>
      </c>
      <c r="H145" s="3">
        <f>IF(OR(tblAsignaciones[[#This Row],[turno]]="",ISNUMBER(MATCH(tblAsignaciones[[#This Row],[turno]],lista_no_disponible,0))),0,p_horas_jornada)</f>
        <v/>
      </c>
      <c r="I145" s="3">
        <f>tblAsignaciones[[#This Row],[semana]]&amp;"|"&amp;tblAsignaciones[[#This Row],[dia]]&amp;"|"&amp;tblAsignaciones[[#This Row],[tecnico]]</f>
        <v/>
      </c>
    </row>
    <row r="146">
      <c r="A146" s="3" t="inlineStr">
        <is>
          <t>S29</t>
        </is>
      </c>
      <c r="B146" s="3" t="inlineStr">
        <is>
          <t>miércoles</t>
        </is>
      </c>
      <c r="C146" s="3" t="inlineStr">
        <is>
          <t>Técnico 09</t>
        </is>
      </c>
      <c r="D146" s="3">
        <f>_xlfn.XLOOKUP(tblAsignaciones[[#This Row],[tecnico]],tblTecnicos[nombre],tblTecnicos[area],"")</f>
        <v/>
      </c>
      <c r="E146" s="3">
        <f>_xlfn.XLOOKUP(tblAsignaciones[[#This Row],[tecnico]],tblTecnicos[nombre],tblTecnicos[especialidad],"")</f>
        <v/>
      </c>
      <c r="F146" s="6" t="inlineStr">
        <is>
          <t>T1</t>
        </is>
      </c>
      <c r="G146" s="3">
        <f>_xlfn.XLOOKUP(tblAsignaciones[[#This Row],[tecnico]],tblTecnicos[nombre],tblTecnicos[coordinador],"")</f>
        <v/>
      </c>
      <c r="H146" s="3">
        <f>IF(OR(tblAsignaciones[[#This Row],[turno]]="",ISNUMBER(MATCH(tblAsignaciones[[#This Row],[turno]],lista_no_disponible,0))),0,p_horas_jornada)</f>
        <v/>
      </c>
      <c r="I146" s="3">
        <f>tblAsignaciones[[#This Row],[semana]]&amp;"|"&amp;tblAsignaciones[[#This Row],[dia]]&amp;"|"&amp;tblAsignaciones[[#This Row],[tecnico]]</f>
        <v/>
      </c>
    </row>
    <row r="147">
      <c r="A147" s="3" t="inlineStr">
        <is>
          <t>S29</t>
        </is>
      </c>
      <c r="B147" s="3" t="inlineStr">
        <is>
          <t>jueves</t>
        </is>
      </c>
      <c r="C147" s="3" t="inlineStr">
        <is>
          <t>Técnico 09</t>
        </is>
      </c>
      <c r="D147" s="3">
        <f>_xlfn.XLOOKUP(tblAsignaciones[[#This Row],[tecnico]],tblTecnicos[nombre],tblTecnicos[area],"")</f>
        <v/>
      </c>
      <c r="E147" s="3">
        <f>_xlfn.XLOOKUP(tblAsignaciones[[#This Row],[tecnico]],tblTecnicos[nombre],tblTecnicos[especialidad],"")</f>
        <v/>
      </c>
      <c r="F147" s="6" t="inlineStr">
        <is>
          <t>T1</t>
        </is>
      </c>
      <c r="G147" s="3">
        <f>_xlfn.XLOOKUP(tblAsignaciones[[#This Row],[tecnico]],tblTecnicos[nombre],tblTecnicos[coordinador],"")</f>
        <v/>
      </c>
      <c r="H147" s="3">
        <f>IF(OR(tblAsignaciones[[#This Row],[turno]]="",ISNUMBER(MATCH(tblAsignaciones[[#This Row],[turno]],lista_no_disponible,0))),0,p_horas_jornada)</f>
        <v/>
      </c>
      <c r="I147" s="3">
        <f>tblAsignaciones[[#This Row],[semana]]&amp;"|"&amp;tblAsignaciones[[#This Row],[dia]]&amp;"|"&amp;tblAsignaciones[[#This Row],[tecnico]]</f>
        <v/>
      </c>
    </row>
    <row r="148">
      <c r="A148" s="3" t="inlineStr">
        <is>
          <t>S29</t>
        </is>
      </c>
      <c r="B148" s="3" t="inlineStr">
        <is>
          <t>viernes</t>
        </is>
      </c>
      <c r="C148" s="3" t="inlineStr">
        <is>
          <t>Técnico 09</t>
        </is>
      </c>
      <c r="D148" s="3">
        <f>_xlfn.XLOOKUP(tblAsignaciones[[#This Row],[tecnico]],tblTecnicos[nombre],tblTecnicos[area],"")</f>
        <v/>
      </c>
      <c r="E148" s="3">
        <f>_xlfn.XLOOKUP(tblAsignaciones[[#This Row],[tecnico]],tblTecnicos[nombre],tblTecnicos[especialidad],"")</f>
        <v/>
      </c>
      <c r="F148" s="6" t="inlineStr">
        <is>
          <t>T1</t>
        </is>
      </c>
      <c r="G148" s="3">
        <f>_xlfn.XLOOKUP(tblAsignaciones[[#This Row],[tecnico]],tblTecnicos[nombre],tblTecnicos[coordinador],"")</f>
        <v/>
      </c>
      <c r="H148" s="3">
        <f>IF(OR(tblAsignaciones[[#This Row],[turno]]="",ISNUMBER(MATCH(tblAsignaciones[[#This Row],[turno]],lista_no_disponible,0))),0,p_horas_jornada)</f>
        <v/>
      </c>
      <c r="I148" s="3">
        <f>tblAsignaciones[[#This Row],[semana]]&amp;"|"&amp;tblAsignaciones[[#This Row],[dia]]&amp;"|"&amp;tblAsignaciones[[#This Row],[tecnico]]</f>
        <v/>
      </c>
    </row>
    <row r="149">
      <c r="A149" s="3" t="inlineStr">
        <is>
          <t>S29</t>
        </is>
      </c>
      <c r="B149" s="3" t="inlineStr">
        <is>
          <t>sábado</t>
        </is>
      </c>
      <c r="C149" s="3" t="inlineStr">
        <is>
          <t>Técnico 09</t>
        </is>
      </c>
      <c r="D149" s="3">
        <f>_xlfn.XLOOKUP(tblAsignaciones[[#This Row],[tecnico]],tblTecnicos[nombre],tblTecnicos[area],"")</f>
        <v/>
      </c>
      <c r="E149" s="3">
        <f>_xlfn.XLOOKUP(tblAsignaciones[[#This Row],[tecnico]],tblTecnicos[nombre],tblTecnicos[especialidad],"")</f>
        <v/>
      </c>
      <c r="F149" s="6" t="inlineStr"/>
      <c r="G149" s="3">
        <f>_xlfn.XLOOKUP(tblAsignaciones[[#This Row],[tecnico]],tblTecnicos[nombre],tblTecnicos[coordinador],"")</f>
        <v/>
      </c>
      <c r="H149" s="3">
        <f>IF(OR(tblAsignaciones[[#This Row],[turno]]="",ISNUMBER(MATCH(tblAsignaciones[[#This Row],[turno]],lista_no_disponible,0))),0,p_horas_jornada)</f>
        <v/>
      </c>
      <c r="I149" s="3">
        <f>tblAsignaciones[[#This Row],[semana]]&amp;"|"&amp;tblAsignaciones[[#This Row],[dia]]&amp;"|"&amp;tblAsignaciones[[#This Row],[tecnico]]</f>
        <v/>
      </c>
    </row>
    <row r="150">
      <c r="A150" s="3" t="inlineStr">
        <is>
          <t>S29</t>
        </is>
      </c>
      <c r="B150" s="3" t="inlineStr">
        <is>
          <t>domingo</t>
        </is>
      </c>
      <c r="C150" s="3" t="inlineStr">
        <is>
          <t>Técnico 09</t>
        </is>
      </c>
      <c r="D150" s="3">
        <f>_xlfn.XLOOKUP(tblAsignaciones[[#This Row],[tecnico]],tblTecnicos[nombre],tblTecnicos[area],"")</f>
        <v/>
      </c>
      <c r="E150" s="3">
        <f>_xlfn.XLOOKUP(tblAsignaciones[[#This Row],[tecnico]],tblTecnicos[nombre],tblTecnicos[especialidad],"")</f>
        <v/>
      </c>
      <c r="F150" s="6" t="inlineStr"/>
      <c r="G150" s="3">
        <f>_xlfn.XLOOKUP(tblAsignaciones[[#This Row],[tecnico]],tblTecnicos[nombre],tblTecnicos[coordinador],"")</f>
        <v/>
      </c>
      <c r="H150" s="3">
        <f>IF(OR(tblAsignaciones[[#This Row],[turno]]="",ISNUMBER(MATCH(tblAsignaciones[[#This Row],[turno]],lista_no_disponible,0))),0,p_horas_jornada)</f>
        <v/>
      </c>
      <c r="I150" s="3">
        <f>tblAsignaciones[[#This Row],[semana]]&amp;"|"&amp;tblAsignaciones[[#This Row],[dia]]&amp;"|"&amp;tblAsignaciones[[#This Row],[tecnico]]</f>
        <v/>
      </c>
    </row>
    <row r="151">
      <c r="A151" s="3" t="inlineStr">
        <is>
          <t>S29</t>
        </is>
      </c>
      <c r="B151" s="3" t="inlineStr">
        <is>
          <t>lunes</t>
        </is>
      </c>
      <c r="C151" s="3" t="inlineStr">
        <is>
          <t>Técnico 10</t>
        </is>
      </c>
      <c r="D151" s="3">
        <f>_xlfn.XLOOKUP(tblAsignaciones[[#This Row],[tecnico]],tblTecnicos[nombre],tblTecnicos[area],"")</f>
        <v/>
      </c>
      <c r="E151" s="3">
        <f>_xlfn.XLOOKUP(tblAsignaciones[[#This Row],[tecnico]],tblTecnicos[nombre],tblTecnicos[especialidad],"")</f>
        <v/>
      </c>
      <c r="F151" s="6" t="inlineStr">
        <is>
          <t>B1</t>
        </is>
      </c>
      <c r="G151" s="3">
        <f>_xlfn.XLOOKUP(tblAsignaciones[[#This Row],[tecnico]],tblTecnicos[nombre],tblTecnicos[coordinador],"")</f>
        <v/>
      </c>
      <c r="H151" s="3">
        <f>IF(OR(tblAsignaciones[[#This Row],[turno]]="",ISNUMBER(MATCH(tblAsignaciones[[#This Row],[turno]],lista_no_disponible,0))),0,p_horas_jornada)</f>
        <v/>
      </c>
      <c r="I151" s="3">
        <f>tblAsignaciones[[#This Row],[semana]]&amp;"|"&amp;tblAsignaciones[[#This Row],[dia]]&amp;"|"&amp;tblAsignaciones[[#This Row],[tecnico]]</f>
        <v/>
      </c>
    </row>
    <row r="152">
      <c r="A152" s="3" t="inlineStr">
        <is>
          <t>S29</t>
        </is>
      </c>
      <c r="B152" s="3" t="inlineStr">
        <is>
          <t>martes</t>
        </is>
      </c>
      <c r="C152" s="3" t="inlineStr">
        <is>
          <t>Técnico 10</t>
        </is>
      </c>
      <c r="D152" s="3">
        <f>_xlfn.XLOOKUP(tblAsignaciones[[#This Row],[tecnico]],tblTecnicos[nombre],tblTecnicos[area],"")</f>
        <v/>
      </c>
      <c r="E152" s="3">
        <f>_xlfn.XLOOKUP(tblAsignaciones[[#This Row],[tecnico]],tblTecnicos[nombre],tblTecnicos[especialidad],"")</f>
        <v/>
      </c>
      <c r="F152" s="6" t="inlineStr">
        <is>
          <t>B1</t>
        </is>
      </c>
      <c r="G152" s="3">
        <f>_xlfn.XLOOKUP(tblAsignaciones[[#This Row],[tecnico]],tblTecnicos[nombre],tblTecnicos[coordinador],"")</f>
        <v/>
      </c>
      <c r="H152" s="3">
        <f>IF(OR(tblAsignaciones[[#This Row],[turno]]="",ISNUMBER(MATCH(tblAsignaciones[[#This Row],[turno]],lista_no_disponible,0))),0,p_horas_jornada)</f>
        <v/>
      </c>
      <c r="I152" s="3">
        <f>tblAsignaciones[[#This Row],[semana]]&amp;"|"&amp;tblAsignaciones[[#This Row],[dia]]&amp;"|"&amp;tblAsignaciones[[#This Row],[tecnico]]</f>
        <v/>
      </c>
    </row>
    <row r="153">
      <c r="A153" s="3" t="inlineStr">
        <is>
          <t>S29</t>
        </is>
      </c>
      <c r="B153" s="3" t="inlineStr">
        <is>
          <t>miércoles</t>
        </is>
      </c>
      <c r="C153" s="3" t="inlineStr">
        <is>
          <t>Técnico 10</t>
        </is>
      </c>
      <c r="D153" s="3">
        <f>_xlfn.XLOOKUP(tblAsignaciones[[#This Row],[tecnico]],tblTecnicos[nombre],tblTecnicos[area],"")</f>
        <v/>
      </c>
      <c r="E153" s="3">
        <f>_xlfn.XLOOKUP(tblAsignaciones[[#This Row],[tecnico]],tblTecnicos[nombre],tblTecnicos[especialidad],"")</f>
        <v/>
      </c>
      <c r="F153" s="6" t="inlineStr">
        <is>
          <t>B1</t>
        </is>
      </c>
      <c r="G153" s="3">
        <f>_xlfn.XLOOKUP(tblAsignaciones[[#This Row],[tecnico]],tblTecnicos[nombre],tblTecnicos[coordinador],"")</f>
        <v/>
      </c>
      <c r="H153" s="3">
        <f>IF(OR(tblAsignaciones[[#This Row],[turno]]="",ISNUMBER(MATCH(tblAsignaciones[[#This Row],[turno]],lista_no_disponible,0))),0,p_horas_jornada)</f>
        <v/>
      </c>
      <c r="I153" s="3">
        <f>tblAsignaciones[[#This Row],[semana]]&amp;"|"&amp;tblAsignaciones[[#This Row],[dia]]&amp;"|"&amp;tblAsignaciones[[#This Row],[tecnico]]</f>
        <v/>
      </c>
    </row>
    <row r="154">
      <c r="A154" s="3" t="inlineStr">
        <is>
          <t>S29</t>
        </is>
      </c>
      <c r="B154" s="3" t="inlineStr">
        <is>
          <t>jueves</t>
        </is>
      </c>
      <c r="C154" s="3" t="inlineStr">
        <is>
          <t>Técnico 10</t>
        </is>
      </c>
      <c r="D154" s="3">
        <f>_xlfn.XLOOKUP(tblAsignaciones[[#This Row],[tecnico]],tblTecnicos[nombre],tblTecnicos[area],"")</f>
        <v/>
      </c>
      <c r="E154" s="3">
        <f>_xlfn.XLOOKUP(tblAsignaciones[[#This Row],[tecnico]],tblTecnicos[nombre],tblTecnicos[especialidad],"")</f>
        <v/>
      </c>
      <c r="F154" s="6" t="inlineStr">
        <is>
          <t>B1</t>
        </is>
      </c>
      <c r="G154" s="3">
        <f>_xlfn.XLOOKUP(tblAsignaciones[[#This Row],[tecnico]],tblTecnicos[nombre],tblTecnicos[coordinador],"")</f>
        <v/>
      </c>
      <c r="H154" s="3">
        <f>IF(OR(tblAsignaciones[[#This Row],[turno]]="",ISNUMBER(MATCH(tblAsignaciones[[#This Row],[turno]],lista_no_disponible,0))),0,p_horas_jornada)</f>
        <v/>
      </c>
      <c r="I154" s="3">
        <f>tblAsignaciones[[#This Row],[semana]]&amp;"|"&amp;tblAsignaciones[[#This Row],[dia]]&amp;"|"&amp;tblAsignaciones[[#This Row],[tecnico]]</f>
        <v/>
      </c>
    </row>
    <row r="155">
      <c r="A155" s="3" t="inlineStr">
        <is>
          <t>S29</t>
        </is>
      </c>
      <c r="B155" s="3" t="inlineStr">
        <is>
          <t>viernes</t>
        </is>
      </c>
      <c r="C155" s="3" t="inlineStr">
        <is>
          <t>Técnico 10</t>
        </is>
      </c>
      <c r="D155" s="3">
        <f>_xlfn.XLOOKUP(tblAsignaciones[[#This Row],[tecnico]],tblTecnicos[nombre],tblTecnicos[area],"")</f>
        <v/>
      </c>
      <c r="E155" s="3">
        <f>_xlfn.XLOOKUP(tblAsignaciones[[#This Row],[tecnico]],tblTecnicos[nombre],tblTecnicos[especialidad],"")</f>
        <v/>
      </c>
      <c r="F155" s="6" t="inlineStr">
        <is>
          <t>B1</t>
        </is>
      </c>
      <c r="G155" s="3">
        <f>_xlfn.XLOOKUP(tblAsignaciones[[#This Row],[tecnico]],tblTecnicos[nombre],tblTecnicos[coordinador],"")</f>
        <v/>
      </c>
      <c r="H155" s="3">
        <f>IF(OR(tblAsignaciones[[#This Row],[turno]]="",ISNUMBER(MATCH(tblAsignaciones[[#This Row],[turno]],lista_no_disponible,0))),0,p_horas_jornada)</f>
        <v/>
      </c>
      <c r="I155" s="3">
        <f>tblAsignaciones[[#This Row],[semana]]&amp;"|"&amp;tblAsignaciones[[#This Row],[dia]]&amp;"|"&amp;tblAsignaciones[[#This Row],[tecnico]]</f>
        <v/>
      </c>
    </row>
    <row r="156">
      <c r="A156" s="3" t="inlineStr">
        <is>
          <t>S29</t>
        </is>
      </c>
      <c r="B156" s="3" t="inlineStr">
        <is>
          <t>sábado</t>
        </is>
      </c>
      <c r="C156" s="3" t="inlineStr">
        <is>
          <t>Técnico 10</t>
        </is>
      </c>
      <c r="D156" s="3">
        <f>_xlfn.XLOOKUP(tblAsignaciones[[#This Row],[tecnico]],tblTecnicos[nombre],tblTecnicos[area],"")</f>
        <v/>
      </c>
      <c r="E156" s="3">
        <f>_xlfn.XLOOKUP(tblAsignaciones[[#This Row],[tecnico]],tblTecnicos[nombre],tblTecnicos[especialidad],"")</f>
        <v/>
      </c>
      <c r="F156" s="6" t="inlineStr"/>
      <c r="G156" s="3">
        <f>_xlfn.XLOOKUP(tblAsignaciones[[#This Row],[tecnico]],tblTecnicos[nombre],tblTecnicos[coordinador],"")</f>
        <v/>
      </c>
      <c r="H156" s="3">
        <f>IF(OR(tblAsignaciones[[#This Row],[turno]]="",ISNUMBER(MATCH(tblAsignaciones[[#This Row],[turno]],lista_no_disponible,0))),0,p_horas_jornada)</f>
        <v/>
      </c>
      <c r="I156" s="3">
        <f>tblAsignaciones[[#This Row],[semana]]&amp;"|"&amp;tblAsignaciones[[#This Row],[dia]]&amp;"|"&amp;tblAsignaciones[[#This Row],[tecnico]]</f>
        <v/>
      </c>
    </row>
    <row r="157">
      <c r="A157" s="3" t="inlineStr">
        <is>
          <t>S29</t>
        </is>
      </c>
      <c r="B157" s="3" t="inlineStr">
        <is>
          <t>domingo</t>
        </is>
      </c>
      <c r="C157" s="3" t="inlineStr">
        <is>
          <t>Técnico 10</t>
        </is>
      </c>
      <c r="D157" s="3">
        <f>_xlfn.XLOOKUP(tblAsignaciones[[#This Row],[tecnico]],tblTecnicos[nombre],tblTecnicos[area],"")</f>
        <v/>
      </c>
      <c r="E157" s="3">
        <f>_xlfn.XLOOKUP(tblAsignaciones[[#This Row],[tecnico]],tblTecnicos[nombre],tblTecnicos[especialidad],"")</f>
        <v/>
      </c>
      <c r="F157" s="6" t="inlineStr"/>
      <c r="G157" s="3">
        <f>_xlfn.XLOOKUP(tblAsignaciones[[#This Row],[tecnico]],tblTecnicos[nombre],tblTecnicos[coordinador],"")</f>
        <v/>
      </c>
      <c r="H157" s="3">
        <f>IF(OR(tblAsignaciones[[#This Row],[turno]]="",ISNUMBER(MATCH(tblAsignaciones[[#This Row],[turno]],lista_no_disponible,0))),0,p_horas_jornada)</f>
        <v/>
      </c>
      <c r="I157" s="3">
        <f>tblAsignaciones[[#This Row],[semana]]&amp;"|"&amp;tblAsignaciones[[#This Row],[dia]]&amp;"|"&amp;tblAsignaciones[[#This Row],[tecnico]]</f>
        <v/>
      </c>
    </row>
    <row r="158">
      <c r="A158" s="3" t="inlineStr">
        <is>
          <t>S29</t>
        </is>
      </c>
      <c r="B158" s="3" t="inlineStr">
        <is>
          <t>lunes</t>
        </is>
      </c>
      <c r="C158" s="3" t="inlineStr">
        <is>
          <t>Técnico 11</t>
        </is>
      </c>
      <c r="D158" s="3">
        <f>_xlfn.XLOOKUP(tblAsignaciones[[#This Row],[tecnico]],tblTecnicos[nombre],tblTecnicos[area],"")</f>
        <v/>
      </c>
      <c r="E158" s="3">
        <f>_xlfn.XLOOKUP(tblAsignaciones[[#This Row],[tecnico]],tblTecnicos[nombre],tblTecnicos[especialidad],"")</f>
        <v/>
      </c>
      <c r="F158" s="6" t="inlineStr">
        <is>
          <t>T1</t>
        </is>
      </c>
      <c r="G158" s="3">
        <f>_xlfn.XLOOKUP(tblAsignaciones[[#This Row],[tecnico]],tblTecnicos[nombre],tblTecnicos[coordinador],"")</f>
        <v/>
      </c>
      <c r="H158" s="3">
        <f>IF(OR(tblAsignaciones[[#This Row],[turno]]="",ISNUMBER(MATCH(tblAsignaciones[[#This Row],[turno]],lista_no_disponible,0))),0,p_horas_jornada)</f>
        <v/>
      </c>
      <c r="I158" s="3">
        <f>tblAsignaciones[[#This Row],[semana]]&amp;"|"&amp;tblAsignaciones[[#This Row],[dia]]&amp;"|"&amp;tblAsignaciones[[#This Row],[tecnico]]</f>
        <v/>
      </c>
    </row>
    <row r="159">
      <c r="A159" s="3" t="inlineStr">
        <is>
          <t>S29</t>
        </is>
      </c>
      <c r="B159" s="3" t="inlineStr">
        <is>
          <t>martes</t>
        </is>
      </c>
      <c r="C159" s="3" t="inlineStr">
        <is>
          <t>Técnico 11</t>
        </is>
      </c>
      <c r="D159" s="3">
        <f>_xlfn.XLOOKUP(tblAsignaciones[[#This Row],[tecnico]],tblTecnicos[nombre],tblTecnicos[area],"")</f>
        <v/>
      </c>
      <c r="E159" s="3">
        <f>_xlfn.XLOOKUP(tblAsignaciones[[#This Row],[tecnico]],tblTecnicos[nombre],tblTecnicos[especialidad],"")</f>
        <v/>
      </c>
      <c r="F159" s="6" t="inlineStr">
        <is>
          <t>T1</t>
        </is>
      </c>
      <c r="G159" s="3">
        <f>_xlfn.XLOOKUP(tblAsignaciones[[#This Row],[tecnico]],tblTecnicos[nombre],tblTecnicos[coordinador],"")</f>
        <v/>
      </c>
      <c r="H159" s="3">
        <f>IF(OR(tblAsignaciones[[#This Row],[turno]]="",ISNUMBER(MATCH(tblAsignaciones[[#This Row],[turno]],lista_no_disponible,0))),0,p_horas_jornada)</f>
        <v/>
      </c>
      <c r="I159" s="3">
        <f>tblAsignaciones[[#This Row],[semana]]&amp;"|"&amp;tblAsignaciones[[#This Row],[dia]]&amp;"|"&amp;tblAsignaciones[[#This Row],[tecnico]]</f>
        <v/>
      </c>
    </row>
    <row r="160">
      <c r="A160" s="3" t="inlineStr">
        <is>
          <t>S29</t>
        </is>
      </c>
      <c r="B160" s="3" t="inlineStr">
        <is>
          <t>miércoles</t>
        </is>
      </c>
      <c r="C160" s="3" t="inlineStr">
        <is>
          <t>Técnico 11</t>
        </is>
      </c>
      <c r="D160" s="3">
        <f>_xlfn.XLOOKUP(tblAsignaciones[[#This Row],[tecnico]],tblTecnicos[nombre],tblTecnicos[area],"")</f>
        <v/>
      </c>
      <c r="E160" s="3">
        <f>_xlfn.XLOOKUP(tblAsignaciones[[#This Row],[tecnico]],tblTecnicos[nombre],tblTecnicos[especialidad],"")</f>
        <v/>
      </c>
      <c r="F160" s="6" t="inlineStr">
        <is>
          <t>T1</t>
        </is>
      </c>
      <c r="G160" s="3">
        <f>_xlfn.XLOOKUP(tblAsignaciones[[#This Row],[tecnico]],tblTecnicos[nombre],tblTecnicos[coordinador],"")</f>
        <v/>
      </c>
      <c r="H160" s="3">
        <f>IF(OR(tblAsignaciones[[#This Row],[turno]]="",ISNUMBER(MATCH(tblAsignaciones[[#This Row],[turno]],lista_no_disponible,0))),0,p_horas_jornada)</f>
        <v/>
      </c>
      <c r="I160" s="3">
        <f>tblAsignaciones[[#This Row],[semana]]&amp;"|"&amp;tblAsignaciones[[#This Row],[dia]]&amp;"|"&amp;tblAsignaciones[[#This Row],[tecnico]]</f>
        <v/>
      </c>
    </row>
    <row r="161">
      <c r="A161" s="3" t="inlineStr">
        <is>
          <t>S29</t>
        </is>
      </c>
      <c r="B161" s="3" t="inlineStr">
        <is>
          <t>jueves</t>
        </is>
      </c>
      <c r="C161" s="3" t="inlineStr">
        <is>
          <t>Técnico 11</t>
        </is>
      </c>
      <c r="D161" s="3">
        <f>_xlfn.XLOOKUP(tblAsignaciones[[#This Row],[tecnico]],tblTecnicos[nombre],tblTecnicos[area],"")</f>
        <v/>
      </c>
      <c r="E161" s="3">
        <f>_xlfn.XLOOKUP(tblAsignaciones[[#This Row],[tecnico]],tblTecnicos[nombre],tblTecnicos[especialidad],"")</f>
        <v/>
      </c>
      <c r="F161" s="6" t="inlineStr">
        <is>
          <t>T1</t>
        </is>
      </c>
      <c r="G161" s="3">
        <f>_xlfn.XLOOKUP(tblAsignaciones[[#This Row],[tecnico]],tblTecnicos[nombre],tblTecnicos[coordinador],"")</f>
        <v/>
      </c>
      <c r="H161" s="3">
        <f>IF(OR(tblAsignaciones[[#This Row],[turno]]="",ISNUMBER(MATCH(tblAsignaciones[[#This Row],[turno]],lista_no_disponible,0))),0,p_horas_jornada)</f>
        <v/>
      </c>
      <c r="I161" s="3">
        <f>tblAsignaciones[[#This Row],[semana]]&amp;"|"&amp;tblAsignaciones[[#This Row],[dia]]&amp;"|"&amp;tblAsignaciones[[#This Row],[tecnico]]</f>
        <v/>
      </c>
    </row>
    <row r="162">
      <c r="A162" s="3" t="inlineStr">
        <is>
          <t>S29</t>
        </is>
      </c>
      <c r="B162" s="3" t="inlineStr">
        <is>
          <t>viernes</t>
        </is>
      </c>
      <c r="C162" s="3" t="inlineStr">
        <is>
          <t>Técnico 11</t>
        </is>
      </c>
      <c r="D162" s="3">
        <f>_xlfn.XLOOKUP(tblAsignaciones[[#This Row],[tecnico]],tblTecnicos[nombre],tblTecnicos[area],"")</f>
        <v/>
      </c>
      <c r="E162" s="3">
        <f>_xlfn.XLOOKUP(tblAsignaciones[[#This Row],[tecnico]],tblTecnicos[nombre],tblTecnicos[especialidad],"")</f>
        <v/>
      </c>
      <c r="F162" s="6" t="inlineStr">
        <is>
          <t>T1</t>
        </is>
      </c>
      <c r="G162" s="3">
        <f>_xlfn.XLOOKUP(tblAsignaciones[[#This Row],[tecnico]],tblTecnicos[nombre],tblTecnicos[coordinador],"")</f>
        <v/>
      </c>
      <c r="H162" s="3">
        <f>IF(OR(tblAsignaciones[[#This Row],[turno]]="",ISNUMBER(MATCH(tblAsignaciones[[#This Row],[turno]],lista_no_disponible,0))),0,p_horas_jornada)</f>
        <v/>
      </c>
      <c r="I162" s="3">
        <f>tblAsignaciones[[#This Row],[semana]]&amp;"|"&amp;tblAsignaciones[[#This Row],[dia]]&amp;"|"&amp;tblAsignaciones[[#This Row],[tecnico]]</f>
        <v/>
      </c>
    </row>
    <row r="163">
      <c r="A163" s="3" t="inlineStr">
        <is>
          <t>S29</t>
        </is>
      </c>
      <c r="B163" s="3" t="inlineStr">
        <is>
          <t>sábado</t>
        </is>
      </c>
      <c r="C163" s="3" t="inlineStr">
        <is>
          <t>Técnico 11</t>
        </is>
      </c>
      <c r="D163" s="3">
        <f>_xlfn.XLOOKUP(tblAsignaciones[[#This Row],[tecnico]],tblTecnicos[nombre],tblTecnicos[area],"")</f>
        <v/>
      </c>
      <c r="E163" s="3">
        <f>_xlfn.XLOOKUP(tblAsignaciones[[#This Row],[tecnico]],tblTecnicos[nombre],tblTecnicos[especialidad],"")</f>
        <v/>
      </c>
      <c r="F163" s="6" t="inlineStr"/>
      <c r="G163" s="3">
        <f>_xlfn.XLOOKUP(tblAsignaciones[[#This Row],[tecnico]],tblTecnicos[nombre],tblTecnicos[coordinador],"")</f>
        <v/>
      </c>
      <c r="H163" s="3">
        <f>IF(OR(tblAsignaciones[[#This Row],[turno]]="",ISNUMBER(MATCH(tblAsignaciones[[#This Row],[turno]],lista_no_disponible,0))),0,p_horas_jornada)</f>
        <v/>
      </c>
      <c r="I163" s="3">
        <f>tblAsignaciones[[#This Row],[semana]]&amp;"|"&amp;tblAsignaciones[[#This Row],[dia]]&amp;"|"&amp;tblAsignaciones[[#This Row],[tecnico]]</f>
        <v/>
      </c>
    </row>
    <row r="164">
      <c r="A164" s="3" t="inlineStr">
        <is>
          <t>S29</t>
        </is>
      </c>
      <c r="B164" s="3" t="inlineStr">
        <is>
          <t>domingo</t>
        </is>
      </c>
      <c r="C164" s="3" t="inlineStr">
        <is>
          <t>Técnico 11</t>
        </is>
      </c>
      <c r="D164" s="3">
        <f>_xlfn.XLOOKUP(tblAsignaciones[[#This Row],[tecnico]],tblTecnicos[nombre],tblTecnicos[area],"")</f>
        <v/>
      </c>
      <c r="E164" s="3">
        <f>_xlfn.XLOOKUP(tblAsignaciones[[#This Row],[tecnico]],tblTecnicos[nombre],tblTecnicos[especialidad],"")</f>
        <v/>
      </c>
      <c r="F164" s="6" t="inlineStr"/>
      <c r="G164" s="3">
        <f>_xlfn.XLOOKUP(tblAsignaciones[[#This Row],[tecnico]],tblTecnicos[nombre],tblTecnicos[coordinador],"")</f>
        <v/>
      </c>
      <c r="H164" s="3">
        <f>IF(OR(tblAsignaciones[[#This Row],[turno]]="",ISNUMBER(MATCH(tblAsignaciones[[#This Row],[turno]],lista_no_disponible,0))),0,p_horas_jornada)</f>
        <v/>
      </c>
      <c r="I164" s="3">
        <f>tblAsignaciones[[#This Row],[semana]]&amp;"|"&amp;tblAsignaciones[[#This Row],[dia]]&amp;"|"&amp;tblAsignaciones[[#This Row],[tecnico]]</f>
        <v/>
      </c>
    </row>
    <row r="165">
      <c r="A165" s="3" t="inlineStr">
        <is>
          <t>S29</t>
        </is>
      </c>
      <c r="B165" s="3" t="inlineStr">
        <is>
          <t>lunes</t>
        </is>
      </c>
      <c r="C165" s="3" t="inlineStr">
        <is>
          <t>Técnico 12</t>
        </is>
      </c>
      <c r="D165" s="3">
        <f>_xlfn.XLOOKUP(tblAsignaciones[[#This Row],[tecnico]],tblTecnicos[nombre],tblTecnicos[area],"")</f>
        <v/>
      </c>
      <c r="E165" s="3">
        <f>_xlfn.XLOOKUP(tblAsignaciones[[#This Row],[tecnico]],tblTecnicos[nombre],tblTecnicos[especialidad],"")</f>
        <v/>
      </c>
      <c r="F165" s="6" t="inlineStr">
        <is>
          <t>T1</t>
        </is>
      </c>
      <c r="G165" s="3">
        <f>_xlfn.XLOOKUP(tblAsignaciones[[#This Row],[tecnico]],tblTecnicos[nombre],tblTecnicos[coordinador],"")</f>
        <v/>
      </c>
      <c r="H165" s="3">
        <f>IF(OR(tblAsignaciones[[#This Row],[turno]]="",ISNUMBER(MATCH(tblAsignaciones[[#This Row],[turno]],lista_no_disponible,0))),0,p_horas_jornada)</f>
        <v/>
      </c>
      <c r="I165" s="3">
        <f>tblAsignaciones[[#This Row],[semana]]&amp;"|"&amp;tblAsignaciones[[#This Row],[dia]]&amp;"|"&amp;tblAsignaciones[[#This Row],[tecnico]]</f>
        <v/>
      </c>
    </row>
    <row r="166">
      <c r="A166" s="3" t="inlineStr">
        <is>
          <t>S29</t>
        </is>
      </c>
      <c r="B166" s="3" t="inlineStr">
        <is>
          <t>martes</t>
        </is>
      </c>
      <c r="C166" s="3" t="inlineStr">
        <is>
          <t>Técnico 12</t>
        </is>
      </c>
      <c r="D166" s="3">
        <f>_xlfn.XLOOKUP(tblAsignaciones[[#This Row],[tecnico]],tblTecnicos[nombre],tblTecnicos[area],"")</f>
        <v/>
      </c>
      <c r="E166" s="3">
        <f>_xlfn.XLOOKUP(tblAsignaciones[[#This Row],[tecnico]],tblTecnicos[nombre],tblTecnicos[especialidad],"")</f>
        <v/>
      </c>
      <c r="F166" s="6" t="inlineStr">
        <is>
          <t>T1</t>
        </is>
      </c>
      <c r="G166" s="3">
        <f>_xlfn.XLOOKUP(tblAsignaciones[[#This Row],[tecnico]],tblTecnicos[nombre],tblTecnicos[coordinador],"")</f>
        <v/>
      </c>
      <c r="H166" s="3">
        <f>IF(OR(tblAsignaciones[[#This Row],[turno]]="",ISNUMBER(MATCH(tblAsignaciones[[#This Row],[turno]],lista_no_disponible,0))),0,p_horas_jornada)</f>
        <v/>
      </c>
      <c r="I166" s="3">
        <f>tblAsignaciones[[#This Row],[semana]]&amp;"|"&amp;tblAsignaciones[[#This Row],[dia]]&amp;"|"&amp;tblAsignaciones[[#This Row],[tecnico]]</f>
        <v/>
      </c>
    </row>
    <row r="167">
      <c r="A167" s="3" t="inlineStr">
        <is>
          <t>S29</t>
        </is>
      </c>
      <c r="B167" s="3" t="inlineStr">
        <is>
          <t>miércoles</t>
        </is>
      </c>
      <c r="C167" s="3" t="inlineStr">
        <is>
          <t>Técnico 12</t>
        </is>
      </c>
      <c r="D167" s="3">
        <f>_xlfn.XLOOKUP(tblAsignaciones[[#This Row],[tecnico]],tblTecnicos[nombre],tblTecnicos[area],"")</f>
        <v/>
      </c>
      <c r="E167" s="3">
        <f>_xlfn.XLOOKUP(tblAsignaciones[[#This Row],[tecnico]],tblTecnicos[nombre],tblTecnicos[especialidad],"")</f>
        <v/>
      </c>
      <c r="F167" s="6" t="inlineStr">
        <is>
          <t>T1</t>
        </is>
      </c>
      <c r="G167" s="3">
        <f>_xlfn.XLOOKUP(tblAsignaciones[[#This Row],[tecnico]],tblTecnicos[nombre],tblTecnicos[coordinador],"")</f>
        <v/>
      </c>
      <c r="H167" s="3">
        <f>IF(OR(tblAsignaciones[[#This Row],[turno]]="",ISNUMBER(MATCH(tblAsignaciones[[#This Row],[turno]],lista_no_disponible,0))),0,p_horas_jornada)</f>
        <v/>
      </c>
      <c r="I167" s="3">
        <f>tblAsignaciones[[#This Row],[semana]]&amp;"|"&amp;tblAsignaciones[[#This Row],[dia]]&amp;"|"&amp;tblAsignaciones[[#This Row],[tecnico]]</f>
        <v/>
      </c>
    </row>
    <row r="168">
      <c r="A168" s="3" t="inlineStr">
        <is>
          <t>S29</t>
        </is>
      </c>
      <c r="B168" s="3" t="inlineStr">
        <is>
          <t>jueves</t>
        </is>
      </c>
      <c r="C168" s="3" t="inlineStr">
        <is>
          <t>Técnico 12</t>
        </is>
      </c>
      <c r="D168" s="3">
        <f>_xlfn.XLOOKUP(tblAsignaciones[[#This Row],[tecnico]],tblTecnicos[nombre],tblTecnicos[area],"")</f>
        <v/>
      </c>
      <c r="E168" s="3">
        <f>_xlfn.XLOOKUP(tblAsignaciones[[#This Row],[tecnico]],tblTecnicos[nombre],tblTecnicos[especialidad],"")</f>
        <v/>
      </c>
      <c r="F168" s="6" t="inlineStr">
        <is>
          <t>T1</t>
        </is>
      </c>
      <c r="G168" s="3">
        <f>_xlfn.XLOOKUP(tblAsignaciones[[#This Row],[tecnico]],tblTecnicos[nombre],tblTecnicos[coordinador],"")</f>
        <v/>
      </c>
      <c r="H168" s="3">
        <f>IF(OR(tblAsignaciones[[#This Row],[turno]]="",ISNUMBER(MATCH(tblAsignaciones[[#This Row],[turno]],lista_no_disponible,0))),0,p_horas_jornada)</f>
        <v/>
      </c>
      <c r="I168" s="3">
        <f>tblAsignaciones[[#This Row],[semana]]&amp;"|"&amp;tblAsignaciones[[#This Row],[dia]]&amp;"|"&amp;tblAsignaciones[[#This Row],[tecnico]]</f>
        <v/>
      </c>
    </row>
    <row r="169">
      <c r="A169" s="3" t="inlineStr">
        <is>
          <t>S29</t>
        </is>
      </c>
      <c r="B169" s="3" t="inlineStr">
        <is>
          <t>viernes</t>
        </is>
      </c>
      <c r="C169" s="3" t="inlineStr">
        <is>
          <t>Técnico 12</t>
        </is>
      </c>
      <c r="D169" s="3">
        <f>_xlfn.XLOOKUP(tblAsignaciones[[#This Row],[tecnico]],tblTecnicos[nombre],tblTecnicos[area],"")</f>
        <v/>
      </c>
      <c r="E169" s="3">
        <f>_xlfn.XLOOKUP(tblAsignaciones[[#This Row],[tecnico]],tblTecnicos[nombre],tblTecnicos[especialidad],"")</f>
        <v/>
      </c>
      <c r="F169" s="6" t="inlineStr">
        <is>
          <t>T1</t>
        </is>
      </c>
      <c r="G169" s="3">
        <f>_xlfn.XLOOKUP(tblAsignaciones[[#This Row],[tecnico]],tblTecnicos[nombre],tblTecnicos[coordinador],"")</f>
        <v/>
      </c>
      <c r="H169" s="3">
        <f>IF(OR(tblAsignaciones[[#This Row],[turno]]="",ISNUMBER(MATCH(tblAsignaciones[[#This Row],[turno]],lista_no_disponible,0))),0,p_horas_jornada)</f>
        <v/>
      </c>
      <c r="I169" s="3">
        <f>tblAsignaciones[[#This Row],[semana]]&amp;"|"&amp;tblAsignaciones[[#This Row],[dia]]&amp;"|"&amp;tblAsignaciones[[#This Row],[tecnico]]</f>
        <v/>
      </c>
    </row>
    <row r="170">
      <c r="A170" s="3" t="inlineStr">
        <is>
          <t>S29</t>
        </is>
      </c>
      <c r="B170" s="3" t="inlineStr">
        <is>
          <t>sábado</t>
        </is>
      </c>
      <c r="C170" s="3" t="inlineStr">
        <is>
          <t>Técnico 12</t>
        </is>
      </c>
      <c r="D170" s="3">
        <f>_xlfn.XLOOKUP(tblAsignaciones[[#This Row],[tecnico]],tblTecnicos[nombre],tblTecnicos[area],"")</f>
        <v/>
      </c>
      <c r="E170" s="3">
        <f>_xlfn.XLOOKUP(tblAsignaciones[[#This Row],[tecnico]],tblTecnicos[nombre],tblTecnicos[especialidad],"")</f>
        <v/>
      </c>
      <c r="F170" s="6" t="inlineStr"/>
      <c r="G170" s="3">
        <f>_xlfn.XLOOKUP(tblAsignaciones[[#This Row],[tecnico]],tblTecnicos[nombre],tblTecnicos[coordinador],"")</f>
        <v/>
      </c>
      <c r="H170" s="3">
        <f>IF(OR(tblAsignaciones[[#This Row],[turno]]="",ISNUMBER(MATCH(tblAsignaciones[[#This Row],[turno]],lista_no_disponible,0))),0,p_horas_jornada)</f>
        <v/>
      </c>
      <c r="I170" s="3">
        <f>tblAsignaciones[[#This Row],[semana]]&amp;"|"&amp;tblAsignaciones[[#This Row],[dia]]&amp;"|"&amp;tblAsignaciones[[#This Row],[tecnico]]</f>
        <v/>
      </c>
    </row>
    <row r="171">
      <c r="A171" s="3" t="inlineStr">
        <is>
          <t>S29</t>
        </is>
      </c>
      <c r="B171" s="3" t="inlineStr">
        <is>
          <t>domingo</t>
        </is>
      </c>
      <c r="C171" s="3" t="inlineStr">
        <is>
          <t>Técnico 12</t>
        </is>
      </c>
      <c r="D171" s="3">
        <f>_xlfn.XLOOKUP(tblAsignaciones[[#This Row],[tecnico]],tblTecnicos[nombre],tblTecnicos[area],"")</f>
        <v/>
      </c>
      <c r="E171" s="3">
        <f>_xlfn.XLOOKUP(tblAsignaciones[[#This Row],[tecnico]],tblTecnicos[nombre],tblTecnicos[especialidad],"")</f>
        <v/>
      </c>
      <c r="F171" s="6" t="inlineStr"/>
      <c r="G171" s="3">
        <f>_xlfn.XLOOKUP(tblAsignaciones[[#This Row],[tecnico]],tblTecnicos[nombre],tblTecnicos[coordinador],"")</f>
        <v/>
      </c>
      <c r="H171" s="3">
        <f>IF(OR(tblAsignaciones[[#This Row],[turno]]="",ISNUMBER(MATCH(tblAsignaciones[[#This Row],[turno]],lista_no_disponible,0))),0,p_horas_jornada)</f>
        <v/>
      </c>
      <c r="I171" s="3">
        <f>tblAsignaciones[[#This Row],[semana]]&amp;"|"&amp;tblAsignaciones[[#This Row],[dia]]&amp;"|"&amp;tblAsignaciones[[#This Row],[tecnico]]</f>
        <v/>
      </c>
    </row>
    <row r="172">
      <c r="A172" s="3" t="inlineStr">
        <is>
          <t>S30</t>
        </is>
      </c>
      <c r="B172" s="3" t="inlineStr">
        <is>
          <t>lunes</t>
        </is>
      </c>
      <c r="C172" s="3" t="inlineStr">
        <is>
          <t>Técnico 01</t>
        </is>
      </c>
      <c r="D172" s="3">
        <f>_xlfn.XLOOKUP(tblAsignaciones[[#This Row],[tecnico]],tblTecnicos[nombre],tblTecnicos[area],"")</f>
        <v/>
      </c>
      <c r="E172" s="3">
        <f>_xlfn.XLOOKUP(tblAsignaciones[[#This Row],[tecnico]],tblTecnicos[nombre],tblTecnicos[especialidad],"")</f>
        <v/>
      </c>
      <c r="F172" s="6" t="inlineStr">
        <is>
          <t>T1</t>
        </is>
      </c>
      <c r="G172" s="3">
        <f>_xlfn.XLOOKUP(tblAsignaciones[[#This Row],[tecnico]],tblTecnicos[nombre],tblTecnicos[coordinador],"")</f>
        <v/>
      </c>
      <c r="H172" s="3">
        <f>IF(OR(tblAsignaciones[[#This Row],[turno]]="",ISNUMBER(MATCH(tblAsignaciones[[#This Row],[turno]],lista_no_disponible,0))),0,p_horas_jornada)</f>
        <v/>
      </c>
      <c r="I172" s="3">
        <f>tblAsignaciones[[#This Row],[semana]]&amp;"|"&amp;tblAsignaciones[[#This Row],[dia]]&amp;"|"&amp;tblAsignaciones[[#This Row],[tecnico]]</f>
        <v/>
      </c>
    </row>
    <row r="173">
      <c r="A173" s="3" t="inlineStr">
        <is>
          <t>S30</t>
        </is>
      </c>
      <c r="B173" s="3" t="inlineStr">
        <is>
          <t>martes</t>
        </is>
      </c>
      <c r="C173" s="3" t="inlineStr">
        <is>
          <t>Técnico 01</t>
        </is>
      </c>
      <c r="D173" s="3">
        <f>_xlfn.XLOOKUP(tblAsignaciones[[#This Row],[tecnico]],tblTecnicos[nombre],tblTecnicos[area],"")</f>
        <v/>
      </c>
      <c r="E173" s="3">
        <f>_xlfn.XLOOKUP(tblAsignaciones[[#This Row],[tecnico]],tblTecnicos[nombre],tblTecnicos[especialidad],"")</f>
        <v/>
      </c>
      <c r="F173" s="6" t="inlineStr">
        <is>
          <t>T1</t>
        </is>
      </c>
      <c r="G173" s="3">
        <f>_xlfn.XLOOKUP(tblAsignaciones[[#This Row],[tecnico]],tblTecnicos[nombre],tblTecnicos[coordinador],"")</f>
        <v/>
      </c>
      <c r="H173" s="3">
        <f>IF(OR(tblAsignaciones[[#This Row],[turno]]="",ISNUMBER(MATCH(tblAsignaciones[[#This Row],[turno]],lista_no_disponible,0))),0,p_horas_jornada)</f>
        <v/>
      </c>
      <c r="I173" s="3">
        <f>tblAsignaciones[[#This Row],[semana]]&amp;"|"&amp;tblAsignaciones[[#This Row],[dia]]&amp;"|"&amp;tblAsignaciones[[#This Row],[tecnico]]</f>
        <v/>
      </c>
    </row>
    <row r="174">
      <c r="A174" s="3" t="inlineStr">
        <is>
          <t>S30</t>
        </is>
      </c>
      <c r="B174" s="3" t="inlineStr">
        <is>
          <t>miércoles</t>
        </is>
      </c>
      <c r="C174" s="3" t="inlineStr">
        <is>
          <t>Técnico 01</t>
        </is>
      </c>
      <c r="D174" s="3">
        <f>_xlfn.XLOOKUP(tblAsignaciones[[#This Row],[tecnico]],tblTecnicos[nombre],tblTecnicos[area],"")</f>
        <v/>
      </c>
      <c r="E174" s="3">
        <f>_xlfn.XLOOKUP(tblAsignaciones[[#This Row],[tecnico]],tblTecnicos[nombre],tblTecnicos[especialidad],"")</f>
        <v/>
      </c>
      <c r="F174" s="6" t="inlineStr">
        <is>
          <t>T1</t>
        </is>
      </c>
      <c r="G174" s="3">
        <f>_xlfn.XLOOKUP(tblAsignaciones[[#This Row],[tecnico]],tblTecnicos[nombre],tblTecnicos[coordinador],"")</f>
        <v/>
      </c>
      <c r="H174" s="3">
        <f>IF(OR(tblAsignaciones[[#This Row],[turno]]="",ISNUMBER(MATCH(tblAsignaciones[[#This Row],[turno]],lista_no_disponible,0))),0,p_horas_jornada)</f>
        <v/>
      </c>
      <c r="I174" s="3">
        <f>tblAsignaciones[[#This Row],[semana]]&amp;"|"&amp;tblAsignaciones[[#This Row],[dia]]&amp;"|"&amp;tblAsignaciones[[#This Row],[tecnico]]</f>
        <v/>
      </c>
    </row>
    <row r="175">
      <c r="A175" s="3" t="inlineStr">
        <is>
          <t>S30</t>
        </is>
      </c>
      <c r="B175" s="3" t="inlineStr">
        <is>
          <t>jueves</t>
        </is>
      </c>
      <c r="C175" s="3" t="inlineStr">
        <is>
          <t>Técnico 01</t>
        </is>
      </c>
      <c r="D175" s="3">
        <f>_xlfn.XLOOKUP(tblAsignaciones[[#This Row],[tecnico]],tblTecnicos[nombre],tblTecnicos[area],"")</f>
        <v/>
      </c>
      <c r="E175" s="3">
        <f>_xlfn.XLOOKUP(tblAsignaciones[[#This Row],[tecnico]],tblTecnicos[nombre],tblTecnicos[especialidad],"")</f>
        <v/>
      </c>
      <c r="F175" s="6" t="inlineStr">
        <is>
          <t>T1</t>
        </is>
      </c>
      <c r="G175" s="3">
        <f>_xlfn.XLOOKUP(tblAsignaciones[[#This Row],[tecnico]],tblTecnicos[nombre],tblTecnicos[coordinador],"")</f>
        <v/>
      </c>
      <c r="H175" s="3">
        <f>IF(OR(tblAsignaciones[[#This Row],[turno]]="",ISNUMBER(MATCH(tblAsignaciones[[#This Row],[turno]],lista_no_disponible,0))),0,p_horas_jornada)</f>
        <v/>
      </c>
      <c r="I175" s="3">
        <f>tblAsignaciones[[#This Row],[semana]]&amp;"|"&amp;tblAsignaciones[[#This Row],[dia]]&amp;"|"&amp;tblAsignaciones[[#This Row],[tecnico]]</f>
        <v/>
      </c>
    </row>
    <row r="176">
      <c r="A176" s="3" t="inlineStr">
        <is>
          <t>S30</t>
        </is>
      </c>
      <c r="B176" s="3" t="inlineStr">
        <is>
          <t>viernes</t>
        </is>
      </c>
      <c r="C176" s="3" t="inlineStr">
        <is>
          <t>Técnico 01</t>
        </is>
      </c>
      <c r="D176" s="3">
        <f>_xlfn.XLOOKUP(tblAsignaciones[[#This Row],[tecnico]],tblTecnicos[nombre],tblTecnicos[area],"")</f>
        <v/>
      </c>
      <c r="E176" s="3">
        <f>_xlfn.XLOOKUP(tblAsignaciones[[#This Row],[tecnico]],tblTecnicos[nombre],tblTecnicos[especialidad],"")</f>
        <v/>
      </c>
      <c r="F176" s="6" t="inlineStr">
        <is>
          <t>T1</t>
        </is>
      </c>
      <c r="G176" s="3">
        <f>_xlfn.XLOOKUP(tblAsignaciones[[#This Row],[tecnico]],tblTecnicos[nombre],tblTecnicos[coordinador],"")</f>
        <v/>
      </c>
      <c r="H176" s="3">
        <f>IF(OR(tblAsignaciones[[#This Row],[turno]]="",ISNUMBER(MATCH(tblAsignaciones[[#This Row],[turno]],lista_no_disponible,0))),0,p_horas_jornada)</f>
        <v/>
      </c>
      <c r="I176" s="3">
        <f>tblAsignaciones[[#This Row],[semana]]&amp;"|"&amp;tblAsignaciones[[#This Row],[dia]]&amp;"|"&amp;tblAsignaciones[[#This Row],[tecnico]]</f>
        <v/>
      </c>
    </row>
    <row r="177">
      <c r="A177" s="3" t="inlineStr">
        <is>
          <t>S30</t>
        </is>
      </c>
      <c r="B177" s="3" t="inlineStr">
        <is>
          <t>sábado</t>
        </is>
      </c>
      <c r="C177" s="3" t="inlineStr">
        <is>
          <t>Técnico 01</t>
        </is>
      </c>
      <c r="D177" s="3">
        <f>_xlfn.XLOOKUP(tblAsignaciones[[#This Row],[tecnico]],tblTecnicos[nombre],tblTecnicos[area],"")</f>
        <v/>
      </c>
      <c r="E177" s="3">
        <f>_xlfn.XLOOKUP(tblAsignaciones[[#This Row],[tecnico]],tblTecnicos[nombre],tblTecnicos[especialidad],"")</f>
        <v/>
      </c>
      <c r="F177" s="6" t="inlineStr"/>
      <c r="G177" s="3">
        <f>_xlfn.XLOOKUP(tblAsignaciones[[#This Row],[tecnico]],tblTecnicos[nombre],tblTecnicos[coordinador],"")</f>
        <v/>
      </c>
      <c r="H177" s="3">
        <f>IF(OR(tblAsignaciones[[#This Row],[turno]]="",ISNUMBER(MATCH(tblAsignaciones[[#This Row],[turno]],lista_no_disponible,0))),0,p_horas_jornada)</f>
        <v/>
      </c>
      <c r="I177" s="3">
        <f>tblAsignaciones[[#This Row],[semana]]&amp;"|"&amp;tblAsignaciones[[#This Row],[dia]]&amp;"|"&amp;tblAsignaciones[[#This Row],[tecnico]]</f>
        <v/>
      </c>
    </row>
    <row r="178">
      <c r="A178" s="3" t="inlineStr">
        <is>
          <t>S30</t>
        </is>
      </c>
      <c r="B178" s="3" t="inlineStr">
        <is>
          <t>domingo</t>
        </is>
      </c>
      <c r="C178" s="3" t="inlineStr">
        <is>
          <t>Técnico 01</t>
        </is>
      </c>
      <c r="D178" s="3">
        <f>_xlfn.XLOOKUP(tblAsignaciones[[#This Row],[tecnico]],tblTecnicos[nombre],tblTecnicos[area],"")</f>
        <v/>
      </c>
      <c r="E178" s="3">
        <f>_xlfn.XLOOKUP(tblAsignaciones[[#This Row],[tecnico]],tblTecnicos[nombre],tblTecnicos[especialidad],"")</f>
        <v/>
      </c>
      <c r="F178" s="6" t="inlineStr"/>
      <c r="G178" s="3">
        <f>_xlfn.XLOOKUP(tblAsignaciones[[#This Row],[tecnico]],tblTecnicos[nombre],tblTecnicos[coordinador],"")</f>
        <v/>
      </c>
      <c r="H178" s="3">
        <f>IF(OR(tblAsignaciones[[#This Row],[turno]]="",ISNUMBER(MATCH(tblAsignaciones[[#This Row],[turno]],lista_no_disponible,0))),0,p_horas_jornada)</f>
        <v/>
      </c>
      <c r="I178" s="3">
        <f>tblAsignaciones[[#This Row],[semana]]&amp;"|"&amp;tblAsignaciones[[#This Row],[dia]]&amp;"|"&amp;tblAsignaciones[[#This Row],[tecnico]]</f>
        <v/>
      </c>
    </row>
    <row r="179">
      <c r="A179" s="3" t="inlineStr">
        <is>
          <t>S30</t>
        </is>
      </c>
      <c r="B179" s="3" t="inlineStr">
        <is>
          <t>lunes</t>
        </is>
      </c>
      <c r="C179" s="3" t="inlineStr">
        <is>
          <t>Técnico 02</t>
        </is>
      </c>
      <c r="D179" s="3">
        <f>_xlfn.XLOOKUP(tblAsignaciones[[#This Row],[tecnico]],tblTecnicos[nombre],tblTecnicos[area],"")</f>
        <v/>
      </c>
      <c r="E179" s="3">
        <f>_xlfn.XLOOKUP(tblAsignaciones[[#This Row],[tecnico]],tblTecnicos[nombre],tblTecnicos[especialidad],"")</f>
        <v/>
      </c>
      <c r="F179" s="6" t="inlineStr">
        <is>
          <t>T2</t>
        </is>
      </c>
      <c r="G179" s="3">
        <f>_xlfn.XLOOKUP(tblAsignaciones[[#This Row],[tecnico]],tblTecnicos[nombre],tblTecnicos[coordinador],"")</f>
        <v/>
      </c>
      <c r="H179" s="3">
        <f>IF(OR(tblAsignaciones[[#This Row],[turno]]="",ISNUMBER(MATCH(tblAsignaciones[[#This Row],[turno]],lista_no_disponible,0))),0,p_horas_jornada)</f>
        <v/>
      </c>
      <c r="I179" s="3">
        <f>tblAsignaciones[[#This Row],[semana]]&amp;"|"&amp;tblAsignaciones[[#This Row],[dia]]&amp;"|"&amp;tblAsignaciones[[#This Row],[tecnico]]</f>
        <v/>
      </c>
    </row>
    <row r="180">
      <c r="A180" s="3" t="inlineStr">
        <is>
          <t>S30</t>
        </is>
      </c>
      <c r="B180" s="3" t="inlineStr">
        <is>
          <t>martes</t>
        </is>
      </c>
      <c r="C180" s="3" t="inlineStr">
        <is>
          <t>Técnico 02</t>
        </is>
      </c>
      <c r="D180" s="3">
        <f>_xlfn.XLOOKUP(tblAsignaciones[[#This Row],[tecnico]],tblTecnicos[nombre],tblTecnicos[area],"")</f>
        <v/>
      </c>
      <c r="E180" s="3">
        <f>_xlfn.XLOOKUP(tblAsignaciones[[#This Row],[tecnico]],tblTecnicos[nombre],tblTecnicos[especialidad],"")</f>
        <v/>
      </c>
      <c r="F180" s="6" t="inlineStr">
        <is>
          <t>T2</t>
        </is>
      </c>
      <c r="G180" s="3">
        <f>_xlfn.XLOOKUP(tblAsignaciones[[#This Row],[tecnico]],tblTecnicos[nombre],tblTecnicos[coordinador],"")</f>
        <v/>
      </c>
      <c r="H180" s="3">
        <f>IF(OR(tblAsignaciones[[#This Row],[turno]]="",ISNUMBER(MATCH(tblAsignaciones[[#This Row],[turno]],lista_no_disponible,0))),0,p_horas_jornada)</f>
        <v/>
      </c>
      <c r="I180" s="3">
        <f>tblAsignaciones[[#This Row],[semana]]&amp;"|"&amp;tblAsignaciones[[#This Row],[dia]]&amp;"|"&amp;tblAsignaciones[[#This Row],[tecnico]]</f>
        <v/>
      </c>
    </row>
    <row r="181">
      <c r="A181" s="3" t="inlineStr">
        <is>
          <t>S30</t>
        </is>
      </c>
      <c r="B181" s="3" t="inlineStr">
        <is>
          <t>miércoles</t>
        </is>
      </c>
      <c r="C181" s="3" t="inlineStr">
        <is>
          <t>Técnico 02</t>
        </is>
      </c>
      <c r="D181" s="3">
        <f>_xlfn.XLOOKUP(tblAsignaciones[[#This Row],[tecnico]],tblTecnicos[nombre],tblTecnicos[area],"")</f>
        <v/>
      </c>
      <c r="E181" s="3">
        <f>_xlfn.XLOOKUP(tblAsignaciones[[#This Row],[tecnico]],tblTecnicos[nombre],tblTecnicos[especialidad],"")</f>
        <v/>
      </c>
      <c r="F181" s="6" t="inlineStr">
        <is>
          <t>T2</t>
        </is>
      </c>
      <c r="G181" s="3">
        <f>_xlfn.XLOOKUP(tblAsignaciones[[#This Row],[tecnico]],tblTecnicos[nombre],tblTecnicos[coordinador],"")</f>
        <v/>
      </c>
      <c r="H181" s="3">
        <f>IF(OR(tblAsignaciones[[#This Row],[turno]]="",ISNUMBER(MATCH(tblAsignaciones[[#This Row],[turno]],lista_no_disponible,0))),0,p_horas_jornada)</f>
        <v/>
      </c>
      <c r="I181" s="3">
        <f>tblAsignaciones[[#This Row],[semana]]&amp;"|"&amp;tblAsignaciones[[#This Row],[dia]]&amp;"|"&amp;tblAsignaciones[[#This Row],[tecnico]]</f>
        <v/>
      </c>
    </row>
    <row r="182">
      <c r="A182" s="3" t="inlineStr">
        <is>
          <t>S30</t>
        </is>
      </c>
      <c r="B182" s="3" t="inlineStr">
        <is>
          <t>jueves</t>
        </is>
      </c>
      <c r="C182" s="3" t="inlineStr">
        <is>
          <t>Técnico 02</t>
        </is>
      </c>
      <c r="D182" s="3">
        <f>_xlfn.XLOOKUP(tblAsignaciones[[#This Row],[tecnico]],tblTecnicos[nombre],tblTecnicos[area],"")</f>
        <v/>
      </c>
      <c r="E182" s="3">
        <f>_xlfn.XLOOKUP(tblAsignaciones[[#This Row],[tecnico]],tblTecnicos[nombre],tblTecnicos[especialidad],"")</f>
        <v/>
      </c>
      <c r="F182" s="6" t="inlineStr">
        <is>
          <t>T2</t>
        </is>
      </c>
      <c r="G182" s="3">
        <f>_xlfn.XLOOKUP(tblAsignaciones[[#This Row],[tecnico]],tblTecnicos[nombre],tblTecnicos[coordinador],"")</f>
        <v/>
      </c>
      <c r="H182" s="3">
        <f>IF(OR(tblAsignaciones[[#This Row],[turno]]="",ISNUMBER(MATCH(tblAsignaciones[[#This Row],[turno]],lista_no_disponible,0))),0,p_horas_jornada)</f>
        <v/>
      </c>
      <c r="I182" s="3">
        <f>tblAsignaciones[[#This Row],[semana]]&amp;"|"&amp;tblAsignaciones[[#This Row],[dia]]&amp;"|"&amp;tblAsignaciones[[#This Row],[tecnico]]</f>
        <v/>
      </c>
    </row>
    <row r="183">
      <c r="A183" s="3" t="inlineStr">
        <is>
          <t>S30</t>
        </is>
      </c>
      <c r="B183" s="3" t="inlineStr">
        <is>
          <t>viernes</t>
        </is>
      </c>
      <c r="C183" s="3" t="inlineStr">
        <is>
          <t>Técnico 02</t>
        </is>
      </c>
      <c r="D183" s="3">
        <f>_xlfn.XLOOKUP(tblAsignaciones[[#This Row],[tecnico]],tblTecnicos[nombre],tblTecnicos[area],"")</f>
        <v/>
      </c>
      <c r="E183" s="3">
        <f>_xlfn.XLOOKUP(tblAsignaciones[[#This Row],[tecnico]],tblTecnicos[nombre],tblTecnicos[especialidad],"")</f>
        <v/>
      </c>
      <c r="F183" s="6" t="inlineStr">
        <is>
          <t>T2</t>
        </is>
      </c>
      <c r="G183" s="3">
        <f>_xlfn.XLOOKUP(tblAsignaciones[[#This Row],[tecnico]],tblTecnicos[nombre],tblTecnicos[coordinador],"")</f>
        <v/>
      </c>
      <c r="H183" s="3">
        <f>IF(OR(tblAsignaciones[[#This Row],[turno]]="",ISNUMBER(MATCH(tblAsignaciones[[#This Row],[turno]],lista_no_disponible,0))),0,p_horas_jornada)</f>
        <v/>
      </c>
      <c r="I183" s="3">
        <f>tblAsignaciones[[#This Row],[semana]]&amp;"|"&amp;tblAsignaciones[[#This Row],[dia]]&amp;"|"&amp;tblAsignaciones[[#This Row],[tecnico]]</f>
        <v/>
      </c>
    </row>
    <row r="184">
      <c r="A184" s="3" t="inlineStr">
        <is>
          <t>S30</t>
        </is>
      </c>
      <c r="B184" s="3" t="inlineStr">
        <is>
          <t>sábado</t>
        </is>
      </c>
      <c r="C184" s="3" t="inlineStr">
        <is>
          <t>Técnico 02</t>
        </is>
      </c>
      <c r="D184" s="3">
        <f>_xlfn.XLOOKUP(tblAsignaciones[[#This Row],[tecnico]],tblTecnicos[nombre],tblTecnicos[area],"")</f>
        <v/>
      </c>
      <c r="E184" s="3">
        <f>_xlfn.XLOOKUP(tblAsignaciones[[#This Row],[tecnico]],tblTecnicos[nombre],tblTecnicos[especialidad],"")</f>
        <v/>
      </c>
      <c r="F184" s="6" t="inlineStr"/>
      <c r="G184" s="3">
        <f>_xlfn.XLOOKUP(tblAsignaciones[[#This Row],[tecnico]],tblTecnicos[nombre],tblTecnicos[coordinador],"")</f>
        <v/>
      </c>
      <c r="H184" s="3">
        <f>IF(OR(tblAsignaciones[[#This Row],[turno]]="",ISNUMBER(MATCH(tblAsignaciones[[#This Row],[turno]],lista_no_disponible,0))),0,p_horas_jornada)</f>
        <v/>
      </c>
      <c r="I184" s="3">
        <f>tblAsignaciones[[#This Row],[semana]]&amp;"|"&amp;tblAsignaciones[[#This Row],[dia]]&amp;"|"&amp;tblAsignaciones[[#This Row],[tecnico]]</f>
        <v/>
      </c>
    </row>
    <row r="185">
      <c r="A185" s="3" t="inlineStr">
        <is>
          <t>S30</t>
        </is>
      </c>
      <c r="B185" s="3" t="inlineStr">
        <is>
          <t>domingo</t>
        </is>
      </c>
      <c r="C185" s="3" t="inlineStr">
        <is>
          <t>Técnico 02</t>
        </is>
      </c>
      <c r="D185" s="3">
        <f>_xlfn.XLOOKUP(tblAsignaciones[[#This Row],[tecnico]],tblTecnicos[nombre],tblTecnicos[area],"")</f>
        <v/>
      </c>
      <c r="E185" s="3">
        <f>_xlfn.XLOOKUP(tblAsignaciones[[#This Row],[tecnico]],tblTecnicos[nombre],tblTecnicos[especialidad],"")</f>
        <v/>
      </c>
      <c r="F185" s="6" t="inlineStr"/>
      <c r="G185" s="3">
        <f>_xlfn.XLOOKUP(tblAsignaciones[[#This Row],[tecnico]],tblTecnicos[nombre],tblTecnicos[coordinador],"")</f>
        <v/>
      </c>
      <c r="H185" s="3">
        <f>IF(OR(tblAsignaciones[[#This Row],[turno]]="",ISNUMBER(MATCH(tblAsignaciones[[#This Row],[turno]],lista_no_disponible,0))),0,p_horas_jornada)</f>
        <v/>
      </c>
      <c r="I185" s="3">
        <f>tblAsignaciones[[#This Row],[semana]]&amp;"|"&amp;tblAsignaciones[[#This Row],[dia]]&amp;"|"&amp;tblAsignaciones[[#This Row],[tecnico]]</f>
        <v/>
      </c>
    </row>
    <row r="186">
      <c r="A186" s="3" t="inlineStr">
        <is>
          <t>S30</t>
        </is>
      </c>
      <c r="B186" s="3" t="inlineStr">
        <is>
          <t>lunes</t>
        </is>
      </c>
      <c r="C186" s="3" t="inlineStr">
        <is>
          <t>Técnico 03</t>
        </is>
      </c>
      <c r="D186" s="3">
        <f>_xlfn.XLOOKUP(tblAsignaciones[[#This Row],[tecnico]],tblTecnicos[nombre],tblTecnicos[area],"")</f>
        <v/>
      </c>
      <c r="E186" s="3">
        <f>_xlfn.XLOOKUP(tblAsignaciones[[#This Row],[tecnico]],tblTecnicos[nombre],tblTecnicos[especialidad],"")</f>
        <v/>
      </c>
      <c r="F186" s="6" t="inlineStr">
        <is>
          <t>T1</t>
        </is>
      </c>
      <c r="G186" s="3">
        <f>_xlfn.XLOOKUP(tblAsignaciones[[#This Row],[tecnico]],tblTecnicos[nombre],tblTecnicos[coordinador],"")</f>
        <v/>
      </c>
      <c r="H186" s="3">
        <f>IF(OR(tblAsignaciones[[#This Row],[turno]]="",ISNUMBER(MATCH(tblAsignaciones[[#This Row],[turno]],lista_no_disponible,0))),0,p_horas_jornada)</f>
        <v/>
      </c>
      <c r="I186" s="3">
        <f>tblAsignaciones[[#This Row],[semana]]&amp;"|"&amp;tblAsignaciones[[#This Row],[dia]]&amp;"|"&amp;tblAsignaciones[[#This Row],[tecnico]]</f>
        <v/>
      </c>
    </row>
    <row r="187">
      <c r="A187" s="3" t="inlineStr">
        <is>
          <t>S30</t>
        </is>
      </c>
      <c r="B187" s="3" t="inlineStr">
        <is>
          <t>martes</t>
        </is>
      </c>
      <c r="C187" s="3" t="inlineStr">
        <is>
          <t>Técnico 03</t>
        </is>
      </c>
      <c r="D187" s="3">
        <f>_xlfn.XLOOKUP(tblAsignaciones[[#This Row],[tecnico]],tblTecnicos[nombre],tblTecnicos[area],"")</f>
        <v/>
      </c>
      <c r="E187" s="3">
        <f>_xlfn.XLOOKUP(tblAsignaciones[[#This Row],[tecnico]],tblTecnicos[nombre],tblTecnicos[especialidad],"")</f>
        <v/>
      </c>
      <c r="F187" s="6" t="inlineStr">
        <is>
          <t>T1</t>
        </is>
      </c>
      <c r="G187" s="3">
        <f>_xlfn.XLOOKUP(tblAsignaciones[[#This Row],[tecnico]],tblTecnicos[nombre],tblTecnicos[coordinador],"")</f>
        <v/>
      </c>
      <c r="H187" s="3">
        <f>IF(OR(tblAsignaciones[[#This Row],[turno]]="",ISNUMBER(MATCH(tblAsignaciones[[#This Row],[turno]],lista_no_disponible,0))),0,p_horas_jornada)</f>
        <v/>
      </c>
      <c r="I187" s="3">
        <f>tblAsignaciones[[#This Row],[semana]]&amp;"|"&amp;tblAsignaciones[[#This Row],[dia]]&amp;"|"&amp;tblAsignaciones[[#This Row],[tecnico]]</f>
        <v/>
      </c>
    </row>
    <row r="188">
      <c r="A188" s="3" t="inlineStr">
        <is>
          <t>S30</t>
        </is>
      </c>
      <c r="B188" s="3" t="inlineStr">
        <is>
          <t>miércoles</t>
        </is>
      </c>
      <c r="C188" s="3" t="inlineStr">
        <is>
          <t>Técnico 03</t>
        </is>
      </c>
      <c r="D188" s="3">
        <f>_xlfn.XLOOKUP(tblAsignaciones[[#This Row],[tecnico]],tblTecnicos[nombre],tblTecnicos[area],"")</f>
        <v/>
      </c>
      <c r="E188" s="3">
        <f>_xlfn.XLOOKUP(tblAsignaciones[[#This Row],[tecnico]],tblTecnicos[nombre],tblTecnicos[especialidad],"")</f>
        <v/>
      </c>
      <c r="F188" s="6" t="inlineStr">
        <is>
          <t>T1</t>
        </is>
      </c>
      <c r="G188" s="3">
        <f>_xlfn.XLOOKUP(tblAsignaciones[[#This Row],[tecnico]],tblTecnicos[nombre],tblTecnicos[coordinador],"")</f>
        <v/>
      </c>
      <c r="H188" s="3">
        <f>IF(OR(tblAsignaciones[[#This Row],[turno]]="",ISNUMBER(MATCH(tblAsignaciones[[#This Row],[turno]],lista_no_disponible,0))),0,p_horas_jornada)</f>
        <v/>
      </c>
      <c r="I188" s="3">
        <f>tblAsignaciones[[#This Row],[semana]]&amp;"|"&amp;tblAsignaciones[[#This Row],[dia]]&amp;"|"&amp;tblAsignaciones[[#This Row],[tecnico]]</f>
        <v/>
      </c>
    </row>
    <row r="189">
      <c r="A189" s="3" t="inlineStr">
        <is>
          <t>S30</t>
        </is>
      </c>
      <c r="B189" s="3" t="inlineStr">
        <is>
          <t>jueves</t>
        </is>
      </c>
      <c r="C189" s="3" t="inlineStr">
        <is>
          <t>Técnico 03</t>
        </is>
      </c>
      <c r="D189" s="3">
        <f>_xlfn.XLOOKUP(tblAsignaciones[[#This Row],[tecnico]],tblTecnicos[nombre],tblTecnicos[area],"")</f>
        <v/>
      </c>
      <c r="E189" s="3">
        <f>_xlfn.XLOOKUP(tblAsignaciones[[#This Row],[tecnico]],tblTecnicos[nombre],tblTecnicos[especialidad],"")</f>
        <v/>
      </c>
      <c r="F189" s="6" t="inlineStr">
        <is>
          <t>T1</t>
        </is>
      </c>
      <c r="G189" s="3">
        <f>_xlfn.XLOOKUP(tblAsignaciones[[#This Row],[tecnico]],tblTecnicos[nombre],tblTecnicos[coordinador],"")</f>
        <v/>
      </c>
      <c r="H189" s="3">
        <f>IF(OR(tblAsignaciones[[#This Row],[turno]]="",ISNUMBER(MATCH(tblAsignaciones[[#This Row],[turno]],lista_no_disponible,0))),0,p_horas_jornada)</f>
        <v/>
      </c>
      <c r="I189" s="3">
        <f>tblAsignaciones[[#This Row],[semana]]&amp;"|"&amp;tblAsignaciones[[#This Row],[dia]]&amp;"|"&amp;tblAsignaciones[[#This Row],[tecnico]]</f>
        <v/>
      </c>
    </row>
    <row r="190">
      <c r="A190" s="3" t="inlineStr">
        <is>
          <t>S30</t>
        </is>
      </c>
      <c r="B190" s="3" t="inlineStr">
        <is>
          <t>viernes</t>
        </is>
      </c>
      <c r="C190" s="3" t="inlineStr">
        <is>
          <t>Técnico 03</t>
        </is>
      </c>
      <c r="D190" s="3">
        <f>_xlfn.XLOOKUP(tblAsignaciones[[#This Row],[tecnico]],tblTecnicos[nombre],tblTecnicos[area],"")</f>
        <v/>
      </c>
      <c r="E190" s="3">
        <f>_xlfn.XLOOKUP(tblAsignaciones[[#This Row],[tecnico]],tblTecnicos[nombre],tblTecnicos[especialidad],"")</f>
        <v/>
      </c>
      <c r="F190" s="6" t="inlineStr">
        <is>
          <t>T1</t>
        </is>
      </c>
      <c r="G190" s="3">
        <f>_xlfn.XLOOKUP(tblAsignaciones[[#This Row],[tecnico]],tblTecnicos[nombre],tblTecnicos[coordinador],"")</f>
        <v/>
      </c>
      <c r="H190" s="3">
        <f>IF(OR(tblAsignaciones[[#This Row],[turno]]="",ISNUMBER(MATCH(tblAsignaciones[[#This Row],[turno]],lista_no_disponible,0))),0,p_horas_jornada)</f>
        <v/>
      </c>
      <c r="I190" s="3">
        <f>tblAsignaciones[[#This Row],[semana]]&amp;"|"&amp;tblAsignaciones[[#This Row],[dia]]&amp;"|"&amp;tblAsignaciones[[#This Row],[tecnico]]</f>
        <v/>
      </c>
    </row>
    <row r="191">
      <c r="A191" s="3" t="inlineStr">
        <is>
          <t>S30</t>
        </is>
      </c>
      <c r="B191" s="3" t="inlineStr">
        <is>
          <t>sábado</t>
        </is>
      </c>
      <c r="C191" s="3" t="inlineStr">
        <is>
          <t>Técnico 03</t>
        </is>
      </c>
      <c r="D191" s="3">
        <f>_xlfn.XLOOKUP(tblAsignaciones[[#This Row],[tecnico]],tblTecnicos[nombre],tblTecnicos[area],"")</f>
        <v/>
      </c>
      <c r="E191" s="3">
        <f>_xlfn.XLOOKUP(tblAsignaciones[[#This Row],[tecnico]],tblTecnicos[nombre],tblTecnicos[especialidad],"")</f>
        <v/>
      </c>
      <c r="F191" s="6" t="inlineStr"/>
      <c r="G191" s="3">
        <f>_xlfn.XLOOKUP(tblAsignaciones[[#This Row],[tecnico]],tblTecnicos[nombre],tblTecnicos[coordinador],"")</f>
        <v/>
      </c>
      <c r="H191" s="3">
        <f>IF(OR(tblAsignaciones[[#This Row],[turno]]="",ISNUMBER(MATCH(tblAsignaciones[[#This Row],[turno]],lista_no_disponible,0))),0,p_horas_jornada)</f>
        <v/>
      </c>
      <c r="I191" s="3">
        <f>tblAsignaciones[[#This Row],[semana]]&amp;"|"&amp;tblAsignaciones[[#This Row],[dia]]&amp;"|"&amp;tblAsignaciones[[#This Row],[tecnico]]</f>
        <v/>
      </c>
    </row>
    <row r="192">
      <c r="A192" s="3" t="inlineStr">
        <is>
          <t>S30</t>
        </is>
      </c>
      <c r="B192" s="3" t="inlineStr">
        <is>
          <t>domingo</t>
        </is>
      </c>
      <c r="C192" s="3" t="inlineStr">
        <is>
          <t>Técnico 03</t>
        </is>
      </c>
      <c r="D192" s="3">
        <f>_xlfn.XLOOKUP(tblAsignaciones[[#This Row],[tecnico]],tblTecnicos[nombre],tblTecnicos[area],"")</f>
        <v/>
      </c>
      <c r="E192" s="3">
        <f>_xlfn.XLOOKUP(tblAsignaciones[[#This Row],[tecnico]],tblTecnicos[nombre],tblTecnicos[especialidad],"")</f>
        <v/>
      </c>
      <c r="F192" s="6" t="inlineStr"/>
      <c r="G192" s="3">
        <f>_xlfn.XLOOKUP(tblAsignaciones[[#This Row],[tecnico]],tblTecnicos[nombre],tblTecnicos[coordinador],"")</f>
        <v/>
      </c>
      <c r="H192" s="3">
        <f>IF(OR(tblAsignaciones[[#This Row],[turno]]="",ISNUMBER(MATCH(tblAsignaciones[[#This Row],[turno]],lista_no_disponible,0))),0,p_horas_jornada)</f>
        <v/>
      </c>
      <c r="I192" s="3">
        <f>tblAsignaciones[[#This Row],[semana]]&amp;"|"&amp;tblAsignaciones[[#This Row],[dia]]&amp;"|"&amp;tblAsignaciones[[#This Row],[tecnico]]</f>
        <v/>
      </c>
    </row>
    <row r="193">
      <c r="A193" s="3" t="inlineStr">
        <is>
          <t>S30</t>
        </is>
      </c>
      <c r="B193" s="3" t="inlineStr">
        <is>
          <t>lunes</t>
        </is>
      </c>
      <c r="C193" s="3" t="inlineStr">
        <is>
          <t>Técnico 04</t>
        </is>
      </c>
      <c r="D193" s="3">
        <f>_xlfn.XLOOKUP(tblAsignaciones[[#This Row],[tecnico]],tblTecnicos[nombre],tblTecnicos[area],"")</f>
        <v/>
      </c>
      <c r="E193" s="3">
        <f>_xlfn.XLOOKUP(tblAsignaciones[[#This Row],[tecnico]],tblTecnicos[nombre],tblTecnicos[especialidad],"")</f>
        <v/>
      </c>
      <c r="F193" s="6" t="inlineStr">
        <is>
          <t>VAC</t>
        </is>
      </c>
      <c r="G193" s="3">
        <f>_xlfn.XLOOKUP(tblAsignaciones[[#This Row],[tecnico]],tblTecnicos[nombre],tblTecnicos[coordinador],"")</f>
        <v/>
      </c>
      <c r="H193" s="3">
        <f>IF(OR(tblAsignaciones[[#This Row],[turno]]="",ISNUMBER(MATCH(tblAsignaciones[[#This Row],[turno]],lista_no_disponible,0))),0,p_horas_jornada)</f>
        <v/>
      </c>
      <c r="I193" s="3">
        <f>tblAsignaciones[[#This Row],[semana]]&amp;"|"&amp;tblAsignaciones[[#This Row],[dia]]&amp;"|"&amp;tblAsignaciones[[#This Row],[tecnico]]</f>
        <v/>
      </c>
    </row>
    <row r="194">
      <c r="A194" s="3" t="inlineStr">
        <is>
          <t>S30</t>
        </is>
      </c>
      <c r="B194" s="3" t="inlineStr">
        <is>
          <t>martes</t>
        </is>
      </c>
      <c r="C194" s="3" t="inlineStr">
        <is>
          <t>Técnico 04</t>
        </is>
      </c>
      <c r="D194" s="3">
        <f>_xlfn.XLOOKUP(tblAsignaciones[[#This Row],[tecnico]],tblTecnicos[nombre],tblTecnicos[area],"")</f>
        <v/>
      </c>
      <c r="E194" s="3">
        <f>_xlfn.XLOOKUP(tblAsignaciones[[#This Row],[tecnico]],tblTecnicos[nombre],tblTecnicos[especialidad],"")</f>
        <v/>
      </c>
      <c r="F194" s="6" t="inlineStr">
        <is>
          <t>VAC</t>
        </is>
      </c>
      <c r="G194" s="3">
        <f>_xlfn.XLOOKUP(tblAsignaciones[[#This Row],[tecnico]],tblTecnicos[nombre],tblTecnicos[coordinador],"")</f>
        <v/>
      </c>
      <c r="H194" s="3">
        <f>IF(OR(tblAsignaciones[[#This Row],[turno]]="",ISNUMBER(MATCH(tblAsignaciones[[#This Row],[turno]],lista_no_disponible,0))),0,p_horas_jornada)</f>
        <v/>
      </c>
      <c r="I194" s="3">
        <f>tblAsignaciones[[#This Row],[semana]]&amp;"|"&amp;tblAsignaciones[[#This Row],[dia]]&amp;"|"&amp;tblAsignaciones[[#This Row],[tecnico]]</f>
        <v/>
      </c>
    </row>
    <row r="195">
      <c r="A195" s="3" t="inlineStr">
        <is>
          <t>S30</t>
        </is>
      </c>
      <c r="B195" s="3" t="inlineStr">
        <is>
          <t>miércoles</t>
        </is>
      </c>
      <c r="C195" s="3" t="inlineStr">
        <is>
          <t>Técnico 04</t>
        </is>
      </c>
      <c r="D195" s="3">
        <f>_xlfn.XLOOKUP(tblAsignaciones[[#This Row],[tecnico]],tblTecnicos[nombre],tblTecnicos[area],"")</f>
        <v/>
      </c>
      <c r="E195" s="3">
        <f>_xlfn.XLOOKUP(tblAsignaciones[[#This Row],[tecnico]],tblTecnicos[nombre],tblTecnicos[especialidad],"")</f>
        <v/>
      </c>
      <c r="F195" s="6" t="inlineStr">
        <is>
          <t>VAC</t>
        </is>
      </c>
      <c r="G195" s="3">
        <f>_xlfn.XLOOKUP(tblAsignaciones[[#This Row],[tecnico]],tblTecnicos[nombre],tblTecnicos[coordinador],"")</f>
        <v/>
      </c>
      <c r="H195" s="3">
        <f>IF(OR(tblAsignaciones[[#This Row],[turno]]="",ISNUMBER(MATCH(tblAsignaciones[[#This Row],[turno]],lista_no_disponible,0))),0,p_horas_jornada)</f>
        <v/>
      </c>
      <c r="I195" s="3">
        <f>tblAsignaciones[[#This Row],[semana]]&amp;"|"&amp;tblAsignaciones[[#This Row],[dia]]&amp;"|"&amp;tblAsignaciones[[#This Row],[tecnico]]</f>
        <v/>
      </c>
    </row>
    <row r="196">
      <c r="A196" s="3" t="inlineStr">
        <is>
          <t>S30</t>
        </is>
      </c>
      <c r="B196" s="3" t="inlineStr">
        <is>
          <t>jueves</t>
        </is>
      </c>
      <c r="C196" s="3" t="inlineStr">
        <is>
          <t>Técnico 04</t>
        </is>
      </c>
      <c r="D196" s="3">
        <f>_xlfn.XLOOKUP(tblAsignaciones[[#This Row],[tecnico]],tblTecnicos[nombre],tblTecnicos[area],"")</f>
        <v/>
      </c>
      <c r="E196" s="3">
        <f>_xlfn.XLOOKUP(tblAsignaciones[[#This Row],[tecnico]],tblTecnicos[nombre],tblTecnicos[especialidad],"")</f>
        <v/>
      </c>
      <c r="F196" s="6" t="inlineStr">
        <is>
          <t>VAC</t>
        </is>
      </c>
      <c r="G196" s="3">
        <f>_xlfn.XLOOKUP(tblAsignaciones[[#This Row],[tecnico]],tblTecnicos[nombre],tblTecnicos[coordinador],"")</f>
        <v/>
      </c>
      <c r="H196" s="3">
        <f>IF(OR(tblAsignaciones[[#This Row],[turno]]="",ISNUMBER(MATCH(tblAsignaciones[[#This Row],[turno]],lista_no_disponible,0))),0,p_horas_jornada)</f>
        <v/>
      </c>
      <c r="I196" s="3">
        <f>tblAsignaciones[[#This Row],[semana]]&amp;"|"&amp;tblAsignaciones[[#This Row],[dia]]&amp;"|"&amp;tblAsignaciones[[#This Row],[tecnico]]</f>
        <v/>
      </c>
    </row>
    <row r="197">
      <c r="A197" s="3" t="inlineStr">
        <is>
          <t>S30</t>
        </is>
      </c>
      <c r="B197" s="3" t="inlineStr">
        <is>
          <t>viernes</t>
        </is>
      </c>
      <c r="C197" s="3" t="inlineStr">
        <is>
          <t>Técnico 04</t>
        </is>
      </c>
      <c r="D197" s="3">
        <f>_xlfn.XLOOKUP(tblAsignaciones[[#This Row],[tecnico]],tblTecnicos[nombre],tblTecnicos[area],"")</f>
        <v/>
      </c>
      <c r="E197" s="3">
        <f>_xlfn.XLOOKUP(tblAsignaciones[[#This Row],[tecnico]],tblTecnicos[nombre],tblTecnicos[especialidad],"")</f>
        <v/>
      </c>
      <c r="F197" s="6" t="inlineStr">
        <is>
          <t>VAC</t>
        </is>
      </c>
      <c r="G197" s="3">
        <f>_xlfn.XLOOKUP(tblAsignaciones[[#This Row],[tecnico]],tblTecnicos[nombre],tblTecnicos[coordinador],"")</f>
        <v/>
      </c>
      <c r="H197" s="3">
        <f>IF(OR(tblAsignaciones[[#This Row],[turno]]="",ISNUMBER(MATCH(tblAsignaciones[[#This Row],[turno]],lista_no_disponible,0))),0,p_horas_jornada)</f>
        <v/>
      </c>
      <c r="I197" s="3">
        <f>tblAsignaciones[[#This Row],[semana]]&amp;"|"&amp;tblAsignaciones[[#This Row],[dia]]&amp;"|"&amp;tblAsignaciones[[#This Row],[tecnico]]</f>
        <v/>
      </c>
    </row>
    <row r="198">
      <c r="A198" s="3" t="inlineStr">
        <is>
          <t>S30</t>
        </is>
      </c>
      <c r="B198" s="3" t="inlineStr">
        <is>
          <t>sábado</t>
        </is>
      </c>
      <c r="C198" s="3" t="inlineStr">
        <is>
          <t>Técnico 04</t>
        </is>
      </c>
      <c r="D198" s="3">
        <f>_xlfn.XLOOKUP(tblAsignaciones[[#This Row],[tecnico]],tblTecnicos[nombre],tblTecnicos[area],"")</f>
        <v/>
      </c>
      <c r="E198" s="3">
        <f>_xlfn.XLOOKUP(tblAsignaciones[[#This Row],[tecnico]],tblTecnicos[nombre],tblTecnicos[especialidad],"")</f>
        <v/>
      </c>
      <c r="F198" s="6" t="inlineStr"/>
      <c r="G198" s="3">
        <f>_xlfn.XLOOKUP(tblAsignaciones[[#This Row],[tecnico]],tblTecnicos[nombre],tblTecnicos[coordinador],"")</f>
        <v/>
      </c>
      <c r="H198" s="3">
        <f>IF(OR(tblAsignaciones[[#This Row],[turno]]="",ISNUMBER(MATCH(tblAsignaciones[[#This Row],[turno]],lista_no_disponible,0))),0,p_horas_jornada)</f>
        <v/>
      </c>
      <c r="I198" s="3">
        <f>tblAsignaciones[[#This Row],[semana]]&amp;"|"&amp;tblAsignaciones[[#This Row],[dia]]&amp;"|"&amp;tblAsignaciones[[#This Row],[tecnico]]</f>
        <v/>
      </c>
    </row>
    <row r="199">
      <c r="A199" s="3" t="inlineStr">
        <is>
          <t>S30</t>
        </is>
      </c>
      <c r="B199" s="3" t="inlineStr">
        <is>
          <t>domingo</t>
        </is>
      </c>
      <c r="C199" s="3" t="inlineStr">
        <is>
          <t>Técnico 04</t>
        </is>
      </c>
      <c r="D199" s="3">
        <f>_xlfn.XLOOKUP(tblAsignaciones[[#This Row],[tecnico]],tblTecnicos[nombre],tblTecnicos[area],"")</f>
        <v/>
      </c>
      <c r="E199" s="3">
        <f>_xlfn.XLOOKUP(tblAsignaciones[[#This Row],[tecnico]],tblTecnicos[nombre],tblTecnicos[especialidad],"")</f>
        <v/>
      </c>
      <c r="F199" s="6" t="inlineStr"/>
      <c r="G199" s="3">
        <f>_xlfn.XLOOKUP(tblAsignaciones[[#This Row],[tecnico]],tblTecnicos[nombre],tblTecnicos[coordinador],"")</f>
        <v/>
      </c>
      <c r="H199" s="3">
        <f>IF(OR(tblAsignaciones[[#This Row],[turno]]="",ISNUMBER(MATCH(tblAsignaciones[[#This Row],[turno]],lista_no_disponible,0))),0,p_horas_jornada)</f>
        <v/>
      </c>
      <c r="I199" s="3">
        <f>tblAsignaciones[[#This Row],[semana]]&amp;"|"&amp;tblAsignaciones[[#This Row],[dia]]&amp;"|"&amp;tblAsignaciones[[#This Row],[tecnico]]</f>
        <v/>
      </c>
    </row>
    <row r="200">
      <c r="A200" s="3" t="inlineStr">
        <is>
          <t>S30</t>
        </is>
      </c>
      <c r="B200" s="3" t="inlineStr">
        <is>
          <t>lunes</t>
        </is>
      </c>
      <c r="C200" s="3" t="inlineStr">
        <is>
          <t>Técnico 05</t>
        </is>
      </c>
      <c r="D200" s="3">
        <f>_xlfn.XLOOKUP(tblAsignaciones[[#This Row],[tecnico]],tblTecnicos[nombre],tblTecnicos[area],"")</f>
        <v/>
      </c>
      <c r="E200" s="3">
        <f>_xlfn.XLOOKUP(tblAsignaciones[[#This Row],[tecnico]],tblTecnicos[nombre],tblTecnicos[especialidad],"")</f>
        <v/>
      </c>
      <c r="F200" s="6" t="inlineStr">
        <is>
          <t>T1</t>
        </is>
      </c>
      <c r="G200" s="3">
        <f>_xlfn.XLOOKUP(tblAsignaciones[[#This Row],[tecnico]],tblTecnicos[nombre],tblTecnicos[coordinador],"")</f>
        <v/>
      </c>
      <c r="H200" s="3">
        <f>IF(OR(tblAsignaciones[[#This Row],[turno]]="",ISNUMBER(MATCH(tblAsignaciones[[#This Row],[turno]],lista_no_disponible,0))),0,p_horas_jornada)</f>
        <v/>
      </c>
      <c r="I200" s="3">
        <f>tblAsignaciones[[#This Row],[semana]]&amp;"|"&amp;tblAsignaciones[[#This Row],[dia]]&amp;"|"&amp;tblAsignaciones[[#This Row],[tecnico]]</f>
        <v/>
      </c>
    </row>
    <row r="201">
      <c r="A201" s="3" t="inlineStr">
        <is>
          <t>S30</t>
        </is>
      </c>
      <c r="B201" s="3" t="inlineStr">
        <is>
          <t>martes</t>
        </is>
      </c>
      <c r="C201" s="3" t="inlineStr">
        <is>
          <t>Técnico 05</t>
        </is>
      </c>
      <c r="D201" s="3">
        <f>_xlfn.XLOOKUP(tblAsignaciones[[#This Row],[tecnico]],tblTecnicos[nombre],tblTecnicos[area],"")</f>
        <v/>
      </c>
      <c r="E201" s="3">
        <f>_xlfn.XLOOKUP(tblAsignaciones[[#This Row],[tecnico]],tblTecnicos[nombre],tblTecnicos[especialidad],"")</f>
        <v/>
      </c>
      <c r="F201" s="6" t="inlineStr">
        <is>
          <t>T1</t>
        </is>
      </c>
      <c r="G201" s="3">
        <f>_xlfn.XLOOKUP(tblAsignaciones[[#This Row],[tecnico]],tblTecnicos[nombre],tblTecnicos[coordinador],"")</f>
        <v/>
      </c>
      <c r="H201" s="3">
        <f>IF(OR(tblAsignaciones[[#This Row],[turno]]="",ISNUMBER(MATCH(tblAsignaciones[[#This Row],[turno]],lista_no_disponible,0))),0,p_horas_jornada)</f>
        <v/>
      </c>
      <c r="I201" s="3">
        <f>tblAsignaciones[[#This Row],[semana]]&amp;"|"&amp;tblAsignaciones[[#This Row],[dia]]&amp;"|"&amp;tblAsignaciones[[#This Row],[tecnico]]</f>
        <v/>
      </c>
    </row>
    <row r="202">
      <c r="A202" s="3" t="inlineStr">
        <is>
          <t>S30</t>
        </is>
      </c>
      <c r="B202" s="3" t="inlineStr">
        <is>
          <t>miércoles</t>
        </is>
      </c>
      <c r="C202" s="3" t="inlineStr">
        <is>
          <t>Técnico 05</t>
        </is>
      </c>
      <c r="D202" s="3">
        <f>_xlfn.XLOOKUP(tblAsignaciones[[#This Row],[tecnico]],tblTecnicos[nombre],tblTecnicos[area],"")</f>
        <v/>
      </c>
      <c r="E202" s="3">
        <f>_xlfn.XLOOKUP(tblAsignaciones[[#This Row],[tecnico]],tblTecnicos[nombre],tblTecnicos[especialidad],"")</f>
        <v/>
      </c>
      <c r="F202" s="6" t="inlineStr">
        <is>
          <t>T1</t>
        </is>
      </c>
      <c r="G202" s="3">
        <f>_xlfn.XLOOKUP(tblAsignaciones[[#This Row],[tecnico]],tblTecnicos[nombre],tblTecnicos[coordinador],"")</f>
        <v/>
      </c>
      <c r="H202" s="3">
        <f>IF(OR(tblAsignaciones[[#This Row],[turno]]="",ISNUMBER(MATCH(tblAsignaciones[[#This Row],[turno]],lista_no_disponible,0))),0,p_horas_jornada)</f>
        <v/>
      </c>
      <c r="I202" s="3">
        <f>tblAsignaciones[[#This Row],[semana]]&amp;"|"&amp;tblAsignaciones[[#This Row],[dia]]&amp;"|"&amp;tblAsignaciones[[#This Row],[tecnico]]</f>
        <v/>
      </c>
    </row>
    <row r="203">
      <c r="A203" s="3" t="inlineStr">
        <is>
          <t>S30</t>
        </is>
      </c>
      <c r="B203" s="3" t="inlineStr">
        <is>
          <t>jueves</t>
        </is>
      </c>
      <c r="C203" s="3" t="inlineStr">
        <is>
          <t>Técnico 05</t>
        </is>
      </c>
      <c r="D203" s="3">
        <f>_xlfn.XLOOKUP(tblAsignaciones[[#This Row],[tecnico]],tblTecnicos[nombre],tblTecnicos[area],"")</f>
        <v/>
      </c>
      <c r="E203" s="3">
        <f>_xlfn.XLOOKUP(tblAsignaciones[[#This Row],[tecnico]],tblTecnicos[nombre],tblTecnicos[especialidad],"")</f>
        <v/>
      </c>
      <c r="F203" s="6" t="inlineStr">
        <is>
          <t>T1</t>
        </is>
      </c>
      <c r="G203" s="3">
        <f>_xlfn.XLOOKUP(tblAsignaciones[[#This Row],[tecnico]],tblTecnicos[nombre],tblTecnicos[coordinador],"")</f>
        <v/>
      </c>
      <c r="H203" s="3">
        <f>IF(OR(tblAsignaciones[[#This Row],[turno]]="",ISNUMBER(MATCH(tblAsignaciones[[#This Row],[turno]],lista_no_disponible,0))),0,p_horas_jornada)</f>
        <v/>
      </c>
      <c r="I203" s="3">
        <f>tblAsignaciones[[#This Row],[semana]]&amp;"|"&amp;tblAsignaciones[[#This Row],[dia]]&amp;"|"&amp;tblAsignaciones[[#This Row],[tecnico]]</f>
        <v/>
      </c>
    </row>
    <row r="204">
      <c r="A204" s="3" t="inlineStr">
        <is>
          <t>S30</t>
        </is>
      </c>
      <c r="B204" s="3" t="inlineStr">
        <is>
          <t>viernes</t>
        </is>
      </c>
      <c r="C204" s="3" t="inlineStr">
        <is>
          <t>Técnico 05</t>
        </is>
      </c>
      <c r="D204" s="3">
        <f>_xlfn.XLOOKUP(tblAsignaciones[[#This Row],[tecnico]],tblTecnicos[nombre],tblTecnicos[area],"")</f>
        <v/>
      </c>
      <c r="E204" s="3">
        <f>_xlfn.XLOOKUP(tblAsignaciones[[#This Row],[tecnico]],tblTecnicos[nombre],tblTecnicos[especialidad],"")</f>
        <v/>
      </c>
      <c r="F204" s="6" t="inlineStr">
        <is>
          <t>T1</t>
        </is>
      </c>
      <c r="G204" s="3">
        <f>_xlfn.XLOOKUP(tblAsignaciones[[#This Row],[tecnico]],tblTecnicos[nombre],tblTecnicos[coordinador],"")</f>
        <v/>
      </c>
      <c r="H204" s="3">
        <f>IF(OR(tblAsignaciones[[#This Row],[turno]]="",ISNUMBER(MATCH(tblAsignaciones[[#This Row],[turno]],lista_no_disponible,0))),0,p_horas_jornada)</f>
        <v/>
      </c>
      <c r="I204" s="3">
        <f>tblAsignaciones[[#This Row],[semana]]&amp;"|"&amp;tblAsignaciones[[#This Row],[dia]]&amp;"|"&amp;tblAsignaciones[[#This Row],[tecnico]]</f>
        <v/>
      </c>
    </row>
    <row r="205">
      <c r="A205" s="3" t="inlineStr">
        <is>
          <t>S30</t>
        </is>
      </c>
      <c r="B205" s="3" t="inlineStr">
        <is>
          <t>sábado</t>
        </is>
      </c>
      <c r="C205" s="3" t="inlineStr">
        <is>
          <t>Técnico 05</t>
        </is>
      </c>
      <c r="D205" s="3">
        <f>_xlfn.XLOOKUP(tblAsignaciones[[#This Row],[tecnico]],tblTecnicos[nombre],tblTecnicos[area],"")</f>
        <v/>
      </c>
      <c r="E205" s="3">
        <f>_xlfn.XLOOKUP(tblAsignaciones[[#This Row],[tecnico]],tblTecnicos[nombre],tblTecnicos[especialidad],"")</f>
        <v/>
      </c>
      <c r="F205" s="6" t="inlineStr"/>
      <c r="G205" s="3">
        <f>_xlfn.XLOOKUP(tblAsignaciones[[#This Row],[tecnico]],tblTecnicos[nombre],tblTecnicos[coordinador],"")</f>
        <v/>
      </c>
      <c r="H205" s="3">
        <f>IF(OR(tblAsignaciones[[#This Row],[turno]]="",ISNUMBER(MATCH(tblAsignaciones[[#This Row],[turno]],lista_no_disponible,0))),0,p_horas_jornada)</f>
        <v/>
      </c>
      <c r="I205" s="3">
        <f>tblAsignaciones[[#This Row],[semana]]&amp;"|"&amp;tblAsignaciones[[#This Row],[dia]]&amp;"|"&amp;tblAsignaciones[[#This Row],[tecnico]]</f>
        <v/>
      </c>
    </row>
    <row r="206">
      <c r="A206" s="3" t="inlineStr">
        <is>
          <t>S30</t>
        </is>
      </c>
      <c r="B206" s="3" t="inlineStr">
        <is>
          <t>domingo</t>
        </is>
      </c>
      <c r="C206" s="3" t="inlineStr">
        <is>
          <t>Técnico 05</t>
        </is>
      </c>
      <c r="D206" s="3">
        <f>_xlfn.XLOOKUP(tblAsignaciones[[#This Row],[tecnico]],tblTecnicos[nombre],tblTecnicos[area],"")</f>
        <v/>
      </c>
      <c r="E206" s="3">
        <f>_xlfn.XLOOKUP(tblAsignaciones[[#This Row],[tecnico]],tblTecnicos[nombre],tblTecnicos[especialidad],"")</f>
        <v/>
      </c>
      <c r="F206" s="6" t="inlineStr"/>
      <c r="G206" s="3">
        <f>_xlfn.XLOOKUP(tblAsignaciones[[#This Row],[tecnico]],tblTecnicos[nombre],tblTecnicos[coordinador],"")</f>
        <v/>
      </c>
      <c r="H206" s="3">
        <f>IF(OR(tblAsignaciones[[#This Row],[turno]]="",ISNUMBER(MATCH(tblAsignaciones[[#This Row],[turno]],lista_no_disponible,0))),0,p_horas_jornada)</f>
        <v/>
      </c>
      <c r="I206" s="3">
        <f>tblAsignaciones[[#This Row],[semana]]&amp;"|"&amp;tblAsignaciones[[#This Row],[dia]]&amp;"|"&amp;tblAsignaciones[[#This Row],[tecnico]]</f>
        <v/>
      </c>
    </row>
    <row r="207">
      <c r="A207" s="3" t="inlineStr">
        <is>
          <t>S30</t>
        </is>
      </c>
      <c r="B207" s="3" t="inlineStr">
        <is>
          <t>lunes</t>
        </is>
      </c>
      <c r="C207" s="3" t="inlineStr">
        <is>
          <t>Técnico 06</t>
        </is>
      </c>
      <c r="D207" s="3">
        <f>_xlfn.XLOOKUP(tblAsignaciones[[#This Row],[tecnico]],tblTecnicos[nombre],tblTecnicos[area],"")</f>
        <v/>
      </c>
      <c r="E207" s="3">
        <f>_xlfn.XLOOKUP(tblAsignaciones[[#This Row],[tecnico]],tblTecnicos[nombre],tblTecnicos[especialidad],"")</f>
        <v/>
      </c>
      <c r="F207" s="6" t="inlineStr">
        <is>
          <t>T1</t>
        </is>
      </c>
      <c r="G207" s="3">
        <f>_xlfn.XLOOKUP(tblAsignaciones[[#This Row],[tecnico]],tblTecnicos[nombre],tblTecnicos[coordinador],"")</f>
        <v/>
      </c>
      <c r="H207" s="3">
        <f>IF(OR(tblAsignaciones[[#This Row],[turno]]="",ISNUMBER(MATCH(tblAsignaciones[[#This Row],[turno]],lista_no_disponible,0))),0,p_horas_jornada)</f>
        <v/>
      </c>
      <c r="I207" s="3">
        <f>tblAsignaciones[[#This Row],[semana]]&amp;"|"&amp;tblAsignaciones[[#This Row],[dia]]&amp;"|"&amp;tblAsignaciones[[#This Row],[tecnico]]</f>
        <v/>
      </c>
    </row>
    <row r="208">
      <c r="A208" s="3" t="inlineStr">
        <is>
          <t>S30</t>
        </is>
      </c>
      <c r="B208" s="3" t="inlineStr">
        <is>
          <t>martes</t>
        </is>
      </c>
      <c r="C208" s="3" t="inlineStr">
        <is>
          <t>Técnico 06</t>
        </is>
      </c>
      <c r="D208" s="3">
        <f>_xlfn.XLOOKUP(tblAsignaciones[[#This Row],[tecnico]],tblTecnicos[nombre],tblTecnicos[area],"")</f>
        <v/>
      </c>
      <c r="E208" s="3">
        <f>_xlfn.XLOOKUP(tblAsignaciones[[#This Row],[tecnico]],tblTecnicos[nombre],tblTecnicos[especialidad],"")</f>
        <v/>
      </c>
      <c r="F208" s="6" t="inlineStr">
        <is>
          <t>T1</t>
        </is>
      </c>
      <c r="G208" s="3">
        <f>_xlfn.XLOOKUP(tblAsignaciones[[#This Row],[tecnico]],tblTecnicos[nombre],tblTecnicos[coordinador],"")</f>
        <v/>
      </c>
      <c r="H208" s="3">
        <f>IF(OR(tblAsignaciones[[#This Row],[turno]]="",ISNUMBER(MATCH(tblAsignaciones[[#This Row],[turno]],lista_no_disponible,0))),0,p_horas_jornada)</f>
        <v/>
      </c>
      <c r="I208" s="3">
        <f>tblAsignaciones[[#This Row],[semana]]&amp;"|"&amp;tblAsignaciones[[#This Row],[dia]]&amp;"|"&amp;tblAsignaciones[[#This Row],[tecnico]]</f>
        <v/>
      </c>
    </row>
    <row r="209">
      <c r="A209" s="3" t="inlineStr">
        <is>
          <t>S30</t>
        </is>
      </c>
      <c r="B209" s="3" t="inlineStr">
        <is>
          <t>miércoles</t>
        </is>
      </c>
      <c r="C209" s="3" t="inlineStr">
        <is>
          <t>Técnico 06</t>
        </is>
      </c>
      <c r="D209" s="3">
        <f>_xlfn.XLOOKUP(tblAsignaciones[[#This Row],[tecnico]],tblTecnicos[nombre],tblTecnicos[area],"")</f>
        <v/>
      </c>
      <c r="E209" s="3">
        <f>_xlfn.XLOOKUP(tblAsignaciones[[#This Row],[tecnico]],tblTecnicos[nombre],tblTecnicos[especialidad],"")</f>
        <v/>
      </c>
      <c r="F209" s="6" t="inlineStr">
        <is>
          <t>T1</t>
        </is>
      </c>
      <c r="G209" s="3">
        <f>_xlfn.XLOOKUP(tblAsignaciones[[#This Row],[tecnico]],tblTecnicos[nombre],tblTecnicos[coordinador],"")</f>
        <v/>
      </c>
      <c r="H209" s="3">
        <f>IF(OR(tblAsignaciones[[#This Row],[turno]]="",ISNUMBER(MATCH(tblAsignaciones[[#This Row],[turno]],lista_no_disponible,0))),0,p_horas_jornada)</f>
        <v/>
      </c>
      <c r="I209" s="3">
        <f>tblAsignaciones[[#This Row],[semana]]&amp;"|"&amp;tblAsignaciones[[#This Row],[dia]]&amp;"|"&amp;tblAsignaciones[[#This Row],[tecnico]]</f>
        <v/>
      </c>
    </row>
    <row r="210">
      <c r="A210" s="3" t="inlineStr">
        <is>
          <t>S30</t>
        </is>
      </c>
      <c r="B210" s="3" t="inlineStr">
        <is>
          <t>jueves</t>
        </is>
      </c>
      <c r="C210" s="3" t="inlineStr">
        <is>
          <t>Técnico 06</t>
        </is>
      </c>
      <c r="D210" s="3">
        <f>_xlfn.XLOOKUP(tblAsignaciones[[#This Row],[tecnico]],tblTecnicos[nombre],tblTecnicos[area],"")</f>
        <v/>
      </c>
      <c r="E210" s="3">
        <f>_xlfn.XLOOKUP(tblAsignaciones[[#This Row],[tecnico]],tblTecnicos[nombre],tblTecnicos[especialidad],"")</f>
        <v/>
      </c>
      <c r="F210" s="6" t="inlineStr">
        <is>
          <t>T1</t>
        </is>
      </c>
      <c r="G210" s="3">
        <f>_xlfn.XLOOKUP(tblAsignaciones[[#This Row],[tecnico]],tblTecnicos[nombre],tblTecnicos[coordinador],"")</f>
        <v/>
      </c>
      <c r="H210" s="3">
        <f>IF(OR(tblAsignaciones[[#This Row],[turno]]="",ISNUMBER(MATCH(tblAsignaciones[[#This Row],[turno]],lista_no_disponible,0))),0,p_horas_jornada)</f>
        <v/>
      </c>
      <c r="I210" s="3">
        <f>tblAsignaciones[[#This Row],[semana]]&amp;"|"&amp;tblAsignaciones[[#This Row],[dia]]&amp;"|"&amp;tblAsignaciones[[#This Row],[tecnico]]</f>
        <v/>
      </c>
    </row>
    <row r="211">
      <c r="A211" s="3" t="inlineStr">
        <is>
          <t>S30</t>
        </is>
      </c>
      <c r="B211" s="3" t="inlineStr">
        <is>
          <t>viernes</t>
        </is>
      </c>
      <c r="C211" s="3" t="inlineStr">
        <is>
          <t>Técnico 06</t>
        </is>
      </c>
      <c r="D211" s="3">
        <f>_xlfn.XLOOKUP(tblAsignaciones[[#This Row],[tecnico]],tblTecnicos[nombre],tblTecnicos[area],"")</f>
        <v/>
      </c>
      <c r="E211" s="3">
        <f>_xlfn.XLOOKUP(tblAsignaciones[[#This Row],[tecnico]],tblTecnicos[nombre],tblTecnicos[especialidad],"")</f>
        <v/>
      </c>
      <c r="F211" s="6" t="inlineStr">
        <is>
          <t>T1</t>
        </is>
      </c>
      <c r="G211" s="3">
        <f>_xlfn.XLOOKUP(tblAsignaciones[[#This Row],[tecnico]],tblTecnicos[nombre],tblTecnicos[coordinador],"")</f>
        <v/>
      </c>
      <c r="H211" s="3">
        <f>IF(OR(tblAsignaciones[[#This Row],[turno]]="",ISNUMBER(MATCH(tblAsignaciones[[#This Row],[turno]],lista_no_disponible,0))),0,p_horas_jornada)</f>
        <v/>
      </c>
      <c r="I211" s="3">
        <f>tblAsignaciones[[#This Row],[semana]]&amp;"|"&amp;tblAsignaciones[[#This Row],[dia]]&amp;"|"&amp;tblAsignaciones[[#This Row],[tecnico]]</f>
        <v/>
      </c>
    </row>
    <row r="212">
      <c r="A212" s="3" t="inlineStr">
        <is>
          <t>S30</t>
        </is>
      </c>
      <c r="B212" s="3" t="inlineStr">
        <is>
          <t>sábado</t>
        </is>
      </c>
      <c r="C212" s="3" t="inlineStr">
        <is>
          <t>Técnico 06</t>
        </is>
      </c>
      <c r="D212" s="3">
        <f>_xlfn.XLOOKUP(tblAsignaciones[[#This Row],[tecnico]],tblTecnicos[nombre],tblTecnicos[area],"")</f>
        <v/>
      </c>
      <c r="E212" s="3">
        <f>_xlfn.XLOOKUP(tblAsignaciones[[#This Row],[tecnico]],tblTecnicos[nombre],tblTecnicos[especialidad],"")</f>
        <v/>
      </c>
      <c r="F212" s="6" t="inlineStr"/>
      <c r="G212" s="3">
        <f>_xlfn.XLOOKUP(tblAsignaciones[[#This Row],[tecnico]],tblTecnicos[nombre],tblTecnicos[coordinador],"")</f>
        <v/>
      </c>
      <c r="H212" s="3">
        <f>IF(OR(tblAsignaciones[[#This Row],[turno]]="",ISNUMBER(MATCH(tblAsignaciones[[#This Row],[turno]],lista_no_disponible,0))),0,p_horas_jornada)</f>
        <v/>
      </c>
      <c r="I212" s="3">
        <f>tblAsignaciones[[#This Row],[semana]]&amp;"|"&amp;tblAsignaciones[[#This Row],[dia]]&amp;"|"&amp;tblAsignaciones[[#This Row],[tecnico]]</f>
        <v/>
      </c>
    </row>
    <row r="213">
      <c r="A213" s="3" t="inlineStr">
        <is>
          <t>S30</t>
        </is>
      </c>
      <c r="B213" s="3" t="inlineStr">
        <is>
          <t>domingo</t>
        </is>
      </c>
      <c r="C213" s="3" t="inlineStr">
        <is>
          <t>Técnico 06</t>
        </is>
      </c>
      <c r="D213" s="3">
        <f>_xlfn.XLOOKUP(tblAsignaciones[[#This Row],[tecnico]],tblTecnicos[nombre],tblTecnicos[area],"")</f>
        <v/>
      </c>
      <c r="E213" s="3">
        <f>_xlfn.XLOOKUP(tblAsignaciones[[#This Row],[tecnico]],tblTecnicos[nombre],tblTecnicos[especialidad],"")</f>
        <v/>
      </c>
      <c r="F213" s="6" t="inlineStr"/>
      <c r="G213" s="3">
        <f>_xlfn.XLOOKUP(tblAsignaciones[[#This Row],[tecnico]],tblTecnicos[nombre],tblTecnicos[coordinador],"")</f>
        <v/>
      </c>
      <c r="H213" s="3">
        <f>IF(OR(tblAsignaciones[[#This Row],[turno]]="",ISNUMBER(MATCH(tblAsignaciones[[#This Row],[turno]],lista_no_disponible,0))),0,p_horas_jornada)</f>
        <v/>
      </c>
      <c r="I213" s="3">
        <f>tblAsignaciones[[#This Row],[semana]]&amp;"|"&amp;tblAsignaciones[[#This Row],[dia]]&amp;"|"&amp;tblAsignaciones[[#This Row],[tecnico]]</f>
        <v/>
      </c>
    </row>
    <row r="214">
      <c r="A214" s="3" t="inlineStr">
        <is>
          <t>S30</t>
        </is>
      </c>
      <c r="B214" s="3" t="inlineStr">
        <is>
          <t>lunes</t>
        </is>
      </c>
      <c r="C214" s="3" t="inlineStr">
        <is>
          <t>Técnico 07</t>
        </is>
      </c>
      <c r="D214" s="3">
        <f>_xlfn.XLOOKUP(tblAsignaciones[[#This Row],[tecnico]],tblTecnicos[nombre],tblTecnicos[area],"")</f>
        <v/>
      </c>
      <c r="E214" s="3">
        <f>_xlfn.XLOOKUP(tblAsignaciones[[#This Row],[tecnico]],tblTecnicos[nombre],tblTecnicos[especialidad],"")</f>
        <v/>
      </c>
      <c r="F214" s="6" t="inlineStr">
        <is>
          <t>T1</t>
        </is>
      </c>
      <c r="G214" s="3">
        <f>_xlfn.XLOOKUP(tblAsignaciones[[#This Row],[tecnico]],tblTecnicos[nombre],tblTecnicos[coordinador],"")</f>
        <v/>
      </c>
      <c r="H214" s="3">
        <f>IF(OR(tblAsignaciones[[#This Row],[turno]]="",ISNUMBER(MATCH(tblAsignaciones[[#This Row],[turno]],lista_no_disponible,0))),0,p_horas_jornada)</f>
        <v/>
      </c>
      <c r="I214" s="3">
        <f>tblAsignaciones[[#This Row],[semana]]&amp;"|"&amp;tblAsignaciones[[#This Row],[dia]]&amp;"|"&amp;tblAsignaciones[[#This Row],[tecnico]]</f>
        <v/>
      </c>
    </row>
    <row r="215">
      <c r="A215" s="3" t="inlineStr">
        <is>
          <t>S30</t>
        </is>
      </c>
      <c r="B215" s="3" t="inlineStr">
        <is>
          <t>martes</t>
        </is>
      </c>
      <c r="C215" s="3" t="inlineStr">
        <is>
          <t>Técnico 07</t>
        </is>
      </c>
      <c r="D215" s="3">
        <f>_xlfn.XLOOKUP(tblAsignaciones[[#This Row],[tecnico]],tblTecnicos[nombre],tblTecnicos[area],"")</f>
        <v/>
      </c>
      <c r="E215" s="3">
        <f>_xlfn.XLOOKUP(tblAsignaciones[[#This Row],[tecnico]],tblTecnicos[nombre],tblTecnicos[especialidad],"")</f>
        <v/>
      </c>
      <c r="F215" s="6" t="inlineStr">
        <is>
          <t>T1</t>
        </is>
      </c>
      <c r="G215" s="3">
        <f>_xlfn.XLOOKUP(tblAsignaciones[[#This Row],[tecnico]],tblTecnicos[nombre],tblTecnicos[coordinador],"")</f>
        <v/>
      </c>
      <c r="H215" s="3">
        <f>IF(OR(tblAsignaciones[[#This Row],[turno]]="",ISNUMBER(MATCH(tblAsignaciones[[#This Row],[turno]],lista_no_disponible,0))),0,p_horas_jornada)</f>
        <v/>
      </c>
      <c r="I215" s="3">
        <f>tblAsignaciones[[#This Row],[semana]]&amp;"|"&amp;tblAsignaciones[[#This Row],[dia]]&amp;"|"&amp;tblAsignaciones[[#This Row],[tecnico]]</f>
        <v/>
      </c>
    </row>
    <row r="216">
      <c r="A216" s="3" t="inlineStr">
        <is>
          <t>S30</t>
        </is>
      </c>
      <c r="B216" s="3" t="inlineStr">
        <is>
          <t>miércoles</t>
        </is>
      </c>
      <c r="C216" s="3" t="inlineStr">
        <is>
          <t>Técnico 07</t>
        </is>
      </c>
      <c r="D216" s="3">
        <f>_xlfn.XLOOKUP(tblAsignaciones[[#This Row],[tecnico]],tblTecnicos[nombre],tblTecnicos[area],"")</f>
        <v/>
      </c>
      <c r="E216" s="3">
        <f>_xlfn.XLOOKUP(tblAsignaciones[[#This Row],[tecnico]],tblTecnicos[nombre],tblTecnicos[especialidad],"")</f>
        <v/>
      </c>
      <c r="F216" s="6" t="inlineStr">
        <is>
          <t>T1</t>
        </is>
      </c>
      <c r="G216" s="3">
        <f>_xlfn.XLOOKUP(tblAsignaciones[[#This Row],[tecnico]],tblTecnicos[nombre],tblTecnicos[coordinador],"")</f>
        <v/>
      </c>
      <c r="H216" s="3">
        <f>IF(OR(tblAsignaciones[[#This Row],[turno]]="",ISNUMBER(MATCH(tblAsignaciones[[#This Row],[turno]],lista_no_disponible,0))),0,p_horas_jornada)</f>
        <v/>
      </c>
      <c r="I216" s="3">
        <f>tblAsignaciones[[#This Row],[semana]]&amp;"|"&amp;tblAsignaciones[[#This Row],[dia]]&amp;"|"&amp;tblAsignaciones[[#This Row],[tecnico]]</f>
        <v/>
      </c>
    </row>
    <row r="217">
      <c r="A217" s="3" t="inlineStr">
        <is>
          <t>S30</t>
        </is>
      </c>
      <c r="B217" s="3" t="inlineStr">
        <is>
          <t>jueves</t>
        </is>
      </c>
      <c r="C217" s="3" t="inlineStr">
        <is>
          <t>Técnico 07</t>
        </is>
      </c>
      <c r="D217" s="3">
        <f>_xlfn.XLOOKUP(tblAsignaciones[[#This Row],[tecnico]],tblTecnicos[nombre],tblTecnicos[area],"")</f>
        <v/>
      </c>
      <c r="E217" s="3">
        <f>_xlfn.XLOOKUP(tblAsignaciones[[#This Row],[tecnico]],tblTecnicos[nombre],tblTecnicos[especialidad],"")</f>
        <v/>
      </c>
      <c r="F217" s="6" t="inlineStr">
        <is>
          <t>T1</t>
        </is>
      </c>
      <c r="G217" s="3">
        <f>_xlfn.XLOOKUP(tblAsignaciones[[#This Row],[tecnico]],tblTecnicos[nombre],tblTecnicos[coordinador],"")</f>
        <v/>
      </c>
      <c r="H217" s="3">
        <f>IF(OR(tblAsignaciones[[#This Row],[turno]]="",ISNUMBER(MATCH(tblAsignaciones[[#This Row],[turno]],lista_no_disponible,0))),0,p_horas_jornada)</f>
        <v/>
      </c>
      <c r="I217" s="3">
        <f>tblAsignaciones[[#This Row],[semana]]&amp;"|"&amp;tblAsignaciones[[#This Row],[dia]]&amp;"|"&amp;tblAsignaciones[[#This Row],[tecnico]]</f>
        <v/>
      </c>
    </row>
    <row r="218">
      <c r="A218" s="3" t="inlineStr">
        <is>
          <t>S30</t>
        </is>
      </c>
      <c r="B218" s="3" t="inlineStr">
        <is>
          <t>viernes</t>
        </is>
      </c>
      <c r="C218" s="3" t="inlineStr">
        <is>
          <t>Técnico 07</t>
        </is>
      </c>
      <c r="D218" s="3">
        <f>_xlfn.XLOOKUP(tblAsignaciones[[#This Row],[tecnico]],tblTecnicos[nombre],tblTecnicos[area],"")</f>
        <v/>
      </c>
      <c r="E218" s="3">
        <f>_xlfn.XLOOKUP(tblAsignaciones[[#This Row],[tecnico]],tblTecnicos[nombre],tblTecnicos[especialidad],"")</f>
        <v/>
      </c>
      <c r="F218" s="6" t="inlineStr">
        <is>
          <t>T1</t>
        </is>
      </c>
      <c r="G218" s="3">
        <f>_xlfn.XLOOKUP(tblAsignaciones[[#This Row],[tecnico]],tblTecnicos[nombre],tblTecnicos[coordinador],"")</f>
        <v/>
      </c>
      <c r="H218" s="3">
        <f>IF(OR(tblAsignaciones[[#This Row],[turno]]="",ISNUMBER(MATCH(tblAsignaciones[[#This Row],[turno]],lista_no_disponible,0))),0,p_horas_jornada)</f>
        <v/>
      </c>
      <c r="I218" s="3">
        <f>tblAsignaciones[[#This Row],[semana]]&amp;"|"&amp;tblAsignaciones[[#This Row],[dia]]&amp;"|"&amp;tblAsignaciones[[#This Row],[tecnico]]</f>
        <v/>
      </c>
    </row>
    <row r="219">
      <c r="A219" s="3" t="inlineStr">
        <is>
          <t>S30</t>
        </is>
      </c>
      <c r="B219" s="3" t="inlineStr">
        <is>
          <t>sábado</t>
        </is>
      </c>
      <c r="C219" s="3" t="inlineStr">
        <is>
          <t>Técnico 07</t>
        </is>
      </c>
      <c r="D219" s="3">
        <f>_xlfn.XLOOKUP(tblAsignaciones[[#This Row],[tecnico]],tblTecnicos[nombre],tblTecnicos[area],"")</f>
        <v/>
      </c>
      <c r="E219" s="3">
        <f>_xlfn.XLOOKUP(tblAsignaciones[[#This Row],[tecnico]],tblTecnicos[nombre],tblTecnicos[especialidad],"")</f>
        <v/>
      </c>
      <c r="F219" s="6" t="inlineStr"/>
      <c r="G219" s="3">
        <f>_xlfn.XLOOKUP(tblAsignaciones[[#This Row],[tecnico]],tblTecnicos[nombre],tblTecnicos[coordinador],"")</f>
        <v/>
      </c>
      <c r="H219" s="3">
        <f>IF(OR(tblAsignaciones[[#This Row],[turno]]="",ISNUMBER(MATCH(tblAsignaciones[[#This Row],[turno]],lista_no_disponible,0))),0,p_horas_jornada)</f>
        <v/>
      </c>
      <c r="I219" s="3">
        <f>tblAsignaciones[[#This Row],[semana]]&amp;"|"&amp;tblAsignaciones[[#This Row],[dia]]&amp;"|"&amp;tblAsignaciones[[#This Row],[tecnico]]</f>
        <v/>
      </c>
    </row>
    <row r="220">
      <c r="A220" s="3" t="inlineStr">
        <is>
          <t>S30</t>
        </is>
      </c>
      <c r="B220" s="3" t="inlineStr">
        <is>
          <t>domingo</t>
        </is>
      </c>
      <c r="C220" s="3" t="inlineStr">
        <is>
          <t>Técnico 07</t>
        </is>
      </c>
      <c r="D220" s="3">
        <f>_xlfn.XLOOKUP(tblAsignaciones[[#This Row],[tecnico]],tblTecnicos[nombre],tblTecnicos[area],"")</f>
        <v/>
      </c>
      <c r="E220" s="3">
        <f>_xlfn.XLOOKUP(tblAsignaciones[[#This Row],[tecnico]],tblTecnicos[nombre],tblTecnicos[especialidad],"")</f>
        <v/>
      </c>
      <c r="F220" s="6" t="inlineStr"/>
      <c r="G220" s="3">
        <f>_xlfn.XLOOKUP(tblAsignaciones[[#This Row],[tecnico]],tblTecnicos[nombre],tblTecnicos[coordinador],"")</f>
        <v/>
      </c>
      <c r="H220" s="3">
        <f>IF(OR(tblAsignaciones[[#This Row],[turno]]="",ISNUMBER(MATCH(tblAsignaciones[[#This Row],[turno]],lista_no_disponible,0))),0,p_horas_jornada)</f>
        <v/>
      </c>
      <c r="I220" s="3">
        <f>tblAsignaciones[[#This Row],[semana]]&amp;"|"&amp;tblAsignaciones[[#This Row],[dia]]&amp;"|"&amp;tblAsignaciones[[#This Row],[tecnico]]</f>
        <v/>
      </c>
    </row>
    <row r="221">
      <c r="A221" s="3" t="inlineStr">
        <is>
          <t>S30</t>
        </is>
      </c>
      <c r="B221" s="3" t="inlineStr">
        <is>
          <t>lunes</t>
        </is>
      </c>
      <c r="C221" s="3" t="inlineStr">
        <is>
          <t>Técnico 08</t>
        </is>
      </c>
      <c r="D221" s="3">
        <f>_xlfn.XLOOKUP(tblAsignaciones[[#This Row],[tecnico]],tblTecnicos[nombre],tblTecnicos[area],"")</f>
        <v/>
      </c>
      <c r="E221" s="3">
        <f>_xlfn.XLOOKUP(tblAsignaciones[[#This Row],[tecnico]],tblTecnicos[nombre],tblTecnicos[especialidad],"")</f>
        <v/>
      </c>
      <c r="F221" s="6" t="inlineStr">
        <is>
          <t>T3</t>
        </is>
      </c>
      <c r="G221" s="3">
        <f>_xlfn.XLOOKUP(tblAsignaciones[[#This Row],[tecnico]],tblTecnicos[nombre],tblTecnicos[coordinador],"")</f>
        <v/>
      </c>
      <c r="H221" s="3">
        <f>IF(OR(tblAsignaciones[[#This Row],[turno]]="",ISNUMBER(MATCH(tblAsignaciones[[#This Row],[turno]],lista_no_disponible,0))),0,p_horas_jornada)</f>
        <v/>
      </c>
      <c r="I221" s="3">
        <f>tblAsignaciones[[#This Row],[semana]]&amp;"|"&amp;tblAsignaciones[[#This Row],[dia]]&amp;"|"&amp;tblAsignaciones[[#This Row],[tecnico]]</f>
        <v/>
      </c>
    </row>
    <row r="222">
      <c r="A222" s="3" t="inlineStr">
        <is>
          <t>S30</t>
        </is>
      </c>
      <c r="B222" s="3" t="inlineStr">
        <is>
          <t>martes</t>
        </is>
      </c>
      <c r="C222" s="3" t="inlineStr">
        <is>
          <t>Técnico 08</t>
        </is>
      </c>
      <c r="D222" s="3">
        <f>_xlfn.XLOOKUP(tblAsignaciones[[#This Row],[tecnico]],tblTecnicos[nombre],tblTecnicos[area],"")</f>
        <v/>
      </c>
      <c r="E222" s="3">
        <f>_xlfn.XLOOKUP(tblAsignaciones[[#This Row],[tecnico]],tblTecnicos[nombre],tblTecnicos[especialidad],"")</f>
        <v/>
      </c>
      <c r="F222" s="6" t="inlineStr">
        <is>
          <t>T3</t>
        </is>
      </c>
      <c r="G222" s="3">
        <f>_xlfn.XLOOKUP(tblAsignaciones[[#This Row],[tecnico]],tblTecnicos[nombre],tblTecnicos[coordinador],"")</f>
        <v/>
      </c>
      <c r="H222" s="3">
        <f>IF(OR(tblAsignaciones[[#This Row],[turno]]="",ISNUMBER(MATCH(tblAsignaciones[[#This Row],[turno]],lista_no_disponible,0))),0,p_horas_jornada)</f>
        <v/>
      </c>
      <c r="I222" s="3">
        <f>tblAsignaciones[[#This Row],[semana]]&amp;"|"&amp;tblAsignaciones[[#This Row],[dia]]&amp;"|"&amp;tblAsignaciones[[#This Row],[tecnico]]</f>
        <v/>
      </c>
    </row>
    <row r="223">
      <c r="A223" s="3" t="inlineStr">
        <is>
          <t>S30</t>
        </is>
      </c>
      <c r="B223" s="3" t="inlineStr">
        <is>
          <t>miércoles</t>
        </is>
      </c>
      <c r="C223" s="3" t="inlineStr">
        <is>
          <t>Técnico 08</t>
        </is>
      </c>
      <c r="D223" s="3">
        <f>_xlfn.XLOOKUP(tblAsignaciones[[#This Row],[tecnico]],tblTecnicos[nombre],tblTecnicos[area],"")</f>
        <v/>
      </c>
      <c r="E223" s="3">
        <f>_xlfn.XLOOKUP(tblAsignaciones[[#This Row],[tecnico]],tblTecnicos[nombre],tblTecnicos[especialidad],"")</f>
        <v/>
      </c>
      <c r="F223" s="6" t="inlineStr">
        <is>
          <t>T3</t>
        </is>
      </c>
      <c r="G223" s="3">
        <f>_xlfn.XLOOKUP(tblAsignaciones[[#This Row],[tecnico]],tblTecnicos[nombre],tblTecnicos[coordinador],"")</f>
        <v/>
      </c>
      <c r="H223" s="3">
        <f>IF(OR(tblAsignaciones[[#This Row],[turno]]="",ISNUMBER(MATCH(tblAsignaciones[[#This Row],[turno]],lista_no_disponible,0))),0,p_horas_jornada)</f>
        <v/>
      </c>
      <c r="I223" s="3">
        <f>tblAsignaciones[[#This Row],[semana]]&amp;"|"&amp;tblAsignaciones[[#This Row],[dia]]&amp;"|"&amp;tblAsignaciones[[#This Row],[tecnico]]</f>
        <v/>
      </c>
    </row>
    <row r="224">
      <c r="A224" s="3" t="inlineStr">
        <is>
          <t>S30</t>
        </is>
      </c>
      <c r="B224" s="3" t="inlineStr">
        <is>
          <t>jueves</t>
        </is>
      </c>
      <c r="C224" s="3" t="inlineStr">
        <is>
          <t>Técnico 08</t>
        </is>
      </c>
      <c r="D224" s="3">
        <f>_xlfn.XLOOKUP(tblAsignaciones[[#This Row],[tecnico]],tblTecnicos[nombre],tblTecnicos[area],"")</f>
        <v/>
      </c>
      <c r="E224" s="3">
        <f>_xlfn.XLOOKUP(tblAsignaciones[[#This Row],[tecnico]],tblTecnicos[nombre],tblTecnicos[especialidad],"")</f>
        <v/>
      </c>
      <c r="F224" s="6" t="inlineStr">
        <is>
          <t>T3</t>
        </is>
      </c>
      <c r="G224" s="3">
        <f>_xlfn.XLOOKUP(tblAsignaciones[[#This Row],[tecnico]],tblTecnicos[nombre],tblTecnicos[coordinador],"")</f>
        <v/>
      </c>
      <c r="H224" s="3">
        <f>IF(OR(tblAsignaciones[[#This Row],[turno]]="",ISNUMBER(MATCH(tblAsignaciones[[#This Row],[turno]],lista_no_disponible,0))),0,p_horas_jornada)</f>
        <v/>
      </c>
      <c r="I224" s="3">
        <f>tblAsignaciones[[#This Row],[semana]]&amp;"|"&amp;tblAsignaciones[[#This Row],[dia]]&amp;"|"&amp;tblAsignaciones[[#This Row],[tecnico]]</f>
        <v/>
      </c>
    </row>
    <row r="225">
      <c r="A225" s="3" t="inlineStr">
        <is>
          <t>S30</t>
        </is>
      </c>
      <c r="B225" s="3" t="inlineStr">
        <is>
          <t>viernes</t>
        </is>
      </c>
      <c r="C225" s="3" t="inlineStr">
        <is>
          <t>Técnico 08</t>
        </is>
      </c>
      <c r="D225" s="3">
        <f>_xlfn.XLOOKUP(tblAsignaciones[[#This Row],[tecnico]],tblTecnicos[nombre],tblTecnicos[area],"")</f>
        <v/>
      </c>
      <c r="E225" s="3">
        <f>_xlfn.XLOOKUP(tblAsignaciones[[#This Row],[tecnico]],tblTecnicos[nombre],tblTecnicos[especialidad],"")</f>
        <v/>
      </c>
      <c r="F225" s="6" t="inlineStr">
        <is>
          <t>T3</t>
        </is>
      </c>
      <c r="G225" s="3">
        <f>_xlfn.XLOOKUP(tblAsignaciones[[#This Row],[tecnico]],tblTecnicos[nombre],tblTecnicos[coordinador],"")</f>
        <v/>
      </c>
      <c r="H225" s="3">
        <f>IF(OR(tblAsignaciones[[#This Row],[turno]]="",ISNUMBER(MATCH(tblAsignaciones[[#This Row],[turno]],lista_no_disponible,0))),0,p_horas_jornada)</f>
        <v/>
      </c>
      <c r="I225" s="3">
        <f>tblAsignaciones[[#This Row],[semana]]&amp;"|"&amp;tblAsignaciones[[#This Row],[dia]]&amp;"|"&amp;tblAsignaciones[[#This Row],[tecnico]]</f>
        <v/>
      </c>
    </row>
    <row r="226">
      <c r="A226" s="3" t="inlineStr">
        <is>
          <t>S30</t>
        </is>
      </c>
      <c r="B226" s="3" t="inlineStr">
        <is>
          <t>sábado</t>
        </is>
      </c>
      <c r="C226" s="3" t="inlineStr">
        <is>
          <t>Técnico 08</t>
        </is>
      </c>
      <c r="D226" s="3">
        <f>_xlfn.XLOOKUP(tblAsignaciones[[#This Row],[tecnico]],tblTecnicos[nombre],tblTecnicos[area],"")</f>
        <v/>
      </c>
      <c r="E226" s="3">
        <f>_xlfn.XLOOKUP(tblAsignaciones[[#This Row],[tecnico]],tblTecnicos[nombre],tblTecnicos[especialidad],"")</f>
        <v/>
      </c>
      <c r="F226" s="6" t="inlineStr"/>
      <c r="G226" s="3">
        <f>_xlfn.XLOOKUP(tblAsignaciones[[#This Row],[tecnico]],tblTecnicos[nombre],tblTecnicos[coordinador],"")</f>
        <v/>
      </c>
      <c r="H226" s="3">
        <f>IF(OR(tblAsignaciones[[#This Row],[turno]]="",ISNUMBER(MATCH(tblAsignaciones[[#This Row],[turno]],lista_no_disponible,0))),0,p_horas_jornada)</f>
        <v/>
      </c>
      <c r="I226" s="3">
        <f>tblAsignaciones[[#This Row],[semana]]&amp;"|"&amp;tblAsignaciones[[#This Row],[dia]]&amp;"|"&amp;tblAsignaciones[[#This Row],[tecnico]]</f>
        <v/>
      </c>
    </row>
    <row r="227">
      <c r="A227" s="3" t="inlineStr">
        <is>
          <t>S30</t>
        </is>
      </c>
      <c r="B227" s="3" t="inlineStr">
        <is>
          <t>domingo</t>
        </is>
      </c>
      <c r="C227" s="3" t="inlineStr">
        <is>
          <t>Técnico 08</t>
        </is>
      </c>
      <c r="D227" s="3">
        <f>_xlfn.XLOOKUP(tblAsignaciones[[#This Row],[tecnico]],tblTecnicos[nombre],tblTecnicos[area],"")</f>
        <v/>
      </c>
      <c r="E227" s="3">
        <f>_xlfn.XLOOKUP(tblAsignaciones[[#This Row],[tecnico]],tblTecnicos[nombre],tblTecnicos[especialidad],"")</f>
        <v/>
      </c>
      <c r="F227" s="6" t="inlineStr"/>
      <c r="G227" s="3">
        <f>_xlfn.XLOOKUP(tblAsignaciones[[#This Row],[tecnico]],tblTecnicos[nombre],tblTecnicos[coordinador],"")</f>
        <v/>
      </c>
      <c r="H227" s="3">
        <f>IF(OR(tblAsignaciones[[#This Row],[turno]]="",ISNUMBER(MATCH(tblAsignaciones[[#This Row],[turno]],lista_no_disponible,0))),0,p_horas_jornada)</f>
        <v/>
      </c>
      <c r="I227" s="3">
        <f>tblAsignaciones[[#This Row],[semana]]&amp;"|"&amp;tblAsignaciones[[#This Row],[dia]]&amp;"|"&amp;tblAsignaciones[[#This Row],[tecnico]]</f>
        <v/>
      </c>
    </row>
    <row r="228">
      <c r="A228" s="3" t="inlineStr">
        <is>
          <t>S30</t>
        </is>
      </c>
      <c r="B228" s="3" t="inlineStr">
        <is>
          <t>lunes</t>
        </is>
      </c>
      <c r="C228" s="3" t="inlineStr">
        <is>
          <t>Técnico 09</t>
        </is>
      </c>
      <c r="D228" s="3">
        <f>_xlfn.XLOOKUP(tblAsignaciones[[#This Row],[tecnico]],tblTecnicos[nombre],tblTecnicos[area],"")</f>
        <v/>
      </c>
      <c r="E228" s="3">
        <f>_xlfn.XLOOKUP(tblAsignaciones[[#This Row],[tecnico]],tblTecnicos[nombre],tblTecnicos[especialidad],"")</f>
        <v/>
      </c>
      <c r="F228" s="6" t="inlineStr">
        <is>
          <t>T1</t>
        </is>
      </c>
      <c r="G228" s="3">
        <f>_xlfn.XLOOKUP(tblAsignaciones[[#This Row],[tecnico]],tblTecnicos[nombre],tblTecnicos[coordinador],"")</f>
        <v/>
      </c>
      <c r="H228" s="3">
        <f>IF(OR(tblAsignaciones[[#This Row],[turno]]="",ISNUMBER(MATCH(tblAsignaciones[[#This Row],[turno]],lista_no_disponible,0))),0,p_horas_jornada)</f>
        <v/>
      </c>
      <c r="I228" s="3">
        <f>tblAsignaciones[[#This Row],[semana]]&amp;"|"&amp;tblAsignaciones[[#This Row],[dia]]&amp;"|"&amp;tblAsignaciones[[#This Row],[tecnico]]</f>
        <v/>
      </c>
    </row>
    <row r="229">
      <c r="A229" s="3" t="inlineStr">
        <is>
          <t>S30</t>
        </is>
      </c>
      <c r="B229" s="3" t="inlineStr">
        <is>
          <t>martes</t>
        </is>
      </c>
      <c r="C229" s="3" t="inlineStr">
        <is>
          <t>Técnico 09</t>
        </is>
      </c>
      <c r="D229" s="3">
        <f>_xlfn.XLOOKUP(tblAsignaciones[[#This Row],[tecnico]],tblTecnicos[nombre],tblTecnicos[area],"")</f>
        <v/>
      </c>
      <c r="E229" s="3">
        <f>_xlfn.XLOOKUP(tblAsignaciones[[#This Row],[tecnico]],tblTecnicos[nombre],tblTecnicos[especialidad],"")</f>
        <v/>
      </c>
      <c r="F229" s="6" t="inlineStr">
        <is>
          <t>T1</t>
        </is>
      </c>
      <c r="G229" s="3">
        <f>_xlfn.XLOOKUP(tblAsignaciones[[#This Row],[tecnico]],tblTecnicos[nombre],tblTecnicos[coordinador],"")</f>
        <v/>
      </c>
      <c r="H229" s="3">
        <f>IF(OR(tblAsignaciones[[#This Row],[turno]]="",ISNUMBER(MATCH(tblAsignaciones[[#This Row],[turno]],lista_no_disponible,0))),0,p_horas_jornada)</f>
        <v/>
      </c>
      <c r="I229" s="3">
        <f>tblAsignaciones[[#This Row],[semana]]&amp;"|"&amp;tblAsignaciones[[#This Row],[dia]]&amp;"|"&amp;tblAsignaciones[[#This Row],[tecnico]]</f>
        <v/>
      </c>
    </row>
    <row r="230">
      <c r="A230" s="3" t="inlineStr">
        <is>
          <t>S30</t>
        </is>
      </c>
      <c r="B230" s="3" t="inlineStr">
        <is>
          <t>miércoles</t>
        </is>
      </c>
      <c r="C230" s="3" t="inlineStr">
        <is>
          <t>Técnico 09</t>
        </is>
      </c>
      <c r="D230" s="3">
        <f>_xlfn.XLOOKUP(tblAsignaciones[[#This Row],[tecnico]],tblTecnicos[nombre],tblTecnicos[area],"")</f>
        <v/>
      </c>
      <c r="E230" s="3">
        <f>_xlfn.XLOOKUP(tblAsignaciones[[#This Row],[tecnico]],tblTecnicos[nombre],tblTecnicos[especialidad],"")</f>
        <v/>
      </c>
      <c r="F230" s="6" t="inlineStr">
        <is>
          <t>T1</t>
        </is>
      </c>
      <c r="G230" s="3">
        <f>_xlfn.XLOOKUP(tblAsignaciones[[#This Row],[tecnico]],tblTecnicos[nombre],tblTecnicos[coordinador],"")</f>
        <v/>
      </c>
      <c r="H230" s="3">
        <f>IF(OR(tblAsignaciones[[#This Row],[turno]]="",ISNUMBER(MATCH(tblAsignaciones[[#This Row],[turno]],lista_no_disponible,0))),0,p_horas_jornada)</f>
        <v/>
      </c>
      <c r="I230" s="3">
        <f>tblAsignaciones[[#This Row],[semana]]&amp;"|"&amp;tblAsignaciones[[#This Row],[dia]]&amp;"|"&amp;tblAsignaciones[[#This Row],[tecnico]]</f>
        <v/>
      </c>
    </row>
    <row r="231">
      <c r="A231" s="3" t="inlineStr">
        <is>
          <t>S30</t>
        </is>
      </c>
      <c r="B231" s="3" t="inlineStr">
        <is>
          <t>jueves</t>
        </is>
      </c>
      <c r="C231" s="3" t="inlineStr">
        <is>
          <t>Técnico 09</t>
        </is>
      </c>
      <c r="D231" s="3">
        <f>_xlfn.XLOOKUP(tblAsignaciones[[#This Row],[tecnico]],tblTecnicos[nombre],tblTecnicos[area],"")</f>
        <v/>
      </c>
      <c r="E231" s="3">
        <f>_xlfn.XLOOKUP(tblAsignaciones[[#This Row],[tecnico]],tblTecnicos[nombre],tblTecnicos[especialidad],"")</f>
        <v/>
      </c>
      <c r="F231" s="6" t="inlineStr">
        <is>
          <t>T1</t>
        </is>
      </c>
      <c r="G231" s="3">
        <f>_xlfn.XLOOKUP(tblAsignaciones[[#This Row],[tecnico]],tblTecnicos[nombre],tblTecnicos[coordinador],"")</f>
        <v/>
      </c>
      <c r="H231" s="3">
        <f>IF(OR(tblAsignaciones[[#This Row],[turno]]="",ISNUMBER(MATCH(tblAsignaciones[[#This Row],[turno]],lista_no_disponible,0))),0,p_horas_jornada)</f>
        <v/>
      </c>
      <c r="I231" s="3">
        <f>tblAsignaciones[[#This Row],[semana]]&amp;"|"&amp;tblAsignaciones[[#This Row],[dia]]&amp;"|"&amp;tblAsignaciones[[#This Row],[tecnico]]</f>
        <v/>
      </c>
    </row>
    <row r="232">
      <c r="A232" s="3" t="inlineStr">
        <is>
          <t>S30</t>
        </is>
      </c>
      <c r="B232" s="3" t="inlineStr">
        <is>
          <t>viernes</t>
        </is>
      </c>
      <c r="C232" s="3" t="inlineStr">
        <is>
          <t>Técnico 09</t>
        </is>
      </c>
      <c r="D232" s="3">
        <f>_xlfn.XLOOKUP(tblAsignaciones[[#This Row],[tecnico]],tblTecnicos[nombre],tblTecnicos[area],"")</f>
        <v/>
      </c>
      <c r="E232" s="3">
        <f>_xlfn.XLOOKUP(tblAsignaciones[[#This Row],[tecnico]],tblTecnicos[nombre],tblTecnicos[especialidad],"")</f>
        <v/>
      </c>
      <c r="F232" s="6" t="inlineStr">
        <is>
          <t>T1</t>
        </is>
      </c>
      <c r="G232" s="3">
        <f>_xlfn.XLOOKUP(tblAsignaciones[[#This Row],[tecnico]],tblTecnicos[nombre],tblTecnicos[coordinador],"")</f>
        <v/>
      </c>
      <c r="H232" s="3">
        <f>IF(OR(tblAsignaciones[[#This Row],[turno]]="",ISNUMBER(MATCH(tblAsignaciones[[#This Row],[turno]],lista_no_disponible,0))),0,p_horas_jornada)</f>
        <v/>
      </c>
      <c r="I232" s="3">
        <f>tblAsignaciones[[#This Row],[semana]]&amp;"|"&amp;tblAsignaciones[[#This Row],[dia]]&amp;"|"&amp;tblAsignaciones[[#This Row],[tecnico]]</f>
        <v/>
      </c>
    </row>
    <row r="233">
      <c r="A233" s="3" t="inlineStr">
        <is>
          <t>S30</t>
        </is>
      </c>
      <c r="B233" s="3" t="inlineStr">
        <is>
          <t>sábado</t>
        </is>
      </c>
      <c r="C233" s="3" t="inlineStr">
        <is>
          <t>Técnico 09</t>
        </is>
      </c>
      <c r="D233" s="3">
        <f>_xlfn.XLOOKUP(tblAsignaciones[[#This Row],[tecnico]],tblTecnicos[nombre],tblTecnicos[area],"")</f>
        <v/>
      </c>
      <c r="E233" s="3">
        <f>_xlfn.XLOOKUP(tblAsignaciones[[#This Row],[tecnico]],tblTecnicos[nombre],tblTecnicos[especialidad],"")</f>
        <v/>
      </c>
      <c r="F233" s="6" t="inlineStr"/>
      <c r="G233" s="3">
        <f>_xlfn.XLOOKUP(tblAsignaciones[[#This Row],[tecnico]],tblTecnicos[nombre],tblTecnicos[coordinador],"")</f>
        <v/>
      </c>
      <c r="H233" s="3">
        <f>IF(OR(tblAsignaciones[[#This Row],[turno]]="",ISNUMBER(MATCH(tblAsignaciones[[#This Row],[turno]],lista_no_disponible,0))),0,p_horas_jornada)</f>
        <v/>
      </c>
      <c r="I233" s="3">
        <f>tblAsignaciones[[#This Row],[semana]]&amp;"|"&amp;tblAsignaciones[[#This Row],[dia]]&amp;"|"&amp;tblAsignaciones[[#This Row],[tecnico]]</f>
        <v/>
      </c>
    </row>
    <row r="234">
      <c r="A234" s="3" t="inlineStr">
        <is>
          <t>S30</t>
        </is>
      </c>
      <c r="B234" s="3" t="inlineStr">
        <is>
          <t>domingo</t>
        </is>
      </c>
      <c r="C234" s="3" t="inlineStr">
        <is>
          <t>Técnico 09</t>
        </is>
      </c>
      <c r="D234" s="3">
        <f>_xlfn.XLOOKUP(tblAsignaciones[[#This Row],[tecnico]],tblTecnicos[nombre],tblTecnicos[area],"")</f>
        <v/>
      </c>
      <c r="E234" s="3">
        <f>_xlfn.XLOOKUP(tblAsignaciones[[#This Row],[tecnico]],tblTecnicos[nombre],tblTecnicos[especialidad],"")</f>
        <v/>
      </c>
      <c r="F234" s="6" t="inlineStr"/>
      <c r="G234" s="3">
        <f>_xlfn.XLOOKUP(tblAsignaciones[[#This Row],[tecnico]],tblTecnicos[nombre],tblTecnicos[coordinador],"")</f>
        <v/>
      </c>
      <c r="H234" s="3">
        <f>IF(OR(tblAsignaciones[[#This Row],[turno]]="",ISNUMBER(MATCH(tblAsignaciones[[#This Row],[turno]],lista_no_disponible,0))),0,p_horas_jornada)</f>
        <v/>
      </c>
      <c r="I234" s="3">
        <f>tblAsignaciones[[#This Row],[semana]]&amp;"|"&amp;tblAsignaciones[[#This Row],[dia]]&amp;"|"&amp;tblAsignaciones[[#This Row],[tecnico]]</f>
        <v/>
      </c>
    </row>
    <row r="235">
      <c r="A235" s="3" t="inlineStr">
        <is>
          <t>S30</t>
        </is>
      </c>
      <c r="B235" s="3" t="inlineStr">
        <is>
          <t>lunes</t>
        </is>
      </c>
      <c r="C235" s="3" t="inlineStr">
        <is>
          <t>Técnico 10</t>
        </is>
      </c>
      <c r="D235" s="3">
        <f>_xlfn.XLOOKUP(tblAsignaciones[[#This Row],[tecnico]],tblTecnicos[nombre],tblTecnicos[area],"")</f>
        <v/>
      </c>
      <c r="E235" s="3">
        <f>_xlfn.XLOOKUP(tblAsignaciones[[#This Row],[tecnico]],tblTecnicos[nombre],tblTecnicos[especialidad],"")</f>
        <v/>
      </c>
      <c r="F235" s="6" t="inlineStr">
        <is>
          <t>B1</t>
        </is>
      </c>
      <c r="G235" s="3">
        <f>_xlfn.XLOOKUP(tblAsignaciones[[#This Row],[tecnico]],tblTecnicos[nombre],tblTecnicos[coordinador],"")</f>
        <v/>
      </c>
      <c r="H235" s="3">
        <f>IF(OR(tblAsignaciones[[#This Row],[turno]]="",ISNUMBER(MATCH(tblAsignaciones[[#This Row],[turno]],lista_no_disponible,0))),0,p_horas_jornada)</f>
        <v/>
      </c>
      <c r="I235" s="3">
        <f>tblAsignaciones[[#This Row],[semana]]&amp;"|"&amp;tblAsignaciones[[#This Row],[dia]]&amp;"|"&amp;tblAsignaciones[[#This Row],[tecnico]]</f>
        <v/>
      </c>
    </row>
    <row r="236">
      <c r="A236" s="3" t="inlineStr">
        <is>
          <t>S30</t>
        </is>
      </c>
      <c r="B236" s="3" t="inlineStr">
        <is>
          <t>martes</t>
        </is>
      </c>
      <c r="C236" s="3" t="inlineStr">
        <is>
          <t>Técnico 10</t>
        </is>
      </c>
      <c r="D236" s="3">
        <f>_xlfn.XLOOKUP(tblAsignaciones[[#This Row],[tecnico]],tblTecnicos[nombre],tblTecnicos[area],"")</f>
        <v/>
      </c>
      <c r="E236" s="3">
        <f>_xlfn.XLOOKUP(tblAsignaciones[[#This Row],[tecnico]],tblTecnicos[nombre],tblTecnicos[especialidad],"")</f>
        <v/>
      </c>
      <c r="F236" s="6" t="inlineStr">
        <is>
          <t>B1</t>
        </is>
      </c>
      <c r="G236" s="3">
        <f>_xlfn.XLOOKUP(tblAsignaciones[[#This Row],[tecnico]],tblTecnicos[nombre],tblTecnicos[coordinador],"")</f>
        <v/>
      </c>
      <c r="H236" s="3">
        <f>IF(OR(tblAsignaciones[[#This Row],[turno]]="",ISNUMBER(MATCH(tblAsignaciones[[#This Row],[turno]],lista_no_disponible,0))),0,p_horas_jornada)</f>
        <v/>
      </c>
      <c r="I236" s="3">
        <f>tblAsignaciones[[#This Row],[semana]]&amp;"|"&amp;tblAsignaciones[[#This Row],[dia]]&amp;"|"&amp;tblAsignaciones[[#This Row],[tecnico]]</f>
        <v/>
      </c>
    </row>
    <row r="237">
      <c r="A237" s="3" t="inlineStr">
        <is>
          <t>S30</t>
        </is>
      </c>
      <c r="B237" s="3" t="inlineStr">
        <is>
          <t>miércoles</t>
        </is>
      </c>
      <c r="C237" s="3" t="inlineStr">
        <is>
          <t>Técnico 10</t>
        </is>
      </c>
      <c r="D237" s="3">
        <f>_xlfn.XLOOKUP(tblAsignaciones[[#This Row],[tecnico]],tblTecnicos[nombre],tblTecnicos[area],"")</f>
        <v/>
      </c>
      <c r="E237" s="3">
        <f>_xlfn.XLOOKUP(tblAsignaciones[[#This Row],[tecnico]],tblTecnicos[nombre],tblTecnicos[especialidad],"")</f>
        <v/>
      </c>
      <c r="F237" s="6" t="inlineStr">
        <is>
          <t>B1</t>
        </is>
      </c>
      <c r="G237" s="3">
        <f>_xlfn.XLOOKUP(tblAsignaciones[[#This Row],[tecnico]],tblTecnicos[nombre],tblTecnicos[coordinador],"")</f>
        <v/>
      </c>
      <c r="H237" s="3">
        <f>IF(OR(tblAsignaciones[[#This Row],[turno]]="",ISNUMBER(MATCH(tblAsignaciones[[#This Row],[turno]],lista_no_disponible,0))),0,p_horas_jornada)</f>
        <v/>
      </c>
      <c r="I237" s="3">
        <f>tblAsignaciones[[#This Row],[semana]]&amp;"|"&amp;tblAsignaciones[[#This Row],[dia]]&amp;"|"&amp;tblAsignaciones[[#This Row],[tecnico]]</f>
        <v/>
      </c>
    </row>
    <row r="238">
      <c r="A238" s="3" t="inlineStr">
        <is>
          <t>S30</t>
        </is>
      </c>
      <c r="B238" s="3" t="inlineStr">
        <is>
          <t>jueves</t>
        </is>
      </c>
      <c r="C238" s="3" t="inlineStr">
        <is>
          <t>Técnico 10</t>
        </is>
      </c>
      <c r="D238" s="3">
        <f>_xlfn.XLOOKUP(tblAsignaciones[[#This Row],[tecnico]],tblTecnicos[nombre],tblTecnicos[area],"")</f>
        <v/>
      </c>
      <c r="E238" s="3">
        <f>_xlfn.XLOOKUP(tblAsignaciones[[#This Row],[tecnico]],tblTecnicos[nombre],tblTecnicos[especialidad],"")</f>
        <v/>
      </c>
      <c r="F238" s="6" t="inlineStr">
        <is>
          <t>B1</t>
        </is>
      </c>
      <c r="G238" s="3">
        <f>_xlfn.XLOOKUP(tblAsignaciones[[#This Row],[tecnico]],tblTecnicos[nombre],tblTecnicos[coordinador],"")</f>
        <v/>
      </c>
      <c r="H238" s="3">
        <f>IF(OR(tblAsignaciones[[#This Row],[turno]]="",ISNUMBER(MATCH(tblAsignaciones[[#This Row],[turno]],lista_no_disponible,0))),0,p_horas_jornada)</f>
        <v/>
      </c>
      <c r="I238" s="3">
        <f>tblAsignaciones[[#This Row],[semana]]&amp;"|"&amp;tblAsignaciones[[#This Row],[dia]]&amp;"|"&amp;tblAsignaciones[[#This Row],[tecnico]]</f>
        <v/>
      </c>
    </row>
    <row r="239">
      <c r="A239" s="3" t="inlineStr">
        <is>
          <t>S30</t>
        </is>
      </c>
      <c r="B239" s="3" t="inlineStr">
        <is>
          <t>viernes</t>
        </is>
      </c>
      <c r="C239" s="3" t="inlineStr">
        <is>
          <t>Técnico 10</t>
        </is>
      </c>
      <c r="D239" s="3">
        <f>_xlfn.XLOOKUP(tblAsignaciones[[#This Row],[tecnico]],tblTecnicos[nombre],tblTecnicos[area],"")</f>
        <v/>
      </c>
      <c r="E239" s="3">
        <f>_xlfn.XLOOKUP(tblAsignaciones[[#This Row],[tecnico]],tblTecnicos[nombre],tblTecnicos[especialidad],"")</f>
        <v/>
      </c>
      <c r="F239" s="6" t="inlineStr">
        <is>
          <t>B1</t>
        </is>
      </c>
      <c r="G239" s="3">
        <f>_xlfn.XLOOKUP(tblAsignaciones[[#This Row],[tecnico]],tblTecnicos[nombre],tblTecnicos[coordinador],"")</f>
        <v/>
      </c>
      <c r="H239" s="3">
        <f>IF(OR(tblAsignaciones[[#This Row],[turno]]="",ISNUMBER(MATCH(tblAsignaciones[[#This Row],[turno]],lista_no_disponible,0))),0,p_horas_jornada)</f>
        <v/>
      </c>
      <c r="I239" s="3">
        <f>tblAsignaciones[[#This Row],[semana]]&amp;"|"&amp;tblAsignaciones[[#This Row],[dia]]&amp;"|"&amp;tblAsignaciones[[#This Row],[tecnico]]</f>
        <v/>
      </c>
    </row>
    <row r="240">
      <c r="A240" s="3" t="inlineStr">
        <is>
          <t>S30</t>
        </is>
      </c>
      <c r="B240" s="3" t="inlineStr">
        <is>
          <t>sábado</t>
        </is>
      </c>
      <c r="C240" s="3" t="inlineStr">
        <is>
          <t>Técnico 10</t>
        </is>
      </c>
      <c r="D240" s="3">
        <f>_xlfn.XLOOKUP(tblAsignaciones[[#This Row],[tecnico]],tblTecnicos[nombre],tblTecnicos[area],"")</f>
        <v/>
      </c>
      <c r="E240" s="3">
        <f>_xlfn.XLOOKUP(tblAsignaciones[[#This Row],[tecnico]],tblTecnicos[nombre],tblTecnicos[especialidad],"")</f>
        <v/>
      </c>
      <c r="F240" s="6" t="inlineStr"/>
      <c r="G240" s="3">
        <f>_xlfn.XLOOKUP(tblAsignaciones[[#This Row],[tecnico]],tblTecnicos[nombre],tblTecnicos[coordinador],"")</f>
        <v/>
      </c>
      <c r="H240" s="3">
        <f>IF(OR(tblAsignaciones[[#This Row],[turno]]="",ISNUMBER(MATCH(tblAsignaciones[[#This Row],[turno]],lista_no_disponible,0))),0,p_horas_jornada)</f>
        <v/>
      </c>
      <c r="I240" s="3">
        <f>tblAsignaciones[[#This Row],[semana]]&amp;"|"&amp;tblAsignaciones[[#This Row],[dia]]&amp;"|"&amp;tblAsignaciones[[#This Row],[tecnico]]</f>
        <v/>
      </c>
    </row>
    <row r="241">
      <c r="A241" s="3" t="inlineStr">
        <is>
          <t>S30</t>
        </is>
      </c>
      <c r="B241" s="3" t="inlineStr">
        <is>
          <t>domingo</t>
        </is>
      </c>
      <c r="C241" s="3" t="inlineStr">
        <is>
          <t>Técnico 10</t>
        </is>
      </c>
      <c r="D241" s="3">
        <f>_xlfn.XLOOKUP(tblAsignaciones[[#This Row],[tecnico]],tblTecnicos[nombre],tblTecnicos[area],"")</f>
        <v/>
      </c>
      <c r="E241" s="3">
        <f>_xlfn.XLOOKUP(tblAsignaciones[[#This Row],[tecnico]],tblTecnicos[nombre],tblTecnicos[especialidad],"")</f>
        <v/>
      </c>
      <c r="F241" s="6" t="inlineStr"/>
      <c r="G241" s="3">
        <f>_xlfn.XLOOKUP(tblAsignaciones[[#This Row],[tecnico]],tblTecnicos[nombre],tblTecnicos[coordinador],"")</f>
        <v/>
      </c>
      <c r="H241" s="3">
        <f>IF(OR(tblAsignaciones[[#This Row],[turno]]="",ISNUMBER(MATCH(tblAsignaciones[[#This Row],[turno]],lista_no_disponible,0))),0,p_horas_jornada)</f>
        <v/>
      </c>
      <c r="I241" s="3">
        <f>tblAsignaciones[[#This Row],[semana]]&amp;"|"&amp;tblAsignaciones[[#This Row],[dia]]&amp;"|"&amp;tblAsignaciones[[#This Row],[tecnico]]</f>
        <v/>
      </c>
    </row>
    <row r="242">
      <c r="A242" s="3" t="inlineStr">
        <is>
          <t>S30</t>
        </is>
      </c>
      <c r="B242" s="3" t="inlineStr">
        <is>
          <t>lunes</t>
        </is>
      </c>
      <c r="C242" s="3" t="inlineStr">
        <is>
          <t>Técnico 11</t>
        </is>
      </c>
      <c r="D242" s="3">
        <f>_xlfn.XLOOKUP(tblAsignaciones[[#This Row],[tecnico]],tblTecnicos[nombre],tblTecnicos[area],"")</f>
        <v/>
      </c>
      <c r="E242" s="3">
        <f>_xlfn.XLOOKUP(tblAsignaciones[[#This Row],[tecnico]],tblTecnicos[nombre],tblTecnicos[especialidad],"")</f>
        <v/>
      </c>
      <c r="F242" s="6" t="inlineStr">
        <is>
          <t>T1</t>
        </is>
      </c>
      <c r="G242" s="3">
        <f>_xlfn.XLOOKUP(tblAsignaciones[[#This Row],[tecnico]],tblTecnicos[nombre],tblTecnicos[coordinador],"")</f>
        <v/>
      </c>
      <c r="H242" s="3">
        <f>IF(OR(tblAsignaciones[[#This Row],[turno]]="",ISNUMBER(MATCH(tblAsignaciones[[#This Row],[turno]],lista_no_disponible,0))),0,p_horas_jornada)</f>
        <v/>
      </c>
      <c r="I242" s="3">
        <f>tblAsignaciones[[#This Row],[semana]]&amp;"|"&amp;tblAsignaciones[[#This Row],[dia]]&amp;"|"&amp;tblAsignaciones[[#This Row],[tecnico]]</f>
        <v/>
      </c>
    </row>
    <row r="243">
      <c r="A243" s="3" t="inlineStr">
        <is>
          <t>S30</t>
        </is>
      </c>
      <c r="B243" s="3" t="inlineStr">
        <is>
          <t>martes</t>
        </is>
      </c>
      <c r="C243" s="3" t="inlineStr">
        <is>
          <t>Técnico 11</t>
        </is>
      </c>
      <c r="D243" s="3">
        <f>_xlfn.XLOOKUP(tblAsignaciones[[#This Row],[tecnico]],tblTecnicos[nombre],tblTecnicos[area],"")</f>
        <v/>
      </c>
      <c r="E243" s="3">
        <f>_xlfn.XLOOKUP(tblAsignaciones[[#This Row],[tecnico]],tblTecnicos[nombre],tblTecnicos[especialidad],"")</f>
        <v/>
      </c>
      <c r="F243" s="6" t="inlineStr">
        <is>
          <t>T1</t>
        </is>
      </c>
      <c r="G243" s="3">
        <f>_xlfn.XLOOKUP(tblAsignaciones[[#This Row],[tecnico]],tblTecnicos[nombre],tblTecnicos[coordinador],"")</f>
        <v/>
      </c>
      <c r="H243" s="3">
        <f>IF(OR(tblAsignaciones[[#This Row],[turno]]="",ISNUMBER(MATCH(tblAsignaciones[[#This Row],[turno]],lista_no_disponible,0))),0,p_horas_jornada)</f>
        <v/>
      </c>
      <c r="I243" s="3">
        <f>tblAsignaciones[[#This Row],[semana]]&amp;"|"&amp;tblAsignaciones[[#This Row],[dia]]&amp;"|"&amp;tblAsignaciones[[#This Row],[tecnico]]</f>
        <v/>
      </c>
    </row>
    <row r="244">
      <c r="A244" s="3" t="inlineStr">
        <is>
          <t>S30</t>
        </is>
      </c>
      <c r="B244" s="3" t="inlineStr">
        <is>
          <t>miércoles</t>
        </is>
      </c>
      <c r="C244" s="3" t="inlineStr">
        <is>
          <t>Técnico 11</t>
        </is>
      </c>
      <c r="D244" s="3">
        <f>_xlfn.XLOOKUP(tblAsignaciones[[#This Row],[tecnico]],tblTecnicos[nombre],tblTecnicos[area],"")</f>
        <v/>
      </c>
      <c r="E244" s="3">
        <f>_xlfn.XLOOKUP(tblAsignaciones[[#This Row],[tecnico]],tblTecnicos[nombre],tblTecnicos[especialidad],"")</f>
        <v/>
      </c>
      <c r="F244" s="6" t="inlineStr">
        <is>
          <t>T1</t>
        </is>
      </c>
      <c r="G244" s="3">
        <f>_xlfn.XLOOKUP(tblAsignaciones[[#This Row],[tecnico]],tblTecnicos[nombre],tblTecnicos[coordinador],"")</f>
        <v/>
      </c>
      <c r="H244" s="3">
        <f>IF(OR(tblAsignaciones[[#This Row],[turno]]="",ISNUMBER(MATCH(tblAsignaciones[[#This Row],[turno]],lista_no_disponible,0))),0,p_horas_jornada)</f>
        <v/>
      </c>
      <c r="I244" s="3">
        <f>tblAsignaciones[[#This Row],[semana]]&amp;"|"&amp;tblAsignaciones[[#This Row],[dia]]&amp;"|"&amp;tblAsignaciones[[#This Row],[tecnico]]</f>
        <v/>
      </c>
    </row>
    <row r="245">
      <c r="A245" s="3" t="inlineStr">
        <is>
          <t>S30</t>
        </is>
      </c>
      <c r="B245" s="3" t="inlineStr">
        <is>
          <t>jueves</t>
        </is>
      </c>
      <c r="C245" s="3" t="inlineStr">
        <is>
          <t>Técnico 11</t>
        </is>
      </c>
      <c r="D245" s="3">
        <f>_xlfn.XLOOKUP(tblAsignaciones[[#This Row],[tecnico]],tblTecnicos[nombre],tblTecnicos[area],"")</f>
        <v/>
      </c>
      <c r="E245" s="3">
        <f>_xlfn.XLOOKUP(tblAsignaciones[[#This Row],[tecnico]],tblTecnicos[nombre],tblTecnicos[especialidad],"")</f>
        <v/>
      </c>
      <c r="F245" s="6" t="inlineStr">
        <is>
          <t>T1</t>
        </is>
      </c>
      <c r="G245" s="3">
        <f>_xlfn.XLOOKUP(tblAsignaciones[[#This Row],[tecnico]],tblTecnicos[nombre],tblTecnicos[coordinador],"")</f>
        <v/>
      </c>
      <c r="H245" s="3">
        <f>IF(OR(tblAsignaciones[[#This Row],[turno]]="",ISNUMBER(MATCH(tblAsignaciones[[#This Row],[turno]],lista_no_disponible,0))),0,p_horas_jornada)</f>
        <v/>
      </c>
      <c r="I245" s="3">
        <f>tblAsignaciones[[#This Row],[semana]]&amp;"|"&amp;tblAsignaciones[[#This Row],[dia]]&amp;"|"&amp;tblAsignaciones[[#This Row],[tecnico]]</f>
        <v/>
      </c>
    </row>
    <row r="246">
      <c r="A246" s="3" t="inlineStr">
        <is>
          <t>S30</t>
        </is>
      </c>
      <c r="B246" s="3" t="inlineStr">
        <is>
          <t>viernes</t>
        </is>
      </c>
      <c r="C246" s="3" t="inlineStr">
        <is>
          <t>Técnico 11</t>
        </is>
      </c>
      <c r="D246" s="3">
        <f>_xlfn.XLOOKUP(tblAsignaciones[[#This Row],[tecnico]],tblTecnicos[nombre],tblTecnicos[area],"")</f>
        <v/>
      </c>
      <c r="E246" s="3">
        <f>_xlfn.XLOOKUP(tblAsignaciones[[#This Row],[tecnico]],tblTecnicos[nombre],tblTecnicos[especialidad],"")</f>
        <v/>
      </c>
      <c r="F246" s="6" t="inlineStr">
        <is>
          <t>T1</t>
        </is>
      </c>
      <c r="G246" s="3">
        <f>_xlfn.XLOOKUP(tblAsignaciones[[#This Row],[tecnico]],tblTecnicos[nombre],tblTecnicos[coordinador],"")</f>
        <v/>
      </c>
      <c r="H246" s="3">
        <f>IF(OR(tblAsignaciones[[#This Row],[turno]]="",ISNUMBER(MATCH(tblAsignaciones[[#This Row],[turno]],lista_no_disponible,0))),0,p_horas_jornada)</f>
        <v/>
      </c>
      <c r="I246" s="3">
        <f>tblAsignaciones[[#This Row],[semana]]&amp;"|"&amp;tblAsignaciones[[#This Row],[dia]]&amp;"|"&amp;tblAsignaciones[[#This Row],[tecnico]]</f>
        <v/>
      </c>
    </row>
    <row r="247">
      <c r="A247" s="3" t="inlineStr">
        <is>
          <t>S30</t>
        </is>
      </c>
      <c r="B247" s="3" t="inlineStr">
        <is>
          <t>sábado</t>
        </is>
      </c>
      <c r="C247" s="3" t="inlineStr">
        <is>
          <t>Técnico 11</t>
        </is>
      </c>
      <c r="D247" s="3">
        <f>_xlfn.XLOOKUP(tblAsignaciones[[#This Row],[tecnico]],tblTecnicos[nombre],tblTecnicos[area],"")</f>
        <v/>
      </c>
      <c r="E247" s="3">
        <f>_xlfn.XLOOKUP(tblAsignaciones[[#This Row],[tecnico]],tblTecnicos[nombre],tblTecnicos[especialidad],"")</f>
        <v/>
      </c>
      <c r="F247" s="6" t="inlineStr"/>
      <c r="G247" s="3">
        <f>_xlfn.XLOOKUP(tblAsignaciones[[#This Row],[tecnico]],tblTecnicos[nombre],tblTecnicos[coordinador],"")</f>
        <v/>
      </c>
      <c r="H247" s="3">
        <f>IF(OR(tblAsignaciones[[#This Row],[turno]]="",ISNUMBER(MATCH(tblAsignaciones[[#This Row],[turno]],lista_no_disponible,0))),0,p_horas_jornada)</f>
        <v/>
      </c>
      <c r="I247" s="3">
        <f>tblAsignaciones[[#This Row],[semana]]&amp;"|"&amp;tblAsignaciones[[#This Row],[dia]]&amp;"|"&amp;tblAsignaciones[[#This Row],[tecnico]]</f>
        <v/>
      </c>
    </row>
    <row r="248">
      <c r="A248" s="3" t="inlineStr">
        <is>
          <t>S30</t>
        </is>
      </c>
      <c r="B248" s="3" t="inlineStr">
        <is>
          <t>domingo</t>
        </is>
      </c>
      <c r="C248" s="3" t="inlineStr">
        <is>
          <t>Técnico 11</t>
        </is>
      </c>
      <c r="D248" s="3">
        <f>_xlfn.XLOOKUP(tblAsignaciones[[#This Row],[tecnico]],tblTecnicos[nombre],tblTecnicos[area],"")</f>
        <v/>
      </c>
      <c r="E248" s="3">
        <f>_xlfn.XLOOKUP(tblAsignaciones[[#This Row],[tecnico]],tblTecnicos[nombre],tblTecnicos[especialidad],"")</f>
        <v/>
      </c>
      <c r="F248" s="6" t="inlineStr"/>
      <c r="G248" s="3">
        <f>_xlfn.XLOOKUP(tblAsignaciones[[#This Row],[tecnico]],tblTecnicos[nombre],tblTecnicos[coordinador],"")</f>
        <v/>
      </c>
      <c r="H248" s="3">
        <f>IF(OR(tblAsignaciones[[#This Row],[turno]]="",ISNUMBER(MATCH(tblAsignaciones[[#This Row],[turno]],lista_no_disponible,0))),0,p_horas_jornada)</f>
        <v/>
      </c>
      <c r="I248" s="3">
        <f>tblAsignaciones[[#This Row],[semana]]&amp;"|"&amp;tblAsignaciones[[#This Row],[dia]]&amp;"|"&amp;tblAsignaciones[[#This Row],[tecnico]]</f>
        <v/>
      </c>
    </row>
    <row r="249">
      <c r="A249" s="3" t="inlineStr">
        <is>
          <t>S30</t>
        </is>
      </c>
      <c r="B249" s="3" t="inlineStr">
        <is>
          <t>lunes</t>
        </is>
      </c>
      <c r="C249" s="3" t="inlineStr">
        <is>
          <t>Técnico 12</t>
        </is>
      </c>
      <c r="D249" s="3">
        <f>_xlfn.XLOOKUP(tblAsignaciones[[#This Row],[tecnico]],tblTecnicos[nombre],tblTecnicos[area],"")</f>
        <v/>
      </c>
      <c r="E249" s="3">
        <f>_xlfn.XLOOKUP(tblAsignaciones[[#This Row],[tecnico]],tblTecnicos[nombre],tblTecnicos[especialidad],"")</f>
        <v/>
      </c>
      <c r="F249" s="6" t="inlineStr">
        <is>
          <t>T1</t>
        </is>
      </c>
      <c r="G249" s="3">
        <f>_xlfn.XLOOKUP(tblAsignaciones[[#This Row],[tecnico]],tblTecnicos[nombre],tblTecnicos[coordinador],"")</f>
        <v/>
      </c>
      <c r="H249" s="3">
        <f>IF(OR(tblAsignaciones[[#This Row],[turno]]="",ISNUMBER(MATCH(tblAsignaciones[[#This Row],[turno]],lista_no_disponible,0))),0,p_horas_jornada)</f>
        <v/>
      </c>
      <c r="I249" s="3">
        <f>tblAsignaciones[[#This Row],[semana]]&amp;"|"&amp;tblAsignaciones[[#This Row],[dia]]&amp;"|"&amp;tblAsignaciones[[#This Row],[tecnico]]</f>
        <v/>
      </c>
    </row>
    <row r="250">
      <c r="A250" s="3" t="inlineStr">
        <is>
          <t>S30</t>
        </is>
      </c>
      <c r="B250" s="3" t="inlineStr">
        <is>
          <t>martes</t>
        </is>
      </c>
      <c r="C250" s="3" t="inlineStr">
        <is>
          <t>Técnico 12</t>
        </is>
      </c>
      <c r="D250" s="3">
        <f>_xlfn.XLOOKUP(tblAsignaciones[[#This Row],[tecnico]],tblTecnicos[nombre],tblTecnicos[area],"")</f>
        <v/>
      </c>
      <c r="E250" s="3">
        <f>_xlfn.XLOOKUP(tblAsignaciones[[#This Row],[tecnico]],tblTecnicos[nombre],tblTecnicos[especialidad],"")</f>
        <v/>
      </c>
      <c r="F250" s="6" t="inlineStr">
        <is>
          <t>T1</t>
        </is>
      </c>
      <c r="G250" s="3">
        <f>_xlfn.XLOOKUP(tblAsignaciones[[#This Row],[tecnico]],tblTecnicos[nombre],tblTecnicos[coordinador],"")</f>
        <v/>
      </c>
      <c r="H250" s="3">
        <f>IF(OR(tblAsignaciones[[#This Row],[turno]]="",ISNUMBER(MATCH(tblAsignaciones[[#This Row],[turno]],lista_no_disponible,0))),0,p_horas_jornada)</f>
        <v/>
      </c>
      <c r="I250" s="3">
        <f>tblAsignaciones[[#This Row],[semana]]&amp;"|"&amp;tblAsignaciones[[#This Row],[dia]]&amp;"|"&amp;tblAsignaciones[[#This Row],[tecnico]]</f>
        <v/>
      </c>
    </row>
    <row r="251">
      <c r="A251" s="3" t="inlineStr">
        <is>
          <t>S30</t>
        </is>
      </c>
      <c r="B251" s="3" t="inlineStr">
        <is>
          <t>miércoles</t>
        </is>
      </c>
      <c r="C251" s="3" t="inlineStr">
        <is>
          <t>Técnico 12</t>
        </is>
      </c>
      <c r="D251" s="3">
        <f>_xlfn.XLOOKUP(tblAsignaciones[[#This Row],[tecnico]],tblTecnicos[nombre],tblTecnicos[area],"")</f>
        <v/>
      </c>
      <c r="E251" s="3">
        <f>_xlfn.XLOOKUP(tblAsignaciones[[#This Row],[tecnico]],tblTecnicos[nombre],tblTecnicos[especialidad],"")</f>
        <v/>
      </c>
      <c r="F251" s="6" t="inlineStr">
        <is>
          <t>T1</t>
        </is>
      </c>
      <c r="G251" s="3">
        <f>_xlfn.XLOOKUP(tblAsignaciones[[#This Row],[tecnico]],tblTecnicos[nombre],tblTecnicos[coordinador],"")</f>
        <v/>
      </c>
      <c r="H251" s="3">
        <f>IF(OR(tblAsignaciones[[#This Row],[turno]]="",ISNUMBER(MATCH(tblAsignaciones[[#This Row],[turno]],lista_no_disponible,0))),0,p_horas_jornada)</f>
        <v/>
      </c>
      <c r="I251" s="3">
        <f>tblAsignaciones[[#This Row],[semana]]&amp;"|"&amp;tblAsignaciones[[#This Row],[dia]]&amp;"|"&amp;tblAsignaciones[[#This Row],[tecnico]]</f>
        <v/>
      </c>
    </row>
    <row r="252">
      <c r="A252" s="3" t="inlineStr">
        <is>
          <t>S30</t>
        </is>
      </c>
      <c r="B252" s="3" t="inlineStr">
        <is>
          <t>jueves</t>
        </is>
      </c>
      <c r="C252" s="3" t="inlineStr">
        <is>
          <t>Técnico 12</t>
        </is>
      </c>
      <c r="D252" s="3">
        <f>_xlfn.XLOOKUP(tblAsignaciones[[#This Row],[tecnico]],tblTecnicos[nombre],tblTecnicos[area],"")</f>
        <v/>
      </c>
      <c r="E252" s="3">
        <f>_xlfn.XLOOKUP(tblAsignaciones[[#This Row],[tecnico]],tblTecnicos[nombre],tblTecnicos[especialidad],"")</f>
        <v/>
      </c>
      <c r="F252" s="6" t="inlineStr">
        <is>
          <t>T1</t>
        </is>
      </c>
      <c r="G252" s="3">
        <f>_xlfn.XLOOKUP(tblAsignaciones[[#This Row],[tecnico]],tblTecnicos[nombre],tblTecnicos[coordinador],"")</f>
        <v/>
      </c>
      <c r="H252" s="3">
        <f>IF(OR(tblAsignaciones[[#This Row],[turno]]="",ISNUMBER(MATCH(tblAsignaciones[[#This Row],[turno]],lista_no_disponible,0))),0,p_horas_jornada)</f>
        <v/>
      </c>
      <c r="I252" s="3">
        <f>tblAsignaciones[[#This Row],[semana]]&amp;"|"&amp;tblAsignaciones[[#This Row],[dia]]&amp;"|"&amp;tblAsignaciones[[#This Row],[tecnico]]</f>
        <v/>
      </c>
    </row>
    <row r="253">
      <c r="A253" s="3" t="inlineStr">
        <is>
          <t>S30</t>
        </is>
      </c>
      <c r="B253" s="3" t="inlineStr">
        <is>
          <t>viernes</t>
        </is>
      </c>
      <c r="C253" s="3" t="inlineStr">
        <is>
          <t>Técnico 12</t>
        </is>
      </c>
      <c r="D253" s="3">
        <f>_xlfn.XLOOKUP(tblAsignaciones[[#This Row],[tecnico]],tblTecnicos[nombre],tblTecnicos[area],"")</f>
        <v/>
      </c>
      <c r="E253" s="3">
        <f>_xlfn.XLOOKUP(tblAsignaciones[[#This Row],[tecnico]],tblTecnicos[nombre],tblTecnicos[especialidad],"")</f>
        <v/>
      </c>
      <c r="F253" s="6" t="inlineStr">
        <is>
          <t>T1</t>
        </is>
      </c>
      <c r="G253" s="3">
        <f>_xlfn.XLOOKUP(tblAsignaciones[[#This Row],[tecnico]],tblTecnicos[nombre],tblTecnicos[coordinador],"")</f>
        <v/>
      </c>
      <c r="H253" s="3">
        <f>IF(OR(tblAsignaciones[[#This Row],[turno]]="",ISNUMBER(MATCH(tblAsignaciones[[#This Row],[turno]],lista_no_disponible,0))),0,p_horas_jornada)</f>
        <v/>
      </c>
      <c r="I253" s="3">
        <f>tblAsignaciones[[#This Row],[semana]]&amp;"|"&amp;tblAsignaciones[[#This Row],[dia]]&amp;"|"&amp;tblAsignaciones[[#This Row],[tecnico]]</f>
        <v/>
      </c>
    </row>
    <row r="254">
      <c r="A254" s="3" t="inlineStr">
        <is>
          <t>S30</t>
        </is>
      </c>
      <c r="B254" s="3" t="inlineStr">
        <is>
          <t>sábado</t>
        </is>
      </c>
      <c r="C254" s="3" t="inlineStr">
        <is>
          <t>Técnico 12</t>
        </is>
      </c>
      <c r="D254" s="3">
        <f>_xlfn.XLOOKUP(tblAsignaciones[[#This Row],[tecnico]],tblTecnicos[nombre],tblTecnicos[area],"")</f>
        <v/>
      </c>
      <c r="E254" s="3">
        <f>_xlfn.XLOOKUP(tblAsignaciones[[#This Row],[tecnico]],tblTecnicos[nombre],tblTecnicos[especialidad],"")</f>
        <v/>
      </c>
      <c r="F254" s="6" t="inlineStr"/>
      <c r="G254" s="3">
        <f>_xlfn.XLOOKUP(tblAsignaciones[[#This Row],[tecnico]],tblTecnicos[nombre],tblTecnicos[coordinador],"")</f>
        <v/>
      </c>
      <c r="H254" s="3">
        <f>IF(OR(tblAsignaciones[[#This Row],[turno]]="",ISNUMBER(MATCH(tblAsignaciones[[#This Row],[turno]],lista_no_disponible,0))),0,p_horas_jornada)</f>
        <v/>
      </c>
      <c r="I254" s="3">
        <f>tblAsignaciones[[#This Row],[semana]]&amp;"|"&amp;tblAsignaciones[[#This Row],[dia]]&amp;"|"&amp;tblAsignaciones[[#This Row],[tecnico]]</f>
        <v/>
      </c>
    </row>
    <row r="255">
      <c r="A255" s="3" t="inlineStr">
        <is>
          <t>S30</t>
        </is>
      </c>
      <c r="B255" s="3" t="inlineStr">
        <is>
          <t>domingo</t>
        </is>
      </c>
      <c r="C255" s="3" t="inlineStr">
        <is>
          <t>Técnico 12</t>
        </is>
      </c>
      <c r="D255" s="3">
        <f>_xlfn.XLOOKUP(tblAsignaciones[[#This Row],[tecnico]],tblTecnicos[nombre],tblTecnicos[area],"")</f>
        <v/>
      </c>
      <c r="E255" s="3">
        <f>_xlfn.XLOOKUP(tblAsignaciones[[#This Row],[tecnico]],tblTecnicos[nombre],tblTecnicos[especialidad],"")</f>
        <v/>
      </c>
      <c r="F255" s="6" t="inlineStr"/>
      <c r="G255" s="3">
        <f>_xlfn.XLOOKUP(tblAsignaciones[[#This Row],[tecnico]],tblTecnicos[nombre],tblTecnicos[coordinador],"")</f>
        <v/>
      </c>
      <c r="H255" s="3">
        <f>IF(OR(tblAsignaciones[[#This Row],[turno]]="",ISNUMBER(MATCH(tblAsignaciones[[#This Row],[turno]],lista_no_disponible,0))),0,p_horas_jornada)</f>
        <v/>
      </c>
      <c r="I255" s="3">
        <f>tblAsignaciones[[#This Row],[semana]]&amp;"|"&amp;tblAsignaciones[[#This Row],[dia]]&amp;"|"&amp;tblAsignaciones[[#This Row],[tecnico]]</f>
        <v/>
      </c>
    </row>
    <row r="256">
      <c r="A256" s="3" t="inlineStr">
        <is>
          <t>S31</t>
        </is>
      </c>
      <c r="B256" s="3" t="inlineStr">
        <is>
          <t>lunes</t>
        </is>
      </c>
      <c r="C256" s="3" t="inlineStr">
        <is>
          <t>Técnico 01</t>
        </is>
      </c>
      <c r="D256" s="3">
        <f>_xlfn.XLOOKUP(tblAsignaciones[[#This Row],[tecnico]],tblTecnicos[nombre],tblTecnicos[area],"")</f>
        <v/>
      </c>
      <c r="E256" s="3">
        <f>_xlfn.XLOOKUP(tblAsignaciones[[#This Row],[tecnico]],tblTecnicos[nombre],tblTecnicos[especialidad],"")</f>
        <v/>
      </c>
      <c r="F256" s="6" t="inlineStr">
        <is>
          <t>T1</t>
        </is>
      </c>
      <c r="G256" s="3">
        <f>_xlfn.XLOOKUP(tblAsignaciones[[#This Row],[tecnico]],tblTecnicos[nombre],tblTecnicos[coordinador],"")</f>
        <v/>
      </c>
      <c r="H256" s="3">
        <f>IF(OR(tblAsignaciones[[#This Row],[turno]]="",ISNUMBER(MATCH(tblAsignaciones[[#This Row],[turno]],lista_no_disponible,0))),0,p_horas_jornada)</f>
        <v/>
      </c>
      <c r="I256" s="3">
        <f>tblAsignaciones[[#This Row],[semana]]&amp;"|"&amp;tblAsignaciones[[#This Row],[dia]]&amp;"|"&amp;tblAsignaciones[[#This Row],[tecnico]]</f>
        <v/>
      </c>
    </row>
    <row r="257">
      <c r="A257" s="3" t="inlineStr">
        <is>
          <t>S31</t>
        </is>
      </c>
      <c r="B257" s="3" t="inlineStr">
        <is>
          <t>martes</t>
        </is>
      </c>
      <c r="C257" s="3" t="inlineStr">
        <is>
          <t>Técnico 01</t>
        </is>
      </c>
      <c r="D257" s="3">
        <f>_xlfn.XLOOKUP(tblAsignaciones[[#This Row],[tecnico]],tblTecnicos[nombre],tblTecnicos[area],"")</f>
        <v/>
      </c>
      <c r="E257" s="3">
        <f>_xlfn.XLOOKUP(tblAsignaciones[[#This Row],[tecnico]],tblTecnicos[nombre],tblTecnicos[especialidad],"")</f>
        <v/>
      </c>
      <c r="F257" s="6" t="inlineStr">
        <is>
          <t>T1</t>
        </is>
      </c>
      <c r="G257" s="3">
        <f>_xlfn.XLOOKUP(tblAsignaciones[[#This Row],[tecnico]],tblTecnicos[nombre],tblTecnicos[coordinador],"")</f>
        <v/>
      </c>
      <c r="H257" s="3">
        <f>IF(OR(tblAsignaciones[[#This Row],[turno]]="",ISNUMBER(MATCH(tblAsignaciones[[#This Row],[turno]],lista_no_disponible,0))),0,p_horas_jornada)</f>
        <v/>
      </c>
      <c r="I257" s="3">
        <f>tblAsignaciones[[#This Row],[semana]]&amp;"|"&amp;tblAsignaciones[[#This Row],[dia]]&amp;"|"&amp;tblAsignaciones[[#This Row],[tecnico]]</f>
        <v/>
      </c>
    </row>
    <row r="258">
      <c r="A258" s="3" t="inlineStr">
        <is>
          <t>S31</t>
        </is>
      </c>
      <c r="B258" s="3" t="inlineStr">
        <is>
          <t>miércoles</t>
        </is>
      </c>
      <c r="C258" s="3" t="inlineStr">
        <is>
          <t>Técnico 01</t>
        </is>
      </c>
      <c r="D258" s="3">
        <f>_xlfn.XLOOKUP(tblAsignaciones[[#This Row],[tecnico]],tblTecnicos[nombre],tblTecnicos[area],"")</f>
        <v/>
      </c>
      <c r="E258" s="3">
        <f>_xlfn.XLOOKUP(tblAsignaciones[[#This Row],[tecnico]],tblTecnicos[nombre],tblTecnicos[especialidad],"")</f>
        <v/>
      </c>
      <c r="F258" s="6" t="inlineStr">
        <is>
          <t>T1</t>
        </is>
      </c>
      <c r="G258" s="3">
        <f>_xlfn.XLOOKUP(tblAsignaciones[[#This Row],[tecnico]],tblTecnicos[nombre],tblTecnicos[coordinador],"")</f>
        <v/>
      </c>
      <c r="H258" s="3">
        <f>IF(OR(tblAsignaciones[[#This Row],[turno]]="",ISNUMBER(MATCH(tblAsignaciones[[#This Row],[turno]],lista_no_disponible,0))),0,p_horas_jornada)</f>
        <v/>
      </c>
      <c r="I258" s="3">
        <f>tblAsignaciones[[#This Row],[semana]]&amp;"|"&amp;tblAsignaciones[[#This Row],[dia]]&amp;"|"&amp;tblAsignaciones[[#This Row],[tecnico]]</f>
        <v/>
      </c>
    </row>
    <row r="259">
      <c r="A259" s="3" t="inlineStr">
        <is>
          <t>S31</t>
        </is>
      </c>
      <c r="B259" s="3" t="inlineStr">
        <is>
          <t>jueves</t>
        </is>
      </c>
      <c r="C259" s="3" t="inlineStr">
        <is>
          <t>Técnico 01</t>
        </is>
      </c>
      <c r="D259" s="3">
        <f>_xlfn.XLOOKUP(tblAsignaciones[[#This Row],[tecnico]],tblTecnicos[nombre],tblTecnicos[area],"")</f>
        <v/>
      </c>
      <c r="E259" s="3">
        <f>_xlfn.XLOOKUP(tblAsignaciones[[#This Row],[tecnico]],tblTecnicos[nombre],tblTecnicos[especialidad],"")</f>
        <v/>
      </c>
      <c r="F259" s="6" t="inlineStr">
        <is>
          <t>T1</t>
        </is>
      </c>
      <c r="G259" s="3">
        <f>_xlfn.XLOOKUP(tblAsignaciones[[#This Row],[tecnico]],tblTecnicos[nombre],tblTecnicos[coordinador],"")</f>
        <v/>
      </c>
      <c r="H259" s="3">
        <f>IF(OR(tblAsignaciones[[#This Row],[turno]]="",ISNUMBER(MATCH(tblAsignaciones[[#This Row],[turno]],lista_no_disponible,0))),0,p_horas_jornada)</f>
        <v/>
      </c>
      <c r="I259" s="3">
        <f>tblAsignaciones[[#This Row],[semana]]&amp;"|"&amp;tblAsignaciones[[#This Row],[dia]]&amp;"|"&amp;tblAsignaciones[[#This Row],[tecnico]]</f>
        <v/>
      </c>
    </row>
    <row r="260">
      <c r="A260" s="3" t="inlineStr">
        <is>
          <t>S31</t>
        </is>
      </c>
      <c r="B260" s="3" t="inlineStr">
        <is>
          <t>viernes</t>
        </is>
      </c>
      <c r="C260" s="3" t="inlineStr">
        <is>
          <t>Técnico 01</t>
        </is>
      </c>
      <c r="D260" s="3">
        <f>_xlfn.XLOOKUP(tblAsignaciones[[#This Row],[tecnico]],tblTecnicos[nombre],tblTecnicos[area],"")</f>
        <v/>
      </c>
      <c r="E260" s="3">
        <f>_xlfn.XLOOKUP(tblAsignaciones[[#This Row],[tecnico]],tblTecnicos[nombre],tblTecnicos[especialidad],"")</f>
        <v/>
      </c>
      <c r="F260" s="6" t="inlineStr">
        <is>
          <t>T1</t>
        </is>
      </c>
      <c r="G260" s="3">
        <f>_xlfn.XLOOKUP(tblAsignaciones[[#This Row],[tecnico]],tblTecnicos[nombre],tblTecnicos[coordinador],"")</f>
        <v/>
      </c>
      <c r="H260" s="3">
        <f>IF(OR(tblAsignaciones[[#This Row],[turno]]="",ISNUMBER(MATCH(tblAsignaciones[[#This Row],[turno]],lista_no_disponible,0))),0,p_horas_jornada)</f>
        <v/>
      </c>
      <c r="I260" s="3">
        <f>tblAsignaciones[[#This Row],[semana]]&amp;"|"&amp;tblAsignaciones[[#This Row],[dia]]&amp;"|"&amp;tblAsignaciones[[#This Row],[tecnico]]</f>
        <v/>
      </c>
    </row>
    <row r="261">
      <c r="A261" s="3" t="inlineStr">
        <is>
          <t>S31</t>
        </is>
      </c>
      <c r="B261" s="3" t="inlineStr">
        <is>
          <t>sábado</t>
        </is>
      </c>
      <c r="C261" s="3" t="inlineStr">
        <is>
          <t>Técnico 01</t>
        </is>
      </c>
      <c r="D261" s="3">
        <f>_xlfn.XLOOKUP(tblAsignaciones[[#This Row],[tecnico]],tblTecnicos[nombre],tblTecnicos[area],"")</f>
        <v/>
      </c>
      <c r="E261" s="3">
        <f>_xlfn.XLOOKUP(tblAsignaciones[[#This Row],[tecnico]],tblTecnicos[nombre],tblTecnicos[especialidad],"")</f>
        <v/>
      </c>
      <c r="F261" s="6" t="inlineStr"/>
      <c r="G261" s="3">
        <f>_xlfn.XLOOKUP(tblAsignaciones[[#This Row],[tecnico]],tblTecnicos[nombre],tblTecnicos[coordinador],"")</f>
        <v/>
      </c>
      <c r="H261" s="3">
        <f>IF(OR(tblAsignaciones[[#This Row],[turno]]="",ISNUMBER(MATCH(tblAsignaciones[[#This Row],[turno]],lista_no_disponible,0))),0,p_horas_jornada)</f>
        <v/>
      </c>
      <c r="I261" s="3">
        <f>tblAsignaciones[[#This Row],[semana]]&amp;"|"&amp;tblAsignaciones[[#This Row],[dia]]&amp;"|"&amp;tblAsignaciones[[#This Row],[tecnico]]</f>
        <v/>
      </c>
    </row>
    <row r="262">
      <c r="A262" s="3" t="inlineStr">
        <is>
          <t>S31</t>
        </is>
      </c>
      <c r="B262" s="3" t="inlineStr">
        <is>
          <t>domingo</t>
        </is>
      </c>
      <c r="C262" s="3" t="inlineStr">
        <is>
          <t>Técnico 01</t>
        </is>
      </c>
      <c r="D262" s="3">
        <f>_xlfn.XLOOKUP(tblAsignaciones[[#This Row],[tecnico]],tblTecnicos[nombre],tblTecnicos[area],"")</f>
        <v/>
      </c>
      <c r="E262" s="3">
        <f>_xlfn.XLOOKUP(tblAsignaciones[[#This Row],[tecnico]],tblTecnicos[nombre],tblTecnicos[especialidad],"")</f>
        <v/>
      </c>
      <c r="F262" s="6" t="inlineStr"/>
      <c r="G262" s="3">
        <f>_xlfn.XLOOKUP(tblAsignaciones[[#This Row],[tecnico]],tblTecnicos[nombre],tblTecnicos[coordinador],"")</f>
        <v/>
      </c>
      <c r="H262" s="3">
        <f>IF(OR(tblAsignaciones[[#This Row],[turno]]="",ISNUMBER(MATCH(tblAsignaciones[[#This Row],[turno]],lista_no_disponible,0))),0,p_horas_jornada)</f>
        <v/>
      </c>
      <c r="I262" s="3">
        <f>tblAsignaciones[[#This Row],[semana]]&amp;"|"&amp;tblAsignaciones[[#This Row],[dia]]&amp;"|"&amp;tblAsignaciones[[#This Row],[tecnico]]</f>
        <v/>
      </c>
    </row>
    <row r="263">
      <c r="A263" s="3" t="inlineStr">
        <is>
          <t>S31</t>
        </is>
      </c>
      <c r="B263" s="3" t="inlineStr">
        <is>
          <t>lunes</t>
        </is>
      </c>
      <c r="C263" s="3" t="inlineStr">
        <is>
          <t>Técnico 02</t>
        </is>
      </c>
      <c r="D263" s="3">
        <f>_xlfn.XLOOKUP(tblAsignaciones[[#This Row],[tecnico]],tblTecnicos[nombre],tblTecnicos[area],"")</f>
        <v/>
      </c>
      <c r="E263" s="3">
        <f>_xlfn.XLOOKUP(tblAsignaciones[[#This Row],[tecnico]],tblTecnicos[nombre],tblTecnicos[especialidad],"")</f>
        <v/>
      </c>
      <c r="F263" s="6" t="inlineStr">
        <is>
          <t>T2</t>
        </is>
      </c>
      <c r="G263" s="3">
        <f>_xlfn.XLOOKUP(tblAsignaciones[[#This Row],[tecnico]],tblTecnicos[nombre],tblTecnicos[coordinador],"")</f>
        <v/>
      </c>
      <c r="H263" s="3">
        <f>IF(OR(tblAsignaciones[[#This Row],[turno]]="",ISNUMBER(MATCH(tblAsignaciones[[#This Row],[turno]],lista_no_disponible,0))),0,p_horas_jornada)</f>
        <v/>
      </c>
      <c r="I263" s="3">
        <f>tblAsignaciones[[#This Row],[semana]]&amp;"|"&amp;tblAsignaciones[[#This Row],[dia]]&amp;"|"&amp;tblAsignaciones[[#This Row],[tecnico]]</f>
        <v/>
      </c>
    </row>
    <row r="264">
      <c r="A264" s="3" t="inlineStr">
        <is>
          <t>S31</t>
        </is>
      </c>
      <c r="B264" s="3" t="inlineStr">
        <is>
          <t>martes</t>
        </is>
      </c>
      <c r="C264" s="3" t="inlineStr">
        <is>
          <t>Técnico 02</t>
        </is>
      </c>
      <c r="D264" s="3">
        <f>_xlfn.XLOOKUP(tblAsignaciones[[#This Row],[tecnico]],tblTecnicos[nombre],tblTecnicos[area],"")</f>
        <v/>
      </c>
      <c r="E264" s="3">
        <f>_xlfn.XLOOKUP(tblAsignaciones[[#This Row],[tecnico]],tblTecnicos[nombre],tblTecnicos[especialidad],"")</f>
        <v/>
      </c>
      <c r="F264" s="6" t="inlineStr">
        <is>
          <t>T2</t>
        </is>
      </c>
      <c r="G264" s="3">
        <f>_xlfn.XLOOKUP(tblAsignaciones[[#This Row],[tecnico]],tblTecnicos[nombre],tblTecnicos[coordinador],"")</f>
        <v/>
      </c>
      <c r="H264" s="3">
        <f>IF(OR(tblAsignaciones[[#This Row],[turno]]="",ISNUMBER(MATCH(tblAsignaciones[[#This Row],[turno]],lista_no_disponible,0))),0,p_horas_jornada)</f>
        <v/>
      </c>
      <c r="I264" s="3">
        <f>tblAsignaciones[[#This Row],[semana]]&amp;"|"&amp;tblAsignaciones[[#This Row],[dia]]&amp;"|"&amp;tblAsignaciones[[#This Row],[tecnico]]</f>
        <v/>
      </c>
    </row>
    <row r="265">
      <c r="A265" s="3" t="inlineStr">
        <is>
          <t>S31</t>
        </is>
      </c>
      <c r="B265" s="3" t="inlineStr">
        <is>
          <t>miércoles</t>
        </is>
      </c>
      <c r="C265" s="3" t="inlineStr">
        <is>
          <t>Técnico 02</t>
        </is>
      </c>
      <c r="D265" s="3">
        <f>_xlfn.XLOOKUP(tblAsignaciones[[#This Row],[tecnico]],tblTecnicos[nombre],tblTecnicos[area],"")</f>
        <v/>
      </c>
      <c r="E265" s="3">
        <f>_xlfn.XLOOKUP(tblAsignaciones[[#This Row],[tecnico]],tblTecnicos[nombre],tblTecnicos[especialidad],"")</f>
        <v/>
      </c>
      <c r="F265" s="6" t="inlineStr">
        <is>
          <t>T2</t>
        </is>
      </c>
      <c r="G265" s="3">
        <f>_xlfn.XLOOKUP(tblAsignaciones[[#This Row],[tecnico]],tblTecnicos[nombre],tblTecnicos[coordinador],"")</f>
        <v/>
      </c>
      <c r="H265" s="3">
        <f>IF(OR(tblAsignaciones[[#This Row],[turno]]="",ISNUMBER(MATCH(tblAsignaciones[[#This Row],[turno]],lista_no_disponible,0))),0,p_horas_jornada)</f>
        <v/>
      </c>
      <c r="I265" s="3">
        <f>tblAsignaciones[[#This Row],[semana]]&amp;"|"&amp;tblAsignaciones[[#This Row],[dia]]&amp;"|"&amp;tblAsignaciones[[#This Row],[tecnico]]</f>
        <v/>
      </c>
    </row>
    <row r="266">
      <c r="A266" s="3" t="inlineStr">
        <is>
          <t>S31</t>
        </is>
      </c>
      <c r="B266" s="3" t="inlineStr">
        <is>
          <t>jueves</t>
        </is>
      </c>
      <c r="C266" s="3" t="inlineStr">
        <is>
          <t>Técnico 02</t>
        </is>
      </c>
      <c r="D266" s="3">
        <f>_xlfn.XLOOKUP(tblAsignaciones[[#This Row],[tecnico]],tblTecnicos[nombre],tblTecnicos[area],"")</f>
        <v/>
      </c>
      <c r="E266" s="3">
        <f>_xlfn.XLOOKUP(tblAsignaciones[[#This Row],[tecnico]],tblTecnicos[nombre],tblTecnicos[especialidad],"")</f>
        <v/>
      </c>
      <c r="F266" s="6" t="inlineStr">
        <is>
          <t>T2</t>
        </is>
      </c>
      <c r="G266" s="3">
        <f>_xlfn.XLOOKUP(tblAsignaciones[[#This Row],[tecnico]],tblTecnicos[nombre],tblTecnicos[coordinador],"")</f>
        <v/>
      </c>
      <c r="H266" s="3">
        <f>IF(OR(tblAsignaciones[[#This Row],[turno]]="",ISNUMBER(MATCH(tblAsignaciones[[#This Row],[turno]],lista_no_disponible,0))),0,p_horas_jornada)</f>
        <v/>
      </c>
      <c r="I266" s="3">
        <f>tblAsignaciones[[#This Row],[semana]]&amp;"|"&amp;tblAsignaciones[[#This Row],[dia]]&amp;"|"&amp;tblAsignaciones[[#This Row],[tecnico]]</f>
        <v/>
      </c>
    </row>
    <row r="267">
      <c r="A267" s="3" t="inlineStr">
        <is>
          <t>S31</t>
        </is>
      </c>
      <c r="B267" s="3" t="inlineStr">
        <is>
          <t>viernes</t>
        </is>
      </c>
      <c r="C267" s="3" t="inlineStr">
        <is>
          <t>Técnico 02</t>
        </is>
      </c>
      <c r="D267" s="3">
        <f>_xlfn.XLOOKUP(tblAsignaciones[[#This Row],[tecnico]],tblTecnicos[nombre],tblTecnicos[area],"")</f>
        <v/>
      </c>
      <c r="E267" s="3">
        <f>_xlfn.XLOOKUP(tblAsignaciones[[#This Row],[tecnico]],tblTecnicos[nombre],tblTecnicos[especialidad],"")</f>
        <v/>
      </c>
      <c r="F267" s="6" t="inlineStr">
        <is>
          <t>T2</t>
        </is>
      </c>
      <c r="G267" s="3">
        <f>_xlfn.XLOOKUP(tblAsignaciones[[#This Row],[tecnico]],tblTecnicos[nombre],tblTecnicos[coordinador],"")</f>
        <v/>
      </c>
      <c r="H267" s="3">
        <f>IF(OR(tblAsignaciones[[#This Row],[turno]]="",ISNUMBER(MATCH(tblAsignaciones[[#This Row],[turno]],lista_no_disponible,0))),0,p_horas_jornada)</f>
        <v/>
      </c>
      <c r="I267" s="3">
        <f>tblAsignaciones[[#This Row],[semana]]&amp;"|"&amp;tblAsignaciones[[#This Row],[dia]]&amp;"|"&amp;tblAsignaciones[[#This Row],[tecnico]]</f>
        <v/>
      </c>
    </row>
    <row r="268">
      <c r="A268" s="3" t="inlineStr">
        <is>
          <t>S31</t>
        </is>
      </c>
      <c r="B268" s="3" t="inlineStr">
        <is>
          <t>sábado</t>
        </is>
      </c>
      <c r="C268" s="3" t="inlineStr">
        <is>
          <t>Técnico 02</t>
        </is>
      </c>
      <c r="D268" s="3">
        <f>_xlfn.XLOOKUP(tblAsignaciones[[#This Row],[tecnico]],tblTecnicos[nombre],tblTecnicos[area],"")</f>
        <v/>
      </c>
      <c r="E268" s="3">
        <f>_xlfn.XLOOKUP(tblAsignaciones[[#This Row],[tecnico]],tblTecnicos[nombre],tblTecnicos[especialidad],"")</f>
        <v/>
      </c>
      <c r="F268" s="6" t="inlineStr"/>
      <c r="G268" s="3">
        <f>_xlfn.XLOOKUP(tblAsignaciones[[#This Row],[tecnico]],tblTecnicos[nombre],tblTecnicos[coordinador],"")</f>
        <v/>
      </c>
      <c r="H268" s="3">
        <f>IF(OR(tblAsignaciones[[#This Row],[turno]]="",ISNUMBER(MATCH(tblAsignaciones[[#This Row],[turno]],lista_no_disponible,0))),0,p_horas_jornada)</f>
        <v/>
      </c>
      <c r="I268" s="3">
        <f>tblAsignaciones[[#This Row],[semana]]&amp;"|"&amp;tblAsignaciones[[#This Row],[dia]]&amp;"|"&amp;tblAsignaciones[[#This Row],[tecnico]]</f>
        <v/>
      </c>
    </row>
    <row r="269">
      <c r="A269" s="3" t="inlineStr">
        <is>
          <t>S31</t>
        </is>
      </c>
      <c r="B269" s="3" t="inlineStr">
        <is>
          <t>domingo</t>
        </is>
      </c>
      <c r="C269" s="3" t="inlineStr">
        <is>
          <t>Técnico 02</t>
        </is>
      </c>
      <c r="D269" s="3">
        <f>_xlfn.XLOOKUP(tblAsignaciones[[#This Row],[tecnico]],tblTecnicos[nombre],tblTecnicos[area],"")</f>
        <v/>
      </c>
      <c r="E269" s="3">
        <f>_xlfn.XLOOKUP(tblAsignaciones[[#This Row],[tecnico]],tblTecnicos[nombre],tblTecnicos[especialidad],"")</f>
        <v/>
      </c>
      <c r="F269" s="6" t="inlineStr"/>
      <c r="G269" s="3">
        <f>_xlfn.XLOOKUP(tblAsignaciones[[#This Row],[tecnico]],tblTecnicos[nombre],tblTecnicos[coordinador],"")</f>
        <v/>
      </c>
      <c r="H269" s="3">
        <f>IF(OR(tblAsignaciones[[#This Row],[turno]]="",ISNUMBER(MATCH(tblAsignaciones[[#This Row],[turno]],lista_no_disponible,0))),0,p_horas_jornada)</f>
        <v/>
      </c>
      <c r="I269" s="3">
        <f>tblAsignaciones[[#This Row],[semana]]&amp;"|"&amp;tblAsignaciones[[#This Row],[dia]]&amp;"|"&amp;tblAsignaciones[[#This Row],[tecnico]]</f>
        <v/>
      </c>
    </row>
    <row r="270">
      <c r="A270" s="3" t="inlineStr">
        <is>
          <t>S31</t>
        </is>
      </c>
      <c r="B270" s="3" t="inlineStr">
        <is>
          <t>lunes</t>
        </is>
      </c>
      <c r="C270" s="3" t="inlineStr">
        <is>
          <t>Técnico 03</t>
        </is>
      </c>
      <c r="D270" s="3">
        <f>_xlfn.XLOOKUP(tblAsignaciones[[#This Row],[tecnico]],tblTecnicos[nombre],tblTecnicos[area],"")</f>
        <v/>
      </c>
      <c r="E270" s="3">
        <f>_xlfn.XLOOKUP(tblAsignaciones[[#This Row],[tecnico]],tblTecnicos[nombre],tblTecnicos[especialidad],"")</f>
        <v/>
      </c>
      <c r="F270" s="6" t="inlineStr">
        <is>
          <t>T1</t>
        </is>
      </c>
      <c r="G270" s="3">
        <f>_xlfn.XLOOKUP(tblAsignaciones[[#This Row],[tecnico]],tblTecnicos[nombre],tblTecnicos[coordinador],"")</f>
        <v/>
      </c>
      <c r="H270" s="3">
        <f>IF(OR(tblAsignaciones[[#This Row],[turno]]="",ISNUMBER(MATCH(tblAsignaciones[[#This Row],[turno]],lista_no_disponible,0))),0,p_horas_jornada)</f>
        <v/>
      </c>
      <c r="I270" s="3">
        <f>tblAsignaciones[[#This Row],[semana]]&amp;"|"&amp;tblAsignaciones[[#This Row],[dia]]&amp;"|"&amp;tblAsignaciones[[#This Row],[tecnico]]</f>
        <v/>
      </c>
    </row>
    <row r="271">
      <c r="A271" s="3" t="inlineStr">
        <is>
          <t>S31</t>
        </is>
      </c>
      <c r="B271" s="3" t="inlineStr">
        <is>
          <t>martes</t>
        </is>
      </c>
      <c r="C271" s="3" t="inlineStr">
        <is>
          <t>Técnico 03</t>
        </is>
      </c>
      <c r="D271" s="3">
        <f>_xlfn.XLOOKUP(tblAsignaciones[[#This Row],[tecnico]],tblTecnicos[nombre],tblTecnicos[area],"")</f>
        <v/>
      </c>
      <c r="E271" s="3">
        <f>_xlfn.XLOOKUP(tblAsignaciones[[#This Row],[tecnico]],tblTecnicos[nombre],tblTecnicos[especialidad],"")</f>
        <v/>
      </c>
      <c r="F271" s="6" t="inlineStr">
        <is>
          <t>T1</t>
        </is>
      </c>
      <c r="G271" s="3">
        <f>_xlfn.XLOOKUP(tblAsignaciones[[#This Row],[tecnico]],tblTecnicos[nombre],tblTecnicos[coordinador],"")</f>
        <v/>
      </c>
      <c r="H271" s="3">
        <f>IF(OR(tblAsignaciones[[#This Row],[turno]]="",ISNUMBER(MATCH(tblAsignaciones[[#This Row],[turno]],lista_no_disponible,0))),0,p_horas_jornada)</f>
        <v/>
      </c>
      <c r="I271" s="3">
        <f>tblAsignaciones[[#This Row],[semana]]&amp;"|"&amp;tblAsignaciones[[#This Row],[dia]]&amp;"|"&amp;tblAsignaciones[[#This Row],[tecnico]]</f>
        <v/>
      </c>
    </row>
    <row r="272">
      <c r="A272" s="3" t="inlineStr">
        <is>
          <t>S31</t>
        </is>
      </c>
      <c r="B272" s="3" t="inlineStr">
        <is>
          <t>miércoles</t>
        </is>
      </c>
      <c r="C272" s="3" t="inlineStr">
        <is>
          <t>Técnico 03</t>
        </is>
      </c>
      <c r="D272" s="3">
        <f>_xlfn.XLOOKUP(tblAsignaciones[[#This Row],[tecnico]],tblTecnicos[nombre],tblTecnicos[area],"")</f>
        <v/>
      </c>
      <c r="E272" s="3">
        <f>_xlfn.XLOOKUP(tblAsignaciones[[#This Row],[tecnico]],tblTecnicos[nombre],tblTecnicos[especialidad],"")</f>
        <v/>
      </c>
      <c r="F272" s="6" t="inlineStr">
        <is>
          <t>T1</t>
        </is>
      </c>
      <c r="G272" s="3">
        <f>_xlfn.XLOOKUP(tblAsignaciones[[#This Row],[tecnico]],tblTecnicos[nombre],tblTecnicos[coordinador],"")</f>
        <v/>
      </c>
      <c r="H272" s="3">
        <f>IF(OR(tblAsignaciones[[#This Row],[turno]]="",ISNUMBER(MATCH(tblAsignaciones[[#This Row],[turno]],lista_no_disponible,0))),0,p_horas_jornada)</f>
        <v/>
      </c>
      <c r="I272" s="3">
        <f>tblAsignaciones[[#This Row],[semana]]&amp;"|"&amp;tblAsignaciones[[#This Row],[dia]]&amp;"|"&amp;tblAsignaciones[[#This Row],[tecnico]]</f>
        <v/>
      </c>
    </row>
    <row r="273">
      <c r="A273" s="3" t="inlineStr">
        <is>
          <t>S31</t>
        </is>
      </c>
      <c r="B273" s="3" t="inlineStr">
        <is>
          <t>jueves</t>
        </is>
      </c>
      <c r="C273" s="3" t="inlineStr">
        <is>
          <t>Técnico 03</t>
        </is>
      </c>
      <c r="D273" s="3">
        <f>_xlfn.XLOOKUP(tblAsignaciones[[#This Row],[tecnico]],tblTecnicos[nombre],tblTecnicos[area],"")</f>
        <v/>
      </c>
      <c r="E273" s="3">
        <f>_xlfn.XLOOKUP(tblAsignaciones[[#This Row],[tecnico]],tblTecnicos[nombre],tblTecnicos[especialidad],"")</f>
        <v/>
      </c>
      <c r="F273" s="6" t="inlineStr">
        <is>
          <t>T1</t>
        </is>
      </c>
      <c r="G273" s="3">
        <f>_xlfn.XLOOKUP(tblAsignaciones[[#This Row],[tecnico]],tblTecnicos[nombre],tblTecnicos[coordinador],"")</f>
        <v/>
      </c>
      <c r="H273" s="3">
        <f>IF(OR(tblAsignaciones[[#This Row],[turno]]="",ISNUMBER(MATCH(tblAsignaciones[[#This Row],[turno]],lista_no_disponible,0))),0,p_horas_jornada)</f>
        <v/>
      </c>
      <c r="I273" s="3">
        <f>tblAsignaciones[[#This Row],[semana]]&amp;"|"&amp;tblAsignaciones[[#This Row],[dia]]&amp;"|"&amp;tblAsignaciones[[#This Row],[tecnico]]</f>
        <v/>
      </c>
    </row>
    <row r="274">
      <c r="A274" s="3" t="inlineStr">
        <is>
          <t>S31</t>
        </is>
      </c>
      <c r="B274" s="3" t="inlineStr">
        <is>
          <t>viernes</t>
        </is>
      </c>
      <c r="C274" s="3" t="inlineStr">
        <is>
          <t>Técnico 03</t>
        </is>
      </c>
      <c r="D274" s="3">
        <f>_xlfn.XLOOKUP(tblAsignaciones[[#This Row],[tecnico]],tblTecnicos[nombre],tblTecnicos[area],"")</f>
        <v/>
      </c>
      <c r="E274" s="3">
        <f>_xlfn.XLOOKUP(tblAsignaciones[[#This Row],[tecnico]],tblTecnicos[nombre],tblTecnicos[especialidad],"")</f>
        <v/>
      </c>
      <c r="F274" s="6" t="inlineStr">
        <is>
          <t>T1</t>
        </is>
      </c>
      <c r="G274" s="3">
        <f>_xlfn.XLOOKUP(tblAsignaciones[[#This Row],[tecnico]],tblTecnicos[nombre],tblTecnicos[coordinador],"")</f>
        <v/>
      </c>
      <c r="H274" s="3">
        <f>IF(OR(tblAsignaciones[[#This Row],[turno]]="",ISNUMBER(MATCH(tblAsignaciones[[#This Row],[turno]],lista_no_disponible,0))),0,p_horas_jornada)</f>
        <v/>
      </c>
      <c r="I274" s="3">
        <f>tblAsignaciones[[#This Row],[semana]]&amp;"|"&amp;tblAsignaciones[[#This Row],[dia]]&amp;"|"&amp;tblAsignaciones[[#This Row],[tecnico]]</f>
        <v/>
      </c>
    </row>
    <row r="275">
      <c r="A275" s="3" t="inlineStr">
        <is>
          <t>S31</t>
        </is>
      </c>
      <c r="B275" s="3" t="inlineStr">
        <is>
          <t>sábado</t>
        </is>
      </c>
      <c r="C275" s="3" t="inlineStr">
        <is>
          <t>Técnico 03</t>
        </is>
      </c>
      <c r="D275" s="3">
        <f>_xlfn.XLOOKUP(tblAsignaciones[[#This Row],[tecnico]],tblTecnicos[nombre],tblTecnicos[area],"")</f>
        <v/>
      </c>
      <c r="E275" s="3">
        <f>_xlfn.XLOOKUP(tblAsignaciones[[#This Row],[tecnico]],tblTecnicos[nombre],tblTecnicos[especialidad],"")</f>
        <v/>
      </c>
      <c r="F275" s="6" t="inlineStr"/>
      <c r="G275" s="3">
        <f>_xlfn.XLOOKUP(tblAsignaciones[[#This Row],[tecnico]],tblTecnicos[nombre],tblTecnicos[coordinador],"")</f>
        <v/>
      </c>
      <c r="H275" s="3">
        <f>IF(OR(tblAsignaciones[[#This Row],[turno]]="",ISNUMBER(MATCH(tblAsignaciones[[#This Row],[turno]],lista_no_disponible,0))),0,p_horas_jornada)</f>
        <v/>
      </c>
      <c r="I275" s="3">
        <f>tblAsignaciones[[#This Row],[semana]]&amp;"|"&amp;tblAsignaciones[[#This Row],[dia]]&amp;"|"&amp;tblAsignaciones[[#This Row],[tecnico]]</f>
        <v/>
      </c>
    </row>
    <row r="276">
      <c r="A276" s="3" t="inlineStr">
        <is>
          <t>S31</t>
        </is>
      </c>
      <c r="B276" s="3" t="inlineStr">
        <is>
          <t>domingo</t>
        </is>
      </c>
      <c r="C276" s="3" t="inlineStr">
        <is>
          <t>Técnico 03</t>
        </is>
      </c>
      <c r="D276" s="3">
        <f>_xlfn.XLOOKUP(tblAsignaciones[[#This Row],[tecnico]],tblTecnicos[nombre],tblTecnicos[area],"")</f>
        <v/>
      </c>
      <c r="E276" s="3">
        <f>_xlfn.XLOOKUP(tblAsignaciones[[#This Row],[tecnico]],tblTecnicos[nombre],tblTecnicos[especialidad],"")</f>
        <v/>
      </c>
      <c r="F276" s="6" t="inlineStr"/>
      <c r="G276" s="3">
        <f>_xlfn.XLOOKUP(tblAsignaciones[[#This Row],[tecnico]],tblTecnicos[nombre],tblTecnicos[coordinador],"")</f>
        <v/>
      </c>
      <c r="H276" s="3">
        <f>IF(OR(tblAsignaciones[[#This Row],[turno]]="",ISNUMBER(MATCH(tblAsignaciones[[#This Row],[turno]],lista_no_disponible,0))),0,p_horas_jornada)</f>
        <v/>
      </c>
      <c r="I276" s="3">
        <f>tblAsignaciones[[#This Row],[semana]]&amp;"|"&amp;tblAsignaciones[[#This Row],[dia]]&amp;"|"&amp;tblAsignaciones[[#This Row],[tecnico]]</f>
        <v/>
      </c>
    </row>
    <row r="277">
      <c r="A277" s="3" t="inlineStr">
        <is>
          <t>S31</t>
        </is>
      </c>
      <c r="B277" s="3" t="inlineStr">
        <is>
          <t>lunes</t>
        </is>
      </c>
      <c r="C277" s="3" t="inlineStr">
        <is>
          <t>Técnico 04</t>
        </is>
      </c>
      <c r="D277" s="3">
        <f>_xlfn.XLOOKUP(tblAsignaciones[[#This Row],[tecnico]],tblTecnicos[nombre],tblTecnicos[area],"")</f>
        <v/>
      </c>
      <c r="E277" s="3">
        <f>_xlfn.XLOOKUP(tblAsignaciones[[#This Row],[tecnico]],tblTecnicos[nombre],tblTecnicos[especialidad],"")</f>
        <v/>
      </c>
      <c r="F277" s="6" t="inlineStr">
        <is>
          <t>T1</t>
        </is>
      </c>
      <c r="G277" s="3">
        <f>_xlfn.XLOOKUP(tblAsignaciones[[#This Row],[tecnico]],tblTecnicos[nombre],tblTecnicos[coordinador],"")</f>
        <v/>
      </c>
      <c r="H277" s="3">
        <f>IF(OR(tblAsignaciones[[#This Row],[turno]]="",ISNUMBER(MATCH(tblAsignaciones[[#This Row],[turno]],lista_no_disponible,0))),0,p_horas_jornada)</f>
        <v/>
      </c>
      <c r="I277" s="3">
        <f>tblAsignaciones[[#This Row],[semana]]&amp;"|"&amp;tblAsignaciones[[#This Row],[dia]]&amp;"|"&amp;tblAsignaciones[[#This Row],[tecnico]]</f>
        <v/>
      </c>
    </row>
    <row r="278">
      <c r="A278" s="3" t="inlineStr">
        <is>
          <t>S31</t>
        </is>
      </c>
      <c r="B278" s="3" t="inlineStr">
        <is>
          <t>martes</t>
        </is>
      </c>
      <c r="C278" s="3" t="inlineStr">
        <is>
          <t>Técnico 04</t>
        </is>
      </c>
      <c r="D278" s="3">
        <f>_xlfn.XLOOKUP(tblAsignaciones[[#This Row],[tecnico]],tblTecnicos[nombre],tblTecnicos[area],"")</f>
        <v/>
      </c>
      <c r="E278" s="3">
        <f>_xlfn.XLOOKUP(tblAsignaciones[[#This Row],[tecnico]],tblTecnicos[nombre],tblTecnicos[especialidad],"")</f>
        <v/>
      </c>
      <c r="F278" s="6" t="inlineStr">
        <is>
          <t>T1</t>
        </is>
      </c>
      <c r="G278" s="3">
        <f>_xlfn.XLOOKUP(tblAsignaciones[[#This Row],[tecnico]],tblTecnicos[nombre],tblTecnicos[coordinador],"")</f>
        <v/>
      </c>
      <c r="H278" s="3">
        <f>IF(OR(tblAsignaciones[[#This Row],[turno]]="",ISNUMBER(MATCH(tblAsignaciones[[#This Row],[turno]],lista_no_disponible,0))),0,p_horas_jornada)</f>
        <v/>
      </c>
      <c r="I278" s="3">
        <f>tblAsignaciones[[#This Row],[semana]]&amp;"|"&amp;tblAsignaciones[[#This Row],[dia]]&amp;"|"&amp;tblAsignaciones[[#This Row],[tecnico]]</f>
        <v/>
      </c>
    </row>
    <row r="279">
      <c r="A279" s="3" t="inlineStr">
        <is>
          <t>S31</t>
        </is>
      </c>
      <c r="B279" s="3" t="inlineStr">
        <is>
          <t>miércoles</t>
        </is>
      </c>
      <c r="C279" s="3" t="inlineStr">
        <is>
          <t>Técnico 04</t>
        </is>
      </c>
      <c r="D279" s="3">
        <f>_xlfn.XLOOKUP(tblAsignaciones[[#This Row],[tecnico]],tblTecnicos[nombre],tblTecnicos[area],"")</f>
        <v/>
      </c>
      <c r="E279" s="3">
        <f>_xlfn.XLOOKUP(tblAsignaciones[[#This Row],[tecnico]],tblTecnicos[nombre],tblTecnicos[especialidad],"")</f>
        <v/>
      </c>
      <c r="F279" s="6" t="inlineStr">
        <is>
          <t>T1</t>
        </is>
      </c>
      <c r="G279" s="3">
        <f>_xlfn.XLOOKUP(tblAsignaciones[[#This Row],[tecnico]],tblTecnicos[nombre],tblTecnicos[coordinador],"")</f>
        <v/>
      </c>
      <c r="H279" s="3">
        <f>IF(OR(tblAsignaciones[[#This Row],[turno]]="",ISNUMBER(MATCH(tblAsignaciones[[#This Row],[turno]],lista_no_disponible,0))),0,p_horas_jornada)</f>
        <v/>
      </c>
      <c r="I279" s="3">
        <f>tblAsignaciones[[#This Row],[semana]]&amp;"|"&amp;tblAsignaciones[[#This Row],[dia]]&amp;"|"&amp;tblAsignaciones[[#This Row],[tecnico]]</f>
        <v/>
      </c>
    </row>
    <row r="280">
      <c r="A280" s="3" t="inlineStr">
        <is>
          <t>S31</t>
        </is>
      </c>
      <c r="B280" s="3" t="inlineStr">
        <is>
          <t>jueves</t>
        </is>
      </c>
      <c r="C280" s="3" t="inlineStr">
        <is>
          <t>Técnico 04</t>
        </is>
      </c>
      <c r="D280" s="3">
        <f>_xlfn.XLOOKUP(tblAsignaciones[[#This Row],[tecnico]],tblTecnicos[nombre],tblTecnicos[area],"")</f>
        <v/>
      </c>
      <c r="E280" s="3">
        <f>_xlfn.XLOOKUP(tblAsignaciones[[#This Row],[tecnico]],tblTecnicos[nombre],tblTecnicos[especialidad],"")</f>
        <v/>
      </c>
      <c r="F280" s="6" t="inlineStr">
        <is>
          <t>T1</t>
        </is>
      </c>
      <c r="G280" s="3">
        <f>_xlfn.XLOOKUP(tblAsignaciones[[#This Row],[tecnico]],tblTecnicos[nombre],tblTecnicos[coordinador],"")</f>
        <v/>
      </c>
      <c r="H280" s="3">
        <f>IF(OR(tblAsignaciones[[#This Row],[turno]]="",ISNUMBER(MATCH(tblAsignaciones[[#This Row],[turno]],lista_no_disponible,0))),0,p_horas_jornada)</f>
        <v/>
      </c>
      <c r="I280" s="3">
        <f>tblAsignaciones[[#This Row],[semana]]&amp;"|"&amp;tblAsignaciones[[#This Row],[dia]]&amp;"|"&amp;tblAsignaciones[[#This Row],[tecnico]]</f>
        <v/>
      </c>
    </row>
    <row r="281">
      <c r="A281" s="3" t="inlineStr">
        <is>
          <t>S31</t>
        </is>
      </c>
      <c r="B281" s="3" t="inlineStr">
        <is>
          <t>viernes</t>
        </is>
      </c>
      <c r="C281" s="3" t="inlineStr">
        <is>
          <t>Técnico 04</t>
        </is>
      </c>
      <c r="D281" s="3">
        <f>_xlfn.XLOOKUP(tblAsignaciones[[#This Row],[tecnico]],tblTecnicos[nombre],tblTecnicos[area],"")</f>
        <v/>
      </c>
      <c r="E281" s="3">
        <f>_xlfn.XLOOKUP(tblAsignaciones[[#This Row],[tecnico]],tblTecnicos[nombre],tblTecnicos[especialidad],"")</f>
        <v/>
      </c>
      <c r="F281" s="6" t="inlineStr">
        <is>
          <t>T1</t>
        </is>
      </c>
      <c r="G281" s="3">
        <f>_xlfn.XLOOKUP(tblAsignaciones[[#This Row],[tecnico]],tblTecnicos[nombre],tblTecnicos[coordinador],"")</f>
        <v/>
      </c>
      <c r="H281" s="3">
        <f>IF(OR(tblAsignaciones[[#This Row],[turno]]="",ISNUMBER(MATCH(tblAsignaciones[[#This Row],[turno]],lista_no_disponible,0))),0,p_horas_jornada)</f>
        <v/>
      </c>
      <c r="I281" s="3">
        <f>tblAsignaciones[[#This Row],[semana]]&amp;"|"&amp;tblAsignaciones[[#This Row],[dia]]&amp;"|"&amp;tblAsignaciones[[#This Row],[tecnico]]</f>
        <v/>
      </c>
    </row>
    <row r="282">
      <c r="A282" s="3" t="inlineStr">
        <is>
          <t>S31</t>
        </is>
      </c>
      <c r="B282" s="3" t="inlineStr">
        <is>
          <t>sábado</t>
        </is>
      </c>
      <c r="C282" s="3" t="inlineStr">
        <is>
          <t>Técnico 04</t>
        </is>
      </c>
      <c r="D282" s="3">
        <f>_xlfn.XLOOKUP(tblAsignaciones[[#This Row],[tecnico]],tblTecnicos[nombre],tblTecnicos[area],"")</f>
        <v/>
      </c>
      <c r="E282" s="3">
        <f>_xlfn.XLOOKUP(tblAsignaciones[[#This Row],[tecnico]],tblTecnicos[nombre],tblTecnicos[especialidad],"")</f>
        <v/>
      </c>
      <c r="F282" s="6" t="inlineStr"/>
      <c r="G282" s="3">
        <f>_xlfn.XLOOKUP(tblAsignaciones[[#This Row],[tecnico]],tblTecnicos[nombre],tblTecnicos[coordinador],"")</f>
        <v/>
      </c>
      <c r="H282" s="3">
        <f>IF(OR(tblAsignaciones[[#This Row],[turno]]="",ISNUMBER(MATCH(tblAsignaciones[[#This Row],[turno]],lista_no_disponible,0))),0,p_horas_jornada)</f>
        <v/>
      </c>
      <c r="I282" s="3">
        <f>tblAsignaciones[[#This Row],[semana]]&amp;"|"&amp;tblAsignaciones[[#This Row],[dia]]&amp;"|"&amp;tblAsignaciones[[#This Row],[tecnico]]</f>
        <v/>
      </c>
    </row>
    <row r="283">
      <c r="A283" s="3" t="inlineStr">
        <is>
          <t>S31</t>
        </is>
      </c>
      <c r="B283" s="3" t="inlineStr">
        <is>
          <t>domingo</t>
        </is>
      </c>
      <c r="C283" s="3" t="inlineStr">
        <is>
          <t>Técnico 04</t>
        </is>
      </c>
      <c r="D283" s="3">
        <f>_xlfn.XLOOKUP(tblAsignaciones[[#This Row],[tecnico]],tblTecnicos[nombre],tblTecnicos[area],"")</f>
        <v/>
      </c>
      <c r="E283" s="3">
        <f>_xlfn.XLOOKUP(tblAsignaciones[[#This Row],[tecnico]],tblTecnicos[nombre],tblTecnicos[especialidad],"")</f>
        <v/>
      </c>
      <c r="F283" s="6" t="inlineStr"/>
      <c r="G283" s="3">
        <f>_xlfn.XLOOKUP(tblAsignaciones[[#This Row],[tecnico]],tblTecnicos[nombre],tblTecnicos[coordinador],"")</f>
        <v/>
      </c>
      <c r="H283" s="3">
        <f>IF(OR(tblAsignaciones[[#This Row],[turno]]="",ISNUMBER(MATCH(tblAsignaciones[[#This Row],[turno]],lista_no_disponible,0))),0,p_horas_jornada)</f>
        <v/>
      </c>
      <c r="I283" s="3">
        <f>tblAsignaciones[[#This Row],[semana]]&amp;"|"&amp;tblAsignaciones[[#This Row],[dia]]&amp;"|"&amp;tblAsignaciones[[#This Row],[tecnico]]</f>
        <v/>
      </c>
    </row>
    <row r="284">
      <c r="A284" s="3" t="inlineStr">
        <is>
          <t>S31</t>
        </is>
      </c>
      <c r="B284" s="3" t="inlineStr">
        <is>
          <t>lunes</t>
        </is>
      </c>
      <c r="C284" s="3" t="inlineStr">
        <is>
          <t>Técnico 05</t>
        </is>
      </c>
      <c r="D284" s="3">
        <f>_xlfn.XLOOKUP(tblAsignaciones[[#This Row],[tecnico]],tblTecnicos[nombre],tblTecnicos[area],"")</f>
        <v/>
      </c>
      <c r="E284" s="3">
        <f>_xlfn.XLOOKUP(tblAsignaciones[[#This Row],[tecnico]],tblTecnicos[nombre],tblTecnicos[especialidad],"")</f>
        <v/>
      </c>
      <c r="F284" s="6" t="inlineStr">
        <is>
          <t>T1</t>
        </is>
      </c>
      <c r="G284" s="3">
        <f>_xlfn.XLOOKUP(tblAsignaciones[[#This Row],[tecnico]],tblTecnicos[nombre],tblTecnicos[coordinador],"")</f>
        <v/>
      </c>
      <c r="H284" s="3">
        <f>IF(OR(tblAsignaciones[[#This Row],[turno]]="",ISNUMBER(MATCH(tblAsignaciones[[#This Row],[turno]],lista_no_disponible,0))),0,p_horas_jornada)</f>
        <v/>
      </c>
      <c r="I284" s="3">
        <f>tblAsignaciones[[#This Row],[semana]]&amp;"|"&amp;tblAsignaciones[[#This Row],[dia]]&amp;"|"&amp;tblAsignaciones[[#This Row],[tecnico]]</f>
        <v/>
      </c>
    </row>
    <row r="285">
      <c r="A285" s="3" t="inlineStr">
        <is>
          <t>S31</t>
        </is>
      </c>
      <c r="B285" s="3" t="inlineStr">
        <is>
          <t>martes</t>
        </is>
      </c>
      <c r="C285" s="3" t="inlineStr">
        <is>
          <t>Técnico 05</t>
        </is>
      </c>
      <c r="D285" s="3">
        <f>_xlfn.XLOOKUP(tblAsignaciones[[#This Row],[tecnico]],tblTecnicos[nombre],tblTecnicos[area],"")</f>
        <v/>
      </c>
      <c r="E285" s="3">
        <f>_xlfn.XLOOKUP(tblAsignaciones[[#This Row],[tecnico]],tblTecnicos[nombre],tblTecnicos[especialidad],"")</f>
        <v/>
      </c>
      <c r="F285" s="6" t="inlineStr">
        <is>
          <t>T1</t>
        </is>
      </c>
      <c r="G285" s="3">
        <f>_xlfn.XLOOKUP(tblAsignaciones[[#This Row],[tecnico]],tblTecnicos[nombre],tblTecnicos[coordinador],"")</f>
        <v/>
      </c>
      <c r="H285" s="3">
        <f>IF(OR(tblAsignaciones[[#This Row],[turno]]="",ISNUMBER(MATCH(tblAsignaciones[[#This Row],[turno]],lista_no_disponible,0))),0,p_horas_jornada)</f>
        <v/>
      </c>
      <c r="I285" s="3">
        <f>tblAsignaciones[[#This Row],[semana]]&amp;"|"&amp;tblAsignaciones[[#This Row],[dia]]&amp;"|"&amp;tblAsignaciones[[#This Row],[tecnico]]</f>
        <v/>
      </c>
    </row>
    <row r="286">
      <c r="A286" s="3" t="inlineStr">
        <is>
          <t>S31</t>
        </is>
      </c>
      <c r="B286" s="3" t="inlineStr">
        <is>
          <t>miércoles</t>
        </is>
      </c>
      <c r="C286" s="3" t="inlineStr">
        <is>
          <t>Técnico 05</t>
        </is>
      </c>
      <c r="D286" s="3">
        <f>_xlfn.XLOOKUP(tblAsignaciones[[#This Row],[tecnico]],tblTecnicos[nombre],tblTecnicos[area],"")</f>
        <v/>
      </c>
      <c r="E286" s="3">
        <f>_xlfn.XLOOKUP(tblAsignaciones[[#This Row],[tecnico]],tblTecnicos[nombre],tblTecnicos[especialidad],"")</f>
        <v/>
      </c>
      <c r="F286" s="6" t="inlineStr">
        <is>
          <t>T1</t>
        </is>
      </c>
      <c r="G286" s="3">
        <f>_xlfn.XLOOKUP(tblAsignaciones[[#This Row],[tecnico]],tblTecnicos[nombre],tblTecnicos[coordinador],"")</f>
        <v/>
      </c>
      <c r="H286" s="3">
        <f>IF(OR(tblAsignaciones[[#This Row],[turno]]="",ISNUMBER(MATCH(tblAsignaciones[[#This Row],[turno]],lista_no_disponible,0))),0,p_horas_jornada)</f>
        <v/>
      </c>
      <c r="I286" s="3">
        <f>tblAsignaciones[[#This Row],[semana]]&amp;"|"&amp;tblAsignaciones[[#This Row],[dia]]&amp;"|"&amp;tblAsignaciones[[#This Row],[tecnico]]</f>
        <v/>
      </c>
    </row>
    <row r="287">
      <c r="A287" s="3" t="inlineStr">
        <is>
          <t>S31</t>
        </is>
      </c>
      <c r="B287" s="3" t="inlineStr">
        <is>
          <t>jueves</t>
        </is>
      </c>
      <c r="C287" s="3" t="inlineStr">
        <is>
          <t>Técnico 05</t>
        </is>
      </c>
      <c r="D287" s="3">
        <f>_xlfn.XLOOKUP(tblAsignaciones[[#This Row],[tecnico]],tblTecnicos[nombre],tblTecnicos[area],"")</f>
        <v/>
      </c>
      <c r="E287" s="3">
        <f>_xlfn.XLOOKUP(tblAsignaciones[[#This Row],[tecnico]],tblTecnicos[nombre],tblTecnicos[especialidad],"")</f>
        <v/>
      </c>
      <c r="F287" s="6" t="inlineStr">
        <is>
          <t>T1</t>
        </is>
      </c>
      <c r="G287" s="3">
        <f>_xlfn.XLOOKUP(tblAsignaciones[[#This Row],[tecnico]],tblTecnicos[nombre],tblTecnicos[coordinador],"")</f>
        <v/>
      </c>
      <c r="H287" s="3">
        <f>IF(OR(tblAsignaciones[[#This Row],[turno]]="",ISNUMBER(MATCH(tblAsignaciones[[#This Row],[turno]],lista_no_disponible,0))),0,p_horas_jornada)</f>
        <v/>
      </c>
      <c r="I287" s="3">
        <f>tblAsignaciones[[#This Row],[semana]]&amp;"|"&amp;tblAsignaciones[[#This Row],[dia]]&amp;"|"&amp;tblAsignaciones[[#This Row],[tecnico]]</f>
        <v/>
      </c>
    </row>
    <row r="288">
      <c r="A288" s="3" t="inlineStr">
        <is>
          <t>S31</t>
        </is>
      </c>
      <c r="B288" s="3" t="inlineStr">
        <is>
          <t>viernes</t>
        </is>
      </c>
      <c r="C288" s="3" t="inlineStr">
        <is>
          <t>Técnico 05</t>
        </is>
      </c>
      <c r="D288" s="3">
        <f>_xlfn.XLOOKUP(tblAsignaciones[[#This Row],[tecnico]],tblTecnicos[nombre],tblTecnicos[area],"")</f>
        <v/>
      </c>
      <c r="E288" s="3">
        <f>_xlfn.XLOOKUP(tblAsignaciones[[#This Row],[tecnico]],tblTecnicos[nombre],tblTecnicos[especialidad],"")</f>
        <v/>
      </c>
      <c r="F288" s="6" t="inlineStr">
        <is>
          <t>T1</t>
        </is>
      </c>
      <c r="G288" s="3">
        <f>_xlfn.XLOOKUP(tblAsignaciones[[#This Row],[tecnico]],tblTecnicos[nombre],tblTecnicos[coordinador],"")</f>
        <v/>
      </c>
      <c r="H288" s="3">
        <f>IF(OR(tblAsignaciones[[#This Row],[turno]]="",ISNUMBER(MATCH(tblAsignaciones[[#This Row],[turno]],lista_no_disponible,0))),0,p_horas_jornada)</f>
        <v/>
      </c>
      <c r="I288" s="3">
        <f>tblAsignaciones[[#This Row],[semana]]&amp;"|"&amp;tblAsignaciones[[#This Row],[dia]]&amp;"|"&amp;tblAsignaciones[[#This Row],[tecnico]]</f>
        <v/>
      </c>
    </row>
    <row r="289">
      <c r="A289" s="3" t="inlineStr">
        <is>
          <t>S31</t>
        </is>
      </c>
      <c r="B289" s="3" t="inlineStr">
        <is>
          <t>sábado</t>
        </is>
      </c>
      <c r="C289" s="3" t="inlineStr">
        <is>
          <t>Técnico 05</t>
        </is>
      </c>
      <c r="D289" s="3">
        <f>_xlfn.XLOOKUP(tblAsignaciones[[#This Row],[tecnico]],tblTecnicos[nombre],tblTecnicos[area],"")</f>
        <v/>
      </c>
      <c r="E289" s="3">
        <f>_xlfn.XLOOKUP(tblAsignaciones[[#This Row],[tecnico]],tblTecnicos[nombre],tblTecnicos[especialidad],"")</f>
        <v/>
      </c>
      <c r="F289" s="6" t="inlineStr"/>
      <c r="G289" s="3">
        <f>_xlfn.XLOOKUP(tblAsignaciones[[#This Row],[tecnico]],tblTecnicos[nombre],tblTecnicos[coordinador],"")</f>
        <v/>
      </c>
      <c r="H289" s="3">
        <f>IF(OR(tblAsignaciones[[#This Row],[turno]]="",ISNUMBER(MATCH(tblAsignaciones[[#This Row],[turno]],lista_no_disponible,0))),0,p_horas_jornada)</f>
        <v/>
      </c>
      <c r="I289" s="3">
        <f>tblAsignaciones[[#This Row],[semana]]&amp;"|"&amp;tblAsignaciones[[#This Row],[dia]]&amp;"|"&amp;tblAsignaciones[[#This Row],[tecnico]]</f>
        <v/>
      </c>
    </row>
    <row r="290">
      <c r="A290" s="3" t="inlineStr">
        <is>
          <t>S31</t>
        </is>
      </c>
      <c r="B290" s="3" t="inlineStr">
        <is>
          <t>domingo</t>
        </is>
      </c>
      <c r="C290" s="3" t="inlineStr">
        <is>
          <t>Técnico 05</t>
        </is>
      </c>
      <c r="D290" s="3">
        <f>_xlfn.XLOOKUP(tblAsignaciones[[#This Row],[tecnico]],tblTecnicos[nombre],tblTecnicos[area],"")</f>
        <v/>
      </c>
      <c r="E290" s="3">
        <f>_xlfn.XLOOKUP(tblAsignaciones[[#This Row],[tecnico]],tblTecnicos[nombre],tblTecnicos[especialidad],"")</f>
        <v/>
      </c>
      <c r="F290" s="6" t="inlineStr"/>
      <c r="G290" s="3">
        <f>_xlfn.XLOOKUP(tblAsignaciones[[#This Row],[tecnico]],tblTecnicos[nombre],tblTecnicos[coordinador],"")</f>
        <v/>
      </c>
      <c r="H290" s="3">
        <f>IF(OR(tblAsignaciones[[#This Row],[turno]]="",ISNUMBER(MATCH(tblAsignaciones[[#This Row],[turno]],lista_no_disponible,0))),0,p_horas_jornada)</f>
        <v/>
      </c>
      <c r="I290" s="3">
        <f>tblAsignaciones[[#This Row],[semana]]&amp;"|"&amp;tblAsignaciones[[#This Row],[dia]]&amp;"|"&amp;tblAsignaciones[[#This Row],[tecnico]]</f>
        <v/>
      </c>
    </row>
    <row r="291">
      <c r="A291" s="3" t="inlineStr">
        <is>
          <t>S31</t>
        </is>
      </c>
      <c r="B291" s="3" t="inlineStr">
        <is>
          <t>lunes</t>
        </is>
      </c>
      <c r="C291" s="3" t="inlineStr">
        <is>
          <t>Técnico 06</t>
        </is>
      </c>
      <c r="D291" s="3">
        <f>_xlfn.XLOOKUP(tblAsignaciones[[#This Row],[tecnico]],tblTecnicos[nombre],tblTecnicos[area],"")</f>
        <v/>
      </c>
      <c r="E291" s="3">
        <f>_xlfn.XLOOKUP(tblAsignaciones[[#This Row],[tecnico]],tblTecnicos[nombre],tblTecnicos[especialidad],"")</f>
        <v/>
      </c>
      <c r="F291" s="6" t="inlineStr">
        <is>
          <t>T1</t>
        </is>
      </c>
      <c r="G291" s="3">
        <f>_xlfn.XLOOKUP(tblAsignaciones[[#This Row],[tecnico]],tblTecnicos[nombre],tblTecnicos[coordinador],"")</f>
        <v/>
      </c>
      <c r="H291" s="3">
        <f>IF(OR(tblAsignaciones[[#This Row],[turno]]="",ISNUMBER(MATCH(tblAsignaciones[[#This Row],[turno]],lista_no_disponible,0))),0,p_horas_jornada)</f>
        <v/>
      </c>
      <c r="I291" s="3">
        <f>tblAsignaciones[[#This Row],[semana]]&amp;"|"&amp;tblAsignaciones[[#This Row],[dia]]&amp;"|"&amp;tblAsignaciones[[#This Row],[tecnico]]</f>
        <v/>
      </c>
    </row>
    <row r="292">
      <c r="A292" s="3" t="inlineStr">
        <is>
          <t>S31</t>
        </is>
      </c>
      <c r="B292" s="3" t="inlineStr">
        <is>
          <t>martes</t>
        </is>
      </c>
      <c r="C292" s="3" t="inlineStr">
        <is>
          <t>Técnico 06</t>
        </is>
      </c>
      <c r="D292" s="3">
        <f>_xlfn.XLOOKUP(tblAsignaciones[[#This Row],[tecnico]],tblTecnicos[nombre],tblTecnicos[area],"")</f>
        <v/>
      </c>
      <c r="E292" s="3">
        <f>_xlfn.XLOOKUP(tblAsignaciones[[#This Row],[tecnico]],tblTecnicos[nombre],tblTecnicos[especialidad],"")</f>
        <v/>
      </c>
      <c r="F292" s="6" t="inlineStr">
        <is>
          <t>T1</t>
        </is>
      </c>
      <c r="G292" s="3">
        <f>_xlfn.XLOOKUP(tblAsignaciones[[#This Row],[tecnico]],tblTecnicos[nombre],tblTecnicos[coordinador],"")</f>
        <v/>
      </c>
      <c r="H292" s="3">
        <f>IF(OR(tblAsignaciones[[#This Row],[turno]]="",ISNUMBER(MATCH(tblAsignaciones[[#This Row],[turno]],lista_no_disponible,0))),0,p_horas_jornada)</f>
        <v/>
      </c>
      <c r="I292" s="3">
        <f>tblAsignaciones[[#This Row],[semana]]&amp;"|"&amp;tblAsignaciones[[#This Row],[dia]]&amp;"|"&amp;tblAsignaciones[[#This Row],[tecnico]]</f>
        <v/>
      </c>
    </row>
    <row r="293">
      <c r="A293" s="3" t="inlineStr">
        <is>
          <t>S31</t>
        </is>
      </c>
      <c r="B293" s="3" t="inlineStr">
        <is>
          <t>miércoles</t>
        </is>
      </c>
      <c r="C293" s="3" t="inlineStr">
        <is>
          <t>Técnico 06</t>
        </is>
      </c>
      <c r="D293" s="3">
        <f>_xlfn.XLOOKUP(tblAsignaciones[[#This Row],[tecnico]],tblTecnicos[nombre],tblTecnicos[area],"")</f>
        <v/>
      </c>
      <c r="E293" s="3">
        <f>_xlfn.XLOOKUP(tblAsignaciones[[#This Row],[tecnico]],tblTecnicos[nombre],tblTecnicos[especialidad],"")</f>
        <v/>
      </c>
      <c r="F293" s="6" t="inlineStr">
        <is>
          <t>T1</t>
        </is>
      </c>
      <c r="G293" s="3">
        <f>_xlfn.XLOOKUP(tblAsignaciones[[#This Row],[tecnico]],tblTecnicos[nombre],tblTecnicos[coordinador],"")</f>
        <v/>
      </c>
      <c r="H293" s="3">
        <f>IF(OR(tblAsignaciones[[#This Row],[turno]]="",ISNUMBER(MATCH(tblAsignaciones[[#This Row],[turno]],lista_no_disponible,0))),0,p_horas_jornada)</f>
        <v/>
      </c>
      <c r="I293" s="3">
        <f>tblAsignaciones[[#This Row],[semana]]&amp;"|"&amp;tblAsignaciones[[#This Row],[dia]]&amp;"|"&amp;tblAsignaciones[[#This Row],[tecnico]]</f>
        <v/>
      </c>
    </row>
    <row r="294">
      <c r="A294" s="3" t="inlineStr">
        <is>
          <t>S31</t>
        </is>
      </c>
      <c r="B294" s="3" t="inlineStr">
        <is>
          <t>jueves</t>
        </is>
      </c>
      <c r="C294" s="3" t="inlineStr">
        <is>
          <t>Técnico 06</t>
        </is>
      </c>
      <c r="D294" s="3">
        <f>_xlfn.XLOOKUP(tblAsignaciones[[#This Row],[tecnico]],tblTecnicos[nombre],tblTecnicos[area],"")</f>
        <v/>
      </c>
      <c r="E294" s="3">
        <f>_xlfn.XLOOKUP(tblAsignaciones[[#This Row],[tecnico]],tblTecnicos[nombre],tblTecnicos[especialidad],"")</f>
        <v/>
      </c>
      <c r="F294" s="6" t="inlineStr">
        <is>
          <t>T1</t>
        </is>
      </c>
      <c r="G294" s="3">
        <f>_xlfn.XLOOKUP(tblAsignaciones[[#This Row],[tecnico]],tblTecnicos[nombre],tblTecnicos[coordinador],"")</f>
        <v/>
      </c>
      <c r="H294" s="3">
        <f>IF(OR(tblAsignaciones[[#This Row],[turno]]="",ISNUMBER(MATCH(tblAsignaciones[[#This Row],[turno]],lista_no_disponible,0))),0,p_horas_jornada)</f>
        <v/>
      </c>
      <c r="I294" s="3">
        <f>tblAsignaciones[[#This Row],[semana]]&amp;"|"&amp;tblAsignaciones[[#This Row],[dia]]&amp;"|"&amp;tblAsignaciones[[#This Row],[tecnico]]</f>
        <v/>
      </c>
    </row>
    <row r="295">
      <c r="A295" s="3" t="inlineStr">
        <is>
          <t>S31</t>
        </is>
      </c>
      <c r="B295" s="3" t="inlineStr">
        <is>
          <t>viernes</t>
        </is>
      </c>
      <c r="C295" s="3" t="inlineStr">
        <is>
          <t>Técnico 06</t>
        </is>
      </c>
      <c r="D295" s="3">
        <f>_xlfn.XLOOKUP(tblAsignaciones[[#This Row],[tecnico]],tblTecnicos[nombre],tblTecnicos[area],"")</f>
        <v/>
      </c>
      <c r="E295" s="3">
        <f>_xlfn.XLOOKUP(tblAsignaciones[[#This Row],[tecnico]],tblTecnicos[nombre],tblTecnicos[especialidad],"")</f>
        <v/>
      </c>
      <c r="F295" s="6" t="inlineStr">
        <is>
          <t>T1</t>
        </is>
      </c>
      <c r="G295" s="3">
        <f>_xlfn.XLOOKUP(tblAsignaciones[[#This Row],[tecnico]],tblTecnicos[nombre],tblTecnicos[coordinador],"")</f>
        <v/>
      </c>
      <c r="H295" s="3">
        <f>IF(OR(tblAsignaciones[[#This Row],[turno]]="",ISNUMBER(MATCH(tblAsignaciones[[#This Row],[turno]],lista_no_disponible,0))),0,p_horas_jornada)</f>
        <v/>
      </c>
      <c r="I295" s="3">
        <f>tblAsignaciones[[#This Row],[semana]]&amp;"|"&amp;tblAsignaciones[[#This Row],[dia]]&amp;"|"&amp;tblAsignaciones[[#This Row],[tecnico]]</f>
        <v/>
      </c>
    </row>
    <row r="296">
      <c r="A296" s="3" t="inlineStr">
        <is>
          <t>S31</t>
        </is>
      </c>
      <c r="B296" s="3" t="inlineStr">
        <is>
          <t>sábado</t>
        </is>
      </c>
      <c r="C296" s="3" t="inlineStr">
        <is>
          <t>Técnico 06</t>
        </is>
      </c>
      <c r="D296" s="3">
        <f>_xlfn.XLOOKUP(tblAsignaciones[[#This Row],[tecnico]],tblTecnicos[nombre],tblTecnicos[area],"")</f>
        <v/>
      </c>
      <c r="E296" s="3">
        <f>_xlfn.XLOOKUP(tblAsignaciones[[#This Row],[tecnico]],tblTecnicos[nombre],tblTecnicos[especialidad],"")</f>
        <v/>
      </c>
      <c r="F296" s="6" t="inlineStr"/>
      <c r="G296" s="3">
        <f>_xlfn.XLOOKUP(tblAsignaciones[[#This Row],[tecnico]],tblTecnicos[nombre],tblTecnicos[coordinador],"")</f>
        <v/>
      </c>
      <c r="H296" s="3">
        <f>IF(OR(tblAsignaciones[[#This Row],[turno]]="",ISNUMBER(MATCH(tblAsignaciones[[#This Row],[turno]],lista_no_disponible,0))),0,p_horas_jornada)</f>
        <v/>
      </c>
      <c r="I296" s="3">
        <f>tblAsignaciones[[#This Row],[semana]]&amp;"|"&amp;tblAsignaciones[[#This Row],[dia]]&amp;"|"&amp;tblAsignaciones[[#This Row],[tecnico]]</f>
        <v/>
      </c>
    </row>
    <row r="297">
      <c r="A297" s="3" t="inlineStr">
        <is>
          <t>S31</t>
        </is>
      </c>
      <c r="B297" s="3" t="inlineStr">
        <is>
          <t>domingo</t>
        </is>
      </c>
      <c r="C297" s="3" t="inlineStr">
        <is>
          <t>Técnico 06</t>
        </is>
      </c>
      <c r="D297" s="3">
        <f>_xlfn.XLOOKUP(tblAsignaciones[[#This Row],[tecnico]],tblTecnicos[nombre],tblTecnicos[area],"")</f>
        <v/>
      </c>
      <c r="E297" s="3">
        <f>_xlfn.XLOOKUP(tblAsignaciones[[#This Row],[tecnico]],tblTecnicos[nombre],tblTecnicos[especialidad],"")</f>
        <v/>
      </c>
      <c r="F297" s="6" t="inlineStr"/>
      <c r="G297" s="3">
        <f>_xlfn.XLOOKUP(tblAsignaciones[[#This Row],[tecnico]],tblTecnicos[nombre],tblTecnicos[coordinador],"")</f>
        <v/>
      </c>
      <c r="H297" s="3">
        <f>IF(OR(tblAsignaciones[[#This Row],[turno]]="",ISNUMBER(MATCH(tblAsignaciones[[#This Row],[turno]],lista_no_disponible,0))),0,p_horas_jornada)</f>
        <v/>
      </c>
      <c r="I297" s="3">
        <f>tblAsignaciones[[#This Row],[semana]]&amp;"|"&amp;tblAsignaciones[[#This Row],[dia]]&amp;"|"&amp;tblAsignaciones[[#This Row],[tecnico]]</f>
        <v/>
      </c>
    </row>
    <row r="298">
      <c r="A298" s="3" t="inlineStr">
        <is>
          <t>S31</t>
        </is>
      </c>
      <c r="B298" s="3" t="inlineStr">
        <is>
          <t>lunes</t>
        </is>
      </c>
      <c r="C298" s="3" t="inlineStr">
        <is>
          <t>Técnico 07</t>
        </is>
      </c>
      <c r="D298" s="3">
        <f>_xlfn.XLOOKUP(tblAsignaciones[[#This Row],[tecnico]],tblTecnicos[nombre],tblTecnicos[area],"")</f>
        <v/>
      </c>
      <c r="E298" s="3">
        <f>_xlfn.XLOOKUP(tblAsignaciones[[#This Row],[tecnico]],tblTecnicos[nombre],tblTecnicos[especialidad],"")</f>
        <v/>
      </c>
      <c r="F298" s="6" t="inlineStr">
        <is>
          <t>T1</t>
        </is>
      </c>
      <c r="G298" s="3">
        <f>_xlfn.XLOOKUP(tblAsignaciones[[#This Row],[tecnico]],tblTecnicos[nombre],tblTecnicos[coordinador],"")</f>
        <v/>
      </c>
      <c r="H298" s="3">
        <f>IF(OR(tblAsignaciones[[#This Row],[turno]]="",ISNUMBER(MATCH(tblAsignaciones[[#This Row],[turno]],lista_no_disponible,0))),0,p_horas_jornada)</f>
        <v/>
      </c>
      <c r="I298" s="3">
        <f>tblAsignaciones[[#This Row],[semana]]&amp;"|"&amp;tblAsignaciones[[#This Row],[dia]]&amp;"|"&amp;tblAsignaciones[[#This Row],[tecnico]]</f>
        <v/>
      </c>
    </row>
    <row r="299">
      <c r="A299" s="3" t="inlineStr">
        <is>
          <t>S31</t>
        </is>
      </c>
      <c r="B299" s="3" t="inlineStr">
        <is>
          <t>martes</t>
        </is>
      </c>
      <c r="C299" s="3" t="inlineStr">
        <is>
          <t>Técnico 07</t>
        </is>
      </c>
      <c r="D299" s="3">
        <f>_xlfn.XLOOKUP(tblAsignaciones[[#This Row],[tecnico]],tblTecnicos[nombre],tblTecnicos[area],"")</f>
        <v/>
      </c>
      <c r="E299" s="3">
        <f>_xlfn.XLOOKUP(tblAsignaciones[[#This Row],[tecnico]],tblTecnicos[nombre],tblTecnicos[especialidad],"")</f>
        <v/>
      </c>
      <c r="F299" s="6" t="inlineStr">
        <is>
          <t>T1</t>
        </is>
      </c>
      <c r="G299" s="3">
        <f>_xlfn.XLOOKUP(tblAsignaciones[[#This Row],[tecnico]],tblTecnicos[nombre],tblTecnicos[coordinador],"")</f>
        <v/>
      </c>
      <c r="H299" s="3">
        <f>IF(OR(tblAsignaciones[[#This Row],[turno]]="",ISNUMBER(MATCH(tblAsignaciones[[#This Row],[turno]],lista_no_disponible,0))),0,p_horas_jornada)</f>
        <v/>
      </c>
      <c r="I299" s="3">
        <f>tblAsignaciones[[#This Row],[semana]]&amp;"|"&amp;tblAsignaciones[[#This Row],[dia]]&amp;"|"&amp;tblAsignaciones[[#This Row],[tecnico]]</f>
        <v/>
      </c>
    </row>
    <row r="300">
      <c r="A300" s="3" t="inlineStr">
        <is>
          <t>S31</t>
        </is>
      </c>
      <c r="B300" s="3" t="inlineStr">
        <is>
          <t>miércoles</t>
        </is>
      </c>
      <c r="C300" s="3" t="inlineStr">
        <is>
          <t>Técnico 07</t>
        </is>
      </c>
      <c r="D300" s="3">
        <f>_xlfn.XLOOKUP(tblAsignaciones[[#This Row],[tecnico]],tblTecnicos[nombre],tblTecnicos[area],"")</f>
        <v/>
      </c>
      <c r="E300" s="3">
        <f>_xlfn.XLOOKUP(tblAsignaciones[[#This Row],[tecnico]],tblTecnicos[nombre],tblTecnicos[especialidad],"")</f>
        <v/>
      </c>
      <c r="F300" s="6" t="inlineStr">
        <is>
          <t>T1</t>
        </is>
      </c>
      <c r="G300" s="3">
        <f>_xlfn.XLOOKUP(tblAsignaciones[[#This Row],[tecnico]],tblTecnicos[nombre],tblTecnicos[coordinador],"")</f>
        <v/>
      </c>
      <c r="H300" s="3">
        <f>IF(OR(tblAsignaciones[[#This Row],[turno]]="",ISNUMBER(MATCH(tblAsignaciones[[#This Row],[turno]],lista_no_disponible,0))),0,p_horas_jornada)</f>
        <v/>
      </c>
      <c r="I300" s="3">
        <f>tblAsignaciones[[#This Row],[semana]]&amp;"|"&amp;tblAsignaciones[[#This Row],[dia]]&amp;"|"&amp;tblAsignaciones[[#This Row],[tecnico]]</f>
        <v/>
      </c>
    </row>
    <row r="301">
      <c r="A301" s="3" t="inlineStr">
        <is>
          <t>S31</t>
        </is>
      </c>
      <c r="B301" s="3" t="inlineStr">
        <is>
          <t>jueves</t>
        </is>
      </c>
      <c r="C301" s="3" t="inlineStr">
        <is>
          <t>Técnico 07</t>
        </is>
      </c>
      <c r="D301" s="3">
        <f>_xlfn.XLOOKUP(tblAsignaciones[[#This Row],[tecnico]],tblTecnicos[nombre],tblTecnicos[area],"")</f>
        <v/>
      </c>
      <c r="E301" s="3">
        <f>_xlfn.XLOOKUP(tblAsignaciones[[#This Row],[tecnico]],tblTecnicos[nombre],tblTecnicos[especialidad],"")</f>
        <v/>
      </c>
      <c r="F301" s="6" t="inlineStr">
        <is>
          <t>T1</t>
        </is>
      </c>
      <c r="G301" s="3">
        <f>_xlfn.XLOOKUP(tblAsignaciones[[#This Row],[tecnico]],tblTecnicos[nombre],tblTecnicos[coordinador],"")</f>
        <v/>
      </c>
      <c r="H301" s="3">
        <f>IF(OR(tblAsignaciones[[#This Row],[turno]]="",ISNUMBER(MATCH(tblAsignaciones[[#This Row],[turno]],lista_no_disponible,0))),0,p_horas_jornada)</f>
        <v/>
      </c>
      <c r="I301" s="3">
        <f>tblAsignaciones[[#This Row],[semana]]&amp;"|"&amp;tblAsignaciones[[#This Row],[dia]]&amp;"|"&amp;tblAsignaciones[[#This Row],[tecnico]]</f>
        <v/>
      </c>
    </row>
    <row r="302">
      <c r="A302" s="3" t="inlineStr">
        <is>
          <t>S31</t>
        </is>
      </c>
      <c r="B302" s="3" t="inlineStr">
        <is>
          <t>viernes</t>
        </is>
      </c>
      <c r="C302" s="3" t="inlineStr">
        <is>
          <t>Técnico 07</t>
        </is>
      </c>
      <c r="D302" s="3">
        <f>_xlfn.XLOOKUP(tblAsignaciones[[#This Row],[tecnico]],tblTecnicos[nombre],tblTecnicos[area],"")</f>
        <v/>
      </c>
      <c r="E302" s="3">
        <f>_xlfn.XLOOKUP(tblAsignaciones[[#This Row],[tecnico]],tblTecnicos[nombre],tblTecnicos[especialidad],"")</f>
        <v/>
      </c>
      <c r="F302" s="6" t="inlineStr">
        <is>
          <t>T1</t>
        </is>
      </c>
      <c r="G302" s="3">
        <f>_xlfn.XLOOKUP(tblAsignaciones[[#This Row],[tecnico]],tblTecnicos[nombre],tblTecnicos[coordinador],"")</f>
        <v/>
      </c>
      <c r="H302" s="3">
        <f>IF(OR(tblAsignaciones[[#This Row],[turno]]="",ISNUMBER(MATCH(tblAsignaciones[[#This Row],[turno]],lista_no_disponible,0))),0,p_horas_jornada)</f>
        <v/>
      </c>
      <c r="I302" s="3">
        <f>tblAsignaciones[[#This Row],[semana]]&amp;"|"&amp;tblAsignaciones[[#This Row],[dia]]&amp;"|"&amp;tblAsignaciones[[#This Row],[tecnico]]</f>
        <v/>
      </c>
    </row>
    <row r="303">
      <c r="A303" s="3" t="inlineStr">
        <is>
          <t>S31</t>
        </is>
      </c>
      <c r="B303" s="3" t="inlineStr">
        <is>
          <t>sábado</t>
        </is>
      </c>
      <c r="C303" s="3" t="inlineStr">
        <is>
          <t>Técnico 07</t>
        </is>
      </c>
      <c r="D303" s="3">
        <f>_xlfn.XLOOKUP(tblAsignaciones[[#This Row],[tecnico]],tblTecnicos[nombre],tblTecnicos[area],"")</f>
        <v/>
      </c>
      <c r="E303" s="3">
        <f>_xlfn.XLOOKUP(tblAsignaciones[[#This Row],[tecnico]],tblTecnicos[nombre],tblTecnicos[especialidad],"")</f>
        <v/>
      </c>
      <c r="F303" s="6" t="inlineStr"/>
      <c r="G303" s="3">
        <f>_xlfn.XLOOKUP(tblAsignaciones[[#This Row],[tecnico]],tblTecnicos[nombre],tblTecnicos[coordinador],"")</f>
        <v/>
      </c>
      <c r="H303" s="3">
        <f>IF(OR(tblAsignaciones[[#This Row],[turno]]="",ISNUMBER(MATCH(tblAsignaciones[[#This Row],[turno]],lista_no_disponible,0))),0,p_horas_jornada)</f>
        <v/>
      </c>
      <c r="I303" s="3">
        <f>tblAsignaciones[[#This Row],[semana]]&amp;"|"&amp;tblAsignaciones[[#This Row],[dia]]&amp;"|"&amp;tblAsignaciones[[#This Row],[tecnico]]</f>
        <v/>
      </c>
    </row>
    <row r="304">
      <c r="A304" s="3" t="inlineStr">
        <is>
          <t>S31</t>
        </is>
      </c>
      <c r="B304" s="3" t="inlineStr">
        <is>
          <t>domingo</t>
        </is>
      </c>
      <c r="C304" s="3" t="inlineStr">
        <is>
          <t>Técnico 07</t>
        </is>
      </c>
      <c r="D304" s="3">
        <f>_xlfn.XLOOKUP(tblAsignaciones[[#This Row],[tecnico]],tblTecnicos[nombre],tblTecnicos[area],"")</f>
        <v/>
      </c>
      <c r="E304" s="3">
        <f>_xlfn.XLOOKUP(tblAsignaciones[[#This Row],[tecnico]],tblTecnicos[nombre],tblTecnicos[especialidad],"")</f>
        <v/>
      </c>
      <c r="F304" s="6" t="inlineStr"/>
      <c r="G304" s="3">
        <f>_xlfn.XLOOKUP(tblAsignaciones[[#This Row],[tecnico]],tblTecnicos[nombre],tblTecnicos[coordinador],"")</f>
        <v/>
      </c>
      <c r="H304" s="3">
        <f>IF(OR(tblAsignaciones[[#This Row],[turno]]="",ISNUMBER(MATCH(tblAsignaciones[[#This Row],[turno]],lista_no_disponible,0))),0,p_horas_jornada)</f>
        <v/>
      </c>
      <c r="I304" s="3">
        <f>tblAsignaciones[[#This Row],[semana]]&amp;"|"&amp;tblAsignaciones[[#This Row],[dia]]&amp;"|"&amp;tblAsignaciones[[#This Row],[tecnico]]</f>
        <v/>
      </c>
    </row>
    <row r="305">
      <c r="A305" s="3" t="inlineStr">
        <is>
          <t>S31</t>
        </is>
      </c>
      <c r="B305" s="3" t="inlineStr">
        <is>
          <t>lunes</t>
        </is>
      </c>
      <c r="C305" s="3" t="inlineStr">
        <is>
          <t>Técnico 08</t>
        </is>
      </c>
      <c r="D305" s="3">
        <f>_xlfn.XLOOKUP(tblAsignaciones[[#This Row],[tecnico]],tblTecnicos[nombre],tblTecnicos[area],"")</f>
        <v/>
      </c>
      <c r="E305" s="3">
        <f>_xlfn.XLOOKUP(tblAsignaciones[[#This Row],[tecnico]],tblTecnicos[nombre],tblTecnicos[especialidad],"")</f>
        <v/>
      </c>
      <c r="F305" s="6" t="inlineStr">
        <is>
          <t>T3</t>
        </is>
      </c>
      <c r="G305" s="3">
        <f>_xlfn.XLOOKUP(tblAsignaciones[[#This Row],[tecnico]],tblTecnicos[nombre],tblTecnicos[coordinador],"")</f>
        <v/>
      </c>
      <c r="H305" s="3">
        <f>IF(OR(tblAsignaciones[[#This Row],[turno]]="",ISNUMBER(MATCH(tblAsignaciones[[#This Row],[turno]],lista_no_disponible,0))),0,p_horas_jornada)</f>
        <v/>
      </c>
      <c r="I305" s="3">
        <f>tblAsignaciones[[#This Row],[semana]]&amp;"|"&amp;tblAsignaciones[[#This Row],[dia]]&amp;"|"&amp;tblAsignaciones[[#This Row],[tecnico]]</f>
        <v/>
      </c>
    </row>
    <row r="306">
      <c r="A306" s="3" t="inlineStr">
        <is>
          <t>S31</t>
        </is>
      </c>
      <c r="B306" s="3" t="inlineStr">
        <is>
          <t>martes</t>
        </is>
      </c>
      <c r="C306" s="3" t="inlineStr">
        <is>
          <t>Técnico 08</t>
        </is>
      </c>
      <c r="D306" s="3">
        <f>_xlfn.XLOOKUP(tblAsignaciones[[#This Row],[tecnico]],tblTecnicos[nombre],tblTecnicos[area],"")</f>
        <v/>
      </c>
      <c r="E306" s="3">
        <f>_xlfn.XLOOKUP(tblAsignaciones[[#This Row],[tecnico]],tblTecnicos[nombre],tblTecnicos[especialidad],"")</f>
        <v/>
      </c>
      <c r="F306" s="6" t="inlineStr">
        <is>
          <t>T3</t>
        </is>
      </c>
      <c r="G306" s="3">
        <f>_xlfn.XLOOKUP(tblAsignaciones[[#This Row],[tecnico]],tblTecnicos[nombre],tblTecnicos[coordinador],"")</f>
        <v/>
      </c>
      <c r="H306" s="3">
        <f>IF(OR(tblAsignaciones[[#This Row],[turno]]="",ISNUMBER(MATCH(tblAsignaciones[[#This Row],[turno]],lista_no_disponible,0))),0,p_horas_jornada)</f>
        <v/>
      </c>
      <c r="I306" s="3">
        <f>tblAsignaciones[[#This Row],[semana]]&amp;"|"&amp;tblAsignaciones[[#This Row],[dia]]&amp;"|"&amp;tblAsignaciones[[#This Row],[tecnico]]</f>
        <v/>
      </c>
    </row>
    <row r="307">
      <c r="A307" s="3" t="inlineStr">
        <is>
          <t>S31</t>
        </is>
      </c>
      <c r="B307" s="3" t="inlineStr">
        <is>
          <t>miércoles</t>
        </is>
      </c>
      <c r="C307" s="3" t="inlineStr">
        <is>
          <t>Técnico 08</t>
        </is>
      </c>
      <c r="D307" s="3">
        <f>_xlfn.XLOOKUP(tblAsignaciones[[#This Row],[tecnico]],tblTecnicos[nombre],tblTecnicos[area],"")</f>
        <v/>
      </c>
      <c r="E307" s="3">
        <f>_xlfn.XLOOKUP(tblAsignaciones[[#This Row],[tecnico]],tblTecnicos[nombre],tblTecnicos[especialidad],"")</f>
        <v/>
      </c>
      <c r="F307" s="6" t="inlineStr">
        <is>
          <t>T3</t>
        </is>
      </c>
      <c r="G307" s="3">
        <f>_xlfn.XLOOKUP(tblAsignaciones[[#This Row],[tecnico]],tblTecnicos[nombre],tblTecnicos[coordinador],"")</f>
        <v/>
      </c>
      <c r="H307" s="3">
        <f>IF(OR(tblAsignaciones[[#This Row],[turno]]="",ISNUMBER(MATCH(tblAsignaciones[[#This Row],[turno]],lista_no_disponible,0))),0,p_horas_jornada)</f>
        <v/>
      </c>
      <c r="I307" s="3">
        <f>tblAsignaciones[[#This Row],[semana]]&amp;"|"&amp;tblAsignaciones[[#This Row],[dia]]&amp;"|"&amp;tblAsignaciones[[#This Row],[tecnico]]</f>
        <v/>
      </c>
    </row>
    <row r="308">
      <c r="A308" s="3" t="inlineStr">
        <is>
          <t>S31</t>
        </is>
      </c>
      <c r="B308" s="3" t="inlineStr">
        <is>
          <t>jueves</t>
        </is>
      </c>
      <c r="C308" s="3" t="inlineStr">
        <is>
          <t>Técnico 08</t>
        </is>
      </c>
      <c r="D308" s="3">
        <f>_xlfn.XLOOKUP(tblAsignaciones[[#This Row],[tecnico]],tblTecnicos[nombre],tblTecnicos[area],"")</f>
        <v/>
      </c>
      <c r="E308" s="3">
        <f>_xlfn.XLOOKUP(tblAsignaciones[[#This Row],[tecnico]],tblTecnicos[nombre],tblTecnicos[especialidad],"")</f>
        <v/>
      </c>
      <c r="F308" s="6" t="inlineStr">
        <is>
          <t>T3</t>
        </is>
      </c>
      <c r="G308" s="3">
        <f>_xlfn.XLOOKUP(tblAsignaciones[[#This Row],[tecnico]],tblTecnicos[nombre],tblTecnicos[coordinador],"")</f>
        <v/>
      </c>
      <c r="H308" s="3">
        <f>IF(OR(tblAsignaciones[[#This Row],[turno]]="",ISNUMBER(MATCH(tblAsignaciones[[#This Row],[turno]],lista_no_disponible,0))),0,p_horas_jornada)</f>
        <v/>
      </c>
      <c r="I308" s="3">
        <f>tblAsignaciones[[#This Row],[semana]]&amp;"|"&amp;tblAsignaciones[[#This Row],[dia]]&amp;"|"&amp;tblAsignaciones[[#This Row],[tecnico]]</f>
        <v/>
      </c>
    </row>
    <row r="309">
      <c r="A309" s="3" t="inlineStr">
        <is>
          <t>S31</t>
        </is>
      </c>
      <c r="B309" s="3" t="inlineStr">
        <is>
          <t>viernes</t>
        </is>
      </c>
      <c r="C309" s="3" t="inlineStr">
        <is>
          <t>Técnico 08</t>
        </is>
      </c>
      <c r="D309" s="3">
        <f>_xlfn.XLOOKUP(tblAsignaciones[[#This Row],[tecnico]],tblTecnicos[nombre],tblTecnicos[area],"")</f>
        <v/>
      </c>
      <c r="E309" s="3">
        <f>_xlfn.XLOOKUP(tblAsignaciones[[#This Row],[tecnico]],tblTecnicos[nombre],tblTecnicos[especialidad],"")</f>
        <v/>
      </c>
      <c r="F309" s="6" t="inlineStr">
        <is>
          <t>T3</t>
        </is>
      </c>
      <c r="G309" s="3">
        <f>_xlfn.XLOOKUP(tblAsignaciones[[#This Row],[tecnico]],tblTecnicos[nombre],tblTecnicos[coordinador],"")</f>
        <v/>
      </c>
      <c r="H309" s="3">
        <f>IF(OR(tblAsignaciones[[#This Row],[turno]]="",ISNUMBER(MATCH(tblAsignaciones[[#This Row],[turno]],lista_no_disponible,0))),0,p_horas_jornada)</f>
        <v/>
      </c>
      <c r="I309" s="3">
        <f>tblAsignaciones[[#This Row],[semana]]&amp;"|"&amp;tblAsignaciones[[#This Row],[dia]]&amp;"|"&amp;tblAsignaciones[[#This Row],[tecnico]]</f>
        <v/>
      </c>
    </row>
    <row r="310">
      <c r="A310" s="3" t="inlineStr">
        <is>
          <t>S31</t>
        </is>
      </c>
      <c r="B310" s="3" t="inlineStr">
        <is>
          <t>sábado</t>
        </is>
      </c>
      <c r="C310" s="3" t="inlineStr">
        <is>
          <t>Técnico 08</t>
        </is>
      </c>
      <c r="D310" s="3">
        <f>_xlfn.XLOOKUP(tblAsignaciones[[#This Row],[tecnico]],tblTecnicos[nombre],tblTecnicos[area],"")</f>
        <v/>
      </c>
      <c r="E310" s="3">
        <f>_xlfn.XLOOKUP(tblAsignaciones[[#This Row],[tecnico]],tblTecnicos[nombre],tblTecnicos[especialidad],"")</f>
        <v/>
      </c>
      <c r="F310" s="6" t="inlineStr"/>
      <c r="G310" s="3">
        <f>_xlfn.XLOOKUP(tblAsignaciones[[#This Row],[tecnico]],tblTecnicos[nombre],tblTecnicos[coordinador],"")</f>
        <v/>
      </c>
      <c r="H310" s="3">
        <f>IF(OR(tblAsignaciones[[#This Row],[turno]]="",ISNUMBER(MATCH(tblAsignaciones[[#This Row],[turno]],lista_no_disponible,0))),0,p_horas_jornada)</f>
        <v/>
      </c>
      <c r="I310" s="3">
        <f>tblAsignaciones[[#This Row],[semana]]&amp;"|"&amp;tblAsignaciones[[#This Row],[dia]]&amp;"|"&amp;tblAsignaciones[[#This Row],[tecnico]]</f>
        <v/>
      </c>
    </row>
    <row r="311">
      <c r="A311" s="3" t="inlineStr">
        <is>
          <t>S31</t>
        </is>
      </c>
      <c r="B311" s="3" t="inlineStr">
        <is>
          <t>domingo</t>
        </is>
      </c>
      <c r="C311" s="3" t="inlineStr">
        <is>
          <t>Técnico 08</t>
        </is>
      </c>
      <c r="D311" s="3">
        <f>_xlfn.XLOOKUP(tblAsignaciones[[#This Row],[tecnico]],tblTecnicos[nombre],tblTecnicos[area],"")</f>
        <v/>
      </c>
      <c r="E311" s="3">
        <f>_xlfn.XLOOKUP(tblAsignaciones[[#This Row],[tecnico]],tblTecnicos[nombre],tblTecnicos[especialidad],"")</f>
        <v/>
      </c>
      <c r="F311" s="6" t="inlineStr"/>
      <c r="G311" s="3">
        <f>_xlfn.XLOOKUP(tblAsignaciones[[#This Row],[tecnico]],tblTecnicos[nombre],tblTecnicos[coordinador],"")</f>
        <v/>
      </c>
      <c r="H311" s="3">
        <f>IF(OR(tblAsignaciones[[#This Row],[turno]]="",ISNUMBER(MATCH(tblAsignaciones[[#This Row],[turno]],lista_no_disponible,0))),0,p_horas_jornada)</f>
        <v/>
      </c>
      <c r="I311" s="3">
        <f>tblAsignaciones[[#This Row],[semana]]&amp;"|"&amp;tblAsignaciones[[#This Row],[dia]]&amp;"|"&amp;tblAsignaciones[[#This Row],[tecnico]]</f>
        <v/>
      </c>
    </row>
    <row r="312">
      <c r="A312" s="3" t="inlineStr">
        <is>
          <t>S31</t>
        </is>
      </c>
      <c r="B312" s="3" t="inlineStr">
        <is>
          <t>lunes</t>
        </is>
      </c>
      <c r="C312" s="3" t="inlineStr">
        <is>
          <t>Técnico 09</t>
        </is>
      </c>
      <c r="D312" s="3">
        <f>_xlfn.XLOOKUP(tblAsignaciones[[#This Row],[tecnico]],tblTecnicos[nombre],tblTecnicos[area],"")</f>
        <v/>
      </c>
      <c r="E312" s="3">
        <f>_xlfn.XLOOKUP(tblAsignaciones[[#This Row],[tecnico]],tblTecnicos[nombre],tblTecnicos[especialidad],"")</f>
        <v/>
      </c>
      <c r="F312" s="6" t="inlineStr">
        <is>
          <t>T1</t>
        </is>
      </c>
      <c r="G312" s="3">
        <f>_xlfn.XLOOKUP(tblAsignaciones[[#This Row],[tecnico]],tblTecnicos[nombre],tblTecnicos[coordinador],"")</f>
        <v/>
      </c>
      <c r="H312" s="3">
        <f>IF(OR(tblAsignaciones[[#This Row],[turno]]="",ISNUMBER(MATCH(tblAsignaciones[[#This Row],[turno]],lista_no_disponible,0))),0,p_horas_jornada)</f>
        <v/>
      </c>
      <c r="I312" s="3">
        <f>tblAsignaciones[[#This Row],[semana]]&amp;"|"&amp;tblAsignaciones[[#This Row],[dia]]&amp;"|"&amp;tblAsignaciones[[#This Row],[tecnico]]</f>
        <v/>
      </c>
    </row>
    <row r="313">
      <c r="A313" s="3" t="inlineStr">
        <is>
          <t>S31</t>
        </is>
      </c>
      <c r="B313" s="3" t="inlineStr">
        <is>
          <t>martes</t>
        </is>
      </c>
      <c r="C313" s="3" t="inlineStr">
        <is>
          <t>Técnico 09</t>
        </is>
      </c>
      <c r="D313" s="3">
        <f>_xlfn.XLOOKUP(tblAsignaciones[[#This Row],[tecnico]],tblTecnicos[nombre],tblTecnicos[area],"")</f>
        <v/>
      </c>
      <c r="E313" s="3">
        <f>_xlfn.XLOOKUP(tblAsignaciones[[#This Row],[tecnico]],tblTecnicos[nombre],tblTecnicos[especialidad],"")</f>
        <v/>
      </c>
      <c r="F313" s="6" t="inlineStr">
        <is>
          <t>T1</t>
        </is>
      </c>
      <c r="G313" s="3">
        <f>_xlfn.XLOOKUP(tblAsignaciones[[#This Row],[tecnico]],tblTecnicos[nombre],tblTecnicos[coordinador],"")</f>
        <v/>
      </c>
      <c r="H313" s="3">
        <f>IF(OR(tblAsignaciones[[#This Row],[turno]]="",ISNUMBER(MATCH(tblAsignaciones[[#This Row],[turno]],lista_no_disponible,0))),0,p_horas_jornada)</f>
        <v/>
      </c>
      <c r="I313" s="3">
        <f>tblAsignaciones[[#This Row],[semana]]&amp;"|"&amp;tblAsignaciones[[#This Row],[dia]]&amp;"|"&amp;tblAsignaciones[[#This Row],[tecnico]]</f>
        <v/>
      </c>
    </row>
    <row r="314">
      <c r="A314" s="3" t="inlineStr">
        <is>
          <t>S31</t>
        </is>
      </c>
      <c r="B314" s="3" t="inlineStr">
        <is>
          <t>miércoles</t>
        </is>
      </c>
      <c r="C314" s="3" t="inlineStr">
        <is>
          <t>Técnico 09</t>
        </is>
      </c>
      <c r="D314" s="3">
        <f>_xlfn.XLOOKUP(tblAsignaciones[[#This Row],[tecnico]],tblTecnicos[nombre],tblTecnicos[area],"")</f>
        <v/>
      </c>
      <c r="E314" s="3">
        <f>_xlfn.XLOOKUP(tblAsignaciones[[#This Row],[tecnico]],tblTecnicos[nombre],tblTecnicos[especialidad],"")</f>
        <v/>
      </c>
      <c r="F314" s="6" t="inlineStr">
        <is>
          <t>T1</t>
        </is>
      </c>
      <c r="G314" s="3">
        <f>_xlfn.XLOOKUP(tblAsignaciones[[#This Row],[tecnico]],tblTecnicos[nombre],tblTecnicos[coordinador],"")</f>
        <v/>
      </c>
      <c r="H314" s="3">
        <f>IF(OR(tblAsignaciones[[#This Row],[turno]]="",ISNUMBER(MATCH(tblAsignaciones[[#This Row],[turno]],lista_no_disponible,0))),0,p_horas_jornada)</f>
        <v/>
      </c>
      <c r="I314" s="3">
        <f>tblAsignaciones[[#This Row],[semana]]&amp;"|"&amp;tblAsignaciones[[#This Row],[dia]]&amp;"|"&amp;tblAsignaciones[[#This Row],[tecnico]]</f>
        <v/>
      </c>
    </row>
    <row r="315">
      <c r="A315" s="3" t="inlineStr">
        <is>
          <t>S31</t>
        </is>
      </c>
      <c r="B315" s="3" t="inlineStr">
        <is>
          <t>jueves</t>
        </is>
      </c>
      <c r="C315" s="3" t="inlineStr">
        <is>
          <t>Técnico 09</t>
        </is>
      </c>
      <c r="D315" s="3">
        <f>_xlfn.XLOOKUP(tblAsignaciones[[#This Row],[tecnico]],tblTecnicos[nombre],tblTecnicos[area],"")</f>
        <v/>
      </c>
      <c r="E315" s="3">
        <f>_xlfn.XLOOKUP(tblAsignaciones[[#This Row],[tecnico]],tblTecnicos[nombre],tblTecnicos[especialidad],"")</f>
        <v/>
      </c>
      <c r="F315" s="6" t="inlineStr">
        <is>
          <t>T1</t>
        </is>
      </c>
      <c r="G315" s="3">
        <f>_xlfn.XLOOKUP(tblAsignaciones[[#This Row],[tecnico]],tblTecnicos[nombre],tblTecnicos[coordinador],"")</f>
        <v/>
      </c>
      <c r="H315" s="3">
        <f>IF(OR(tblAsignaciones[[#This Row],[turno]]="",ISNUMBER(MATCH(tblAsignaciones[[#This Row],[turno]],lista_no_disponible,0))),0,p_horas_jornada)</f>
        <v/>
      </c>
      <c r="I315" s="3">
        <f>tblAsignaciones[[#This Row],[semana]]&amp;"|"&amp;tblAsignaciones[[#This Row],[dia]]&amp;"|"&amp;tblAsignaciones[[#This Row],[tecnico]]</f>
        <v/>
      </c>
    </row>
    <row r="316">
      <c r="A316" s="3" t="inlineStr">
        <is>
          <t>S31</t>
        </is>
      </c>
      <c r="B316" s="3" t="inlineStr">
        <is>
          <t>viernes</t>
        </is>
      </c>
      <c r="C316" s="3" t="inlineStr">
        <is>
          <t>Técnico 09</t>
        </is>
      </c>
      <c r="D316" s="3">
        <f>_xlfn.XLOOKUP(tblAsignaciones[[#This Row],[tecnico]],tblTecnicos[nombre],tblTecnicos[area],"")</f>
        <v/>
      </c>
      <c r="E316" s="3">
        <f>_xlfn.XLOOKUP(tblAsignaciones[[#This Row],[tecnico]],tblTecnicos[nombre],tblTecnicos[especialidad],"")</f>
        <v/>
      </c>
      <c r="F316" s="6" t="inlineStr">
        <is>
          <t>T1</t>
        </is>
      </c>
      <c r="G316" s="3">
        <f>_xlfn.XLOOKUP(tblAsignaciones[[#This Row],[tecnico]],tblTecnicos[nombre],tblTecnicos[coordinador],"")</f>
        <v/>
      </c>
      <c r="H316" s="3">
        <f>IF(OR(tblAsignaciones[[#This Row],[turno]]="",ISNUMBER(MATCH(tblAsignaciones[[#This Row],[turno]],lista_no_disponible,0))),0,p_horas_jornada)</f>
        <v/>
      </c>
      <c r="I316" s="3">
        <f>tblAsignaciones[[#This Row],[semana]]&amp;"|"&amp;tblAsignaciones[[#This Row],[dia]]&amp;"|"&amp;tblAsignaciones[[#This Row],[tecnico]]</f>
        <v/>
      </c>
    </row>
    <row r="317">
      <c r="A317" s="3" t="inlineStr">
        <is>
          <t>S31</t>
        </is>
      </c>
      <c r="B317" s="3" t="inlineStr">
        <is>
          <t>sábado</t>
        </is>
      </c>
      <c r="C317" s="3" t="inlineStr">
        <is>
          <t>Técnico 09</t>
        </is>
      </c>
      <c r="D317" s="3">
        <f>_xlfn.XLOOKUP(tblAsignaciones[[#This Row],[tecnico]],tblTecnicos[nombre],tblTecnicos[area],"")</f>
        <v/>
      </c>
      <c r="E317" s="3">
        <f>_xlfn.XLOOKUP(tblAsignaciones[[#This Row],[tecnico]],tblTecnicos[nombre],tblTecnicos[especialidad],"")</f>
        <v/>
      </c>
      <c r="F317" s="6" t="inlineStr"/>
      <c r="G317" s="3">
        <f>_xlfn.XLOOKUP(tblAsignaciones[[#This Row],[tecnico]],tblTecnicos[nombre],tblTecnicos[coordinador],"")</f>
        <v/>
      </c>
      <c r="H317" s="3">
        <f>IF(OR(tblAsignaciones[[#This Row],[turno]]="",ISNUMBER(MATCH(tblAsignaciones[[#This Row],[turno]],lista_no_disponible,0))),0,p_horas_jornada)</f>
        <v/>
      </c>
      <c r="I317" s="3">
        <f>tblAsignaciones[[#This Row],[semana]]&amp;"|"&amp;tblAsignaciones[[#This Row],[dia]]&amp;"|"&amp;tblAsignaciones[[#This Row],[tecnico]]</f>
        <v/>
      </c>
    </row>
    <row r="318">
      <c r="A318" s="3" t="inlineStr">
        <is>
          <t>S31</t>
        </is>
      </c>
      <c r="B318" s="3" t="inlineStr">
        <is>
          <t>domingo</t>
        </is>
      </c>
      <c r="C318" s="3" t="inlineStr">
        <is>
          <t>Técnico 09</t>
        </is>
      </c>
      <c r="D318" s="3">
        <f>_xlfn.XLOOKUP(tblAsignaciones[[#This Row],[tecnico]],tblTecnicos[nombre],tblTecnicos[area],"")</f>
        <v/>
      </c>
      <c r="E318" s="3">
        <f>_xlfn.XLOOKUP(tblAsignaciones[[#This Row],[tecnico]],tblTecnicos[nombre],tblTecnicos[especialidad],"")</f>
        <v/>
      </c>
      <c r="F318" s="6" t="inlineStr"/>
      <c r="G318" s="3">
        <f>_xlfn.XLOOKUP(tblAsignaciones[[#This Row],[tecnico]],tblTecnicos[nombre],tblTecnicos[coordinador],"")</f>
        <v/>
      </c>
      <c r="H318" s="3">
        <f>IF(OR(tblAsignaciones[[#This Row],[turno]]="",ISNUMBER(MATCH(tblAsignaciones[[#This Row],[turno]],lista_no_disponible,0))),0,p_horas_jornada)</f>
        <v/>
      </c>
      <c r="I318" s="3">
        <f>tblAsignaciones[[#This Row],[semana]]&amp;"|"&amp;tblAsignaciones[[#This Row],[dia]]&amp;"|"&amp;tblAsignaciones[[#This Row],[tecnico]]</f>
        <v/>
      </c>
    </row>
    <row r="319">
      <c r="A319" s="3" t="inlineStr">
        <is>
          <t>S31</t>
        </is>
      </c>
      <c r="B319" s="3" t="inlineStr">
        <is>
          <t>lunes</t>
        </is>
      </c>
      <c r="C319" s="3" t="inlineStr">
        <is>
          <t>Técnico 10</t>
        </is>
      </c>
      <c r="D319" s="3">
        <f>_xlfn.XLOOKUP(tblAsignaciones[[#This Row],[tecnico]],tblTecnicos[nombre],tblTecnicos[area],"")</f>
        <v/>
      </c>
      <c r="E319" s="3">
        <f>_xlfn.XLOOKUP(tblAsignaciones[[#This Row],[tecnico]],tblTecnicos[nombre],tblTecnicos[especialidad],"")</f>
        <v/>
      </c>
      <c r="F319" s="6" t="inlineStr">
        <is>
          <t>B1</t>
        </is>
      </c>
      <c r="G319" s="3">
        <f>_xlfn.XLOOKUP(tblAsignaciones[[#This Row],[tecnico]],tblTecnicos[nombre],tblTecnicos[coordinador],"")</f>
        <v/>
      </c>
      <c r="H319" s="3">
        <f>IF(OR(tblAsignaciones[[#This Row],[turno]]="",ISNUMBER(MATCH(tblAsignaciones[[#This Row],[turno]],lista_no_disponible,0))),0,p_horas_jornada)</f>
        <v/>
      </c>
      <c r="I319" s="3">
        <f>tblAsignaciones[[#This Row],[semana]]&amp;"|"&amp;tblAsignaciones[[#This Row],[dia]]&amp;"|"&amp;tblAsignaciones[[#This Row],[tecnico]]</f>
        <v/>
      </c>
    </row>
    <row r="320">
      <c r="A320" s="3" t="inlineStr">
        <is>
          <t>S31</t>
        </is>
      </c>
      <c r="B320" s="3" t="inlineStr">
        <is>
          <t>martes</t>
        </is>
      </c>
      <c r="C320" s="3" t="inlineStr">
        <is>
          <t>Técnico 10</t>
        </is>
      </c>
      <c r="D320" s="3">
        <f>_xlfn.XLOOKUP(tblAsignaciones[[#This Row],[tecnico]],tblTecnicos[nombre],tblTecnicos[area],"")</f>
        <v/>
      </c>
      <c r="E320" s="3">
        <f>_xlfn.XLOOKUP(tblAsignaciones[[#This Row],[tecnico]],tblTecnicos[nombre],tblTecnicos[especialidad],"")</f>
        <v/>
      </c>
      <c r="F320" s="6" t="inlineStr">
        <is>
          <t>B1</t>
        </is>
      </c>
      <c r="G320" s="3">
        <f>_xlfn.XLOOKUP(tblAsignaciones[[#This Row],[tecnico]],tblTecnicos[nombre],tblTecnicos[coordinador],"")</f>
        <v/>
      </c>
      <c r="H320" s="3">
        <f>IF(OR(tblAsignaciones[[#This Row],[turno]]="",ISNUMBER(MATCH(tblAsignaciones[[#This Row],[turno]],lista_no_disponible,0))),0,p_horas_jornada)</f>
        <v/>
      </c>
      <c r="I320" s="3">
        <f>tblAsignaciones[[#This Row],[semana]]&amp;"|"&amp;tblAsignaciones[[#This Row],[dia]]&amp;"|"&amp;tblAsignaciones[[#This Row],[tecnico]]</f>
        <v/>
      </c>
    </row>
    <row r="321">
      <c r="A321" s="3" t="inlineStr">
        <is>
          <t>S31</t>
        </is>
      </c>
      <c r="B321" s="3" t="inlineStr">
        <is>
          <t>miércoles</t>
        </is>
      </c>
      <c r="C321" s="3" t="inlineStr">
        <is>
          <t>Técnico 10</t>
        </is>
      </c>
      <c r="D321" s="3">
        <f>_xlfn.XLOOKUP(tblAsignaciones[[#This Row],[tecnico]],tblTecnicos[nombre],tblTecnicos[area],"")</f>
        <v/>
      </c>
      <c r="E321" s="3">
        <f>_xlfn.XLOOKUP(tblAsignaciones[[#This Row],[tecnico]],tblTecnicos[nombre],tblTecnicos[especialidad],"")</f>
        <v/>
      </c>
      <c r="F321" s="6" t="inlineStr">
        <is>
          <t>B1</t>
        </is>
      </c>
      <c r="G321" s="3">
        <f>_xlfn.XLOOKUP(tblAsignaciones[[#This Row],[tecnico]],tblTecnicos[nombre],tblTecnicos[coordinador],"")</f>
        <v/>
      </c>
      <c r="H321" s="3">
        <f>IF(OR(tblAsignaciones[[#This Row],[turno]]="",ISNUMBER(MATCH(tblAsignaciones[[#This Row],[turno]],lista_no_disponible,0))),0,p_horas_jornada)</f>
        <v/>
      </c>
      <c r="I321" s="3">
        <f>tblAsignaciones[[#This Row],[semana]]&amp;"|"&amp;tblAsignaciones[[#This Row],[dia]]&amp;"|"&amp;tblAsignaciones[[#This Row],[tecnico]]</f>
        <v/>
      </c>
    </row>
    <row r="322">
      <c r="A322" s="3" t="inlineStr">
        <is>
          <t>S31</t>
        </is>
      </c>
      <c r="B322" s="3" t="inlineStr">
        <is>
          <t>jueves</t>
        </is>
      </c>
      <c r="C322" s="3" t="inlineStr">
        <is>
          <t>Técnico 10</t>
        </is>
      </c>
      <c r="D322" s="3">
        <f>_xlfn.XLOOKUP(tblAsignaciones[[#This Row],[tecnico]],tblTecnicos[nombre],tblTecnicos[area],"")</f>
        <v/>
      </c>
      <c r="E322" s="3">
        <f>_xlfn.XLOOKUP(tblAsignaciones[[#This Row],[tecnico]],tblTecnicos[nombre],tblTecnicos[especialidad],"")</f>
        <v/>
      </c>
      <c r="F322" s="6" t="inlineStr">
        <is>
          <t>B1</t>
        </is>
      </c>
      <c r="G322" s="3">
        <f>_xlfn.XLOOKUP(tblAsignaciones[[#This Row],[tecnico]],tblTecnicos[nombre],tblTecnicos[coordinador],"")</f>
        <v/>
      </c>
      <c r="H322" s="3">
        <f>IF(OR(tblAsignaciones[[#This Row],[turno]]="",ISNUMBER(MATCH(tblAsignaciones[[#This Row],[turno]],lista_no_disponible,0))),0,p_horas_jornada)</f>
        <v/>
      </c>
      <c r="I322" s="3">
        <f>tblAsignaciones[[#This Row],[semana]]&amp;"|"&amp;tblAsignaciones[[#This Row],[dia]]&amp;"|"&amp;tblAsignaciones[[#This Row],[tecnico]]</f>
        <v/>
      </c>
    </row>
    <row r="323">
      <c r="A323" s="3" t="inlineStr">
        <is>
          <t>S31</t>
        </is>
      </c>
      <c r="B323" s="3" t="inlineStr">
        <is>
          <t>viernes</t>
        </is>
      </c>
      <c r="C323" s="3" t="inlineStr">
        <is>
          <t>Técnico 10</t>
        </is>
      </c>
      <c r="D323" s="3">
        <f>_xlfn.XLOOKUP(tblAsignaciones[[#This Row],[tecnico]],tblTecnicos[nombre],tblTecnicos[area],"")</f>
        <v/>
      </c>
      <c r="E323" s="3">
        <f>_xlfn.XLOOKUP(tblAsignaciones[[#This Row],[tecnico]],tblTecnicos[nombre],tblTecnicos[especialidad],"")</f>
        <v/>
      </c>
      <c r="F323" s="6" t="inlineStr">
        <is>
          <t>B1</t>
        </is>
      </c>
      <c r="G323" s="3">
        <f>_xlfn.XLOOKUP(tblAsignaciones[[#This Row],[tecnico]],tblTecnicos[nombre],tblTecnicos[coordinador],"")</f>
        <v/>
      </c>
      <c r="H323" s="3">
        <f>IF(OR(tblAsignaciones[[#This Row],[turno]]="",ISNUMBER(MATCH(tblAsignaciones[[#This Row],[turno]],lista_no_disponible,0))),0,p_horas_jornada)</f>
        <v/>
      </c>
      <c r="I323" s="3">
        <f>tblAsignaciones[[#This Row],[semana]]&amp;"|"&amp;tblAsignaciones[[#This Row],[dia]]&amp;"|"&amp;tblAsignaciones[[#This Row],[tecnico]]</f>
        <v/>
      </c>
    </row>
    <row r="324">
      <c r="A324" s="3" t="inlineStr">
        <is>
          <t>S31</t>
        </is>
      </c>
      <c r="B324" s="3" t="inlineStr">
        <is>
          <t>sábado</t>
        </is>
      </c>
      <c r="C324" s="3" t="inlineStr">
        <is>
          <t>Técnico 10</t>
        </is>
      </c>
      <c r="D324" s="3">
        <f>_xlfn.XLOOKUP(tblAsignaciones[[#This Row],[tecnico]],tblTecnicos[nombre],tblTecnicos[area],"")</f>
        <v/>
      </c>
      <c r="E324" s="3">
        <f>_xlfn.XLOOKUP(tblAsignaciones[[#This Row],[tecnico]],tblTecnicos[nombre],tblTecnicos[especialidad],"")</f>
        <v/>
      </c>
      <c r="F324" s="6" t="inlineStr"/>
      <c r="G324" s="3">
        <f>_xlfn.XLOOKUP(tblAsignaciones[[#This Row],[tecnico]],tblTecnicos[nombre],tblTecnicos[coordinador],"")</f>
        <v/>
      </c>
      <c r="H324" s="3">
        <f>IF(OR(tblAsignaciones[[#This Row],[turno]]="",ISNUMBER(MATCH(tblAsignaciones[[#This Row],[turno]],lista_no_disponible,0))),0,p_horas_jornada)</f>
        <v/>
      </c>
      <c r="I324" s="3">
        <f>tblAsignaciones[[#This Row],[semana]]&amp;"|"&amp;tblAsignaciones[[#This Row],[dia]]&amp;"|"&amp;tblAsignaciones[[#This Row],[tecnico]]</f>
        <v/>
      </c>
    </row>
    <row r="325">
      <c r="A325" s="3" t="inlineStr">
        <is>
          <t>S31</t>
        </is>
      </c>
      <c r="B325" s="3" t="inlineStr">
        <is>
          <t>domingo</t>
        </is>
      </c>
      <c r="C325" s="3" t="inlineStr">
        <is>
          <t>Técnico 10</t>
        </is>
      </c>
      <c r="D325" s="3">
        <f>_xlfn.XLOOKUP(tblAsignaciones[[#This Row],[tecnico]],tblTecnicos[nombre],tblTecnicos[area],"")</f>
        <v/>
      </c>
      <c r="E325" s="3">
        <f>_xlfn.XLOOKUP(tblAsignaciones[[#This Row],[tecnico]],tblTecnicos[nombre],tblTecnicos[especialidad],"")</f>
        <v/>
      </c>
      <c r="F325" s="6" t="inlineStr"/>
      <c r="G325" s="3">
        <f>_xlfn.XLOOKUP(tblAsignaciones[[#This Row],[tecnico]],tblTecnicos[nombre],tblTecnicos[coordinador],"")</f>
        <v/>
      </c>
      <c r="H325" s="3">
        <f>IF(OR(tblAsignaciones[[#This Row],[turno]]="",ISNUMBER(MATCH(tblAsignaciones[[#This Row],[turno]],lista_no_disponible,0))),0,p_horas_jornada)</f>
        <v/>
      </c>
      <c r="I325" s="3">
        <f>tblAsignaciones[[#This Row],[semana]]&amp;"|"&amp;tblAsignaciones[[#This Row],[dia]]&amp;"|"&amp;tblAsignaciones[[#This Row],[tecnico]]</f>
        <v/>
      </c>
    </row>
    <row r="326">
      <c r="A326" s="3" t="inlineStr">
        <is>
          <t>S31</t>
        </is>
      </c>
      <c r="B326" s="3" t="inlineStr">
        <is>
          <t>lunes</t>
        </is>
      </c>
      <c r="C326" s="3" t="inlineStr">
        <is>
          <t>Técnico 11</t>
        </is>
      </c>
      <c r="D326" s="3">
        <f>_xlfn.XLOOKUP(tblAsignaciones[[#This Row],[tecnico]],tblTecnicos[nombre],tblTecnicos[area],"")</f>
        <v/>
      </c>
      <c r="E326" s="3">
        <f>_xlfn.XLOOKUP(tblAsignaciones[[#This Row],[tecnico]],tblTecnicos[nombre],tblTecnicos[especialidad],"")</f>
        <v/>
      </c>
      <c r="F326" s="6" t="inlineStr">
        <is>
          <t>T1</t>
        </is>
      </c>
      <c r="G326" s="3">
        <f>_xlfn.XLOOKUP(tblAsignaciones[[#This Row],[tecnico]],tblTecnicos[nombre],tblTecnicos[coordinador],"")</f>
        <v/>
      </c>
      <c r="H326" s="3">
        <f>IF(OR(tblAsignaciones[[#This Row],[turno]]="",ISNUMBER(MATCH(tblAsignaciones[[#This Row],[turno]],lista_no_disponible,0))),0,p_horas_jornada)</f>
        <v/>
      </c>
      <c r="I326" s="3">
        <f>tblAsignaciones[[#This Row],[semana]]&amp;"|"&amp;tblAsignaciones[[#This Row],[dia]]&amp;"|"&amp;tblAsignaciones[[#This Row],[tecnico]]</f>
        <v/>
      </c>
    </row>
    <row r="327">
      <c r="A327" s="3" t="inlineStr">
        <is>
          <t>S31</t>
        </is>
      </c>
      <c r="B327" s="3" t="inlineStr">
        <is>
          <t>martes</t>
        </is>
      </c>
      <c r="C327" s="3" t="inlineStr">
        <is>
          <t>Técnico 11</t>
        </is>
      </c>
      <c r="D327" s="3">
        <f>_xlfn.XLOOKUP(tblAsignaciones[[#This Row],[tecnico]],tblTecnicos[nombre],tblTecnicos[area],"")</f>
        <v/>
      </c>
      <c r="E327" s="3">
        <f>_xlfn.XLOOKUP(tblAsignaciones[[#This Row],[tecnico]],tblTecnicos[nombre],tblTecnicos[especialidad],"")</f>
        <v/>
      </c>
      <c r="F327" s="6" t="inlineStr">
        <is>
          <t>T1</t>
        </is>
      </c>
      <c r="G327" s="3">
        <f>_xlfn.XLOOKUP(tblAsignaciones[[#This Row],[tecnico]],tblTecnicos[nombre],tblTecnicos[coordinador],"")</f>
        <v/>
      </c>
      <c r="H327" s="3">
        <f>IF(OR(tblAsignaciones[[#This Row],[turno]]="",ISNUMBER(MATCH(tblAsignaciones[[#This Row],[turno]],lista_no_disponible,0))),0,p_horas_jornada)</f>
        <v/>
      </c>
      <c r="I327" s="3">
        <f>tblAsignaciones[[#This Row],[semana]]&amp;"|"&amp;tblAsignaciones[[#This Row],[dia]]&amp;"|"&amp;tblAsignaciones[[#This Row],[tecnico]]</f>
        <v/>
      </c>
    </row>
    <row r="328">
      <c r="A328" s="3" t="inlineStr">
        <is>
          <t>S31</t>
        </is>
      </c>
      <c r="B328" s="3" t="inlineStr">
        <is>
          <t>miércoles</t>
        </is>
      </c>
      <c r="C328" s="3" t="inlineStr">
        <is>
          <t>Técnico 11</t>
        </is>
      </c>
      <c r="D328" s="3">
        <f>_xlfn.XLOOKUP(tblAsignaciones[[#This Row],[tecnico]],tblTecnicos[nombre],tblTecnicos[area],"")</f>
        <v/>
      </c>
      <c r="E328" s="3">
        <f>_xlfn.XLOOKUP(tblAsignaciones[[#This Row],[tecnico]],tblTecnicos[nombre],tblTecnicos[especialidad],"")</f>
        <v/>
      </c>
      <c r="F328" s="6" t="inlineStr">
        <is>
          <t>T1</t>
        </is>
      </c>
      <c r="G328" s="3">
        <f>_xlfn.XLOOKUP(tblAsignaciones[[#This Row],[tecnico]],tblTecnicos[nombre],tblTecnicos[coordinador],"")</f>
        <v/>
      </c>
      <c r="H328" s="3">
        <f>IF(OR(tblAsignaciones[[#This Row],[turno]]="",ISNUMBER(MATCH(tblAsignaciones[[#This Row],[turno]],lista_no_disponible,0))),0,p_horas_jornada)</f>
        <v/>
      </c>
      <c r="I328" s="3">
        <f>tblAsignaciones[[#This Row],[semana]]&amp;"|"&amp;tblAsignaciones[[#This Row],[dia]]&amp;"|"&amp;tblAsignaciones[[#This Row],[tecnico]]</f>
        <v/>
      </c>
    </row>
    <row r="329">
      <c r="A329" s="3" t="inlineStr">
        <is>
          <t>S31</t>
        </is>
      </c>
      <c r="B329" s="3" t="inlineStr">
        <is>
          <t>jueves</t>
        </is>
      </c>
      <c r="C329" s="3" t="inlineStr">
        <is>
          <t>Técnico 11</t>
        </is>
      </c>
      <c r="D329" s="3">
        <f>_xlfn.XLOOKUP(tblAsignaciones[[#This Row],[tecnico]],tblTecnicos[nombre],tblTecnicos[area],"")</f>
        <v/>
      </c>
      <c r="E329" s="3">
        <f>_xlfn.XLOOKUP(tblAsignaciones[[#This Row],[tecnico]],tblTecnicos[nombre],tblTecnicos[especialidad],"")</f>
        <v/>
      </c>
      <c r="F329" s="6" t="inlineStr">
        <is>
          <t>T1</t>
        </is>
      </c>
      <c r="G329" s="3">
        <f>_xlfn.XLOOKUP(tblAsignaciones[[#This Row],[tecnico]],tblTecnicos[nombre],tblTecnicos[coordinador],"")</f>
        <v/>
      </c>
      <c r="H329" s="3">
        <f>IF(OR(tblAsignaciones[[#This Row],[turno]]="",ISNUMBER(MATCH(tblAsignaciones[[#This Row],[turno]],lista_no_disponible,0))),0,p_horas_jornada)</f>
        <v/>
      </c>
      <c r="I329" s="3">
        <f>tblAsignaciones[[#This Row],[semana]]&amp;"|"&amp;tblAsignaciones[[#This Row],[dia]]&amp;"|"&amp;tblAsignaciones[[#This Row],[tecnico]]</f>
        <v/>
      </c>
    </row>
    <row r="330">
      <c r="A330" s="3" t="inlineStr">
        <is>
          <t>S31</t>
        </is>
      </c>
      <c r="B330" s="3" t="inlineStr">
        <is>
          <t>viernes</t>
        </is>
      </c>
      <c r="C330" s="3" t="inlineStr">
        <is>
          <t>Técnico 11</t>
        </is>
      </c>
      <c r="D330" s="3">
        <f>_xlfn.XLOOKUP(tblAsignaciones[[#This Row],[tecnico]],tblTecnicos[nombre],tblTecnicos[area],"")</f>
        <v/>
      </c>
      <c r="E330" s="3">
        <f>_xlfn.XLOOKUP(tblAsignaciones[[#This Row],[tecnico]],tblTecnicos[nombre],tblTecnicos[especialidad],"")</f>
        <v/>
      </c>
      <c r="F330" s="6" t="inlineStr">
        <is>
          <t>T1</t>
        </is>
      </c>
      <c r="G330" s="3">
        <f>_xlfn.XLOOKUP(tblAsignaciones[[#This Row],[tecnico]],tblTecnicos[nombre],tblTecnicos[coordinador],"")</f>
        <v/>
      </c>
      <c r="H330" s="3">
        <f>IF(OR(tblAsignaciones[[#This Row],[turno]]="",ISNUMBER(MATCH(tblAsignaciones[[#This Row],[turno]],lista_no_disponible,0))),0,p_horas_jornada)</f>
        <v/>
      </c>
      <c r="I330" s="3">
        <f>tblAsignaciones[[#This Row],[semana]]&amp;"|"&amp;tblAsignaciones[[#This Row],[dia]]&amp;"|"&amp;tblAsignaciones[[#This Row],[tecnico]]</f>
        <v/>
      </c>
    </row>
    <row r="331">
      <c r="A331" s="3" t="inlineStr">
        <is>
          <t>S31</t>
        </is>
      </c>
      <c r="B331" s="3" t="inlineStr">
        <is>
          <t>sábado</t>
        </is>
      </c>
      <c r="C331" s="3" t="inlineStr">
        <is>
          <t>Técnico 11</t>
        </is>
      </c>
      <c r="D331" s="3">
        <f>_xlfn.XLOOKUP(tblAsignaciones[[#This Row],[tecnico]],tblTecnicos[nombre],tblTecnicos[area],"")</f>
        <v/>
      </c>
      <c r="E331" s="3">
        <f>_xlfn.XLOOKUP(tblAsignaciones[[#This Row],[tecnico]],tblTecnicos[nombre],tblTecnicos[especialidad],"")</f>
        <v/>
      </c>
      <c r="F331" s="6" t="inlineStr"/>
      <c r="G331" s="3">
        <f>_xlfn.XLOOKUP(tblAsignaciones[[#This Row],[tecnico]],tblTecnicos[nombre],tblTecnicos[coordinador],"")</f>
        <v/>
      </c>
      <c r="H331" s="3">
        <f>IF(OR(tblAsignaciones[[#This Row],[turno]]="",ISNUMBER(MATCH(tblAsignaciones[[#This Row],[turno]],lista_no_disponible,0))),0,p_horas_jornada)</f>
        <v/>
      </c>
      <c r="I331" s="3">
        <f>tblAsignaciones[[#This Row],[semana]]&amp;"|"&amp;tblAsignaciones[[#This Row],[dia]]&amp;"|"&amp;tblAsignaciones[[#This Row],[tecnico]]</f>
        <v/>
      </c>
    </row>
    <row r="332">
      <c r="A332" s="3" t="inlineStr">
        <is>
          <t>S31</t>
        </is>
      </c>
      <c r="B332" s="3" t="inlineStr">
        <is>
          <t>domingo</t>
        </is>
      </c>
      <c r="C332" s="3" t="inlineStr">
        <is>
          <t>Técnico 11</t>
        </is>
      </c>
      <c r="D332" s="3">
        <f>_xlfn.XLOOKUP(tblAsignaciones[[#This Row],[tecnico]],tblTecnicos[nombre],tblTecnicos[area],"")</f>
        <v/>
      </c>
      <c r="E332" s="3">
        <f>_xlfn.XLOOKUP(tblAsignaciones[[#This Row],[tecnico]],tblTecnicos[nombre],tblTecnicos[especialidad],"")</f>
        <v/>
      </c>
      <c r="F332" s="6" t="inlineStr"/>
      <c r="G332" s="3">
        <f>_xlfn.XLOOKUP(tblAsignaciones[[#This Row],[tecnico]],tblTecnicos[nombre],tblTecnicos[coordinador],"")</f>
        <v/>
      </c>
      <c r="H332" s="3">
        <f>IF(OR(tblAsignaciones[[#This Row],[turno]]="",ISNUMBER(MATCH(tblAsignaciones[[#This Row],[turno]],lista_no_disponible,0))),0,p_horas_jornada)</f>
        <v/>
      </c>
      <c r="I332" s="3">
        <f>tblAsignaciones[[#This Row],[semana]]&amp;"|"&amp;tblAsignaciones[[#This Row],[dia]]&amp;"|"&amp;tblAsignaciones[[#This Row],[tecnico]]</f>
        <v/>
      </c>
    </row>
    <row r="333">
      <c r="A333" s="3" t="inlineStr">
        <is>
          <t>S31</t>
        </is>
      </c>
      <c r="B333" s="3" t="inlineStr">
        <is>
          <t>lunes</t>
        </is>
      </c>
      <c r="C333" s="3" t="inlineStr">
        <is>
          <t>Técnico 12</t>
        </is>
      </c>
      <c r="D333" s="3">
        <f>_xlfn.XLOOKUP(tblAsignaciones[[#This Row],[tecnico]],tblTecnicos[nombre],tblTecnicos[area],"")</f>
        <v/>
      </c>
      <c r="E333" s="3">
        <f>_xlfn.XLOOKUP(tblAsignaciones[[#This Row],[tecnico]],tblTecnicos[nombre],tblTecnicos[especialidad],"")</f>
        <v/>
      </c>
      <c r="F333" s="6" t="inlineStr">
        <is>
          <t>T1</t>
        </is>
      </c>
      <c r="G333" s="3">
        <f>_xlfn.XLOOKUP(tblAsignaciones[[#This Row],[tecnico]],tblTecnicos[nombre],tblTecnicos[coordinador],"")</f>
        <v/>
      </c>
      <c r="H333" s="3">
        <f>IF(OR(tblAsignaciones[[#This Row],[turno]]="",ISNUMBER(MATCH(tblAsignaciones[[#This Row],[turno]],lista_no_disponible,0))),0,p_horas_jornada)</f>
        <v/>
      </c>
      <c r="I333" s="3">
        <f>tblAsignaciones[[#This Row],[semana]]&amp;"|"&amp;tblAsignaciones[[#This Row],[dia]]&amp;"|"&amp;tblAsignaciones[[#This Row],[tecnico]]</f>
        <v/>
      </c>
    </row>
    <row r="334">
      <c r="A334" s="3" t="inlineStr">
        <is>
          <t>S31</t>
        </is>
      </c>
      <c r="B334" s="3" t="inlineStr">
        <is>
          <t>martes</t>
        </is>
      </c>
      <c r="C334" s="3" t="inlineStr">
        <is>
          <t>Técnico 12</t>
        </is>
      </c>
      <c r="D334" s="3">
        <f>_xlfn.XLOOKUP(tblAsignaciones[[#This Row],[tecnico]],tblTecnicos[nombre],tblTecnicos[area],"")</f>
        <v/>
      </c>
      <c r="E334" s="3">
        <f>_xlfn.XLOOKUP(tblAsignaciones[[#This Row],[tecnico]],tblTecnicos[nombre],tblTecnicos[especialidad],"")</f>
        <v/>
      </c>
      <c r="F334" s="6" t="inlineStr">
        <is>
          <t>T1</t>
        </is>
      </c>
      <c r="G334" s="3">
        <f>_xlfn.XLOOKUP(tblAsignaciones[[#This Row],[tecnico]],tblTecnicos[nombre],tblTecnicos[coordinador],"")</f>
        <v/>
      </c>
      <c r="H334" s="3">
        <f>IF(OR(tblAsignaciones[[#This Row],[turno]]="",ISNUMBER(MATCH(tblAsignaciones[[#This Row],[turno]],lista_no_disponible,0))),0,p_horas_jornada)</f>
        <v/>
      </c>
      <c r="I334" s="3">
        <f>tblAsignaciones[[#This Row],[semana]]&amp;"|"&amp;tblAsignaciones[[#This Row],[dia]]&amp;"|"&amp;tblAsignaciones[[#This Row],[tecnico]]</f>
        <v/>
      </c>
    </row>
    <row r="335">
      <c r="A335" s="3" t="inlineStr">
        <is>
          <t>S31</t>
        </is>
      </c>
      <c r="B335" s="3" t="inlineStr">
        <is>
          <t>miércoles</t>
        </is>
      </c>
      <c r="C335" s="3" t="inlineStr">
        <is>
          <t>Técnico 12</t>
        </is>
      </c>
      <c r="D335" s="3">
        <f>_xlfn.XLOOKUP(tblAsignaciones[[#This Row],[tecnico]],tblTecnicos[nombre],tblTecnicos[area],"")</f>
        <v/>
      </c>
      <c r="E335" s="3">
        <f>_xlfn.XLOOKUP(tblAsignaciones[[#This Row],[tecnico]],tblTecnicos[nombre],tblTecnicos[especialidad],"")</f>
        <v/>
      </c>
      <c r="F335" s="6" t="inlineStr">
        <is>
          <t>T1</t>
        </is>
      </c>
      <c r="G335" s="3">
        <f>_xlfn.XLOOKUP(tblAsignaciones[[#This Row],[tecnico]],tblTecnicos[nombre],tblTecnicos[coordinador],"")</f>
        <v/>
      </c>
      <c r="H335" s="3">
        <f>IF(OR(tblAsignaciones[[#This Row],[turno]]="",ISNUMBER(MATCH(tblAsignaciones[[#This Row],[turno]],lista_no_disponible,0))),0,p_horas_jornada)</f>
        <v/>
      </c>
      <c r="I335" s="3">
        <f>tblAsignaciones[[#This Row],[semana]]&amp;"|"&amp;tblAsignaciones[[#This Row],[dia]]&amp;"|"&amp;tblAsignaciones[[#This Row],[tecnico]]</f>
        <v/>
      </c>
    </row>
    <row r="336">
      <c r="A336" s="3" t="inlineStr">
        <is>
          <t>S31</t>
        </is>
      </c>
      <c r="B336" s="3" t="inlineStr">
        <is>
          <t>jueves</t>
        </is>
      </c>
      <c r="C336" s="3" t="inlineStr">
        <is>
          <t>Técnico 12</t>
        </is>
      </c>
      <c r="D336" s="3">
        <f>_xlfn.XLOOKUP(tblAsignaciones[[#This Row],[tecnico]],tblTecnicos[nombre],tblTecnicos[area],"")</f>
        <v/>
      </c>
      <c r="E336" s="3">
        <f>_xlfn.XLOOKUP(tblAsignaciones[[#This Row],[tecnico]],tblTecnicos[nombre],tblTecnicos[especialidad],"")</f>
        <v/>
      </c>
      <c r="F336" s="6" t="inlineStr">
        <is>
          <t>T1</t>
        </is>
      </c>
      <c r="G336" s="3">
        <f>_xlfn.XLOOKUP(tblAsignaciones[[#This Row],[tecnico]],tblTecnicos[nombre],tblTecnicos[coordinador],"")</f>
        <v/>
      </c>
      <c r="H336" s="3">
        <f>IF(OR(tblAsignaciones[[#This Row],[turno]]="",ISNUMBER(MATCH(tblAsignaciones[[#This Row],[turno]],lista_no_disponible,0))),0,p_horas_jornada)</f>
        <v/>
      </c>
      <c r="I336" s="3">
        <f>tblAsignaciones[[#This Row],[semana]]&amp;"|"&amp;tblAsignaciones[[#This Row],[dia]]&amp;"|"&amp;tblAsignaciones[[#This Row],[tecnico]]</f>
        <v/>
      </c>
    </row>
    <row r="337">
      <c r="A337" s="3" t="inlineStr">
        <is>
          <t>S31</t>
        </is>
      </c>
      <c r="B337" s="3" t="inlineStr">
        <is>
          <t>viernes</t>
        </is>
      </c>
      <c r="C337" s="3" t="inlineStr">
        <is>
          <t>Técnico 12</t>
        </is>
      </c>
      <c r="D337" s="3">
        <f>_xlfn.XLOOKUP(tblAsignaciones[[#This Row],[tecnico]],tblTecnicos[nombre],tblTecnicos[area],"")</f>
        <v/>
      </c>
      <c r="E337" s="3">
        <f>_xlfn.XLOOKUP(tblAsignaciones[[#This Row],[tecnico]],tblTecnicos[nombre],tblTecnicos[especialidad],"")</f>
        <v/>
      </c>
      <c r="F337" s="6" t="inlineStr">
        <is>
          <t>T1</t>
        </is>
      </c>
      <c r="G337" s="3">
        <f>_xlfn.XLOOKUP(tblAsignaciones[[#This Row],[tecnico]],tblTecnicos[nombre],tblTecnicos[coordinador],"")</f>
        <v/>
      </c>
      <c r="H337" s="3">
        <f>IF(OR(tblAsignaciones[[#This Row],[turno]]="",ISNUMBER(MATCH(tblAsignaciones[[#This Row],[turno]],lista_no_disponible,0))),0,p_horas_jornada)</f>
        <v/>
      </c>
      <c r="I337" s="3">
        <f>tblAsignaciones[[#This Row],[semana]]&amp;"|"&amp;tblAsignaciones[[#This Row],[dia]]&amp;"|"&amp;tblAsignaciones[[#This Row],[tecnico]]</f>
        <v/>
      </c>
    </row>
    <row r="338">
      <c r="A338" s="3" t="inlineStr">
        <is>
          <t>S31</t>
        </is>
      </c>
      <c r="B338" s="3" t="inlineStr">
        <is>
          <t>sábado</t>
        </is>
      </c>
      <c r="C338" s="3" t="inlineStr">
        <is>
          <t>Técnico 12</t>
        </is>
      </c>
      <c r="D338" s="3">
        <f>_xlfn.XLOOKUP(tblAsignaciones[[#This Row],[tecnico]],tblTecnicos[nombre],tblTecnicos[area],"")</f>
        <v/>
      </c>
      <c r="E338" s="3">
        <f>_xlfn.XLOOKUP(tblAsignaciones[[#This Row],[tecnico]],tblTecnicos[nombre],tblTecnicos[especialidad],"")</f>
        <v/>
      </c>
      <c r="F338" s="6" t="inlineStr"/>
      <c r="G338" s="3">
        <f>_xlfn.XLOOKUP(tblAsignaciones[[#This Row],[tecnico]],tblTecnicos[nombre],tblTecnicos[coordinador],"")</f>
        <v/>
      </c>
      <c r="H338" s="3">
        <f>IF(OR(tblAsignaciones[[#This Row],[turno]]="",ISNUMBER(MATCH(tblAsignaciones[[#This Row],[turno]],lista_no_disponible,0))),0,p_horas_jornada)</f>
        <v/>
      </c>
      <c r="I338" s="3">
        <f>tblAsignaciones[[#This Row],[semana]]&amp;"|"&amp;tblAsignaciones[[#This Row],[dia]]&amp;"|"&amp;tblAsignaciones[[#This Row],[tecnico]]</f>
        <v/>
      </c>
    </row>
    <row r="339">
      <c r="A339" s="3" t="inlineStr">
        <is>
          <t>S31</t>
        </is>
      </c>
      <c r="B339" s="3" t="inlineStr">
        <is>
          <t>domingo</t>
        </is>
      </c>
      <c r="C339" s="3" t="inlineStr">
        <is>
          <t>Técnico 12</t>
        </is>
      </c>
      <c r="D339" s="3">
        <f>_xlfn.XLOOKUP(tblAsignaciones[[#This Row],[tecnico]],tblTecnicos[nombre],tblTecnicos[area],"")</f>
        <v/>
      </c>
      <c r="E339" s="3">
        <f>_xlfn.XLOOKUP(tblAsignaciones[[#This Row],[tecnico]],tblTecnicos[nombre],tblTecnicos[especialidad],"")</f>
        <v/>
      </c>
      <c r="F339" s="6" t="inlineStr"/>
      <c r="G339" s="3">
        <f>_xlfn.XLOOKUP(tblAsignaciones[[#This Row],[tecnico]],tblTecnicos[nombre],tblTecnicos[coordinador],"")</f>
        <v/>
      </c>
      <c r="H339" s="3">
        <f>IF(OR(tblAsignaciones[[#This Row],[turno]]="",ISNUMBER(MATCH(tblAsignaciones[[#This Row],[turno]],lista_no_disponible,0))),0,p_horas_jornada)</f>
        <v/>
      </c>
      <c r="I339" s="3">
        <f>tblAsignaciones[[#This Row],[semana]]&amp;"|"&amp;tblAsignaciones[[#This Row],[dia]]&amp;"|"&amp;tblAsignaciones[[#This Row],[tecnico]]</f>
        <v/>
      </c>
    </row>
  </sheetData>
  <dataValidations count="1">
    <dataValidation sqref="F4:F339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</cols>
  <sheetData>
    <row r="1">
      <c r="A1" s="1" t="inlineStr">
        <is>
          <t>PERFIL DE HH (REGLA-6) — especialidad × semana</t>
        </is>
      </c>
    </row>
    <row r="3">
      <c r="A3" s="5" t="inlineStr">
        <is>
          <t>especialidad</t>
        </is>
      </c>
      <c r="B3" s="5" t="inlineStr">
        <is>
          <t>semana</t>
        </is>
      </c>
      <c r="C3" s="5" t="inlineStr">
        <is>
          <t>hh_disponible</t>
        </is>
      </c>
      <c r="D3" s="5" t="inlineStr">
        <is>
          <t>hh_productiva</t>
        </is>
      </c>
      <c r="E3" s="5" t="inlineStr">
        <is>
          <t>hh_preventiva</t>
        </is>
      </c>
      <c r="F3" s="5" t="inlineStr">
        <is>
          <t>hh_correctiva</t>
        </is>
      </c>
      <c r="G3" s="5" t="inlineStr">
        <is>
          <t>hh_planificada</t>
        </is>
      </c>
      <c r="H3" s="5" t="inlineStr">
        <is>
          <t>holgura</t>
        </is>
      </c>
      <c r="I3" s="5" t="inlineStr">
        <is>
          <t>pct_carga</t>
        </is>
      </c>
    </row>
    <row r="4">
      <c r="A4" s="3" t="inlineStr">
        <is>
          <t>MEC</t>
        </is>
      </c>
      <c r="B4" s="3" t="inlineStr">
        <is>
          <t>S28</t>
        </is>
      </c>
      <c r="C4" s="13">
        <f>SUMIFS(tblAsignaciones[horas_disponibles],tblAsignaciones[especialidad],$A4,tblAsignaciones[semana],$B4)</f>
        <v/>
      </c>
      <c r="D4" s="13">
        <f>C4*p_factor_productividad</f>
        <v/>
      </c>
      <c r="E4" s="13">
        <f>SUMIFS(tblOrdenes[horas_estimadas],tblOrdenes[especialidad],$A4,tblOrdenes[semana],$B4,tblOrdenes[clasificacion],"preventiva")</f>
        <v/>
      </c>
      <c r="F4" s="13">
        <f>SUMIFS(tblOrdenes[horas_estimadas],tblOrdenes[especialidad],$A4,tblOrdenes[semana],$B4,tblOrdenes[clasificacion],"correctiva")</f>
        <v/>
      </c>
      <c r="G4" s="13">
        <f>E4+F4</f>
        <v/>
      </c>
      <c r="H4" s="13">
        <f>D4-G4</f>
        <v/>
      </c>
      <c r="I4" s="14">
        <f>IF(D4=0,"",G4/D4)</f>
        <v/>
      </c>
    </row>
    <row r="5">
      <c r="A5" s="3" t="inlineStr">
        <is>
          <t>MEC</t>
        </is>
      </c>
      <c r="B5" s="3" t="inlineStr">
        <is>
          <t>S29</t>
        </is>
      </c>
      <c r="C5" s="13">
        <f>SUMIFS(tblAsignaciones[horas_disponibles],tblAsignaciones[especialidad],$A5,tblAsignaciones[semana],$B5)</f>
        <v/>
      </c>
      <c r="D5" s="13">
        <f>C5*p_factor_productividad</f>
        <v/>
      </c>
      <c r="E5" s="13">
        <f>SUMIFS(tblOrdenes[horas_estimadas],tblOrdenes[especialidad],$A5,tblOrdenes[semana],$B5,tblOrdenes[clasificacion],"preventiva")</f>
        <v/>
      </c>
      <c r="F5" s="13">
        <f>SUMIFS(tblOrdenes[horas_estimadas],tblOrdenes[especialidad],$A5,tblOrdenes[semana],$B5,tblOrdenes[clasificacion],"correctiva")</f>
        <v/>
      </c>
      <c r="G5" s="13">
        <f>E5+F5</f>
        <v/>
      </c>
      <c r="H5" s="13">
        <f>D5-G5</f>
        <v/>
      </c>
      <c r="I5" s="14">
        <f>IF(D5=0,"",G5/D5)</f>
        <v/>
      </c>
    </row>
    <row r="6">
      <c r="A6" s="3" t="inlineStr">
        <is>
          <t>MEC</t>
        </is>
      </c>
      <c r="B6" s="3" t="inlineStr">
        <is>
          <t>S30</t>
        </is>
      </c>
      <c r="C6" s="13">
        <f>SUMIFS(tblAsignaciones[horas_disponibles],tblAsignaciones[especialidad],$A6,tblAsignaciones[semana],$B6)</f>
        <v/>
      </c>
      <c r="D6" s="13">
        <f>C6*p_factor_productividad</f>
        <v/>
      </c>
      <c r="E6" s="13">
        <f>SUMIFS(tblOrdenes[horas_estimadas],tblOrdenes[especialidad],$A6,tblOrdenes[semana],$B6,tblOrdenes[clasificacion],"preventiva")</f>
        <v/>
      </c>
      <c r="F6" s="13">
        <f>SUMIFS(tblOrdenes[horas_estimadas],tblOrdenes[especialidad],$A6,tblOrdenes[semana],$B6,tblOrdenes[clasificacion],"correctiva")</f>
        <v/>
      </c>
      <c r="G6" s="13">
        <f>E6+F6</f>
        <v/>
      </c>
      <c r="H6" s="13">
        <f>D6-G6</f>
        <v/>
      </c>
      <c r="I6" s="14">
        <f>IF(D6=0,"",G6/D6)</f>
        <v/>
      </c>
    </row>
    <row r="7">
      <c r="A7" s="3" t="inlineStr">
        <is>
          <t>MEC</t>
        </is>
      </c>
      <c r="B7" s="3" t="inlineStr">
        <is>
          <t>S31</t>
        </is>
      </c>
      <c r="C7" s="13">
        <f>SUMIFS(tblAsignaciones[horas_disponibles],tblAsignaciones[especialidad],$A7,tblAsignaciones[semana],$B7)</f>
        <v/>
      </c>
      <c r="D7" s="13">
        <f>C7*p_factor_productividad</f>
        <v/>
      </c>
      <c r="E7" s="13">
        <f>SUMIFS(tblOrdenes[horas_estimadas],tblOrdenes[especialidad],$A7,tblOrdenes[semana],$B7,tblOrdenes[clasificacion],"preventiva")</f>
        <v/>
      </c>
      <c r="F7" s="13">
        <f>SUMIFS(tblOrdenes[horas_estimadas],tblOrdenes[especialidad],$A7,tblOrdenes[semana],$B7,tblOrdenes[clasificacion],"correctiva")</f>
        <v/>
      </c>
      <c r="G7" s="13">
        <f>E7+F7</f>
        <v/>
      </c>
      <c r="H7" s="13">
        <f>D7-G7</f>
        <v/>
      </c>
      <c r="I7" s="14">
        <f>IF(D7=0,"",G7/D7)</f>
        <v/>
      </c>
    </row>
    <row r="8">
      <c r="A8" s="3" t="inlineStr">
        <is>
          <t>ELE</t>
        </is>
      </c>
      <c r="B8" s="3" t="inlineStr">
        <is>
          <t>S28</t>
        </is>
      </c>
      <c r="C8" s="13">
        <f>SUMIFS(tblAsignaciones[horas_disponibles],tblAsignaciones[especialidad],$A8,tblAsignaciones[semana],$B8)</f>
        <v/>
      </c>
      <c r="D8" s="13">
        <f>C8*p_factor_productividad</f>
        <v/>
      </c>
      <c r="E8" s="13">
        <f>SUMIFS(tblOrdenes[horas_estimadas],tblOrdenes[especialidad],$A8,tblOrdenes[semana],$B8,tblOrdenes[clasificacion],"preventiva")</f>
        <v/>
      </c>
      <c r="F8" s="13">
        <f>SUMIFS(tblOrdenes[horas_estimadas],tblOrdenes[especialidad],$A8,tblOrdenes[semana],$B8,tblOrdenes[clasificacion],"correctiva")</f>
        <v/>
      </c>
      <c r="G8" s="13">
        <f>E8+F8</f>
        <v/>
      </c>
      <c r="H8" s="13">
        <f>D8-G8</f>
        <v/>
      </c>
      <c r="I8" s="14">
        <f>IF(D8=0,"",G8/D8)</f>
        <v/>
      </c>
    </row>
    <row r="9">
      <c r="A9" s="3" t="inlineStr">
        <is>
          <t>ELE</t>
        </is>
      </c>
      <c r="B9" s="3" t="inlineStr">
        <is>
          <t>S29</t>
        </is>
      </c>
      <c r="C9" s="13">
        <f>SUMIFS(tblAsignaciones[horas_disponibles],tblAsignaciones[especialidad],$A9,tblAsignaciones[semana],$B9)</f>
        <v/>
      </c>
      <c r="D9" s="13">
        <f>C9*p_factor_productividad</f>
        <v/>
      </c>
      <c r="E9" s="13">
        <f>SUMIFS(tblOrdenes[horas_estimadas],tblOrdenes[especialidad],$A9,tblOrdenes[semana],$B9,tblOrdenes[clasificacion],"preventiva")</f>
        <v/>
      </c>
      <c r="F9" s="13">
        <f>SUMIFS(tblOrdenes[horas_estimadas],tblOrdenes[especialidad],$A9,tblOrdenes[semana],$B9,tblOrdenes[clasificacion],"correctiva")</f>
        <v/>
      </c>
      <c r="G9" s="13">
        <f>E9+F9</f>
        <v/>
      </c>
      <c r="H9" s="13">
        <f>D9-G9</f>
        <v/>
      </c>
      <c r="I9" s="14">
        <f>IF(D9=0,"",G9/D9)</f>
        <v/>
      </c>
    </row>
    <row r="10">
      <c r="A10" s="3" t="inlineStr">
        <is>
          <t>ELE</t>
        </is>
      </c>
      <c r="B10" s="3" t="inlineStr">
        <is>
          <t>S30</t>
        </is>
      </c>
      <c r="C10" s="13">
        <f>SUMIFS(tblAsignaciones[horas_disponibles],tblAsignaciones[especialidad],$A10,tblAsignaciones[semana],$B10)</f>
        <v/>
      </c>
      <c r="D10" s="13">
        <f>C10*p_factor_productividad</f>
        <v/>
      </c>
      <c r="E10" s="13">
        <f>SUMIFS(tblOrdenes[horas_estimadas],tblOrdenes[especialidad],$A10,tblOrdenes[semana],$B10,tblOrdenes[clasificacion],"preventiva")</f>
        <v/>
      </c>
      <c r="F10" s="13">
        <f>SUMIFS(tblOrdenes[horas_estimadas],tblOrdenes[especialidad],$A10,tblOrdenes[semana],$B10,tblOrdenes[clasificacion],"correctiva")</f>
        <v/>
      </c>
      <c r="G10" s="13">
        <f>E10+F10</f>
        <v/>
      </c>
      <c r="H10" s="13">
        <f>D10-G10</f>
        <v/>
      </c>
      <c r="I10" s="14">
        <f>IF(D10=0,"",G10/D10)</f>
        <v/>
      </c>
    </row>
    <row r="11">
      <c r="A11" s="3" t="inlineStr">
        <is>
          <t>ELE</t>
        </is>
      </c>
      <c r="B11" s="3" t="inlineStr">
        <is>
          <t>S31</t>
        </is>
      </c>
      <c r="C11" s="13">
        <f>SUMIFS(tblAsignaciones[horas_disponibles],tblAsignaciones[especialidad],$A11,tblAsignaciones[semana],$B11)</f>
        <v/>
      </c>
      <c r="D11" s="13">
        <f>C11*p_factor_productividad</f>
        <v/>
      </c>
      <c r="E11" s="13">
        <f>SUMIFS(tblOrdenes[horas_estimadas],tblOrdenes[especialidad],$A11,tblOrdenes[semana],$B11,tblOrdenes[clasificacion],"preventiva")</f>
        <v/>
      </c>
      <c r="F11" s="13">
        <f>SUMIFS(tblOrdenes[horas_estimadas],tblOrdenes[especialidad],$A11,tblOrdenes[semana],$B11,tblOrdenes[clasificacion],"correctiva")</f>
        <v/>
      </c>
      <c r="G11" s="13">
        <f>E11+F11</f>
        <v/>
      </c>
      <c r="H11" s="13">
        <f>D11-G11</f>
        <v/>
      </c>
      <c r="I11" s="14">
        <f>IF(D11=0,"",G11/D11)</f>
        <v/>
      </c>
    </row>
    <row r="12">
      <c r="A12" s="3" t="inlineStr">
        <is>
          <t>AUT</t>
        </is>
      </c>
      <c r="B12" s="3" t="inlineStr">
        <is>
          <t>S28</t>
        </is>
      </c>
      <c r="C12" s="13">
        <f>SUMIFS(tblAsignaciones[horas_disponibles],tblAsignaciones[especialidad],$A12,tblAsignaciones[semana],$B12)</f>
        <v/>
      </c>
      <c r="D12" s="13">
        <f>C12*p_factor_productividad</f>
        <v/>
      </c>
      <c r="E12" s="13">
        <f>SUMIFS(tblOrdenes[horas_estimadas],tblOrdenes[especialidad],$A12,tblOrdenes[semana],$B12,tblOrdenes[clasificacion],"preventiva")</f>
        <v/>
      </c>
      <c r="F12" s="13">
        <f>SUMIFS(tblOrdenes[horas_estimadas],tblOrdenes[especialidad],$A12,tblOrdenes[semana],$B12,tblOrdenes[clasificacion],"correctiva")</f>
        <v/>
      </c>
      <c r="G12" s="13">
        <f>E12+F12</f>
        <v/>
      </c>
      <c r="H12" s="13">
        <f>D12-G12</f>
        <v/>
      </c>
      <c r="I12" s="14">
        <f>IF(D12=0,"",G12/D12)</f>
        <v/>
      </c>
    </row>
    <row r="13">
      <c r="A13" s="3" t="inlineStr">
        <is>
          <t>AUT</t>
        </is>
      </c>
      <c r="B13" s="3" t="inlineStr">
        <is>
          <t>S29</t>
        </is>
      </c>
      <c r="C13" s="13">
        <f>SUMIFS(tblAsignaciones[horas_disponibles],tblAsignaciones[especialidad],$A13,tblAsignaciones[semana],$B13)</f>
        <v/>
      </c>
      <c r="D13" s="13">
        <f>C13*p_factor_productividad</f>
        <v/>
      </c>
      <c r="E13" s="13">
        <f>SUMIFS(tblOrdenes[horas_estimadas],tblOrdenes[especialidad],$A13,tblOrdenes[semana],$B13,tblOrdenes[clasificacion],"preventiva")</f>
        <v/>
      </c>
      <c r="F13" s="13">
        <f>SUMIFS(tblOrdenes[horas_estimadas],tblOrdenes[especialidad],$A13,tblOrdenes[semana],$B13,tblOrdenes[clasificacion],"correctiva")</f>
        <v/>
      </c>
      <c r="G13" s="13">
        <f>E13+F13</f>
        <v/>
      </c>
      <c r="H13" s="13">
        <f>D13-G13</f>
        <v/>
      </c>
      <c r="I13" s="14">
        <f>IF(D13=0,"",G13/D13)</f>
        <v/>
      </c>
    </row>
    <row r="14">
      <c r="A14" s="3" t="inlineStr">
        <is>
          <t>AUT</t>
        </is>
      </c>
      <c r="B14" s="3" t="inlineStr">
        <is>
          <t>S30</t>
        </is>
      </c>
      <c r="C14" s="13">
        <f>SUMIFS(tblAsignaciones[horas_disponibles],tblAsignaciones[especialidad],$A14,tblAsignaciones[semana],$B14)</f>
        <v/>
      </c>
      <c r="D14" s="13">
        <f>C14*p_factor_productividad</f>
        <v/>
      </c>
      <c r="E14" s="13">
        <f>SUMIFS(tblOrdenes[horas_estimadas],tblOrdenes[especialidad],$A14,tblOrdenes[semana],$B14,tblOrdenes[clasificacion],"preventiva")</f>
        <v/>
      </c>
      <c r="F14" s="13">
        <f>SUMIFS(tblOrdenes[horas_estimadas],tblOrdenes[especialidad],$A14,tblOrdenes[semana],$B14,tblOrdenes[clasificacion],"correctiva")</f>
        <v/>
      </c>
      <c r="G14" s="13">
        <f>E14+F14</f>
        <v/>
      </c>
      <c r="H14" s="13">
        <f>D14-G14</f>
        <v/>
      </c>
      <c r="I14" s="14">
        <f>IF(D14=0,"",G14/D14)</f>
        <v/>
      </c>
    </row>
    <row r="15">
      <c r="A15" s="3" t="inlineStr">
        <is>
          <t>AUT</t>
        </is>
      </c>
      <c r="B15" s="3" t="inlineStr">
        <is>
          <t>S31</t>
        </is>
      </c>
      <c r="C15" s="13">
        <f>SUMIFS(tblAsignaciones[horas_disponibles],tblAsignaciones[especialidad],$A15,tblAsignaciones[semana],$B15)</f>
        <v/>
      </c>
      <c r="D15" s="13">
        <f>C15*p_factor_productividad</f>
        <v/>
      </c>
      <c r="E15" s="13">
        <f>SUMIFS(tblOrdenes[horas_estimadas],tblOrdenes[especialidad],$A15,tblOrdenes[semana],$B15,tblOrdenes[clasificacion],"preventiva")</f>
        <v/>
      </c>
      <c r="F15" s="13">
        <f>SUMIFS(tblOrdenes[horas_estimadas],tblOrdenes[especialidad],$A15,tblOrdenes[semana],$B15,tblOrdenes[clasificacion],"correctiva")</f>
        <v/>
      </c>
      <c r="G15" s="13">
        <f>E15+F15</f>
        <v/>
      </c>
      <c r="H15" s="13">
        <f>D15-G15</f>
        <v/>
      </c>
      <c r="I15" s="14">
        <f>IF(D15=0,"",G15/D15)</f>
        <v/>
      </c>
    </row>
    <row r="16">
      <c r="A16" s="3" t="inlineStr">
        <is>
          <t>OP</t>
        </is>
      </c>
      <c r="B16" s="3" t="inlineStr">
        <is>
          <t>S28</t>
        </is>
      </c>
      <c r="C16" s="13">
        <f>SUMIFS(tblAsignaciones[horas_disponibles],tblAsignaciones[especialidad],$A16,tblAsignaciones[semana],$B16)</f>
        <v/>
      </c>
      <c r="D16" s="13">
        <f>C16*p_factor_productividad</f>
        <v/>
      </c>
      <c r="E16" s="13">
        <f>SUMIFS(tblOrdenes[horas_estimadas],tblOrdenes[especialidad],$A16,tblOrdenes[semana],$B16,tblOrdenes[clasificacion],"preventiva")</f>
        <v/>
      </c>
      <c r="F16" s="13">
        <f>SUMIFS(tblOrdenes[horas_estimadas],tblOrdenes[especialidad],$A16,tblOrdenes[semana],$B16,tblOrdenes[clasificacion],"correctiva")</f>
        <v/>
      </c>
      <c r="G16" s="13">
        <f>E16+F16</f>
        <v/>
      </c>
      <c r="H16" s="13">
        <f>D16-G16</f>
        <v/>
      </c>
      <c r="I16" s="14">
        <f>IF(D16=0,"",G16/D16)</f>
        <v/>
      </c>
    </row>
    <row r="17">
      <c r="A17" s="3" t="inlineStr">
        <is>
          <t>OP</t>
        </is>
      </c>
      <c r="B17" s="3" t="inlineStr">
        <is>
          <t>S29</t>
        </is>
      </c>
      <c r="C17" s="13">
        <f>SUMIFS(tblAsignaciones[horas_disponibles],tblAsignaciones[especialidad],$A17,tblAsignaciones[semana],$B17)</f>
        <v/>
      </c>
      <c r="D17" s="13">
        <f>C17*p_factor_productividad</f>
        <v/>
      </c>
      <c r="E17" s="13">
        <f>SUMIFS(tblOrdenes[horas_estimadas],tblOrdenes[especialidad],$A17,tblOrdenes[semana],$B17,tblOrdenes[clasificacion],"preventiva")</f>
        <v/>
      </c>
      <c r="F17" s="13">
        <f>SUMIFS(tblOrdenes[horas_estimadas],tblOrdenes[especialidad],$A17,tblOrdenes[semana],$B17,tblOrdenes[clasificacion],"correctiva")</f>
        <v/>
      </c>
      <c r="G17" s="13">
        <f>E17+F17</f>
        <v/>
      </c>
      <c r="H17" s="13">
        <f>D17-G17</f>
        <v/>
      </c>
      <c r="I17" s="14">
        <f>IF(D17=0,"",G17/D17)</f>
        <v/>
      </c>
    </row>
    <row r="18">
      <c r="A18" s="3" t="inlineStr">
        <is>
          <t>OP</t>
        </is>
      </c>
      <c r="B18" s="3" t="inlineStr">
        <is>
          <t>S30</t>
        </is>
      </c>
      <c r="C18" s="13">
        <f>SUMIFS(tblAsignaciones[horas_disponibles],tblAsignaciones[especialidad],$A18,tblAsignaciones[semana],$B18)</f>
        <v/>
      </c>
      <c r="D18" s="13">
        <f>C18*p_factor_productividad</f>
        <v/>
      </c>
      <c r="E18" s="13">
        <f>SUMIFS(tblOrdenes[horas_estimadas],tblOrdenes[especialidad],$A18,tblOrdenes[semana],$B18,tblOrdenes[clasificacion],"preventiva")</f>
        <v/>
      </c>
      <c r="F18" s="13">
        <f>SUMIFS(tblOrdenes[horas_estimadas],tblOrdenes[especialidad],$A18,tblOrdenes[semana],$B18,tblOrdenes[clasificacion],"correctiva")</f>
        <v/>
      </c>
      <c r="G18" s="13">
        <f>E18+F18</f>
        <v/>
      </c>
      <c r="H18" s="13">
        <f>D18-G18</f>
        <v/>
      </c>
      <c r="I18" s="14">
        <f>IF(D18=0,"",G18/D18)</f>
        <v/>
      </c>
    </row>
    <row r="19">
      <c r="A19" s="3" t="inlineStr">
        <is>
          <t>OP</t>
        </is>
      </c>
      <c r="B19" s="3" t="inlineStr">
        <is>
          <t>S31</t>
        </is>
      </c>
      <c r="C19" s="13">
        <f>SUMIFS(tblAsignaciones[horas_disponibles],tblAsignaciones[especialidad],$A19,tblAsignaciones[semana],$B19)</f>
        <v/>
      </c>
      <c r="D19" s="13">
        <f>C19*p_factor_productividad</f>
        <v/>
      </c>
      <c r="E19" s="13">
        <f>SUMIFS(tblOrdenes[horas_estimadas],tblOrdenes[especialidad],$A19,tblOrdenes[semana],$B19,tblOrdenes[clasificacion],"preventiva")</f>
        <v/>
      </c>
      <c r="F19" s="13">
        <f>SUMIFS(tblOrdenes[horas_estimadas],tblOrdenes[especialidad],$A19,tblOrdenes[semana],$B19,tblOrdenes[clasificacion],"correctiva")</f>
        <v/>
      </c>
      <c r="G19" s="13">
        <f>E19+F19</f>
        <v/>
      </c>
      <c r="H19" s="13">
        <f>D19-G19</f>
        <v/>
      </c>
      <c r="I19" s="14">
        <f>IF(D19=0,"",G19/D19)</f>
        <v/>
      </c>
    </row>
    <row r="20">
      <c r="A20" s="3" t="inlineStr">
        <is>
          <t>TERCERO</t>
        </is>
      </c>
      <c r="B20" s="3" t="inlineStr">
        <is>
          <t>S28</t>
        </is>
      </c>
      <c r="C20" s="13">
        <f>SUMIFS(tblAsignaciones[horas_disponibles],tblAsignaciones[especialidad],$A20,tblAsignaciones[semana],$B20)</f>
        <v/>
      </c>
      <c r="D20" s="13">
        <f>C20*p_factor_productividad</f>
        <v/>
      </c>
      <c r="E20" s="13">
        <f>SUMIFS(tblOrdenes[horas_estimadas],tblOrdenes[especialidad],$A20,tblOrdenes[semana],$B20,tblOrdenes[clasificacion],"preventiva")</f>
        <v/>
      </c>
      <c r="F20" s="13">
        <f>SUMIFS(tblOrdenes[horas_estimadas],tblOrdenes[especialidad],$A20,tblOrdenes[semana],$B20,tblOrdenes[clasificacion],"correctiva")</f>
        <v/>
      </c>
      <c r="G20" s="13">
        <f>E20+F20</f>
        <v/>
      </c>
      <c r="H20" s="13">
        <f>D20-G20</f>
        <v/>
      </c>
      <c r="I20" s="14">
        <f>IF(D20=0,"",G20/D20)</f>
        <v/>
      </c>
    </row>
    <row r="21">
      <c r="A21" s="3" t="inlineStr">
        <is>
          <t>TERCERO</t>
        </is>
      </c>
      <c r="B21" s="3" t="inlineStr">
        <is>
          <t>S29</t>
        </is>
      </c>
      <c r="C21" s="13">
        <f>SUMIFS(tblAsignaciones[horas_disponibles],tblAsignaciones[especialidad],$A21,tblAsignaciones[semana],$B21)</f>
        <v/>
      </c>
      <c r="D21" s="13">
        <f>C21*p_factor_productividad</f>
        <v/>
      </c>
      <c r="E21" s="13">
        <f>SUMIFS(tblOrdenes[horas_estimadas],tblOrdenes[especialidad],$A21,tblOrdenes[semana],$B21,tblOrdenes[clasificacion],"preventiva")</f>
        <v/>
      </c>
      <c r="F21" s="13">
        <f>SUMIFS(tblOrdenes[horas_estimadas],tblOrdenes[especialidad],$A21,tblOrdenes[semana],$B21,tblOrdenes[clasificacion],"correctiva")</f>
        <v/>
      </c>
      <c r="G21" s="13">
        <f>E21+F21</f>
        <v/>
      </c>
      <c r="H21" s="13">
        <f>D21-G21</f>
        <v/>
      </c>
      <c r="I21" s="14">
        <f>IF(D21=0,"",G21/D21)</f>
        <v/>
      </c>
    </row>
    <row r="22">
      <c r="A22" s="3" t="inlineStr">
        <is>
          <t>TERCERO</t>
        </is>
      </c>
      <c r="B22" s="3" t="inlineStr">
        <is>
          <t>S30</t>
        </is>
      </c>
      <c r="C22" s="13">
        <f>SUMIFS(tblAsignaciones[horas_disponibles],tblAsignaciones[especialidad],$A22,tblAsignaciones[semana],$B22)</f>
        <v/>
      </c>
      <c r="D22" s="13">
        <f>C22*p_factor_productividad</f>
        <v/>
      </c>
      <c r="E22" s="13">
        <f>SUMIFS(tblOrdenes[horas_estimadas],tblOrdenes[especialidad],$A22,tblOrdenes[semana],$B22,tblOrdenes[clasificacion],"preventiva")</f>
        <v/>
      </c>
      <c r="F22" s="13">
        <f>SUMIFS(tblOrdenes[horas_estimadas],tblOrdenes[especialidad],$A22,tblOrdenes[semana],$B22,tblOrdenes[clasificacion],"correctiva")</f>
        <v/>
      </c>
      <c r="G22" s="13">
        <f>E22+F22</f>
        <v/>
      </c>
      <c r="H22" s="13">
        <f>D22-G22</f>
        <v/>
      </c>
      <c r="I22" s="14">
        <f>IF(D22=0,"",G22/D22)</f>
        <v/>
      </c>
    </row>
    <row r="23">
      <c r="A23" s="3" t="inlineStr">
        <is>
          <t>TERCERO</t>
        </is>
      </c>
      <c r="B23" s="3" t="inlineStr">
        <is>
          <t>S31</t>
        </is>
      </c>
      <c r="C23" s="13">
        <f>SUMIFS(tblAsignaciones[horas_disponibles],tblAsignaciones[especialidad],$A23,tblAsignaciones[semana],$B23)</f>
        <v/>
      </c>
      <c r="D23" s="13">
        <f>C23*p_factor_productividad</f>
        <v/>
      </c>
      <c r="E23" s="13">
        <f>SUMIFS(tblOrdenes[horas_estimadas],tblOrdenes[especialidad],$A23,tblOrdenes[semana],$B23,tblOrdenes[clasificacion],"preventiva")</f>
        <v/>
      </c>
      <c r="F23" s="13">
        <f>SUMIFS(tblOrdenes[horas_estimadas],tblOrdenes[especialidad],$A23,tblOrdenes[semana],$B23,tblOrdenes[clasificacion],"correctiva")</f>
        <v/>
      </c>
      <c r="G23" s="13">
        <f>E23+F23</f>
        <v/>
      </c>
      <c r="H23" s="13">
        <f>D23-G23</f>
        <v/>
      </c>
      <c r="I23" s="14">
        <f>IF(D23=0,"",G23/D23)</f>
        <v/>
      </c>
    </row>
    <row r="25">
      <c r="A25" s="4" t="inlineStr">
        <is>
          <t>MATRIZ % CARGA — semáforo: verde &lt; 85 %, amarillo 85–100 %, rojo &gt; 100 %</t>
        </is>
      </c>
    </row>
    <row r="26">
      <c r="A26" s="5" t="inlineStr">
        <is>
          <t>especialidad</t>
        </is>
      </c>
      <c r="B26" s="5" t="inlineStr">
        <is>
          <t>S28</t>
        </is>
      </c>
      <c r="C26" s="5" t="inlineStr">
        <is>
          <t>S29</t>
        </is>
      </c>
      <c r="D26" s="5" t="inlineStr">
        <is>
          <t>S30</t>
        </is>
      </c>
      <c r="E26" s="5" t="inlineStr">
        <is>
          <t>S31</t>
        </is>
      </c>
    </row>
    <row r="27">
      <c r="A27" s="3" t="inlineStr">
        <is>
          <t>MEC</t>
        </is>
      </c>
      <c r="B27" s="14">
        <f>$I$4</f>
        <v/>
      </c>
      <c r="C27" s="14">
        <f>$I$5</f>
        <v/>
      </c>
      <c r="D27" s="14">
        <f>$I$6</f>
        <v/>
      </c>
      <c r="E27" s="14">
        <f>$I$7</f>
        <v/>
      </c>
    </row>
    <row r="28">
      <c r="A28" s="3" t="inlineStr">
        <is>
          <t>ELE</t>
        </is>
      </c>
      <c r="B28" s="14">
        <f>$I$8</f>
        <v/>
      </c>
      <c r="C28" s="14">
        <f>$I$9</f>
        <v/>
      </c>
      <c r="D28" s="14">
        <f>$I$10</f>
        <v/>
      </c>
      <c r="E28" s="14">
        <f>$I$11</f>
        <v/>
      </c>
    </row>
    <row r="29">
      <c r="A29" s="3" t="inlineStr">
        <is>
          <t>AUT</t>
        </is>
      </c>
      <c r="B29" s="14">
        <f>$I$12</f>
        <v/>
      </c>
      <c r="C29" s="14">
        <f>$I$13</f>
        <v/>
      </c>
      <c r="D29" s="14">
        <f>$I$14</f>
        <v/>
      </c>
      <c r="E29" s="14">
        <f>$I$15</f>
        <v/>
      </c>
    </row>
    <row r="30">
      <c r="A30" s="3" t="inlineStr">
        <is>
          <t>OP</t>
        </is>
      </c>
      <c r="B30" s="14">
        <f>$I$16</f>
        <v/>
      </c>
      <c r="C30" s="14">
        <f>$I$17</f>
        <v/>
      </c>
      <c r="D30" s="14">
        <f>$I$18</f>
        <v/>
      </c>
      <c r="E30" s="14">
        <f>$I$19</f>
        <v/>
      </c>
    </row>
    <row r="31">
      <c r="A31" s="3" t="inlineStr">
        <is>
          <t>TERCERO</t>
        </is>
      </c>
      <c r="B31" s="14">
        <f>$I$20</f>
        <v/>
      </c>
      <c r="C31" s="14">
        <f>$I$21</f>
        <v/>
      </c>
      <c r="D31" s="14">
        <f>$I$22</f>
        <v/>
      </c>
      <c r="E31" s="14">
        <f>$I$23</f>
        <v/>
      </c>
    </row>
    <row r="33">
      <c r="A33" s="4" t="inlineStr">
        <is>
          <t>RATIO CORRECTIVO/PREVENTIVO POR SEMANA (REGLA-9) — meta: correctivo ≤ 20 % de las HH</t>
        </is>
      </c>
    </row>
    <row r="34">
      <c r="A34" s="5" t="inlineStr">
        <is>
          <t>semana</t>
        </is>
      </c>
      <c r="B34" s="5" t="inlineStr">
        <is>
          <t>hh_preventiva</t>
        </is>
      </c>
      <c r="C34" s="5" t="inlineStr">
        <is>
          <t>hh_correctiva</t>
        </is>
      </c>
      <c r="D34" s="5" t="inlineStr">
        <is>
          <t>ratio_corr_prev</t>
        </is>
      </c>
      <c r="E34" s="5" t="inlineStr">
        <is>
          <t>pct_correctivo</t>
        </is>
      </c>
      <c r="F34" s="5" t="inlineStr">
        <is>
          <t>cumple_meta</t>
        </is>
      </c>
    </row>
    <row r="35">
      <c r="A35" s="3" t="inlineStr">
        <is>
          <t>S28</t>
        </is>
      </c>
      <c r="B35" s="13">
        <f>SUMIFS(tblOrdenes[horas_estimadas],tblOrdenes[semana],$A35,tblOrdenes[clasificacion],"preventiva")</f>
        <v/>
      </c>
      <c r="C35" s="13">
        <f>SUMIFS(tblOrdenes[horas_estimadas],tblOrdenes[semana],$A35,tblOrdenes[clasificacion],"correctiva")</f>
        <v/>
      </c>
      <c r="D35" s="14">
        <f>IF(B35=0,"",C35/B35)</f>
        <v/>
      </c>
      <c r="E35" s="14">
        <f>IF(B35+C35=0,"",C35/(B35+C35))</f>
        <v/>
      </c>
      <c r="F35" s="3">
        <f>IF(E35="","",IF(E35&lt;=1-p_meta_ratio_prev_corr,"SI","NO"))</f>
        <v/>
      </c>
    </row>
    <row r="36">
      <c r="A36" s="3" t="inlineStr">
        <is>
          <t>S29</t>
        </is>
      </c>
      <c r="B36" s="13">
        <f>SUMIFS(tblOrdenes[horas_estimadas],tblOrdenes[semana],$A36,tblOrdenes[clasificacion],"preventiva")</f>
        <v/>
      </c>
      <c r="C36" s="13">
        <f>SUMIFS(tblOrdenes[horas_estimadas],tblOrdenes[semana],$A36,tblOrdenes[clasificacion],"correctiva")</f>
        <v/>
      </c>
      <c r="D36" s="14">
        <f>IF(B36=0,"",C36/B36)</f>
        <v/>
      </c>
      <c r="E36" s="14">
        <f>IF(B36+C36=0,"",C36/(B36+C36))</f>
        <v/>
      </c>
      <c r="F36" s="3">
        <f>IF(E36="","",IF(E36&lt;=1-p_meta_ratio_prev_corr,"SI","NO"))</f>
        <v/>
      </c>
    </row>
    <row r="37">
      <c r="A37" s="3" t="inlineStr">
        <is>
          <t>S30</t>
        </is>
      </c>
      <c r="B37" s="13">
        <f>SUMIFS(tblOrdenes[horas_estimadas],tblOrdenes[semana],$A37,tblOrdenes[clasificacion],"preventiva")</f>
        <v/>
      </c>
      <c r="C37" s="13">
        <f>SUMIFS(tblOrdenes[horas_estimadas],tblOrdenes[semana],$A37,tblOrdenes[clasificacion],"correctiva")</f>
        <v/>
      </c>
      <c r="D37" s="14">
        <f>IF(B37=0,"",C37/B37)</f>
        <v/>
      </c>
      <c r="E37" s="14">
        <f>IF(B37+C37=0,"",C37/(B37+C37))</f>
        <v/>
      </c>
      <c r="F37" s="3">
        <f>IF(E37="","",IF(E37&lt;=1-p_meta_ratio_prev_corr,"SI","NO"))</f>
        <v/>
      </c>
    </row>
    <row r="38">
      <c r="A38" s="3" t="inlineStr">
        <is>
          <t>S31</t>
        </is>
      </c>
      <c r="B38" s="13">
        <f>SUMIFS(tblOrdenes[horas_estimadas],tblOrdenes[semana],$A38,tblOrdenes[clasificacion],"preventiva")</f>
        <v/>
      </c>
      <c r="C38" s="13">
        <f>SUMIFS(tblOrdenes[horas_estimadas],tblOrdenes[semana],$A38,tblOrdenes[clasificacion],"correctiva")</f>
        <v/>
      </c>
      <c r="D38" s="14">
        <f>IF(B38=0,"",C38/B38)</f>
        <v/>
      </c>
      <c r="E38" s="14">
        <f>IF(B38+C38=0,"",C38/(B38+C38))</f>
        <v/>
      </c>
      <c r="F38" s="3">
        <f>IF(E38="","",IF(E38&lt;=1-p_meta_ratio_prev_corr,"SI","NO"))</f>
        <v/>
      </c>
    </row>
  </sheetData>
  <conditionalFormatting sqref="I4:I2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27:E31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L20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3" customWidth="1" min="6" max="6"/>
    <col width="15" customWidth="1" min="7" max="7"/>
    <col width="34" customWidth="1" min="8" max="8"/>
    <col width="9" customWidth="1" min="9" max="9"/>
    <col width="7" customWidth="1" min="10" max="10"/>
    <col width="11" customWidth="1" min="11" max="11"/>
    <col width="9" customWidth="1" min="12" max="12"/>
  </cols>
  <sheetData>
    <row r="1">
      <c r="A1" s="4" t="inlineStr">
        <is>
          <t>PLAN SEMANAL — elija criterios y use el autofiltro de la fila 8. "(todos)" desactiva un criterio; "-" significa vacío.</t>
        </is>
      </c>
    </row>
    <row r="3">
      <c r="A3" s="4" t="inlineStr">
        <is>
          <t>semana:</t>
        </is>
      </c>
      <c r="B3" s="15" t="inlineStr">
        <is>
          <t>S29</t>
        </is>
      </c>
      <c r="C3" s="4" t="inlineStr">
        <is>
          <t>día:</t>
        </is>
      </c>
      <c r="D3" s="15" t="inlineStr">
        <is>
          <t>(todos)</t>
        </is>
      </c>
      <c r="E3" s="4" t="inlineStr">
        <is>
          <t>turno:</t>
        </is>
      </c>
      <c r="F3" s="15" t="inlineStr">
        <is>
          <t>(todos)</t>
        </is>
      </c>
      <c r="G3" s="4" t="inlineStr">
        <is>
          <t>coordinador:</t>
        </is>
      </c>
      <c r="H3" s="15" t="inlineStr">
        <is>
          <t>(todos)</t>
        </is>
      </c>
      <c r="I3" s="4" t="inlineStr">
        <is>
          <t>área:</t>
        </is>
      </c>
      <c r="J3" s="15" t="inlineStr">
        <is>
          <t>(todos)</t>
        </is>
      </c>
    </row>
    <row r="5">
      <c r="A5" s="4" t="inlineStr">
        <is>
          <t>órdenes:</t>
        </is>
      </c>
      <c r="B5" s="3">
        <f>COUNTIFS($A$9:$A$208,IF($B$3="(todos)","*",$B$3),$B$9:$B$208,IF($D$3="(todos)","*",$D$3),$C$9:$C$208,IF($F$3="(todos)","*",$F$3),$D$9:$D$208,IF($H$3="(todos)","*",$H$3),$E$9:$E$208,IF($J$3="(todos)","*",$J$3))</f>
        <v/>
      </c>
      <c r="C5" s="4" t="inlineStr">
        <is>
          <t>HH:</t>
        </is>
      </c>
      <c r="D5" s="13">
        <f>SUMIFS($J$9:$J$208,$A$9:$A$208,IF($B$3="(todos)","*",$B$3),$B$9:$B$208,IF($D$3="(todos)","*",$D$3),$C$9:$C$208,IF($F$3="(todos)","*",$F$3),$D$9:$D$208,IF($H$3="(todos)","*",$H$3),$E$9:$E$208,IF($J$3="(todos)","*",$J$3))</f>
        <v/>
      </c>
    </row>
    <row r="8">
      <c r="A8" s="5" t="inlineStr">
        <is>
          <t>semana</t>
        </is>
      </c>
      <c r="B8" s="5" t="inlineStr">
        <is>
          <t>dia</t>
        </is>
      </c>
      <c r="C8" s="5" t="inlineStr">
        <is>
          <t>turno</t>
        </is>
      </c>
      <c r="D8" s="5" t="inlineStr">
        <is>
          <t>coordinador</t>
        </is>
      </c>
      <c r="E8" s="5" t="inlineStr">
        <is>
          <t>area</t>
        </is>
      </c>
      <c r="F8" s="5" t="inlineStr">
        <is>
          <t>tecnico</t>
        </is>
      </c>
      <c r="G8" s="5" t="inlineStr">
        <is>
          <t>id_operacion</t>
        </is>
      </c>
      <c r="H8" s="5" t="inlineStr">
        <is>
          <t>descripcion_operacion</t>
        </is>
      </c>
      <c r="I8" s="5" t="inlineStr">
        <is>
          <t>equipo</t>
        </is>
      </c>
      <c r="J8" s="5" t="inlineStr">
        <is>
          <t>horas</t>
        </is>
      </c>
      <c r="K8" s="5" t="inlineStr">
        <is>
          <t>estado</t>
        </is>
      </c>
      <c r="L8" s="5" t="inlineStr">
        <is>
          <t>en_plan</t>
        </is>
      </c>
    </row>
    <row r="9">
      <c r="A9" s="3">
        <f>IF('ORDENES'!$O4="","-",'ORDENES'!$O4)</f>
        <v/>
      </c>
      <c r="B9" s="3">
        <f>IF('ORDENES'!$R4="","-",'ORDENES'!$R4)</f>
        <v/>
      </c>
      <c r="C9" s="3">
        <f>IF('ORDENES'!$AC4="","-",'ORDENES'!$AC4)</f>
        <v/>
      </c>
      <c r="D9" s="3">
        <f>IF('ORDENES'!$V4="","-",'ORDENES'!$V4)</f>
        <v/>
      </c>
      <c r="E9" s="3">
        <f>IF('ORDENES'!$U4="","-",'ORDENES'!$U4)</f>
        <v/>
      </c>
      <c r="F9" s="3">
        <f>IF('ORDENES'!$AB4="","-",'ORDENES'!$AB4)</f>
        <v/>
      </c>
      <c r="G9" s="3">
        <f>IF('ORDENES'!$C4="","-",'ORDENES'!$C4)</f>
        <v/>
      </c>
      <c r="H9" s="3">
        <f>IF('ORDENES'!$E4="","-",'ORDENES'!$E4)</f>
        <v/>
      </c>
      <c r="I9" s="3">
        <f>IF('ORDENES'!$F4="","-",'ORDENES'!$F4)</f>
        <v/>
      </c>
      <c r="J9" s="12">
        <f>IF('ORDENES'!$L4="",0,'ORDENES'!$L4)</f>
        <v/>
      </c>
      <c r="K9" s="3">
        <f>IF('ORDENES'!$N4="","-",'ORDENES'!$N4)</f>
        <v/>
      </c>
      <c r="L9" s="3">
        <f>'ORDENES'!$AA4</f>
        <v/>
      </c>
    </row>
    <row r="10">
      <c r="A10" s="3">
        <f>IF('ORDENES'!$O5="","-",'ORDENES'!$O5)</f>
        <v/>
      </c>
      <c r="B10" s="3">
        <f>IF('ORDENES'!$R5="","-",'ORDENES'!$R5)</f>
        <v/>
      </c>
      <c r="C10" s="3">
        <f>IF('ORDENES'!$AC5="","-",'ORDENES'!$AC5)</f>
        <v/>
      </c>
      <c r="D10" s="3">
        <f>IF('ORDENES'!$V5="","-",'ORDENES'!$V5)</f>
        <v/>
      </c>
      <c r="E10" s="3">
        <f>IF('ORDENES'!$U5="","-",'ORDENES'!$U5)</f>
        <v/>
      </c>
      <c r="F10" s="3">
        <f>IF('ORDENES'!$AB5="","-",'ORDENES'!$AB5)</f>
        <v/>
      </c>
      <c r="G10" s="3">
        <f>IF('ORDENES'!$C5="","-",'ORDENES'!$C5)</f>
        <v/>
      </c>
      <c r="H10" s="3">
        <f>IF('ORDENES'!$E5="","-",'ORDENES'!$E5)</f>
        <v/>
      </c>
      <c r="I10" s="3">
        <f>IF('ORDENES'!$F5="","-",'ORDENES'!$F5)</f>
        <v/>
      </c>
      <c r="J10" s="12">
        <f>IF('ORDENES'!$L5="",0,'ORDENES'!$L5)</f>
        <v/>
      </c>
      <c r="K10" s="3">
        <f>IF('ORDENES'!$N5="","-",'ORDENES'!$N5)</f>
        <v/>
      </c>
      <c r="L10" s="3">
        <f>'ORDENES'!$AA5</f>
        <v/>
      </c>
    </row>
    <row r="11">
      <c r="A11" s="3">
        <f>IF('ORDENES'!$O6="","-",'ORDENES'!$O6)</f>
        <v/>
      </c>
      <c r="B11" s="3">
        <f>IF('ORDENES'!$R6="","-",'ORDENES'!$R6)</f>
        <v/>
      </c>
      <c r="C11" s="3">
        <f>IF('ORDENES'!$AC6="","-",'ORDENES'!$AC6)</f>
        <v/>
      </c>
      <c r="D11" s="3">
        <f>IF('ORDENES'!$V6="","-",'ORDENES'!$V6)</f>
        <v/>
      </c>
      <c r="E11" s="3">
        <f>IF('ORDENES'!$U6="","-",'ORDENES'!$U6)</f>
        <v/>
      </c>
      <c r="F11" s="3">
        <f>IF('ORDENES'!$AB6="","-",'ORDENES'!$AB6)</f>
        <v/>
      </c>
      <c r="G11" s="3">
        <f>IF('ORDENES'!$C6="","-",'ORDENES'!$C6)</f>
        <v/>
      </c>
      <c r="H11" s="3">
        <f>IF('ORDENES'!$E6="","-",'ORDENES'!$E6)</f>
        <v/>
      </c>
      <c r="I11" s="3">
        <f>IF('ORDENES'!$F6="","-",'ORDENES'!$F6)</f>
        <v/>
      </c>
      <c r="J11" s="12">
        <f>IF('ORDENES'!$L6="",0,'ORDENES'!$L6)</f>
        <v/>
      </c>
      <c r="K11" s="3">
        <f>IF('ORDENES'!$N6="","-",'ORDENES'!$N6)</f>
        <v/>
      </c>
      <c r="L11" s="3">
        <f>'ORDENES'!$AA6</f>
        <v/>
      </c>
    </row>
    <row r="12">
      <c r="A12" s="3">
        <f>IF('ORDENES'!$O7="","-",'ORDENES'!$O7)</f>
        <v/>
      </c>
      <c r="B12" s="3">
        <f>IF('ORDENES'!$R7="","-",'ORDENES'!$R7)</f>
        <v/>
      </c>
      <c r="C12" s="3">
        <f>IF('ORDENES'!$AC7="","-",'ORDENES'!$AC7)</f>
        <v/>
      </c>
      <c r="D12" s="3">
        <f>IF('ORDENES'!$V7="","-",'ORDENES'!$V7)</f>
        <v/>
      </c>
      <c r="E12" s="3">
        <f>IF('ORDENES'!$U7="","-",'ORDENES'!$U7)</f>
        <v/>
      </c>
      <c r="F12" s="3">
        <f>IF('ORDENES'!$AB7="","-",'ORDENES'!$AB7)</f>
        <v/>
      </c>
      <c r="G12" s="3">
        <f>IF('ORDENES'!$C7="","-",'ORDENES'!$C7)</f>
        <v/>
      </c>
      <c r="H12" s="3">
        <f>IF('ORDENES'!$E7="","-",'ORDENES'!$E7)</f>
        <v/>
      </c>
      <c r="I12" s="3">
        <f>IF('ORDENES'!$F7="","-",'ORDENES'!$F7)</f>
        <v/>
      </c>
      <c r="J12" s="12">
        <f>IF('ORDENES'!$L7="",0,'ORDENES'!$L7)</f>
        <v/>
      </c>
      <c r="K12" s="3">
        <f>IF('ORDENES'!$N7="","-",'ORDENES'!$N7)</f>
        <v/>
      </c>
      <c r="L12" s="3">
        <f>'ORDENES'!$AA7</f>
        <v/>
      </c>
    </row>
    <row r="13">
      <c r="A13" s="3">
        <f>IF('ORDENES'!$O8="","-",'ORDENES'!$O8)</f>
        <v/>
      </c>
      <c r="B13" s="3">
        <f>IF('ORDENES'!$R8="","-",'ORDENES'!$R8)</f>
        <v/>
      </c>
      <c r="C13" s="3">
        <f>IF('ORDENES'!$AC8="","-",'ORDENES'!$AC8)</f>
        <v/>
      </c>
      <c r="D13" s="3">
        <f>IF('ORDENES'!$V8="","-",'ORDENES'!$V8)</f>
        <v/>
      </c>
      <c r="E13" s="3">
        <f>IF('ORDENES'!$U8="","-",'ORDENES'!$U8)</f>
        <v/>
      </c>
      <c r="F13" s="3">
        <f>IF('ORDENES'!$AB8="","-",'ORDENES'!$AB8)</f>
        <v/>
      </c>
      <c r="G13" s="3">
        <f>IF('ORDENES'!$C8="","-",'ORDENES'!$C8)</f>
        <v/>
      </c>
      <c r="H13" s="3">
        <f>IF('ORDENES'!$E8="","-",'ORDENES'!$E8)</f>
        <v/>
      </c>
      <c r="I13" s="3">
        <f>IF('ORDENES'!$F8="","-",'ORDENES'!$F8)</f>
        <v/>
      </c>
      <c r="J13" s="12">
        <f>IF('ORDENES'!$L8="",0,'ORDENES'!$L8)</f>
        <v/>
      </c>
      <c r="K13" s="3">
        <f>IF('ORDENES'!$N8="","-",'ORDENES'!$N8)</f>
        <v/>
      </c>
      <c r="L13" s="3">
        <f>'ORDENES'!$AA8</f>
        <v/>
      </c>
    </row>
    <row r="14">
      <c r="A14" s="3">
        <f>IF('ORDENES'!$O9="","-",'ORDENES'!$O9)</f>
        <v/>
      </c>
      <c r="B14" s="3">
        <f>IF('ORDENES'!$R9="","-",'ORDENES'!$R9)</f>
        <v/>
      </c>
      <c r="C14" s="3">
        <f>IF('ORDENES'!$AC9="","-",'ORDENES'!$AC9)</f>
        <v/>
      </c>
      <c r="D14" s="3">
        <f>IF('ORDENES'!$V9="","-",'ORDENES'!$V9)</f>
        <v/>
      </c>
      <c r="E14" s="3">
        <f>IF('ORDENES'!$U9="","-",'ORDENES'!$U9)</f>
        <v/>
      </c>
      <c r="F14" s="3">
        <f>IF('ORDENES'!$AB9="","-",'ORDENES'!$AB9)</f>
        <v/>
      </c>
      <c r="G14" s="3">
        <f>IF('ORDENES'!$C9="","-",'ORDENES'!$C9)</f>
        <v/>
      </c>
      <c r="H14" s="3">
        <f>IF('ORDENES'!$E9="","-",'ORDENES'!$E9)</f>
        <v/>
      </c>
      <c r="I14" s="3">
        <f>IF('ORDENES'!$F9="","-",'ORDENES'!$F9)</f>
        <v/>
      </c>
      <c r="J14" s="12">
        <f>IF('ORDENES'!$L9="",0,'ORDENES'!$L9)</f>
        <v/>
      </c>
      <c r="K14" s="3">
        <f>IF('ORDENES'!$N9="","-",'ORDENES'!$N9)</f>
        <v/>
      </c>
      <c r="L14" s="3">
        <f>'ORDENES'!$AA9</f>
        <v/>
      </c>
    </row>
    <row r="15">
      <c r="A15" s="3">
        <f>IF('ORDENES'!$O10="","-",'ORDENES'!$O10)</f>
        <v/>
      </c>
      <c r="B15" s="3">
        <f>IF('ORDENES'!$R10="","-",'ORDENES'!$R10)</f>
        <v/>
      </c>
      <c r="C15" s="3">
        <f>IF('ORDENES'!$AC10="","-",'ORDENES'!$AC10)</f>
        <v/>
      </c>
      <c r="D15" s="3">
        <f>IF('ORDENES'!$V10="","-",'ORDENES'!$V10)</f>
        <v/>
      </c>
      <c r="E15" s="3">
        <f>IF('ORDENES'!$U10="","-",'ORDENES'!$U10)</f>
        <v/>
      </c>
      <c r="F15" s="3">
        <f>IF('ORDENES'!$AB10="","-",'ORDENES'!$AB10)</f>
        <v/>
      </c>
      <c r="G15" s="3">
        <f>IF('ORDENES'!$C10="","-",'ORDENES'!$C10)</f>
        <v/>
      </c>
      <c r="H15" s="3">
        <f>IF('ORDENES'!$E10="","-",'ORDENES'!$E10)</f>
        <v/>
      </c>
      <c r="I15" s="3">
        <f>IF('ORDENES'!$F10="","-",'ORDENES'!$F10)</f>
        <v/>
      </c>
      <c r="J15" s="12">
        <f>IF('ORDENES'!$L10="",0,'ORDENES'!$L10)</f>
        <v/>
      </c>
      <c r="K15" s="3">
        <f>IF('ORDENES'!$N10="","-",'ORDENES'!$N10)</f>
        <v/>
      </c>
      <c r="L15" s="3">
        <f>'ORDENES'!$AA10</f>
        <v/>
      </c>
    </row>
    <row r="16">
      <c r="A16" s="3">
        <f>IF('ORDENES'!$O11="","-",'ORDENES'!$O11)</f>
        <v/>
      </c>
      <c r="B16" s="3">
        <f>IF('ORDENES'!$R11="","-",'ORDENES'!$R11)</f>
        <v/>
      </c>
      <c r="C16" s="3">
        <f>IF('ORDENES'!$AC11="","-",'ORDENES'!$AC11)</f>
        <v/>
      </c>
      <c r="D16" s="3">
        <f>IF('ORDENES'!$V11="","-",'ORDENES'!$V11)</f>
        <v/>
      </c>
      <c r="E16" s="3">
        <f>IF('ORDENES'!$U11="","-",'ORDENES'!$U11)</f>
        <v/>
      </c>
      <c r="F16" s="3">
        <f>IF('ORDENES'!$AB11="","-",'ORDENES'!$AB11)</f>
        <v/>
      </c>
      <c r="G16" s="3">
        <f>IF('ORDENES'!$C11="","-",'ORDENES'!$C11)</f>
        <v/>
      </c>
      <c r="H16" s="3">
        <f>IF('ORDENES'!$E11="","-",'ORDENES'!$E11)</f>
        <v/>
      </c>
      <c r="I16" s="3">
        <f>IF('ORDENES'!$F11="","-",'ORDENES'!$F11)</f>
        <v/>
      </c>
      <c r="J16" s="12">
        <f>IF('ORDENES'!$L11="",0,'ORDENES'!$L11)</f>
        <v/>
      </c>
      <c r="K16" s="3">
        <f>IF('ORDENES'!$N11="","-",'ORDENES'!$N11)</f>
        <v/>
      </c>
      <c r="L16" s="3">
        <f>'ORDENES'!$AA11</f>
        <v/>
      </c>
    </row>
    <row r="17">
      <c r="A17" s="3">
        <f>IF('ORDENES'!$O12="","-",'ORDENES'!$O12)</f>
        <v/>
      </c>
      <c r="B17" s="3">
        <f>IF('ORDENES'!$R12="","-",'ORDENES'!$R12)</f>
        <v/>
      </c>
      <c r="C17" s="3">
        <f>IF('ORDENES'!$AC12="","-",'ORDENES'!$AC12)</f>
        <v/>
      </c>
      <c r="D17" s="3">
        <f>IF('ORDENES'!$V12="","-",'ORDENES'!$V12)</f>
        <v/>
      </c>
      <c r="E17" s="3">
        <f>IF('ORDENES'!$U12="","-",'ORDENES'!$U12)</f>
        <v/>
      </c>
      <c r="F17" s="3">
        <f>IF('ORDENES'!$AB12="","-",'ORDENES'!$AB12)</f>
        <v/>
      </c>
      <c r="G17" s="3">
        <f>IF('ORDENES'!$C12="","-",'ORDENES'!$C12)</f>
        <v/>
      </c>
      <c r="H17" s="3">
        <f>IF('ORDENES'!$E12="","-",'ORDENES'!$E12)</f>
        <v/>
      </c>
      <c r="I17" s="3">
        <f>IF('ORDENES'!$F12="","-",'ORDENES'!$F12)</f>
        <v/>
      </c>
      <c r="J17" s="12">
        <f>IF('ORDENES'!$L12="",0,'ORDENES'!$L12)</f>
        <v/>
      </c>
      <c r="K17" s="3">
        <f>IF('ORDENES'!$N12="","-",'ORDENES'!$N12)</f>
        <v/>
      </c>
      <c r="L17" s="3">
        <f>'ORDENES'!$AA12</f>
        <v/>
      </c>
    </row>
    <row r="18">
      <c r="A18" s="3">
        <f>IF('ORDENES'!$O13="","-",'ORDENES'!$O13)</f>
        <v/>
      </c>
      <c r="B18" s="3">
        <f>IF('ORDENES'!$R13="","-",'ORDENES'!$R13)</f>
        <v/>
      </c>
      <c r="C18" s="3">
        <f>IF('ORDENES'!$AC13="","-",'ORDENES'!$AC13)</f>
        <v/>
      </c>
      <c r="D18" s="3">
        <f>IF('ORDENES'!$V13="","-",'ORDENES'!$V13)</f>
        <v/>
      </c>
      <c r="E18" s="3">
        <f>IF('ORDENES'!$U13="","-",'ORDENES'!$U13)</f>
        <v/>
      </c>
      <c r="F18" s="3">
        <f>IF('ORDENES'!$AB13="","-",'ORDENES'!$AB13)</f>
        <v/>
      </c>
      <c r="G18" s="3">
        <f>IF('ORDENES'!$C13="","-",'ORDENES'!$C13)</f>
        <v/>
      </c>
      <c r="H18" s="3">
        <f>IF('ORDENES'!$E13="","-",'ORDENES'!$E13)</f>
        <v/>
      </c>
      <c r="I18" s="3">
        <f>IF('ORDENES'!$F13="","-",'ORDENES'!$F13)</f>
        <v/>
      </c>
      <c r="J18" s="12">
        <f>IF('ORDENES'!$L13="",0,'ORDENES'!$L13)</f>
        <v/>
      </c>
      <c r="K18" s="3">
        <f>IF('ORDENES'!$N13="","-",'ORDENES'!$N13)</f>
        <v/>
      </c>
      <c r="L18" s="3">
        <f>'ORDENES'!$AA13</f>
        <v/>
      </c>
    </row>
    <row r="19">
      <c r="A19" s="3">
        <f>IF('ORDENES'!$O14="","-",'ORDENES'!$O14)</f>
        <v/>
      </c>
      <c r="B19" s="3">
        <f>IF('ORDENES'!$R14="","-",'ORDENES'!$R14)</f>
        <v/>
      </c>
      <c r="C19" s="3">
        <f>IF('ORDENES'!$AC14="","-",'ORDENES'!$AC14)</f>
        <v/>
      </c>
      <c r="D19" s="3">
        <f>IF('ORDENES'!$V14="","-",'ORDENES'!$V14)</f>
        <v/>
      </c>
      <c r="E19" s="3">
        <f>IF('ORDENES'!$U14="","-",'ORDENES'!$U14)</f>
        <v/>
      </c>
      <c r="F19" s="3">
        <f>IF('ORDENES'!$AB14="","-",'ORDENES'!$AB14)</f>
        <v/>
      </c>
      <c r="G19" s="3">
        <f>IF('ORDENES'!$C14="","-",'ORDENES'!$C14)</f>
        <v/>
      </c>
      <c r="H19" s="3">
        <f>IF('ORDENES'!$E14="","-",'ORDENES'!$E14)</f>
        <v/>
      </c>
      <c r="I19" s="3">
        <f>IF('ORDENES'!$F14="","-",'ORDENES'!$F14)</f>
        <v/>
      </c>
      <c r="J19" s="12">
        <f>IF('ORDENES'!$L14="",0,'ORDENES'!$L14)</f>
        <v/>
      </c>
      <c r="K19" s="3">
        <f>IF('ORDENES'!$N14="","-",'ORDENES'!$N14)</f>
        <v/>
      </c>
      <c r="L19" s="3">
        <f>'ORDENES'!$AA14</f>
        <v/>
      </c>
    </row>
    <row r="20">
      <c r="A20" s="3">
        <f>IF('ORDENES'!$O15="","-",'ORDENES'!$O15)</f>
        <v/>
      </c>
      <c r="B20" s="3">
        <f>IF('ORDENES'!$R15="","-",'ORDENES'!$R15)</f>
        <v/>
      </c>
      <c r="C20" s="3">
        <f>IF('ORDENES'!$AC15="","-",'ORDENES'!$AC15)</f>
        <v/>
      </c>
      <c r="D20" s="3">
        <f>IF('ORDENES'!$V15="","-",'ORDENES'!$V15)</f>
        <v/>
      </c>
      <c r="E20" s="3">
        <f>IF('ORDENES'!$U15="","-",'ORDENES'!$U15)</f>
        <v/>
      </c>
      <c r="F20" s="3">
        <f>IF('ORDENES'!$AB15="","-",'ORDENES'!$AB15)</f>
        <v/>
      </c>
      <c r="G20" s="3">
        <f>IF('ORDENES'!$C15="","-",'ORDENES'!$C15)</f>
        <v/>
      </c>
      <c r="H20" s="3">
        <f>IF('ORDENES'!$E15="","-",'ORDENES'!$E15)</f>
        <v/>
      </c>
      <c r="I20" s="3">
        <f>IF('ORDENES'!$F15="","-",'ORDENES'!$F15)</f>
        <v/>
      </c>
      <c r="J20" s="12">
        <f>IF('ORDENES'!$L15="",0,'ORDENES'!$L15)</f>
        <v/>
      </c>
      <c r="K20" s="3">
        <f>IF('ORDENES'!$N15="","-",'ORDENES'!$N15)</f>
        <v/>
      </c>
      <c r="L20" s="3">
        <f>'ORDENES'!$AA15</f>
        <v/>
      </c>
    </row>
    <row r="21">
      <c r="A21" s="3">
        <f>IF('ORDENES'!$O16="","-",'ORDENES'!$O16)</f>
        <v/>
      </c>
      <c r="B21" s="3">
        <f>IF('ORDENES'!$R16="","-",'ORDENES'!$R16)</f>
        <v/>
      </c>
      <c r="C21" s="3">
        <f>IF('ORDENES'!$AC16="","-",'ORDENES'!$AC16)</f>
        <v/>
      </c>
      <c r="D21" s="3">
        <f>IF('ORDENES'!$V16="","-",'ORDENES'!$V16)</f>
        <v/>
      </c>
      <c r="E21" s="3">
        <f>IF('ORDENES'!$U16="","-",'ORDENES'!$U16)</f>
        <v/>
      </c>
      <c r="F21" s="3">
        <f>IF('ORDENES'!$AB16="","-",'ORDENES'!$AB16)</f>
        <v/>
      </c>
      <c r="G21" s="3">
        <f>IF('ORDENES'!$C16="","-",'ORDENES'!$C16)</f>
        <v/>
      </c>
      <c r="H21" s="3">
        <f>IF('ORDENES'!$E16="","-",'ORDENES'!$E16)</f>
        <v/>
      </c>
      <c r="I21" s="3">
        <f>IF('ORDENES'!$F16="","-",'ORDENES'!$F16)</f>
        <v/>
      </c>
      <c r="J21" s="12">
        <f>IF('ORDENES'!$L16="",0,'ORDENES'!$L16)</f>
        <v/>
      </c>
      <c r="K21" s="3">
        <f>IF('ORDENES'!$N16="","-",'ORDENES'!$N16)</f>
        <v/>
      </c>
      <c r="L21" s="3">
        <f>'ORDENES'!$AA16</f>
        <v/>
      </c>
    </row>
    <row r="22">
      <c r="A22" s="3">
        <f>IF('ORDENES'!$O17="","-",'ORDENES'!$O17)</f>
        <v/>
      </c>
      <c r="B22" s="3">
        <f>IF('ORDENES'!$R17="","-",'ORDENES'!$R17)</f>
        <v/>
      </c>
      <c r="C22" s="3">
        <f>IF('ORDENES'!$AC17="","-",'ORDENES'!$AC17)</f>
        <v/>
      </c>
      <c r="D22" s="3">
        <f>IF('ORDENES'!$V17="","-",'ORDENES'!$V17)</f>
        <v/>
      </c>
      <c r="E22" s="3">
        <f>IF('ORDENES'!$U17="","-",'ORDENES'!$U17)</f>
        <v/>
      </c>
      <c r="F22" s="3">
        <f>IF('ORDENES'!$AB17="","-",'ORDENES'!$AB17)</f>
        <v/>
      </c>
      <c r="G22" s="3">
        <f>IF('ORDENES'!$C17="","-",'ORDENES'!$C17)</f>
        <v/>
      </c>
      <c r="H22" s="3">
        <f>IF('ORDENES'!$E17="","-",'ORDENES'!$E17)</f>
        <v/>
      </c>
      <c r="I22" s="3">
        <f>IF('ORDENES'!$F17="","-",'ORDENES'!$F17)</f>
        <v/>
      </c>
      <c r="J22" s="12">
        <f>IF('ORDENES'!$L17="",0,'ORDENES'!$L17)</f>
        <v/>
      </c>
      <c r="K22" s="3">
        <f>IF('ORDENES'!$N17="","-",'ORDENES'!$N17)</f>
        <v/>
      </c>
      <c r="L22" s="3">
        <f>'ORDENES'!$AA17</f>
        <v/>
      </c>
    </row>
    <row r="23">
      <c r="A23" s="3">
        <f>IF('ORDENES'!$O18="","-",'ORDENES'!$O18)</f>
        <v/>
      </c>
      <c r="B23" s="3">
        <f>IF('ORDENES'!$R18="","-",'ORDENES'!$R18)</f>
        <v/>
      </c>
      <c r="C23" s="3">
        <f>IF('ORDENES'!$AC18="","-",'ORDENES'!$AC18)</f>
        <v/>
      </c>
      <c r="D23" s="3">
        <f>IF('ORDENES'!$V18="","-",'ORDENES'!$V18)</f>
        <v/>
      </c>
      <c r="E23" s="3">
        <f>IF('ORDENES'!$U18="","-",'ORDENES'!$U18)</f>
        <v/>
      </c>
      <c r="F23" s="3">
        <f>IF('ORDENES'!$AB18="","-",'ORDENES'!$AB18)</f>
        <v/>
      </c>
      <c r="G23" s="3">
        <f>IF('ORDENES'!$C18="","-",'ORDENES'!$C18)</f>
        <v/>
      </c>
      <c r="H23" s="3">
        <f>IF('ORDENES'!$E18="","-",'ORDENES'!$E18)</f>
        <v/>
      </c>
      <c r="I23" s="3">
        <f>IF('ORDENES'!$F18="","-",'ORDENES'!$F18)</f>
        <v/>
      </c>
      <c r="J23" s="12">
        <f>IF('ORDENES'!$L18="",0,'ORDENES'!$L18)</f>
        <v/>
      </c>
      <c r="K23" s="3">
        <f>IF('ORDENES'!$N18="","-",'ORDENES'!$N18)</f>
        <v/>
      </c>
      <c r="L23" s="3">
        <f>'ORDENES'!$AA18</f>
        <v/>
      </c>
    </row>
    <row r="24">
      <c r="A24" s="3">
        <f>IF('ORDENES'!$O19="","-",'ORDENES'!$O19)</f>
        <v/>
      </c>
      <c r="B24" s="3">
        <f>IF('ORDENES'!$R19="","-",'ORDENES'!$R19)</f>
        <v/>
      </c>
      <c r="C24" s="3">
        <f>IF('ORDENES'!$AC19="","-",'ORDENES'!$AC19)</f>
        <v/>
      </c>
      <c r="D24" s="3">
        <f>IF('ORDENES'!$V19="","-",'ORDENES'!$V19)</f>
        <v/>
      </c>
      <c r="E24" s="3">
        <f>IF('ORDENES'!$U19="","-",'ORDENES'!$U19)</f>
        <v/>
      </c>
      <c r="F24" s="3">
        <f>IF('ORDENES'!$AB19="","-",'ORDENES'!$AB19)</f>
        <v/>
      </c>
      <c r="G24" s="3">
        <f>IF('ORDENES'!$C19="","-",'ORDENES'!$C19)</f>
        <v/>
      </c>
      <c r="H24" s="3">
        <f>IF('ORDENES'!$E19="","-",'ORDENES'!$E19)</f>
        <v/>
      </c>
      <c r="I24" s="3">
        <f>IF('ORDENES'!$F19="","-",'ORDENES'!$F19)</f>
        <v/>
      </c>
      <c r="J24" s="12">
        <f>IF('ORDENES'!$L19="",0,'ORDENES'!$L19)</f>
        <v/>
      </c>
      <c r="K24" s="3">
        <f>IF('ORDENES'!$N19="","-",'ORDENES'!$N19)</f>
        <v/>
      </c>
      <c r="L24" s="3">
        <f>'ORDENES'!$AA19</f>
        <v/>
      </c>
    </row>
    <row r="25">
      <c r="A25" s="3">
        <f>IF('ORDENES'!$O20="","-",'ORDENES'!$O20)</f>
        <v/>
      </c>
      <c r="B25" s="3">
        <f>IF('ORDENES'!$R20="","-",'ORDENES'!$R20)</f>
        <v/>
      </c>
      <c r="C25" s="3">
        <f>IF('ORDENES'!$AC20="","-",'ORDENES'!$AC20)</f>
        <v/>
      </c>
      <c r="D25" s="3">
        <f>IF('ORDENES'!$V20="","-",'ORDENES'!$V20)</f>
        <v/>
      </c>
      <c r="E25" s="3">
        <f>IF('ORDENES'!$U20="","-",'ORDENES'!$U20)</f>
        <v/>
      </c>
      <c r="F25" s="3">
        <f>IF('ORDENES'!$AB20="","-",'ORDENES'!$AB20)</f>
        <v/>
      </c>
      <c r="G25" s="3">
        <f>IF('ORDENES'!$C20="","-",'ORDENES'!$C20)</f>
        <v/>
      </c>
      <c r="H25" s="3">
        <f>IF('ORDENES'!$E20="","-",'ORDENES'!$E20)</f>
        <v/>
      </c>
      <c r="I25" s="3">
        <f>IF('ORDENES'!$F20="","-",'ORDENES'!$F20)</f>
        <v/>
      </c>
      <c r="J25" s="12">
        <f>IF('ORDENES'!$L20="",0,'ORDENES'!$L20)</f>
        <v/>
      </c>
      <c r="K25" s="3">
        <f>IF('ORDENES'!$N20="","-",'ORDENES'!$N20)</f>
        <v/>
      </c>
      <c r="L25" s="3">
        <f>'ORDENES'!$AA20</f>
        <v/>
      </c>
    </row>
    <row r="26">
      <c r="A26" s="3">
        <f>IF('ORDENES'!$O21="","-",'ORDENES'!$O21)</f>
        <v/>
      </c>
      <c r="B26" s="3">
        <f>IF('ORDENES'!$R21="","-",'ORDENES'!$R21)</f>
        <v/>
      </c>
      <c r="C26" s="3">
        <f>IF('ORDENES'!$AC21="","-",'ORDENES'!$AC21)</f>
        <v/>
      </c>
      <c r="D26" s="3">
        <f>IF('ORDENES'!$V21="","-",'ORDENES'!$V21)</f>
        <v/>
      </c>
      <c r="E26" s="3">
        <f>IF('ORDENES'!$U21="","-",'ORDENES'!$U21)</f>
        <v/>
      </c>
      <c r="F26" s="3">
        <f>IF('ORDENES'!$AB21="","-",'ORDENES'!$AB21)</f>
        <v/>
      </c>
      <c r="G26" s="3">
        <f>IF('ORDENES'!$C21="","-",'ORDENES'!$C21)</f>
        <v/>
      </c>
      <c r="H26" s="3">
        <f>IF('ORDENES'!$E21="","-",'ORDENES'!$E21)</f>
        <v/>
      </c>
      <c r="I26" s="3">
        <f>IF('ORDENES'!$F21="","-",'ORDENES'!$F21)</f>
        <v/>
      </c>
      <c r="J26" s="12">
        <f>IF('ORDENES'!$L21="",0,'ORDENES'!$L21)</f>
        <v/>
      </c>
      <c r="K26" s="3">
        <f>IF('ORDENES'!$N21="","-",'ORDENES'!$N21)</f>
        <v/>
      </c>
      <c r="L26" s="3">
        <f>'ORDENES'!$AA21</f>
        <v/>
      </c>
    </row>
    <row r="27">
      <c r="A27" s="3">
        <f>IF('ORDENES'!$O22="","-",'ORDENES'!$O22)</f>
        <v/>
      </c>
      <c r="B27" s="3">
        <f>IF('ORDENES'!$R22="","-",'ORDENES'!$R22)</f>
        <v/>
      </c>
      <c r="C27" s="3">
        <f>IF('ORDENES'!$AC22="","-",'ORDENES'!$AC22)</f>
        <v/>
      </c>
      <c r="D27" s="3">
        <f>IF('ORDENES'!$V22="","-",'ORDENES'!$V22)</f>
        <v/>
      </c>
      <c r="E27" s="3">
        <f>IF('ORDENES'!$U22="","-",'ORDENES'!$U22)</f>
        <v/>
      </c>
      <c r="F27" s="3">
        <f>IF('ORDENES'!$AB22="","-",'ORDENES'!$AB22)</f>
        <v/>
      </c>
      <c r="G27" s="3">
        <f>IF('ORDENES'!$C22="","-",'ORDENES'!$C22)</f>
        <v/>
      </c>
      <c r="H27" s="3">
        <f>IF('ORDENES'!$E22="","-",'ORDENES'!$E22)</f>
        <v/>
      </c>
      <c r="I27" s="3">
        <f>IF('ORDENES'!$F22="","-",'ORDENES'!$F22)</f>
        <v/>
      </c>
      <c r="J27" s="12">
        <f>IF('ORDENES'!$L22="",0,'ORDENES'!$L22)</f>
        <v/>
      </c>
      <c r="K27" s="3">
        <f>IF('ORDENES'!$N22="","-",'ORDENES'!$N22)</f>
        <v/>
      </c>
      <c r="L27" s="3">
        <f>'ORDENES'!$AA22</f>
        <v/>
      </c>
    </row>
    <row r="28">
      <c r="A28" s="3">
        <f>IF('ORDENES'!$O23="","-",'ORDENES'!$O23)</f>
        <v/>
      </c>
      <c r="B28" s="3">
        <f>IF('ORDENES'!$R23="","-",'ORDENES'!$R23)</f>
        <v/>
      </c>
      <c r="C28" s="3">
        <f>IF('ORDENES'!$AC23="","-",'ORDENES'!$AC23)</f>
        <v/>
      </c>
      <c r="D28" s="3">
        <f>IF('ORDENES'!$V23="","-",'ORDENES'!$V23)</f>
        <v/>
      </c>
      <c r="E28" s="3">
        <f>IF('ORDENES'!$U23="","-",'ORDENES'!$U23)</f>
        <v/>
      </c>
      <c r="F28" s="3">
        <f>IF('ORDENES'!$AB23="","-",'ORDENES'!$AB23)</f>
        <v/>
      </c>
      <c r="G28" s="3">
        <f>IF('ORDENES'!$C23="","-",'ORDENES'!$C23)</f>
        <v/>
      </c>
      <c r="H28" s="3">
        <f>IF('ORDENES'!$E23="","-",'ORDENES'!$E23)</f>
        <v/>
      </c>
      <c r="I28" s="3">
        <f>IF('ORDENES'!$F23="","-",'ORDENES'!$F23)</f>
        <v/>
      </c>
      <c r="J28" s="12">
        <f>IF('ORDENES'!$L23="",0,'ORDENES'!$L23)</f>
        <v/>
      </c>
      <c r="K28" s="3">
        <f>IF('ORDENES'!$N23="","-",'ORDENES'!$N23)</f>
        <v/>
      </c>
      <c r="L28" s="3">
        <f>'ORDENES'!$AA23</f>
        <v/>
      </c>
    </row>
    <row r="29">
      <c r="A29" s="3">
        <f>IF('ORDENES'!$O24="","-",'ORDENES'!$O24)</f>
        <v/>
      </c>
      <c r="B29" s="3">
        <f>IF('ORDENES'!$R24="","-",'ORDENES'!$R24)</f>
        <v/>
      </c>
      <c r="C29" s="3">
        <f>IF('ORDENES'!$AC24="","-",'ORDENES'!$AC24)</f>
        <v/>
      </c>
      <c r="D29" s="3">
        <f>IF('ORDENES'!$V24="","-",'ORDENES'!$V24)</f>
        <v/>
      </c>
      <c r="E29" s="3">
        <f>IF('ORDENES'!$U24="","-",'ORDENES'!$U24)</f>
        <v/>
      </c>
      <c r="F29" s="3">
        <f>IF('ORDENES'!$AB24="","-",'ORDENES'!$AB24)</f>
        <v/>
      </c>
      <c r="G29" s="3">
        <f>IF('ORDENES'!$C24="","-",'ORDENES'!$C24)</f>
        <v/>
      </c>
      <c r="H29" s="3">
        <f>IF('ORDENES'!$E24="","-",'ORDENES'!$E24)</f>
        <v/>
      </c>
      <c r="I29" s="3">
        <f>IF('ORDENES'!$F24="","-",'ORDENES'!$F24)</f>
        <v/>
      </c>
      <c r="J29" s="12">
        <f>IF('ORDENES'!$L24="",0,'ORDENES'!$L24)</f>
        <v/>
      </c>
      <c r="K29" s="3">
        <f>IF('ORDENES'!$N24="","-",'ORDENES'!$N24)</f>
        <v/>
      </c>
      <c r="L29" s="3">
        <f>'ORDENES'!$AA24</f>
        <v/>
      </c>
    </row>
    <row r="30">
      <c r="A30" s="3">
        <f>IF('ORDENES'!$O25="","-",'ORDENES'!$O25)</f>
        <v/>
      </c>
      <c r="B30" s="3">
        <f>IF('ORDENES'!$R25="","-",'ORDENES'!$R25)</f>
        <v/>
      </c>
      <c r="C30" s="3">
        <f>IF('ORDENES'!$AC25="","-",'ORDENES'!$AC25)</f>
        <v/>
      </c>
      <c r="D30" s="3">
        <f>IF('ORDENES'!$V25="","-",'ORDENES'!$V25)</f>
        <v/>
      </c>
      <c r="E30" s="3">
        <f>IF('ORDENES'!$U25="","-",'ORDENES'!$U25)</f>
        <v/>
      </c>
      <c r="F30" s="3">
        <f>IF('ORDENES'!$AB25="","-",'ORDENES'!$AB25)</f>
        <v/>
      </c>
      <c r="G30" s="3">
        <f>IF('ORDENES'!$C25="","-",'ORDENES'!$C25)</f>
        <v/>
      </c>
      <c r="H30" s="3">
        <f>IF('ORDENES'!$E25="","-",'ORDENES'!$E25)</f>
        <v/>
      </c>
      <c r="I30" s="3">
        <f>IF('ORDENES'!$F25="","-",'ORDENES'!$F25)</f>
        <v/>
      </c>
      <c r="J30" s="12">
        <f>IF('ORDENES'!$L25="",0,'ORDENES'!$L25)</f>
        <v/>
      </c>
      <c r="K30" s="3">
        <f>IF('ORDENES'!$N25="","-",'ORDENES'!$N25)</f>
        <v/>
      </c>
      <c r="L30" s="3">
        <f>'ORDENES'!$AA25</f>
        <v/>
      </c>
    </row>
    <row r="31">
      <c r="A31" s="3">
        <f>IF('ORDENES'!$O26="","-",'ORDENES'!$O26)</f>
        <v/>
      </c>
      <c r="B31" s="3">
        <f>IF('ORDENES'!$R26="","-",'ORDENES'!$R26)</f>
        <v/>
      </c>
      <c r="C31" s="3">
        <f>IF('ORDENES'!$AC26="","-",'ORDENES'!$AC26)</f>
        <v/>
      </c>
      <c r="D31" s="3">
        <f>IF('ORDENES'!$V26="","-",'ORDENES'!$V26)</f>
        <v/>
      </c>
      <c r="E31" s="3">
        <f>IF('ORDENES'!$U26="","-",'ORDENES'!$U26)</f>
        <v/>
      </c>
      <c r="F31" s="3">
        <f>IF('ORDENES'!$AB26="","-",'ORDENES'!$AB26)</f>
        <v/>
      </c>
      <c r="G31" s="3">
        <f>IF('ORDENES'!$C26="","-",'ORDENES'!$C26)</f>
        <v/>
      </c>
      <c r="H31" s="3">
        <f>IF('ORDENES'!$E26="","-",'ORDENES'!$E26)</f>
        <v/>
      </c>
      <c r="I31" s="3">
        <f>IF('ORDENES'!$F26="","-",'ORDENES'!$F26)</f>
        <v/>
      </c>
      <c r="J31" s="12">
        <f>IF('ORDENES'!$L26="",0,'ORDENES'!$L26)</f>
        <v/>
      </c>
      <c r="K31" s="3">
        <f>IF('ORDENES'!$N26="","-",'ORDENES'!$N26)</f>
        <v/>
      </c>
      <c r="L31" s="3">
        <f>'ORDENES'!$AA26</f>
        <v/>
      </c>
    </row>
    <row r="32">
      <c r="A32" s="3">
        <f>IF('ORDENES'!$O27="","-",'ORDENES'!$O27)</f>
        <v/>
      </c>
      <c r="B32" s="3">
        <f>IF('ORDENES'!$R27="","-",'ORDENES'!$R27)</f>
        <v/>
      </c>
      <c r="C32" s="3">
        <f>IF('ORDENES'!$AC27="","-",'ORDENES'!$AC27)</f>
        <v/>
      </c>
      <c r="D32" s="3">
        <f>IF('ORDENES'!$V27="","-",'ORDENES'!$V27)</f>
        <v/>
      </c>
      <c r="E32" s="3">
        <f>IF('ORDENES'!$U27="","-",'ORDENES'!$U27)</f>
        <v/>
      </c>
      <c r="F32" s="3">
        <f>IF('ORDENES'!$AB27="","-",'ORDENES'!$AB27)</f>
        <v/>
      </c>
      <c r="G32" s="3">
        <f>IF('ORDENES'!$C27="","-",'ORDENES'!$C27)</f>
        <v/>
      </c>
      <c r="H32" s="3">
        <f>IF('ORDENES'!$E27="","-",'ORDENES'!$E27)</f>
        <v/>
      </c>
      <c r="I32" s="3">
        <f>IF('ORDENES'!$F27="","-",'ORDENES'!$F27)</f>
        <v/>
      </c>
      <c r="J32" s="12">
        <f>IF('ORDENES'!$L27="",0,'ORDENES'!$L27)</f>
        <v/>
      </c>
      <c r="K32" s="3">
        <f>IF('ORDENES'!$N27="","-",'ORDENES'!$N27)</f>
        <v/>
      </c>
      <c r="L32" s="3">
        <f>'ORDENES'!$AA27</f>
        <v/>
      </c>
    </row>
    <row r="33">
      <c r="A33" s="3">
        <f>IF('ORDENES'!$O28="","-",'ORDENES'!$O28)</f>
        <v/>
      </c>
      <c r="B33" s="3">
        <f>IF('ORDENES'!$R28="","-",'ORDENES'!$R28)</f>
        <v/>
      </c>
      <c r="C33" s="3">
        <f>IF('ORDENES'!$AC28="","-",'ORDENES'!$AC28)</f>
        <v/>
      </c>
      <c r="D33" s="3">
        <f>IF('ORDENES'!$V28="","-",'ORDENES'!$V28)</f>
        <v/>
      </c>
      <c r="E33" s="3">
        <f>IF('ORDENES'!$U28="","-",'ORDENES'!$U28)</f>
        <v/>
      </c>
      <c r="F33" s="3">
        <f>IF('ORDENES'!$AB28="","-",'ORDENES'!$AB28)</f>
        <v/>
      </c>
      <c r="G33" s="3">
        <f>IF('ORDENES'!$C28="","-",'ORDENES'!$C28)</f>
        <v/>
      </c>
      <c r="H33" s="3">
        <f>IF('ORDENES'!$E28="","-",'ORDENES'!$E28)</f>
        <v/>
      </c>
      <c r="I33" s="3">
        <f>IF('ORDENES'!$F28="","-",'ORDENES'!$F28)</f>
        <v/>
      </c>
      <c r="J33" s="12">
        <f>IF('ORDENES'!$L28="",0,'ORDENES'!$L28)</f>
        <v/>
      </c>
      <c r="K33" s="3">
        <f>IF('ORDENES'!$N28="","-",'ORDENES'!$N28)</f>
        <v/>
      </c>
      <c r="L33" s="3">
        <f>'ORDENES'!$AA28</f>
        <v/>
      </c>
    </row>
    <row r="34">
      <c r="A34" s="3">
        <f>IF('ORDENES'!$O29="","-",'ORDENES'!$O29)</f>
        <v/>
      </c>
      <c r="B34" s="3">
        <f>IF('ORDENES'!$R29="","-",'ORDENES'!$R29)</f>
        <v/>
      </c>
      <c r="C34" s="3">
        <f>IF('ORDENES'!$AC29="","-",'ORDENES'!$AC29)</f>
        <v/>
      </c>
      <c r="D34" s="3">
        <f>IF('ORDENES'!$V29="","-",'ORDENES'!$V29)</f>
        <v/>
      </c>
      <c r="E34" s="3">
        <f>IF('ORDENES'!$U29="","-",'ORDENES'!$U29)</f>
        <v/>
      </c>
      <c r="F34" s="3">
        <f>IF('ORDENES'!$AB29="","-",'ORDENES'!$AB29)</f>
        <v/>
      </c>
      <c r="G34" s="3">
        <f>IF('ORDENES'!$C29="","-",'ORDENES'!$C29)</f>
        <v/>
      </c>
      <c r="H34" s="3">
        <f>IF('ORDENES'!$E29="","-",'ORDENES'!$E29)</f>
        <v/>
      </c>
      <c r="I34" s="3">
        <f>IF('ORDENES'!$F29="","-",'ORDENES'!$F29)</f>
        <v/>
      </c>
      <c r="J34" s="12">
        <f>IF('ORDENES'!$L29="",0,'ORDENES'!$L29)</f>
        <v/>
      </c>
      <c r="K34" s="3">
        <f>IF('ORDENES'!$N29="","-",'ORDENES'!$N29)</f>
        <v/>
      </c>
      <c r="L34" s="3">
        <f>'ORDENES'!$AA29</f>
        <v/>
      </c>
    </row>
    <row r="35">
      <c r="A35" s="3">
        <f>IF('ORDENES'!$O30="","-",'ORDENES'!$O30)</f>
        <v/>
      </c>
      <c r="B35" s="3">
        <f>IF('ORDENES'!$R30="","-",'ORDENES'!$R30)</f>
        <v/>
      </c>
      <c r="C35" s="3">
        <f>IF('ORDENES'!$AC30="","-",'ORDENES'!$AC30)</f>
        <v/>
      </c>
      <c r="D35" s="3">
        <f>IF('ORDENES'!$V30="","-",'ORDENES'!$V30)</f>
        <v/>
      </c>
      <c r="E35" s="3">
        <f>IF('ORDENES'!$U30="","-",'ORDENES'!$U30)</f>
        <v/>
      </c>
      <c r="F35" s="3">
        <f>IF('ORDENES'!$AB30="","-",'ORDENES'!$AB30)</f>
        <v/>
      </c>
      <c r="G35" s="3">
        <f>IF('ORDENES'!$C30="","-",'ORDENES'!$C30)</f>
        <v/>
      </c>
      <c r="H35" s="3">
        <f>IF('ORDENES'!$E30="","-",'ORDENES'!$E30)</f>
        <v/>
      </c>
      <c r="I35" s="3">
        <f>IF('ORDENES'!$F30="","-",'ORDENES'!$F30)</f>
        <v/>
      </c>
      <c r="J35" s="12">
        <f>IF('ORDENES'!$L30="",0,'ORDENES'!$L30)</f>
        <v/>
      </c>
      <c r="K35" s="3">
        <f>IF('ORDENES'!$N30="","-",'ORDENES'!$N30)</f>
        <v/>
      </c>
      <c r="L35" s="3">
        <f>'ORDENES'!$AA30</f>
        <v/>
      </c>
    </row>
    <row r="36">
      <c r="A36" s="3">
        <f>IF('ORDENES'!$O31="","-",'ORDENES'!$O31)</f>
        <v/>
      </c>
      <c r="B36" s="3">
        <f>IF('ORDENES'!$R31="","-",'ORDENES'!$R31)</f>
        <v/>
      </c>
      <c r="C36" s="3">
        <f>IF('ORDENES'!$AC31="","-",'ORDENES'!$AC31)</f>
        <v/>
      </c>
      <c r="D36" s="3">
        <f>IF('ORDENES'!$V31="","-",'ORDENES'!$V31)</f>
        <v/>
      </c>
      <c r="E36" s="3">
        <f>IF('ORDENES'!$U31="","-",'ORDENES'!$U31)</f>
        <v/>
      </c>
      <c r="F36" s="3">
        <f>IF('ORDENES'!$AB31="","-",'ORDENES'!$AB31)</f>
        <v/>
      </c>
      <c r="G36" s="3">
        <f>IF('ORDENES'!$C31="","-",'ORDENES'!$C31)</f>
        <v/>
      </c>
      <c r="H36" s="3">
        <f>IF('ORDENES'!$E31="","-",'ORDENES'!$E31)</f>
        <v/>
      </c>
      <c r="I36" s="3">
        <f>IF('ORDENES'!$F31="","-",'ORDENES'!$F31)</f>
        <v/>
      </c>
      <c r="J36" s="12">
        <f>IF('ORDENES'!$L31="",0,'ORDENES'!$L31)</f>
        <v/>
      </c>
      <c r="K36" s="3">
        <f>IF('ORDENES'!$N31="","-",'ORDENES'!$N31)</f>
        <v/>
      </c>
      <c r="L36" s="3">
        <f>'ORDENES'!$AA31</f>
        <v/>
      </c>
    </row>
    <row r="37">
      <c r="A37" s="3">
        <f>IF('ORDENES'!$O32="","-",'ORDENES'!$O32)</f>
        <v/>
      </c>
      <c r="B37" s="3">
        <f>IF('ORDENES'!$R32="","-",'ORDENES'!$R32)</f>
        <v/>
      </c>
      <c r="C37" s="3">
        <f>IF('ORDENES'!$AC32="","-",'ORDENES'!$AC32)</f>
        <v/>
      </c>
      <c r="D37" s="3">
        <f>IF('ORDENES'!$V32="","-",'ORDENES'!$V32)</f>
        <v/>
      </c>
      <c r="E37" s="3">
        <f>IF('ORDENES'!$U32="","-",'ORDENES'!$U32)</f>
        <v/>
      </c>
      <c r="F37" s="3">
        <f>IF('ORDENES'!$AB32="","-",'ORDENES'!$AB32)</f>
        <v/>
      </c>
      <c r="G37" s="3">
        <f>IF('ORDENES'!$C32="","-",'ORDENES'!$C32)</f>
        <v/>
      </c>
      <c r="H37" s="3">
        <f>IF('ORDENES'!$E32="","-",'ORDENES'!$E32)</f>
        <v/>
      </c>
      <c r="I37" s="3">
        <f>IF('ORDENES'!$F32="","-",'ORDENES'!$F32)</f>
        <v/>
      </c>
      <c r="J37" s="12">
        <f>IF('ORDENES'!$L32="",0,'ORDENES'!$L32)</f>
        <v/>
      </c>
      <c r="K37" s="3">
        <f>IF('ORDENES'!$N32="","-",'ORDENES'!$N32)</f>
        <v/>
      </c>
      <c r="L37" s="3">
        <f>'ORDENES'!$AA32</f>
        <v/>
      </c>
    </row>
    <row r="38">
      <c r="A38" s="3">
        <f>IF('ORDENES'!$O33="","-",'ORDENES'!$O33)</f>
        <v/>
      </c>
      <c r="B38" s="3">
        <f>IF('ORDENES'!$R33="","-",'ORDENES'!$R33)</f>
        <v/>
      </c>
      <c r="C38" s="3">
        <f>IF('ORDENES'!$AC33="","-",'ORDENES'!$AC33)</f>
        <v/>
      </c>
      <c r="D38" s="3">
        <f>IF('ORDENES'!$V33="","-",'ORDENES'!$V33)</f>
        <v/>
      </c>
      <c r="E38" s="3">
        <f>IF('ORDENES'!$U33="","-",'ORDENES'!$U33)</f>
        <v/>
      </c>
      <c r="F38" s="3">
        <f>IF('ORDENES'!$AB33="","-",'ORDENES'!$AB33)</f>
        <v/>
      </c>
      <c r="G38" s="3">
        <f>IF('ORDENES'!$C33="","-",'ORDENES'!$C33)</f>
        <v/>
      </c>
      <c r="H38" s="3">
        <f>IF('ORDENES'!$E33="","-",'ORDENES'!$E33)</f>
        <v/>
      </c>
      <c r="I38" s="3">
        <f>IF('ORDENES'!$F33="","-",'ORDENES'!$F33)</f>
        <v/>
      </c>
      <c r="J38" s="12">
        <f>IF('ORDENES'!$L33="",0,'ORDENES'!$L33)</f>
        <v/>
      </c>
      <c r="K38" s="3">
        <f>IF('ORDENES'!$N33="","-",'ORDENES'!$N33)</f>
        <v/>
      </c>
      <c r="L38" s="3">
        <f>'ORDENES'!$AA33</f>
        <v/>
      </c>
    </row>
    <row r="39">
      <c r="A39" s="3">
        <f>IF('ORDENES'!$O34="","-",'ORDENES'!$O34)</f>
        <v/>
      </c>
      <c r="B39" s="3">
        <f>IF('ORDENES'!$R34="","-",'ORDENES'!$R34)</f>
        <v/>
      </c>
      <c r="C39" s="3">
        <f>IF('ORDENES'!$AC34="","-",'ORDENES'!$AC34)</f>
        <v/>
      </c>
      <c r="D39" s="3">
        <f>IF('ORDENES'!$V34="","-",'ORDENES'!$V34)</f>
        <v/>
      </c>
      <c r="E39" s="3">
        <f>IF('ORDENES'!$U34="","-",'ORDENES'!$U34)</f>
        <v/>
      </c>
      <c r="F39" s="3">
        <f>IF('ORDENES'!$AB34="","-",'ORDENES'!$AB34)</f>
        <v/>
      </c>
      <c r="G39" s="3">
        <f>IF('ORDENES'!$C34="","-",'ORDENES'!$C34)</f>
        <v/>
      </c>
      <c r="H39" s="3">
        <f>IF('ORDENES'!$E34="","-",'ORDENES'!$E34)</f>
        <v/>
      </c>
      <c r="I39" s="3">
        <f>IF('ORDENES'!$F34="","-",'ORDENES'!$F34)</f>
        <v/>
      </c>
      <c r="J39" s="12">
        <f>IF('ORDENES'!$L34="",0,'ORDENES'!$L34)</f>
        <v/>
      </c>
      <c r="K39" s="3">
        <f>IF('ORDENES'!$N34="","-",'ORDENES'!$N34)</f>
        <v/>
      </c>
      <c r="L39" s="3">
        <f>'ORDENES'!$AA34</f>
        <v/>
      </c>
    </row>
    <row r="40">
      <c r="A40" s="3">
        <f>IF('ORDENES'!$O35="","-",'ORDENES'!$O35)</f>
        <v/>
      </c>
      <c r="B40" s="3">
        <f>IF('ORDENES'!$R35="","-",'ORDENES'!$R35)</f>
        <v/>
      </c>
      <c r="C40" s="3">
        <f>IF('ORDENES'!$AC35="","-",'ORDENES'!$AC35)</f>
        <v/>
      </c>
      <c r="D40" s="3">
        <f>IF('ORDENES'!$V35="","-",'ORDENES'!$V35)</f>
        <v/>
      </c>
      <c r="E40" s="3">
        <f>IF('ORDENES'!$U35="","-",'ORDENES'!$U35)</f>
        <v/>
      </c>
      <c r="F40" s="3">
        <f>IF('ORDENES'!$AB35="","-",'ORDENES'!$AB35)</f>
        <v/>
      </c>
      <c r="G40" s="3">
        <f>IF('ORDENES'!$C35="","-",'ORDENES'!$C35)</f>
        <v/>
      </c>
      <c r="H40" s="3">
        <f>IF('ORDENES'!$E35="","-",'ORDENES'!$E35)</f>
        <v/>
      </c>
      <c r="I40" s="3">
        <f>IF('ORDENES'!$F35="","-",'ORDENES'!$F35)</f>
        <v/>
      </c>
      <c r="J40" s="12">
        <f>IF('ORDENES'!$L35="",0,'ORDENES'!$L35)</f>
        <v/>
      </c>
      <c r="K40" s="3">
        <f>IF('ORDENES'!$N35="","-",'ORDENES'!$N35)</f>
        <v/>
      </c>
      <c r="L40" s="3">
        <f>'ORDENES'!$AA35</f>
        <v/>
      </c>
    </row>
    <row r="41">
      <c r="A41" s="3">
        <f>IF('ORDENES'!$O36="","-",'ORDENES'!$O36)</f>
        <v/>
      </c>
      <c r="B41" s="3">
        <f>IF('ORDENES'!$R36="","-",'ORDENES'!$R36)</f>
        <v/>
      </c>
      <c r="C41" s="3">
        <f>IF('ORDENES'!$AC36="","-",'ORDENES'!$AC36)</f>
        <v/>
      </c>
      <c r="D41" s="3">
        <f>IF('ORDENES'!$V36="","-",'ORDENES'!$V36)</f>
        <v/>
      </c>
      <c r="E41" s="3">
        <f>IF('ORDENES'!$U36="","-",'ORDENES'!$U36)</f>
        <v/>
      </c>
      <c r="F41" s="3">
        <f>IF('ORDENES'!$AB36="","-",'ORDENES'!$AB36)</f>
        <v/>
      </c>
      <c r="G41" s="3">
        <f>IF('ORDENES'!$C36="","-",'ORDENES'!$C36)</f>
        <v/>
      </c>
      <c r="H41" s="3">
        <f>IF('ORDENES'!$E36="","-",'ORDENES'!$E36)</f>
        <v/>
      </c>
      <c r="I41" s="3">
        <f>IF('ORDENES'!$F36="","-",'ORDENES'!$F36)</f>
        <v/>
      </c>
      <c r="J41" s="12">
        <f>IF('ORDENES'!$L36="",0,'ORDENES'!$L36)</f>
        <v/>
      </c>
      <c r="K41" s="3">
        <f>IF('ORDENES'!$N36="","-",'ORDENES'!$N36)</f>
        <v/>
      </c>
      <c r="L41" s="3">
        <f>'ORDENES'!$AA36</f>
        <v/>
      </c>
    </row>
    <row r="42">
      <c r="A42" s="3">
        <f>IF('ORDENES'!$O37="","-",'ORDENES'!$O37)</f>
        <v/>
      </c>
      <c r="B42" s="3">
        <f>IF('ORDENES'!$R37="","-",'ORDENES'!$R37)</f>
        <v/>
      </c>
      <c r="C42" s="3">
        <f>IF('ORDENES'!$AC37="","-",'ORDENES'!$AC37)</f>
        <v/>
      </c>
      <c r="D42" s="3">
        <f>IF('ORDENES'!$V37="","-",'ORDENES'!$V37)</f>
        <v/>
      </c>
      <c r="E42" s="3">
        <f>IF('ORDENES'!$U37="","-",'ORDENES'!$U37)</f>
        <v/>
      </c>
      <c r="F42" s="3">
        <f>IF('ORDENES'!$AB37="","-",'ORDENES'!$AB37)</f>
        <v/>
      </c>
      <c r="G42" s="3">
        <f>IF('ORDENES'!$C37="","-",'ORDENES'!$C37)</f>
        <v/>
      </c>
      <c r="H42" s="3">
        <f>IF('ORDENES'!$E37="","-",'ORDENES'!$E37)</f>
        <v/>
      </c>
      <c r="I42" s="3">
        <f>IF('ORDENES'!$F37="","-",'ORDENES'!$F37)</f>
        <v/>
      </c>
      <c r="J42" s="12">
        <f>IF('ORDENES'!$L37="",0,'ORDENES'!$L37)</f>
        <v/>
      </c>
      <c r="K42" s="3">
        <f>IF('ORDENES'!$N37="","-",'ORDENES'!$N37)</f>
        <v/>
      </c>
      <c r="L42" s="3">
        <f>'ORDENES'!$AA37</f>
        <v/>
      </c>
    </row>
    <row r="43">
      <c r="A43" s="3">
        <f>IF('ORDENES'!$O38="","-",'ORDENES'!$O38)</f>
        <v/>
      </c>
      <c r="B43" s="3">
        <f>IF('ORDENES'!$R38="","-",'ORDENES'!$R38)</f>
        <v/>
      </c>
      <c r="C43" s="3">
        <f>IF('ORDENES'!$AC38="","-",'ORDENES'!$AC38)</f>
        <v/>
      </c>
      <c r="D43" s="3">
        <f>IF('ORDENES'!$V38="","-",'ORDENES'!$V38)</f>
        <v/>
      </c>
      <c r="E43" s="3">
        <f>IF('ORDENES'!$U38="","-",'ORDENES'!$U38)</f>
        <v/>
      </c>
      <c r="F43" s="3">
        <f>IF('ORDENES'!$AB38="","-",'ORDENES'!$AB38)</f>
        <v/>
      </c>
      <c r="G43" s="3">
        <f>IF('ORDENES'!$C38="","-",'ORDENES'!$C38)</f>
        <v/>
      </c>
      <c r="H43" s="3">
        <f>IF('ORDENES'!$E38="","-",'ORDENES'!$E38)</f>
        <v/>
      </c>
      <c r="I43" s="3">
        <f>IF('ORDENES'!$F38="","-",'ORDENES'!$F38)</f>
        <v/>
      </c>
      <c r="J43" s="12">
        <f>IF('ORDENES'!$L38="",0,'ORDENES'!$L38)</f>
        <v/>
      </c>
      <c r="K43" s="3">
        <f>IF('ORDENES'!$N38="","-",'ORDENES'!$N38)</f>
        <v/>
      </c>
      <c r="L43" s="3">
        <f>'ORDENES'!$AA38</f>
        <v/>
      </c>
    </row>
    <row r="44">
      <c r="A44" s="3">
        <f>IF('ORDENES'!$O39="","-",'ORDENES'!$O39)</f>
        <v/>
      </c>
      <c r="B44" s="3">
        <f>IF('ORDENES'!$R39="","-",'ORDENES'!$R39)</f>
        <v/>
      </c>
      <c r="C44" s="3">
        <f>IF('ORDENES'!$AC39="","-",'ORDENES'!$AC39)</f>
        <v/>
      </c>
      <c r="D44" s="3">
        <f>IF('ORDENES'!$V39="","-",'ORDENES'!$V39)</f>
        <v/>
      </c>
      <c r="E44" s="3">
        <f>IF('ORDENES'!$U39="","-",'ORDENES'!$U39)</f>
        <v/>
      </c>
      <c r="F44" s="3">
        <f>IF('ORDENES'!$AB39="","-",'ORDENES'!$AB39)</f>
        <v/>
      </c>
      <c r="G44" s="3">
        <f>IF('ORDENES'!$C39="","-",'ORDENES'!$C39)</f>
        <v/>
      </c>
      <c r="H44" s="3">
        <f>IF('ORDENES'!$E39="","-",'ORDENES'!$E39)</f>
        <v/>
      </c>
      <c r="I44" s="3">
        <f>IF('ORDENES'!$F39="","-",'ORDENES'!$F39)</f>
        <v/>
      </c>
      <c r="J44" s="12">
        <f>IF('ORDENES'!$L39="",0,'ORDENES'!$L39)</f>
        <v/>
      </c>
      <c r="K44" s="3">
        <f>IF('ORDENES'!$N39="","-",'ORDENES'!$N39)</f>
        <v/>
      </c>
      <c r="L44" s="3">
        <f>'ORDENES'!$AA39</f>
        <v/>
      </c>
    </row>
    <row r="45">
      <c r="A45" s="3">
        <f>IF('ORDENES'!$O40="","-",'ORDENES'!$O40)</f>
        <v/>
      </c>
      <c r="B45" s="3">
        <f>IF('ORDENES'!$R40="","-",'ORDENES'!$R40)</f>
        <v/>
      </c>
      <c r="C45" s="3">
        <f>IF('ORDENES'!$AC40="","-",'ORDENES'!$AC40)</f>
        <v/>
      </c>
      <c r="D45" s="3">
        <f>IF('ORDENES'!$V40="","-",'ORDENES'!$V40)</f>
        <v/>
      </c>
      <c r="E45" s="3">
        <f>IF('ORDENES'!$U40="","-",'ORDENES'!$U40)</f>
        <v/>
      </c>
      <c r="F45" s="3">
        <f>IF('ORDENES'!$AB40="","-",'ORDENES'!$AB40)</f>
        <v/>
      </c>
      <c r="G45" s="3">
        <f>IF('ORDENES'!$C40="","-",'ORDENES'!$C40)</f>
        <v/>
      </c>
      <c r="H45" s="3">
        <f>IF('ORDENES'!$E40="","-",'ORDENES'!$E40)</f>
        <v/>
      </c>
      <c r="I45" s="3">
        <f>IF('ORDENES'!$F40="","-",'ORDENES'!$F40)</f>
        <v/>
      </c>
      <c r="J45" s="12">
        <f>IF('ORDENES'!$L40="",0,'ORDENES'!$L40)</f>
        <v/>
      </c>
      <c r="K45" s="3">
        <f>IF('ORDENES'!$N40="","-",'ORDENES'!$N40)</f>
        <v/>
      </c>
      <c r="L45" s="3">
        <f>'ORDENES'!$AA40</f>
        <v/>
      </c>
    </row>
    <row r="46">
      <c r="A46" s="3">
        <f>IF('ORDENES'!$O41="","-",'ORDENES'!$O41)</f>
        <v/>
      </c>
      <c r="B46" s="3">
        <f>IF('ORDENES'!$R41="","-",'ORDENES'!$R41)</f>
        <v/>
      </c>
      <c r="C46" s="3">
        <f>IF('ORDENES'!$AC41="","-",'ORDENES'!$AC41)</f>
        <v/>
      </c>
      <c r="D46" s="3">
        <f>IF('ORDENES'!$V41="","-",'ORDENES'!$V41)</f>
        <v/>
      </c>
      <c r="E46" s="3">
        <f>IF('ORDENES'!$U41="","-",'ORDENES'!$U41)</f>
        <v/>
      </c>
      <c r="F46" s="3">
        <f>IF('ORDENES'!$AB41="","-",'ORDENES'!$AB41)</f>
        <v/>
      </c>
      <c r="G46" s="3">
        <f>IF('ORDENES'!$C41="","-",'ORDENES'!$C41)</f>
        <v/>
      </c>
      <c r="H46" s="3">
        <f>IF('ORDENES'!$E41="","-",'ORDENES'!$E41)</f>
        <v/>
      </c>
      <c r="I46" s="3">
        <f>IF('ORDENES'!$F41="","-",'ORDENES'!$F41)</f>
        <v/>
      </c>
      <c r="J46" s="12">
        <f>IF('ORDENES'!$L41="",0,'ORDENES'!$L41)</f>
        <v/>
      </c>
      <c r="K46" s="3">
        <f>IF('ORDENES'!$N41="","-",'ORDENES'!$N41)</f>
        <v/>
      </c>
      <c r="L46" s="3">
        <f>'ORDENES'!$AA41</f>
        <v/>
      </c>
    </row>
    <row r="47">
      <c r="A47" s="3">
        <f>IF('ORDENES'!$O42="","-",'ORDENES'!$O42)</f>
        <v/>
      </c>
      <c r="B47" s="3">
        <f>IF('ORDENES'!$R42="","-",'ORDENES'!$R42)</f>
        <v/>
      </c>
      <c r="C47" s="3">
        <f>IF('ORDENES'!$AC42="","-",'ORDENES'!$AC42)</f>
        <v/>
      </c>
      <c r="D47" s="3">
        <f>IF('ORDENES'!$V42="","-",'ORDENES'!$V42)</f>
        <v/>
      </c>
      <c r="E47" s="3">
        <f>IF('ORDENES'!$U42="","-",'ORDENES'!$U42)</f>
        <v/>
      </c>
      <c r="F47" s="3">
        <f>IF('ORDENES'!$AB42="","-",'ORDENES'!$AB42)</f>
        <v/>
      </c>
      <c r="G47" s="3">
        <f>IF('ORDENES'!$C42="","-",'ORDENES'!$C42)</f>
        <v/>
      </c>
      <c r="H47" s="3">
        <f>IF('ORDENES'!$E42="","-",'ORDENES'!$E42)</f>
        <v/>
      </c>
      <c r="I47" s="3">
        <f>IF('ORDENES'!$F42="","-",'ORDENES'!$F42)</f>
        <v/>
      </c>
      <c r="J47" s="12">
        <f>IF('ORDENES'!$L42="",0,'ORDENES'!$L42)</f>
        <v/>
      </c>
      <c r="K47" s="3">
        <f>IF('ORDENES'!$N42="","-",'ORDENES'!$N42)</f>
        <v/>
      </c>
      <c r="L47" s="3">
        <f>'ORDENES'!$AA42</f>
        <v/>
      </c>
    </row>
    <row r="48">
      <c r="A48" s="3">
        <f>IF('ORDENES'!$O43="","-",'ORDENES'!$O43)</f>
        <v/>
      </c>
      <c r="B48" s="3">
        <f>IF('ORDENES'!$R43="","-",'ORDENES'!$R43)</f>
        <v/>
      </c>
      <c r="C48" s="3">
        <f>IF('ORDENES'!$AC43="","-",'ORDENES'!$AC43)</f>
        <v/>
      </c>
      <c r="D48" s="3">
        <f>IF('ORDENES'!$V43="","-",'ORDENES'!$V43)</f>
        <v/>
      </c>
      <c r="E48" s="3">
        <f>IF('ORDENES'!$U43="","-",'ORDENES'!$U43)</f>
        <v/>
      </c>
      <c r="F48" s="3">
        <f>IF('ORDENES'!$AB43="","-",'ORDENES'!$AB43)</f>
        <v/>
      </c>
      <c r="G48" s="3">
        <f>IF('ORDENES'!$C43="","-",'ORDENES'!$C43)</f>
        <v/>
      </c>
      <c r="H48" s="3">
        <f>IF('ORDENES'!$E43="","-",'ORDENES'!$E43)</f>
        <v/>
      </c>
      <c r="I48" s="3">
        <f>IF('ORDENES'!$F43="","-",'ORDENES'!$F43)</f>
        <v/>
      </c>
      <c r="J48" s="12">
        <f>IF('ORDENES'!$L43="",0,'ORDENES'!$L43)</f>
        <v/>
      </c>
      <c r="K48" s="3">
        <f>IF('ORDENES'!$N43="","-",'ORDENES'!$N43)</f>
        <v/>
      </c>
      <c r="L48" s="3">
        <f>'ORDENES'!$AA43</f>
        <v/>
      </c>
    </row>
    <row r="49">
      <c r="A49" s="3">
        <f>IF('ORDENES'!$O44="","-",'ORDENES'!$O44)</f>
        <v/>
      </c>
      <c r="B49" s="3">
        <f>IF('ORDENES'!$R44="","-",'ORDENES'!$R44)</f>
        <v/>
      </c>
      <c r="C49" s="3">
        <f>IF('ORDENES'!$AC44="","-",'ORDENES'!$AC44)</f>
        <v/>
      </c>
      <c r="D49" s="3">
        <f>IF('ORDENES'!$V44="","-",'ORDENES'!$V44)</f>
        <v/>
      </c>
      <c r="E49" s="3">
        <f>IF('ORDENES'!$U44="","-",'ORDENES'!$U44)</f>
        <v/>
      </c>
      <c r="F49" s="3">
        <f>IF('ORDENES'!$AB44="","-",'ORDENES'!$AB44)</f>
        <v/>
      </c>
      <c r="G49" s="3">
        <f>IF('ORDENES'!$C44="","-",'ORDENES'!$C44)</f>
        <v/>
      </c>
      <c r="H49" s="3">
        <f>IF('ORDENES'!$E44="","-",'ORDENES'!$E44)</f>
        <v/>
      </c>
      <c r="I49" s="3">
        <f>IF('ORDENES'!$F44="","-",'ORDENES'!$F44)</f>
        <v/>
      </c>
      <c r="J49" s="12">
        <f>IF('ORDENES'!$L44="",0,'ORDENES'!$L44)</f>
        <v/>
      </c>
      <c r="K49" s="3">
        <f>IF('ORDENES'!$N44="","-",'ORDENES'!$N44)</f>
        <v/>
      </c>
      <c r="L49" s="3">
        <f>'ORDENES'!$AA44</f>
        <v/>
      </c>
    </row>
    <row r="50">
      <c r="A50" s="3">
        <f>IF('ORDENES'!$O45="","-",'ORDENES'!$O45)</f>
        <v/>
      </c>
      <c r="B50" s="3">
        <f>IF('ORDENES'!$R45="","-",'ORDENES'!$R45)</f>
        <v/>
      </c>
      <c r="C50" s="3">
        <f>IF('ORDENES'!$AC45="","-",'ORDENES'!$AC45)</f>
        <v/>
      </c>
      <c r="D50" s="3">
        <f>IF('ORDENES'!$V45="","-",'ORDENES'!$V45)</f>
        <v/>
      </c>
      <c r="E50" s="3">
        <f>IF('ORDENES'!$U45="","-",'ORDENES'!$U45)</f>
        <v/>
      </c>
      <c r="F50" s="3">
        <f>IF('ORDENES'!$AB45="","-",'ORDENES'!$AB45)</f>
        <v/>
      </c>
      <c r="G50" s="3">
        <f>IF('ORDENES'!$C45="","-",'ORDENES'!$C45)</f>
        <v/>
      </c>
      <c r="H50" s="3">
        <f>IF('ORDENES'!$E45="","-",'ORDENES'!$E45)</f>
        <v/>
      </c>
      <c r="I50" s="3">
        <f>IF('ORDENES'!$F45="","-",'ORDENES'!$F45)</f>
        <v/>
      </c>
      <c r="J50" s="12">
        <f>IF('ORDENES'!$L45="",0,'ORDENES'!$L45)</f>
        <v/>
      </c>
      <c r="K50" s="3">
        <f>IF('ORDENES'!$N45="","-",'ORDENES'!$N45)</f>
        <v/>
      </c>
      <c r="L50" s="3">
        <f>'ORDENES'!$AA45</f>
        <v/>
      </c>
    </row>
    <row r="51">
      <c r="A51" s="3">
        <f>IF('ORDENES'!$O46="","-",'ORDENES'!$O46)</f>
        <v/>
      </c>
      <c r="B51" s="3">
        <f>IF('ORDENES'!$R46="","-",'ORDENES'!$R46)</f>
        <v/>
      </c>
      <c r="C51" s="3">
        <f>IF('ORDENES'!$AC46="","-",'ORDENES'!$AC46)</f>
        <v/>
      </c>
      <c r="D51" s="3">
        <f>IF('ORDENES'!$V46="","-",'ORDENES'!$V46)</f>
        <v/>
      </c>
      <c r="E51" s="3">
        <f>IF('ORDENES'!$U46="","-",'ORDENES'!$U46)</f>
        <v/>
      </c>
      <c r="F51" s="3">
        <f>IF('ORDENES'!$AB46="","-",'ORDENES'!$AB46)</f>
        <v/>
      </c>
      <c r="G51" s="3">
        <f>IF('ORDENES'!$C46="","-",'ORDENES'!$C46)</f>
        <v/>
      </c>
      <c r="H51" s="3">
        <f>IF('ORDENES'!$E46="","-",'ORDENES'!$E46)</f>
        <v/>
      </c>
      <c r="I51" s="3">
        <f>IF('ORDENES'!$F46="","-",'ORDENES'!$F46)</f>
        <v/>
      </c>
      <c r="J51" s="12">
        <f>IF('ORDENES'!$L46="",0,'ORDENES'!$L46)</f>
        <v/>
      </c>
      <c r="K51" s="3">
        <f>IF('ORDENES'!$N46="","-",'ORDENES'!$N46)</f>
        <v/>
      </c>
      <c r="L51" s="3">
        <f>'ORDENES'!$AA46</f>
        <v/>
      </c>
    </row>
    <row r="52">
      <c r="A52" s="3">
        <f>IF('ORDENES'!$O47="","-",'ORDENES'!$O47)</f>
        <v/>
      </c>
      <c r="B52" s="3">
        <f>IF('ORDENES'!$R47="","-",'ORDENES'!$R47)</f>
        <v/>
      </c>
      <c r="C52" s="3">
        <f>IF('ORDENES'!$AC47="","-",'ORDENES'!$AC47)</f>
        <v/>
      </c>
      <c r="D52" s="3">
        <f>IF('ORDENES'!$V47="","-",'ORDENES'!$V47)</f>
        <v/>
      </c>
      <c r="E52" s="3">
        <f>IF('ORDENES'!$U47="","-",'ORDENES'!$U47)</f>
        <v/>
      </c>
      <c r="F52" s="3">
        <f>IF('ORDENES'!$AB47="","-",'ORDENES'!$AB47)</f>
        <v/>
      </c>
      <c r="G52" s="3">
        <f>IF('ORDENES'!$C47="","-",'ORDENES'!$C47)</f>
        <v/>
      </c>
      <c r="H52" s="3">
        <f>IF('ORDENES'!$E47="","-",'ORDENES'!$E47)</f>
        <v/>
      </c>
      <c r="I52" s="3">
        <f>IF('ORDENES'!$F47="","-",'ORDENES'!$F47)</f>
        <v/>
      </c>
      <c r="J52" s="12">
        <f>IF('ORDENES'!$L47="",0,'ORDENES'!$L47)</f>
        <v/>
      </c>
      <c r="K52" s="3">
        <f>IF('ORDENES'!$N47="","-",'ORDENES'!$N47)</f>
        <v/>
      </c>
      <c r="L52" s="3">
        <f>'ORDENES'!$AA47</f>
        <v/>
      </c>
    </row>
    <row r="53">
      <c r="A53" s="3">
        <f>IF('ORDENES'!$O48="","-",'ORDENES'!$O48)</f>
        <v/>
      </c>
      <c r="B53" s="3">
        <f>IF('ORDENES'!$R48="","-",'ORDENES'!$R48)</f>
        <v/>
      </c>
      <c r="C53" s="3">
        <f>IF('ORDENES'!$AC48="","-",'ORDENES'!$AC48)</f>
        <v/>
      </c>
      <c r="D53" s="3">
        <f>IF('ORDENES'!$V48="","-",'ORDENES'!$V48)</f>
        <v/>
      </c>
      <c r="E53" s="3">
        <f>IF('ORDENES'!$U48="","-",'ORDENES'!$U48)</f>
        <v/>
      </c>
      <c r="F53" s="3">
        <f>IF('ORDENES'!$AB48="","-",'ORDENES'!$AB48)</f>
        <v/>
      </c>
      <c r="G53" s="3">
        <f>IF('ORDENES'!$C48="","-",'ORDENES'!$C48)</f>
        <v/>
      </c>
      <c r="H53" s="3">
        <f>IF('ORDENES'!$E48="","-",'ORDENES'!$E48)</f>
        <v/>
      </c>
      <c r="I53" s="3">
        <f>IF('ORDENES'!$F48="","-",'ORDENES'!$F48)</f>
        <v/>
      </c>
      <c r="J53" s="12">
        <f>IF('ORDENES'!$L48="",0,'ORDENES'!$L48)</f>
        <v/>
      </c>
      <c r="K53" s="3">
        <f>IF('ORDENES'!$N48="","-",'ORDENES'!$N48)</f>
        <v/>
      </c>
      <c r="L53" s="3">
        <f>'ORDENES'!$AA48</f>
        <v/>
      </c>
    </row>
    <row r="54">
      <c r="A54" s="3">
        <f>IF('ORDENES'!$O49="","-",'ORDENES'!$O49)</f>
        <v/>
      </c>
      <c r="B54" s="3">
        <f>IF('ORDENES'!$R49="","-",'ORDENES'!$R49)</f>
        <v/>
      </c>
      <c r="C54" s="3">
        <f>IF('ORDENES'!$AC49="","-",'ORDENES'!$AC49)</f>
        <v/>
      </c>
      <c r="D54" s="3">
        <f>IF('ORDENES'!$V49="","-",'ORDENES'!$V49)</f>
        <v/>
      </c>
      <c r="E54" s="3">
        <f>IF('ORDENES'!$U49="","-",'ORDENES'!$U49)</f>
        <v/>
      </c>
      <c r="F54" s="3">
        <f>IF('ORDENES'!$AB49="","-",'ORDENES'!$AB49)</f>
        <v/>
      </c>
      <c r="G54" s="3">
        <f>IF('ORDENES'!$C49="","-",'ORDENES'!$C49)</f>
        <v/>
      </c>
      <c r="H54" s="3">
        <f>IF('ORDENES'!$E49="","-",'ORDENES'!$E49)</f>
        <v/>
      </c>
      <c r="I54" s="3">
        <f>IF('ORDENES'!$F49="","-",'ORDENES'!$F49)</f>
        <v/>
      </c>
      <c r="J54" s="12">
        <f>IF('ORDENES'!$L49="",0,'ORDENES'!$L49)</f>
        <v/>
      </c>
      <c r="K54" s="3">
        <f>IF('ORDENES'!$N49="","-",'ORDENES'!$N49)</f>
        <v/>
      </c>
      <c r="L54" s="3">
        <f>'ORDENES'!$AA49</f>
        <v/>
      </c>
    </row>
    <row r="55">
      <c r="A55" s="3">
        <f>IF('ORDENES'!$O50="","-",'ORDENES'!$O50)</f>
        <v/>
      </c>
      <c r="B55" s="3">
        <f>IF('ORDENES'!$R50="","-",'ORDENES'!$R50)</f>
        <v/>
      </c>
      <c r="C55" s="3">
        <f>IF('ORDENES'!$AC50="","-",'ORDENES'!$AC50)</f>
        <v/>
      </c>
      <c r="D55" s="3">
        <f>IF('ORDENES'!$V50="","-",'ORDENES'!$V50)</f>
        <v/>
      </c>
      <c r="E55" s="3">
        <f>IF('ORDENES'!$U50="","-",'ORDENES'!$U50)</f>
        <v/>
      </c>
      <c r="F55" s="3">
        <f>IF('ORDENES'!$AB50="","-",'ORDENES'!$AB50)</f>
        <v/>
      </c>
      <c r="G55" s="3">
        <f>IF('ORDENES'!$C50="","-",'ORDENES'!$C50)</f>
        <v/>
      </c>
      <c r="H55" s="3">
        <f>IF('ORDENES'!$E50="","-",'ORDENES'!$E50)</f>
        <v/>
      </c>
      <c r="I55" s="3">
        <f>IF('ORDENES'!$F50="","-",'ORDENES'!$F50)</f>
        <v/>
      </c>
      <c r="J55" s="12">
        <f>IF('ORDENES'!$L50="",0,'ORDENES'!$L50)</f>
        <v/>
      </c>
      <c r="K55" s="3">
        <f>IF('ORDENES'!$N50="","-",'ORDENES'!$N50)</f>
        <v/>
      </c>
      <c r="L55" s="3">
        <f>'ORDENES'!$AA50</f>
        <v/>
      </c>
    </row>
    <row r="56">
      <c r="A56" s="3">
        <f>IF('ORDENES'!$O51="","-",'ORDENES'!$O51)</f>
        <v/>
      </c>
      <c r="B56" s="3">
        <f>IF('ORDENES'!$R51="","-",'ORDENES'!$R51)</f>
        <v/>
      </c>
      <c r="C56" s="3">
        <f>IF('ORDENES'!$AC51="","-",'ORDENES'!$AC51)</f>
        <v/>
      </c>
      <c r="D56" s="3">
        <f>IF('ORDENES'!$V51="","-",'ORDENES'!$V51)</f>
        <v/>
      </c>
      <c r="E56" s="3">
        <f>IF('ORDENES'!$U51="","-",'ORDENES'!$U51)</f>
        <v/>
      </c>
      <c r="F56" s="3">
        <f>IF('ORDENES'!$AB51="","-",'ORDENES'!$AB51)</f>
        <v/>
      </c>
      <c r="G56" s="3">
        <f>IF('ORDENES'!$C51="","-",'ORDENES'!$C51)</f>
        <v/>
      </c>
      <c r="H56" s="3">
        <f>IF('ORDENES'!$E51="","-",'ORDENES'!$E51)</f>
        <v/>
      </c>
      <c r="I56" s="3">
        <f>IF('ORDENES'!$F51="","-",'ORDENES'!$F51)</f>
        <v/>
      </c>
      <c r="J56" s="12">
        <f>IF('ORDENES'!$L51="",0,'ORDENES'!$L51)</f>
        <v/>
      </c>
      <c r="K56" s="3">
        <f>IF('ORDENES'!$N51="","-",'ORDENES'!$N51)</f>
        <v/>
      </c>
      <c r="L56" s="3">
        <f>'ORDENES'!$AA51</f>
        <v/>
      </c>
    </row>
    <row r="57">
      <c r="A57" s="3">
        <f>IF('ORDENES'!$O52="","-",'ORDENES'!$O52)</f>
        <v/>
      </c>
      <c r="B57" s="3">
        <f>IF('ORDENES'!$R52="","-",'ORDENES'!$R52)</f>
        <v/>
      </c>
      <c r="C57" s="3">
        <f>IF('ORDENES'!$AC52="","-",'ORDENES'!$AC52)</f>
        <v/>
      </c>
      <c r="D57" s="3">
        <f>IF('ORDENES'!$V52="","-",'ORDENES'!$V52)</f>
        <v/>
      </c>
      <c r="E57" s="3">
        <f>IF('ORDENES'!$U52="","-",'ORDENES'!$U52)</f>
        <v/>
      </c>
      <c r="F57" s="3">
        <f>IF('ORDENES'!$AB52="","-",'ORDENES'!$AB52)</f>
        <v/>
      </c>
      <c r="G57" s="3">
        <f>IF('ORDENES'!$C52="","-",'ORDENES'!$C52)</f>
        <v/>
      </c>
      <c r="H57" s="3">
        <f>IF('ORDENES'!$E52="","-",'ORDENES'!$E52)</f>
        <v/>
      </c>
      <c r="I57" s="3">
        <f>IF('ORDENES'!$F52="","-",'ORDENES'!$F52)</f>
        <v/>
      </c>
      <c r="J57" s="12">
        <f>IF('ORDENES'!$L52="",0,'ORDENES'!$L52)</f>
        <v/>
      </c>
      <c r="K57" s="3">
        <f>IF('ORDENES'!$N52="","-",'ORDENES'!$N52)</f>
        <v/>
      </c>
      <c r="L57" s="3">
        <f>'ORDENES'!$AA52</f>
        <v/>
      </c>
    </row>
    <row r="58">
      <c r="A58" s="3">
        <f>IF('ORDENES'!$O53="","-",'ORDENES'!$O53)</f>
        <v/>
      </c>
      <c r="B58" s="3">
        <f>IF('ORDENES'!$R53="","-",'ORDENES'!$R53)</f>
        <v/>
      </c>
      <c r="C58" s="3">
        <f>IF('ORDENES'!$AC53="","-",'ORDENES'!$AC53)</f>
        <v/>
      </c>
      <c r="D58" s="3">
        <f>IF('ORDENES'!$V53="","-",'ORDENES'!$V53)</f>
        <v/>
      </c>
      <c r="E58" s="3">
        <f>IF('ORDENES'!$U53="","-",'ORDENES'!$U53)</f>
        <v/>
      </c>
      <c r="F58" s="3">
        <f>IF('ORDENES'!$AB53="","-",'ORDENES'!$AB53)</f>
        <v/>
      </c>
      <c r="G58" s="3">
        <f>IF('ORDENES'!$C53="","-",'ORDENES'!$C53)</f>
        <v/>
      </c>
      <c r="H58" s="3">
        <f>IF('ORDENES'!$E53="","-",'ORDENES'!$E53)</f>
        <v/>
      </c>
      <c r="I58" s="3">
        <f>IF('ORDENES'!$F53="","-",'ORDENES'!$F53)</f>
        <v/>
      </c>
      <c r="J58" s="12">
        <f>IF('ORDENES'!$L53="",0,'ORDENES'!$L53)</f>
        <v/>
      </c>
      <c r="K58" s="3">
        <f>IF('ORDENES'!$N53="","-",'ORDENES'!$N53)</f>
        <v/>
      </c>
      <c r="L58" s="3">
        <f>'ORDENES'!$AA53</f>
        <v/>
      </c>
    </row>
    <row r="59">
      <c r="A59" s="3">
        <f>IF('ORDENES'!$O54="","-",'ORDENES'!$O54)</f>
        <v/>
      </c>
      <c r="B59" s="3">
        <f>IF('ORDENES'!$R54="","-",'ORDENES'!$R54)</f>
        <v/>
      </c>
      <c r="C59" s="3">
        <f>IF('ORDENES'!$AC54="","-",'ORDENES'!$AC54)</f>
        <v/>
      </c>
      <c r="D59" s="3">
        <f>IF('ORDENES'!$V54="","-",'ORDENES'!$V54)</f>
        <v/>
      </c>
      <c r="E59" s="3">
        <f>IF('ORDENES'!$U54="","-",'ORDENES'!$U54)</f>
        <v/>
      </c>
      <c r="F59" s="3">
        <f>IF('ORDENES'!$AB54="","-",'ORDENES'!$AB54)</f>
        <v/>
      </c>
      <c r="G59" s="3">
        <f>IF('ORDENES'!$C54="","-",'ORDENES'!$C54)</f>
        <v/>
      </c>
      <c r="H59" s="3">
        <f>IF('ORDENES'!$E54="","-",'ORDENES'!$E54)</f>
        <v/>
      </c>
      <c r="I59" s="3">
        <f>IF('ORDENES'!$F54="","-",'ORDENES'!$F54)</f>
        <v/>
      </c>
      <c r="J59" s="12">
        <f>IF('ORDENES'!$L54="",0,'ORDENES'!$L54)</f>
        <v/>
      </c>
      <c r="K59" s="3">
        <f>IF('ORDENES'!$N54="","-",'ORDENES'!$N54)</f>
        <v/>
      </c>
      <c r="L59" s="3">
        <f>'ORDENES'!$AA54</f>
        <v/>
      </c>
    </row>
    <row r="60">
      <c r="A60" s="3">
        <f>IF('ORDENES'!$O55="","-",'ORDENES'!$O55)</f>
        <v/>
      </c>
      <c r="B60" s="3">
        <f>IF('ORDENES'!$R55="","-",'ORDENES'!$R55)</f>
        <v/>
      </c>
      <c r="C60" s="3">
        <f>IF('ORDENES'!$AC55="","-",'ORDENES'!$AC55)</f>
        <v/>
      </c>
      <c r="D60" s="3">
        <f>IF('ORDENES'!$V55="","-",'ORDENES'!$V55)</f>
        <v/>
      </c>
      <c r="E60" s="3">
        <f>IF('ORDENES'!$U55="","-",'ORDENES'!$U55)</f>
        <v/>
      </c>
      <c r="F60" s="3">
        <f>IF('ORDENES'!$AB55="","-",'ORDENES'!$AB55)</f>
        <v/>
      </c>
      <c r="G60" s="3">
        <f>IF('ORDENES'!$C55="","-",'ORDENES'!$C55)</f>
        <v/>
      </c>
      <c r="H60" s="3">
        <f>IF('ORDENES'!$E55="","-",'ORDENES'!$E55)</f>
        <v/>
      </c>
      <c r="I60" s="3">
        <f>IF('ORDENES'!$F55="","-",'ORDENES'!$F55)</f>
        <v/>
      </c>
      <c r="J60" s="12">
        <f>IF('ORDENES'!$L55="",0,'ORDENES'!$L55)</f>
        <v/>
      </c>
      <c r="K60" s="3">
        <f>IF('ORDENES'!$N55="","-",'ORDENES'!$N55)</f>
        <v/>
      </c>
      <c r="L60" s="3">
        <f>'ORDENES'!$AA55</f>
        <v/>
      </c>
    </row>
    <row r="61">
      <c r="A61" s="3">
        <f>IF('ORDENES'!$O56="","-",'ORDENES'!$O56)</f>
        <v/>
      </c>
      <c r="B61" s="3">
        <f>IF('ORDENES'!$R56="","-",'ORDENES'!$R56)</f>
        <v/>
      </c>
      <c r="C61" s="3">
        <f>IF('ORDENES'!$AC56="","-",'ORDENES'!$AC56)</f>
        <v/>
      </c>
      <c r="D61" s="3">
        <f>IF('ORDENES'!$V56="","-",'ORDENES'!$V56)</f>
        <v/>
      </c>
      <c r="E61" s="3">
        <f>IF('ORDENES'!$U56="","-",'ORDENES'!$U56)</f>
        <v/>
      </c>
      <c r="F61" s="3">
        <f>IF('ORDENES'!$AB56="","-",'ORDENES'!$AB56)</f>
        <v/>
      </c>
      <c r="G61" s="3">
        <f>IF('ORDENES'!$C56="","-",'ORDENES'!$C56)</f>
        <v/>
      </c>
      <c r="H61" s="3">
        <f>IF('ORDENES'!$E56="","-",'ORDENES'!$E56)</f>
        <v/>
      </c>
      <c r="I61" s="3">
        <f>IF('ORDENES'!$F56="","-",'ORDENES'!$F56)</f>
        <v/>
      </c>
      <c r="J61" s="12">
        <f>IF('ORDENES'!$L56="",0,'ORDENES'!$L56)</f>
        <v/>
      </c>
      <c r="K61" s="3">
        <f>IF('ORDENES'!$N56="","-",'ORDENES'!$N56)</f>
        <v/>
      </c>
      <c r="L61" s="3">
        <f>'ORDENES'!$AA56</f>
        <v/>
      </c>
    </row>
    <row r="62">
      <c r="A62" s="3">
        <f>IF('ORDENES'!$O57="","-",'ORDENES'!$O57)</f>
        <v/>
      </c>
      <c r="B62" s="3">
        <f>IF('ORDENES'!$R57="","-",'ORDENES'!$R57)</f>
        <v/>
      </c>
      <c r="C62" s="3">
        <f>IF('ORDENES'!$AC57="","-",'ORDENES'!$AC57)</f>
        <v/>
      </c>
      <c r="D62" s="3">
        <f>IF('ORDENES'!$V57="","-",'ORDENES'!$V57)</f>
        <v/>
      </c>
      <c r="E62" s="3">
        <f>IF('ORDENES'!$U57="","-",'ORDENES'!$U57)</f>
        <v/>
      </c>
      <c r="F62" s="3">
        <f>IF('ORDENES'!$AB57="","-",'ORDENES'!$AB57)</f>
        <v/>
      </c>
      <c r="G62" s="3">
        <f>IF('ORDENES'!$C57="","-",'ORDENES'!$C57)</f>
        <v/>
      </c>
      <c r="H62" s="3">
        <f>IF('ORDENES'!$E57="","-",'ORDENES'!$E57)</f>
        <v/>
      </c>
      <c r="I62" s="3">
        <f>IF('ORDENES'!$F57="","-",'ORDENES'!$F57)</f>
        <v/>
      </c>
      <c r="J62" s="12">
        <f>IF('ORDENES'!$L57="",0,'ORDENES'!$L57)</f>
        <v/>
      </c>
      <c r="K62" s="3">
        <f>IF('ORDENES'!$N57="","-",'ORDENES'!$N57)</f>
        <v/>
      </c>
      <c r="L62" s="3">
        <f>'ORDENES'!$AA57</f>
        <v/>
      </c>
    </row>
    <row r="63">
      <c r="A63" s="3">
        <f>IF('ORDENES'!$O58="","-",'ORDENES'!$O58)</f>
        <v/>
      </c>
      <c r="B63" s="3">
        <f>IF('ORDENES'!$R58="","-",'ORDENES'!$R58)</f>
        <v/>
      </c>
      <c r="C63" s="3">
        <f>IF('ORDENES'!$AC58="","-",'ORDENES'!$AC58)</f>
        <v/>
      </c>
      <c r="D63" s="3">
        <f>IF('ORDENES'!$V58="","-",'ORDENES'!$V58)</f>
        <v/>
      </c>
      <c r="E63" s="3">
        <f>IF('ORDENES'!$U58="","-",'ORDENES'!$U58)</f>
        <v/>
      </c>
      <c r="F63" s="3">
        <f>IF('ORDENES'!$AB58="","-",'ORDENES'!$AB58)</f>
        <v/>
      </c>
      <c r="G63" s="3">
        <f>IF('ORDENES'!$C58="","-",'ORDENES'!$C58)</f>
        <v/>
      </c>
      <c r="H63" s="3">
        <f>IF('ORDENES'!$E58="","-",'ORDENES'!$E58)</f>
        <v/>
      </c>
      <c r="I63" s="3">
        <f>IF('ORDENES'!$F58="","-",'ORDENES'!$F58)</f>
        <v/>
      </c>
      <c r="J63" s="12">
        <f>IF('ORDENES'!$L58="",0,'ORDENES'!$L58)</f>
        <v/>
      </c>
      <c r="K63" s="3">
        <f>IF('ORDENES'!$N58="","-",'ORDENES'!$N58)</f>
        <v/>
      </c>
      <c r="L63" s="3">
        <f>'ORDENES'!$AA58</f>
        <v/>
      </c>
    </row>
    <row r="64">
      <c r="A64" s="3">
        <f>IF('ORDENES'!$O59="","-",'ORDENES'!$O59)</f>
        <v/>
      </c>
      <c r="B64" s="3">
        <f>IF('ORDENES'!$R59="","-",'ORDENES'!$R59)</f>
        <v/>
      </c>
      <c r="C64" s="3">
        <f>IF('ORDENES'!$AC59="","-",'ORDENES'!$AC59)</f>
        <v/>
      </c>
      <c r="D64" s="3">
        <f>IF('ORDENES'!$V59="","-",'ORDENES'!$V59)</f>
        <v/>
      </c>
      <c r="E64" s="3">
        <f>IF('ORDENES'!$U59="","-",'ORDENES'!$U59)</f>
        <v/>
      </c>
      <c r="F64" s="3">
        <f>IF('ORDENES'!$AB59="","-",'ORDENES'!$AB59)</f>
        <v/>
      </c>
      <c r="G64" s="3">
        <f>IF('ORDENES'!$C59="","-",'ORDENES'!$C59)</f>
        <v/>
      </c>
      <c r="H64" s="3">
        <f>IF('ORDENES'!$E59="","-",'ORDENES'!$E59)</f>
        <v/>
      </c>
      <c r="I64" s="3">
        <f>IF('ORDENES'!$F59="","-",'ORDENES'!$F59)</f>
        <v/>
      </c>
      <c r="J64" s="12">
        <f>IF('ORDENES'!$L59="",0,'ORDENES'!$L59)</f>
        <v/>
      </c>
      <c r="K64" s="3">
        <f>IF('ORDENES'!$N59="","-",'ORDENES'!$N59)</f>
        <v/>
      </c>
      <c r="L64" s="3">
        <f>'ORDENES'!$AA59</f>
        <v/>
      </c>
    </row>
    <row r="65">
      <c r="A65" s="3">
        <f>IF('ORDENES'!$O60="","-",'ORDENES'!$O60)</f>
        <v/>
      </c>
      <c r="B65" s="3">
        <f>IF('ORDENES'!$R60="","-",'ORDENES'!$R60)</f>
        <v/>
      </c>
      <c r="C65" s="3">
        <f>IF('ORDENES'!$AC60="","-",'ORDENES'!$AC60)</f>
        <v/>
      </c>
      <c r="D65" s="3">
        <f>IF('ORDENES'!$V60="","-",'ORDENES'!$V60)</f>
        <v/>
      </c>
      <c r="E65" s="3">
        <f>IF('ORDENES'!$U60="","-",'ORDENES'!$U60)</f>
        <v/>
      </c>
      <c r="F65" s="3">
        <f>IF('ORDENES'!$AB60="","-",'ORDENES'!$AB60)</f>
        <v/>
      </c>
      <c r="G65" s="3">
        <f>IF('ORDENES'!$C60="","-",'ORDENES'!$C60)</f>
        <v/>
      </c>
      <c r="H65" s="3">
        <f>IF('ORDENES'!$E60="","-",'ORDENES'!$E60)</f>
        <v/>
      </c>
      <c r="I65" s="3">
        <f>IF('ORDENES'!$F60="","-",'ORDENES'!$F60)</f>
        <v/>
      </c>
      <c r="J65" s="12">
        <f>IF('ORDENES'!$L60="",0,'ORDENES'!$L60)</f>
        <v/>
      </c>
      <c r="K65" s="3">
        <f>IF('ORDENES'!$N60="","-",'ORDENES'!$N60)</f>
        <v/>
      </c>
      <c r="L65" s="3">
        <f>'ORDENES'!$AA60</f>
        <v/>
      </c>
    </row>
    <row r="66">
      <c r="A66" s="3">
        <f>IF('ORDENES'!$O61="","-",'ORDENES'!$O61)</f>
        <v/>
      </c>
      <c r="B66" s="3">
        <f>IF('ORDENES'!$R61="","-",'ORDENES'!$R61)</f>
        <v/>
      </c>
      <c r="C66" s="3">
        <f>IF('ORDENES'!$AC61="","-",'ORDENES'!$AC61)</f>
        <v/>
      </c>
      <c r="D66" s="3">
        <f>IF('ORDENES'!$V61="","-",'ORDENES'!$V61)</f>
        <v/>
      </c>
      <c r="E66" s="3">
        <f>IF('ORDENES'!$U61="","-",'ORDENES'!$U61)</f>
        <v/>
      </c>
      <c r="F66" s="3">
        <f>IF('ORDENES'!$AB61="","-",'ORDENES'!$AB61)</f>
        <v/>
      </c>
      <c r="G66" s="3">
        <f>IF('ORDENES'!$C61="","-",'ORDENES'!$C61)</f>
        <v/>
      </c>
      <c r="H66" s="3">
        <f>IF('ORDENES'!$E61="","-",'ORDENES'!$E61)</f>
        <v/>
      </c>
      <c r="I66" s="3">
        <f>IF('ORDENES'!$F61="","-",'ORDENES'!$F61)</f>
        <v/>
      </c>
      <c r="J66" s="12">
        <f>IF('ORDENES'!$L61="",0,'ORDENES'!$L61)</f>
        <v/>
      </c>
      <c r="K66" s="3">
        <f>IF('ORDENES'!$N61="","-",'ORDENES'!$N61)</f>
        <v/>
      </c>
      <c r="L66" s="3">
        <f>'ORDENES'!$AA61</f>
        <v/>
      </c>
    </row>
    <row r="67">
      <c r="A67" s="3">
        <f>IF('ORDENES'!$O62="","-",'ORDENES'!$O62)</f>
        <v/>
      </c>
      <c r="B67" s="3">
        <f>IF('ORDENES'!$R62="","-",'ORDENES'!$R62)</f>
        <v/>
      </c>
      <c r="C67" s="3">
        <f>IF('ORDENES'!$AC62="","-",'ORDENES'!$AC62)</f>
        <v/>
      </c>
      <c r="D67" s="3">
        <f>IF('ORDENES'!$V62="","-",'ORDENES'!$V62)</f>
        <v/>
      </c>
      <c r="E67" s="3">
        <f>IF('ORDENES'!$U62="","-",'ORDENES'!$U62)</f>
        <v/>
      </c>
      <c r="F67" s="3">
        <f>IF('ORDENES'!$AB62="","-",'ORDENES'!$AB62)</f>
        <v/>
      </c>
      <c r="G67" s="3">
        <f>IF('ORDENES'!$C62="","-",'ORDENES'!$C62)</f>
        <v/>
      </c>
      <c r="H67" s="3">
        <f>IF('ORDENES'!$E62="","-",'ORDENES'!$E62)</f>
        <v/>
      </c>
      <c r="I67" s="3">
        <f>IF('ORDENES'!$F62="","-",'ORDENES'!$F62)</f>
        <v/>
      </c>
      <c r="J67" s="12">
        <f>IF('ORDENES'!$L62="",0,'ORDENES'!$L62)</f>
        <v/>
      </c>
      <c r="K67" s="3">
        <f>IF('ORDENES'!$N62="","-",'ORDENES'!$N62)</f>
        <v/>
      </c>
      <c r="L67" s="3">
        <f>'ORDENES'!$AA62</f>
        <v/>
      </c>
    </row>
    <row r="68">
      <c r="A68" s="3">
        <f>IF('ORDENES'!$O63="","-",'ORDENES'!$O63)</f>
        <v/>
      </c>
      <c r="B68" s="3">
        <f>IF('ORDENES'!$R63="","-",'ORDENES'!$R63)</f>
        <v/>
      </c>
      <c r="C68" s="3">
        <f>IF('ORDENES'!$AC63="","-",'ORDENES'!$AC63)</f>
        <v/>
      </c>
      <c r="D68" s="3">
        <f>IF('ORDENES'!$V63="","-",'ORDENES'!$V63)</f>
        <v/>
      </c>
      <c r="E68" s="3">
        <f>IF('ORDENES'!$U63="","-",'ORDENES'!$U63)</f>
        <v/>
      </c>
      <c r="F68" s="3">
        <f>IF('ORDENES'!$AB63="","-",'ORDENES'!$AB63)</f>
        <v/>
      </c>
      <c r="G68" s="3">
        <f>IF('ORDENES'!$C63="","-",'ORDENES'!$C63)</f>
        <v/>
      </c>
      <c r="H68" s="3">
        <f>IF('ORDENES'!$E63="","-",'ORDENES'!$E63)</f>
        <v/>
      </c>
      <c r="I68" s="3">
        <f>IF('ORDENES'!$F63="","-",'ORDENES'!$F63)</f>
        <v/>
      </c>
      <c r="J68" s="12">
        <f>IF('ORDENES'!$L63="",0,'ORDENES'!$L63)</f>
        <v/>
      </c>
      <c r="K68" s="3">
        <f>IF('ORDENES'!$N63="","-",'ORDENES'!$N63)</f>
        <v/>
      </c>
      <c r="L68" s="3">
        <f>'ORDENES'!$AA63</f>
        <v/>
      </c>
    </row>
    <row r="69">
      <c r="A69" s="3">
        <f>IF('ORDENES'!$O64="","-",'ORDENES'!$O64)</f>
        <v/>
      </c>
      <c r="B69" s="3">
        <f>IF('ORDENES'!$R64="","-",'ORDENES'!$R64)</f>
        <v/>
      </c>
      <c r="C69" s="3">
        <f>IF('ORDENES'!$AC64="","-",'ORDENES'!$AC64)</f>
        <v/>
      </c>
      <c r="D69" s="3">
        <f>IF('ORDENES'!$V64="","-",'ORDENES'!$V64)</f>
        <v/>
      </c>
      <c r="E69" s="3">
        <f>IF('ORDENES'!$U64="","-",'ORDENES'!$U64)</f>
        <v/>
      </c>
      <c r="F69" s="3">
        <f>IF('ORDENES'!$AB64="","-",'ORDENES'!$AB64)</f>
        <v/>
      </c>
      <c r="G69" s="3">
        <f>IF('ORDENES'!$C64="","-",'ORDENES'!$C64)</f>
        <v/>
      </c>
      <c r="H69" s="3">
        <f>IF('ORDENES'!$E64="","-",'ORDENES'!$E64)</f>
        <v/>
      </c>
      <c r="I69" s="3">
        <f>IF('ORDENES'!$F64="","-",'ORDENES'!$F64)</f>
        <v/>
      </c>
      <c r="J69" s="12">
        <f>IF('ORDENES'!$L64="",0,'ORDENES'!$L64)</f>
        <v/>
      </c>
      <c r="K69" s="3">
        <f>IF('ORDENES'!$N64="","-",'ORDENES'!$N64)</f>
        <v/>
      </c>
      <c r="L69" s="3">
        <f>'ORDENES'!$AA64</f>
        <v/>
      </c>
    </row>
    <row r="70">
      <c r="A70" s="3">
        <f>IF('ORDENES'!$O65="","-",'ORDENES'!$O65)</f>
        <v/>
      </c>
      <c r="B70" s="3">
        <f>IF('ORDENES'!$R65="","-",'ORDENES'!$R65)</f>
        <v/>
      </c>
      <c r="C70" s="3">
        <f>IF('ORDENES'!$AC65="","-",'ORDENES'!$AC65)</f>
        <v/>
      </c>
      <c r="D70" s="3">
        <f>IF('ORDENES'!$V65="","-",'ORDENES'!$V65)</f>
        <v/>
      </c>
      <c r="E70" s="3">
        <f>IF('ORDENES'!$U65="","-",'ORDENES'!$U65)</f>
        <v/>
      </c>
      <c r="F70" s="3">
        <f>IF('ORDENES'!$AB65="","-",'ORDENES'!$AB65)</f>
        <v/>
      </c>
      <c r="G70" s="3">
        <f>IF('ORDENES'!$C65="","-",'ORDENES'!$C65)</f>
        <v/>
      </c>
      <c r="H70" s="3">
        <f>IF('ORDENES'!$E65="","-",'ORDENES'!$E65)</f>
        <v/>
      </c>
      <c r="I70" s="3">
        <f>IF('ORDENES'!$F65="","-",'ORDENES'!$F65)</f>
        <v/>
      </c>
      <c r="J70" s="12">
        <f>IF('ORDENES'!$L65="",0,'ORDENES'!$L65)</f>
        <v/>
      </c>
      <c r="K70" s="3">
        <f>IF('ORDENES'!$N65="","-",'ORDENES'!$N65)</f>
        <v/>
      </c>
      <c r="L70" s="3">
        <f>'ORDENES'!$AA65</f>
        <v/>
      </c>
    </row>
    <row r="71">
      <c r="A71" s="3">
        <f>IF('ORDENES'!$O66="","-",'ORDENES'!$O66)</f>
        <v/>
      </c>
      <c r="B71" s="3">
        <f>IF('ORDENES'!$R66="","-",'ORDENES'!$R66)</f>
        <v/>
      </c>
      <c r="C71" s="3">
        <f>IF('ORDENES'!$AC66="","-",'ORDENES'!$AC66)</f>
        <v/>
      </c>
      <c r="D71" s="3">
        <f>IF('ORDENES'!$V66="","-",'ORDENES'!$V66)</f>
        <v/>
      </c>
      <c r="E71" s="3">
        <f>IF('ORDENES'!$U66="","-",'ORDENES'!$U66)</f>
        <v/>
      </c>
      <c r="F71" s="3">
        <f>IF('ORDENES'!$AB66="","-",'ORDENES'!$AB66)</f>
        <v/>
      </c>
      <c r="G71" s="3">
        <f>IF('ORDENES'!$C66="","-",'ORDENES'!$C66)</f>
        <v/>
      </c>
      <c r="H71" s="3">
        <f>IF('ORDENES'!$E66="","-",'ORDENES'!$E66)</f>
        <v/>
      </c>
      <c r="I71" s="3">
        <f>IF('ORDENES'!$F66="","-",'ORDENES'!$F66)</f>
        <v/>
      </c>
      <c r="J71" s="12">
        <f>IF('ORDENES'!$L66="",0,'ORDENES'!$L66)</f>
        <v/>
      </c>
      <c r="K71" s="3">
        <f>IF('ORDENES'!$N66="","-",'ORDENES'!$N66)</f>
        <v/>
      </c>
      <c r="L71" s="3">
        <f>'ORDENES'!$AA66</f>
        <v/>
      </c>
    </row>
    <row r="72">
      <c r="A72" s="3">
        <f>IF('ORDENES'!$O67="","-",'ORDENES'!$O67)</f>
        <v/>
      </c>
      <c r="B72" s="3">
        <f>IF('ORDENES'!$R67="","-",'ORDENES'!$R67)</f>
        <v/>
      </c>
      <c r="C72" s="3">
        <f>IF('ORDENES'!$AC67="","-",'ORDENES'!$AC67)</f>
        <v/>
      </c>
      <c r="D72" s="3">
        <f>IF('ORDENES'!$V67="","-",'ORDENES'!$V67)</f>
        <v/>
      </c>
      <c r="E72" s="3">
        <f>IF('ORDENES'!$U67="","-",'ORDENES'!$U67)</f>
        <v/>
      </c>
      <c r="F72" s="3">
        <f>IF('ORDENES'!$AB67="","-",'ORDENES'!$AB67)</f>
        <v/>
      </c>
      <c r="G72" s="3">
        <f>IF('ORDENES'!$C67="","-",'ORDENES'!$C67)</f>
        <v/>
      </c>
      <c r="H72" s="3">
        <f>IF('ORDENES'!$E67="","-",'ORDENES'!$E67)</f>
        <v/>
      </c>
      <c r="I72" s="3">
        <f>IF('ORDENES'!$F67="","-",'ORDENES'!$F67)</f>
        <v/>
      </c>
      <c r="J72" s="12">
        <f>IF('ORDENES'!$L67="",0,'ORDENES'!$L67)</f>
        <v/>
      </c>
      <c r="K72" s="3">
        <f>IF('ORDENES'!$N67="","-",'ORDENES'!$N67)</f>
        <v/>
      </c>
      <c r="L72" s="3">
        <f>'ORDENES'!$AA67</f>
        <v/>
      </c>
    </row>
    <row r="73">
      <c r="A73" s="3">
        <f>IF('ORDENES'!$O68="","-",'ORDENES'!$O68)</f>
        <v/>
      </c>
      <c r="B73" s="3">
        <f>IF('ORDENES'!$R68="","-",'ORDENES'!$R68)</f>
        <v/>
      </c>
      <c r="C73" s="3">
        <f>IF('ORDENES'!$AC68="","-",'ORDENES'!$AC68)</f>
        <v/>
      </c>
      <c r="D73" s="3">
        <f>IF('ORDENES'!$V68="","-",'ORDENES'!$V68)</f>
        <v/>
      </c>
      <c r="E73" s="3">
        <f>IF('ORDENES'!$U68="","-",'ORDENES'!$U68)</f>
        <v/>
      </c>
      <c r="F73" s="3">
        <f>IF('ORDENES'!$AB68="","-",'ORDENES'!$AB68)</f>
        <v/>
      </c>
      <c r="G73" s="3">
        <f>IF('ORDENES'!$C68="","-",'ORDENES'!$C68)</f>
        <v/>
      </c>
      <c r="H73" s="3">
        <f>IF('ORDENES'!$E68="","-",'ORDENES'!$E68)</f>
        <v/>
      </c>
      <c r="I73" s="3">
        <f>IF('ORDENES'!$F68="","-",'ORDENES'!$F68)</f>
        <v/>
      </c>
      <c r="J73" s="12">
        <f>IF('ORDENES'!$L68="",0,'ORDENES'!$L68)</f>
        <v/>
      </c>
      <c r="K73" s="3">
        <f>IF('ORDENES'!$N68="","-",'ORDENES'!$N68)</f>
        <v/>
      </c>
      <c r="L73" s="3">
        <f>'ORDENES'!$AA68</f>
        <v/>
      </c>
    </row>
    <row r="74">
      <c r="A74" s="3">
        <f>IF('ORDENES'!$O69="","-",'ORDENES'!$O69)</f>
        <v/>
      </c>
      <c r="B74" s="3">
        <f>IF('ORDENES'!$R69="","-",'ORDENES'!$R69)</f>
        <v/>
      </c>
      <c r="C74" s="3">
        <f>IF('ORDENES'!$AC69="","-",'ORDENES'!$AC69)</f>
        <v/>
      </c>
      <c r="D74" s="3">
        <f>IF('ORDENES'!$V69="","-",'ORDENES'!$V69)</f>
        <v/>
      </c>
      <c r="E74" s="3">
        <f>IF('ORDENES'!$U69="","-",'ORDENES'!$U69)</f>
        <v/>
      </c>
      <c r="F74" s="3">
        <f>IF('ORDENES'!$AB69="","-",'ORDENES'!$AB69)</f>
        <v/>
      </c>
      <c r="G74" s="3">
        <f>IF('ORDENES'!$C69="","-",'ORDENES'!$C69)</f>
        <v/>
      </c>
      <c r="H74" s="3">
        <f>IF('ORDENES'!$E69="","-",'ORDENES'!$E69)</f>
        <v/>
      </c>
      <c r="I74" s="3">
        <f>IF('ORDENES'!$F69="","-",'ORDENES'!$F69)</f>
        <v/>
      </c>
      <c r="J74" s="12">
        <f>IF('ORDENES'!$L69="",0,'ORDENES'!$L69)</f>
        <v/>
      </c>
      <c r="K74" s="3">
        <f>IF('ORDENES'!$N69="","-",'ORDENES'!$N69)</f>
        <v/>
      </c>
      <c r="L74" s="3">
        <f>'ORDENES'!$AA69</f>
        <v/>
      </c>
    </row>
    <row r="75">
      <c r="A75" s="3">
        <f>IF('ORDENES'!$O70="","-",'ORDENES'!$O70)</f>
        <v/>
      </c>
      <c r="B75" s="3">
        <f>IF('ORDENES'!$R70="","-",'ORDENES'!$R70)</f>
        <v/>
      </c>
      <c r="C75" s="3">
        <f>IF('ORDENES'!$AC70="","-",'ORDENES'!$AC70)</f>
        <v/>
      </c>
      <c r="D75" s="3">
        <f>IF('ORDENES'!$V70="","-",'ORDENES'!$V70)</f>
        <v/>
      </c>
      <c r="E75" s="3">
        <f>IF('ORDENES'!$U70="","-",'ORDENES'!$U70)</f>
        <v/>
      </c>
      <c r="F75" s="3">
        <f>IF('ORDENES'!$AB70="","-",'ORDENES'!$AB70)</f>
        <v/>
      </c>
      <c r="G75" s="3">
        <f>IF('ORDENES'!$C70="","-",'ORDENES'!$C70)</f>
        <v/>
      </c>
      <c r="H75" s="3">
        <f>IF('ORDENES'!$E70="","-",'ORDENES'!$E70)</f>
        <v/>
      </c>
      <c r="I75" s="3">
        <f>IF('ORDENES'!$F70="","-",'ORDENES'!$F70)</f>
        <v/>
      </c>
      <c r="J75" s="12">
        <f>IF('ORDENES'!$L70="",0,'ORDENES'!$L70)</f>
        <v/>
      </c>
      <c r="K75" s="3">
        <f>IF('ORDENES'!$N70="","-",'ORDENES'!$N70)</f>
        <v/>
      </c>
      <c r="L75" s="3">
        <f>'ORDENES'!$AA70</f>
        <v/>
      </c>
    </row>
    <row r="76">
      <c r="A76" s="3">
        <f>IF('ORDENES'!$O71="","-",'ORDENES'!$O71)</f>
        <v/>
      </c>
      <c r="B76" s="3">
        <f>IF('ORDENES'!$R71="","-",'ORDENES'!$R71)</f>
        <v/>
      </c>
      <c r="C76" s="3">
        <f>IF('ORDENES'!$AC71="","-",'ORDENES'!$AC71)</f>
        <v/>
      </c>
      <c r="D76" s="3">
        <f>IF('ORDENES'!$V71="","-",'ORDENES'!$V71)</f>
        <v/>
      </c>
      <c r="E76" s="3">
        <f>IF('ORDENES'!$U71="","-",'ORDENES'!$U71)</f>
        <v/>
      </c>
      <c r="F76" s="3">
        <f>IF('ORDENES'!$AB71="","-",'ORDENES'!$AB71)</f>
        <v/>
      </c>
      <c r="G76" s="3">
        <f>IF('ORDENES'!$C71="","-",'ORDENES'!$C71)</f>
        <v/>
      </c>
      <c r="H76" s="3">
        <f>IF('ORDENES'!$E71="","-",'ORDENES'!$E71)</f>
        <v/>
      </c>
      <c r="I76" s="3">
        <f>IF('ORDENES'!$F71="","-",'ORDENES'!$F71)</f>
        <v/>
      </c>
      <c r="J76" s="12">
        <f>IF('ORDENES'!$L71="",0,'ORDENES'!$L71)</f>
        <v/>
      </c>
      <c r="K76" s="3">
        <f>IF('ORDENES'!$N71="","-",'ORDENES'!$N71)</f>
        <v/>
      </c>
      <c r="L76" s="3">
        <f>'ORDENES'!$AA71</f>
        <v/>
      </c>
    </row>
    <row r="77">
      <c r="A77" s="3">
        <f>IF('ORDENES'!$O72="","-",'ORDENES'!$O72)</f>
        <v/>
      </c>
      <c r="B77" s="3">
        <f>IF('ORDENES'!$R72="","-",'ORDENES'!$R72)</f>
        <v/>
      </c>
      <c r="C77" s="3">
        <f>IF('ORDENES'!$AC72="","-",'ORDENES'!$AC72)</f>
        <v/>
      </c>
      <c r="D77" s="3">
        <f>IF('ORDENES'!$V72="","-",'ORDENES'!$V72)</f>
        <v/>
      </c>
      <c r="E77" s="3">
        <f>IF('ORDENES'!$U72="","-",'ORDENES'!$U72)</f>
        <v/>
      </c>
      <c r="F77" s="3">
        <f>IF('ORDENES'!$AB72="","-",'ORDENES'!$AB72)</f>
        <v/>
      </c>
      <c r="G77" s="3">
        <f>IF('ORDENES'!$C72="","-",'ORDENES'!$C72)</f>
        <v/>
      </c>
      <c r="H77" s="3">
        <f>IF('ORDENES'!$E72="","-",'ORDENES'!$E72)</f>
        <v/>
      </c>
      <c r="I77" s="3">
        <f>IF('ORDENES'!$F72="","-",'ORDENES'!$F72)</f>
        <v/>
      </c>
      <c r="J77" s="12">
        <f>IF('ORDENES'!$L72="",0,'ORDENES'!$L72)</f>
        <v/>
      </c>
      <c r="K77" s="3">
        <f>IF('ORDENES'!$N72="","-",'ORDENES'!$N72)</f>
        <v/>
      </c>
      <c r="L77" s="3">
        <f>'ORDENES'!$AA72</f>
        <v/>
      </c>
    </row>
    <row r="78">
      <c r="A78" s="3">
        <f>IF('ORDENES'!$O73="","-",'ORDENES'!$O73)</f>
        <v/>
      </c>
      <c r="B78" s="3">
        <f>IF('ORDENES'!$R73="","-",'ORDENES'!$R73)</f>
        <v/>
      </c>
      <c r="C78" s="3">
        <f>IF('ORDENES'!$AC73="","-",'ORDENES'!$AC73)</f>
        <v/>
      </c>
      <c r="D78" s="3">
        <f>IF('ORDENES'!$V73="","-",'ORDENES'!$V73)</f>
        <v/>
      </c>
      <c r="E78" s="3">
        <f>IF('ORDENES'!$U73="","-",'ORDENES'!$U73)</f>
        <v/>
      </c>
      <c r="F78" s="3">
        <f>IF('ORDENES'!$AB73="","-",'ORDENES'!$AB73)</f>
        <v/>
      </c>
      <c r="G78" s="3">
        <f>IF('ORDENES'!$C73="","-",'ORDENES'!$C73)</f>
        <v/>
      </c>
      <c r="H78" s="3">
        <f>IF('ORDENES'!$E73="","-",'ORDENES'!$E73)</f>
        <v/>
      </c>
      <c r="I78" s="3">
        <f>IF('ORDENES'!$F73="","-",'ORDENES'!$F73)</f>
        <v/>
      </c>
      <c r="J78" s="12">
        <f>IF('ORDENES'!$L73="",0,'ORDENES'!$L73)</f>
        <v/>
      </c>
      <c r="K78" s="3">
        <f>IF('ORDENES'!$N73="","-",'ORDENES'!$N73)</f>
        <v/>
      </c>
      <c r="L78" s="3">
        <f>'ORDENES'!$AA73</f>
        <v/>
      </c>
    </row>
    <row r="79">
      <c r="A79" s="3">
        <f>IF('ORDENES'!$O74="","-",'ORDENES'!$O74)</f>
        <v/>
      </c>
      <c r="B79" s="3">
        <f>IF('ORDENES'!$R74="","-",'ORDENES'!$R74)</f>
        <v/>
      </c>
      <c r="C79" s="3">
        <f>IF('ORDENES'!$AC74="","-",'ORDENES'!$AC74)</f>
        <v/>
      </c>
      <c r="D79" s="3">
        <f>IF('ORDENES'!$V74="","-",'ORDENES'!$V74)</f>
        <v/>
      </c>
      <c r="E79" s="3">
        <f>IF('ORDENES'!$U74="","-",'ORDENES'!$U74)</f>
        <v/>
      </c>
      <c r="F79" s="3">
        <f>IF('ORDENES'!$AB74="","-",'ORDENES'!$AB74)</f>
        <v/>
      </c>
      <c r="G79" s="3">
        <f>IF('ORDENES'!$C74="","-",'ORDENES'!$C74)</f>
        <v/>
      </c>
      <c r="H79" s="3">
        <f>IF('ORDENES'!$E74="","-",'ORDENES'!$E74)</f>
        <v/>
      </c>
      <c r="I79" s="3">
        <f>IF('ORDENES'!$F74="","-",'ORDENES'!$F74)</f>
        <v/>
      </c>
      <c r="J79" s="12">
        <f>IF('ORDENES'!$L74="",0,'ORDENES'!$L74)</f>
        <v/>
      </c>
      <c r="K79" s="3">
        <f>IF('ORDENES'!$N74="","-",'ORDENES'!$N74)</f>
        <v/>
      </c>
      <c r="L79" s="3">
        <f>'ORDENES'!$AA74</f>
        <v/>
      </c>
    </row>
    <row r="80">
      <c r="A80" s="3">
        <f>IF('ORDENES'!$O75="","-",'ORDENES'!$O75)</f>
        <v/>
      </c>
      <c r="B80" s="3">
        <f>IF('ORDENES'!$R75="","-",'ORDENES'!$R75)</f>
        <v/>
      </c>
      <c r="C80" s="3">
        <f>IF('ORDENES'!$AC75="","-",'ORDENES'!$AC75)</f>
        <v/>
      </c>
      <c r="D80" s="3">
        <f>IF('ORDENES'!$V75="","-",'ORDENES'!$V75)</f>
        <v/>
      </c>
      <c r="E80" s="3">
        <f>IF('ORDENES'!$U75="","-",'ORDENES'!$U75)</f>
        <v/>
      </c>
      <c r="F80" s="3">
        <f>IF('ORDENES'!$AB75="","-",'ORDENES'!$AB75)</f>
        <v/>
      </c>
      <c r="G80" s="3">
        <f>IF('ORDENES'!$C75="","-",'ORDENES'!$C75)</f>
        <v/>
      </c>
      <c r="H80" s="3">
        <f>IF('ORDENES'!$E75="","-",'ORDENES'!$E75)</f>
        <v/>
      </c>
      <c r="I80" s="3">
        <f>IF('ORDENES'!$F75="","-",'ORDENES'!$F75)</f>
        <v/>
      </c>
      <c r="J80" s="12">
        <f>IF('ORDENES'!$L75="",0,'ORDENES'!$L75)</f>
        <v/>
      </c>
      <c r="K80" s="3">
        <f>IF('ORDENES'!$N75="","-",'ORDENES'!$N75)</f>
        <v/>
      </c>
      <c r="L80" s="3">
        <f>'ORDENES'!$AA75</f>
        <v/>
      </c>
    </row>
    <row r="81">
      <c r="A81" s="3">
        <f>IF('ORDENES'!$O76="","-",'ORDENES'!$O76)</f>
        <v/>
      </c>
      <c r="B81" s="3">
        <f>IF('ORDENES'!$R76="","-",'ORDENES'!$R76)</f>
        <v/>
      </c>
      <c r="C81" s="3">
        <f>IF('ORDENES'!$AC76="","-",'ORDENES'!$AC76)</f>
        <v/>
      </c>
      <c r="D81" s="3">
        <f>IF('ORDENES'!$V76="","-",'ORDENES'!$V76)</f>
        <v/>
      </c>
      <c r="E81" s="3">
        <f>IF('ORDENES'!$U76="","-",'ORDENES'!$U76)</f>
        <v/>
      </c>
      <c r="F81" s="3">
        <f>IF('ORDENES'!$AB76="","-",'ORDENES'!$AB76)</f>
        <v/>
      </c>
      <c r="G81" s="3">
        <f>IF('ORDENES'!$C76="","-",'ORDENES'!$C76)</f>
        <v/>
      </c>
      <c r="H81" s="3">
        <f>IF('ORDENES'!$E76="","-",'ORDENES'!$E76)</f>
        <v/>
      </c>
      <c r="I81" s="3">
        <f>IF('ORDENES'!$F76="","-",'ORDENES'!$F76)</f>
        <v/>
      </c>
      <c r="J81" s="12">
        <f>IF('ORDENES'!$L76="",0,'ORDENES'!$L76)</f>
        <v/>
      </c>
      <c r="K81" s="3">
        <f>IF('ORDENES'!$N76="","-",'ORDENES'!$N76)</f>
        <v/>
      </c>
      <c r="L81" s="3">
        <f>'ORDENES'!$AA76</f>
        <v/>
      </c>
    </row>
    <row r="82">
      <c r="A82" s="3">
        <f>IF('ORDENES'!$O77="","-",'ORDENES'!$O77)</f>
        <v/>
      </c>
      <c r="B82" s="3">
        <f>IF('ORDENES'!$R77="","-",'ORDENES'!$R77)</f>
        <v/>
      </c>
      <c r="C82" s="3">
        <f>IF('ORDENES'!$AC77="","-",'ORDENES'!$AC77)</f>
        <v/>
      </c>
      <c r="D82" s="3">
        <f>IF('ORDENES'!$V77="","-",'ORDENES'!$V77)</f>
        <v/>
      </c>
      <c r="E82" s="3">
        <f>IF('ORDENES'!$U77="","-",'ORDENES'!$U77)</f>
        <v/>
      </c>
      <c r="F82" s="3">
        <f>IF('ORDENES'!$AB77="","-",'ORDENES'!$AB77)</f>
        <v/>
      </c>
      <c r="G82" s="3">
        <f>IF('ORDENES'!$C77="","-",'ORDENES'!$C77)</f>
        <v/>
      </c>
      <c r="H82" s="3">
        <f>IF('ORDENES'!$E77="","-",'ORDENES'!$E77)</f>
        <v/>
      </c>
      <c r="I82" s="3">
        <f>IF('ORDENES'!$F77="","-",'ORDENES'!$F77)</f>
        <v/>
      </c>
      <c r="J82" s="12">
        <f>IF('ORDENES'!$L77="",0,'ORDENES'!$L77)</f>
        <v/>
      </c>
      <c r="K82" s="3">
        <f>IF('ORDENES'!$N77="","-",'ORDENES'!$N77)</f>
        <v/>
      </c>
      <c r="L82" s="3">
        <f>'ORDENES'!$AA77</f>
        <v/>
      </c>
    </row>
    <row r="83">
      <c r="A83" s="3">
        <f>IF('ORDENES'!$O78="","-",'ORDENES'!$O78)</f>
        <v/>
      </c>
      <c r="B83" s="3">
        <f>IF('ORDENES'!$R78="","-",'ORDENES'!$R78)</f>
        <v/>
      </c>
      <c r="C83" s="3">
        <f>IF('ORDENES'!$AC78="","-",'ORDENES'!$AC78)</f>
        <v/>
      </c>
      <c r="D83" s="3">
        <f>IF('ORDENES'!$V78="","-",'ORDENES'!$V78)</f>
        <v/>
      </c>
      <c r="E83" s="3">
        <f>IF('ORDENES'!$U78="","-",'ORDENES'!$U78)</f>
        <v/>
      </c>
      <c r="F83" s="3">
        <f>IF('ORDENES'!$AB78="","-",'ORDENES'!$AB78)</f>
        <v/>
      </c>
      <c r="G83" s="3">
        <f>IF('ORDENES'!$C78="","-",'ORDENES'!$C78)</f>
        <v/>
      </c>
      <c r="H83" s="3">
        <f>IF('ORDENES'!$E78="","-",'ORDENES'!$E78)</f>
        <v/>
      </c>
      <c r="I83" s="3">
        <f>IF('ORDENES'!$F78="","-",'ORDENES'!$F78)</f>
        <v/>
      </c>
      <c r="J83" s="12">
        <f>IF('ORDENES'!$L78="",0,'ORDENES'!$L78)</f>
        <v/>
      </c>
      <c r="K83" s="3">
        <f>IF('ORDENES'!$N78="","-",'ORDENES'!$N78)</f>
        <v/>
      </c>
      <c r="L83" s="3">
        <f>'ORDENES'!$AA78</f>
        <v/>
      </c>
    </row>
    <row r="84">
      <c r="A84" s="3">
        <f>IF('ORDENES'!$O79="","-",'ORDENES'!$O79)</f>
        <v/>
      </c>
      <c r="B84" s="3">
        <f>IF('ORDENES'!$R79="","-",'ORDENES'!$R79)</f>
        <v/>
      </c>
      <c r="C84" s="3">
        <f>IF('ORDENES'!$AC79="","-",'ORDENES'!$AC79)</f>
        <v/>
      </c>
      <c r="D84" s="3">
        <f>IF('ORDENES'!$V79="","-",'ORDENES'!$V79)</f>
        <v/>
      </c>
      <c r="E84" s="3">
        <f>IF('ORDENES'!$U79="","-",'ORDENES'!$U79)</f>
        <v/>
      </c>
      <c r="F84" s="3">
        <f>IF('ORDENES'!$AB79="","-",'ORDENES'!$AB79)</f>
        <v/>
      </c>
      <c r="G84" s="3">
        <f>IF('ORDENES'!$C79="","-",'ORDENES'!$C79)</f>
        <v/>
      </c>
      <c r="H84" s="3">
        <f>IF('ORDENES'!$E79="","-",'ORDENES'!$E79)</f>
        <v/>
      </c>
      <c r="I84" s="3">
        <f>IF('ORDENES'!$F79="","-",'ORDENES'!$F79)</f>
        <v/>
      </c>
      <c r="J84" s="12">
        <f>IF('ORDENES'!$L79="",0,'ORDENES'!$L79)</f>
        <v/>
      </c>
      <c r="K84" s="3">
        <f>IF('ORDENES'!$N79="","-",'ORDENES'!$N79)</f>
        <v/>
      </c>
      <c r="L84" s="3">
        <f>'ORDENES'!$AA79</f>
        <v/>
      </c>
    </row>
    <row r="85">
      <c r="A85" s="3">
        <f>IF('ORDENES'!$O80="","-",'ORDENES'!$O80)</f>
        <v/>
      </c>
      <c r="B85" s="3">
        <f>IF('ORDENES'!$R80="","-",'ORDENES'!$R80)</f>
        <v/>
      </c>
      <c r="C85" s="3">
        <f>IF('ORDENES'!$AC80="","-",'ORDENES'!$AC80)</f>
        <v/>
      </c>
      <c r="D85" s="3">
        <f>IF('ORDENES'!$V80="","-",'ORDENES'!$V80)</f>
        <v/>
      </c>
      <c r="E85" s="3">
        <f>IF('ORDENES'!$U80="","-",'ORDENES'!$U80)</f>
        <v/>
      </c>
      <c r="F85" s="3">
        <f>IF('ORDENES'!$AB80="","-",'ORDENES'!$AB80)</f>
        <v/>
      </c>
      <c r="G85" s="3">
        <f>IF('ORDENES'!$C80="","-",'ORDENES'!$C80)</f>
        <v/>
      </c>
      <c r="H85" s="3">
        <f>IF('ORDENES'!$E80="","-",'ORDENES'!$E80)</f>
        <v/>
      </c>
      <c r="I85" s="3">
        <f>IF('ORDENES'!$F80="","-",'ORDENES'!$F80)</f>
        <v/>
      </c>
      <c r="J85" s="12">
        <f>IF('ORDENES'!$L80="",0,'ORDENES'!$L80)</f>
        <v/>
      </c>
      <c r="K85" s="3">
        <f>IF('ORDENES'!$N80="","-",'ORDENES'!$N80)</f>
        <v/>
      </c>
      <c r="L85" s="3">
        <f>'ORDENES'!$AA80</f>
        <v/>
      </c>
    </row>
    <row r="86">
      <c r="A86" s="3">
        <f>IF('ORDENES'!$O81="","-",'ORDENES'!$O81)</f>
        <v/>
      </c>
      <c r="B86" s="3">
        <f>IF('ORDENES'!$R81="","-",'ORDENES'!$R81)</f>
        <v/>
      </c>
      <c r="C86" s="3">
        <f>IF('ORDENES'!$AC81="","-",'ORDENES'!$AC81)</f>
        <v/>
      </c>
      <c r="D86" s="3">
        <f>IF('ORDENES'!$V81="","-",'ORDENES'!$V81)</f>
        <v/>
      </c>
      <c r="E86" s="3">
        <f>IF('ORDENES'!$U81="","-",'ORDENES'!$U81)</f>
        <v/>
      </c>
      <c r="F86" s="3">
        <f>IF('ORDENES'!$AB81="","-",'ORDENES'!$AB81)</f>
        <v/>
      </c>
      <c r="G86" s="3">
        <f>IF('ORDENES'!$C81="","-",'ORDENES'!$C81)</f>
        <v/>
      </c>
      <c r="H86" s="3">
        <f>IF('ORDENES'!$E81="","-",'ORDENES'!$E81)</f>
        <v/>
      </c>
      <c r="I86" s="3">
        <f>IF('ORDENES'!$F81="","-",'ORDENES'!$F81)</f>
        <v/>
      </c>
      <c r="J86" s="12">
        <f>IF('ORDENES'!$L81="",0,'ORDENES'!$L81)</f>
        <v/>
      </c>
      <c r="K86" s="3">
        <f>IF('ORDENES'!$N81="","-",'ORDENES'!$N81)</f>
        <v/>
      </c>
      <c r="L86" s="3">
        <f>'ORDENES'!$AA81</f>
        <v/>
      </c>
    </row>
    <row r="87">
      <c r="A87" s="3">
        <f>IF('ORDENES'!$O82="","-",'ORDENES'!$O82)</f>
        <v/>
      </c>
      <c r="B87" s="3">
        <f>IF('ORDENES'!$R82="","-",'ORDENES'!$R82)</f>
        <v/>
      </c>
      <c r="C87" s="3">
        <f>IF('ORDENES'!$AC82="","-",'ORDENES'!$AC82)</f>
        <v/>
      </c>
      <c r="D87" s="3">
        <f>IF('ORDENES'!$V82="","-",'ORDENES'!$V82)</f>
        <v/>
      </c>
      <c r="E87" s="3">
        <f>IF('ORDENES'!$U82="","-",'ORDENES'!$U82)</f>
        <v/>
      </c>
      <c r="F87" s="3">
        <f>IF('ORDENES'!$AB82="","-",'ORDENES'!$AB82)</f>
        <v/>
      </c>
      <c r="G87" s="3">
        <f>IF('ORDENES'!$C82="","-",'ORDENES'!$C82)</f>
        <v/>
      </c>
      <c r="H87" s="3">
        <f>IF('ORDENES'!$E82="","-",'ORDENES'!$E82)</f>
        <v/>
      </c>
      <c r="I87" s="3">
        <f>IF('ORDENES'!$F82="","-",'ORDENES'!$F82)</f>
        <v/>
      </c>
      <c r="J87" s="12">
        <f>IF('ORDENES'!$L82="",0,'ORDENES'!$L82)</f>
        <v/>
      </c>
      <c r="K87" s="3">
        <f>IF('ORDENES'!$N82="","-",'ORDENES'!$N82)</f>
        <v/>
      </c>
      <c r="L87" s="3">
        <f>'ORDENES'!$AA82</f>
        <v/>
      </c>
    </row>
    <row r="88">
      <c r="A88" s="3">
        <f>IF('ORDENES'!$O83="","-",'ORDENES'!$O83)</f>
        <v/>
      </c>
      <c r="B88" s="3">
        <f>IF('ORDENES'!$R83="","-",'ORDENES'!$R83)</f>
        <v/>
      </c>
      <c r="C88" s="3">
        <f>IF('ORDENES'!$AC83="","-",'ORDENES'!$AC83)</f>
        <v/>
      </c>
      <c r="D88" s="3">
        <f>IF('ORDENES'!$V83="","-",'ORDENES'!$V83)</f>
        <v/>
      </c>
      <c r="E88" s="3">
        <f>IF('ORDENES'!$U83="","-",'ORDENES'!$U83)</f>
        <v/>
      </c>
      <c r="F88" s="3">
        <f>IF('ORDENES'!$AB83="","-",'ORDENES'!$AB83)</f>
        <v/>
      </c>
      <c r="G88" s="3">
        <f>IF('ORDENES'!$C83="","-",'ORDENES'!$C83)</f>
        <v/>
      </c>
      <c r="H88" s="3">
        <f>IF('ORDENES'!$E83="","-",'ORDENES'!$E83)</f>
        <v/>
      </c>
      <c r="I88" s="3">
        <f>IF('ORDENES'!$F83="","-",'ORDENES'!$F83)</f>
        <v/>
      </c>
      <c r="J88" s="12">
        <f>IF('ORDENES'!$L83="",0,'ORDENES'!$L83)</f>
        <v/>
      </c>
      <c r="K88" s="3">
        <f>IF('ORDENES'!$N83="","-",'ORDENES'!$N83)</f>
        <v/>
      </c>
      <c r="L88" s="3">
        <f>'ORDENES'!$AA83</f>
        <v/>
      </c>
    </row>
    <row r="89">
      <c r="A89" s="3">
        <f>IF('ORDENES'!$O84="","-",'ORDENES'!$O84)</f>
        <v/>
      </c>
      <c r="B89" s="3">
        <f>IF('ORDENES'!$R84="","-",'ORDENES'!$R84)</f>
        <v/>
      </c>
      <c r="C89" s="3">
        <f>IF('ORDENES'!$AC84="","-",'ORDENES'!$AC84)</f>
        <v/>
      </c>
      <c r="D89" s="3">
        <f>IF('ORDENES'!$V84="","-",'ORDENES'!$V84)</f>
        <v/>
      </c>
      <c r="E89" s="3">
        <f>IF('ORDENES'!$U84="","-",'ORDENES'!$U84)</f>
        <v/>
      </c>
      <c r="F89" s="3">
        <f>IF('ORDENES'!$AB84="","-",'ORDENES'!$AB84)</f>
        <v/>
      </c>
      <c r="G89" s="3">
        <f>IF('ORDENES'!$C84="","-",'ORDENES'!$C84)</f>
        <v/>
      </c>
      <c r="H89" s="3">
        <f>IF('ORDENES'!$E84="","-",'ORDENES'!$E84)</f>
        <v/>
      </c>
      <c r="I89" s="3">
        <f>IF('ORDENES'!$F84="","-",'ORDENES'!$F84)</f>
        <v/>
      </c>
      <c r="J89" s="12">
        <f>IF('ORDENES'!$L84="",0,'ORDENES'!$L84)</f>
        <v/>
      </c>
      <c r="K89" s="3">
        <f>IF('ORDENES'!$N84="","-",'ORDENES'!$N84)</f>
        <v/>
      </c>
      <c r="L89" s="3">
        <f>'ORDENES'!$AA84</f>
        <v/>
      </c>
    </row>
    <row r="90">
      <c r="A90" s="3">
        <f>IF('ORDENES'!$O85="","-",'ORDENES'!$O85)</f>
        <v/>
      </c>
      <c r="B90" s="3">
        <f>IF('ORDENES'!$R85="","-",'ORDENES'!$R85)</f>
        <v/>
      </c>
      <c r="C90" s="3">
        <f>IF('ORDENES'!$AC85="","-",'ORDENES'!$AC85)</f>
        <v/>
      </c>
      <c r="D90" s="3">
        <f>IF('ORDENES'!$V85="","-",'ORDENES'!$V85)</f>
        <v/>
      </c>
      <c r="E90" s="3">
        <f>IF('ORDENES'!$U85="","-",'ORDENES'!$U85)</f>
        <v/>
      </c>
      <c r="F90" s="3">
        <f>IF('ORDENES'!$AB85="","-",'ORDENES'!$AB85)</f>
        <v/>
      </c>
      <c r="G90" s="3">
        <f>IF('ORDENES'!$C85="","-",'ORDENES'!$C85)</f>
        <v/>
      </c>
      <c r="H90" s="3">
        <f>IF('ORDENES'!$E85="","-",'ORDENES'!$E85)</f>
        <v/>
      </c>
      <c r="I90" s="3">
        <f>IF('ORDENES'!$F85="","-",'ORDENES'!$F85)</f>
        <v/>
      </c>
      <c r="J90" s="12">
        <f>IF('ORDENES'!$L85="",0,'ORDENES'!$L85)</f>
        <v/>
      </c>
      <c r="K90" s="3">
        <f>IF('ORDENES'!$N85="","-",'ORDENES'!$N85)</f>
        <v/>
      </c>
      <c r="L90" s="3">
        <f>'ORDENES'!$AA85</f>
        <v/>
      </c>
    </row>
    <row r="91">
      <c r="A91" s="3">
        <f>IF('ORDENES'!$O86="","-",'ORDENES'!$O86)</f>
        <v/>
      </c>
      <c r="B91" s="3">
        <f>IF('ORDENES'!$R86="","-",'ORDENES'!$R86)</f>
        <v/>
      </c>
      <c r="C91" s="3">
        <f>IF('ORDENES'!$AC86="","-",'ORDENES'!$AC86)</f>
        <v/>
      </c>
      <c r="D91" s="3">
        <f>IF('ORDENES'!$V86="","-",'ORDENES'!$V86)</f>
        <v/>
      </c>
      <c r="E91" s="3">
        <f>IF('ORDENES'!$U86="","-",'ORDENES'!$U86)</f>
        <v/>
      </c>
      <c r="F91" s="3">
        <f>IF('ORDENES'!$AB86="","-",'ORDENES'!$AB86)</f>
        <v/>
      </c>
      <c r="G91" s="3">
        <f>IF('ORDENES'!$C86="","-",'ORDENES'!$C86)</f>
        <v/>
      </c>
      <c r="H91" s="3">
        <f>IF('ORDENES'!$E86="","-",'ORDENES'!$E86)</f>
        <v/>
      </c>
      <c r="I91" s="3">
        <f>IF('ORDENES'!$F86="","-",'ORDENES'!$F86)</f>
        <v/>
      </c>
      <c r="J91" s="12">
        <f>IF('ORDENES'!$L86="",0,'ORDENES'!$L86)</f>
        <v/>
      </c>
      <c r="K91" s="3">
        <f>IF('ORDENES'!$N86="","-",'ORDENES'!$N86)</f>
        <v/>
      </c>
      <c r="L91" s="3">
        <f>'ORDENES'!$AA86</f>
        <v/>
      </c>
    </row>
    <row r="92">
      <c r="A92" s="3">
        <f>IF('ORDENES'!$O87="","-",'ORDENES'!$O87)</f>
        <v/>
      </c>
      <c r="B92" s="3">
        <f>IF('ORDENES'!$R87="","-",'ORDENES'!$R87)</f>
        <v/>
      </c>
      <c r="C92" s="3">
        <f>IF('ORDENES'!$AC87="","-",'ORDENES'!$AC87)</f>
        <v/>
      </c>
      <c r="D92" s="3">
        <f>IF('ORDENES'!$V87="","-",'ORDENES'!$V87)</f>
        <v/>
      </c>
      <c r="E92" s="3">
        <f>IF('ORDENES'!$U87="","-",'ORDENES'!$U87)</f>
        <v/>
      </c>
      <c r="F92" s="3">
        <f>IF('ORDENES'!$AB87="","-",'ORDENES'!$AB87)</f>
        <v/>
      </c>
      <c r="G92" s="3">
        <f>IF('ORDENES'!$C87="","-",'ORDENES'!$C87)</f>
        <v/>
      </c>
      <c r="H92" s="3">
        <f>IF('ORDENES'!$E87="","-",'ORDENES'!$E87)</f>
        <v/>
      </c>
      <c r="I92" s="3">
        <f>IF('ORDENES'!$F87="","-",'ORDENES'!$F87)</f>
        <v/>
      </c>
      <c r="J92" s="12">
        <f>IF('ORDENES'!$L87="",0,'ORDENES'!$L87)</f>
        <v/>
      </c>
      <c r="K92" s="3">
        <f>IF('ORDENES'!$N87="","-",'ORDENES'!$N87)</f>
        <v/>
      </c>
      <c r="L92" s="3">
        <f>'ORDENES'!$AA87</f>
        <v/>
      </c>
    </row>
    <row r="93">
      <c r="A93" s="3">
        <f>IF('ORDENES'!$O88="","-",'ORDENES'!$O88)</f>
        <v/>
      </c>
      <c r="B93" s="3">
        <f>IF('ORDENES'!$R88="","-",'ORDENES'!$R88)</f>
        <v/>
      </c>
      <c r="C93" s="3">
        <f>IF('ORDENES'!$AC88="","-",'ORDENES'!$AC88)</f>
        <v/>
      </c>
      <c r="D93" s="3">
        <f>IF('ORDENES'!$V88="","-",'ORDENES'!$V88)</f>
        <v/>
      </c>
      <c r="E93" s="3">
        <f>IF('ORDENES'!$U88="","-",'ORDENES'!$U88)</f>
        <v/>
      </c>
      <c r="F93" s="3">
        <f>IF('ORDENES'!$AB88="","-",'ORDENES'!$AB88)</f>
        <v/>
      </c>
      <c r="G93" s="3">
        <f>IF('ORDENES'!$C88="","-",'ORDENES'!$C88)</f>
        <v/>
      </c>
      <c r="H93" s="3">
        <f>IF('ORDENES'!$E88="","-",'ORDENES'!$E88)</f>
        <v/>
      </c>
      <c r="I93" s="3">
        <f>IF('ORDENES'!$F88="","-",'ORDENES'!$F88)</f>
        <v/>
      </c>
      <c r="J93" s="12">
        <f>IF('ORDENES'!$L88="",0,'ORDENES'!$L88)</f>
        <v/>
      </c>
      <c r="K93" s="3">
        <f>IF('ORDENES'!$N88="","-",'ORDENES'!$N88)</f>
        <v/>
      </c>
      <c r="L93" s="3">
        <f>'ORDENES'!$AA88</f>
        <v/>
      </c>
    </row>
    <row r="94">
      <c r="A94" s="3">
        <f>IF('ORDENES'!$O89="","-",'ORDENES'!$O89)</f>
        <v/>
      </c>
      <c r="B94" s="3">
        <f>IF('ORDENES'!$R89="","-",'ORDENES'!$R89)</f>
        <v/>
      </c>
      <c r="C94" s="3">
        <f>IF('ORDENES'!$AC89="","-",'ORDENES'!$AC89)</f>
        <v/>
      </c>
      <c r="D94" s="3">
        <f>IF('ORDENES'!$V89="","-",'ORDENES'!$V89)</f>
        <v/>
      </c>
      <c r="E94" s="3">
        <f>IF('ORDENES'!$U89="","-",'ORDENES'!$U89)</f>
        <v/>
      </c>
      <c r="F94" s="3">
        <f>IF('ORDENES'!$AB89="","-",'ORDENES'!$AB89)</f>
        <v/>
      </c>
      <c r="G94" s="3">
        <f>IF('ORDENES'!$C89="","-",'ORDENES'!$C89)</f>
        <v/>
      </c>
      <c r="H94" s="3">
        <f>IF('ORDENES'!$E89="","-",'ORDENES'!$E89)</f>
        <v/>
      </c>
      <c r="I94" s="3">
        <f>IF('ORDENES'!$F89="","-",'ORDENES'!$F89)</f>
        <v/>
      </c>
      <c r="J94" s="12">
        <f>IF('ORDENES'!$L89="",0,'ORDENES'!$L89)</f>
        <v/>
      </c>
      <c r="K94" s="3">
        <f>IF('ORDENES'!$N89="","-",'ORDENES'!$N89)</f>
        <v/>
      </c>
      <c r="L94" s="3">
        <f>'ORDENES'!$AA89</f>
        <v/>
      </c>
    </row>
    <row r="95">
      <c r="A95" s="3">
        <f>IF('ORDENES'!$O90="","-",'ORDENES'!$O90)</f>
        <v/>
      </c>
      <c r="B95" s="3">
        <f>IF('ORDENES'!$R90="","-",'ORDENES'!$R90)</f>
        <v/>
      </c>
      <c r="C95" s="3">
        <f>IF('ORDENES'!$AC90="","-",'ORDENES'!$AC90)</f>
        <v/>
      </c>
      <c r="D95" s="3">
        <f>IF('ORDENES'!$V90="","-",'ORDENES'!$V90)</f>
        <v/>
      </c>
      <c r="E95" s="3">
        <f>IF('ORDENES'!$U90="","-",'ORDENES'!$U90)</f>
        <v/>
      </c>
      <c r="F95" s="3">
        <f>IF('ORDENES'!$AB90="","-",'ORDENES'!$AB90)</f>
        <v/>
      </c>
      <c r="G95" s="3">
        <f>IF('ORDENES'!$C90="","-",'ORDENES'!$C90)</f>
        <v/>
      </c>
      <c r="H95" s="3">
        <f>IF('ORDENES'!$E90="","-",'ORDENES'!$E90)</f>
        <v/>
      </c>
      <c r="I95" s="3">
        <f>IF('ORDENES'!$F90="","-",'ORDENES'!$F90)</f>
        <v/>
      </c>
      <c r="J95" s="12">
        <f>IF('ORDENES'!$L90="",0,'ORDENES'!$L90)</f>
        <v/>
      </c>
      <c r="K95" s="3">
        <f>IF('ORDENES'!$N90="","-",'ORDENES'!$N90)</f>
        <v/>
      </c>
      <c r="L95" s="3">
        <f>'ORDENES'!$AA90</f>
        <v/>
      </c>
    </row>
    <row r="96">
      <c r="A96" s="3">
        <f>IF('ORDENES'!$O91="","-",'ORDENES'!$O91)</f>
        <v/>
      </c>
      <c r="B96" s="3">
        <f>IF('ORDENES'!$R91="","-",'ORDENES'!$R91)</f>
        <v/>
      </c>
      <c r="C96" s="3">
        <f>IF('ORDENES'!$AC91="","-",'ORDENES'!$AC91)</f>
        <v/>
      </c>
      <c r="D96" s="3">
        <f>IF('ORDENES'!$V91="","-",'ORDENES'!$V91)</f>
        <v/>
      </c>
      <c r="E96" s="3">
        <f>IF('ORDENES'!$U91="","-",'ORDENES'!$U91)</f>
        <v/>
      </c>
      <c r="F96" s="3">
        <f>IF('ORDENES'!$AB91="","-",'ORDENES'!$AB91)</f>
        <v/>
      </c>
      <c r="G96" s="3">
        <f>IF('ORDENES'!$C91="","-",'ORDENES'!$C91)</f>
        <v/>
      </c>
      <c r="H96" s="3">
        <f>IF('ORDENES'!$E91="","-",'ORDENES'!$E91)</f>
        <v/>
      </c>
      <c r="I96" s="3">
        <f>IF('ORDENES'!$F91="","-",'ORDENES'!$F91)</f>
        <v/>
      </c>
      <c r="J96" s="12">
        <f>IF('ORDENES'!$L91="",0,'ORDENES'!$L91)</f>
        <v/>
      </c>
      <c r="K96" s="3">
        <f>IF('ORDENES'!$N91="","-",'ORDENES'!$N91)</f>
        <v/>
      </c>
      <c r="L96" s="3">
        <f>'ORDENES'!$AA91</f>
        <v/>
      </c>
    </row>
    <row r="97">
      <c r="A97" s="3">
        <f>IF('ORDENES'!$O92="","-",'ORDENES'!$O92)</f>
        <v/>
      </c>
      <c r="B97" s="3">
        <f>IF('ORDENES'!$R92="","-",'ORDENES'!$R92)</f>
        <v/>
      </c>
      <c r="C97" s="3">
        <f>IF('ORDENES'!$AC92="","-",'ORDENES'!$AC92)</f>
        <v/>
      </c>
      <c r="D97" s="3">
        <f>IF('ORDENES'!$V92="","-",'ORDENES'!$V92)</f>
        <v/>
      </c>
      <c r="E97" s="3">
        <f>IF('ORDENES'!$U92="","-",'ORDENES'!$U92)</f>
        <v/>
      </c>
      <c r="F97" s="3">
        <f>IF('ORDENES'!$AB92="","-",'ORDENES'!$AB92)</f>
        <v/>
      </c>
      <c r="G97" s="3">
        <f>IF('ORDENES'!$C92="","-",'ORDENES'!$C92)</f>
        <v/>
      </c>
      <c r="H97" s="3">
        <f>IF('ORDENES'!$E92="","-",'ORDENES'!$E92)</f>
        <v/>
      </c>
      <c r="I97" s="3">
        <f>IF('ORDENES'!$F92="","-",'ORDENES'!$F92)</f>
        <v/>
      </c>
      <c r="J97" s="12">
        <f>IF('ORDENES'!$L92="",0,'ORDENES'!$L92)</f>
        <v/>
      </c>
      <c r="K97" s="3">
        <f>IF('ORDENES'!$N92="","-",'ORDENES'!$N92)</f>
        <v/>
      </c>
      <c r="L97" s="3">
        <f>'ORDENES'!$AA92</f>
        <v/>
      </c>
    </row>
    <row r="98">
      <c r="A98" s="3">
        <f>IF('ORDENES'!$O93="","-",'ORDENES'!$O93)</f>
        <v/>
      </c>
      <c r="B98" s="3">
        <f>IF('ORDENES'!$R93="","-",'ORDENES'!$R93)</f>
        <v/>
      </c>
      <c r="C98" s="3">
        <f>IF('ORDENES'!$AC93="","-",'ORDENES'!$AC93)</f>
        <v/>
      </c>
      <c r="D98" s="3">
        <f>IF('ORDENES'!$V93="","-",'ORDENES'!$V93)</f>
        <v/>
      </c>
      <c r="E98" s="3">
        <f>IF('ORDENES'!$U93="","-",'ORDENES'!$U93)</f>
        <v/>
      </c>
      <c r="F98" s="3">
        <f>IF('ORDENES'!$AB93="","-",'ORDENES'!$AB93)</f>
        <v/>
      </c>
      <c r="G98" s="3">
        <f>IF('ORDENES'!$C93="","-",'ORDENES'!$C93)</f>
        <v/>
      </c>
      <c r="H98" s="3">
        <f>IF('ORDENES'!$E93="","-",'ORDENES'!$E93)</f>
        <v/>
      </c>
      <c r="I98" s="3">
        <f>IF('ORDENES'!$F93="","-",'ORDENES'!$F93)</f>
        <v/>
      </c>
      <c r="J98" s="12">
        <f>IF('ORDENES'!$L93="",0,'ORDENES'!$L93)</f>
        <v/>
      </c>
      <c r="K98" s="3">
        <f>IF('ORDENES'!$N93="","-",'ORDENES'!$N93)</f>
        <v/>
      </c>
      <c r="L98" s="3">
        <f>'ORDENES'!$AA93</f>
        <v/>
      </c>
    </row>
    <row r="99">
      <c r="A99" s="3">
        <f>IF('ORDENES'!$O94="","-",'ORDENES'!$O94)</f>
        <v/>
      </c>
      <c r="B99" s="3">
        <f>IF('ORDENES'!$R94="","-",'ORDENES'!$R94)</f>
        <v/>
      </c>
      <c r="C99" s="3">
        <f>IF('ORDENES'!$AC94="","-",'ORDENES'!$AC94)</f>
        <v/>
      </c>
      <c r="D99" s="3">
        <f>IF('ORDENES'!$V94="","-",'ORDENES'!$V94)</f>
        <v/>
      </c>
      <c r="E99" s="3">
        <f>IF('ORDENES'!$U94="","-",'ORDENES'!$U94)</f>
        <v/>
      </c>
      <c r="F99" s="3">
        <f>IF('ORDENES'!$AB94="","-",'ORDENES'!$AB94)</f>
        <v/>
      </c>
      <c r="G99" s="3">
        <f>IF('ORDENES'!$C94="","-",'ORDENES'!$C94)</f>
        <v/>
      </c>
      <c r="H99" s="3">
        <f>IF('ORDENES'!$E94="","-",'ORDENES'!$E94)</f>
        <v/>
      </c>
      <c r="I99" s="3">
        <f>IF('ORDENES'!$F94="","-",'ORDENES'!$F94)</f>
        <v/>
      </c>
      <c r="J99" s="12">
        <f>IF('ORDENES'!$L94="",0,'ORDENES'!$L94)</f>
        <v/>
      </c>
      <c r="K99" s="3">
        <f>IF('ORDENES'!$N94="","-",'ORDENES'!$N94)</f>
        <v/>
      </c>
      <c r="L99" s="3">
        <f>'ORDENES'!$AA94</f>
        <v/>
      </c>
    </row>
    <row r="100">
      <c r="A100" s="3">
        <f>IF('ORDENES'!$O95="","-",'ORDENES'!$O95)</f>
        <v/>
      </c>
      <c r="B100" s="3">
        <f>IF('ORDENES'!$R95="","-",'ORDENES'!$R95)</f>
        <v/>
      </c>
      <c r="C100" s="3">
        <f>IF('ORDENES'!$AC95="","-",'ORDENES'!$AC95)</f>
        <v/>
      </c>
      <c r="D100" s="3">
        <f>IF('ORDENES'!$V95="","-",'ORDENES'!$V95)</f>
        <v/>
      </c>
      <c r="E100" s="3">
        <f>IF('ORDENES'!$U95="","-",'ORDENES'!$U95)</f>
        <v/>
      </c>
      <c r="F100" s="3">
        <f>IF('ORDENES'!$AB95="","-",'ORDENES'!$AB95)</f>
        <v/>
      </c>
      <c r="G100" s="3">
        <f>IF('ORDENES'!$C95="","-",'ORDENES'!$C95)</f>
        <v/>
      </c>
      <c r="H100" s="3">
        <f>IF('ORDENES'!$E95="","-",'ORDENES'!$E95)</f>
        <v/>
      </c>
      <c r="I100" s="3">
        <f>IF('ORDENES'!$F95="","-",'ORDENES'!$F95)</f>
        <v/>
      </c>
      <c r="J100" s="12">
        <f>IF('ORDENES'!$L95="",0,'ORDENES'!$L95)</f>
        <v/>
      </c>
      <c r="K100" s="3">
        <f>IF('ORDENES'!$N95="","-",'ORDENES'!$N95)</f>
        <v/>
      </c>
      <c r="L100" s="3">
        <f>'ORDENES'!$AA95</f>
        <v/>
      </c>
    </row>
    <row r="101">
      <c r="A101" s="3">
        <f>IF('ORDENES'!$O96="","-",'ORDENES'!$O96)</f>
        <v/>
      </c>
      <c r="B101" s="3">
        <f>IF('ORDENES'!$R96="","-",'ORDENES'!$R96)</f>
        <v/>
      </c>
      <c r="C101" s="3">
        <f>IF('ORDENES'!$AC96="","-",'ORDENES'!$AC96)</f>
        <v/>
      </c>
      <c r="D101" s="3">
        <f>IF('ORDENES'!$V96="","-",'ORDENES'!$V96)</f>
        <v/>
      </c>
      <c r="E101" s="3">
        <f>IF('ORDENES'!$U96="","-",'ORDENES'!$U96)</f>
        <v/>
      </c>
      <c r="F101" s="3">
        <f>IF('ORDENES'!$AB96="","-",'ORDENES'!$AB96)</f>
        <v/>
      </c>
      <c r="G101" s="3">
        <f>IF('ORDENES'!$C96="","-",'ORDENES'!$C96)</f>
        <v/>
      </c>
      <c r="H101" s="3">
        <f>IF('ORDENES'!$E96="","-",'ORDENES'!$E96)</f>
        <v/>
      </c>
      <c r="I101" s="3">
        <f>IF('ORDENES'!$F96="","-",'ORDENES'!$F96)</f>
        <v/>
      </c>
      <c r="J101" s="12">
        <f>IF('ORDENES'!$L96="",0,'ORDENES'!$L96)</f>
        <v/>
      </c>
      <c r="K101" s="3">
        <f>IF('ORDENES'!$N96="","-",'ORDENES'!$N96)</f>
        <v/>
      </c>
      <c r="L101" s="3">
        <f>'ORDENES'!$AA96</f>
        <v/>
      </c>
    </row>
    <row r="102">
      <c r="A102" s="3">
        <f>IF('ORDENES'!$O97="","-",'ORDENES'!$O97)</f>
        <v/>
      </c>
      <c r="B102" s="3">
        <f>IF('ORDENES'!$R97="","-",'ORDENES'!$R97)</f>
        <v/>
      </c>
      <c r="C102" s="3">
        <f>IF('ORDENES'!$AC97="","-",'ORDENES'!$AC97)</f>
        <v/>
      </c>
      <c r="D102" s="3">
        <f>IF('ORDENES'!$V97="","-",'ORDENES'!$V97)</f>
        <v/>
      </c>
      <c r="E102" s="3">
        <f>IF('ORDENES'!$U97="","-",'ORDENES'!$U97)</f>
        <v/>
      </c>
      <c r="F102" s="3">
        <f>IF('ORDENES'!$AB97="","-",'ORDENES'!$AB97)</f>
        <v/>
      </c>
      <c r="G102" s="3">
        <f>IF('ORDENES'!$C97="","-",'ORDENES'!$C97)</f>
        <v/>
      </c>
      <c r="H102" s="3">
        <f>IF('ORDENES'!$E97="","-",'ORDENES'!$E97)</f>
        <v/>
      </c>
      <c r="I102" s="3">
        <f>IF('ORDENES'!$F97="","-",'ORDENES'!$F97)</f>
        <v/>
      </c>
      <c r="J102" s="12">
        <f>IF('ORDENES'!$L97="",0,'ORDENES'!$L97)</f>
        <v/>
      </c>
      <c r="K102" s="3">
        <f>IF('ORDENES'!$N97="","-",'ORDENES'!$N97)</f>
        <v/>
      </c>
      <c r="L102" s="3">
        <f>'ORDENES'!$AA97</f>
        <v/>
      </c>
    </row>
    <row r="103">
      <c r="A103" s="3">
        <f>IF('ORDENES'!$O98="","-",'ORDENES'!$O98)</f>
        <v/>
      </c>
      <c r="B103" s="3">
        <f>IF('ORDENES'!$R98="","-",'ORDENES'!$R98)</f>
        <v/>
      </c>
      <c r="C103" s="3">
        <f>IF('ORDENES'!$AC98="","-",'ORDENES'!$AC98)</f>
        <v/>
      </c>
      <c r="D103" s="3">
        <f>IF('ORDENES'!$V98="","-",'ORDENES'!$V98)</f>
        <v/>
      </c>
      <c r="E103" s="3">
        <f>IF('ORDENES'!$U98="","-",'ORDENES'!$U98)</f>
        <v/>
      </c>
      <c r="F103" s="3">
        <f>IF('ORDENES'!$AB98="","-",'ORDENES'!$AB98)</f>
        <v/>
      </c>
      <c r="G103" s="3">
        <f>IF('ORDENES'!$C98="","-",'ORDENES'!$C98)</f>
        <v/>
      </c>
      <c r="H103" s="3">
        <f>IF('ORDENES'!$E98="","-",'ORDENES'!$E98)</f>
        <v/>
      </c>
      <c r="I103" s="3">
        <f>IF('ORDENES'!$F98="","-",'ORDENES'!$F98)</f>
        <v/>
      </c>
      <c r="J103" s="12">
        <f>IF('ORDENES'!$L98="",0,'ORDENES'!$L98)</f>
        <v/>
      </c>
      <c r="K103" s="3">
        <f>IF('ORDENES'!$N98="","-",'ORDENES'!$N98)</f>
        <v/>
      </c>
      <c r="L103" s="3">
        <f>'ORDENES'!$AA98</f>
        <v/>
      </c>
    </row>
    <row r="104">
      <c r="A104" s="3">
        <f>IF('ORDENES'!$O99="","-",'ORDENES'!$O99)</f>
        <v/>
      </c>
      <c r="B104" s="3">
        <f>IF('ORDENES'!$R99="","-",'ORDENES'!$R99)</f>
        <v/>
      </c>
      <c r="C104" s="3">
        <f>IF('ORDENES'!$AC99="","-",'ORDENES'!$AC99)</f>
        <v/>
      </c>
      <c r="D104" s="3">
        <f>IF('ORDENES'!$V99="","-",'ORDENES'!$V99)</f>
        <v/>
      </c>
      <c r="E104" s="3">
        <f>IF('ORDENES'!$U99="","-",'ORDENES'!$U99)</f>
        <v/>
      </c>
      <c r="F104" s="3">
        <f>IF('ORDENES'!$AB99="","-",'ORDENES'!$AB99)</f>
        <v/>
      </c>
      <c r="G104" s="3">
        <f>IF('ORDENES'!$C99="","-",'ORDENES'!$C99)</f>
        <v/>
      </c>
      <c r="H104" s="3">
        <f>IF('ORDENES'!$E99="","-",'ORDENES'!$E99)</f>
        <v/>
      </c>
      <c r="I104" s="3">
        <f>IF('ORDENES'!$F99="","-",'ORDENES'!$F99)</f>
        <v/>
      </c>
      <c r="J104" s="12">
        <f>IF('ORDENES'!$L99="",0,'ORDENES'!$L99)</f>
        <v/>
      </c>
      <c r="K104" s="3">
        <f>IF('ORDENES'!$N99="","-",'ORDENES'!$N99)</f>
        <v/>
      </c>
      <c r="L104" s="3">
        <f>'ORDENES'!$AA99</f>
        <v/>
      </c>
    </row>
    <row r="105">
      <c r="A105" s="3">
        <f>IF('ORDENES'!$O100="","-",'ORDENES'!$O100)</f>
        <v/>
      </c>
      <c r="B105" s="3">
        <f>IF('ORDENES'!$R100="","-",'ORDENES'!$R100)</f>
        <v/>
      </c>
      <c r="C105" s="3">
        <f>IF('ORDENES'!$AC100="","-",'ORDENES'!$AC100)</f>
        <v/>
      </c>
      <c r="D105" s="3">
        <f>IF('ORDENES'!$V100="","-",'ORDENES'!$V100)</f>
        <v/>
      </c>
      <c r="E105" s="3">
        <f>IF('ORDENES'!$U100="","-",'ORDENES'!$U100)</f>
        <v/>
      </c>
      <c r="F105" s="3">
        <f>IF('ORDENES'!$AB100="","-",'ORDENES'!$AB100)</f>
        <v/>
      </c>
      <c r="G105" s="3">
        <f>IF('ORDENES'!$C100="","-",'ORDENES'!$C100)</f>
        <v/>
      </c>
      <c r="H105" s="3">
        <f>IF('ORDENES'!$E100="","-",'ORDENES'!$E100)</f>
        <v/>
      </c>
      <c r="I105" s="3">
        <f>IF('ORDENES'!$F100="","-",'ORDENES'!$F100)</f>
        <v/>
      </c>
      <c r="J105" s="12">
        <f>IF('ORDENES'!$L100="",0,'ORDENES'!$L100)</f>
        <v/>
      </c>
      <c r="K105" s="3">
        <f>IF('ORDENES'!$N100="","-",'ORDENES'!$N100)</f>
        <v/>
      </c>
      <c r="L105" s="3">
        <f>'ORDENES'!$AA100</f>
        <v/>
      </c>
    </row>
    <row r="106">
      <c r="A106" s="3">
        <f>IF('ORDENES'!$O101="","-",'ORDENES'!$O101)</f>
        <v/>
      </c>
      <c r="B106" s="3">
        <f>IF('ORDENES'!$R101="","-",'ORDENES'!$R101)</f>
        <v/>
      </c>
      <c r="C106" s="3">
        <f>IF('ORDENES'!$AC101="","-",'ORDENES'!$AC101)</f>
        <v/>
      </c>
      <c r="D106" s="3">
        <f>IF('ORDENES'!$V101="","-",'ORDENES'!$V101)</f>
        <v/>
      </c>
      <c r="E106" s="3">
        <f>IF('ORDENES'!$U101="","-",'ORDENES'!$U101)</f>
        <v/>
      </c>
      <c r="F106" s="3">
        <f>IF('ORDENES'!$AB101="","-",'ORDENES'!$AB101)</f>
        <v/>
      </c>
      <c r="G106" s="3">
        <f>IF('ORDENES'!$C101="","-",'ORDENES'!$C101)</f>
        <v/>
      </c>
      <c r="H106" s="3">
        <f>IF('ORDENES'!$E101="","-",'ORDENES'!$E101)</f>
        <v/>
      </c>
      <c r="I106" s="3">
        <f>IF('ORDENES'!$F101="","-",'ORDENES'!$F101)</f>
        <v/>
      </c>
      <c r="J106" s="12">
        <f>IF('ORDENES'!$L101="",0,'ORDENES'!$L101)</f>
        <v/>
      </c>
      <c r="K106" s="3">
        <f>IF('ORDENES'!$N101="","-",'ORDENES'!$N101)</f>
        <v/>
      </c>
      <c r="L106" s="3">
        <f>'ORDENES'!$AA101</f>
        <v/>
      </c>
    </row>
    <row r="107">
      <c r="A107" s="3">
        <f>IF('ORDENES'!$O102="","-",'ORDENES'!$O102)</f>
        <v/>
      </c>
      <c r="B107" s="3">
        <f>IF('ORDENES'!$R102="","-",'ORDENES'!$R102)</f>
        <v/>
      </c>
      <c r="C107" s="3">
        <f>IF('ORDENES'!$AC102="","-",'ORDENES'!$AC102)</f>
        <v/>
      </c>
      <c r="D107" s="3">
        <f>IF('ORDENES'!$V102="","-",'ORDENES'!$V102)</f>
        <v/>
      </c>
      <c r="E107" s="3">
        <f>IF('ORDENES'!$U102="","-",'ORDENES'!$U102)</f>
        <v/>
      </c>
      <c r="F107" s="3">
        <f>IF('ORDENES'!$AB102="","-",'ORDENES'!$AB102)</f>
        <v/>
      </c>
      <c r="G107" s="3">
        <f>IF('ORDENES'!$C102="","-",'ORDENES'!$C102)</f>
        <v/>
      </c>
      <c r="H107" s="3">
        <f>IF('ORDENES'!$E102="","-",'ORDENES'!$E102)</f>
        <v/>
      </c>
      <c r="I107" s="3">
        <f>IF('ORDENES'!$F102="","-",'ORDENES'!$F102)</f>
        <v/>
      </c>
      <c r="J107" s="12">
        <f>IF('ORDENES'!$L102="",0,'ORDENES'!$L102)</f>
        <v/>
      </c>
      <c r="K107" s="3">
        <f>IF('ORDENES'!$N102="","-",'ORDENES'!$N102)</f>
        <v/>
      </c>
      <c r="L107" s="3">
        <f>'ORDENES'!$AA102</f>
        <v/>
      </c>
    </row>
    <row r="108">
      <c r="A108" s="3">
        <f>IF('ORDENES'!$O103="","-",'ORDENES'!$O103)</f>
        <v/>
      </c>
      <c r="B108" s="3">
        <f>IF('ORDENES'!$R103="","-",'ORDENES'!$R103)</f>
        <v/>
      </c>
      <c r="C108" s="3">
        <f>IF('ORDENES'!$AC103="","-",'ORDENES'!$AC103)</f>
        <v/>
      </c>
      <c r="D108" s="3">
        <f>IF('ORDENES'!$V103="","-",'ORDENES'!$V103)</f>
        <v/>
      </c>
      <c r="E108" s="3">
        <f>IF('ORDENES'!$U103="","-",'ORDENES'!$U103)</f>
        <v/>
      </c>
      <c r="F108" s="3">
        <f>IF('ORDENES'!$AB103="","-",'ORDENES'!$AB103)</f>
        <v/>
      </c>
      <c r="G108" s="3">
        <f>IF('ORDENES'!$C103="","-",'ORDENES'!$C103)</f>
        <v/>
      </c>
      <c r="H108" s="3">
        <f>IF('ORDENES'!$E103="","-",'ORDENES'!$E103)</f>
        <v/>
      </c>
      <c r="I108" s="3">
        <f>IF('ORDENES'!$F103="","-",'ORDENES'!$F103)</f>
        <v/>
      </c>
      <c r="J108" s="12">
        <f>IF('ORDENES'!$L103="",0,'ORDENES'!$L103)</f>
        <v/>
      </c>
      <c r="K108" s="3">
        <f>IF('ORDENES'!$N103="","-",'ORDENES'!$N103)</f>
        <v/>
      </c>
      <c r="L108" s="3">
        <f>'ORDENES'!$AA103</f>
        <v/>
      </c>
    </row>
    <row r="109">
      <c r="A109" s="3">
        <f>IF('ORDENES'!$O104="","-",'ORDENES'!$O104)</f>
        <v/>
      </c>
      <c r="B109" s="3">
        <f>IF('ORDENES'!$R104="","-",'ORDENES'!$R104)</f>
        <v/>
      </c>
      <c r="C109" s="3">
        <f>IF('ORDENES'!$AC104="","-",'ORDENES'!$AC104)</f>
        <v/>
      </c>
      <c r="D109" s="3">
        <f>IF('ORDENES'!$V104="","-",'ORDENES'!$V104)</f>
        <v/>
      </c>
      <c r="E109" s="3">
        <f>IF('ORDENES'!$U104="","-",'ORDENES'!$U104)</f>
        <v/>
      </c>
      <c r="F109" s="3">
        <f>IF('ORDENES'!$AB104="","-",'ORDENES'!$AB104)</f>
        <v/>
      </c>
      <c r="G109" s="3">
        <f>IF('ORDENES'!$C104="","-",'ORDENES'!$C104)</f>
        <v/>
      </c>
      <c r="H109" s="3">
        <f>IF('ORDENES'!$E104="","-",'ORDENES'!$E104)</f>
        <v/>
      </c>
      <c r="I109" s="3">
        <f>IF('ORDENES'!$F104="","-",'ORDENES'!$F104)</f>
        <v/>
      </c>
      <c r="J109" s="12">
        <f>IF('ORDENES'!$L104="",0,'ORDENES'!$L104)</f>
        <v/>
      </c>
      <c r="K109" s="3">
        <f>IF('ORDENES'!$N104="","-",'ORDENES'!$N104)</f>
        <v/>
      </c>
      <c r="L109" s="3">
        <f>'ORDENES'!$AA104</f>
        <v/>
      </c>
    </row>
    <row r="110">
      <c r="A110" s="3">
        <f>IF('ORDENES'!$O105="","-",'ORDENES'!$O105)</f>
        <v/>
      </c>
      <c r="B110" s="3">
        <f>IF('ORDENES'!$R105="","-",'ORDENES'!$R105)</f>
        <v/>
      </c>
      <c r="C110" s="3">
        <f>IF('ORDENES'!$AC105="","-",'ORDENES'!$AC105)</f>
        <v/>
      </c>
      <c r="D110" s="3">
        <f>IF('ORDENES'!$V105="","-",'ORDENES'!$V105)</f>
        <v/>
      </c>
      <c r="E110" s="3">
        <f>IF('ORDENES'!$U105="","-",'ORDENES'!$U105)</f>
        <v/>
      </c>
      <c r="F110" s="3">
        <f>IF('ORDENES'!$AB105="","-",'ORDENES'!$AB105)</f>
        <v/>
      </c>
      <c r="G110" s="3">
        <f>IF('ORDENES'!$C105="","-",'ORDENES'!$C105)</f>
        <v/>
      </c>
      <c r="H110" s="3">
        <f>IF('ORDENES'!$E105="","-",'ORDENES'!$E105)</f>
        <v/>
      </c>
      <c r="I110" s="3">
        <f>IF('ORDENES'!$F105="","-",'ORDENES'!$F105)</f>
        <v/>
      </c>
      <c r="J110" s="12">
        <f>IF('ORDENES'!$L105="",0,'ORDENES'!$L105)</f>
        <v/>
      </c>
      <c r="K110" s="3">
        <f>IF('ORDENES'!$N105="","-",'ORDENES'!$N105)</f>
        <v/>
      </c>
      <c r="L110" s="3">
        <f>'ORDENES'!$AA105</f>
        <v/>
      </c>
    </row>
    <row r="111">
      <c r="A111" s="3">
        <f>IF('ORDENES'!$O106="","-",'ORDENES'!$O106)</f>
        <v/>
      </c>
      <c r="B111" s="3">
        <f>IF('ORDENES'!$R106="","-",'ORDENES'!$R106)</f>
        <v/>
      </c>
      <c r="C111" s="3">
        <f>IF('ORDENES'!$AC106="","-",'ORDENES'!$AC106)</f>
        <v/>
      </c>
      <c r="D111" s="3">
        <f>IF('ORDENES'!$V106="","-",'ORDENES'!$V106)</f>
        <v/>
      </c>
      <c r="E111" s="3">
        <f>IF('ORDENES'!$U106="","-",'ORDENES'!$U106)</f>
        <v/>
      </c>
      <c r="F111" s="3">
        <f>IF('ORDENES'!$AB106="","-",'ORDENES'!$AB106)</f>
        <v/>
      </c>
      <c r="G111" s="3">
        <f>IF('ORDENES'!$C106="","-",'ORDENES'!$C106)</f>
        <v/>
      </c>
      <c r="H111" s="3">
        <f>IF('ORDENES'!$E106="","-",'ORDENES'!$E106)</f>
        <v/>
      </c>
      <c r="I111" s="3">
        <f>IF('ORDENES'!$F106="","-",'ORDENES'!$F106)</f>
        <v/>
      </c>
      <c r="J111" s="12">
        <f>IF('ORDENES'!$L106="",0,'ORDENES'!$L106)</f>
        <v/>
      </c>
      <c r="K111" s="3">
        <f>IF('ORDENES'!$N106="","-",'ORDENES'!$N106)</f>
        <v/>
      </c>
      <c r="L111" s="3">
        <f>'ORDENES'!$AA106</f>
        <v/>
      </c>
    </row>
    <row r="112">
      <c r="A112" s="3">
        <f>IF('ORDENES'!$O107="","-",'ORDENES'!$O107)</f>
        <v/>
      </c>
      <c r="B112" s="3">
        <f>IF('ORDENES'!$R107="","-",'ORDENES'!$R107)</f>
        <v/>
      </c>
      <c r="C112" s="3">
        <f>IF('ORDENES'!$AC107="","-",'ORDENES'!$AC107)</f>
        <v/>
      </c>
      <c r="D112" s="3">
        <f>IF('ORDENES'!$V107="","-",'ORDENES'!$V107)</f>
        <v/>
      </c>
      <c r="E112" s="3">
        <f>IF('ORDENES'!$U107="","-",'ORDENES'!$U107)</f>
        <v/>
      </c>
      <c r="F112" s="3">
        <f>IF('ORDENES'!$AB107="","-",'ORDENES'!$AB107)</f>
        <v/>
      </c>
      <c r="G112" s="3">
        <f>IF('ORDENES'!$C107="","-",'ORDENES'!$C107)</f>
        <v/>
      </c>
      <c r="H112" s="3">
        <f>IF('ORDENES'!$E107="","-",'ORDENES'!$E107)</f>
        <v/>
      </c>
      <c r="I112" s="3">
        <f>IF('ORDENES'!$F107="","-",'ORDENES'!$F107)</f>
        <v/>
      </c>
      <c r="J112" s="12">
        <f>IF('ORDENES'!$L107="",0,'ORDENES'!$L107)</f>
        <v/>
      </c>
      <c r="K112" s="3">
        <f>IF('ORDENES'!$N107="","-",'ORDENES'!$N107)</f>
        <v/>
      </c>
      <c r="L112" s="3">
        <f>'ORDENES'!$AA107</f>
        <v/>
      </c>
    </row>
    <row r="113">
      <c r="A113" s="3">
        <f>IF('ORDENES'!$O108="","-",'ORDENES'!$O108)</f>
        <v/>
      </c>
      <c r="B113" s="3">
        <f>IF('ORDENES'!$R108="","-",'ORDENES'!$R108)</f>
        <v/>
      </c>
      <c r="C113" s="3">
        <f>IF('ORDENES'!$AC108="","-",'ORDENES'!$AC108)</f>
        <v/>
      </c>
      <c r="D113" s="3">
        <f>IF('ORDENES'!$V108="","-",'ORDENES'!$V108)</f>
        <v/>
      </c>
      <c r="E113" s="3">
        <f>IF('ORDENES'!$U108="","-",'ORDENES'!$U108)</f>
        <v/>
      </c>
      <c r="F113" s="3">
        <f>IF('ORDENES'!$AB108="","-",'ORDENES'!$AB108)</f>
        <v/>
      </c>
      <c r="G113" s="3">
        <f>IF('ORDENES'!$C108="","-",'ORDENES'!$C108)</f>
        <v/>
      </c>
      <c r="H113" s="3">
        <f>IF('ORDENES'!$E108="","-",'ORDENES'!$E108)</f>
        <v/>
      </c>
      <c r="I113" s="3">
        <f>IF('ORDENES'!$F108="","-",'ORDENES'!$F108)</f>
        <v/>
      </c>
      <c r="J113" s="12">
        <f>IF('ORDENES'!$L108="",0,'ORDENES'!$L108)</f>
        <v/>
      </c>
      <c r="K113" s="3">
        <f>IF('ORDENES'!$N108="","-",'ORDENES'!$N108)</f>
        <v/>
      </c>
      <c r="L113" s="3">
        <f>'ORDENES'!$AA108</f>
        <v/>
      </c>
    </row>
    <row r="114">
      <c r="A114" s="3">
        <f>IF('ORDENES'!$O109="","-",'ORDENES'!$O109)</f>
        <v/>
      </c>
      <c r="B114" s="3">
        <f>IF('ORDENES'!$R109="","-",'ORDENES'!$R109)</f>
        <v/>
      </c>
      <c r="C114" s="3">
        <f>IF('ORDENES'!$AC109="","-",'ORDENES'!$AC109)</f>
        <v/>
      </c>
      <c r="D114" s="3">
        <f>IF('ORDENES'!$V109="","-",'ORDENES'!$V109)</f>
        <v/>
      </c>
      <c r="E114" s="3">
        <f>IF('ORDENES'!$U109="","-",'ORDENES'!$U109)</f>
        <v/>
      </c>
      <c r="F114" s="3">
        <f>IF('ORDENES'!$AB109="","-",'ORDENES'!$AB109)</f>
        <v/>
      </c>
      <c r="G114" s="3">
        <f>IF('ORDENES'!$C109="","-",'ORDENES'!$C109)</f>
        <v/>
      </c>
      <c r="H114" s="3">
        <f>IF('ORDENES'!$E109="","-",'ORDENES'!$E109)</f>
        <v/>
      </c>
      <c r="I114" s="3">
        <f>IF('ORDENES'!$F109="","-",'ORDENES'!$F109)</f>
        <v/>
      </c>
      <c r="J114" s="12">
        <f>IF('ORDENES'!$L109="",0,'ORDENES'!$L109)</f>
        <v/>
      </c>
      <c r="K114" s="3">
        <f>IF('ORDENES'!$N109="","-",'ORDENES'!$N109)</f>
        <v/>
      </c>
      <c r="L114" s="3">
        <f>'ORDENES'!$AA109</f>
        <v/>
      </c>
    </row>
    <row r="115">
      <c r="A115" s="3">
        <f>IF('ORDENES'!$O110="","-",'ORDENES'!$O110)</f>
        <v/>
      </c>
      <c r="B115" s="3">
        <f>IF('ORDENES'!$R110="","-",'ORDENES'!$R110)</f>
        <v/>
      </c>
      <c r="C115" s="3">
        <f>IF('ORDENES'!$AC110="","-",'ORDENES'!$AC110)</f>
        <v/>
      </c>
      <c r="D115" s="3">
        <f>IF('ORDENES'!$V110="","-",'ORDENES'!$V110)</f>
        <v/>
      </c>
      <c r="E115" s="3">
        <f>IF('ORDENES'!$U110="","-",'ORDENES'!$U110)</f>
        <v/>
      </c>
      <c r="F115" s="3">
        <f>IF('ORDENES'!$AB110="","-",'ORDENES'!$AB110)</f>
        <v/>
      </c>
      <c r="G115" s="3">
        <f>IF('ORDENES'!$C110="","-",'ORDENES'!$C110)</f>
        <v/>
      </c>
      <c r="H115" s="3">
        <f>IF('ORDENES'!$E110="","-",'ORDENES'!$E110)</f>
        <v/>
      </c>
      <c r="I115" s="3">
        <f>IF('ORDENES'!$F110="","-",'ORDENES'!$F110)</f>
        <v/>
      </c>
      <c r="J115" s="12">
        <f>IF('ORDENES'!$L110="",0,'ORDENES'!$L110)</f>
        <v/>
      </c>
      <c r="K115" s="3">
        <f>IF('ORDENES'!$N110="","-",'ORDENES'!$N110)</f>
        <v/>
      </c>
      <c r="L115" s="3">
        <f>'ORDENES'!$AA110</f>
        <v/>
      </c>
    </row>
    <row r="116">
      <c r="A116" s="3">
        <f>IF('ORDENES'!$O111="","-",'ORDENES'!$O111)</f>
        <v/>
      </c>
      <c r="B116" s="3">
        <f>IF('ORDENES'!$R111="","-",'ORDENES'!$R111)</f>
        <v/>
      </c>
      <c r="C116" s="3">
        <f>IF('ORDENES'!$AC111="","-",'ORDENES'!$AC111)</f>
        <v/>
      </c>
      <c r="D116" s="3">
        <f>IF('ORDENES'!$V111="","-",'ORDENES'!$V111)</f>
        <v/>
      </c>
      <c r="E116" s="3">
        <f>IF('ORDENES'!$U111="","-",'ORDENES'!$U111)</f>
        <v/>
      </c>
      <c r="F116" s="3">
        <f>IF('ORDENES'!$AB111="","-",'ORDENES'!$AB111)</f>
        <v/>
      </c>
      <c r="G116" s="3">
        <f>IF('ORDENES'!$C111="","-",'ORDENES'!$C111)</f>
        <v/>
      </c>
      <c r="H116" s="3">
        <f>IF('ORDENES'!$E111="","-",'ORDENES'!$E111)</f>
        <v/>
      </c>
      <c r="I116" s="3">
        <f>IF('ORDENES'!$F111="","-",'ORDENES'!$F111)</f>
        <v/>
      </c>
      <c r="J116" s="12">
        <f>IF('ORDENES'!$L111="",0,'ORDENES'!$L111)</f>
        <v/>
      </c>
      <c r="K116" s="3">
        <f>IF('ORDENES'!$N111="","-",'ORDENES'!$N111)</f>
        <v/>
      </c>
      <c r="L116" s="3">
        <f>'ORDENES'!$AA111</f>
        <v/>
      </c>
    </row>
    <row r="117">
      <c r="A117" s="3">
        <f>IF('ORDENES'!$O112="","-",'ORDENES'!$O112)</f>
        <v/>
      </c>
      <c r="B117" s="3">
        <f>IF('ORDENES'!$R112="","-",'ORDENES'!$R112)</f>
        <v/>
      </c>
      <c r="C117" s="3">
        <f>IF('ORDENES'!$AC112="","-",'ORDENES'!$AC112)</f>
        <v/>
      </c>
      <c r="D117" s="3">
        <f>IF('ORDENES'!$V112="","-",'ORDENES'!$V112)</f>
        <v/>
      </c>
      <c r="E117" s="3">
        <f>IF('ORDENES'!$U112="","-",'ORDENES'!$U112)</f>
        <v/>
      </c>
      <c r="F117" s="3">
        <f>IF('ORDENES'!$AB112="","-",'ORDENES'!$AB112)</f>
        <v/>
      </c>
      <c r="G117" s="3">
        <f>IF('ORDENES'!$C112="","-",'ORDENES'!$C112)</f>
        <v/>
      </c>
      <c r="H117" s="3">
        <f>IF('ORDENES'!$E112="","-",'ORDENES'!$E112)</f>
        <v/>
      </c>
      <c r="I117" s="3">
        <f>IF('ORDENES'!$F112="","-",'ORDENES'!$F112)</f>
        <v/>
      </c>
      <c r="J117" s="12">
        <f>IF('ORDENES'!$L112="",0,'ORDENES'!$L112)</f>
        <v/>
      </c>
      <c r="K117" s="3">
        <f>IF('ORDENES'!$N112="","-",'ORDENES'!$N112)</f>
        <v/>
      </c>
      <c r="L117" s="3">
        <f>'ORDENES'!$AA112</f>
        <v/>
      </c>
    </row>
    <row r="118">
      <c r="A118" s="3">
        <f>IF('ORDENES'!$O113="","-",'ORDENES'!$O113)</f>
        <v/>
      </c>
      <c r="B118" s="3">
        <f>IF('ORDENES'!$R113="","-",'ORDENES'!$R113)</f>
        <v/>
      </c>
      <c r="C118" s="3">
        <f>IF('ORDENES'!$AC113="","-",'ORDENES'!$AC113)</f>
        <v/>
      </c>
      <c r="D118" s="3">
        <f>IF('ORDENES'!$V113="","-",'ORDENES'!$V113)</f>
        <v/>
      </c>
      <c r="E118" s="3">
        <f>IF('ORDENES'!$U113="","-",'ORDENES'!$U113)</f>
        <v/>
      </c>
      <c r="F118" s="3">
        <f>IF('ORDENES'!$AB113="","-",'ORDENES'!$AB113)</f>
        <v/>
      </c>
      <c r="G118" s="3">
        <f>IF('ORDENES'!$C113="","-",'ORDENES'!$C113)</f>
        <v/>
      </c>
      <c r="H118" s="3">
        <f>IF('ORDENES'!$E113="","-",'ORDENES'!$E113)</f>
        <v/>
      </c>
      <c r="I118" s="3">
        <f>IF('ORDENES'!$F113="","-",'ORDENES'!$F113)</f>
        <v/>
      </c>
      <c r="J118" s="12">
        <f>IF('ORDENES'!$L113="",0,'ORDENES'!$L113)</f>
        <v/>
      </c>
      <c r="K118" s="3">
        <f>IF('ORDENES'!$N113="","-",'ORDENES'!$N113)</f>
        <v/>
      </c>
      <c r="L118" s="3">
        <f>'ORDENES'!$AA113</f>
        <v/>
      </c>
    </row>
    <row r="119">
      <c r="A119" s="3">
        <f>IF('ORDENES'!$O114="","-",'ORDENES'!$O114)</f>
        <v/>
      </c>
      <c r="B119" s="3">
        <f>IF('ORDENES'!$R114="","-",'ORDENES'!$R114)</f>
        <v/>
      </c>
      <c r="C119" s="3">
        <f>IF('ORDENES'!$AC114="","-",'ORDENES'!$AC114)</f>
        <v/>
      </c>
      <c r="D119" s="3">
        <f>IF('ORDENES'!$V114="","-",'ORDENES'!$V114)</f>
        <v/>
      </c>
      <c r="E119" s="3">
        <f>IF('ORDENES'!$U114="","-",'ORDENES'!$U114)</f>
        <v/>
      </c>
      <c r="F119" s="3">
        <f>IF('ORDENES'!$AB114="","-",'ORDENES'!$AB114)</f>
        <v/>
      </c>
      <c r="G119" s="3">
        <f>IF('ORDENES'!$C114="","-",'ORDENES'!$C114)</f>
        <v/>
      </c>
      <c r="H119" s="3">
        <f>IF('ORDENES'!$E114="","-",'ORDENES'!$E114)</f>
        <v/>
      </c>
      <c r="I119" s="3">
        <f>IF('ORDENES'!$F114="","-",'ORDENES'!$F114)</f>
        <v/>
      </c>
      <c r="J119" s="12">
        <f>IF('ORDENES'!$L114="",0,'ORDENES'!$L114)</f>
        <v/>
      </c>
      <c r="K119" s="3">
        <f>IF('ORDENES'!$N114="","-",'ORDENES'!$N114)</f>
        <v/>
      </c>
      <c r="L119" s="3">
        <f>'ORDENES'!$AA114</f>
        <v/>
      </c>
    </row>
    <row r="120">
      <c r="A120" s="3">
        <f>IF('ORDENES'!$O115="","-",'ORDENES'!$O115)</f>
        <v/>
      </c>
      <c r="B120" s="3">
        <f>IF('ORDENES'!$R115="","-",'ORDENES'!$R115)</f>
        <v/>
      </c>
      <c r="C120" s="3">
        <f>IF('ORDENES'!$AC115="","-",'ORDENES'!$AC115)</f>
        <v/>
      </c>
      <c r="D120" s="3">
        <f>IF('ORDENES'!$V115="","-",'ORDENES'!$V115)</f>
        <v/>
      </c>
      <c r="E120" s="3">
        <f>IF('ORDENES'!$U115="","-",'ORDENES'!$U115)</f>
        <v/>
      </c>
      <c r="F120" s="3">
        <f>IF('ORDENES'!$AB115="","-",'ORDENES'!$AB115)</f>
        <v/>
      </c>
      <c r="G120" s="3">
        <f>IF('ORDENES'!$C115="","-",'ORDENES'!$C115)</f>
        <v/>
      </c>
      <c r="H120" s="3">
        <f>IF('ORDENES'!$E115="","-",'ORDENES'!$E115)</f>
        <v/>
      </c>
      <c r="I120" s="3">
        <f>IF('ORDENES'!$F115="","-",'ORDENES'!$F115)</f>
        <v/>
      </c>
      <c r="J120" s="12">
        <f>IF('ORDENES'!$L115="",0,'ORDENES'!$L115)</f>
        <v/>
      </c>
      <c r="K120" s="3">
        <f>IF('ORDENES'!$N115="","-",'ORDENES'!$N115)</f>
        <v/>
      </c>
      <c r="L120" s="3">
        <f>'ORDENES'!$AA115</f>
        <v/>
      </c>
    </row>
    <row r="121">
      <c r="A121" s="3">
        <f>IF('ORDENES'!$O116="","-",'ORDENES'!$O116)</f>
        <v/>
      </c>
      <c r="B121" s="3">
        <f>IF('ORDENES'!$R116="","-",'ORDENES'!$R116)</f>
        <v/>
      </c>
      <c r="C121" s="3">
        <f>IF('ORDENES'!$AC116="","-",'ORDENES'!$AC116)</f>
        <v/>
      </c>
      <c r="D121" s="3">
        <f>IF('ORDENES'!$V116="","-",'ORDENES'!$V116)</f>
        <v/>
      </c>
      <c r="E121" s="3">
        <f>IF('ORDENES'!$U116="","-",'ORDENES'!$U116)</f>
        <v/>
      </c>
      <c r="F121" s="3">
        <f>IF('ORDENES'!$AB116="","-",'ORDENES'!$AB116)</f>
        <v/>
      </c>
      <c r="G121" s="3">
        <f>IF('ORDENES'!$C116="","-",'ORDENES'!$C116)</f>
        <v/>
      </c>
      <c r="H121" s="3">
        <f>IF('ORDENES'!$E116="","-",'ORDENES'!$E116)</f>
        <v/>
      </c>
      <c r="I121" s="3">
        <f>IF('ORDENES'!$F116="","-",'ORDENES'!$F116)</f>
        <v/>
      </c>
      <c r="J121" s="12">
        <f>IF('ORDENES'!$L116="",0,'ORDENES'!$L116)</f>
        <v/>
      </c>
      <c r="K121" s="3">
        <f>IF('ORDENES'!$N116="","-",'ORDENES'!$N116)</f>
        <v/>
      </c>
      <c r="L121" s="3">
        <f>'ORDENES'!$AA116</f>
        <v/>
      </c>
    </row>
    <row r="122">
      <c r="A122" s="3">
        <f>IF('ORDENES'!$O117="","-",'ORDENES'!$O117)</f>
        <v/>
      </c>
      <c r="B122" s="3">
        <f>IF('ORDENES'!$R117="","-",'ORDENES'!$R117)</f>
        <v/>
      </c>
      <c r="C122" s="3">
        <f>IF('ORDENES'!$AC117="","-",'ORDENES'!$AC117)</f>
        <v/>
      </c>
      <c r="D122" s="3">
        <f>IF('ORDENES'!$V117="","-",'ORDENES'!$V117)</f>
        <v/>
      </c>
      <c r="E122" s="3">
        <f>IF('ORDENES'!$U117="","-",'ORDENES'!$U117)</f>
        <v/>
      </c>
      <c r="F122" s="3">
        <f>IF('ORDENES'!$AB117="","-",'ORDENES'!$AB117)</f>
        <v/>
      </c>
      <c r="G122" s="3">
        <f>IF('ORDENES'!$C117="","-",'ORDENES'!$C117)</f>
        <v/>
      </c>
      <c r="H122" s="3">
        <f>IF('ORDENES'!$E117="","-",'ORDENES'!$E117)</f>
        <v/>
      </c>
      <c r="I122" s="3">
        <f>IF('ORDENES'!$F117="","-",'ORDENES'!$F117)</f>
        <v/>
      </c>
      <c r="J122" s="12">
        <f>IF('ORDENES'!$L117="",0,'ORDENES'!$L117)</f>
        <v/>
      </c>
      <c r="K122" s="3">
        <f>IF('ORDENES'!$N117="","-",'ORDENES'!$N117)</f>
        <v/>
      </c>
      <c r="L122" s="3">
        <f>'ORDENES'!$AA117</f>
        <v/>
      </c>
    </row>
    <row r="123">
      <c r="A123" s="3">
        <f>IF('ORDENES'!$O118="","-",'ORDENES'!$O118)</f>
        <v/>
      </c>
      <c r="B123" s="3">
        <f>IF('ORDENES'!$R118="","-",'ORDENES'!$R118)</f>
        <v/>
      </c>
      <c r="C123" s="3">
        <f>IF('ORDENES'!$AC118="","-",'ORDENES'!$AC118)</f>
        <v/>
      </c>
      <c r="D123" s="3">
        <f>IF('ORDENES'!$V118="","-",'ORDENES'!$V118)</f>
        <v/>
      </c>
      <c r="E123" s="3">
        <f>IF('ORDENES'!$U118="","-",'ORDENES'!$U118)</f>
        <v/>
      </c>
      <c r="F123" s="3">
        <f>IF('ORDENES'!$AB118="","-",'ORDENES'!$AB118)</f>
        <v/>
      </c>
      <c r="G123" s="3">
        <f>IF('ORDENES'!$C118="","-",'ORDENES'!$C118)</f>
        <v/>
      </c>
      <c r="H123" s="3">
        <f>IF('ORDENES'!$E118="","-",'ORDENES'!$E118)</f>
        <v/>
      </c>
      <c r="I123" s="3">
        <f>IF('ORDENES'!$F118="","-",'ORDENES'!$F118)</f>
        <v/>
      </c>
      <c r="J123" s="12">
        <f>IF('ORDENES'!$L118="",0,'ORDENES'!$L118)</f>
        <v/>
      </c>
      <c r="K123" s="3">
        <f>IF('ORDENES'!$N118="","-",'ORDENES'!$N118)</f>
        <v/>
      </c>
      <c r="L123" s="3">
        <f>'ORDENES'!$AA118</f>
        <v/>
      </c>
    </row>
    <row r="124">
      <c r="A124" s="3">
        <f>IF('ORDENES'!$O119="","-",'ORDENES'!$O119)</f>
        <v/>
      </c>
      <c r="B124" s="3">
        <f>IF('ORDENES'!$R119="","-",'ORDENES'!$R119)</f>
        <v/>
      </c>
      <c r="C124" s="3">
        <f>IF('ORDENES'!$AC119="","-",'ORDENES'!$AC119)</f>
        <v/>
      </c>
      <c r="D124" s="3">
        <f>IF('ORDENES'!$V119="","-",'ORDENES'!$V119)</f>
        <v/>
      </c>
      <c r="E124" s="3">
        <f>IF('ORDENES'!$U119="","-",'ORDENES'!$U119)</f>
        <v/>
      </c>
      <c r="F124" s="3">
        <f>IF('ORDENES'!$AB119="","-",'ORDENES'!$AB119)</f>
        <v/>
      </c>
      <c r="G124" s="3">
        <f>IF('ORDENES'!$C119="","-",'ORDENES'!$C119)</f>
        <v/>
      </c>
      <c r="H124" s="3">
        <f>IF('ORDENES'!$E119="","-",'ORDENES'!$E119)</f>
        <v/>
      </c>
      <c r="I124" s="3">
        <f>IF('ORDENES'!$F119="","-",'ORDENES'!$F119)</f>
        <v/>
      </c>
      <c r="J124" s="12">
        <f>IF('ORDENES'!$L119="",0,'ORDENES'!$L119)</f>
        <v/>
      </c>
      <c r="K124" s="3">
        <f>IF('ORDENES'!$N119="","-",'ORDENES'!$N119)</f>
        <v/>
      </c>
      <c r="L124" s="3">
        <f>'ORDENES'!$AA119</f>
        <v/>
      </c>
    </row>
    <row r="125">
      <c r="A125" s="3">
        <f>IF('ORDENES'!$O120="","-",'ORDENES'!$O120)</f>
        <v/>
      </c>
      <c r="B125" s="3">
        <f>IF('ORDENES'!$R120="","-",'ORDENES'!$R120)</f>
        <v/>
      </c>
      <c r="C125" s="3">
        <f>IF('ORDENES'!$AC120="","-",'ORDENES'!$AC120)</f>
        <v/>
      </c>
      <c r="D125" s="3">
        <f>IF('ORDENES'!$V120="","-",'ORDENES'!$V120)</f>
        <v/>
      </c>
      <c r="E125" s="3">
        <f>IF('ORDENES'!$U120="","-",'ORDENES'!$U120)</f>
        <v/>
      </c>
      <c r="F125" s="3">
        <f>IF('ORDENES'!$AB120="","-",'ORDENES'!$AB120)</f>
        <v/>
      </c>
      <c r="G125" s="3">
        <f>IF('ORDENES'!$C120="","-",'ORDENES'!$C120)</f>
        <v/>
      </c>
      <c r="H125" s="3">
        <f>IF('ORDENES'!$E120="","-",'ORDENES'!$E120)</f>
        <v/>
      </c>
      <c r="I125" s="3">
        <f>IF('ORDENES'!$F120="","-",'ORDENES'!$F120)</f>
        <v/>
      </c>
      <c r="J125" s="12">
        <f>IF('ORDENES'!$L120="",0,'ORDENES'!$L120)</f>
        <v/>
      </c>
      <c r="K125" s="3">
        <f>IF('ORDENES'!$N120="","-",'ORDENES'!$N120)</f>
        <v/>
      </c>
      <c r="L125" s="3">
        <f>'ORDENES'!$AA120</f>
        <v/>
      </c>
    </row>
    <row r="126">
      <c r="A126" s="3">
        <f>IF('ORDENES'!$O121="","-",'ORDENES'!$O121)</f>
        <v/>
      </c>
      <c r="B126" s="3">
        <f>IF('ORDENES'!$R121="","-",'ORDENES'!$R121)</f>
        <v/>
      </c>
      <c r="C126" s="3">
        <f>IF('ORDENES'!$AC121="","-",'ORDENES'!$AC121)</f>
        <v/>
      </c>
      <c r="D126" s="3">
        <f>IF('ORDENES'!$V121="","-",'ORDENES'!$V121)</f>
        <v/>
      </c>
      <c r="E126" s="3">
        <f>IF('ORDENES'!$U121="","-",'ORDENES'!$U121)</f>
        <v/>
      </c>
      <c r="F126" s="3">
        <f>IF('ORDENES'!$AB121="","-",'ORDENES'!$AB121)</f>
        <v/>
      </c>
      <c r="G126" s="3">
        <f>IF('ORDENES'!$C121="","-",'ORDENES'!$C121)</f>
        <v/>
      </c>
      <c r="H126" s="3">
        <f>IF('ORDENES'!$E121="","-",'ORDENES'!$E121)</f>
        <v/>
      </c>
      <c r="I126" s="3">
        <f>IF('ORDENES'!$F121="","-",'ORDENES'!$F121)</f>
        <v/>
      </c>
      <c r="J126" s="12">
        <f>IF('ORDENES'!$L121="",0,'ORDENES'!$L121)</f>
        <v/>
      </c>
      <c r="K126" s="3">
        <f>IF('ORDENES'!$N121="","-",'ORDENES'!$N121)</f>
        <v/>
      </c>
      <c r="L126" s="3">
        <f>'ORDENES'!$AA121</f>
        <v/>
      </c>
    </row>
    <row r="127">
      <c r="A127" s="3">
        <f>IF('ORDENES'!$O122="","-",'ORDENES'!$O122)</f>
        <v/>
      </c>
      <c r="B127" s="3">
        <f>IF('ORDENES'!$R122="","-",'ORDENES'!$R122)</f>
        <v/>
      </c>
      <c r="C127" s="3">
        <f>IF('ORDENES'!$AC122="","-",'ORDENES'!$AC122)</f>
        <v/>
      </c>
      <c r="D127" s="3">
        <f>IF('ORDENES'!$V122="","-",'ORDENES'!$V122)</f>
        <v/>
      </c>
      <c r="E127" s="3">
        <f>IF('ORDENES'!$U122="","-",'ORDENES'!$U122)</f>
        <v/>
      </c>
      <c r="F127" s="3">
        <f>IF('ORDENES'!$AB122="","-",'ORDENES'!$AB122)</f>
        <v/>
      </c>
      <c r="G127" s="3">
        <f>IF('ORDENES'!$C122="","-",'ORDENES'!$C122)</f>
        <v/>
      </c>
      <c r="H127" s="3">
        <f>IF('ORDENES'!$E122="","-",'ORDENES'!$E122)</f>
        <v/>
      </c>
      <c r="I127" s="3">
        <f>IF('ORDENES'!$F122="","-",'ORDENES'!$F122)</f>
        <v/>
      </c>
      <c r="J127" s="12">
        <f>IF('ORDENES'!$L122="",0,'ORDENES'!$L122)</f>
        <v/>
      </c>
      <c r="K127" s="3">
        <f>IF('ORDENES'!$N122="","-",'ORDENES'!$N122)</f>
        <v/>
      </c>
      <c r="L127" s="3">
        <f>'ORDENES'!$AA122</f>
        <v/>
      </c>
    </row>
    <row r="128">
      <c r="A128" s="3">
        <f>IF('ORDENES'!$O123="","-",'ORDENES'!$O123)</f>
        <v/>
      </c>
      <c r="B128" s="3">
        <f>IF('ORDENES'!$R123="","-",'ORDENES'!$R123)</f>
        <v/>
      </c>
      <c r="C128" s="3">
        <f>IF('ORDENES'!$AC123="","-",'ORDENES'!$AC123)</f>
        <v/>
      </c>
      <c r="D128" s="3">
        <f>IF('ORDENES'!$V123="","-",'ORDENES'!$V123)</f>
        <v/>
      </c>
      <c r="E128" s="3">
        <f>IF('ORDENES'!$U123="","-",'ORDENES'!$U123)</f>
        <v/>
      </c>
      <c r="F128" s="3">
        <f>IF('ORDENES'!$AB123="","-",'ORDENES'!$AB123)</f>
        <v/>
      </c>
      <c r="G128" s="3">
        <f>IF('ORDENES'!$C123="","-",'ORDENES'!$C123)</f>
        <v/>
      </c>
      <c r="H128" s="3">
        <f>IF('ORDENES'!$E123="","-",'ORDENES'!$E123)</f>
        <v/>
      </c>
      <c r="I128" s="3">
        <f>IF('ORDENES'!$F123="","-",'ORDENES'!$F123)</f>
        <v/>
      </c>
      <c r="J128" s="12">
        <f>IF('ORDENES'!$L123="",0,'ORDENES'!$L123)</f>
        <v/>
      </c>
      <c r="K128" s="3">
        <f>IF('ORDENES'!$N123="","-",'ORDENES'!$N123)</f>
        <v/>
      </c>
      <c r="L128" s="3">
        <f>'ORDENES'!$AA123</f>
        <v/>
      </c>
    </row>
    <row r="129">
      <c r="A129" s="3">
        <f>IF('ORDENES'!$O124="","-",'ORDENES'!$O124)</f>
        <v/>
      </c>
      <c r="B129" s="3">
        <f>IF('ORDENES'!$R124="","-",'ORDENES'!$R124)</f>
        <v/>
      </c>
      <c r="C129" s="3">
        <f>IF('ORDENES'!$AC124="","-",'ORDENES'!$AC124)</f>
        <v/>
      </c>
      <c r="D129" s="3">
        <f>IF('ORDENES'!$V124="","-",'ORDENES'!$V124)</f>
        <v/>
      </c>
      <c r="E129" s="3">
        <f>IF('ORDENES'!$U124="","-",'ORDENES'!$U124)</f>
        <v/>
      </c>
      <c r="F129" s="3">
        <f>IF('ORDENES'!$AB124="","-",'ORDENES'!$AB124)</f>
        <v/>
      </c>
      <c r="G129" s="3">
        <f>IF('ORDENES'!$C124="","-",'ORDENES'!$C124)</f>
        <v/>
      </c>
      <c r="H129" s="3">
        <f>IF('ORDENES'!$E124="","-",'ORDENES'!$E124)</f>
        <v/>
      </c>
      <c r="I129" s="3">
        <f>IF('ORDENES'!$F124="","-",'ORDENES'!$F124)</f>
        <v/>
      </c>
      <c r="J129" s="12">
        <f>IF('ORDENES'!$L124="",0,'ORDENES'!$L124)</f>
        <v/>
      </c>
      <c r="K129" s="3">
        <f>IF('ORDENES'!$N124="","-",'ORDENES'!$N124)</f>
        <v/>
      </c>
      <c r="L129" s="3">
        <f>'ORDENES'!$AA124</f>
        <v/>
      </c>
    </row>
    <row r="130">
      <c r="A130" s="3">
        <f>IF('ORDENES'!$O125="","-",'ORDENES'!$O125)</f>
        <v/>
      </c>
      <c r="B130" s="3">
        <f>IF('ORDENES'!$R125="","-",'ORDENES'!$R125)</f>
        <v/>
      </c>
      <c r="C130" s="3">
        <f>IF('ORDENES'!$AC125="","-",'ORDENES'!$AC125)</f>
        <v/>
      </c>
      <c r="D130" s="3">
        <f>IF('ORDENES'!$V125="","-",'ORDENES'!$V125)</f>
        <v/>
      </c>
      <c r="E130" s="3">
        <f>IF('ORDENES'!$U125="","-",'ORDENES'!$U125)</f>
        <v/>
      </c>
      <c r="F130" s="3">
        <f>IF('ORDENES'!$AB125="","-",'ORDENES'!$AB125)</f>
        <v/>
      </c>
      <c r="G130" s="3">
        <f>IF('ORDENES'!$C125="","-",'ORDENES'!$C125)</f>
        <v/>
      </c>
      <c r="H130" s="3">
        <f>IF('ORDENES'!$E125="","-",'ORDENES'!$E125)</f>
        <v/>
      </c>
      <c r="I130" s="3">
        <f>IF('ORDENES'!$F125="","-",'ORDENES'!$F125)</f>
        <v/>
      </c>
      <c r="J130" s="12">
        <f>IF('ORDENES'!$L125="",0,'ORDENES'!$L125)</f>
        <v/>
      </c>
      <c r="K130" s="3">
        <f>IF('ORDENES'!$N125="","-",'ORDENES'!$N125)</f>
        <v/>
      </c>
      <c r="L130" s="3">
        <f>'ORDENES'!$AA125</f>
        <v/>
      </c>
    </row>
    <row r="131">
      <c r="A131" s="3">
        <f>IF('ORDENES'!$O126="","-",'ORDENES'!$O126)</f>
        <v/>
      </c>
      <c r="B131" s="3">
        <f>IF('ORDENES'!$R126="","-",'ORDENES'!$R126)</f>
        <v/>
      </c>
      <c r="C131" s="3">
        <f>IF('ORDENES'!$AC126="","-",'ORDENES'!$AC126)</f>
        <v/>
      </c>
      <c r="D131" s="3">
        <f>IF('ORDENES'!$V126="","-",'ORDENES'!$V126)</f>
        <v/>
      </c>
      <c r="E131" s="3">
        <f>IF('ORDENES'!$U126="","-",'ORDENES'!$U126)</f>
        <v/>
      </c>
      <c r="F131" s="3">
        <f>IF('ORDENES'!$AB126="","-",'ORDENES'!$AB126)</f>
        <v/>
      </c>
      <c r="G131" s="3">
        <f>IF('ORDENES'!$C126="","-",'ORDENES'!$C126)</f>
        <v/>
      </c>
      <c r="H131" s="3">
        <f>IF('ORDENES'!$E126="","-",'ORDENES'!$E126)</f>
        <v/>
      </c>
      <c r="I131" s="3">
        <f>IF('ORDENES'!$F126="","-",'ORDENES'!$F126)</f>
        <v/>
      </c>
      <c r="J131" s="12">
        <f>IF('ORDENES'!$L126="",0,'ORDENES'!$L126)</f>
        <v/>
      </c>
      <c r="K131" s="3">
        <f>IF('ORDENES'!$N126="","-",'ORDENES'!$N126)</f>
        <v/>
      </c>
      <c r="L131" s="3">
        <f>'ORDENES'!$AA126</f>
        <v/>
      </c>
    </row>
    <row r="132">
      <c r="A132" s="3">
        <f>IF('ORDENES'!$O127="","-",'ORDENES'!$O127)</f>
        <v/>
      </c>
      <c r="B132" s="3">
        <f>IF('ORDENES'!$R127="","-",'ORDENES'!$R127)</f>
        <v/>
      </c>
      <c r="C132" s="3">
        <f>IF('ORDENES'!$AC127="","-",'ORDENES'!$AC127)</f>
        <v/>
      </c>
      <c r="D132" s="3">
        <f>IF('ORDENES'!$V127="","-",'ORDENES'!$V127)</f>
        <v/>
      </c>
      <c r="E132" s="3">
        <f>IF('ORDENES'!$U127="","-",'ORDENES'!$U127)</f>
        <v/>
      </c>
      <c r="F132" s="3">
        <f>IF('ORDENES'!$AB127="","-",'ORDENES'!$AB127)</f>
        <v/>
      </c>
      <c r="G132" s="3">
        <f>IF('ORDENES'!$C127="","-",'ORDENES'!$C127)</f>
        <v/>
      </c>
      <c r="H132" s="3">
        <f>IF('ORDENES'!$E127="","-",'ORDENES'!$E127)</f>
        <v/>
      </c>
      <c r="I132" s="3">
        <f>IF('ORDENES'!$F127="","-",'ORDENES'!$F127)</f>
        <v/>
      </c>
      <c r="J132" s="12">
        <f>IF('ORDENES'!$L127="",0,'ORDENES'!$L127)</f>
        <v/>
      </c>
      <c r="K132" s="3">
        <f>IF('ORDENES'!$N127="","-",'ORDENES'!$N127)</f>
        <v/>
      </c>
      <c r="L132" s="3">
        <f>'ORDENES'!$AA127</f>
        <v/>
      </c>
    </row>
    <row r="133">
      <c r="A133" s="3">
        <f>IF('ORDENES'!$O128="","-",'ORDENES'!$O128)</f>
        <v/>
      </c>
      <c r="B133" s="3">
        <f>IF('ORDENES'!$R128="","-",'ORDENES'!$R128)</f>
        <v/>
      </c>
      <c r="C133" s="3">
        <f>IF('ORDENES'!$AC128="","-",'ORDENES'!$AC128)</f>
        <v/>
      </c>
      <c r="D133" s="3">
        <f>IF('ORDENES'!$V128="","-",'ORDENES'!$V128)</f>
        <v/>
      </c>
      <c r="E133" s="3">
        <f>IF('ORDENES'!$U128="","-",'ORDENES'!$U128)</f>
        <v/>
      </c>
      <c r="F133" s="3">
        <f>IF('ORDENES'!$AB128="","-",'ORDENES'!$AB128)</f>
        <v/>
      </c>
      <c r="G133" s="3">
        <f>IF('ORDENES'!$C128="","-",'ORDENES'!$C128)</f>
        <v/>
      </c>
      <c r="H133" s="3">
        <f>IF('ORDENES'!$E128="","-",'ORDENES'!$E128)</f>
        <v/>
      </c>
      <c r="I133" s="3">
        <f>IF('ORDENES'!$F128="","-",'ORDENES'!$F128)</f>
        <v/>
      </c>
      <c r="J133" s="12">
        <f>IF('ORDENES'!$L128="",0,'ORDENES'!$L128)</f>
        <v/>
      </c>
      <c r="K133" s="3">
        <f>IF('ORDENES'!$N128="","-",'ORDENES'!$N128)</f>
        <v/>
      </c>
      <c r="L133" s="3">
        <f>'ORDENES'!$AA128</f>
        <v/>
      </c>
    </row>
    <row r="134">
      <c r="A134" s="3">
        <f>IF('ORDENES'!$O129="","-",'ORDENES'!$O129)</f>
        <v/>
      </c>
      <c r="B134" s="3">
        <f>IF('ORDENES'!$R129="","-",'ORDENES'!$R129)</f>
        <v/>
      </c>
      <c r="C134" s="3">
        <f>IF('ORDENES'!$AC129="","-",'ORDENES'!$AC129)</f>
        <v/>
      </c>
      <c r="D134" s="3">
        <f>IF('ORDENES'!$V129="","-",'ORDENES'!$V129)</f>
        <v/>
      </c>
      <c r="E134" s="3">
        <f>IF('ORDENES'!$U129="","-",'ORDENES'!$U129)</f>
        <v/>
      </c>
      <c r="F134" s="3">
        <f>IF('ORDENES'!$AB129="","-",'ORDENES'!$AB129)</f>
        <v/>
      </c>
      <c r="G134" s="3">
        <f>IF('ORDENES'!$C129="","-",'ORDENES'!$C129)</f>
        <v/>
      </c>
      <c r="H134" s="3">
        <f>IF('ORDENES'!$E129="","-",'ORDENES'!$E129)</f>
        <v/>
      </c>
      <c r="I134" s="3">
        <f>IF('ORDENES'!$F129="","-",'ORDENES'!$F129)</f>
        <v/>
      </c>
      <c r="J134" s="12">
        <f>IF('ORDENES'!$L129="",0,'ORDENES'!$L129)</f>
        <v/>
      </c>
      <c r="K134" s="3">
        <f>IF('ORDENES'!$N129="","-",'ORDENES'!$N129)</f>
        <v/>
      </c>
      <c r="L134" s="3">
        <f>'ORDENES'!$AA129</f>
        <v/>
      </c>
    </row>
    <row r="135">
      <c r="A135" s="3">
        <f>IF('ORDENES'!$O130="","-",'ORDENES'!$O130)</f>
        <v/>
      </c>
      <c r="B135" s="3">
        <f>IF('ORDENES'!$R130="","-",'ORDENES'!$R130)</f>
        <v/>
      </c>
      <c r="C135" s="3">
        <f>IF('ORDENES'!$AC130="","-",'ORDENES'!$AC130)</f>
        <v/>
      </c>
      <c r="D135" s="3">
        <f>IF('ORDENES'!$V130="","-",'ORDENES'!$V130)</f>
        <v/>
      </c>
      <c r="E135" s="3">
        <f>IF('ORDENES'!$U130="","-",'ORDENES'!$U130)</f>
        <v/>
      </c>
      <c r="F135" s="3">
        <f>IF('ORDENES'!$AB130="","-",'ORDENES'!$AB130)</f>
        <v/>
      </c>
      <c r="G135" s="3">
        <f>IF('ORDENES'!$C130="","-",'ORDENES'!$C130)</f>
        <v/>
      </c>
      <c r="H135" s="3">
        <f>IF('ORDENES'!$E130="","-",'ORDENES'!$E130)</f>
        <v/>
      </c>
      <c r="I135" s="3">
        <f>IF('ORDENES'!$F130="","-",'ORDENES'!$F130)</f>
        <v/>
      </c>
      <c r="J135" s="12">
        <f>IF('ORDENES'!$L130="",0,'ORDENES'!$L130)</f>
        <v/>
      </c>
      <c r="K135" s="3">
        <f>IF('ORDENES'!$N130="","-",'ORDENES'!$N130)</f>
        <v/>
      </c>
      <c r="L135" s="3">
        <f>'ORDENES'!$AA130</f>
        <v/>
      </c>
    </row>
    <row r="136">
      <c r="A136" s="3">
        <f>IF('ORDENES'!$O131="","-",'ORDENES'!$O131)</f>
        <v/>
      </c>
      <c r="B136" s="3">
        <f>IF('ORDENES'!$R131="","-",'ORDENES'!$R131)</f>
        <v/>
      </c>
      <c r="C136" s="3">
        <f>IF('ORDENES'!$AC131="","-",'ORDENES'!$AC131)</f>
        <v/>
      </c>
      <c r="D136" s="3">
        <f>IF('ORDENES'!$V131="","-",'ORDENES'!$V131)</f>
        <v/>
      </c>
      <c r="E136" s="3">
        <f>IF('ORDENES'!$U131="","-",'ORDENES'!$U131)</f>
        <v/>
      </c>
      <c r="F136" s="3">
        <f>IF('ORDENES'!$AB131="","-",'ORDENES'!$AB131)</f>
        <v/>
      </c>
      <c r="G136" s="3">
        <f>IF('ORDENES'!$C131="","-",'ORDENES'!$C131)</f>
        <v/>
      </c>
      <c r="H136" s="3">
        <f>IF('ORDENES'!$E131="","-",'ORDENES'!$E131)</f>
        <v/>
      </c>
      <c r="I136" s="3">
        <f>IF('ORDENES'!$F131="","-",'ORDENES'!$F131)</f>
        <v/>
      </c>
      <c r="J136" s="12">
        <f>IF('ORDENES'!$L131="",0,'ORDENES'!$L131)</f>
        <v/>
      </c>
      <c r="K136" s="3">
        <f>IF('ORDENES'!$N131="","-",'ORDENES'!$N131)</f>
        <v/>
      </c>
      <c r="L136" s="3">
        <f>'ORDENES'!$AA131</f>
        <v/>
      </c>
    </row>
    <row r="137">
      <c r="A137" s="3">
        <f>IF('ORDENES'!$O132="","-",'ORDENES'!$O132)</f>
        <v/>
      </c>
      <c r="B137" s="3">
        <f>IF('ORDENES'!$R132="","-",'ORDENES'!$R132)</f>
        <v/>
      </c>
      <c r="C137" s="3">
        <f>IF('ORDENES'!$AC132="","-",'ORDENES'!$AC132)</f>
        <v/>
      </c>
      <c r="D137" s="3">
        <f>IF('ORDENES'!$V132="","-",'ORDENES'!$V132)</f>
        <v/>
      </c>
      <c r="E137" s="3">
        <f>IF('ORDENES'!$U132="","-",'ORDENES'!$U132)</f>
        <v/>
      </c>
      <c r="F137" s="3">
        <f>IF('ORDENES'!$AB132="","-",'ORDENES'!$AB132)</f>
        <v/>
      </c>
      <c r="G137" s="3">
        <f>IF('ORDENES'!$C132="","-",'ORDENES'!$C132)</f>
        <v/>
      </c>
      <c r="H137" s="3">
        <f>IF('ORDENES'!$E132="","-",'ORDENES'!$E132)</f>
        <v/>
      </c>
      <c r="I137" s="3">
        <f>IF('ORDENES'!$F132="","-",'ORDENES'!$F132)</f>
        <v/>
      </c>
      <c r="J137" s="12">
        <f>IF('ORDENES'!$L132="",0,'ORDENES'!$L132)</f>
        <v/>
      </c>
      <c r="K137" s="3">
        <f>IF('ORDENES'!$N132="","-",'ORDENES'!$N132)</f>
        <v/>
      </c>
      <c r="L137" s="3">
        <f>'ORDENES'!$AA132</f>
        <v/>
      </c>
    </row>
    <row r="138">
      <c r="A138" s="3">
        <f>IF('ORDENES'!$O133="","-",'ORDENES'!$O133)</f>
        <v/>
      </c>
      <c r="B138" s="3">
        <f>IF('ORDENES'!$R133="","-",'ORDENES'!$R133)</f>
        <v/>
      </c>
      <c r="C138" s="3">
        <f>IF('ORDENES'!$AC133="","-",'ORDENES'!$AC133)</f>
        <v/>
      </c>
      <c r="D138" s="3">
        <f>IF('ORDENES'!$V133="","-",'ORDENES'!$V133)</f>
        <v/>
      </c>
      <c r="E138" s="3">
        <f>IF('ORDENES'!$U133="","-",'ORDENES'!$U133)</f>
        <v/>
      </c>
      <c r="F138" s="3">
        <f>IF('ORDENES'!$AB133="","-",'ORDENES'!$AB133)</f>
        <v/>
      </c>
      <c r="G138" s="3">
        <f>IF('ORDENES'!$C133="","-",'ORDENES'!$C133)</f>
        <v/>
      </c>
      <c r="H138" s="3">
        <f>IF('ORDENES'!$E133="","-",'ORDENES'!$E133)</f>
        <v/>
      </c>
      <c r="I138" s="3">
        <f>IF('ORDENES'!$F133="","-",'ORDENES'!$F133)</f>
        <v/>
      </c>
      <c r="J138" s="12">
        <f>IF('ORDENES'!$L133="",0,'ORDENES'!$L133)</f>
        <v/>
      </c>
      <c r="K138" s="3">
        <f>IF('ORDENES'!$N133="","-",'ORDENES'!$N133)</f>
        <v/>
      </c>
      <c r="L138" s="3">
        <f>'ORDENES'!$AA133</f>
        <v/>
      </c>
    </row>
    <row r="139">
      <c r="A139" s="3">
        <f>IF('ORDENES'!$O134="","-",'ORDENES'!$O134)</f>
        <v/>
      </c>
      <c r="B139" s="3">
        <f>IF('ORDENES'!$R134="","-",'ORDENES'!$R134)</f>
        <v/>
      </c>
      <c r="C139" s="3">
        <f>IF('ORDENES'!$AC134="","-",'ORDENES'!$AC134)</f>
        <v/>
      </c>
      <c r="D139" s="3">
        <f>IF('ORDENES'!$V134="","-",'ORDENES'!$V134)</f>
        <v/>
      </c>
      <c r="E139" s="3">
        <f>IF('ORDENES'!$U134="","-",'ORDENES'!$U134)</f>
        <v/>
      </c>
      <c r="F139" s="3">
        <f>IF('ORDENES'!$AB134="","-",'ORDENES'!$AB134)</f>
        <v/>
      </c>
      <c r="G139" s="3">
        <f>IF('ORDENES'!$C134="","-",'ORDENES'!$C134)</f>
        <v/>
      </c>
      <c r="H139" s="3">
        <f>IF('ORDENES'!$E134="","-",'ORDENES'!$E134)</f>
        <v/>
      </c>
      <c r="I139" s="3">
        <f>IF('ORDENES'!$F134="","-",'ORDENES'!$F134)</f>
        <v/>
      </c>
      <c r="J139" s="12">
        <f>IF('ORDENES'!$L134="",0,'ORDENES'!$L134)</f>
        <v/>
      </c>
      <c r="K139" s="3">
        <f>IF('ORDENES'!$N134="","-",'ORDENES'!$N134)</f>
        <v/>
      </c>
      <c r="L139" s="3">
        <f>'ORDENES'!$AA134</f>
        <v/>
      </c>
    </row>
    <row r="140">
      <c r="A140" s="3">
        <f>IF('ORDENES'!$O135="","-",'ORDENES'!$O135)</f>
        <v/>
      </c>
      <c r="B140" s="3">
        <f>IF('ORDENES'!$R135="","-",'ORDENES'!$R135)</f>
        <v/>
      </c>
      <c r="C140" s="3">
        <f>IF('ORDENES'!$AC135="","-",'ORDENES'!$AC135)</f>
        <v/>
      </c>
      <c r="D140" s="3">
        <f>IF('ORDENES'!$V135="","-",'ORDENES'!$V135)</f>
        <v/>
      </c>
      <c r="E140" s="3">
        <f>IF('ORDENES'!$U135="","-",'ORDENES'!$U135)</f>
        <v/>
      </c>
      <c r="F140" s="3">
        <f>IF('ORDENES'!$AB135="","-",'ORDENES'!$AB135)</f>
        <v/>
      </c>
      <c r="G140" s="3">
        <f>IF('ORDENES'!$C135="","-",'ORDENES'!$C135)</f>
        <v/>
      </c>
      <c r="H140" s="3">
        <f>IF('ORDENES'!$E135="","-",'ORDENES'!$E135)</f>
        <v/>
      </c>
      <c r="I140" s="3">
        <f>IF('ORDENES'!$F135="","-",'ORDENES'!$F135)</f>
        <v/>
      </c>
      <c r="J140" s="12">
        <f>IF('ORDENES'!$L135="",0,'ORDENES'!$L135)</f>
        <v/>
      </c>
      <c r="K140" s="3">
        <f>IF('ORDENES'!$N135="","-",'ORDENES'!$N135)</f>
        <v/>
      </c>
      <c r="L140" s="3">
        <f>'ORDENES'!$AA135</f>
        <v/>
      </c>
    </row>
    <row r="141">
      <c r="A141" s="3">
        <f>IF('ORDENES'!$O136="","-",'ORDENES'!$O136)</f>
        <v/>
      </c>
      <c r="B141" s="3">
        <f>IF('ORDENES'!$R136="","-",'ORDENES'!$R136)</f>
        <v/>
      </c>
      <c r="C141" s="3">
        <f>IF('ORDENES'!$AC136="","-",'ORDENES'!$AC136)</f>
        <v/>
      </c>
      <c r="D141" s="3">
        <f>IF('ORDENES'!$V136="","-",'ORDENES'!$V136)</f>
        <v/>
      </c>
      <c r="E141" s="3">
        <f>IF('ORDENES'!$U136="","-",'ORDENES'!$U136)</f>
        <v/>
      </c>
      <c r="F141" s="3">
        <f>IF('ORDENES'!$AB136="","-",'ORDENES'!$AB136)</f>
        <v/>
      </c>
      <c r="G141" s="3">
        <f>IF('ORDENES'!$C136="","-",'ORDENES'!$C136)</f>
        <v/>
      </c>
      <c r="H141" s="3">
        <f>IF('ORDENES'!$E136="","-",'ORDENES'!$E136)</f>
        <v/>
      </c>
      <c r="I141" s="3">
        <f>IF('ORDENES'!$F136="","-",'ORDENES'!$F136)</f>
        <v/>
      </c>
      <c r="J141" s="12">
        <f>IF('ORDENES'!$L136="",0,'ORDENES'!$L136)</f>
        <v/>
      </c>
      <c r="K141" s="3">
        <f>IF('ORDENES'!$N136="","-",'ORDENES'!$N136)</f>
        <v/>
      </c>
      <c r="L141" s="3">
        <f>'ORDENES'!$AA136</f>
        <v/>
      </c>
    </row>
    <row r="142">
      <c r="A142" s="3">
        <f>IF('ORDENES'!$O137="","-",'ORDENES'!$O137)</f>
        <v/>
      </c>
      <c r="B142" s="3">
        <f>IF('ORDENES'!$R137="","-",'ORDENES'!$R137)</f>
        <v/>
      </c>
      <c r="C142" s="3">
        <f>IF('ORDENES'!$AC137="","-",'ORDENES'!$AC137)</f>
        <v/>
      </c>
      <c r="D142" s="3">
        <f>IF('ORDENES'!$V137="","-",'ORDENES'!$V137)</f>
        <v/>
      </c>
      <c r="E142" s="3">
        <f>IF('ORDENES'!$U137="","-",'ORDENES'!$U137)</f>
        <v/>
      </c>
      <c r="F142" s="3">
        <f>IF('ORDENES'!$AB137="","-",'ORDENES'!$AB137)</f>
        <v/>
      </c>
      <c r="G142" s="3">
        <f>IF('ORDENES'!$C137="","-",'ORDENES'!$C137)</f>
        <v/>
      </c>
      <c r="H142" s="3">
        <f>IF('ORDENES'!$E137="","-",'ORDENES'!$E137)</f>
        <v/>
      </c>
      <c r="I142" s="3">
        <f>IF('ORDENES'!$F137="","-",'ORDENES'!$F137)</f>
        <v/>
      </c>
      <c r="J142" s="12">
        <f>IF('ORDENES'!$L137="",0,'ORDENES'!$L137)</f>
        <v/>
      </c>
      <c r="K142" s="3">
        <f>IF('ORDENES'!$N137="","-",'ORDENES'!$N137)</f>
        <v/>
      </c>
      <c r="L142" s="3">
        <f>'ORDENES'!$AA137</f>
        <v/>
      </c>
    </row>
    <row r="143">
      <c r="A143" s="3">
        <f>IF('ORDENES'!$O138="","-",'ORDENES'!$O138)</f>
        <v/>
      </c>
      <c r="B143" s="3">
        <f>IF('ORDENES'!$R138="","-",'ORDENES'!$R138)</f>
        <v/>
      </c>
      <c r="C143" s="3">
        <f>IF('ORDENES'!$AC138="","-",'ORDENES'!$AC138)</f>
        <v/>
      </c>
      <c r="D143" s="3">
        <f>IF('ORDENES'!$V138="","-",'ORDENES'!$V138)</f>
        <v/>
      </c>
      <c r="E143" s="3">
        <f>IF('ORDENES'!$U138="","-",'ORDENES'!$U138)</f>
        <v/>
      </c>
      <c r="F143" s="3">
        <f>IF('ORDENES'!$AB138="","-",'ORDENES'!$AB138)</f>
        <v/>
      </c>
      <c r="G143" s="3">
        <f>IF('ORDENES'!$C138="","-",'ORDENES'!$C138)</f>
        <v/>
      </c>
      <c r="H143" s="3">
        <f>IF('ORDENES'!$E138="","-",'ORDENES'!$E138)</f>
        <v/>
      </c>
      <c r="I143" s="3">
        <f>IF('ORDENES'!$F138="","-",'ORDENES'!$F138)</f>
        <v/>
      </c>
      <c r="J143" s="12">
        <f>IF('ORDENES'!$L138="",0,'ORDENES'!$L138)</f>
        <v/>
      </c>
      <c r="K143" s="3">
        <f>IF('ORDENES'!$N138="","-",'ORDENES'!$N138)</f>
        <v/>
      </c>
      <c r="L143" s="3">
        <f>'ORDENES'!$AA138</f>
        <v/>
      </c>
    </row>
    <row r="144">
      <c r="A144" s="3">
        <f>IF('ORDENES'!$O139="","-",'ORDENES'!$O139)</f>
        <v/>
      </c>
      <c r="B144" s="3">
        <f>IF('ORDENES'!$R139="","-",'ORDENES'!$R139)</f>
        <v/>
      </c>
      <c r="C144" s="3">
        <f>IF('ORDENES'!$AC139="","-",'ORDENES'!$AC139)</f>
        <v/>
      </c>
      <c r="D144" s="3">
        <f>IF('ORDENES'!$V139="","-",'ORDENES'!$V139)</f>
        <v/>
      </c>
      <c r="E144" s="3">
        <f>IF('ORDENES'!$U139="","-",'ORDENES'!$U139)</f>
        <v/>
      </c>
      <c r="F144" s="3">
        <f>IF('ORDENES'!$AB139="","-",'ORDENES'!$AB139)</f>
        <v/>
      </c>
      <c r="G144" s="3">
        <f>IF('ORDENES'!$C139="","-",'ORDENES'!$C139)</f>
        <v/>
      </c>
      <c r="H144" s="3">
        <f>IF('ORDENES'!$E139="","-",'ORDENES'!$E139)</f>
        <v/>
      </c>
      <c r="I144" s="3">
        <f>IF('ORDENES'!$F139="","-",'ORDENES'!$F139)</f>
        <v/>
      </c>
      <c r="J144" s="12">
        <f>IF('ORDENES'!$L139="",0,'ORDENES'!$L139)</f>
        <v/>
      </c>
      <c r="K144" s="3">
        <f>IF('ORDENES'!$N139="","-",'ORDENES'!$N139)</f>
        <v/>
      </c>
      <c r="L144" s="3">
        <f>'ORDENES'!$AA139</f>
        <v/>
      </c>
    </row>
    <row r="145">
      <c r="A145" s="3">
        <f>IF('ORDENES'!$O140="","-",'ORDENES'!$O140)</f>
        <v/>
      </c>
      <c r="B145" s="3">
        <f>IF('ORDENES'!$R140="","-",'ORDENES'!$R140)</f>
        <v/>
      </c>
      <c r="C145" s="3">
        <f>IF('ORDENES'!$AC140="","-",'ORDENES'!$AC140)</f>
        <v/>
      </c>
      <c r="D145" s="3">
        <f>IF('ORDENES'!$V140="","-",'ORDENES'!$V140)</f>
        <v/>
      </c>
      <c r="E145" s="3">
        <f>IF('ORDENES'!$U140="","-",'ORDENES'!$U140)</f>
        <v/>
      </c>
      <c r="F145" s="3">
        <f>IF('ORDENES'!$AB140="","-",'ORDENES'!$AB140)</f>
        <v/>
      </c>
      <c r="G145" s="3">
        <f>IF('ORDENES'!$C140="","-",'ORDENES'!$C140)</f>
        <v/>
      </c>
      <c r="H145" s="3">
        <f>IF('ORDENES'!$E140="","-",'ORDENES'!$E140)</f>
        <v/>
      </c>
      <c r="I145" s="3">
        <f>IF('ORDENES'!$F140="","-",'ORDENES'!$F140)</f>
        <v/>
      </c>
      <c r="J145" s="12">
        <f>IF('ORDENES'!$L140="",0,'ORDENES'!$L140)</f>
        <v/>
      </c>
      <c r="K145" s="3">
        <f>IF('ORDENES'!$N140="","-",'ORDENES'!$N140)</f>
        <v/>
      </c>
      <c r="L145" s="3">
        <f>'ORDENES'!$AA140</f>
        <v/>
      </c>
    </row>
    <row r="146">
      <c r="A146" s="3">
        <f>IF('ORDENES'!$O141="","-",'ORDENES'!$O141)</f>
        <v/>
      </c>
      <c r="B146" s="3">
        <f>IF('ORDENES'!$R141="","-",'ORDENES'!$R141)</f>
        <v/>
      </c>
      <c r="C146" s="3">
        <f>IF('ORDENES'!$AC141="","-",'ORDENES'!$AC141)</f>
        <v/>
      </c>
      <c r="D146" s="3">
        <f>IF('ORDENES'!$V141="","-",'ORDENES'!$V141)</f>
        <v/>
      </c>
      <c r="E146" s="3">
        <f>IF('ORDENES'!$U141="","-",'ORDENES'!$U141)</f>
        <v/>
      </c>
      <c r="F146" s="3">
        <f>IF('ORDENES'!$AB141="","-",'ORDENES'!$AB141)</f>
        <v/>
      </c>
      <c r="G146" s="3">
        <f>IF('ORDENES'!$C141="","-",'ORDENES'!$C141)</f>
        <v/>
      </c>
      <c r="H146" s="3">
        <f>IF('ORDENES'!$E141="","-",'ORDENES'!$E141)</f>
        <v/>
      </c>
      <c r="I146" s="3">
        <f>IF('ORDENES'!$F141="","-",'ORDENES'!$F141)</f>
        <v/>
      </c>
      <c r="J146" s="12">
        <f>IF('ORDENES'!$L141="",0,'ORDENES'!$L141)</f>
        <v/>
      </c>
      <c r="K146" s="3">
        <f>IF('ORDENES'!$N141="","-",'ORDENES'!$N141)</f>
        <v/>
      </c>
      <c r="L146" s="3">
        <f>'ORDENES'!$AA141</f>
        <v/>
      </c>
    </row>
    <row r="147">
      <c r="A147" s="3">
        <f>IF('ORDENES'!$O142="","-",'ORDENES'!$O142)</f>
        <v/>
      </c>
      <c r="B147" s="3">
        <f>IF('ORDENES'!$R142="","-",'ORDENES'!$R142)</f>
        <v/>
      </c>
      <c r="C147" s="3">
        <f>IF('ORDENES'!$AC142="","-",'ORDENES'!$AC142)</f>
        <v/>
      </c>
      <c r="D147" s="3">
        <f>IF('ORDENES'!$V142="","-",'ORDENES'!$V142)</f>
        <v/>
      </c>
      <c r="E147" s="3">
        <f>IF('ORDENES'!$U142="","-",'ORDENES'!$U142)</f>
        <v/>
      </c>
      <c r="F147" s="3">
        <f>IF('ORDENES'!$AB142="","-",'ORDENES'!$AB142)</f>
        <v/>
      </c>
      <c r="G147" s="3">
        <f>IF('ORDENES'!$C142="","-",'ORDENES'!$C142)</f>
        <v/>
      </c>
      <c r="H147" s="3">
        <f>IF('ORDENES'!$E142="","-",'ORDENES'!$E142)</f>
        <v/>
      </c>
      <c r="I147" s="3">
        <f>IF('ORDENES'!$F142="","-",'ORDENES'!$F142)</f>
        <v/>
      </c>
      <c r="J147" s="12">
        <f>IF('ORDENES'!$L142="",0,'ORDENES'!$L142)</f>
        <v/>
      </c>
      <c r="K147" s="3">
        <f>IF('ORDENES'!$N142="","-",'ORDENES'!$N142)</f>
        <v/>
      </c>
      <c r="L147" s="3">
        <f>'ORDENES'!$AA142</f>
        <v/>
      </c>
    </row>
    <row r="148">
      <c r="A148" s="3">
        <f>IF('ORDENES'!$O143="","-",'ORDENES'!$O143)</f>
        <v/>
      </c>
      <c r="B148" s="3">
        <f>IF('ORDENES'!$R143="","-",'ORDENES'!$R143)</f>
        <v/>
      </c>
      <c r="C148" s="3">
        <f>IF('ORDENES'!$AC143="","-",'ORDENES'!$AC143)</f>
        <v/>
      </c>
      <c r="D148" s="3">
        <f>IF('ORDENES'!$V143="","-",'ORDENES'!$V143)</f>
        <v/>
      </c>
      <c r="E148" s="3">
        <f>IF('ORDENES'!$U143="","-",'ORDENES'!$U143)</f>
        <v/>
      </c>
      <c r="F148" s="3">
        <f>IF('ORDENES'!$AB143="","-",'ORDENES'!$AB143)</f>
        <v/>
      </c>
      <c r="G148" s="3">
        <f>IF('ORDENES'!$C143="","-",'ORDENES'!$C143)</f>
        <v/>
      </c>
      <c r="H148" s="3">
        <f>IF('ORDENES'!$E143="","-",'ORDENES'!$E143)</f>
        <v/>
      </c>
      <c r="I148" s="3">
        <f>IF('ORDENES'!$F143="","-",'ORDENES'!$F143)</f>
        <v/>
      </c>
      <c r="J148" s="12">
        <f>IF('ORDENES'!$L143="",0,'ORDENES'!$L143)</f>
        <v/>
      </c>
      <c r="K148" s="3">
        <f>IF('ORDENES'!$N143="","-",'ORDENES'!$N143)</f>
        <v/>
      </c>
      <c r="L148" s="3">
        <f>'ORDENES'!$AA143</f>
        <v/>
      </c>
    </row>
    <row r="149">
      <c r="A149" s="3">
        <f>IF('ORDENES'!$O144="","-",'ORDENES'!$O144)</f>
        <v/>
      </c>
      <c r="B149" s="3">
        <f>IF('ORDENES'!$R144="","-",'ORDENES'!$R144)</f>
        <v/>
      </c>
      <c r="C149" s="3">
        <f>IF('ORDENES'!$AC144="","-",'ORDENES'!$AC144)</f>
        <v/>
      </c>
      <c r="D149" s="3">
        <f>IF('ORDENES'!$V144="","-",'ORDENES'!$V144)</f>
        <v/>
      </c>
      <c r="E149" s="3">
        <f>IF('ORDENES'!$U144="","-",'ORDENES'!$U144)</f>
        <v/>
      </c>
      <c r="F149" s="3">
        <f>IF('ORDENES'!$AB144="","-",'ORDENES'!$AB144)</f>
        <v/>
      </c>
      <c r="G149" s="3">
        <f>IF('ORDENES'!$C144="","-",'ORDENES'!$C144)</f>
        <v/>
      </c>
      <c r="H149" s="3">
        <f>IF('ORDENES'!$E144="","-",'ORDENES'!$E144)</f>
        <v/>
      </c>
      <c r="I149" s="3">
        <f>IF('ORDENES'!$F144="","-",'ORDENES'!$F144)</f>
        <v/>
      </c>
      <c r="J149" s="12">
        <f>IF('ORDENES'!$L144="",0,'ORDENES'!$L144)</f>
        <v/>
      </c>
      <c r="K149" s="3">
        <f>IF('ORDENES'!$N144="","-",'ORDENES'!$N144)</f>
        <v/>
      </c>
      <c r="L149" s="3">
        <f>'ORDENES'!$AA144</f>
        <v/>
      </c>
    </row>
    <row r="150">
      <c r="A150" s="3">
        <f>IF('ORDENES'!$O145="","-",'ORDENES'!$O145)</f>
        <v/>
      </c>
      <c r="B150" s="3">
        <f>IF('ORDENES'!$R145="","-",'ORDENES'!$R145)</f>
        <v/>
      </c>
      <c r="C150" s="3">
        <f>IF('ORDENES'!$AC145="","-",'ORDENES'!$AC145)</f>
        <v/>
      </c>
      <c r="D150" s="3">
        <f>IF('ORDENES'!$V145="","-",'ORDENES'!$V145)</f>
        <v/>
      </c>
      <c r="E150" s="3">
        <f>IF('ORDENES'!$U145="","-",'ORDENES'!$U145)</f>
        <v/>
      </c>
      <c r="F150" s="3">
        <f>IF('ORDENES'!$AB145="","-",'ORDENES'!$AB145)</f>
        <v/>
      </c>
      <c r="G150" s="3">
        <f>IF('ORDENES'!$C145="","-",'ORDENES'!$C145)</f>
        <v/>
      </c>
      <c r="H150" s="3">
        <f>IF('ORDENES'!$E145="","-",'ORDENES'!$E145)</f>
        <v/>
      </c>
      <c r="I150" s="3">
        <f>IF('ORDENES'!$F145="","-",'ORDENES'!$F145)</f>
        <v/>
      </c>
      <c r="J150" s="12">
        <f>IF('ORDENES'!$L145="",0,'ORDENES'!$L145)</f>
        <v/>
      </c>
      <c r="K150" s="3">
        <f>IF('ORDENES'!$N145="","-",'ORDENES'!$N145)</f>
        <v/>
      </c>
      <c r="L150" s="3">
        <f>'ORDENES'!$AA145</f>
        <v/>
      </c>
    </row>
    <row r="151">
      <c r="A151" s="3">
        <f>IF('ORDENES'!$O146="","-",'ORDENES'!$O146)</f>
        <v/>
      </c>
      <c r="B151" s="3">
        <f>IF('ORDENES'!$R146="","-",'ORDENES'!$R146)</f>
        <v/>
      </c>
      <c r="C151" s="3">
        <f>IF('ORDENES'!$AC146="","-",'ORDENES'!$AC146)</f>
        <v/>
      </c>
      <c r="D151" s="3">
        <f>IF('ORDENES'!$V146="","-",'ORDENES'!$V146)</f>
        <v/>
      </c>
      <c r="E151" s="3">
        <f>IF('ORDENES'!$U146="","-",'ORDENES'!$U146)</f>
        <v/>
      </c>
      <c r="F151" s="3">
        <f>IF('ORDENES'!$AB146="","-",'ORDENES'!$AB146)</f>
        <v/>
      </c>
      <c r="G151" s="3">
        <f>IF('ORDENES'!$C146="","-",'ORDENES'!$C146)</f>
        <v/>
      </c>
      <c r="H151" s="3">
        <f>IF('ORDENES'!$E146="","-",'ORDENES'!$E146)</f>
        <v/>
      </c>
      <c r="I151" s="3">
        <f>IF('ORDENES'!$F146="","-",'ORDENES'!$F146)</f>
        <v/>
      </c>
      <c r="J151" s="12">
        <f>IF('ORDENES'!$L146="",0,'ORDENES'!$L146)</f>
        <v/>
      </c>
      <c r="K151" s="3">
        <f>IF('ORDENES'!$N146="","-",'ORDENES'!$N146)</f>
        <v/>
      </c>
      <c r="L151" s="3">
        <f>'ORDENES'!$AA146</f>
        <v/>
      </c>
    </row>
    <row r="152">
      <c r="A152" s="3">
        <f>IF('ORDENES'!$O147="","-",'ORDENES'!$O147)</f>
        <v/>
      </c>
      <c r="B152" s="3">
        <f>IF('ORDENES'!$R147="","-",'ORDENES'!$R147)</f>
        <v/>
      </c>
      <c r="C152" s="3">
        <f>IF('ORDENES'!$AC147="","-",'ORDENES'!$AC147)</f>
        <v/>
      </c>
      <c r="D152" s="3">
        <f>IF('ORDENES'!$V147="","-",'ORDENES'!$V147)</f>
        <v/>
      </c>
      <c r="E152" s="3">
        <f>IF('ORDENES'!$U147="","-",'ORDENES'!$U147)</f>
        <v/>
      </c>
      <c r="F152" s="3">
        <f>IF('ORDENES'!$AB147="","-",'ORDENES'!$AB147)</f>
        <v/>
      </c>
      <c r="G152" s="3">
        <f>IF('ORDENES'!$C147="","-",'ORDENES'!$C147)</f>
        <v/>
      </c>
      <c r="H152" s="3">
        <f>IF('ORDENES'!$E147="","-",'ORDENES'!$E147)</f>
        <v/>
      </c>
      <c r="I152" s="3">
        <f>IF('ORDENES'!$F147="","-",'ORDENES'!$F147)</f>
        <v/>
      </c>
      <c r="J152" s="12">
        <f>IF('ORDENES'!$L147="",0,'ORDENES'!$L147)</f>
        <v/>
      </c>
      <c r="K152" s="3">
        <f>IF('ORDENES'!$N147="","-",'ORDENES'!$N147)</f>
        <v/>
      </c>
      <c r="L152" s="3">
        <f>'ORDENES'!$AA147</f>
        <v/>
      </c>
    </row>
    <row r="153">
      <c r="A153" s="3">
        <f>IF('ORDENES'!$O148="","-",'ORDENES'!$O148)</f>
        <v/>
      </c>
      <c r="B153" s="3">
        <f>IF('ORDENES'!$R148="","-",'ORDENES'!$R148)</f>
        <v/>
      </c>
      <c r="C153" s="3">
        <f>IF('ORDENES'!$AC148="","-",'ORDENES'!$AC148)</f>
        <v/>
      </c>
      <c r="D153" s="3">
        <f>IF('ORDENES'!$V148="","-",'ORDENES'!$V148)</f>
        <v/>
      </c>
      <c r="E153" s="3">
        <f>IF('ORDENES'!$U148="","-",'ORDENES'!$U148)</f>
        <v/>
      </c>
      <c r="F153" s="3">
        <f>IF('ORDENES'!$AB148="","-",'ORDENES'!$AB148)</f>
        <v/>
      </c>
      <c r="G153" s="3">
        <f>IF('ORDENES'!$C148="","-",'ORDENES'!$C148)</f>
        <v/>
      </c>
      <c r="H153" s="3">
        <f>IF('ORDENES'!$E148="","-",'ORDENES'!$E148)</f>
        <v/>
      </c>
      <c r="I153" s="3">
        <f>IF('ORDENES'!$F148="","-",'ORDENES'!$F148)</f>
        <v/>
      </c>
      <c r="J153" s="12">
        <f>IF('ORDENES'!$L148="",0,'ORDENES'!$L148)</f>
        <v/>
      </c>
      <c r="K153" s="3">
        <f>IF('ORDENES'!$N148="","-",'ORDENES'!$N148)</f>
        <v/>
      </c>
      <c r="L153" s="3">
        <f>'ORDENES'!$AA148</f>
        <v/>
      </c>
    </row>
    <row r="154">
      <c r="A154" s="3">
        <f>IF('ORDENES'!$O149="","-",'ORDENES'!$O149)</f>
        <v/>
      </c>
      <c r="B154" s="3">
        <f>IF('ORDENES'!$R149="","-",'ORDENES'!$R149)</f>
        <v/>
      </c>
      <c r="C154" s="3">
        <f>IF('ORDENES'!$AC149="","-",'ORDENES'!$AC149)</f>
        <v/>
      </c>
      <c r="D154" s="3">
        <f>IF('ORDENES'!$V149="","-",'ORDENES'!$V149)</f>
        <v/>
      </c>
      <c r="E154" s="3">
        <f>IF('ORDENES'!$U149="","-",'ORDENES'!$U149)</f>
        <v/>
      </c>
      <c r="F154" s="3">
        <f>IF('ORDENES'!$AB149="","-",'ORDENES'!$AB149)</f>
        <v/>
      </c>
      <c r="G154" s="3">
        <f>IF('ORDENES'!$C149="","-",'ORDENES'!$C149)</f>
        <v/>
      </c>
      <c r="H154" s="3">
        <f>IF('ORDENES'!$E149="","-",'ORDENES'!$E149)</f>
        <v/>
      </c>
      <c r="I154" s="3">
        <f>IF('ORDENES'!$F149="","-",'ORDENES'!$F149)</f>
        <v/>
      </c>
      <c r="J154" s="12">
        <f>IF('ORDENES'!$L149="",0,'ORDENES'!$L149)</f>
        <v/>
      </c>
      <c r="K154" s="3">
        <f>IF('ORDENES'!$N149="","-",'ORDENES'!$N149)</f>
        <v/>
      </c>
      <c r="L154" s="3">
        <f>'ORDENES'!$AA149</f>
        <v/>
      </c>
    </row>
    <row r="155">
      <c r="A155" s="3">
        <f>IF('ORDENES'!$O150="","-",'ORDENES'!$O150)</f>
        <v/>
      </c>
      <c r="B155" s="3">
        <f>IF('ORDENES'!$R150="","-",'ORDENES'!$R150)</f>
        <v/>
      </c>
      <c r="C155" s="3">
        <f>IF('ORDENES'!$AC150="","-",'ORDENES'!$AC150)</f>
        <v/>
      </c>
      <c r="D155" s="3">
        <f>IF('ORDENES'!$V150="","-",'ORDENES'!$V150)</f>
        <v/>
      </c>
      <c r="E155" s="3">
        <f>IF('ORDENES'!$U150="","-",'ORDENES'!$U150)</f>
        <v/>
      </c>
      <c r="F155" s="3">
        <f>IF('ORDENES'!$AB150="","-",'ORDENES'!$AB150)</f>
        <v/>
      </c>
      <c r="G155" s="3">
        <f>IF('ORDENES'!$C150="","-",'ORDENES'!$C150)</f>
        <v/>
      </c>
      <c r="H155" s="3">
        <f>IF('ORDENES'!$E150="","-",'ORDENES'!$E150)</f>
        <v/>
      </c>
      <c r="I155" s="3">
        <f>IF('ORDENES'!$F150="","-",'ORDENES'!$F150)</f>
        <v/>
      </c>
      <c r="J155" s="12">
        <f>IF('ORDENES'!$L150="",0,'ORDENES'!$L150)</f>
        <v/>
      </c>
      <c r="K155" s="3">
        <f>IF('ORDENES'!$N150="","-",'ORDENES'!$N150)</f>
        <v/>
      </c>
      <c r="L155" s="3">
        <f>'ORDENES'!$AA150</f>
        <v/>
      </c>
    </row>
    <row r="156">
      <c r="A156" s="3">
        <f>IF('ORDENES'!$O151="","-",'ORDENES'!$O151)</f>
        <v/>
      </c>
      <c r="B156" s="3">
        <f>IF('ORDENES'!$R151="","-",'ORDENES'!$R151)</f>
        <v/>
      </c>
      <c r="C156" s="3">
        <f>IF('ORDENES'!$AC151="","-",'ORDENES'!$AC151)</f>
        <v/>
      </c>
      <c r="D156" s="3">
        <f>IF('ORDENES'!$V151="","-",'ORDENES'!$V151)</f>
        <v/>
      </c>
      <c r="E156" s="3">
        <f>IF('ORDENES'!$U151="","-",'ORDENES'!$U151)</f>
        <v/>
      </c>
      <c r="F156" s="3">
        <f>IF('ORDENES'!$AB151="","-",'ORDENES'!$AB151)</f>
        <v/>
      </c>
      <c r="G156" s="3">
        <f>IF('ORDENES'!$C151="","-",'ORDENES'!$C151)</f>
        <v/>
      </c>
      <c r="H156" s="3">
        <f>IF('ORDENES'!$E151="","-",'ORDENES'!$E151)</f>
        <v/>
      </c>
      <c r="I156" s="3">
        <f>IF('ORDENES'!$F151="","-",'ORDENES'!$F151)</f>
        <v/>
      </c>
      <c r="J156" s="12">
        <f>IF('ORDENES'!$L151="",0,'ORDENES'!$L151)</f>
        <v/>
      </c>
      <c r="K156" s="3">
        <f>IF('ORDENES'!$N151="","-",'ORDENES'!$N151)</f>
        <v/>
      </c>
      <c r="L156" s="3">
        <f>'ORDENES'!$AA151</f>
        <v/>
      </c>
    </row>
    <row r="157">
      <c r="A157" s="3">
        <f>IF('ORDENES'!$O152="","-",'ORDENES'!$O152)</f>
        <v/>
      </c>
      <c r="B157" s="3">
        <f>IF('ORDENES'!$R152="","-",'ORDENES'!$R152)</f>
        <v/>
      </c>
      <c r="C157" s="3">
        <f>IF('ORDENES'!$AC152="","-",'ORDENES'!$AC152)</f>
        <v/>
      </c>
      <c r="D157" s="3">
        <f>IF('ORDENES'!$V152="","-",'ORDENES'!$V152)</f>
        <v/>
      </c>
      <c r="E157" s="3">
        <f>IF('ORDENES'!$U152="","-",'ORDENES'!$U152)</f>
        <v/>
      </c>
      <c r="F157" s="3">
        <f>IF('ORDENES'!$AB152="","-",'ORDENES'!$AB152)</f>
        <v/>
      </c>
      <c r="G157" s="3">
        <f>IF('ORDENES'!$C152="","-",'ORDENES'!$C152)</f>
        <v/>
      </c>
      <c r="H157" s="3">
        <f>IF('ORDENES'!$E152="","-",'ORDENES'!$E152)</f>
        <v/>
      </c>
      <c r="I157" s="3">
        <f>IF('ORDENES'!$F152="","-",'ORDENES'!$F152)</f>
        <v/>
      </c>
      <c r="J157" s="12">
        <f>IF('ORDENES'!$L152="",0,'ORDENES'!$L152)</f>
        <v/>
      </c>
      <c r="K157" s="3">
        <f>IF('ORDENES'!$N152="","-",'ORDENES'!$N152)</f>
        <v/>
      </c>
      <c r="L157" s="3">
        <f>'ORDENES'!$AA152</f>
        <v/>
      </c>
    </row>
    <row r="158">
      <c r="A158" s="3">
        <f>IF('ORDENES'!$O153="","-",'ORDENES'!$O153)</f>
        <v/>
      </c>
      <c r="B158" s="3">
        <f>IF('ORDENES'!$R153="","-",'ORDENES'!$R153)</f>
        <v/>
      </c>
      <c r="C158" s="3">
        <f>IF('ORDENES'!$AC153="","-",'ORDENES'!$AC153)</f>
        <v/>
      </c>
      <c r="D158" s="3">
        <f>IF('ORDENES'!$V153="","-",'ORDENES'!$V153)</f>
        <v/>
      </c>
      <c r="E158" s="3">
        <f>IF('ORDENES'!$U153="","-",'ORDENES'!$U153)</f>
        <v/>
      </c>
      <c r="F158" s="3">
        <f>IF('ORDENES'!$AB153="","-",'ORDENES'!$AB153)</f>
        <v/>
      </c>
      <c r="G158" s="3">
        <f>IF('ORDENES'!$C153="","-",'ORDENES'!$C153)</f>
        <v/>
      </c>
      <c r="H158" s="3">
        <f>IF('ORDENES'!$E153="","-",'ORDENES'!$E153)</f>
        <v/>
      </c>
      <c r="I158" s="3">
        <f>IF('ORDENES'!$F153="","-",'ORDENES'!$F153)</f>
        <v/>
      </c>
      <c r="J158" s="12">
        <f>IF('ORDENES'!$L153="",0,'ORDENES'!$L153)</f>
        <v/>
      </c>
      <c r="K158" s="3">
        <f>IF('ORDENES'!$N153="","-",'ORDENES'!$N153)</f>
        <v/>
      </c>
      <c r="L158" s="3">
        <f>'ORDENES'!$AA153</f>
        <v/>
      </c>
    </row>
    <row r="159">
      <c r="A159" s="3">
        <f>IF('ORDENES'!$O154="","-",'ORDENES'!$O154)</f>
        <v/>
      </c>
      <c r="B159" s="3">
        <f>IF('ORDENES'!$R154="","-",'ORDENES'!$R154)</f>
        <v/>
      </c>
      <c r="C159" s="3">
        <f>IF('ORDENES'!$AC154="","-",'ORDENES'!$AC154)</f>
        <v/>
      </c>
      <c r="D159" s="3">
        <f>IF('ORDENES'!$V154="","-",'ORDENES'!$V154)</f>
        <v/>
      </c>
      <c r="E159" s="3">
        <f>IF('ORDENES'!$U154="","-",'ORDENES'!$U154)</f>
        <v/>
      </c>
      <c r="F159" s="3">
        <f>IF('ORDENES'!$AB154="","-",'ORDENES'!$AB154)</f>
        <v/>
      </c>
      <c r="G159" s="3">
        <f>IF('ORDENES'!$C154="","-",'ORDENES'!$C154)</f>
        <v/>
      </c>
      <c r="H159" s="3">
        <f>IF('ORDENES'!$E154="","-",'ORDENES'!$E154)</f>
        <v/>
      </c>
      <c r="I159" s="3">
        <f>IF('ORDENES'!$F154="","-",'ORDENES'!$F154)</f>
        <v/>
      </c>
      <c r="J159" s="12">
        <f>IF('ORDENES'!$L154="",0,'ORDENES'!$L154)</f>
        <v/>
      </c>
      <c r="K159" s="3">
        <f>IF('ORDENES'!$N154="","-",'ORDENES'!$N154)</f>
        <v/>
      </c>
      <c r="L159" s="3">
        <f>'ORDENES'!$AA154</f>
        <v/>
      </c>
    </row>
    <row r="160">
      <c r="A160" s="3">
        <f>IF('ORDENES'!$O155="","-",'ORDENES'!$O155)</f>
        <v/>
      </c>
      <c r="B160" s="3">
        <f>IF('ORDENES'!$R155="","-",'ORDENES'!$R155)</f>
        <v/>
      </c>
      <c r="C160" s="3">
        <f>IF('ORDENES'!$AC155="","-",'ORDENES'!$AC155)</f>
        <v/>
      </c>
      <c r="D160" s="3">
        <f>IF('ORDENES'!$V155="","-",'ORDENES'!$V155)</f>
        <v/>
      </c>
      <c r="E160" s="3">
        <f>IF('ORDENES'!$U155="","-",'ORDENES'!$U155)</f>
        <v/>
      </c>
      <c r="F160" s="3">
        <f>IF('ORDENES'!$AB155="","-",'ORDENES'!$AB155)</f>
        <v/>
      </c>
      <c r="G160" s="3">
        <f>IF('ORDENES'!$C155="","-",'ORDENES'!$C155)</f>
        <v/>
      </c>
      <c r="H160" s="3">
        <f>IF('ORDENES'!$E155="","-",'ORDENES'!$E155)</f>
        <v/>
      </c>
      <c r="I160" s="3">
        <f>IF('ORDENES'!$F155="","-",'ORDENES'!$F155)</f>
        <v/>
      </c>
      <c r="J160" s="12">
        <f>IF('ORDENES'!$L155="",0,'ORDENES'!$L155)</f>
        <v/>
      </c>
      <c r="K160" s="3">
        <f>IF('ORDENES'!$N155="","-",'ORDENES'!$N155)</f>
        <v/>
      </c>
      <c r="L160" s="3">
        <f>'ORDENES'!$AA155</f>
        <v/>
      </c>
    </row>
    <row r="161">
      <c r="A161" s="3">
        <f>IF('ORDENES'!$O156="","-",'ORDENES'!$O156)</f>
        <v/>
      </c>
      <c r="B161" s="3">
        <f>IF('ORDENES'!$R156="","-",'ORDENES'!$R156)</f>
        <v/>
      </c>
      <c r="C161" s="3">
        <f>IF('ORDENES'!$AC156="","-",'ORDENES'!$AC156)</f>
        <v/>
      </c>
      <c r="D161" s="3">
        <f>IF('ORDENES'!$V156="","-",'ORDENES'!$V156)</f>
        <v/>
      </c>
      <c r="E161" s="3">
        <f>IF('ORDENES'!$U156="","-",'ORDENES'!$U156)</f>
        <v/>
      </c>
      <c r="F161" s="3">
        <f>IF('ORDENES'!$AB156="","-",'ORDENES'!$AB156)</f>
        <v/>
      </c>
      <c r="G161" s="3">
        <f>IF('ORDENES'!$C156="","-",'ORDENES'!$C156)</f>
        <v/>
      </c>
      <c r="H161" s="3">
        <f>IF('ORDENES'!$E156="","-",'ORDENES'!$E156)</f>
        <v/>
      </c>
      <c r="I161" s="3">
        <f>IF('ORDENES'!$F156="","-",'ORDENES'!$F156)</f>
        <v/>
      </c>
      <c r="J161" s="12">
        <f>IF('ORDENES'!$L156="",0,'ORDENES'!$L156)</f>
        <v/>
      </c>
      <c r="K161" s="3">
        <f>IF('ORDENES'!$N156="","-",'ORDENES'!$N156)</f>
        <v/>
      </c>
      <c r="L161" s="3">
        <f>'ORDENES'!$AA156</f>
        <v/>
      </c>
    </row>
    <row r="162">
      <c r="A162" s="3">
        <f>IF('ORDENES'!$O157="","-",'ORDENES'!$O157)</f>
        <v/>
      </c>
      <c r="B162" s="3">
        <f>IF('ORDENES'!$R157="","-",'ORDENES'!$R157)</f>
        <v/>
      </c>
      <c r="C162" s="3">
        <f>IF('ORDENES'!$AC157="","-",'ORDENES'!$AC157)</f>
        <v/>
      </c>
      <c r="D162" s="3">
        <f>IF('ORDENES'!$V157="","-",'ORDENES'!$V157)</f>
        <v/>
      </c>
      <c r="E162" s="3">
        <f>IF('ORDENES'!$U157="","-",'ORDENES'!$U157)</f>
        <v/>
      </c>
      <c r="F162" s="3">
        <f>IF('ORDENES'!$AB157="","-",'ORDENES'!$AB157)</f>
        <v/>
      </c>
      <c r="G162" s="3">
        <f>IF('ORDENES'!$C157="","-",'ORDENES'!$C157)</f>
        <v/>
      </c>
      <c r="H162" s="3">
        <f>IF('ORDENES'!$E157="","-",'ORDENES'!$E157)</f>
        <v/>
      </c>
      <c r="I162" s="3">
        <f>IF('ORDENES'!$F157="","-",'ORDENES'!$F157)</f>
        <v/>
      </c>
      <c r="J162" s="12">
        <f>IF('ORDENES'!$L157="",0,'ORDENES'!$L157)</f>
        <v/>
      </c>
      <c r="K162" s="3">
        <f>IF('ORDENES'!$N157="","-",'ORDENES'!$N157)</f>
        <v/>
      </c>
      <c r="L162" s="3">
        <f>'ORDENES'!$AA157</f>
        <v/>
      </c>
    </row>
    <row r="163">
      <c r="A163" s="3">
        <f>IF('ORDENES'!$O158="","-",'ORDENES'!$O158)</f>
        <v/>
      </c>
      <c r="B163" s="3">
        <f>IF('ORDENES'!$R158="","-",'ORDENES'!$R158)</f>
        <v/>
      </c>
      <c r="C163" s="3">
        <f>IF('ORDENES'!$AC158="","-",'ORDENES'!$AC158)</f>
        <v/>
      </c>
      <c r="D163" s="3">
        <f>IF('ORDENES'!$V158="","-",'ORDENES'!$V158)</f>
        <v/>
      </c>
      <c r="E163" s="3">
        <f>IF('ORDENES'!$U158="","-",'ORDENES'!$U158)</f>
        <v/>
      </c>
      <c r="F163" s="3">
        <f>IF('ORDENES'!$AB158="","-",'ORDENES'!$AB158)</f>
        <v/>
      </c>
      <c r="G163" s="3">
        <f>IF('ORDENES'!$C158="","-",'ORDENES'!$C158)</f>
        <v/>
      </c>
      <c r="H163" s="3">
        <f>IF('ORDENES'!$E158="","-",'ORDENES'!$E158)</f>
        <v/>
      </c>
      <c r="I163" s="3">
        <f>IF('ORDENES'!$F158="","-",'ORDENES'!$F158)</f>
        <v/>
      </c>
      <c r="J163" s="12">
        <f>IF('ORDENES'!$L158="",0,'ORDENES'!$L158)</f>
        <v/>
      </c>
      <c r="K163" s="3">
        <f>IF('ORDENES'!$N158="","-",'ORDENES'!$N158)</f>
        <v/>
      </c>
      <c r="L163" s="3">
        <f>'ORDENES'!$AA158</f>
        <v/>
      </c>
    </row>
    <row r="164">
      <c r="A164" s="3">
        <f>IF('ORDENES'!$O159="","-",'ORDENES'!$O159)</f>
        <v/>
      </c>
      <c r="B164" s="3">
        <f>IF('ORDENES'!$R159="","-",'ORDENES'!$R159)</f>
        <v/>
      </c>
      <c r="C164" s="3">
        <f>IF('ORDENES'!$AC159="","-",'ORDENES'!$AC159)</f>
        <v/>
      </c>
      <c r="D164" s="3">
        <f>IF('ORDENES'!$V159="","-",'ORDENES'!$V159)</f>
        <v/>
      </c>
      <c r="E164" s="3">
        <f>IF('ORDENES'!$U159="","-",'ORDENES'!$U159)</f>
        <v/>
      </c>
      <c r="F164" s="3">
        <f>IF('ORDENES'!$AB159="","-",'ORDENES'!$AB159)</f>
        <v/>
      </c>
      <c r="G164" s="3">
        <f>IF('ORDENES'!$C159="","-",'ORDENES'!$C159)</f>
        <v/>
      </c>
      <c r="H164" s="3">
        <f>IF('ORDENES'!$E159="","-",'ORDENES'!$E159)</f>
        <v/>
      </c>
      <c r="I164" s="3">
        <f>IF('ORDENES'!$F159="","-",'ORDENES'!$F159)</f>
        <v/>
      </c>
      <c r="J164" s="12">
        <f>IF('ORDENES'!$L159="",0,'ORDENES'!$L159)</f>
        <v/>
      </c>
      <c r="K164" s="3">
        <f>IF('ORDENES'!$N159="","-",'ORDENES'!$N159)</f>
        <v/>
      </c>
      <c r="L164" s="3">
        <f>'ORDENES'!$AA159</f>
        <v/>
      </c>
    </row>
    <row r="165">
      <c r="A165" s="3">
        <f>IF('ORDENES'!$O160="","-",'ORDENES'!$O160)</f>
        <v/>
      </c>
      <c r="B165" s="3">
        <f>IF('ORDENES'!$R160="","-",'ORDENES'!$R160)</f>
        <v/>
      </c>
      <c r="C165" s="3">
        <f>IF('ORDENES'!$AC160="","-",'ORDENES'!$AC160)</f>
        <v/>
      </c>
      <c r="D165" s="3">
        <f>IF('ORDENES'!$V160="","-",'ORDENES'!$V160)</f>
        <v/>
      </c>
      <c r="E165" s="3">
        <f>IF('ORDENES'!$U160="","-",'ORDENES'!$U160)</f>
        <v/>
      </c>
      <c r="F165" s="3">
        <f>IF('ORDENES'!$AB160="","-",'ORDENES'!$AB160)</f>
        <v/>
      </c>
      <c r="G165" s="3">
        <f>IF('ORDENES'!$C160="","-",'ORDENES'!$C160)</f>
        <v/>
      </c>
      <c r="H165" s="3">
        <f>IF('ORDENES'!$E160="","-",'ORDENES'!$E160)</f>
        <v/>
      </c>
      <c r="I165" s="3">
        <f>IF('ORDENES'!$F160="","-",'ORDENES'!$F160)</f>
        <v/>
      </c>
      <c r="J165" s="12">
        <f>IF('ORDENES'!$L160="",0,'ORDENES'!$L160)</f>
        <v/>
      </c>
      <c r="K165" s="3">
        <f>IF('ORDENES'!$N160="","-",'ORDENES'!$N160)</f>
        <v/>
      </c>
      <c r="L165" s="3">
        <f>'ORDENES'!$AA160</f>
        <v/>
      </c>
    </row>
    <row r="166">
      <c r="A166" s="3">
        <f>IF('ORDENES'!$O161="","-",'ORDENES'!$O161)</f>
        <v/>
      </c>
      <c r="B166" s="3">
        <f>IF('ORDENES'!$R161="","-",'ORDENES'!$R161)</f>
        <v/>
      </c>
      <c r="C166" s="3">
        <f>IF('ORDENES'!$AC161="","-",'ORDENES'!$AC161)</f>
        <v/>
      </c>
      <c r="D166" s="3">
        <f>IF('ORDENES'!$V161="","-",'ORDENES'!$V161)</f>
        <v/>
      </c>
      <c r="E166" s="3">
        <f>IF('ORDENES'!$U161="","-",'ORDENES'!$U161)</f>
        <v/>
      </c>
      <c r="F166" s="3">
        <f>IF('ORDENES'!$AB161="","-",'ORDENES'!$AB161)</f>
        <v/>
      </c>
      <c r="G166" s="3">
        <f>IF('ORDENES'!$C161="","-",'ORDENES'!$C161)</f>
        <v/>
      </c>
      <c r="H166" s="3">
        <f>IF('ORDENES'!$E161="","-",'ORDENES'!$E161)</f>
        <v/>
      </c>
      <c r="I166" s="3">
        <f>IF('ORDENES'!$F161="","-",'ORDENES'!$F161)</f>
        <v/>
      </c>
      <c r="J166" s="12">
        <f>IF('ORDENES'!$L161="",0,'ORDENES'!$L161)</f>
        <v/>
      </c>
      <c r="K166" s="3">
        <f>IF('ORDENES'!$N161="","-",'ORDENES'!$N161)</f>
        <v/>
      </c>
      <c r="L166" s="3">
        <f>'ORDENES'!$AA161</f>
        <v/>
      </c>
    </row>
    <row r="167">
      <c r="A167" s="3">
        <f>IF('ORDENES'!$O162="","-",'ORDENES'!$O162)</f>
        <v/>
      </c>
      <c r="B167" s="3">
        <f>IF('ORDENES'!$R162="","-",'ORDENES'!$R162)</f>
        <v/>
      </c>
      <c r="C167" s="3">
        <f>IF('ORDENES'!$AC162="","-",'ORDENES'!$AC162)</f>
        <v/>
      </c>
      <c r="D167" s="3">
        <f>IF('ORDENES'!$V162="","-",'ORDENES'!$V162)</f>
        <v/>
      </c>
      <c r="E167" s="3">
        <f>IF('ORDENES'!$U162="","-",'ORDENES'!$U162)</f>
        <v/>
      </c>
      <c r="F167" s="3">
        <f>IF('ORDENES'!$AB162="","-",'ORDENES'!$AB162)</f>
        <v/>
      </c>
      <c r="G167" s="3">
        <f>IF('ORDENES'!$C162="","-",'ORDENES'!$C162)</f>
        <v/>
      </c>
      <c r="H167" s="3">
        <f>IF('ORDENES'!$E162="","-",'ORDENES'!$E162)</f>
        <v/>
      </c>
      <c r="I167" s="3">
        <f>IF('ORDENES'!$F162="","-",'ORDENES'!$F162)</f>
        <v/>
      </c>
      <c r="J167" s="12">
        <f>IF('ORDENES'!$L162="",0,'ORDENES'!$L162)</f>
        <v/>
      </c>
      <c r="K167" s="3">
        <f>IF('ORDENES'!$N162="","-",'ORDENES'!$N162)</f>
        <v/>
      </c>
      <c r="L167" s="3">
        <f>'ORDENES'!$AA162</f>
        <v/>
      </c>
    </row>
    <row r="168">
      <c r="A168" s="3">
        <f>IF('ORDENES'!$O163="","-",'ORDENES'!$O163)</f>
        <v/>
      </c>
      <c r="B168" s="3">
        <f>IF('ORDENES'!$R163="","-",'ORDENES'!$R163)</f>
        <v/>
      </c>
      <c r="C168" s="3">
        <f>IF('ORDENES'!$AC163="","-",'ORDENES'!$AC163)</f>
        <v/>
      </c>
      <c r="D168" s="3">
        <f>IF('ORDENES'!$V163="","-",'ORDENES'!$V163)</f>
        <v/>
      </c>
      <c r="E168" s="3">
        <f>IF('ORDENES'!$U163="","-",'ORDENES'!$U163)</f>
        <v/>
      </c>
      <c r="F168" s="3">
        <f>IF('ORDENES'!$AB163="","-",'ORDENES'!$AB163)</f>
        <v/>
      </c>
      <c r="G168" s="3">
        <f>IF('ORDENES'!$C163="","-",'ORDENES'!$C163)</f>
        <v/>
      </c>
      <c r="H168" s="3">
        <f>IF('ORDENES'!$E163="","-",'ORDENES'!$E163)</f>
        <v/>
      </c>
      <c r="I168" s="3">
        <f>IF('ORDENES'!$F163="","-",'ORDENES'!$F163)</f>
        <v/>
      </c>
      <c r="J168" s="12">
        <f>IF('ORDENES'!$L163="",0,'ORDENES'!$L163)</f>
        <v/>
      </c>
      <c r="K168" s="3">
        <f>IF('ORDENES'!$N163="","-",'ORDENES'!$N163)</f>
        <v/>
      </c>
      <c r="L168" s="3">
        <f>'ORDENES'!$AA163</f>
        <v/>
      </c>
    </row>
    <row r="169">
      <c r="A169" s="3">
        <f>IF('ORDENES'!$O164="","-",'ORDENES'!$O164)</f>
        <v/>
      </c>
      <c r="B169" s="3">
        <f>IF('ORDENES'!$R164="","-",'ORDENES'!$R164)</f>
        <v/>
      </c>
      <c r="C169" s="3">
        <f>IF('ORDENES'!$AC164="","-",'ORDENES'!$AC164)</f>
        <v/>
      </c>
      <c r="D169" s="3">
        <f>IF('ORDENES'!$V164="","-",'ORDENES'!$V164)</f>
        <v/>
      </c>
      <c r="E169" s="3">
        <f>IF('ORDENES'!$U164="","-",'ORDENES'!$U164)</f>
        <v/>
      </c>
      <c r="F169" s="3">
        <f>IF('ORDENES'!$AB164="","-",'ORDENES'!$AB164)</f>
        <v/>
      </c>
      <c r="G169" s="3">
        <f>IF('ORDENES'!$C164="","-",'ORDENES'!$C164)</f>
        <v/>
      </c>
      <c r="H169" s="3">
        <f>IF('ORDENES'!$E164="","-",'ORDENES'!$E164)</f>
        <v/>
      </c>
      <c r="I169" s="3">
        <f>IF('ORDENES'!$F164="","-",'ORDENES'!$F164)</f>
        <v/>
      </c>
      <c r="J169" s="12">
        <f>IF('ORDENES'!$L164="",0,'ORDENES'!$L164)</f>
        <v/>
      </c>
      <c r="K169" s="3">
        <f>IF('ORDENES'!$N164="","-",'ORDENES'!$N164)</f>
        <v/>
      </c>
      <c r="L169" s="3">
        <f>'ORDENES'!$AA164</f>
        <v/>
      </c>
    </row>
    <row r="170">
      <c r="A170" s="3">
        <f>IF('ORDENES'!$O165="","-",'ORDENES'!$O165)</f>
        <v/>
      </c>
      <c r="B170" s="3">
        <f>IF('ORDENES'!$R165="","-",'ORDENES'!$R165)</f>
        <v/>
      </c>
      <c r="C170" s="3">
        <f>IF('ORDENES'!$AC165="","-",'ORDENES'!$AC165)</f>
        <v/>
      </c>
      <c r="D170" s="3">
        <f>IF('ORDENES'!$V165="","-",'ORDENES'!$V165)</f>
        <v/>
      </c>
      <c r="E170" s="3">
        <f>IF('ORDENES'!$U165="","-",'ORDENES'!$U165)</f>
        <v/>
      </c>
      <c r="F170" s="3">
        <f>IF('ORDENES'!$AB165="","-",'ORDENES'!$AB165)</f>
        <v/>
      </c>
      <c r="G170" s="3">
        <f>IF('ORDENES'!$C165="","-",'ORDENES'!$C165)</f>
        <v/>
      </c>
      <c r="H170" s="3">
        <f>IF('ORDENES'!$E165="","-",'ORDENES'!$E165)</f>
        <v/>
      </c>
      <c r="I170" s="3">
        <f>IF('ORDENES'!$F165="","-",'ORDENES'!$F165)</f>
        <v/>
      </c>
      <c r="J170" s="12">
        <f>IF('ORDENES'!$L165="",0,'ORDENES'!$L165)</f>
        <v/>
      </c>
      <c r="K170" s="3">
        <f>IF('ORDENES'!$N165="","-",'ORDENES'!$N165)</f>
        <v/>
      </c>
      <c r="L170" s="3">
        <f>'ORDENES'!$AA165</f>
        <v/>
      </c>
    </row>
    <row r="171">
      <c r="A171" s="3">
        <f>IF('ORDENES'!$O166="","-",'ORDENES'!$O166)</f>
        <v/>
      </c>
      <c r="B171" s="3">
        <f>IF('ORDENES'!$R166="","-",'ORDENES'!$R166)</f>
        <v/>
      </c>
      <c r="C171" s="3">
        <f>IF('ORDENES'!$AC166="","-",'ORDENES'!$AC166)</f>
        <v/>
      </c>
      <c r="D171" s="3">
        <f>IF('ORDENES'!$V166="","-",'ORDENES'!$V166)</f>
        <v/>
      </c>
      <c r="E171" s="3">
        <f>IF('ORDENES'!$U166="","-",'ORDENES'!$U166)</f>
        <v/>
      </c>
      <c r="F171" s="3">
        <f>IF('ORDENES'!$AB166="","-",'ORDENES'!$AB166)</f>
        <v/>
      </c>
      <c r="G171" s="3">
        <f>IF('ORDENES'!$C166="","-",'ORDENES'!$C166)</f>
        <v/>
      </c>
      <c r="H171" s="3">
        <f>IF('ORDENES'!$E166="","-",'ORDENES'!$E166)</f>
        <v/>
      </c>
      <c r="I171" s="3">
        <f>IF('ORDENES'!$F166="","-",'ORDENES'!$F166)</f>
        <v/>
      </c>
      <c r="J171" s="12">
        <f>IF('ORDENES'!$L166="",0,'ORDENES'!$L166)</f>
        <v/>
      </c>
      <c r="K171" s="3">
        <f>IF('ORDENES'!$N166="","-",'ORDENES'!$N166)</f>
        <v/>
      </c>
      <c r="L171" s="3">
        <f>'ORDENES'!$AA166</f>
        <v/>
      </c>
    </row>
    <row r="172">
      <c r="A172" s="3">
        <f>IF('ORDENES'!$O167="","-",'ORDENES'!$O167)</f>
        <v/>
      </c>
      <c r="B172" s="3">
        <f>IF('ORDENES'!$R167="","-",'ORDENES'!$R167)</f>
        <v/>
      </c>
      <c r="C172" s="3">
        <f>IF('ORDENES'!$AC167="","-",'ORDENES'!$AC167)</f>
        <v/>
      </c>
      <c r="D172" s="3">
        <f>IF('ORDENES'!$V167="","-",'ORDENES'!$V167)</f>
        <v/>
      </c>
      <c r="E172" s="3">
        <f>IF('ORDENES'!$U167="","-",'ORDENES'!$U167)</f>
        <v/>
      </c>
      <c r="F172" s="3">
        <f>IF('ORDENES'!$AB167="","-",'ORDENES'!$AB167)</f>
        <v/>
      </c>
      <c r="G172" s="3">
        <f>IF('ORDENES'!$C167="","-",'ORDENES'!$C167)</f>
        <v/>
      </c>
      <c r="H172" s="3">
        <f>IF('ORDENES'!$E167="","-",'ORDENES'!$E167)</f>
        <v/>
      </c>
      <c r="I172" s="3">
        <f>IF('ORDENES'!$F167="","-",'ORDENES'!$F167)</f>
        <v/>
      </c>
      <c r="J172" s="12">
        <f>IF('ORDENES'!$L167="",0,'ORDENES'!$L167)</f>
        <v/>
      </c>
      <c r="K172" s="3">
        <f>IF('ORDENES'!$N167="","-",'ORDENES'!$N167)</f>
        <v/>
      </c>
      <c r="L172" s="3">
        <f>'ORDENES'!$AA167</f>
        <v/>
      </c>
    </row>
    <row r="173">
      <c r="A173" s="3">
        <f>IF('ORDENES'!$O168="","-",'ORDENES'!$O168)</f>
        <v/>
      </c>
      <c r="B173" s="3">
        <f>IF('ORDENES'!$R168="","-",'ORDENES'!$R168)</f>
        <v/>
      </c>
      <c r="C173" s="3">
        <f>IF('ORDENES'!$AC168="","-",'ORDENES'!$AC168)</f>
        <v/>
      </c>
      <c r="D173" s="3">
        <f>IF('ORDENES'!$V168="","-",'ORDENES'!$V168)</f>
        <v/>
      </c>
      <c r="E173" s="3">
        <f>IF('ORDENES'!$U168="","-",'ORDENES'!$U168)</f>
        <v/>
      </c>
      <c r="F173" s="3">
        <f>IF('ORDENES'!$AB168="","-",'ORDENES'!$AB168)</f>
        <v/>
      </c>
      <c r="G173" s="3">
        <f>IF('ORDENES'!$C168="","-",'ORDENES'!$C168)</f>
        <v/>
      </c>
      <c r="H173" s="3">
        <f>IF('ORDENES'!$E168="","-",'ORDENES'!$E168)</f>
        <v/>
      </c>
      <c r="I173" s="3">
        <f>IF('ORDENES'!$F168="","-",'ORDENES'!$F168)</f>
        <v/>
      </c>
      <c r="J173" s="12">
        <f>IF('ORDENES'!$L168="",0,'ORDENES'!$L168)</f>
        <v/>
      </c>
      <c r="K173" s="3">
        <f>IF('ORDENES'!$N168="","-",'ORDENES'!$N168)</f>
        <v/>
      </c>
      <c r="L173" s="3">
        <f>'ORDENES'!$AA168</f>
        <v/>
      </c>
    </row>
    <row r="174">
      <c r="A174" s="3">
        <f>IF('ORDENES'!$O169="","-",'ORDENES'!$O169)</f>
        <v/>
      </c>
      <c r="B174" s="3">
        <f>IF('ORDENES'!$R169="","-",'ORDENES'!$R169)</f>
        <v/>
      </c>
      <c r="C174" s="3">
        <f>IF('ORDENES'!$AC169="","-",'ORDENES'!$AC169)</f>
        <v/>
      </c>
      <c r="D174" s="3">
        <f>IF('ORDENES'!$V169="","-",'ORDENES'!$V169)</f>
        <v/>
      </c>
      <c r="E174" s="3">
        <f>IF('ORDENES'!$U169="","-",'ORDENES'!$U169)</f>
        <v/>
      </c>
      <c r="F174" s="3">
        <f>IF('ORDENES'!$AB169="","-",'ORDENES'!$AB169)</f>
        <v/>
      </c>
      <c r="G174" s="3">
        <f>IF('ORDENES'!$C169="","-",'ORDENES'!$C169)</f>
        <v/>
      </c>
      <c r="H174" s="3">
        <f>IF('ORDENES'!$E169="","-",'ORDENES'!$E169)</f>
        <v/>
      </c>
      <c r="I174" s="3">
        <f>IF('ORDENES'!$F169="","-",'ORDENES'!$F169)</f>
        <v/>
      </c>
      <c r="J174" s="12">
        <f>IF('ORDENES'!$L169="",0,'ORDENES'!$L169)</f>
        <v/>
      </c>
      <c r="K174" s="3">
        <f>IF('ORDENES'!$N169="","-",'ORDENES'!$N169)</f>
        <v/>
      </c>
      <c r="L174" s="3">
        <f>'ORDENES'!$AA169</f>
        <v/>
      </c>
    </row>
    <row r="175">
      <c r="A175" s="3">
        <f>IF('ORDENES'!$O170="","-",'ORDENES'!$O170)</f>
        <v/>
      </c>
      <c r="B175" s="3">
        <f>IF('ORDENES'!$R170="","-",'ORDENES'!$R170)</f>
        <v/>
      </c>
      <c r="C175" s="3">
        <f>IF('ORDENES'!$AC170="","-",'ORDENES'!$AC170)</f>
        <v/>
      </c>
      <c r="D175" s="3">
        <f>IF('ORDENES'!$V170="","-",'ORDENES'!$V170)</f>
        <v/>
      </c>
      <c r="E175" s="3">
        <f>IF('ORDENES'!$U170="","-",'ORDENES'!$U170)</f>
        <v/>
      </c>
      <c r="F175" s="3">
        <f>IF('ORDENES'!$AB170="","-",'ORDENES'!$AB170)</f>
        <v/>
      </c>
      <c r="G175" s="3">
        <f>IF('ORDENES'!$C170="","-",'ORDENES'!$C170)</f>
        <v/>
      </c>
      <c r="H175" s="3">
        <f>IF('ORDENES'!$E170="","-",'ORDENES'!$E170)</f>
        <v/>
      </c>
      <c r="I175" s="3">
        <f>IF('ORDENES'!$F170="","-",'ORDENES'!$F170)</f>
        <v/>
      </c>
      <c r="J175" s="12">
        <f>IF('ORDENES'!$L170="",0,'ORDENES'!$L170)</f>
        <v/>
      </c>
      <c r="K175" s="3">
        <f>IF('ORDENES'!$N170="","-",'ORDENES'!$N170)</f>
        <v/>
      </c>
      <c r="L175" s="3">
        <f>'ORDENES'!$AA170</f>
        <v/>
      </c>
    </row>
    <row r="176">
      <c r="A176" s="3">
        <f>IF('ORDENES'!$O171="","-",'ORDENES'!$O171)</f>
        <v/>
      </c>
      <c r="B176" s="3">
        <f>IF('ORDENES'!$R171="","-",'ORDENES'!$R171)</f>
        <v/>
      </c>
      <c r="C176" s="3">
        <f>IF('ORDENES'!$AC171="","-",'ORDENES'!$AC171)</f>
        <v/>
      </c>
      <c r="D176" s="3">
        <f>IF('ORDENES'!$V171="","-",'ORDENES'!$V171)</f>
        <v/>
      </c>
      <c r="E176" s="3">
        <f>IF('ORDENES'!$U171="","-",'ORDENES'!$U171)</f>
        <v/>
      </c>
      <c r="F176" s="3">
        <f>IF('ORDENES'!$AB171="","-",'ORDENES'!$AB171)</f>
        <v/>
      </c>
      <c r="G176" s="3">
        <f>IF('ORDENES'!$C171="","-",'ORDENES'!$C171)</f>
        <v/>
      </c>
      <c r="H176" s="3">
        <f>IF('ORDENES'!$E171="","-",'ORDENES'!$E171)</f>
        <v/>
      </c>
      <c r="I176" s="3">
        <f>IF('ORDENES'!$F171="","-",'ORDENES'!$F171)</f>
        <v/>
      </c>
      <c r="J176" s="12">
        <f>IF('ORDENES'!$L171="",0,'ORDENES'!$L171)</f>
        <v/>
      </c>
      <c r="K176" s="3">
        <f>IF('ORDENES'!$N171="","-",'ORDENES'!$N171)</f>
        <v/>
      </c>
      <c r="L176" s="3">
        <f>'ORDENES'!$AA171</f>
        <v/>
      </c>
    </row>
    <row r="177">
      <c r="A177" s="3">
        <f>IF('ORDENES'!$O172="","-",'ORDENES'!$O172)</f>
        <v/>
      </c>
      <c r="B177" s="3">
        <f>IF('ORDENES'!$R172="","-",'ORDENES'!$R172)</f>
        <v/>
      </c>
      <c r="C177" s="3">
        <f>IF('ORDENES'!$AC172="","-",'ORDENES'!$AC172)</f>
        <v/>
      </c>
      <c r="D177" s="3">
        <f>IF('ORDENES'!$V172="","-",'ORDENES'!$V172)</f>
        <v/>
      </c>
      <c r="E177" s="3">
        <f>IF('ORDENES'!$U172="","-",'ORDENES'!$U172)</f>
        <v/>
      </c>
      <c r="F177" s="3">
        <f>IF('ORDENES'!$AB172="","-",'ORDENES'!$AB172)</f>
        <v/>
      </c>
      <c r="G177" s="3">
        <f>IF('ORDENES'!$C172="","-",'ORDENES'!$C172)</f>
        <v/>
      </c>
      <c r="H177" s="3">
        <f>IF('ORDENES'!$E172="","-",'ORDENES'!$E172)</f>
        <v/>
      </c>
      <c r="I177" s="3">
        <f>IF('ORDENES'!$F172="","-",'ORDENES'!$F172)</f>
        <v/>
      </c>
      <c r="J177" s="12">
        <f>IF('ORDENES'!$L172="",0,'ORDENES'!$L172)</f>
        <v/>
      </c>
      <c r="K177" s="3">
        <f>IF('ORDENES'!$N172="","-",'ORDENES'!$N172)</f>
        <v/>
      </c>
      <c r="L177" s="3">
        <f>'ORDENES'!$AA172</f>
        <v/>
      </c>
    </row>
    <row r="178">
      <c r="A178" s="3">
        <f>IF('ORDENES'!$O173="","-",'ORDENES'!$O173)</f>
        <v/>
      </c>
      <c r="B178" s="3">
        <f>IF('ORDENES'!$R173="","-",'ORDENES'!$R173)</f>
        <v/>
      </c>
      <c r="C178" s="3">
        <f>IF('ORDENES'!$AC173="","-",'ORDENES'!$AC173)</f>
        <v/>
      </c>
      <c r="D178" s="3">
        <f>IF('ORDENES'!$V173="","-",'ORDENES'!$V173)</f>
        <v/>
      </c>
      <c r="E178" s="3">
        <f>IF('ORDENES'!$U173="","-",'ORDENES'!$U173)</f>
        <v/>
      </c>
      <c r="F178" s="3">
        <f>IF('ORDENES'!$AB173="","-",'ORDENES'!$AB173)</f>
        <v/>
      </c>
      <c r="G178" s="3">
        <f>IF('ORDENES'!$C173="","-",'ORDENES'!$C173)</f>
        <v/>
      </c>
      <c r="H178" s="3">
        <f>IF('ORDENES'!$E173="","-",'ORDENES'!$E173)</f>
        <v/>
      </c>
      <c r="I178" s="3">
        <f>IF('ORDENES'!$F173="","-",'ORDENES'!$F173)</f>
        <v/>
      </c>
      <c r="J178" s="12">
        <f>IF('ORDENES'!$L173="",0,'ORDENES'!$L173)</f>
        <v/>
      </c>
      <c r="K178" s="3">
        <f>IF('ORDENES'!$N173="","-",'ORDENES'!$N173)</f>
        <v/>
      </c>
      <c r="L178" s="3">
        <f>'ORDENES'!$AA173</f>
        <v/>
      </c>
    </row>
    <row r="179">
      <c r="A179" s="3">
        <f>IF('ORDENES'!$O174="","-",'ORDENES'!$O174)</f>
        <v/>
      </c>
      <c r="B179" s="3">
        <f>IF('ORDENES'!$R174="","-",'ORDENES'!$R174)</f>
        <v/>
      </c>
      <c r="C179" s="3">
        <f>IF('ORDENES'!$AC174="","-",'ORDENES'!$AC174)</f>
        <v/>
      </c>
      <c r="D179" s="3">
        <f>IF('ORDENES'!$V174="","-",'ORDENES'!$V174)</f>
        <v/>
      </c>
      <c r="E179" s="3">
        <f>IF('ORDENES'!$U174="","-",'ORDENES'!$U174)</f>
        <v/>
      </c>
      <c r="F179" s="3">
        <f>IF('ORDENES'!$AB174="","-",'ORDENES'!$AB174)</f>
        <v/>
      </c>
      <c r="G179" s="3">
        <f>IF('ORDENES'!$C174="","-",'ORDENES'!$C174)</f>
        <v/>
      </c>
      <c r="H179" s="3">
        <f>IF('ORDENES'!$E174="","-",'ORDENES'!$E174)</f>
        <v/>
      </c>
      <c r="I179" s="3">
        <f>IF('ORDENES'!$F174="","-",'ORDENES'!$F174)</f>
        <v/>
      </c>
      <c r="J179" s="12">
        <f>IF('ORDENES'!$L174="",0,'ORDENES'!$L174)</f>
        <v/>
      </c>
      <c r="K179" s="3">
        <f>IF('ORDENES'!$N174="","-",'ORDENES'!$N174)</f>
        <v/>
      </c>
      <c r="L179" s="3">
        <f>'ORDENES'!$AA174</f>
        <v/>
      </c>
    </row>
    <row r="180">
      <c r="A180" s="3">
        <f>IF('ORDENES'!$O175="","-",'ORDENES'!$O175)</f>
        <v/>
      </c>
      <c r="B180" s="3">
        <f>IF('ORDENES'!$R175="","-",'ORDENES'!$R175)</f>
        <v/>
      </c>
      <c r="C180" s="3">
        <f>IF('ORDENES'!$AC175="","-",'ORDENES'!$AC175)</f>
        <v/>
      </c>
      <c r="D180" s="3">
        <f>IF('ORDENES'!$V175="","-",'ORDENES'!$V175)</f>
        <v/>
      </c>
      <c r="E180" s="3">
        <f>IF('ORDENES'!$U175="","-",'ORDENES'!$U175)</f>
        <v/>
      </c>
      <c r="F180" s="3">
        <f>IF('ORDENES'!$AB175="","-",'ORDENES'!$AB175)</f>
        <v/>
      </c>
      <c r="G180" s="3">
        <f>IF('ORDENES'!$C175="","-",'ORDENES'!$C175)</f>
        <v/>
      </c>
      <c r="H180" s="3">
        <f>IF('ORDENES'!$E175="","-",'ORDENES'!$E175)</f>
        <v/>
      </c>
      <c r="I180" s="3">
        <f>IF('ORDENES'!$F175="","-",'ORDENES'!$F175)</f>
        <v/>
      </c>
      <c r="J180" s="12">
        <f>IF('ORDENES'!$L175="",0,'ORDENES'!$L175)</f>
        <v/>
      </c>
      <c r="K180" s="3">
        <f>IF('ORDENES'!$N175="","-",'ORDENES'!$N175)</f>
        <v/>
      </c>
      <c r="L180" s="3">
        <f>'ORDENES'!$AA175</f>
        <v/>
      </c>
    </row>
    <row r="181">
      <c r="A181" s="3">
        <f>IF('ORDENES'!$O176="","-",'ORDENES'!$O176)</f>
        <v/>
      </c>
      <c r="B181" s="3">
        <f>IF('ORDENES'!$R176="","-",'ORDENES'!$R176)</f>
        <v/>
      </c>
      <c r="C181" s="3">
        <f>IF('ORDENES'!$AC176="","-",'ORDENES'!$AC176)</f>
        <v/>
      </c>
      <c r="D181" s="3">
        <f>IF('ORDENES'!$V176="","-",'ORDENES'!$V176)</f>
        <v/>
      </c>
      <c r="E181" s="3">
        <f>IF('ORDENES'!$U176="","-",'ORDENES'!$U176)</f>
        <v/>
      </c>
      <c r="F181" s="3">
        <f>IF('ORDENES'!$AB176="","-",'ORDENES'!$AB176)</f>
        <v/>
      </c>
      <c r="G181" s="3">
        <f>IF('ORDENES'!$C176="","-",'ORDENES'!$C176)</f>
        <v/>
      </c>
      <c r="H181" s="3">
        <f>IF('ORDENES'!$E176="","-",'ORDENES'!$E176)</f>
        <v/>
      </c>
      <c r="I181" s="3">
        <f>IF('ORDENES'!$F176="","-",'ORDENES'!$F176)</f>
        <v/>
      </c>
      <c r="J181" s="12">
        <f>IF('ORDENES'!$L176="",0,'ORDENES'!$L176)</f>
        <v/>
      </c>
      <c r="K181" s="3">
        <f>IF('ORDENES'!$N176="","-",'ORDENES'!$N176)</f>
        <v/>
      </c>
      <c r="L181" s="3">
        <f>'ORDENES'!$AA176</f>
        <v/>
      </c>
    </row>
    <row r="182">
      <c r="A182" s="3">
        <f>IF('ORDENES'!$O177="","-",'ORDENES'!$O177)</f>
        <v/>
      </c>
      <c r="B182" s="3">
        <f>IF('ORDENES'!$R177="","-",'ORDENES'!$R177)</f>
        <v/>
      </c>
      <c r="C182" s="3">
        <f>IF('ORDENES'!$AC177="","-",'ORDENES'!$AC177)</f>
        <v/>
      </c>
      <c r="D182" s="3">
        <f>IF('ORDENES'!$V177="","-",'ORDENES'!$V177)</f>
        <v/>
      </c>
      <c r="E182" s="3">
        <f>IF('ORDENES'!$U177="","-",'ORDENES'!$U177)</f>
        <v/>
      </c>
      <c r="F182" s="3">
        <f>IF('ORDENES'!$AB177="","-",'ORDENES'!$AB177)</f>
        <v/>
      </c>
      <c r="G182" s="3">
        <f>IF('ORDENES'!$C177="","-",'ORDENES'!$C177)</f>
        <v/>
      </c>
      <c r="H182" s="3">
        <f>IF('ORDENES'!$E177="","-",'ORDENES'!$E177)</f>
        <v/>
      </c>
      <c r="I182" s="3">
        <f>IF('ORDENES'!$F177="","-",'ORDENES'!$F177)</f>
        <v/>
      </c>
      <c r="J182" s="12">
        <f>IF('ORDENES'!$L177="",0,'ORDENES'!$L177)</f>
        <v/>
      </c>
      <c r="K182" s="3">
        <f>IF('ORDENES'!$N177="","-",'ORDENES'!$N177)</f>
        <v/>
      </c>
      <c r="L182" s="3">
        <f>'ORDENES'!$AA177</f>
        <v/>
      </c>
    </row>
    <row r="183">
      <c r="A183" s="3">
        <f>IF('ORDENES'!$O178="","-",'ORDENES'!$O178)</f>
        <v/>
      </c>
      <c r="B183" s="3">
        <f>IF('ORDENES'!$R178="","-",'ORDENES'!$R178)</f>
        <v/>
      </c>
      <c r="C183" s="3">
        <f>IF('ORDENES'!$AC178="","-",'ORDENES'!$AC178)</f>
        <v/>
      </c>
      <c r="D183" s="3">
        <f>IF('ORDENES'!$V178="","-",'ORDENES'!$V178)</f>
        <v/>
      </c>
      <c r="E183" s="3">
        <f>IF('ORDENES'!$U178="","-",'ORDENES'!$U178)</f>
        <v/>
      </c>
      <c r="F183" s="3">
        <f>IF('ORDENES'!$AB178="","-",'ORDENES'!$AB178)</f>
        <v/>
      </c>
      <c r="G183" s="3">
        <f>IF('ORDENES'!$C178="","-",'ORDENES'!$C178)</f>
        <v/>
      </c>
      <c r="H183" s="3">
        <f>IF('ORDENES'!$E178="","-",'ORDENES'!$E178)</f>
        <v/>
      </c>
      <c r="I183" s="3">
        <f>IF('ORDENES'!$F178="","-",'ORDENES'!$F178)</f>
        <v/>
      </c>
      <c r="J183" s="12">
        <f>IF('ORDENES'!$L178="",0,'ORDENES'!$L178)</f>
        <v/>
      </c>
      <c r="K183" s="3">
        <f>IF('ORDENES'!$N178="","-",'ORDENES'!$N178)</f>
        <v/>
      </c>
      <c r="L183" s="3">
        <f>'ORDENES'!$AA178</f>
        <v/>
      </c>
    </row>
    <row r="184">
      <c r="A184" s="3">
        <f>IF('ORDENES'!$O179="","-",'ORDENES'!$O179)</f>
        <v/>
      </c>
      <c r="B184" s="3">
        <f>IF('ORDENES'!$R179="","-",'ORDENES'!$R179)</f>
        <v/>
      </c>
      <c r="C184" s="3">
        <f>IF('ORDENES'!$AC179="","-",'ORDENES'!$AC179)</f>
        <v/>
      </c>
      <c r="D184" s="3">
        <f>IF('ORDENES'!$V179="","-",'ORDENES'!$V179)</f>
        <v/>
      </c>
      <c r="E184" s="3">
        <f>IF('ORDENES'!$U179="","-",'ORDENES'!$U179)</f>
        <v/>
      </c>
      <c r="F184" s="3">
        <f>IF('ORDENES'!$AB179="","-",'ORDENES'!$AB179)</f>
        <v/>
      </c>
      <c r="G184" s="3">
        <f>IF('ORDENES'!$C179="","-",'ORDENES'!$C179)</f>
        <v/>
      </c>
      <c r="H184" s="3">
        <f>IF('ORDENES'!$E179="","-",'ORDENES'!$E179)</f>
        <v/>
      </c>
      <c r="I184" s="3">
        <f>IF('ORDENES'!$F179="","-",'ORDENES'!$F179)</f>
        <v/>
      </c>
      <c r="J184" s="12">
        <f>IF('ORDENES'!$L179="",0,'ORDENES'!$L179)</f>
        <v/>
      </c>
      <c r="K184" s="3">
        <f>IF('ORDENES'!$N179="","-",'ORDENES'!$N179)</f>
        <v/>
      </c>
      <c r="L184" s="3">
        <f>'ORDENES'!$AA179</f>
        <v/>
      </c>
    </row>
    <row r="185">
      <c r="A185" s="3">
        <f>IF('ORDENES'!$O180="","-",'ORDENES'!$O180)</f>
        <v/>
      </c>
      <c r="B185" s="3">
        <f>IF('ORDENES'!$R180="","-",'ORDENES'!$R180)</f>
        <v/>
      </c>
      <c r="C185" s="3">
        <f>IF('ORDENES'!$AC180="","-",'ORDENES'!$AC180)</f>
        <v/>
      </c>
      <c r="D185" s="3">
        <f>IF('ORDENES'!$V180="","-",'ORDENES'!$V180)</f>
        <v/>
      </c>
      <c r="E185" s="3">
        <f>IF('ORDENES'!$U180="","-",'ORDENES'!$U180)</f>
        <v/>
      </c>
      <c r="F185" s="3">
        <f>IF('ORDENES'!$AB180="","-",'ORDENES'!$AB180)</f>
        <v/>
      </c>
      <c r="G185" s="3">
        <f>IF('ORDENES'!$C180="","-",'ORDENES'!$C180)</f>
        <v/>
      </c>
      <c r="H185" s="3">
        <f>IF('ORDENES'!$E180="","-",'ORDENES'!$E180)</f>
        <v/>
      </c>
      <c r="I185" s="3">
        <f>IF('ORDENES'!$F180="","-",'ORDENES'!$F180)</f>
        <v/>
      </c>
      <c r="J185" s="12">
        <f>IF('ORDENES'!$L180="",0,'ORDENES'!$L180)</f>
        <v/>
      </c>
      <c r="K185" s="3">
        <f>IF('ORDENES'!$N180="","-",'ORDENES'!$N180)</f>
        <v/>
      </c>
      <c r="L185" s="3">
        <f>'ORDENES'!$AA180</f>
        <v/>
      </c>
    </row>
    <row r="186">
      <c r="A186" s="3">
        <f>IF('ORDENES'!$O181="","-",'ORDENES'!$O181)</f>
        <v/>
      </c>
      <c r="B186" s="3">
        <f>IF('ORDENES'!$R181="","-",'ORDENES'!$R181)</f>
        <v/>
      </c>
      <c r="C186" s="3">
        <f>IF('ORDENES'!$AC181="","-",'ORDENES'!$AC181)</f>
        <v/>
      </c>
      <c r="D186" s="3">
        <f>IF('ORDENES'!$V181="","-",'ORDENES'!$V181)</f>
        <v/>
      </c>
      <c r="E186" s="3">
        <f>IF('ORDENES'!$U181="","-",'ORDENES'!$U181)</f>
        <v/>
      </c>
      <c r="F186" s="3">
        <f>IF('ORDENES'!$AB181="","-",'ORDENES'!$AB181)</f>
        <v/>
      </c>
      <c r="G186" s="3">
        <f>IF('ORDENES'!$C181="","-",'ORDENES'!$C181)</f>
        <v/>
      </c>
      <c r="H186" s="3">
        <f>IF('ORDENES'!$E181="","-",'ORDENES'!$E181)</f>
        <v/>
      </c>
      <c r="I186" s="3">
        <f>IF('ORDENES'!$F181="","-",'ORDENES'!$F181)</f>
        <v/>
      </c>
      <c r="J186" s="12">
        <f>IF('ORDENES'!$L181="",0,'ORDENES'!$L181)</f>
        <v/>
      </c>
      <c r="K186" s="3">
        <f>IF('ORDENES'!$N181="","-",'ORDENES'!$N181)</f>
        <v/>
      </c>
      <c r="L186" s="3">
        <f>'ORDENES'!$AA181</f>
        <v/>
      </c>
    </row>
    <row r="187">
      <c r="A187" s="3">
        <f>IF('ORDENES'!$O182="","-",'ORDENES'!$O182)</f>
        <v/>
      </c>
      <c r="B187" s="3">
        <f>IF('ORDENES'!$R182="","-",'ORDENES'!$R182)</f>
        <v/>
      </c>
      <c r="C187" s="3">
        <f>IF('ORDENES'!$AC182="","-",'ORDENES'!$AC182)</f>
        <v/>
      </c>
      <c r="D187" s="3">
        <f>IF('ORDENES'!$V182="","-",'ORDENES'!$V182)</f>
        <v/>
      </c>
      <c r="E187" s="3">
        <f>IF('ORDENES'!$U182="","-",'ORDENES'!$U182)</f>
        <v/>
      </c>
      <c r="F187" s="3">
        <f>IF('ORDENES'!$AB182="","-",'ORDENES'!$AB182)</f>
        <v/>
      </c>
      <c r="G187" s="3">
        <f>IF('ORDENES'!$C182="","-",'ORDENES'!$C182)</f>
        <v/>
      </c>
      <c r="H187" s="3">
        <f>IF('ORDENES'!$E182="","-",'ORDENES'!$E182)</f>
        <v/>
      </c>
      <c r="I187" s="3">
        <f>IF('ORDENES'!$F182="","-",'ORDENES'!$F182)</f>
        <v/>
      </c>
      <c r="J187" s="12">
        <f>IF('ORDENES'!$L182="",0,'ORDENES'!$L182)</f>
        <v/>
      </c>
      <c r="K187" s="3">
        <f>IF('ORDENES'!$N182="","-",'ORDENES'!$N182)</f>
        <v/>
      </c>
      <c r="L187" s="3">
        <f>'ORDENES'!$AA182</f>
        <v/>
      </c>
    </row>
    <row r="188">
      <c r="A188" s="3">
        <f>IF('ORDENES'!$O183="","-",'ORDENES'!$O183)</f>
        <v/>
      </c>
      <c r="B188" s="3">
        <f>IF('ORDENES'!$R183="","-",'ORDENES'!$R183)</f>
        <v/>
      </c>
      <c r="C188" s="3">
        <f>IF('ORDENES'!$AC183="","-",'ORDENES'!$AC183)</f>
        <v/>
      </c>
      <c r="D188" s="3">
        <f>IF('ORDENES'!$V183="","-",'ORDENES'!$V183)</f>
        <v/>
      </c>
      <c r="E188" s="3">
        <f>IF('ORDENES'!$U183="","-",'ORDENES'!$U183)</f>
        <v/>
      </c>
      <c r="F188" s="3">
        <f>IF('ORDENES'!$AB183="","-",'ORDENES'!$AB183)</f>
        <v/>
      </c>
      <c r="G188" s="3">
        <f>IF('ORDENES'!$C183="","-",'ORDENES'!$C183)</f>
        <v/>
      </c>
      <c r="H188" s="3">
        <f>IF('ORDENES'!$E183="","-",'ORDENES'!$E183)</f>
        <v/>
      </c>
      <c r="I188" s="3">
        <f>IF('ORDENES'!$F183="","-",'ORDENES'!$F183)</f>
        <v/>
      </c>
      <c r="J188" s="12">
        <f>IF('ORDENES'!$L183="",0,'ORDENES'!$L183)</f>
        <v/>
      </c>
      <c r="K188" s="3">
        <f>IF('ORDENES'!$N183="","-",'ORDENES'!$N183)</f>
        <v/>
      </c>
      <c r="L188" s="3">
        <f>'ORDENES'!$AA183</f>
        <v/>
      </c>
    </row>
    <row r="189">
      <c r="A189" s="3">
        <f>IF('ORDENES'!$O184="","-",'ORDENES'!$O184)</f>
        <v/>
      </c>
      <c r="B189" s="3">
        <f>IF('ORDENES'!$R184="","-",'ORDENES'!$R184)</f>
        <v/>
      </c>
      <c r="C189" s="3">
        <f>IF('ORDENES'!$AC184="","-",'ORDENES'!$AC184)</f>
        <v/>
      </c>
      <c r="D189" s="3">
        <f>IF('ORDENES'!$V184="","-",'ORDENES'!$V184)</f>
        <v/>
      </c>
      <c r="E189" s="3">
        <f>IF('ORDENES'!$U184="","-",'ORDENES'!$U184)</f>
        <v/>
      </c>
      <c r="F189" s="3">
        <f>IF('ORDENES'!$AB184="","-",'ORDENES'!$AB184)</f>
        <v/>
      </c>
      <c r="G189" s="3">
        <f>IF('ORDENES'!$C184="","-",'ORDENES'!$C184)</f>
        <v/>
      </c>
      <c r="H189" s="3">
        <f>IF('ORDENES'!$E184="","-",'ORDENES'!$E184)</f>
        <v/>
      </c>
      <c r="I189" s="3">
        <f>IF('ORDENES'!$F184="","-",'ORDENES'!$F184)</f>
        <v/>
      </c>
      <c r="J189" s="12">
        <f>IF('ORDENES'!$L184="",0,'ORDENES'!$L184)</f>
        <v/>
      </c>
      <c r="K189" s="3">
        <f>IF('ORDENES'!$N184="","-",'ORDENES'!$N184)</f>
        <v/>
      </c>
      <c r="L189" s="3">
        <f>'ORDENES'!$AA184</f>
        <v/>
      </c>
    </row>
    <row r="190">
      <c r="A190" s="3">
        <f>IF('ORDENES'!$O185="","-",'ORDENES'!$O185)</f>
        <v/>
      </c>
      <c r="B190" s="3">
        <f>IF('ORDENES'!$R185="","-",'ORDENES'!$R185)</f>
        <v/>
      </c>
      <c r="C190" s="3">
        <f>IF('ORDENES'!$AC185="","-",'ORDENES'!$AC185)</f>
        <v/>
      </c>
      <c r="D190" s="3">
        <f>IF('ORDENES'!$V185="","-",'ORDENES'!$V185)</f>
        <v/>
      </c>
      <c r="E190" s="3">
        <f>IF('ORDENES'!$U185="","-",'ORDENES'!$U185)</f>
        <v/>
      </c>
      <c r="F190" s="3">
        <f>IF('ORDENES'!$AB185="","-",'ORDENES'!$AB185)</f>
        <v/>
      </c>
      <c r="G190" s="3">
        <f>IF('ORDENES'!$C185="","-",'ORDENES'!$C185)</f>
        <v/>
      </c>
      <c r="H190" s="3">
        <f>IF('ORDENES'!$E185="","-",'ORDENES'!$E185)</f>
        <v/>
      </c>
      <c r="I190" s="3">
        <f>IF('ORDENES'!$F185="","-",'ORDENES'!$F185)</f>
        <v/>
      </c>
      <c r="J190" s="12">
        <f>IF('ORDENES'!$L185="",0,'ORDENES'!$L185)</f>
        <v/>
      </c>
      <c r="K190" s="3">
        <f>IF('ORDENES'!$N185="","-",'ORDENES'!$N185)</f>
        <v/>
      </c>
      <c r="L190" s="3">
        <f>'ORDENES'!$AA185</f>
        <v/>
      </c>
    </row>
    <row r="191">
      <c r="A191" s="3">
        <f>IF('ORDENES'!$O186="","-",'ORDENES'!$O186)</f>
        <v/>
      </c>
      <c r="B191" s="3">
        <f>IF('ORDENES'!$R186="","-",'ORDENES'!$R186)</f>
        <v/>
      </c>
      <c r="C191" s="3">
        <f>IF('ORDENES'!$AC186="","-",'ORDENES'!$AC186)</f>
        <v/>
      </c>
      <c r="D191" s="3">
        <f>IF('ORDENES'!$V186="","-",'ORDENES'!$V186)</f>
        <v/>
      </c>
      <c r="E191" s="3">
        <f>IF('ORDENES'!$U186="","-",'ORDENES'!$U186)</f>
        <v/>
      </c>
      <c r="F191" s="3">
        <f>IF('ORDENES'!$AB186="","-",'ORDENES'!$AB186)</f>
        <v/>
      </c>
      <c r="G191" s="3">
        <f>IF('ORDENES'!$C186="","-",'ORDENES'!$C186)</f>
        <v/>
      </c>
      <c r="H191" s="3">
        <f>IF('ORDENES'!$E186="","-",'ORDENES'!$E186)</f>
        <v/>
      </c>
      <c r="I191" s="3">
        <f>IF('ORDENES'!$F186="","-",'ORDENES'!$F186)</f>
        <v/>
      </c>
      <c r="J191" s="12">
        <f>IF('ORDENES'!$L186="",0,'ORDENES'!$L186)</f>
        <v/>
      </c>
      <c r="K191" s="3">
        <f>IF('ORDENES'!$N186="","-",'ORDENES'!$N186)</f>
        <v/>
      </c>
      <c r="L191" s="3">
        <f>'ORDENES'!$AA186</f>
        <v/>
      </c>
    </row>
    <row r="192">
      <c r="A192" s="3">
        <f>IF('ORDENES'!$O187="","-",'ORDENES'!$O187)</f>
        <v/>
      </c>
      <c r="B192" s="3">
        <f>IF('ORDENES'!$R187="","-",'ORDENES'!$R187)</f>
        <v/>
      </c>
      <c r="C192" s="3">
        <f>IF('ORDENES'!$AC187="","-",'ORDENES'!$AC187)</f>
        <v/>
      </c>
      <c r="D192" s="3">
        <f>IF('ORDENES'!$V187="","-",'ORDENES'!$V187)</f>
        <v/>
      </c>
      <c r="E192" s="3">
        <f>IF('ORDENES'!$U187="","-",'ORDENES'!$U187)</f>
        <v/>
      </c>
      <c r="F192" s="3">
        <f>IF('ORDENES'!$AB187="","-",'ORDENES'!$AB187)</f>
        <v/>
      </c>
      <c r="G192" s="3">
        <f>IF('ORDENES'!$C187="","-",'ORDENES'!$C187)</f>
        <v/>
      </c>
      <c r="H192" s="3">
        <f>IF('ORDENES'!$E187="","-",'ORDENES'!$E187)</f>
        <v/>
      </c>
      <c r="I192" s="3">
        <f>IF('ORDENES'!$F187="","-",'ORDENES'!$F187)</f>
        <v/>
      </c>
      <c r="J192" s="12">
        <f>IF('ORDENES'!$L187="",0,'ORDENES'!$L187)</f>
        <v/>
      </c>
      <c r="K192" s="3">
        <f>IF('ORDENES'!$N187="","-",'ORDENES'!$N187)</f>
        <v/>
      </c>
      <c r="L192" s="3">
        <f>'ORDENES'!$AA187</f>
        <v/>
      </c>
    </row>
    <row r="193">
      <c r="A193" s="3">
        <f>IF('ORDENES'!$O188="","-",'ORDENES'!$O188)</f>
        <v/>
      </c>
      <c r="B193" s="3">
        <f>IF('ORDENES'!$R188="","-",'ORDENES'!$R188)</f>
        <v/>
      </c>
      <c r="C193" s="3">
        <f>IF('ORDENES'!$AC188="","-",'ORDENES'!$AC188)</f>
        <v/>
      </c>
      <c r="D193" s="3">
        <f>IF('ORDENES'!$V188="","-",'ORDENES'!$V188)</f>
        <v/>
      </c>
      <c r="E193" s="3">
        <f>IF('ORDENES'!$U188="","-",'ORDENES'!$U188)</f>
        <v/>
      </c>
      <c r="F193" s="3">
        <f>IF('ORDENES'!$AB188="","-",'ORDENES'!$AB188)</f>
        <v/>
      </c>
      <c r="G193" s="3">
        <f>IF('ORDENES'!$C188="","-",'ORDENES'!$C188)</f>
        <v/>
      </c>
      <c r="H193" s="3">
        <f>IF('ORDENES'!$E188="","-",'ORDENES'!$E188)</f>
        <v/>
      </c>
      <c r="I193" s="3">
        <f>IF('ORDENES'!$F188="","-",'ORDENES'!$F188)</f>
        <v/>
      </c>
      <c r="J193" s="12">
        <f>IF('ORDENES'!$L188="",0,'ORDENES'!$L188)</f>
        <v/>
      </c>
      <c r="K193" s="3">
        <f>IF('ORDENES'!$N188="","-",'ORDENES'!$N188)</f>
        <v/>
      </c>
      <c r="L193" s="3">
        <f>'ORDENES'!$AA188</f>
        <v/>
      </c>
    </row>
    <row r="194">
      <c r="A194" s="3">
        <f>IF('ORDENES'!$O189="","-",'ORDENES'!$O189)</f>
        <v/>
      </c>
      <c r="B194" s="3">
        <f>IF('ORDENES'!$R189="","-",'ORDENES'!$R189)</f>
        <v/>
      </c>
      <c r="C194" s="3">
        <f>IF('ORDENES'!$AC189="","-",'ORDENES'!$AC189)</f>
        <v/>
      </c>
      <c r="D194" s="3">
        <f>IF('ORDENES'!$V189="","-",'ORDENES'!$V189)</f>
        <v/>
      </c>
      <c r="E194" s="3">
        <f>IF('ORDENES'!$U189="","-",'ORDENES'!$U189)</f>
        <v/>
      </c>
      <c r="F194" s="3">
        <f>IF('ORDENES'!$AB189="","-",'ORDENES'!$AB189)</f>
        <v/>
      </c>
      <c r="G194" s="3">
        <f>IF('ORDENES'!$C189="","-",'ORDENES'!$C189)</f>
        <v/>
      </c>
      <c r="H194" s="3">
        <f>IF('ORDENES'!$E189="","-",'ORDENES'!$E189)</f>
        <v/>
      </c>
      <c r="I194" s="3">
        <f>IF('ORDENES'!$F189="","-",'ORDENES'!$F189)</f>
        <v/>
      </c>
      <c r="J194" s="12">
        <f>IF('ORDENES'!$L189="",0,'ORDENES'!$L189)</f>
        <v/>
      </c>
      <c r="K194" s="3">
        <f>IF('ORDENES'!$N189="","-",'ORDENES'!$N189)</f>
        <v/>
      </c>
      <c r="L194" s="3">
        <f>'ORDENES'!$AA189</f>
        <v/>
      </c>
    </row>
    <row r="195">
      <c r="A195" s="3">
        <f>IF('ORDENES'!$O190="","-",'ORDENES'!$O190)</f>
        <v/>
      </c>
      <c r="B195" s="3">
        <f>IF('ORDENES'!$R190="","-",'ORDENES'!$R190)</f>
        <v/>
      </c>
      <c r="C195" s="3">
        <f>IF('ORDENES'!$AC190="","-",'ORDENES'!$AC190)</f>
        <v/>
      </c>
      <c r="D195" s="3">
        <f>IF('ORDENES'!$V190="","-",'ORDENES'!$V190)</f>
        <v/>
      </c>
      <c r="E195" s="3">
        <f>IF('ORDENES'!$U190="","-",'ORDENES'!$U190)</f>
        <v/>
      </c>
      <c r="F195" s="3">
        <f>IF('ORDENES'!$AB190="","-",'ORDENES'!$AB190)</f>
        <v/>
      </c>
      <c r="G195" s="3">
        <f>IF('ORDENES'!$C190="","-",'ORDENES'!$C190)</f>
        <v/>
      </c>
      <c r="H195" s="3">
        <f>IF('ORDENES'!$E190="","-",'ORDENES'!$E190)</f>
        <v/>
      </c>
      <c r="I195" s="3">
        <f>IF('ORDENES'!$F190="","-",'ORDENES'!$F190)</f>
        <v/>
      </c>
      <c r="J195" s="12">
        <f>IF('ORDENES'!$L190="",0,'ORDENES'!$L190)</f>
        <v/>
      </c>
      <c r="K195" s="3">
        <f>IF('ORDENES'!$N190="","-",'ORDENES'!$N190)</f>
        <v/>
      </c>
      <c r="L195" s="3">
        <f>'ORDENES'!$AA190</f>
        <v/>
      </c>
    </row>
    <row r="196">
      <c r="A196" s="3">
        <f>IF('ORDENES'!$O191="","-",'ORDENES'!$O191)</f>
        <v/>
      </c>
      <c r="B196" s="3">
        <f>IF('ORDENES'!$R191="","-",'ORDENES'!$R191)</f>
        <v/>
      </c>
      <c r="C196" s="3">
        <f>IF('ORDENES'!$AC191="","-",'ORDENES'!$AC191)</f>
        <v/>
      </c>
      <c r="D196" s="3">
        <f>IF('ORDENES'!$V191="","-",'ORDENES'!$V191)</f>
        <v/>
      </c>
      <c r="E196" s="3">
        <f>IF('ORDENES'!$U191="","-",'ORDENES'!$U191)</f>
        <v/>
      </c>
      <c r="F196" s="3">
        <f>IF('ORDENES'!$AB191="","-",'ORDENES'!$AB191)</f>
        <v/>
      </c>
      <c r="G196" s="3">
        <f>IF('ORDENES'!$C191="","-",'ORDENES'!$C191)</f>
        <v/>
      </c>
      <c r="H196" s="3">
        <f>IF('ORDENES'!$E191="","-",'ORDENES'!$E191)</f>
        <v/>
      </c>
      <c r="I196" s="3">
        <f>IF('ORDENES'!$F191="","-",'ORDENES'!$F191)</f>
        <v/>
      </c>
      <c r="J196" s="12">
        <f>IF('ORDENES'!$L191="",0,'ORDENES'!$L191)</f>
        <v/>
      </c>
      <c r="K196" s="3">
        <f>IF('ORDENES'!$N191="","-",'ORDENES'!$N191)</f>
        <v/>
      </c>
      <c r="L196" s="3">
        <f>'ORDENES'!$AA191</f>
        <v/>
      </c>
    </row>
    <row r="197">
      <c r="A197" s="3">
        <f>IF('ORDENES'!$O192="","-",'ORDENES'!$O192)</f>
        <v/>
      </c>
      <c r="B197" s="3">
        <f>IF('ORDENES'!$R192="","-",'ORDENES'!$R192)</f>
        <v/>
      </c>
      <c r="C197" s="3">
        <f>IF('ORDENES'!$AC192="","-",'ORDENES'!$AC192)</f>
        <v/>
      </c>
      <c r="D197" s="3">
        <f>IF('ORDENES'!$V192="","-",'ORDENES'!$V192)</f>
        <v/>
      </c>
      <c r="E197" s="3">
        <f>IF('ORDENES'!$U192="","-",'ORDENES'!$U192)</f>
        <v/>
      </c>
      <c r="F197" s="3">
        <f>IF('ORDENES'!$AB192="","-",'ORDENES'!$AB192)</f>
        <v/>
      </c>
      <c r="G197" s="3">
        <f>IF('ORDENES'!$C192="","-",'ORDENES'!$C192)</f>
        <v/>
      </c>
      <c r="H197" s="3">
        <f>IF('ORDENES'!$E192="","-",'ORDENES'!$E192)</f>
        <v/>
      </c>
      <c r="I197" s="3">
        <f>IF('ORDENES'!$F192="","-",'ORDENES'!$F192)</f>
        <v/>
      </c>
      <c r="J197" s="12">
        <f>IF('ORDENES'!$L192="",0,'ORDENES'!$L192)</f>
        <v/>
      </c>
      <c r="K197" s="3">
        <f>IF('ORDENES'!$N192="","-",'ORDENES'!$N192)</f>
        <v/>
      </c>
      <c r="L197" s="3">
        <f>'ORDENES'!$AA192</f>
        <v/>
      </c>
    </row>
    <row r="198">
      <c r="A198" s="3">
        <f>IF('ORDENES'!$O193="","-",'ORDENES'!$O193)</f>
        <v/>
      </c>
      <c r="B198" s="3">
        <f>IF('ORDENES'!$R193="","-",'ORDENES'!$R193)</f>
        <v/>
      </c>
      <c r="C198" s="3">
        <f>IF('ORDENES'!$AC193="","-",'ORDENES'!$AC193)</f>
        <v/>
      </c>
      <c r="D198" s="3">
        <f>IF('ORDENES'!$V193="","-",'ORDENES'!$V193)</f>
        <v/>
      </c>
      <c r="E198" s="3">
        <f>IF('ORDENES'!$U193="","-",'ORDENES'!$U193)</f>
        <v/>
      </c>
      <c r="F198" s="3">
        <f>IF('ORDENES'!$AB193="","-",'ORDENES'!$AB193)</f>
        <v/>
      </c>
      <c r="G198" s="3">
        <f>IF('ORDENES'!$C193="","-",'ORDENES'!$C193)</f>
        <v/>
      </c>
      <c r="H198" s="3">
        <f>IF('ORDENES'!$E193="","-",'ORDENES'!$E193)</f>
        <v/>
      </c>
      <c r="I198" s="3">
        <f>IF('ORDENES'!$F193="","-",'ORDENES'!$F193)</f>
        <v/>
      </c>
      <c r="J198" s="12">
        <f>IF('ORDENES'!$L193="",0,'ORDENES'!$L193)</f>
        <v/>
      </c>
      <c r="K198" s="3">
        <f>IF('ORDENES'!$N193="","-",'ORDENES'!$N193)</f>
        <v/>
      </c>
      <c r="L198" s="3">
        <f>'ORDENES'!$AA193</f>
        <v/>
      </c>
    </row>
    <row r="199">
      <c r="A199" s="3">
        <f>IF('ORDENES'!$O194="","-",'ORDENES'!$O194)</f>
        <v/>
      </c>
      <c r="B199" s="3">
        <f>IF('ORDENES'!$R194="","-",'ORDENES'!$R194)</f>
        <v/>
      </c>
      <c r="C199" s="3">
        <f>IF('ORDENES'!$AC194="","-",'ORDENES'!$AC194)</f>
        <v/>
      </c>
      <c r="D199" s="3">
        <f>IF('ORDENES'!$V194="","-",'ORDENES'!$V194)</f>
        <v/>
      </c>
      <c r="E199" s="3">
        <f>IF('ORDENES'!$U194="","-",'ORDENES'!$U194)</f>
        <v/>
      </c>
      <c r="F199" s="3">
        <f>IF('ORDENES'!$AB194="","-",'ORDENES'!$AB194)</f>
        <v/>
      </c>
      <c r="G199" s="3">
        <f>IF('ORDENES'!$C194="","-",'ORDENES'!$C194)</f>
        <v/>
      </c>
      <c r="H199" s="3">
        <f>IF('ORDENES'!$E194="","-",'ORDENES'!$E194)</f>
        <v/>
      </c>
      <c r="I199" s="3">
        <f>IF('ORDENES'!$F194="","-",'ORDENES'!$F194)</f>
        <v/>
      </c>
      <c r="J199" s="12">
        <f>IF('ORDENES'!$L194="",0,'ORDENES'!$L194)</f>
        <v/>
      </c>
      <c r="K199" s="3">
        <f>IF('ORDENES'!$N194="","-",'ORDENES'!$N194)</f>
        <v/>
      </c>
      <c r="L199" s="3">
        <f>'ORDENES'!$AA194</f>
        <v/>
      </c>
    </row>
    <row r="200">
      <c r="A200" s="3">
        <f>IF('ORDENES'!$O195="","-",'ORDENES'!$O195)</f>
        <v/>
      </c>
      <c r="B200" s="3">
        <f>IF('ORDENES'!$R195="","-",'ORDENES'!$R195)</f>
        <v/>
      </c>
      <c r="C200" s="3">
        <f>IF('ORDENES'!$AC195="","-",'ORDENES'!$AC195)</f>
        <v/>
      </c>
      <c r="D200" s="3">
        <f>IF('ORDENES'!$V195="","-",'ORDENES'!$V195)</f>
        <v/>
      </c>
      <c r="E200" s="3">
        <f>IF('ORDENES'!$U195="","-",'ORDENES'!$U195)</f>
        <v/>
      </c>
      <c r="F200" s="3">
        <f>IF('ORDENES'!$AB195="","-",'ORDENES'!$AB195)</f>
        <v/>
      </c>
      <c r="G200" s="3">
        <f>IF('ORDENES'!$C195="","-",'ORDENES'!$C195)</f>
        <v/>
      </c>
      <c r="H200" s="3">
        <f>IF('ORDENES'!$E195="","-",'ORDENES'!$E195)</f>
        <v/>
      </c>
      <c r="I200" s="3">
        <f>IF('ORDENES'!$F195="","-",'ORDENES'!$F195)</f>
        <v/>
      </c>
      <c r="J200" s="12">
        <f>IF('ORDENES'!$L195="",0,'ORDENES'!$L195)</f>
        <v/>
      </c>
      <c r="K200" s="3">
        <f>IF('ORDENES'!$N195="","-",'ORDENES'!$N195)</f>
        <v/>
      </c>
      <c r="L200" s="3">
        <f>'ORDENES'!$AA195</f>
        <v/>
      </c>
    </row>
    <row r="201">
      <c r="A201" s="3">
        <f>IF('ORDENES'!$O196="","-",'ORDENES'!$O196)</f>
        <v/>
      </c>
      <c r="B201" s="3">
        <f>IF('ORDENES'!$R196="","-",'ORDENES'!$R196)</f>
        <v/>
      </c>
      <c r="C201" s="3">
        <f>IF('ORDENES'!$AC196="","-",'ORDENES'!$AC196)</f>
        <v/>
      </c>
      <c r="D201" s="3">
        <f>IF('ORDENES'!$V196="","-",'ORDENES'!$V196)</f>
        <v/>
      </c>
      <c r="E201" s="3">
        <f>IF('ORDENES'!$U196="","-",'ORDENES'!$U196)</f>
        <v/>
      </c>
      <c r="F201" s="3">
        <f>IF('ORDENES'!$AB196="","-",'ORDENES'!$AB196)</f>
        <v/>
      </c>
      <c r="G201" s="3">
        <f>IF('ORDENES'!$C196="","-",'ORDENES'!$C196)</f>
        <v/>
      </c>
      <c r="H201" s="3">
        <f>IF('ORDENES'!$E196="","-",'ORDENES'!$E196)</f>
        <v/>
      </c>
      <c r="I201" s="3">
        <f>IF('ORDENES'!$F196="","-",'ORDENES'!$F196)</f>
        <v/>
      </c>
      <c r="J201" s="12">
        <f>IF('ORDENES'!$L196="",0,'ORDENES'!$L196)</f>
        <v/>
      </c>
      <c r="K201" s="3">
        <f>IF('ORDENES'!$N196="","-",'ORDENES'!$N196)</f>
        <v/>
      </c>
      <c r="L201" s="3">
        <f>'ORDENES'!$AA196</f>
        <v/>
      </c>
    </row>
    <row r="202">
      <c r="A202" s="3">
        <f>IF('ORDENES'!$O197="","-",'ORDENES'!$O197)</f>
        <v/>
      </c>
      <c r="B202" s="3">
        <f>IF('ORDENES'!$R197="","-",'ORDENES'!$R197)</f>
        <v/>
      </c>
      <c r="C202" s="3">
        <f>IF('ORDENES'!$AC197="","-",'ORDENES'!$AC197)</f>
        <v/>
      </c>
      <c r="D202" s="3">
        <f>IF('ORDENES'!$V197="","-",'ORDENES'!$V197)</f>
        <v/>
      </c>
      <c r="E202" s="3">
        <f>IF('ORDENES'!$U197="","-",'ORDENES'!$U197)</f>
        <v/>
      </c>
      <c r="F202" s="3">
        <f>IF('ORDENES'!$AB197="","-",'ORDENES'!$AB197)</f>
        <v/>
      </c>
      <c r="G202" s="3">
        <f>IF('ORDENES'!$C197="","-",'ORDENES'!$C197)</f>
        <v/>
      </c>
      <c r="H202" s="3">
        <f>IF('ORDENES'!$E197="","-",'ORDENES'!$E197)</f>
        <v/>
      </c>
      <c r="I202" s="3">
        <f>IF('ORDENES'!$F197="","-",'ORDENES'!$F197)</f>
        <v/>
      </c>
      <c r="J202" s="12">
        <f>IF('ORDENES'!$L197="",0,'ORDENES'!$L197)</f>
        <v/>
      </c>
      <c r="K202" s="3">
        <f>IF('ORDENES'!$N197="","-",'ORDENES'!$N197)</f>
        <v/>
      </c>
      <c r="L202" s="3">
        <f>'ORDENES'!$AA197</f>
        <v/>
      </c>
    </row>
    <row r="203">
      <c r="A203" s="3">
        <f>IF('ORDENES'!$O198="","-",'ORDENES'!$O198)</f>
        <v/>
      </c>
      <c r="B203" s="3">
        <f>IF('ORDENES'!$R198="","-",'ORDENES'!$R198)</f>
        <v/>
      </c>
      <c r="C203" s="3">
        <f>IF('ORDENES'!$AC198="","-",'ORDENES'!$AC198)</f>
        <v/>
      </c>
      <c r="D203" s="3">
        <f>IF('ORDENES'!$V198="","-",'ORDENES'!$V198)</f>
        <v/>
      </c>
      <c r="E203" s="3">
        <f>IF('ORDENES'!$U198="","-",'ORDENES'!$U198)</f>
        <v/>
      </c>
      <c r="F203" s="3">
        <f>IF('ORDENES'!$AB198="","-",'ORDENES'!$AB198)</f>
        <v/>
      </c>
      <c r="G203" s="3">
        <f>IF('ORDENES'!$C198="","-",'ORDENES'!$C198)</f>
        <v/>
      </c>
      <c r="H203" s="3">
        <f>IF('ORDENES'!$E198="","-",'ORDENES'!$E198)</f>
        <v/>
      </c>
      <c r="I203" s="3">
        <f>IF('ORDENES'!$F198="","-",'ORDENES'!$F198)</f>
        <v/>
      </c>
      <c r="J203" s="12">
        <f>IF('ORDENES'!$L198="",0,'ORDENES'!$L198)</f>
        <v/>
      </c>
      <c r="K203" s="3">
        <f>IF('ORDENES'!$N198="","-",'ORDENES'!$N198)</f>
        <v/>
      </c>
      <c r="L203" s="3">
        <f>'ORDENES'!$AA198</f>
        <v/>
      </c>
    </row>
    <row r="204">
      <c r="A204" s="3">
        <f>IF('ORDENES'!$O199="","-",'ORDENES'!$O199)</f>
        <v/>
      </c>
      <c r="B204" s="3">
        <f>IF('ORDENES'!$R199="","-",'ORDENES'!$R199)</f>
        <v/>
      </c>
      <c r="C204" s="3">
        <f>IF('ORDENES'!$AC199="","-",'ORDENES'!$AC199)</f>
        <v/>
      </c>
      <c r="D204" s="3">
        <f>IF('ORDENES'!$V199="","-",'ORDENES'!$V199)</f>
        <v/>
      </c>
      <c r="E204" s="3">
        <f>IF('ORDENES'!$U199="","-",'ORDENES'!$U199)</f>
        <v/>
      </c>
      <c r="F204" s="3">
        <f>IF('ORDENES'!$AB199="","-",'ORDENES'!$AB199)</f>
        <v/>
      </c>
      <c r="G204" s="3">
        <f>IF('ORDENES'!$C199="","-",'ORDENES'!$C199)</f>
        <v/>
      </c>
      <c r="H204" s="3">
        <f>IF('ORDENES'!$E199="","-",'ORDENES'!$E199)</f>
        <v/>
      </c>
      <c r="I204" s="3">
        <f>IF('ORDENES'!$F199="","-",'ORDENES'!$F199)</f>
        <v/>
      </c>
      <c r="J204" s="12">
        <f>IF('ORDENES'!$L199="",0,'ORDENES'!$L199)</f>
        <v/>
      </c>
      <c r="K204" s="3">
        <f>IF('ORDENES'!$N199="","-",'ORDENES'!$N199)</f>
        <v/>
      </c>
      <c r="L204" s="3">
        <f>'ORDENES'!$AA199</f>
        <v/>
      </c>
    </row>
    <row r="205">
      <c r="A205" s="3">
        <f>IF('ORDENES'!$O200="","-",'ORDENES'!$O200)</f>
        <v/>
      </c>
      <c r="B205" s="3">
        <f>IF('ORDENES'!$R200="","-",'ORDENES'!$R200)</f>
        <v/>
      </c>
      <c r="C205" s="3">
        <f>IF('ORDENES'!$AC200="","-",'ORDENES'!$AC200)</f>
        <v/>
      </c>
      <c r="D205" s="3">
        <f>IF('ORDENES'!$V200="","-",'ORDENES'!$V200)</f>
        <v/>
      </c>
      <c r="E205" s="3">
        <f>IF('ORDENES'!$U200="","-",'ORDENES'!$U200)</f>
        <v/>
      </c>
      <c r="F205" s="3">
        <f>IF('ORDENES'!$AB200="","-",'ORDENES'!$AB200)</f>
        <v/>
      </c>
      <c r="G205" s="3">
        <f>IF('ORDENES'!$C200="","-",'ORDENES'!$C200)</f>
        <v/>
      </c>
      <c r="H205" s="3">
        <f>IF('ORDENES'!$E200="","-",'ORDENES'!$E200)</f>
        <v/>
      </c>
      <c r="I205" s="3">
        <f>IF('ORDENES'!$F200="","-",'ORDENES'!$F200)</f>
        <v/>
      </c>
      <c r="J205" s="12">
        <f>IF('ORDENES'!$L200="",0,'ORDENES'!$L200)</f>
        <v/>
      </c>
      <c r="K205" s="3">
        <f>IF('ORDENES'!$N200="","-",'ORDENES'!$N200)</f>
        <v/>
      </c>
      <c r="L205" s="3">
        <f>'ORDENES'!$AA200</f>
        <v/>
      </c>
    </row>
    <row r="206">
      <c r="A206" s="3">
        <f>IF('ORDENES'!$O201="","-",'ORDENES'!$O201)</f>
        <v/>
      </c>
      <c r="B206" s="3">
        <f>IF('ORDENES'!$R201="","-",'ORDENES'!$R201)</f>
        <v/>
      </c>
      <c r="C206" s="3">
        <f>IF('ORDENES'!$AC201="","-",'ORDENES'!$AC201)</f>
        <v/>
      </c>
      <c r="D206" s="3">
        <f>IF('ORDENES'!$V201="","-",'ORDENES'!$V201)</f>
        <v/>
      </c>
      <c r="E206" s="3">
        <f>IF('ORDENES'!$U201="","-",'ORDENES'!$U201)</f>
        <v/>
      </c>
      <c r="F206" s="3">
        <f>IF('ORDENES'!$AB201="","-",'ORDENES'!$AB201)</f>
        <v/>
      </c>
      <c r="G206" s="3">
        <f>IF('ORDENES'!$C201="","-",'ORDENES'!$C201)</f>
        <v/>
      </c>
      <c r="H206" s="3">
        <f>IF('ORDENES'!$E201="","-",'ORDENES'!$E201)</f>
        <v/>
      </c>
      <c r="I206" s="3">
        <f>IF('ORDENES'!$F201="","-",'ORDENES'!$F201)</f>
        <v/>
      </c>
      <c r="J206" s="12">
        <f>IF('ORDENES'!$L201="",0,'ORDENES'!$L201)</f>
        <v/>
      </c>
      <c r="K206" s="3">
        <f>IF('ORDENES'!$N201="","-",'ORDENES'!$N201)</f>
        <v/>
      </c>
      <c r="L206" s="3">
        <f>'ORDENES'!$AA201</f>
        <v/>
      </c>
    </row>
    <row r="207">
      <c r="A207" s="3">
        <f>IF('ORDENES'!$O202="","-",'ORDENES'!$O202)</f>
        <v/>
      </c>
      <c r="B207" s="3">
        <f>IF('ORDENES'!$R202="","-",'ORDENES'!$R202)</f>
        <v/>
      </c>
      <c r="C207" s="3">
        <f>IF('ORDENES'!$AC202="","-",'ORDENES'!$AC202)</f>
        <v/>
      </c>
      <c r="D207" s="3">
        <f>IF('ORDENES'!$V202="","-",'ORDENES'!$V202)</f>
        <v/>
      </c>
      <c r="E207" s="3">
        <f>IF('ORDENES'!$U202="","-",'ORDENES'!$U202)</f>
        <v/>
      </c>
      <c r="F207" s="3">
        <f>IF('ORDENES'!$AB202="","-",'ORDENES'!$AB202)</f>
        <v/>
      </c>
      <c r="G207" s="3">
        <f>IF('ORDENES'!$C202="","-",'ORDENES'!$C202)</f>
        <v/>
      </c>
      <c r="H207" s="3">
        <f>IF('ORDENES'!$E202="","-",'ORDENES'!$E202)</f>
        <v/>
      </c>
      <c r="I207" s="3">
        <f>IF('ORDENES'!$F202="","-",'ORDENES'!$F202)</f>
        <v/>
      </c>
      <c r="J207" s="12">
        <f>IF('ORDENES'!$L202="",0,'ORDENES'!$L202)</f>
        <v/>
      </c>
      <c r="K207" s="3">
        <f>IF('ORDENES'!$N202="","-",'ORDENES'!$N202)</f>
        <v/>
      </c>
      <c r="L207" s="3">
        <f>'ORDENES'!$AA202</f>
        <v/>
      </c>
    </row>
    <row r="208">
      <c r="A208" s="3">
        <f>IF('ORDENES'!$O203="","-",'ORDENES'!$O203)</f>
        <v/>
      </c>
      <c r="B208" s="3">
        <f>IF('ORDENES'!$R203="","-",'ORDENES'!$R203)</f>
        <v/>
      </c>
      <c r="C208" s="3">
        <f>IF('ORDENES'!$AC203="","-",'ORDENES'!$AC203)</f>
        <v/>
      </c>
      <c r="D208" s="3">
        <f>IF('ORDENES'!$V203="","-",'ORDENES'!$V203)</f>
        <v/>
      </c>
      <c r="E208" s="3">
        <f>IF('ORDENES'!$U203="","-",'ORDENES'!$U203)</f>
        <v/>
      </c>
      <c r="F208" s="3">
        <f>IF('ORDENES'!$AB203="","-",'ORDENES'!$AB203)</f>
        <v/>
      </c>
      <c r="G208" s="3">
        <f>IF('ORDENES'!$C203="","-",'ORDENES'!$C203)</f>
        <v/>
      </c>
      <c r="H208" s="3">
        <f>IF('ORDENES'!$E203="","-",'ORDENES'!$E203)</f>
        <v/>
      </c>
      <c r="I208" s="3">
        <f>IF('ORDENES'!$F203="","-",'ORDENES'!$F203)</f>
        <v/>
      </c>
      <c r="J208" s="12">
        <f>IF('ORDENES'!$L203="",0,'ORDENES'!$L203)</f>
        <v/>
      </c>
      <c r="K208" s="3">
        <f>IF('ORDENES'!$N203="","-",'ORDENES'!$N203)</f>
        <v/>
      </c>
      <c r="L208" s="3">
        <f>'ORDENES'!$AA203</f>
        <v/>
      </c>
    </row>
  </sheetData>
  <autoFilter ref="A8:L208"/>
  <dataValidations count="5">
    <dataValidation sqref="B3" showDropDown="0" showInputMessage="0" showErrorMessage="0" allowBlank="0" type="list">
      <formula1>"(todos),S28,S29,S30,S31"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"(todos),B1,T1,T2,T3"</formula1>
    </dataValidation>
    <dataValidation sqref="H3" showDropDown="0" showInputMessage="0" showErrorMessage="0" allowBlank="0" type="list">
      <formula1>"(todos),Coordinador A,Coordinador B,Coordinador C"</formula1>
    </dataValidation>
    <dataValidation sqref="J3" showDropDown="0" showInputMessage="0" showErrorMessage="0" allowBlank="0" type="list">
      <formula1>"(todos),PRODUCCION,EMPAQUE,SERVICIOS"</formula1>
    </dataValidation>
  </dataValidation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7030A0"/>
    <outlinePr summaryBelow="1" summaryRight="1"/>
    <pageSetUpPr/>
  </sheetPr>
  <dimension ref="A1:H49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</cols>
  <sheetData>
    <row r="1">
      <c r="A1" s="1" t="inlineStr">
        <is>
          <t>ADHERENCIA (REGLA-7) — rojo &lt; 90 %, amarillo 90–95 %, verde &gt; 95 %</t>
        </is>
      </c>
    </row>
    <row r="3">
      <c r="A3" s="4" t="inlineStr">
        <is>
          <t>POR SEMANA (semanas del plan)</t>
        </is>
      </c>
    </row>
    <row r="4">
      <c r="A4" s="5" t="inlineStr">
        <is>
          <t>valor</t>
        </is>
      </c>
      <c r="B4" s="5" t="inlineStr">
        <is>
          <t>total_ot</t>
        </is>
      </c>
      <c r="C4" s="5" t="inlineStr">
        <is>
          <t>cerradas</t>
        </is>
      </c>
      <c r="D4" s="5" t="inlineStr">
        <is>
          <t>adherencia_conteo</t>
        </is>
      </c>
      <c r="E4" s="5" t="inlineStr">
        <is>
          <t>hh_total</t>
        </is>
      </c>
      <c r="F4" s="5" t="inlineStr">
        <is>
          <t>hh_cerradas</t>
        </is>
      </c>
      <c r="G4" s="5" t="inlineStr">
        <is>
          <t>adherencia_horas</t>
        </is>
      </c>
      <c r="H4" s="5" t="inlineStr">
        <is>
          <t>meta</t>
        </is>
      </c>
    </row>
    <row r="5">
      <c r="A5" s="3" t="inlineStr">
        <is>
          <t>S28</t>
        </is>
      </c>
      <c r="B5" s="3">
        <f>COUNTIFS(tblOrdenes[semana],$A5)</f>
        <v/>
      </c>
      <c r="C5" s="3">
        <f>COUNTIFS(tblOrdenes[semana],$A5,tblOrdenes[estado],"Cerrada")</f>
        <v/>
      </c>
      <c r="D5" s="14">
        <f>IF(B5=0,"",C5/B5)</f>
        <v/>
      </c>
      <c r="E5" s="13">
        <f>SUMIFS(tblOrdenes[horas_estimadas],tblOrdenes[semana],$A5)</f>
        <v/>
      </c>
      <c r="F5" s="13">
        <f>SUMIFS(tblOrdenes[horas_estimadas],tblOrdenes[semana],$A5,tblOrdenes[estado],"Cerrada")</f>
        <v/>
      </c>
      <c r="G5" s="14">
        <f>IF(E5=0,"",F5/E5)</f>
        <v/>
      </c>
      <c r="H5" s="16">
        <f>p_meta_adherencia</f>
        <v/>
      </c>
    </row>
    <row r="6">
      <c r="A6" s="3" t="inlineStr">
        <is>
          <t>S29</t>
        </is>
      </c>
      <c r="B6" s="3">
        <f>COUNTIFS(tblOrdenes[semana],$A6)</f>
        <v/>
      </c>
      <c r="C6" s="3">
        <f>COUNTIFS(tblOrdenes[semana],$A6,tblOrdenes[estado],"Cerrada")</f>
        <v/>
      </c>
      <c r="D6" s="14">
        <f>IF(B6=0,"",C6/B6)</f>
        <v/>
      </c>
      <c r="E6" s="13">
        <f>SUMIFS(tblOrdenes[horas_estimadas],tblOrdenes[semana],$A6)</f>
        <v/>
      </c>
      <c r="F6" s="13">
        <f>SUMIFS(tblOrdenes[horas_estimadas],tblOrdenes[semana],$A6,tblOrdenes[estado],"Cerrada")</f>
        <v/>
      </c>
      <c r="G6" s="14">
        <f>IF(E6=0,"",F6/E6)</f>
        <v/>
      </c>
      <c r="H6" s="16">
        <f>p_meta_adherencia</f>
        <v/>
      </c>
    </row>
    <row r="7">
      <c r="A7" s="3" t="inlineStr">
        <is>
          <t>S30</t>
        </is>
      </c>
      <c r="B7" s="3">
        <f>COUNTIFS(tblOrdenes[semana],$A7)</f>
        <v/>
      </c>
      <c r="C7" s="3">
        <f>COUNTIFS(tblOrdenes[semana],$A7,tblOrdenes[estado],"Cerrada")</f>
        <v/>
      </c>
      <c r="D7" s="14">
        <f>IF(B7=0,"",C7/B7)</f>
        <v/>
      </c>
      <c r="E7" s="13">
        <f>SUMIFS(tblOrdenes[horas_estimadas],tblOrdenes[semana],$A7)</f>
        <v/>
      </c>
      <c r="F7" s="13">
        <f>SUMIFS(tblOrdenes[horas_estimadas],tblOrdenes[semana],$A7,tblOrdenes[estado],"Cerrada")</f>
        <v/>
      </c>
      <c r="G7" s="14">
        <f>IF(E7=0,"",F7/E7)</f>
        <v/>
      </c>
      <c r="H7" s="16">
        <f>p_meta_adherencia</f>
        <v/>
      </c>
    </row>
    <row r="8">
      <c r="A8" s="3" t="inlineStr">
        <is>
          <t>S31</t>
        </is>
      </c>
      <c r="B8" s="3">
        <f>COUNTIFS(tblOrdenes[semana],$A8)</f>
        <v/>
      </c>
      <c r="C8" s="3">
        <f>COUNTIFS(tblOrdenes[semana],$A8,tblOrdenes[estado],"Cerrada")</f>
        <v/>
      </c>
      <c r="D8" s="14">
        <f>IF(B8=0,"",C8/B8)</f>
        <v/>
      </c>
      <c r="E8" s="13">
        <f>SUMIFS(tblOrdenes[horas_estimadas],tblOrdenes[semana],$A8)</f>
        <v/>
      </c>
      <c r="F8" s="13">
        <f>SUMIFS(tblOrdenes[horas_estimadas],tblOrdenes[semana],$A8,tblOrdenes[estado],"Cerrada")</f>
        <v/>
      </c>
      <c r="G8" s="14">
        <f>IF(E8=0,"",F8/E8)</f>
        <v/>
      </c>
      <c r="H8" s="16">
        <f>p_meta_adherencia</f>
        <v/>
      </c>
    </row>
    <row r="10">
      <c r="A10" s="4" t="inlineStr">
        <is>
          <t>POR ÁREA</t>
        </is>
      </c>
    </row>
    <row r="11">
      <c r="A11" s="5" t="inlineStr">
        <is>
          <t>valor</t>
        </is>
      </c>
      <c r="B11" s="5" t="inlineStr">
        <is>
          <t>total_ot</t>
        </is>
      </c>
      <c r="C11" s="5" t="inlineStr">
        <is>
          <t>cerradas</t>
        </is>
      </c>
      <c r="D11" s="5" t="inlineStr">
        <is>
          <t>adherencia_conteo</t>
        </is>
      </c>
      <c r="E11" s="5" t="inlineStr">
        <is>
          <t>hh_total</t>
        </is>
      </c>
      <c r="F11" s="5" t="inlineStr">
        <is>
          <t>hh_cerradas</t>
        </is>
      </c>
      <c r="G11" s="5" t="inlineStr">
        <is>
          <t>adherencia_horas</t>
        </is>
      </c>
    </row>
    <row r="12">
      <c r="A12" s="3" t="inlineStr">
        <is>
          <t>PRODUCCION</t>
        </is>
      </c>
      <c r="B12" s="3">
        <f>COUNTIFS(tblOrdenes[area],$A12)</f>
        <v/>
      </c>
      <c r="C12" s="3">
        <f>COUNTIFS(tblOrdenes[area],$A12,tblOrdenes[estado],"Cerrada")</f>
        <v/>
      </c>
      <c r="D12" s="14">
        <f>IF(B12=0,"",C12/B12)</f>
        <v/>
      </c>
      <c r="E12" s="13">
        <f>SUMIFS(tblOrdenes[horas_estimadas],tblOrdenes[area],$A12)</f>
        <v/>
      </c>
      <c r="F12" s="13">
        <f>SUMIFS(tblOrdenes[horas_estimadas],tblOrdenes[area],$A12,tblOrdenes[estado],"Cerrada")</f>
        <v/>
      </c>
      <c r="G12" s="14">
        <f>IF(E12=0,"",F12/E12)</f>
        <v/>
      </c>
    </row>
    <row r="13">
      <c r="A13" s="3" t="inlineStr">
        <is>
          <t>EMPAQUE</t>
        </is>
      </c>
      <c r="B13" s="3">
        <f>COUNTIFS(tblOrdenes[area],$A13)</f>
        <v/>
      </c>
      <c r="C13" s="3">
        <f>COUNTIFS(tblOrdenes[area],$A13,tblOrdenes[estado],"Cerrada")</f>
        <v/>
      </c>
      <c r="D13" s="14">
        <f>IF(B13=0,"",C13/B13)</f>
        <v/>
      </c>
      <c r="E13" s="13">
        <f>SUMIFS(tblOrdenes[horas_estimadas],tblOrdenes[area],$A13)</f>
        <v/>
      </c>
      <c r="F13" s="13">
        <f>SUMIFS(tblOrdenes[horas_estimadas],tblOrdenes[area],$A13,tblOrdenes[estado],"Cerrada")</f>
        <v/>
      </c>
      <c r="G13" s="14">
        <f>IF(E13=0,"",F13/E13)</f>
        <v/>
      </c>
    </row>
    <row r="14">
      <c r="A14" s="3" t="inlineStr">
        <is>
          <t>SERVICIOS</t>
        </is>
      </c>
      <c r="B14" s="3">
        <f>COUNTIFS(tblOrdenes[area],$A14)</f>
        <v/>
      </c>
      <c r="C14" s="3">
        <f>COUNTIFS(tblOrdenes[area],$A14,tblOrdenes[estado],"Cerrada")</f>
        <v/>
      </c>
      <c r="D14" s="14">
        <f>IF(B14=0,"",C14/B14)</f>
        <v/>
      </c>
      <c r="E14" s="13">
        <f>SUMIFS(tblOrdenes[horas_estimadas],tblOrdenes[area],$A14)</f>
        <v/>
      </c>
      <c r="F14" s="13">
        <f>SUMIFS(tblOrdenes[horas_estimadas],tblOrdenes[area],$A14,tblOrdenes[estado],"Cerrada")</f>
        <v/>
      </c>
      <c r="G14" s="14">
        <f>IF(E14=0,"",F14/E14)</f>
        <v/>
      </c>
    </row>
    <row r="16">
      <c r="A16" s="4" t="inlineStr">
        <is>
          <t>POR ESPECIALIDAD</t>
        </is>
      </c>
    </row>
    <row r="17">
      <c r="A17" s="5" t="inlineStr">
        <is>
          <t>valor</t>
        </is>
      </c>
      <c r="B17" s="5" t="inlineStr">
        <is>
          <t>total_ot</t>
        </is>
      </c>
      <c r="C17" s="5" t="inlineStr">
        <is>
          <t>cerradas</t>
        </is>
      </c>
      <c r="D17" s="5" t="inlineStr">
        <is>
          <t>adherencia_conteo</t>
        </is>
      </c>
      <c r="E17" s="5" t="inlineStr">
        <is>
          <t>hh_total</t>
        </is>
      </c>
      <c r="F17" s="5" t="inlineStr">
        <is>
          <t>hh_cerradas</t>
        </is>
      </c>
      <c r="G17" s="5" t="inlineStr">
        <is>
          <t>adherencia_horas</t>
        </is>
      </c>
    </row>
    <row r="18">
      <c r="A18" s="3" t="inlineStr">
        <is>
          <t>MEC</t>
        </is>
      </c>
      <c r="B18" s="3">
        <f>COUNTIFS(tblOrdenes[especialidad],$A18)</f>
        <v/>
      </c>
      <c r="C18" s="3">
        <f>COUNTIFS(tblOrdenes[especialidad],$A18,tblOrdenes[estado],"Cerrada")</f>
        <v/>
      </c>
      <c r="D18" s="14">
        <f>IF(B18=0,"",C18/B18)</f>
        <v/>
      </c>
      <c r="E18" s="13">
        <f>SUMIFS(tblOrdenes[horas_estimadas],tblOrdenes[especialidad],$A18)</f>
        <v/>
      </c>
      <c r="F18" s="13">
        <f>SUMIFS(tblOrdenes[horas_estimadas],tblOrdenes[especialidad],$A18,tblOrdenes[estado],"Cerrada")</f>
        <v/>
      </c>
      <c r="G18" s="14">
        <f>IF(E18=0,"",F18/E18)</f>
        <v/>
      </c>
    </row>
    <row r="19">
      <c r="A19" s="3" t="inlineStr">
        <is>
          <t>ELE</t>
        </is>
      </c>
      <c r="B19" s="3">
        <f>COUNTIFS(tblOrdenes[especialidad],$A19)</f>
        <v/>
      </c>
      <c r="C19" s="3">
        <f>COUNTIFS(tblOrdenes[especialidad],$A19,tblOrdenes[estado],"Cerrada")</f>
        <v/>
      </c>
      <c r="D19" s="14">
        <f>IF(B19=0,"",C19/B19)</f>
        <v/>
      </c>
      <c r="E19" s="13">
        <f>SUMIFS(tblOrdenes[horas_estimadas],tblOrdenes[especialidad],$A19)</f>
        <v/>
      </c>
      <c r="F19" s="13">
        <f>SUMIFS(tblOrdenes[horas_estimadas],tblOrdenes[especialidad],$A19,tblOrdenes[estado],"Cerrada")</f>
        <v/>
      </c>
      <c r="G19" s="14">
        <f>IF(E19=0,"",F19/E19)</f>
        <v/>
      </c>
    </row>
    <row r="20">
      <c r="A20" s="3" t="inlineStr">
        <is>
          <t>AUT</t>
        </is>
      </c>
      <c r="B20" s="3">
        <f>COUNTIFS(tblOrdenes[especialidad],$A20)</f>
        <v/>
      </c>
      <c r="C20" s="3">
        <f>COUNTIFS(tblOrdenes[especialidad],$A20,tblOrdenes[estado],"Cerrada")</f>
        <v/>
      </c>
      <c r="D20" s="14">
        <f>IF(B20=0,"",C20/B20)</f>
        <v/>
      </c>
      <c r="E20" s="13">
        <f>SUMIFS(tblOrdenes[horas_estimadas],tblOrdenes[especialidad],$A20)</f>
        <v/>
      </c>
      <c r="F20" s="13">
        <f>SUMIFS(tblOrdenes[horas_estimadas],tblOrdenes[especialidad],$A20,tblOrdenes[estado],"Cerrada")</f>
        <v/>
      </c>
      <c r="G20" s="14">
        <f>IF(E20=0,"",F20/E20)</f>
        <v/>
      </c>
    </row>
    <row r="21">
      <c r="A21" s="3" t="inlineStr">
        <is>
          <t>OP</t>
        </is>
      </c>
      <c r="B21" s="3">
        <f>COUNTIFS(tblOrdenes[especialidad],$A21)</f>
        <v/>
      </c>
      <c r="C21" s="3">
        <f>COUNTIFS(tblOrdenes[especialidad],$A21,tblOrdenes[estado],"Cerrada")</f>
        <v/>
      </c>
      <c r="D21" s="14">
        <f>IF(B21=0,"",C21/B21)</f>
        <v/>
      </c>
      <c r="E21" s="13">
        <f>SUMIFS(tblOrdenes[horas_estimadas],tblOrdenes[especialidad],$A21)</f>
        <v/>
      </c>
      <c r="F21" s="13">
        <f>SUMIFS(tblOrdenes[horas_estimadas],tblOrdenes[especialidad],$A21,tblOrdenes[estado],"Cerrada")</f>
        <v/>
      </c>
      <c r="G21" s="14">
        <f>IF(E21=0,"",F21/E21)</f>
        <v/>
      </c>
    </row>
    <row r="22">
      <c r="A22" s="3" t="inlineStr">
        <is>
          <t>TERCERO</t>
        </is>
      </c>
      <c r="B22" s="3">
        <f>COUNTIFS(tblOrdenes[especialidad],$A22)</f>
        <v/>
      </c>
      <c r="C22" s="3">
        <f>COUNTIFS(tblOrdenes[especialidad],$A22,tblOrdenes[estado],"Cerrada")</f>
        <v/>
      </c>
      <c r="D22" s="14">
        <f>IF(B22=0,"",C22/B22)</f>
        <v/>
      </c>
      <c r="E22" s="13">
        <f>SUMIFS(tblOrdenes[horas_estimadas],tblOrdenes[especialidad],$A22)</f>
        <v/>
      </c>
      <c r="F22" s="13">
        <f>SUMIFS(tblOrdenes[horas_estimadas],tblOrdenes[especialidad],$A22,tblOrdenes[estado],"Cerrada")</f>
        <v/>
      </c>
      <c r="G22" s="14">
        <f>IF(E22=0,"",F22/E22)</f>
        <v/>
      </c>
    </row>
    <row r="24">
      <c r="A24" s="4" t="inlineStr">
        <is>
          <t>POR COORDINADOR</t>
        </is>
      </c>
    </row>
    <row r="25">
      <c r="A25" s="5" t="inlineStr">
        <is>
          <t>valor</t>
        </is>
      </c>
      <c r="B25" s="5" t="inlineStr">
        <is>
          <t>total_ot</t>
        </is>
      </c>
      <c r="C25" s="5" t="inlineStr">
        <is>
          <t>cerradas</t>
        </is>
      </c>
      <c r="D25" s="5" t="inlineStr">
        <is>
          <t>adherencia_conteo</t>
        </is>
      </c>
      <c r="E25" s="5" t="inlineStr">
        <is>
          <t>hh_total</t>
        </is>
      </c>
      <c r="F25" s="5" t="inlineStr">
        <is>
          <t>hh_cerradas</t>
        </is>
      </c>
      <c r="G25" s="5" t="inlineStr">
        <is>
          <t>adherencia_horas</t>
        </is>
      </c>
    </row>
    <row r="26">
      <c r="A26" s="3" t="inlineStr">
        <is>
          <t>Coordinador A</t>
        </is>
      </c>
      <c r="B26" s="3">
        <f>COUNTIFS(tblOrdenes[coordinador],$A26)</f>
        <v/>
      </c>
      <c r="C26" s="3">
        <f>COUNTIFS(tblOrdenes[coordinador],$A26,tblOrdenes[estado],"Cerrada")</f>
        <v/>
      </c>
      <c r="D26" s="14">
        <f>IF(B26=0,"",C26/B26)</f>
        <v/>
      </c>
      <c r="E26" s="13">
        <f>SUMIFS(tblOrdenes[horas_estimadas],tblOrdenes[coordinador],$A26)</f>
        <v/>
      </c>
      <c r="F26" s="13">
        <f>SUMIFS(tblOrdenes[horas_estimadas],tblOrdenes[coordinador],$A26,tblOrdenes[estado],"Cerrada")</f>
        <v/>
      </c>
      <c r="G26" s="14">
        <f>IF(E26=0,"",F26/E26)</f>
        <v/>
      </c>
    </row>
    <row r="27">
      <c r="A27" s="3" t="inlineStr">
        <is>
          <t>Coordinador B</t>
        </is>
      </c>
      <c r="B27" s="3">
        <f>COUNTIFS(tblOrdenes[coordinador],$A27)</f>
        <v/>
      </c>
      <c r="C27" s="3">
        <f>COUNTIFS(tblOrdenes[coordinador],$A27,tblOrdenes[estado],"Cerrada")</f>
        <v/>
      </c>
      <c r="D27" s="14">
        <f>IF(B27=0,"",C27/B27)</f>
        <v/>
      </c>
      <c r="E27" s="13">
        <f>SUMIFS(tblOrdenes[horas_estimadas],tblOrdenes[coordinador],$A27)</f>
        <v/>
      </c>
      <c r="F27" s="13">
        <f>SUMIFS(tblOrdenes[horas_estimadas],tblOrdenes[coordinador],$A27,tblOrdenes[estado],"Cerrada")</f>
        <v/>
      </c>
      <c r="G27" s="14">
        <f>IF(E27=0,"",F27/E27)</f>
        <v/>
      </c>
    </row>
    <row r="28">
      <c r="A28" s="3" t="inlineStr">
        <is>
          <t>Coordinador C</t>
        </is>
      </c>
      <c r="B28" s="3">
        <f>COUNTIFS(tblOrdenes[coordinador],$A28)</f>
        <v/>
      </c>
      <c r="C28" s="3">
        <f>COUNTIFS(tblOrdenes[coordinador],$A28,tblOrdenes[estado],"Cerrada")</f>
        <v/>
      </c>
      <c r="D28" s="14">
        <f>IF(B28=0,"",C28/B28)</f>
        <v/>
      </c>
      <c r="E28" s="13">
        <f>SUMIFS(tblOrdenes[horas_estimadas],tblOrdenes[coordinador],$A28)</f>
        <v/>
      </c>
      <c r="F28" s="13">
        <f>SUMIFS(tblOrdenes[horas_estimadas],tblOrdenes[coordinador],$A28,tblOrdenes[estado],"Cerrada")</f>
        <v/>
      </c>
      <c r="G28" s="14">
        <f>IF(E28=0,"",F28/E28)</f>
        <v/>
      </c>
    </row>
    <row r="30">
      <c r="A30" s="4" t="inlineStr">
        <is>
          <t>POR CLASIFICACIÓN</t>
        </is>
      </c>
    </row>
    <row r="31">
      <c r="A31" s="5" t="inlineStr">
        <is>
          <t>valor</t>
        </is>
      </c>
      <c r="B31" s="5" t="inlineStr">
        <is>
          <t>total_ot</t>
        </is>
      </c>
      <c r="C31" s="5" t="inlineStr">
        <is>
          <t>cerradas</t>
        </is>
      </c>
      <c r="D31" s="5" t="inlineStr">
        <is>
          <t>adherencia_conteo</t>
        </is>
      </c>
      <c r="E31" s="5" t="inlineStr">
        <is>
          <t>hh_total</t>
        </is>
      </c>
      <c r="F31" s="5" t="inlineStr">
        <is>
          <t>hh_cerradas</t>
        </is>
      </c>
      <c r="G31" s="5" t="inlineStr">
        <is>
          <t>adherencia_horas</t>
        </is>
      </c>
    </row>
    <row r="32">
      <c r="A32" s="3" t="inlineStr">
        <is>
          <t>preventiva</t>
        </is>
      </c>
      <c r="B32" s="3">
        <f>COUNTIFS(tblOrdenes[clasificacion],$A32)</f>
        <v/>
      </c>
      <c r="C32" s="3">
        <f>COUNTIFS(tblOrdenes[clasificacion],$A32,tblOrdenes[estado],"Cerrada")</f>
        <v/>
      </c>
      <c r="D32" s="14">
        <f>IF(B32=0,"",C32/B32)</f>
        <v/>
      </c>
      <c r="E32" s="13">
        <f>SUMIFS(tblOrdenes[horas_estimadas],tblOrdenes[clasificacion],$A32)</f>
        <v/>
      </c>
      <c r="F32" s="13">
        <f>SUMIFS(tblOrdenes[horas_estimadas],tblOrdenes[clasificacion],$A32,tblOrdenes[estado],"Cerrada")</f>
        <v/>
      </c>
      <c r="G32" s="14">
        <f>IF(E32=0,"",F32/E32)</f>
        <v/>
      </c>
    </row>
    <row r="33">
      <c r="A33" s="3" t="inlineStr">
        <is>
          <t>correctiva</t>
        </is>
      </c>
      <c r="B33" s="3">
        <f>COUNTIFS(tblOrdenes[clasificacion],$A33)</f>
        <v/>
      </c>
      <c r="C33" s="3">
        <f>COUNTIFS(tblOrdenes[clasificacion],$A33,tblOrdenes[estado],"Cerrada")</f>
        <v/>
      </c>
      <c r="D33" s="14">
        <f>IF(B33=0,"",C33/B33)</f>
        <v/>
      </c>
      <c r="E33" s="13">
        <f>SUMIFS(tblOrdenes[horas_estimadas],tblOrdenes[clasificacion],$A33)</f>
        <v/>
      </c>
      <c r="F33" s="13">
        <f>SUMIFS(tblOrdenes[horas_estimadas],tblOrdenes[clasificacion],$A33,tblOrdenes[estado],"Cerrada")</f>
        <v/>
      </c>
      <c r="G33" s="14">
        <f>IF(E33=0,"",F33/E33)</f>
        <v/>
      </c>
    </row>
    <row r="34">
      <c r="A34" s="3" t="inlineStr">
        <is>
          <t>sin_clasificar</t>
        </is>
      </c>
      <c r="B34" s="3">
        <f>COUNTIFS(tblOrdenes[clasificacion],$A34)</f>
        <v/>
      </c>
      <c r="C34" s="3">
        <f>COUNTIFS(tblOrdenes[clasificacion],$A34,tblOrdenes[estado],"Cerrada")</f>
        <v/>
      </c>
      <c r="D34" s="14">
        <f>IF(B34=0,"",C34/B34)</f>
        <v/>
      </c>
      <c r="E34" s="13">
        <f>SUMIFS(tblOrdenes[horas_estimadas],tblOrdenes[clasificacion],$A34)</f>
        <v/>
      </c>
      <c r="F34" s="13">
        <f>SUMIFS(tblOrdenes[horas_estimadas],tblOrdenes[clasificacion],$A34,tblOrdenes[estado],"Cerrada")</f>
        <v/>
      </c>
      <c r="G34" s="14">
        <f>IF(E34=0,"",F34/E34)</f>
        <v/>
      </c>
    </row>
    <row r="36">
      <c r="A36" s="4" t="inlineStr">
        <is>
          <t>POR TÉCNICO</t>
        </is>
      </c>
    </row>
    <row r="37">
      <c r="A37" s="5" t="inlineStr">
        <is>
          <t>valor</t>
        </is>
      </c>
      <c r="B37" s="5" t="inlineStr">
        <is>
          <t>total_ot</t>
        </is>
      </c>
      <c r="C37" s="5" t="inlineStr">
        <is>
          <t>cerradas</t>
        </is>
      </c>
      <c r="D37" s="5" t="inlineStr">
        <is>
          <t>adherencia_conteo</t>
        </is>
      </c>
      <c r="E37" s="5" t="inlineStr">
        <is>
          <t>hh_total</t>
        </is>
      </c>
      <c r="F37" s="5" t="inlineStr">
        <is>
          <t>hh_cerradas</t>
        </is>
      </c>
      <c r="G37" s="5" t="inlineStr">
        <is>
          <t>adherencia_horas</t>
        </is>
      </c>
    </row>
    <row r="38">
      <c r="A38" s="3" t="inlineStr">
        <is>
          <t>Técnico 01</t>
        </is>
      </c>
      <c r="B38" s="3">
        <f>COUNTIFS(tblOrdenes[tecnico_asignado],$A38)</f>
        <v/>
      </c>
      <c r="C38" s="3">
        <f>COUNTIFS(tblOrdenes[tecnico_asignado],$A38,tblOrdenes[estado],"Cerrada")</f>
        <v/>
      </c>
      <c r="D38" s="14">
        <f>IF(B38=0,"",C38/B38)</f>
        <v/>
      </c>
      <c r="E38" s="13">
        <f>SUMIFS(tblOrdenes[horas_estimadas],tblOrdenes[tecnico_asignado],$A38)</f>
        <v/>
      </c>
      <c r="F38" s="13">
        <f>SUMIFS(tblOrdenes[horas_estimadas],tblOrdenes[tecnico_asignado],$A38,tblOrdenes[estado],"Cerrada")</f>
        <v/>
      </c>
      <c r="G38" s="14">
        <f>IF(E38=0,"",F38/E38)</f>
        <v/>
      </c>
    </row>
    <row r="39">
      <c r="A39" s="3" t="inlineStr">
        <is>
          <t>Técnico 02</t>
        </is>
      </c>
      <c r="B39" s="3">
        <f>COUNTIFS(tblOrdenes[tecnico_asignado],$A39)</f>
        <v/>
      </c>
      <c r="C39" s="3">
        <f>COUNTIFS(tblOrdenes[tecnico_asignado],$A39,tblOrdenes[estado],"Cerrada")</f>
        <v/>
      </c>
      <c r="D39" s="14">
        <f>IF(B39=0,"",C39/B39)</f>
        <v/>
      </c>
      <c r="E39" s="13">
        <f>SUMIFS(tblOrdenes[horas_estimadas],tblOrdenes[tecnico_asignado],$A39)</f>
        <v/>
      </c>
      <c r="F39" s="13">
        <f>SUMIFS(tblOrdenes[horas_estimadas],tblOrdenes[tecnico_asignado],$A39,tblOrdenes[estado],"Cerrada")</f>
        <v/>
      </c>
      <c r="G39" s="14">
        <f>IF(E39=0,"",F39/E39)</f>
        <v/>
      </c>
    </row>
    <row r="40">
      <c r="A40" s="3" t="inlineStr">
        <is>
          <t>Técnico 03</t>
        </is>
      </c>
      <c r="B40" s="3">
        <f>COUNTIFS(tblOrdenes[tecnico_asignado],$A40)</f>
        <v/>
      </c>
      <c r="C40" s="3">
        <f>COUNTIFS(tblOrdenes[tecnico_asignado],$A40,tblOrdenes[estado],"Cerrada")</f>
        <v/>
      </c>
      <c r="D40" s="14">
        <f>IF(B40=0,"",C40/B40)</f>
        <v/>
      </c>
      <c r="E40" s="13">
        <f>SUMIFS(tblOrdenes[horas_estimadas],tblOrdenes[tecnico_asignado],$A40)</f>
        <v/>
      </c>
      <c r="F40" s="13">
        <f>SUMIFS(tblOrdenes[horas_estimadas],tblOrdenes[tecnico_asignado],$A40,tblOrdenes[estado],"Cerrada")</f>
        <v/>
      </c>
      <c r="G40" s="14">
        <f>IF(E40=0,"",F40/E40)</f>
        <v/>
      </c>
    </row>
    <row r="41">
      <c r="A41" s="3" t="inlineStr">
        <is>
          <t>Técnico 04</t>
        </is>
      </c>
      <c r="B41" s="3">
        <f>COUNTIFS(tblOrdenes[tecnico_asignado],$A41)</f>
        <v/>
      </c>
      <c r="C41" s="3">
        <f>COUNTIFS(tblOrdenes[tecnico_asignado],$A41,tblOrdenes[estado],"Cerrada")</f>
        <v/>
      </c>
      <c r="D41" s="14">
        <f>IF(B41=0,"",C41/B41)</f>
        <v/>
      </c>
      <c r="E41" s="13">
        <f>SUMIFS(tblOrdenes[horas_estimadas],tblOrdenes[tecnico_asignado],$A41)</f>
        <v/>
      </c>
      <c r="F41" s="13">
        <f>SUMIFS(tblOrdenes[horas_estimadas],tblOrdenes[tecnico_asignado],$A41,tblOrdenes[estado],"Cerrada")</f>
        <v/>
      </c>
      <c r="G41" s="14">
        <f>IF(E41=0,"",F41/E41)</f>
        <v/>
      </c>
    </row>
    <row r="42">
      <c r="A42" s="3" t="inlineStr">
        <is>
          <t>Técnico 05</t>
        </is>
      </c>
      <c r="B42" s="3">
        <f>COUNTIFS(tblOrdenes[tecnico_asignado],$A42)</f>
        <v/>
      </c>
      <c r="C42" s="3">
        <f>COUNTIFS(tblOrdenes[tecnico_asignado],$A42,tblOrdenes[estado],"Cerrada")</f>
        <v/>
      </c>
      <c r="D42" s="14">
        <f>IF(B42=0,"",C42/B42)</f>
        <v/>
      </c>
      <c r="E42" s="13">
        <f>SUMIFS(tblOrdenes[horas_estimadas],tblOrdenes[tecnico_asignado],$A42)</f>
        <v/>
      </c>
      <c r="F42" s="13">
        <f>SUMIFS(tblOrdenes[horas_estimadas],tblOrdenes[tecnico_asignado],$A42,tblOrdenes[estado],"Cerrada")</f>
        <v/>
      </c>
      <c r="G42" s="14">
        <f>IF(E42=0,"",F42/E42)</f>
        <v/>
      </c>
    </row>
    <row r="43">
      <c r="A43" s="3" t="inlineStr">
        <is>
          <t>Técnico 06</t>
        </is>
      </c>
      <c r="B43" s="3">
        <f>COUNTIFS(tblOrdenes[tecnico_asignado],$A43)</f>
        <v/>
      </c>
      <c r="C43" s="3">
        <f>COUNTIFS(tblOrdenes[tecnico_asignado],$A43,tblOrdenes[estado],"Cerrada")</f>
        <v/>
      </c>
      <c r="D43" s="14">
        <f>IF(B43=0,"",C43/B43)</f>
        <v/>
      </c>
      <c r="E43" s="13">
        <f>SUMIFS(tblOrdenes[horas_estimadas],tblOrdenes[tecnico_asignado],$A43)</f>
        <v/>
      </c>
      <c r="F43" s="13">
        <f>SUMIFS(tblOrdenes[horas_estimadas],tblOrdenes[tecnico_asignado],$A43,tblOrdenes[estado],"Cerrada")</f>
        <v/>
      </c>
      <c r="G43" s="14">
        <f>IF(E43=0,"",F43/E43)</f>
        <v/>
      </c>
    </row>
    <row r="44">
      <c r="A44" s="3" t="inlineStr">
        <is>
          <t>Técnico 07</t>
        </is>
      </c>
      <c r="B44" s="3">
        <f>COUNTIFS(tblOrdenes[tecnico_asignado],$A44)</f>
        <v/>
      </c>
      <c r="C44" s="3">
        <f>COUNTIFS(tblOrdenes[tecnico_asignado],$A44,tblOrdenes[estado],"Cerrada")</f>
        <v/>
      </c>
      <c r="D44" s="14">
        <f>IF(B44=0,"",C44/B44)</f>
        <v/>
      </c>
      <c r="E44" s="13">
        <f>SUMIFS(tblOrdenes[horas_estimadas],tblOrdenes[tecnico_asignado],$A44)</f>
        <v/>
      </c>
      <c r="F44" s="13">
        <f>SUMIFS(tblOrdenes[horas_estimadas],tblOrdenes[tecnico_asignado],$A44,tblOrdenes[estado],"Cerrada")</f>
        <v/>
      </c>
      <c r="G44" s="14">
        <f>IF(E44=0,"",F44/E44)</f>
        <v/>
      </c>
    </row>
    <row r="45">
      <c r="A45" s="3" t="inlineStr">
        <is>
          <t>Técnico 08</t>
        </is>
      </c>
      <c r="B45" s="3">
        <f>COUNTIFS(tblOrdenes[tecnico_asignado],$A45)</f>
        <v/>
      </c>
      <c r="C45" s="3">
        <f>COUNTIFS(tblOrdenes[tecnico_asignado],$A45,tblOrdenes[estado],"Cerrada")</f>
        <v/>
      </c>
      <c r="D45" s="14">
        <f>IF(B45=0,"",C45/B45)</f>
        <v/>
      </c>
      <c r="E45" s="13">
        <f>SUMIFS(tblOrdenes[horas_estimadas],tblOrdenes[tecnico_asignado],$A45)</f>
        <v/>
      </c>
      <c r="F45" s="13">
        <f>SUMIFS(tblOrdenes[horas_estimadas],tblOrdenes[tecnico_asignado],$A45,tblOrdenes[estado],"Cerrada")</f>
        <v/>
      </c>
      <c r="G45" s="14">
        <f>IF(E45=0,"",F45/E45)</f>
        <v/>
      </c>
    </row>
    <row r="46">
      <c r="A46" s="3" t="inlineStr">
        <is>
          <t>Técnico 09</t>
        </is>
      </c>
      <c r="B46" s="3">
        <f>COUNTIFS(tblOrdenes[tecnico_asignado],$A46)</f>
        <v/>
      </c>
      <c r="C46" s="3">
        <f>COUNTIFS(tblOrdenes[tecnico_asignado],$A46,tblOrdenes[estado],"Cerrada")</f>
        <v/>
      </c>
      <c r="D46" s="14">
        <f>IF(B46=0,"",C46/B46)</f>
        <v/>
      </c>
      <c r="E46" s="13">
        <f>SUMIFS(tblOrdenes[horas_estimadas],tblOrdenes[tecnico_asignado],$A46)</f>
        <v/>
      </c>
      <c r="F46" s="13">
        <f>SUMIFS(tblOrdenes[horas_estimadas],tblOrdenes[tecnico_asignado],$A46,tblOrdenes[estado],"Cerrada")</f>
        <v/>
      </c>
      <c r="G46" s="14">
        <f>IF(E46=0,"",F46/E46)</f>
        <v/>
      </c>
    </row>
    <row r="47">
      <c r="A47" s="3" t="inlineStr">
        <is>
          <t>Técnico 10</t>
        </is>
      </c>
      <c r="B47" s="3">
        <f>COUNTIFS(tblOrdenes[tecnico_asignado],$A47)</f>
        <v/>
      </c>
      <c r="C47" s="3">
        <f>COUNTIFS(tblOrdenes[tecnico_asignado],$A47,tblOrdenes[estado],"Cerrada")</f>
        <v/>
      </c>
      <c r="D47" s="14">
        <f>IF(B47=0,"",C47/B47)</f>
        <v/>
      </c>
      <c r="E47" s="13">
        <f>SUMIFS(tblOrdenes[horas_estimadas],tblOrdenes[tecnico_asignado],$A47)</f>
        <v/>
      </c>
      <c r="F47" s="13">
        <f>SUMIFS(tblOrdenes[horas_estimadas],tblOrdenes[tecnico_asignado],$A47,tblOrdenes[estado],"Cerrada")</f>
        <v/>
      </c>
      <c r="G47" s="14">
        <f>IF(E47=0,"",F47/E47)</f>
        <v/>
      </c>
    </row>
    <row r="48">
      <c r="A48" s="3" t="inlineStr">
        <is>
          <t>Técnico 11</t>
        </is>
      </c>
      <c r="B48" s="3">
        <f>COUNTIFS(tblOrdenes[tecnico_asignado],$A48)</f>
        <v/>
      </c>
      <c r="C48" s="3">
        <f>COUNTIFS(tblOrdenes[tecnico_asignado],$A48,tblOrdenes[estado],"Cerrada")</f>
        <v/>
      </c>
      <c r="D48" s="14">
        <f>IF(B48=0,"",C48/B48)</f>
        <v/>
      </c>
      <c r="E48" s="13">
        <f>SUMIFS(tblOrdenes[horas_estimadas],tblOrdenes[tecnico_asignado],$A48)</f>
        <v/>
      </c>
      <c r="F48" s="13">
        <f>SUMIFS(tblOrdenes[horas_estimadas],tblOrdenes[tecnico_asignado],$A48,tblOrdenes[estado],"Cerrada")</f>
        <v/>
      </c>
      <c r="G48" s="14">
        <f>IF(E48=0,"",F48/E48)</f>
        <v/>
      </c>
    </row>
    <row r="49">
      <c r="A49" s="3" t="inlineStr">
        <is>
          <t>Técnico 12</t>
        </is>
      </c>
      <c r="B49" s="3">
        <f>COUNTIFS(tblOrdenes[tecnico_asignado],$A49)</f>
        <v/>
      </c>
      <c r="C49" s="3">
        <f>COUNTIFS(tblOrdenes[tecnico_asignado],$A49,tblOrdenes[estado],"Cerrada")</f>
        <v/>
      </c>
      <c r="D49" s="14">
        <f>IF(B49=0,"",C49/B49)</f>
        <v/>
      </c>
      <c r="E49" s="13">
        <f>SUMIFS(tblOrdenes[horas_estimadas],tblOrdenes[tecnico_asignado],$A49)</f>
        <v/>
      </c>
      <c r="F49" s="13">
        <f>SUMIFS(tblOrdenes[horas_estimadas],tblOrdenes[tecnico_asignado],$A49,tblOrdenes[estado],"Cerrada")</f>
        <v/>
      </c>
      <c r="G49" s="14">
        <f>IF(E49=0,"",F49/E49)</f>
        <v/>
      </c>
    </row>
  </sheetData>
  <conditionalFormatting sqref="D5:D8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8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12:D14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12:G14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18:D22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18:G22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26:D28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26:G28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32:D34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32:G34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38:D49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38:G49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7030A0"/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>
        <f>"COSTOS ("&amp;p_moneda&amp;") — REGLA-8: real (servicio + materiales) contra plan"</f>
        <v/>
      </c>
    </row>
    <row r="3">
      <c r="A3" s="4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  <c r="D4" s="2" t="n">
        <v>2026</v>
      </c>
      <c r="E4" s="2" t="n">
        <v>2026</v>
      </c>
      <c r="F4" s="2" t="n">
        <v>2026</v>
      </c>
      <c r="G4" s="2" t="n">
        <v>2026</v>
      </c>
      <c r="H4" s="2" t="n">
        <v>2026</v>
      </c>
      <c r="I4" s="2" t="n">
        <v>2026</v>
      </c>
      <c r="J4" s="2" t="n">
        <v>2026</v>
      </c>
    </row>
    <row r="5">
      <c r="A5" s="2" t="inlineStr">
        <is>
          <t>mes</t>
        </is>
      </c>
      <c r="B5" s="5" t="n">
        <v>2</v>
      </c>
      <c r="C5" s="5" t="n">
        <v>3</v>
      </c>
      <c r="D5" s="5" t="n">
        <v>4</v>
      </c>
      <c r="E5" s="5" t="n">
        <v>5</v>
      </c>
      <c r="F5" s="5" t="n">
        <v>6</v>
      </c>
      <c r="G5" s="5" t="n">
        <v>7</v>
      </c>
      <c r="H5" s="5" t="n">
        <v>8</v>
      </c>
      <c r="I5" s="5" t="n">
        <v>10</v>
      </c>
      <c r="J5" s="5" t="n">
        <v>12</v>
      </c>
      <c r="K5" s="5" t="inlineStr">
        <is>
          <t>TOTAL</t>
        </is>
      </c>
    </row>
    <row r="6">
      <c r="A6" s="3" t="inlineStr">
        <is>
          <t>PRODUCCION</t>
        </is>
      </c>
      <c r="B6" s="10">
        <f>SUMIFS(tblOrdenes[costo_plan],tblOrdenes[area],$A6,tblOrdenes[anio],B$4,tblOrdenes[mes],B$5)</f>
        <v/>
      </c>
      <c r="C6" s="10">
        <f>SUMIFS(tblOrdenes[costo_plan],tblOrdenes[area],$A6,tblOrdenes[anio],C$4,tblOrdenes[mes],C$5)</f>
        <v/>
      </c>
      <c r="D6" s="10">
        <f>SUMIFS(tblOrdenes[costo_plan],tblOrdenes[area],$A6,tblOrdenes[anio],D$4,tblOrdenes[mes],D$5)</f>
        <v/>
      </c>
      <c r="E6" s="10">
        <f>SUMIFS(tblOrdenes[costo_plan],tblOrdenes[area],$A6,tblOrdenes[anio],E$4,tblOrdenes[mes],E$5)</f>
        <v/>
      </c>
      <c r="F6" s="10">
        <f>SUMIFS(tblOrdenes[costo_plan],tblOrdenes[area],$A6,tblOrdenes[anio],F$4,tblOrdenes[mes],F$5)</f>
        <v/>
      </c>
      <c r="G6" s="10">
        <f>SUMIFS(tblOrdenes[costo_plan],tblOrdenes[area],$A6,tblOrdenes[anio],G$4,tblOrdenes[mes],G$5)</f>
        <v/>
      </c>
      <c r="H6" s="10">
        <f>SUMIFS(tblOrdenes[costo_plan],tblOrdenes[area],$A6,tblOrdenes[anio],H$4,tblOrdenes[mes],H$5)</f>
        <v/>
      </c>
      <c r="I6" s="10">
        <f>SUMIFS(tblOrdenes[costo_plan],tblOrdenes[area],$A6,tblOrdenes[anio],I$4,tblOrdenes[mes],I$5)</f>
        <v/>
      </c>
      <c r="J6" s="10">
        <f>SUMIFS(tblOrdenes[costo_plan],tblOrdenes[area],$A6,tblOrdenes[anio],J$4,tblOrdenes[mes],J$5)</f>
        <v/>
      </c>
      <c r="K6" s="10">
        <f>SUM(B6:J6)</f>
        <v/>
      </c>
    </row>
    <row r="7">
      <c r="A7" s="3" t="inlineStr">
        <is>
          <t>EMPAQUE</t>
        </is>
      </c>
      <c r="B7" s="10">
        <f>SUMIFS(tblOrdenes[costo_plan],tblOrdenes[area],$A7,tblOrdenes[anio],B$4,tblOrdenes[mes],B$5)</f>
        <v/>
      </c>
      <c r="C7" s="10">
        <f>SUMIFS(tblOrdenes[costo_plan],tblOrdenes[area],$A7,tblOrdenes[anio],C$4,tblOrdenes[mes],C$5)</f>
        <v/>
      </c>
      <c r="D7" s="10">
        <f>SUMIFS(tblOrdenes[costo_plan],tblOrdenes[area],$A7,tblOrdenes[anio],D$4,tblOrdenes[mes],D$5)</f>
        <v/>
      </c>
      <c r="E7" s="10">
        <f>SUMIFS(tblOrdenes[costo_plan],tblOrdenes[area],$A7,tblOrdenes[anio],E$4,tblOrdenes[mes],E$5)</f>
        <v/>
      </c>
      <c r="F7" s="10">
        <f>SUMIFS(tblOrdenes[costo_plan],tblOrdenes[area],$A7,tblOrdenes[anio],F$4,tblOrdenes[mes],F$5)</f>
        <v/>
      </c>
      <c r="G7" s="10">
        <f>SUMIFS(tblOrdenes[costo_plan],tblOrdenes[area],$A7,tblOrdenes[anio],G$4,tblOrdenes[mes],G$5)</f>
        <v/>
      </c>
      <c r="H7" s="10">
        <f>SUMIFS(tblOrdenes[costo_plan],tblOrdenes[area],$A7,tblOrdenes[anio],H$4,tblOrdenes[mes],H$5)</f>
        <v/>
      </c>
      <c r="I7" s="10">
        <f>SUMIFS(tblOrdenes[costo_plan],tblOrdenes[area],$A7,tblOrdenes[anio],I$4,tblOrdenes[mes],I$5)</f>
        <v/>
      </c>
      <c r="J7" s="10">
        <f>SUMIFS(tblOrdenes[costo_plan],tblOrdenes[area],$A7,tblOrdenes[anio],J$4,tblOrdenes[mes],J$5)</f>
        <v/>
      </c>
      <c r="K7" s="10">
        <f>SUM(B7:J7)</f>
        <v/>
      </c>
    </row>
    <row r="8">
      <c r="A8" s="3" t="inlineStr">
        <is>
          <t>SERVICIOS</t>
        </is>
      </c>
      <c r="B8" s="10">
        <f>SUMIFS(tblOrdenes[costo_plan],tblOrdenes[area],$A8,tblOrdenes[anio],B$4,tblOrdenes[mes],B$5)</f>
        <v/>
      </c>
      <c r="C8" s="10">
        <f>SUMIFS(tblOrdenes[costo_plan],tblOrdenes[area],$A8,tblOrdenes[anio],C$4,tblOrdenes[mes],C$5)</f>
        <v/>
      </c>
      <c r="D8" s="10">
        <f>SUMIFS(tblOrdenes[costo_plan],tblOrdenes[area],$A8,tblOrdenes[anio],D$4,tblOrdenes[mes],D$5)</f>
        <v/>
      </c>
      <c r="E8" s="10">
        <f>SUMIFS(tblOrdenes[costo_plan],tblOrdenes[area],$A8,tblOrdenes[anio],E$4,tblOrdenes[mes],E$5)</f>
        <v/>
      </c>
      <c r="F8" s="10">
        <f>SUMIFS(tblOrdenes[costo_plan],tblOrdenes[area],$A8,tblOrdenes[anio],F$4,tblOrdenes[mes],F$5)</f>
        <v/>
      </c>
      <c r="G8" s="10">
        <f>SUMIFS(tblOrdenes[costo_plan],tblOrdenes[area],$A8,tblOrdenes[anio],G$4,tblOrdenes[mes],G$5)</f>
        <v/>
      </c>
      <c r="H8" s="10">
        <f>SUMIFS(tblOrdenes[costo_plan],tblOrdenes[area],$A8,tblOrdenes[anio],H$4,tblOrdenes[mes],H$5)</f>
        <v/>
      </c>
      <c r="I8" s="10">
        <f>SUMIFS(tblOrdenes[costo_plan],tblOrdenes[area],$A8,tblOrdenes[anio],I$4,tblOrdenes[mes],I$5)</f>
        <v/>
      </c>
      <c r="J8" s="10">
        <f>SUMIFS(tblOrdenes[costo_plan],tblOrdenes[area],$A8,tblOrdenes[anio],J$4,tblOrdenes[mes],J$5)</f>
        <v/>
      </c>
      <c r="K8" s="10">
        <f>SUM(B8:J8)</f>
        <v/>
      </c>
    </row>
    <row r="9">
      <c r="A9" s="4" t="inlineStr">
        <is>
          <t>TOTAL</t>
        </is>
      </c>
      <c r="B9" s="10">
        <f>SUM(B6:B8)</f>
        <v/>
      </c>
      <c r="C9" s="10">
        <f>SUM(C6:C8)</f>
        <v/>
      </c>
      <c r="D9" s="10">
        <f>SUM(D6:D8)</f>
        <v/>
      </c>
      <c r="E9" s="10">
        <f>SUM(E6:E8)</f>
        <v/>
      </c>
      <c r="F9" s="10">
        <f>SUM(F6:F8)</f>
        <v/>
      </c>
      <c r="G9" s="10">
        <f>SUM(G6:G8)</f>
        <v/>
      </c>
      <c r="H9" s="10">
        <f>SUM(H6:H8)</f>
        <v/>
      </c>
      <c r="I9" s="10">
        <f>SUM(I6:I8)</f>
        <v/>
      </c>
      <c r="J9" s="10">
        <f>SUM(J6:J8)</f>
        <v/>
      </c>
      <c r="K9" s="10">
        <f>SUM(K6:K8)</f>
        <v/>
      </c>
    </row>
    <row r="11">
      <c r="A11" s="4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  <c r="D12" s="2" t="n">
        <v>2026</v>
      </c>
      <c r="E12" s="2" t="n">
        <v>2026</v>
      </c>
      <c r="F12" s="2" t="n">
        <v>2026</v>
      </c>
      <c r="G12" s="2" t="n">
        <v>2026</v>
      </c>
      <c r="H12" s="2" t="n">
        <v>2026</v>
      </c>
      <c r="I12" s="2" t="n">
        <v>2026</v>
      </c>
      <c r="J12" s="2" t="n">
        <v>2026</v>
      </c>
    </row>
    <row r="13">
      <c r="A13" s="2" t="inlineStr">
        <is>
          <t>mes</t>
        </is>
      </c>
      <c r="B13" s="5" t="n">
        <v>2</v>
      </c>
      <c r="C13" s="5" t="n">
        <v>3</v>
      </c>
      <c r="D13" s="5" t="n">
        <v>4</v>
      </c>
      <c r="E13" s="5" t="n">
        <v>5</v>
      </c>
      <c r="F13" s="5" t="n">
        <v>6</v>
      </c>
      <c r="G13" s="5" t="n">
        <v>7</v>
      </c>
      <c r="H13" s="5" t="n">
        <v>8</v>
      </c>
      <c r="I13" s="5" t="n">
        <v>10</v>
      </c>
      <c r="J13" s="5" t="n">
        <v>12</v>
      </c>
      <c r="K13" s="5" t="inlineStr">
        <is>
          <t>TOTAL</t>
        </is>
      </c>
    </row>
    <row r="14">
      <c r="A14" s="3" t="inlineStr">
        <is>
          <t>PRODUCCION</t>
        </is>
      </c>
      <c r="B14" s="10">
        <f>SUMIFS(tblOrdenes[costo_total],tblOrdenes[area],$A14,tblOrdenes[anio],B$12,tblOrdenes[mes],B$13)</f>
        <v/>
      </c>
      <c r="C14" s="10">
        <f>SUMIFS(tblOrdenes[costo_total],tblOrdenes[area],$A14,tblOrdenes[anio],C$12,tblOrdenes[mes],C$13)</f>
        <v/>
      </c>
      <c r="D14" s="10">
        <f>SUMIFS(tblOrdenes[costo_total],tblOrdenes[area],$A14,tblOrdenes[anio],D$12,tblOrdenes[mes],D$13)</f>
        <v/>
      </c>
      <c r="E14" s="10">
        <f>SUMIFS(tblOrdenes[costo_total],tblOrdenes[area],$A14,tblOrdenes[anio],E$12,tblOrdenes[mes],E$13)</f>
        <v/>
      </c>
      <c r="F14" s="10">
        <f>SUMIFS(tblOrdenes[costo_total],tblOrdenes[area],$A14,tblOrdenes[anio],F$12,tblOrdenes[mes],F$13)</f>
        <v/>
      </c>
      <c r="G14" s="10">
        <f>SUMIFS(tblOrdenes[costo_total],tblOrdenes[area],$A14,tblOrdenes[anio],G$12,tblOrdenes[mes],G$13)</f>
        <v/>
      </c>
      <c r="H14" s="10">
        <f>SUMIFS(tblOrdenes[costo_total],tblOrdenes[area],$A14,tblOrdenes[anio],H$12,tblOrdenes[mes],H$13)</f>
        <v/>
      </c>
      <c r="I14" s="10">
        <f>SUMIFS(tblOrdenes[costo_total],tblOrdenes[area],$A14,tblOrdenes[anio],I$12,tblOrdenes[mes],I$13)</f>
        <v/>
      </c>
      <c r="J14" s="10">
        <f>SUMIFS(tblOrdenes[costo_total],tblOrdenes[area],$A14,tblOrdenes[anio],J$12,tblOrdenes[mes],J$13)</f>
        <v/>
      </c>
      <c r="K14" s="10">
        <f>SUM(B14:J14)</f>
        <v/>
      </c>
    </row>
    <row r="15">
      <c r="A15" s="3" t="inlineStr">
        <is>
          <t>EMPAQUE</t>
        </is>
      </c>
      <c r="B15" s="10">
        <f>SUMIFS(tblOrdenes[costo_total],tblOrdenes[area],$A15,tblOrdenes[anio],B$12,tblOrdenes[mes],B$13)</f>
        <v/>
      </c>
      <c r="C15" s="10">
        <f>SUMIFS(tblOrdenes[costo_total],tblOrdenes[area],$A15,tblOrdenes[anio],C$12,tblOrdenes[mes],C$13)</f>
        <v/>
      </c>
      <c r="D15" s="10">
        <f>SUMIFS(tblOrdenes[costo_total],tblOrdenes[area],$A15,tblOrdenes[anio],D$12,tblOrdenes[mes],D$13)</f>
        <v/>
      </c>
      <c r="E15" s="10">
        <f>SUMIFS(tblOrdenes[costo_total],tblOrdenes[area],$A15,tblOrdenes[anio],E$12,tblOrdenes[mes],E$13)</f>
        <v/>
      </c>
      <c r="F15" s="10">
        <f>SUMIFS(tblOrdenes[costo_total],tblOrdenes[area],$A15,tblOrdenes[anio],F$12,tblOrdenes[mes],F$13)</f>
        <v/>
      </c>
      <c r="G15" s="10">
        <f>SUMIFS(tblOrdenes[costo_total],tblOrdenes[area],$A15,tblOrdenes[anio],G$12,tblOrdenes[mes],G$13)</f>
        <v/>
      </c>
      <c r="H15" s="10">
        <f>SUMIFS(tblOrdenes[costo_total],tblOrdenes[area],$A15,tblOrdenes[anio],H$12,tblOrdenes[mes],H$13)</f>
        <v/>
      </c>
      <c r="I15" s="10">
        <f>SUMIFS(tblOrdenes[costo_total],tblOrdenes[area],$A15,tblOrdenes[anio],I$12,tblOrdenes[mes],I$13)</f>
        <v/>
      </c>
      <c r="J15" s="10">
        <f>SUMIFS(tblOrdenes[costo_total],tblOrdenes[area],$A15,tblOrdenes[anio],J$12,tblOrdenes[mes],J$13)</f>
        <v/>
      </c>
      <c r="K15" s="10">
        <f>SUM(B15:J15)</f>
        <v/>
      </c>
    </row>
    <row r="16">
      <c r="A16" s="3" t="inlineStr">
        <is>
          <t>SERVICIOS</t>
        </is>
      </c>
      <c r="B16" s="10">
        <f>SUMIFS(tblOrdenes[costo_total],tblOrdenes[area],$A16,tblOrdenes[anio],B$12,tblOrdenes[mes],B$13)</f>
        <v/>
      </c>
      <c r="C16" s="10">
        <f>SUMIFS(tblOrdenes[costo_total],tblOrdenes[area],$A16,tblOrdenes[anio],C$12,tblOrdenes[mes],C$13)</f>
        <v/>
      </c>
      <c r="D16" s="10">
        <f>SUMIFS(tblOrdenes[costo_total],tblOrdenes[area],$A16,tblOrdenes[anio],D$12,tblOrdenes[mes],D$13)</f>
        <v/>
      </c>
      <c r="E16" s="10">
        <f>SUMIFS(tblOrdenes[costo_total],tblOrdenes[area],$A16,tblOrdenes[anio],E$12,tblOrdenes[mes],E$13)</f>
        <v/>
      </c>
      <c r="F16" s="10">
        <f>SUMIFS(tblOrdenes[costo_total],tblOrdenes[area],$A16,tblOrdenes[anio],F$12,tblOrdenes[mes],F$13)</f>
        <v/>
      </c>
      <c r="G16" s="10">
        <f>SUMIFS(tblOrdenes[costo_total],tblOrdenes[area],$A16,tblOrdenes[anio],G$12,tblOrdenes[mes],G$13)</f>
        <v/>
      </c>
      <c r="H16" s="10">
        <f>SUMIFS(tblOrdenes[costo_total],tblOrdenes[area],$A16,tblOrdenes[anio],H$12,tblOrdenes[mes],H$13)</f>
        <v/>
      </c>
      <c r="I16" s="10">
        <f>SUMIFS(tblOrdenes[costo_total],tblOrdenes[area],$A16,tblOrdenes[anio],I$12,tblOrdenes[mes],I$13)</f>
        <v/>
      </c>
      <c r="J16" s="10">
        <f>SUMIFS(tblOrdenes[costo_total],tblOrdenes[area],$A16,tblOrdenes[anio],J$12,tblOrdenes[mes],J$13)</f>
        <v/>
      </c>
      <c r="K16" s="10">
        <f>SUM(B16:J16)</f>
        <v/>
      </c>
    </row>
    <row r="17">
      <c r="A17" s="4" t="inlineStr">
        <is>
          <t>TOTAL</t>
        </is>
      </c>
      <c r="B17" s="10">
        <f>SUM(B14:B16)</f>
        <v/>
      </c>
      <c r="C17" s="10">
        <f>SUM(C14:C16)</f>
        <v/>
      </c>
      <c r="D17" s="10">
        <f>SUM(D14:D16)</f>
        <v/>
      </c>
      <c r="E17" s="10">
        <f>SUM(E14:E16)</f>
        <v/>
      </c>
      <c r="F17" s="10">
        <f>SUM(F14:F16)</f>
        <v/>
      </c>
      <c r="G17" s="10">
        <f>SUM(G14:G16)</f>
        <v/>
      </c>
      <c r="H17" s="10">
        <f>SUM(H14:H16)</f>
        <v/>
      </c>
      <c r="I17" s="10">
        <f>SUM(I14:I16)</f>
        <v/>
      </c>
      <c r="J17" s="10">
        <f>SUM(J14:J16)</f>
        <v/>
      </c>
      <c r="K17" s="10">
        <f>SUM(K14:K16)</f>
        <v/>
      </c>
    </row>
    <row r="19">
      <c r="A19" s="4" t="inlineStr">
        <is>
          <t>DESVÍO por área (real − plan)</t>
        </is>
      </c>
    </row>
    <row r="20">
      <c r="A20" s="3" t="inlineStr">
        <is>
          <t>PRODUCCION</t>
        </is>
      </c>
      <c r="B20" s="10">
        <f>B14-B6</f>
        <v/>
      </c>
      <c r="C20" s="10">
        <f>C14-C6</f>
        <v/>
      </c>
      <c r="D20" s="10">
        <f>D14-D6</f>
        <v/>
      </c>
      <c r="E20" s="10">
        <f>E14-E6</f>
        <v/>
      </c>
      <c r="F20" s="10">
        <f>F14-F6</f>
        <v/>
      </c>
      <c r="G20" s="10">
        <f>G14-G6</f>
        <v/>
      </c>
      <c r="H20" s="10">
        <f>H14-H6</f>
        <v/>
      </c>
      <c r="I20" s="10">
        <f>I14-I6</f>
        <v/>
      </c>
      <c r="J20" s="10">
        <f>J14-J6</f>
        <v/>
      </c>
      <c r="K20" s="10">
        <f>K14-K6</f>
        <v/>
      </c>
    </row>
    <row r="21">
      <c r="A21" s="3" t="inlineStr">
        <is>
          <t>EMPAQUE</t>
        </is>
      </c>
      <c r="B21" s="10">
        <f>B15-B7</f>
        <v/>
      </c>
      <c r="C21" s="10">
        <f>C15-C7</f>
        <v/>
      </c>
      <c r="D21" s="10">
        <f>D15-D7</f>
        <v/>
      </c>
      <c r="E21" s="10">
        <f>E15-E7</f>
        <v/>
      </c>
      <c r="F21" s="10">
        <f>F15-F7</f>
        <v/>
      </c>
      <c r="G21" s="10">
        <f>G15-G7</f>
        <v/>
      </c>
      <c r="H21" s="10">
        <f>H15-H7</f>
        <v/>
      </c>
      <c r="I21" s="10">
        <f>I15-I7</f>
        <v/>
      </c>
      <c r="J21" s="10">
        <f>J15-J7</f>
        <v/>
      </c>
      <c r="K21" s="10">
        <f>K15-K7</f>
        <v/>
      </c>
    </row>
    <row r="22">
      <c r="A22" s="3" t="inlineStr">
        <is>
          <t>SERVICIOS</t>
        </is>
      </c>
      <c r="B22" s="10">
        <f>B16-B8</f>
        <v/>
      </c>
      <c r="C22" s="10">
        <f>C16-C8</f>
        <v/>
      </c>
      <c r="D22" s="10">
        <f>D16-D8</f>
        <v/>
      </c>
      <c r="E22" s="10">
        <f>E16-E8</f>
        <v/>
      </c>
      <c r="F22" s="10">
        <f>F16-F8</f>
        <v/>
      </c>
      <c r="G22" s="10">
        <f>G16-G8</f>
        <v/>
      </c>
      <c r="H22" s="10">
        <f>H16-H8</f>
        <v/>
      </c>
      <c r="I22" s="10">
        <f>I16-I8</f>
        <v/>
      </c>
      <c r="J22" s="10">
        <f>J16-J8</f>
        <v/>
      </c>
      <c r="K22" s="10">
        <f>K16-K8</f>
        <v/>
      </c>
    </row>
    <row r="23">
      <c r="A23" s="4" t="inlineStr">
        <is>
          <t>TOTAL</t>
        </is>
      </c>
      <c r="B23" s="10">
        <f>B17-B9</f>
        <v/>
      </c>
      <c r="C23" s="10">
        <f>C17-C9</f>
        <v/>
      </c>
      <c r="D23" s="10">
        <f>D17-D9</f>
        <v/>
      </c>
      <c r="E23" s="10">
        <f>E17-E9</f>
        <v/>
      </c>
      <c r="F23" s="10">
        <f>F17-F9</f>
        <v/>
      </c>
      <c r="G23" s="10">
        <f>G17-G9</f>
        <v/>
      </c>
      <c r="H23" s="10">
        <f>H17-H9</f>
        <v/>
      </c>
      <c r="I23" s="10">
        <f>I17-I9</f>
        <v/>
      </c>
      <c r="J23" s="10">
        <f>J17-J9</f>
        <v/>
      </c>
      <c r="K23" s="10">
        <f>K17-K9</f>
        <v/>
      </c>
    </row>
    <row r="25">
      <c r="A25" s="4" t="inlineStr">
        <is>
          <t>REAL por línea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  <c r="D26" s="2" t="n">
        <v>2026</v>
      </c>
      <c r="E26" s="2" t="n">
        <v>2026</v>
      </c>
      <c r="F26" s="2" t="n">
        <v>2026</v>
      </c>
      <c r="G26" s="2" t="n">
        <v>2026</v>
      </c>
      <c r="H26" s="2" t="n">
        <v>2026</v>
      </c>
      <c r="I26" s="2" t="n">
        <v>2026</v>
      </c>
      <c r="J26" s="2" t="n">
        <v>2026</v>
      </c>
    </row>
    <row r="27">
      <c r="A27" s="2" t="inlineStr">
        <is>
          <t>mes</t>
        </is>
      </c>
      <c r="B27" s="5" t="n">
        <v>2</v>
      </c>
      <c r="C27" s="5" t="n">
        <v>3</v>
      </c>
      <c r="D27" s="5" t="n">
        <v>4</v>
      </c>
      <c r="E27" s="5" t="n">
        <v>5</v>
      </c>
      <c r="F27" s="5" t="n">
        <v>6</v>
      </c>
      <c r="G27" s="5" t="n">
        <v>7</v>
      </c>
      <c r="H27" s="5" t="n">
        <v>8</v>
      </c>
      <c r="I27" s="5" t="n">
        <v>10</v>
      </c>
      <c r="J27" s="5" t="n">
        <v>12</v>
      </c>
      <c r="K27" s="5" t="inlineStr">
        <is>
          <t>TOTAL</t>
        </is>
      </c>
    </row>
    <row r="28">
      <c r="A28" s="3" t="inlineStr">
        <is>
          <t>L1</t>
        </is>
      </c>
      <c r="B28" s="10">
        <f>SUMIFS(tblOrdenes[costo_total],tblOrdenes[linea],$A28,tblOrdenes[anio],B$26,tblOrdenes[mes],B$27)</f>
        <v/>
      </c>
      <c r="C28" s="10">
        <f>SUMIFS(tblOrdenes[costo_total],tblOrdenes[linea],$A28,tblOrdenes[anio],C$26,tblOrdenes[mes],C$27)</f>
        <v/>
      </c>
      <c r="D28" s="10">
        <f>SUMIFS(tblOrdenes[costo_total],tblOrdenes[linea],$A28,tblOrdenes[anio],D$26,tblOrdenes[mes],D$27)</f>
        <v/>
      </c>
      <c r="E28" s="10">
        <f>SUMIFS(tblOrdenes[costo_total],tblOrdenes[linea],$A28,tblOrdenes[anio],E$26,tblOrdenes[mes],E$27)</f>
        <v/>
      </c>
      <c r="F28" s="10">
        <f>SUMIFS(tblOrdenes[costo_total],tblOrdenes[linea],$A28,tblOrdenes[anio],F$26,tblOrdenes[mes],F$27)</f>
        <v/>
      </c>
      <c r="G28" s="10">
        <f>SUMIFS(tblOrdenes[costo_total],tblOrdenes[linea],$A28,tblOrdenes[anio],G$26,tblOrdenes[mes],G$27)</f>
        <v/>
      </c>
      <c r="H28" s="10">
        <f>SUMIFS(tblOrdenes[costo_total],tblOrdenes[linea],$A28,tblOrdenes[anio],H$26,tblOrdenes[mes],H$27)</f>
        <v/>
      </c>
      <c r="I28" s="10">
        <f>SUMIFS(tblOrdenes[costo_total],tblOrdenes[linea],$A28,tblOrdenes[anio],I$26,tblOrdenes[mes],I$27)</f>
        <v/>
      </c>
      <c r="J28" s="10">
        <f>SUMIFS(tblOrdenes[costo_total],tblOrdenes[linea],$A28,tblOrdenes[anio],J$26,tblOrdenes[mes],J$27)</f>
        <v/>
      </c>
      <c r="K28" s="10">
        <f>SUM(B28:J28)</f>
        <v/>
      </c>
    </row>
    <row r="29">
      <c r="A29" s="3" t="inlineStr">
        <is>
          <t>L2</t>
        </is>
      </c>
      <c r="B29" s="10">
        <f>SUMIFS(tblOrdenes[costo_total],tblOrdenes[linea],$A29,tblOrdenes[anio],B$26,tblOrdenes[mes],B$27)</f>
        <v/>
      </c>
      <c r="C29" s="10">
        <f>SUMIFS(tblOrdenes[costo_total],tblOrdenes[linea],$A29,tblOrdenes[anio],C$26,tblOrdenes[mes],C$27)</f>
        <v/>
      </c>
      <c r="D29" s="10">
        <f>SUMIFS(tblOrdenes[costo_total],tblOrdenes[linea],$A29,tblOrdenes[anio],D$26,tblOrdenes[mes],D$27)</f>
        <v/>
      </c>
      <c r="E29" s="10">
        <f>SUMIFS(tblOrdenes[costo_total],tblOrdenes[linea],$A29,tblOrdenes[anio],E$26,tblOrdenes[mes],E$27)</f>
        <v/>
      </c>
      <c r="F29" s="10">
        <f>SUMIFS(tblOrdenes[costo_total],tblOrdenes[linea],$A29,tblOrdenes[anio],F$26,tblOrdenes[mes],F$27)</f>
        <v/>
      </c>
      <c r="G29" s="10">
        <f>SUMIFS(tblOrdenes[costo_total],tblOrdenes[linea],$A29,tblOrdenes[anio],G$26,tblOrdenes[mes],G$27)</f>
        <v/>
      </c>
      <c r="H29" s="10">
        <f>SUMIFS(tblOrdenes[costo_total],tblOrdenes[linea],$A29,tblOrdenes[anio],H$26,tblOrdenes[mes],H$27)</f>
        <v/>
      </c>
      <c r="I29" s="10">
        <f>SUMIFS(tblOrdenes[costo_total],tblOrdenes[linea],$A29,tblOrdenes[anio],I$26,tblOrdenes[mes],I$27)</f>
        <v/>
      </c>
      <c r="J29" s="10">
        <f>SUMIFS(tblOrdenes[costo_total],tblOrdenes[linea],$A29,tblOrdenes[anio],J$26,tblOrdenes[mes],J$27)</f>
        <v/>
      </c>
      <c r="K29" s="10">
        <f>SUM(B29:J29)</f>
        <v/>
      </c>
    </row>
    <row r="30">
      <c r="A30" s="3" t="inlineStr">
        <is>
          <t>L3</t>
        </is>
      </c>
      <c r="B30" s="10">
        <f>SUMIFS(tblOrdenes[costo_total],tblOrdenes[linea],$A30,tblOrdenes[anio],B$26,tblOrdenes[mes],B$27)</f>
        <v/>
      </c>
      <c r="C30" s="10">
        <f>SUMIFS(tblOrdenes[costo_total],tblOrdenes[linea],$A30,tblOrdenes[anio],C$26,tblOrdenes[mes],C$27)</f>
        <v/>
      </c>
      <c r="D30" s="10">
        <f>SUMIFS(tblOrdenes[costo_total],tblOrdenes[linea],$A30,tblOrdenes[anio],D$26,tblOrdenes[mes],D$27)</f>
        <v/>
      </c>
      <c r="E30" s="10">
        <f>SUMIFS(tblOrdenes[costo_total],tblOrdenes[linea],$A30,tblOrdenes[anio],E$26,tblOrdenes[mes],E$27)</f>
        <v/>
      </c>
      <c r="F30" s="10">
        <f>SUMIFS(tblOrdenes[costo_total],tblOrdenes[linea],$A30,tblOrdenes[anio],F$26,tblOrdenes[mes],F$27)</f>
        <v/>
      </c>
      <c r="G30" s="10">
        <f>SUMIFS(tblOrdenes[costo_total],tblOrdenes[linea],$A30,tblOrdenes[anio],G$26,tblOrdenes[mes],G$27)</f>
        <v/>
      </c>
      <c r="H30" s="10">
        <f>SUMIFS(tblOrdenes[costo_total],tblOrdenes[linea],$A30,tblOrdenes[anio],H$26,tblOrdenes[mes],H$27)</f>
        <v/>
      </c>
      <c r="I30" s="10">
        <f>SUMIFS(tblOrdenes[costo_total],tblOrdenes[linea],$A30,tblOrdenes[anio],I$26,tblOrdenes[mes],I$27)</f>
        <v/>
      </c>
      <c r="J30" s="10">
        <f>SUMIFS(tblOrdenes[costo_total],tblOrdenes[linea],$A30,tblOrdenes[anio],J$26,tblOrdenes[mes],J$27)</f>
        <v/>
      </c>
      <c r="K30" s="10">
        <f>SUM(B30:J30)</f>
        <v/>
      </c>
    </row>
    <row r="31">
      <c r="A31" s="3" t="inlineStr">
        <is>
          <t>L4</t>
        </is>
      </c>
      <c r="B31" s="10">
        <f>SUMIFS(tblOrdenes[costo_total],tblOrdenes[linea],$A31,tblOrdenes[anio],B$26,tblOrdenes[mes],B$27)</f>
        <v/>
      </c>
      <c r="C31" s="10">
        <f>SUMIFS(tblOrdenes[costo_total],tblOrdenes[linea],$A31,tblOrdenes[anio],C$26,tblOrdenes[mes],C$27)</f>
        <v/>
      </c>
      <c r="D31" s="10">
        <f>SUMIFS(tblOrdenes[costo_total],tblOrdenes[linea],$A31,tblOrdenes[anio],D$26,tblOrdenes[mes],D$27)</f>
        <v/>
      </c>
      <c r="E31" s="10">
        <f>SUMIFS(tblOrdenes[costo_total],tblOrdenes[linea],$A31,tblOrdenes[anio],E$26,tblOrdenes[mes],E$27)</f>
        <v/>
      </c>
      <c r="F31" s="10">
        <f>SUMIFS(tblOrdenes[costo_total],tblOrdenes[linea],$A31,tblOrdenes[anio],F$26,tblOrdenes[mes],F$27)</f>
        <v/>
      </c>
      <c r="G31" s="10">
        <f>SUMIFS(tblOrdenes[costo_total],tblOrdenes[linea],$A31,tblOrdenes[anio],G$26,tblOrdenes[mes],G$27)</f>
        <v/>
      </c>
      <c r="H31" s="10">
        <f>SUMIFS(tblOrdenes[costo_total],tblOrdenes[linea],$A31,tblOrdenes[anio],H$26,tblOrdenes[mes],H$27)</f>
        <v/>
      </c>
      <c r="I31" s="10">
        <f>SUMIFS(tblOrdenes[costo_total],tblOrdenes[linea],$A31,tblOrdenes[anio],I$26,tblOrdenes[mes],I$27)</f>
        <v/>
      </c>
      <c r="J31" s="10">
        <f>SUMIFS(tblOrdenes[costo_total],tblOrdenes[linea],$A31,tblOrdenes[anio],J$26,tblOrdenes[mes],J$27)</f>
        <v/>
      </c>
      <c r="K31" s="10">
        <f>SUM(B31:J31)</f>
        <v/>
      </c>
    </row>
    <row r="32">
      <c r="A32" s="3" t="inlineStr">
        <is>
          <t>SG</t>
        </is>
      </c>
      <c r="B32" s="10">
        <f>SUMIFS(tblOrdenes[costo_total],tblOrdenes[linea],$A32,tblOrdenes[anio],B$26,tblOrdenes[mes],B$27)</f>
        <v/>
      </c>
      <c r="C32" s="10">
        <f>SUMIFS(tblOrdenes[costo_total],tblOrdenes[linea],$A32,tblOrdenes[anio],C$26,tblOrdenes[mes],C$27)</f>
        <v/>
      </c>
      <c r="D32" s="10">
        <f>SUMIFS(tblOrdenes[costo_total],tblOrdenes[linea],$A32,tblOrdenes[anio],D$26,tblOrdenes[mes],D$27)</f>
        <v/>
      </c>
      <c r="E32" s="10">
        <f>SUMIFS(tblOrdenes[costo_total],tblOrdenes[linea],$A32,tblOrdenes[anio],E$26,tblOrdenes[mes],E$27)</f>
        <v/>
      </c>
      <c r="F32" s="10">
        <f>SUMIFS(tblOrdenes[costo_total],tblOrdenes[linea],$A32,tblOrdenes[anio],F$26,tblOrdenes[mes],F$27)</f>
        <v/>
      </c>
      <c r="G32" s="10">
        <f>SUMIFS(tblOrdenes[costo_total],tblOrdenes[linea],$A32,tblOrdenes[anio],G$26,tblOrdenes[mes],G$27)</f>
        <v/>
      </c>
      <c r="H32" s="10">
        <f>SUMIFS(tblOrdenes[costo_total],tblOrdenes[linea],$A32,tblOrdenes[anio],H$26,tblOrdenes[mes],H$27)</f>
        <v/>
      </c>
      <c r="I32" s="10">
        <f>SUMIFS(tblOrdenes[costo_total],tblOrdenes[linea],$A32,tblOrdenes[anio],I$26,tblOrdenes[mes],I$27)</f>
        <v/>
      </c>
      <c r="J32" s="10">
        <f>SUMIFS(tblOrdenes[costo_total],tblOrdenes[linea],$A32,tblOrdenes[anio],J$26,tblOrdenes[mes],J$27)</f>
        <v/>
      </c>
      <c r="K32" s="10">
        <f>SUM(B32:J32)</f>
        <v/>
      </c>
    </row>
    <row r="33">
      <c r="A33" s="3" t="inlineStr">
        <is>
          <t>TC</t>
        </is>
      </c>
      <c r="B33" s="10">
        <f>SUMIFS(tblOrdenes[costo_total],tblOrdenes[linea],$A33,tblOrdenes[anio],B$26,tblOrdenes[mes],B$27)</f>
        <v/>
      </c>
      <c r="C33" s="10">
        <f>SUMIFS(tblOrdenes[costo_total],tblOrdenes[linea],$A33,tblOrdenes[anio],C$26,tblOrdenes[mes],C$27)</f>
        <v/>
      </c>
      <c r="D33" s="10">
        <f>SUMIFS(tblOrdenes[costo_total],tblOrdenes[linea],$A33,tblOrdenes[anio],D$26,tblOrdenes[mes],D$27)</f>
        <v/>
      </c>
      <c r="E33" s="10">
        <f>SUMIFS(tblOrdenes[costo_total],tblOrdenes[linea],$A33,tblOrdenes[anio],E$26,tblOrdenes[mes],E$27)</f>
        <v/>
      </c>
      <c r="F33" s="10">
        <f>SUMIFS(tblOrdenes[costo_total],tblOrdenes[linea],$A33,tblOrdenes[anio],F$26,tblOrdenes[mes],F$27)</f>
        <v/>
      </c>
      <c r="G33" s="10">
        <f>SUMIFS(tblOrdenes[costo_total],tblOrdenes[linea],$A33,tblOrdenes[anio],G$26,tblOrdenes[mes],G$27)</f>
        <v/>
      </c>
      <c r="H33" s="10">
        <f>SUMIFS(tblOrdenes[costo_total],tblOrdenes[linea],$A33,tblOrdenes[anio],H$26,tblOrdenes[mes],H$27)</f>
        <v/>
      </c>
      <c r="I33" s="10">
        <f>SUMIFS(tblOrdenes[costo_total],tblOrdenes[linea],$A33,tblOrdenes[anio],I$26,tblOrdenes[mes],I$27)</f>
        <v/>
      </c>
      <c r="J33" s="10">
        <f>SUMIFS(tblOrdenes[costo_total],tblOrdenes[linea],$A33,tblOrdenes[anio],J$26,tblOrdenes[mes],J$27)</f>
        <v/>
      </c>
      <c r="K33" s="10">
        <f>SUM(B33:J33)</f>
        <v/>
      </c>
    </row>
    <row r="34">
      <c r="A34" s="4" t="inlineStr">
        <is>
          <t>TOTAL</t>
        </is>
      </c>
      <c r="B34" s="10">
        <f>SUM(B28:B33)</f>
        <v/>
      </c>
      <c r="C34" s="10">
        <f>SUM(C28:C33)</f>
        <v/>
      </c>
      <c r="D34" s="10">
        <f>SUM(D28:D33)</f>
        <v/>
      </c>
      <c r="E34" s="10">
        <f>SUM(E28:E33)</f>
        <v/>
      </c>
      <c r="F34" s="10">
        <f>SUM(F28:F33)</f>
        <v/>
      </c>
      <c r="G34" s="10">
        <f>SUM(G28:G33)</f>
        <v/>
      </c>
      <c r="H34" s="10">
        <f>SUM(H28:H33)</f>
        <v/>
      </c>
      <c r="I34" s="10">
        <f>SUM(I28:I33)</f>
        <v/>
      </c>
      <c r="J34" s="10">
        <f>SUM(J28:J33)</f>
        <v/>
      </c>
      <c r="K34" s="10">
        <f>SUM(K28:K33)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0" customWidth="1" min="4" max="4"/>
    <col width="10" customWidth="1" min="5" max="5"/>
  </cols>
  <sheetData>
    <row r="1">
      <c r="A1" s="1" t="inlineStr">
        <is>
          <t>BACKLOG (REGLA-3) — envejecimiento de órdenes pendientes</t>
        </is>
      </c>
    </row>
    <row r="3">
      <c r="A3" s="5" t="inlineStr">
        <is>
          <t>tramo (días)</t>
        </is>
      </c>
      <c r="B3" s="5" t="inlineStr">
        <is>
          <t>ordenes</t>
        </is>
      </c>
      <c r="C3" s="5" t="inlineStr">
        <is>
          <t>hh_estimadas</t>
        </is>
      </c>
    </row>
    <row r="4">
      <c r="A4" s="3" t="inlineStr">
        <is>
          <t>0-30</t>
        </is>
      </c>
      <c r="B4" s="3">
        <f>COUNTIFS(tblOrdenes[estado],"Pendiente",tblOrdenes[backlog_dias],"&gt;=0",tblOrdenes[backlog_dias],"&lt;=30")</f>
        <v/>
      </c>
      <c r="C4" s="13">
        <f>SUMIFS(tblOrdenes[horas_estimadas],tblOrdenes[estado],"Pendiente",tblOrdenes[backlog_dias],"&gt;=0",tblOrdenes[backlog_dias],"&lt;=30")</f>
        <v/>
      </c>
    </row>
    <row r="5">
      <c r="A5" s="3" t="inlineStr">
        <is>
          <t>31-60</t>
        </is>
      </c>
      <c r="B5" s="3">
        <f>COUNTIFS(tblOrdenes[estado],"Pendiente",tblOrdenes[backlog_dias],"&gt;=31",tblOrdenes[backlog_dias],"&lt;=60")</f>
        <v/>
      </c>
      <c r="C5" s="13">
        <f>SUMIFS(tblOrdenes[horas_estimadas],tblOrdenes[estado],"Pendiente",tblOrdenes[backlog_dias],"&gt;=31",tblOrdenes[backlog_dias],"&lt;=60")</f>
        <v/>
      </c>
    </row>
    <row r="6">
      <c r="A6" s="3" t="inlineStr">
        <is>
          <t>61-90</t>
        </is>
      </c>
      <c r="B6" s="3">
        <f>COUNTIFS(tblOrdenes[estado],"Pendiente",tblOrdenes[backlog_dias],"&gt;=61",tblOrdenes[backlog_dias],"&lt;=90")</f>
        <v/>
      </c>
      <c r="C6" s="13">
        <f>SUMIFS(tblOrdenes[horas_estimadas],tblOrdenes[estado],"Pendiente",tblOrdenes[backlog_dias],"&gt;=61",tblOrdenes[backlog_dias],"&lt;=90")</f>
        <v/>
      </c>
    </row>
    <row r="7">
      <c r="A7" s="3" t="inlineStr">
        <is>
          <t>&gt;90</t>
        </is>
      </c>
      <c r="B7" s="3">
        <f>COUNTIFS(tblOrdenes[estado],"Pendiente",tblOrdenes[backlog_dias],"&gt;90")</f>
        <v/>
      </c>
      <c r="C7" s="13">
        <f>SUMIFS(tblOrdenes[horas_estimadas],tblOrdenes[estado],"Pendiente",tblOrdenes[backlog_dias],"&gt;90")</f>
        <v/>
      </c>
    </row>
    <row r="10">
      <c r="A10" s="4" t="inlineStr">
        <is>
          <t>POR ESPECIALIDAD</t>
        </is>
      </c>
    </row>
    <row r="11">
      <c r="A11" s="5" t="inlineStr">
        <is>
          <t>especialidad</t>
        </is>
      </c>
      <c r="B11" s="5" t="inlineStr">
        <is>
          <t>0-30</t>
        </is>
      </c>
      <c r="C11" s="5" t="inlineStr">
        <is>
          <t>31-60</t>
        </is>
      </c>
      <c r="D11" s="5" t="inlineStr">
        <is>
          <t>61-90</t>
        </is>
      </c>
      <c r="E11" s="5" t="inlineStr">
        <is>
          <t>&gt;90</t>
        </is>
      </c>
    </row>
    <row r="12">
      <c r="A12" s="3" t="inlineStr">
        <is>
          <t>MEC</t>
        </is>
      </c>
      <c r="B12" s="3">
        <f>COUNTIFS(tblOrdenes[estado],"Pendiente",tblOrdenes[backlog_dias],"&gt;=0",tblOrdenes[backlog_dias],"&lt;=30",tblOrdenes[especialidad],$A12)</f>
        <v/>
      </c>
      <c r="C12" s="3">
        <f>COUNTIFS(tblOrdenes[estado],"Pendiente",tblOrdenes[backlog_dias],"&gt;=31",tblOrdenes[backlog_dias],"&lt;=60",tblOrdenes[especialidad],$A12)</f>
        <v/>
      </c>
      <c r="D12" s="3">
        <f>COUNTIFS(tblOrdenes[estado],"Pendiente",tblOrdenes[backlog_dias],"&gt;=61",tblOrdenes[backlog_dias],"&lt;=90",tblOrdenes[especialidad],$A12)</f>
        <v/>
      </c>
      <c r="E12" s="3">
        <f>COUNTIFS(tblOrdenes[estado],"Pendiente",tblOrdenes[backlog_dias],"&gt;90",tblOrdenes[especialidad],$A12)</f>
        <v/>
      </c>
    </row>
    <row r="13">
      <c r="A13" s="3" t="inlineStr">
        <is>
          <t>ELE</t>
        </is>
      </c>
      <c r="B13" s="3">
        <f>COUNTIFS(tblOrdenes[estado],"Pendiente",tblOrdenes[backlog_dias],"&gt;=0",tblOrdenes[backlog_dias],"&lt;=30",tblOrdenes[especialidad],$A13)</f>
        <v/>
      </c>
      <c r="C13" s="3">
        <f>COUNTIFS(tblOrdenes[estado],"Pendiente",tblOrdenes[backlog_dias],"&gt;=31",tblOrdenes[backlog_dias],"&lt;=60",tblOrdenes[especialidad],$A13)</f>
        <v/>
      </c>
      <c r="D13" s="3">
        <f>COUNTIFS(tblOrdenes[estado],"Pendiente",tblOrdenes[backlog_dias],"&gt;=61",tblOrdenes[backlog_dias],"&lt;=90",tblOrdenes[especialidad],$A13)</f>
        <v/>
      </c>
      <c r="E13" s="3">
        <f>COUNTIFS(tblOrdenes[estado],"Pendiente",tblOrdenes[backlog_dias],"&gt;90",tblOrdenes[especialidad],$A13)</f>
        <v/>
      </c>
    </row>
    <row r="14">
      <c r="A14" s="3" t="inlineStr">
        <is>
          <t>AUT</t>
        </is>
      </c>
      <c r="B14" s="3">
        <f>COUNTIFS(tblOrdenes[estado],"Pendiente",tblOrdenes[backlog_dias],"&gt;=0",tblOrdenes[backlog_dias],"&lt;=30",tblOrdenes[especialidad],$A14)</f>
        <v/>
      </c>
      <c r="C14" s="3">
        <f>COUNTIFS(tblOrdenes[estado],"Pendiente",tblOrdenes[backlog_dias],"&gt;=31",tblOrdenes[backlog_dias],"&lt;=60",tblOrdenes[especialidad],$A14)</f>
        <v/>
      </c>
      <c r="D14" s="3">
        <f>COUNTIFS(tblOrdenes[estado],"Pendiente",tblOrdenes[backlog_dias],"&gt;=61",tblOrdenes[backlog_dias],"&lt;=90",tblOrdenes[especialidad],$A14)</f>
        <v/>
      </c>
      <c r="E14" s="3">
        <f>COUNTIFS(tblOrdenes[estado],"Pendiente",tblOrdenes[backlog_dias],"&gt;90",tblOrdenes[especialidad],$A14)</f>
        <v/>
      </c>
    </row>
    <row r="15">
      <c r="A15" s="3" t="inlineStr">
        <is>
          <t>OP</t>
        </is>
      </c>
      <c r="B15" s="3">
        <f>COUNTIFS(tblOrdenes[estado],"Pendiente",tblOrdenes[backlog_dias],"&gt;=0",tblOrdenes[backlog_dias],"&lt;=30",tblOrdenes[especialidad],$A15)</f>
        <v/>
      </c>
      <c r="C15" s="3">
        <f>COUNTIFS(tblOrdenes[estado],"Pendiente",tblOrdenes[backlog_dias],"&gt;=31",tblOrdenes[backlog_dias],"&lt;=60",tblOrdenes[especialidad],$A15)</f>
        <v/>
      </c>
      <c r="D15" s="3">
        <f>COUNTIFS(tblOrdenes[estado],"Pendiente",tblOrdenes[backlog_dias],"&gt;=61",tblOrdenes[backlog_dias],"&lt;=90",tblOrdenes[especialidad],$A15)</f>
        <v/>
      </c>
      <c r="E15" s="3">
        <f>COUNTIFS(tblOrdenes[estado],"Pendiente",tblOrdenes[backlog_dias],"&gt;90",tblOrdenes[especialidad],$A15)</f>
        <v/>
      </c>
    </row>
    <row r="16">
      <c r="A16" s="3" t="inlineStr">
        <is>
          <t>TERCERO</t>
        </is>
      </c>
      <c r="B16" s="3">
        <f>COUNTIFS(tblOrdenes[estado],"Pendiente",tblOrdenes[backlog_dias],"&gt;=0",tblOrdenes[backlog_dias],"&lt;=30",tblOrdenes[especialidad],$A16)</f>
        <v/>
      </c>
      <c r="C16" s="3">
        <f>COUNTIFS(tblOrdenes[estado],"Pendiente",tblOrdenes[backlog_dias],"&gt;=31",tblOrdenes[backlog_dias],"&lt;=60",tblOrdenes[especialidad],$A16)</f>
        <v/>
      </c>
      <c r="D16" s="3">
        <f>COUNTIFS(tblOrdenes[estado],"Pendiente",tblOrdenes[backlog_dias],"&gt;=61",tblOrdenes[backlog_dias],"&lt;=90",tblOrdenes[especialidad],$A16)</f>
        <v/>
      </c>
      <c r="E16" s="3">
        <f>COUNTIFS(tblOrdenes[estado],"Pendiente",tblOrdenes[backlog_dias],"&gt;90",tblOrdenes[especialidad],$A16)</f>
        <v/>
      </c>
    </row>
    <row r="18">
      <c r="A18" s="4" t="inlineStr">
        <is>
          <t>POR ÁREA</t>
        </is>
      </c>
    </row>
    <row r="19">
      <c r="A19" s="5" t="inlineStr">
        <is>
          <t>area</t>
        </is>
      </c>
      <c r="B19" s="5" t="inlineStr">
        <is>
          <t>0-30</t>
        </is>
      </c>
      <c r="C19" s="5" t="inlineStr">
        <is>
          <t>31-60</t>
        </is>
      </c>
      <c r="D19" s="5" t="inlineStr">
        <is>
          <t>61-90</t>
        </is>
      </c>
      <c r="E19" s="5" t="inlineStr">
        <is>
          <t>&gt;90</t>
        </is>
      </c>
    </row>
    <row r="20">
      <c r="A20" s="3" t="inlineStr">
        <is>
          <t>PRODUCCION</t>
        </is>
      </c>
      <c r="B20" s="3">
        <f>COUNTIFS(tblOrdenes[estado],"Pendiente",tblOrdenes[backlog_dias],"&gt;=0",tblOrdenes[backlog_dias],"&lt;=30",tblOrdenes[area],$A20)</f>
        <v/>
      </c>
      <c r="C20" s="3">
        <f>COUNTIFS(tblOrdenes[estado],"Pendiente",tblOrdenes[backlog_dias],"&gt;=31",tblOrdenes[backlog_dias],"&lt;=60",tblOrdenes[area],$A20)</f>
        <v/>
      </c>
      <c r="D20" s="3">
        <f>COUNTIFS(tblOrdenes[estado],"Pendiente",tblOrdenes[backlog_dias],"&gt;=61",tblOrdenes[backlog_dias],"&lt;=90",tblOrdenes[area],$A20)</f>
        <v/>
      </c>
      <c r="E20" s="3">
        <f>COUNTIFS(tblOrdenes[estado],"Pendiente",tblOrdenes[backlog_dias],"&gt;90",tblOrdenes[area],$A20)</f>
        <v/>
      </c>
    </row>
    <row r="21">
      <c r="A21" s="3" t="inlineStr">
        <is>
          <t>EMPAQUE</t>
        </is>
      </c>
      <c r="B21" s="3">
        <f>COUNTIFS(tblOrdenes[estado],"Pendiente",tblOrdenes[backlog_dias],"&gt;=0",tblOrdenes[backlog_dias],"&lt;=30",tblOrdenes[area],$A21)</f>
        <v/>
      </c>
      <c r="C21" s="3">
        <f>COUNTIFS(tblOrdenes[estado],"Pendiente",tblOrdenes[backlog_dias],"&gt;=31",tblOrdenes[backlog_dias],"&lt;=60",tblOrdenes[area],$A21)</f>
        <v/>
      </c>
      <c r="D21" s="3">
        <f>COUNTIFS(tblOrdenes[estado],"Pendiente",tblOrdenes[backlog_dias],"&gt;=61",tblOrdenes[backlog_dias],"&lt;=90",tblOrdenes[area],$A21)</f>
        <v/>
      </c>
      <c r="E21" s="3">
        <f>COUNTIFS(tblOrdenes[estado],"Pendiente",tblOrdenes[backlog_dias],"&gt;90",tblOrdenes[area],$A21)</f>
        <v/>
      </c>
    </row>
    <row r="22">
      <c r="A22" s="3" t="inlineStr">
        <is>
          <t>SERVICIOS</t>
        </is>
      </c>
      <c r="B22" s="3">
        <f>COUNTIFS(tblOrdenes[estado],"Pendiente",tblOrdenes[backlog_dias],"&gt;=0",tblOrdenes[backlog_dias],"&lt;=30",tblOrdenes[area],$A22)</f>
        <v/>
      </c>
      <c r="C22" s="3">
        <f>COUNTIFS(tblOrdenes[estado],"Pendiente",tblOrdenes[backlog_dias],"&gt;=31",tblOrdenes[backlog_dias],"&lt;=60",tblOrdenes[area],$A22)</f>
        <v/>
      </c>
      <c r="D22" s="3">
        <f>COUNTIFS(tblOrdenes[estado],"Pendiente",tblOrdenes[backlog_dias],"&gt;=61",tblOrdenes[backlog_dias],"&lt;=90",tblOrdenes[area],$A22)</f>
        <v/>
      </c>
      <c r="E22" s="3">
        <f>COUNTIFS(tblOrdenes[estado],"Pendiente",tblOrdenes[backlog_dias],"&gt;90",tblOrdenes[area],$A22)</f>
        <v/>
      </c>
    </row>
  </sheetData>
  <conditionalFormatting sqref="B7:C7">
    <cfRule type="cellIs" priority="1" operator="greaterThan" dxfId="0">
      <formula>0</formula>
    </cfRule>
  </conditionalFormatting>
  <conditionalFormatting sqref="E12:E16">
    <cfRule type="cellIs" priority="2" operator="greaterThan" dxfId="0">
      <formula>0</formula>
    </cfRule>
  </conditionalFormatting>
  <conditionalFormatting sqref="E20:E22">
    <cfRule type="cellIs" priority="3" operator="greaterThan" dxfId="0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>
        <f>"EQUIPOS CRÍTICOS — costo total de mantenimiento ("&amp;p_moneda&amp;") por equipo y mes"</f>
        <v/>
      </c>
    </row>
    <row r="3">
      <c r="A3" s="2" t="inlineStr">
        <is>
          <t>anio</t>
        </is>
      </c>
      <c r="B3" s="2" t="n">
        <v>2026</v>
      </c>
      <c r="C3" s="2" t="n">
        <v>2026</v>
      </c>
      <c r="D3" s="2" t="n">
        <v>2026</v>
      </c>
      <c r="E3" s="2" t="n">
        <v>2026</v>
      </c>
      <c r="F3" s="2" t="n">
        <v>2026</v>
      </c>
      <c r="G3" s="2" t="n">
        <v>2026</v>
      </c>
      <c r="H3" s="2" t="n">
        <v>2026</v>
      </c>
      <c r="I3" s="2" t="n">
        <v>2026</v>
      </c>
      <c r="J3" s="2" t="n">
        <v>2026</v>
      </c>
    </row>
    <row r="4">
      <c r="A4" s="5" t="inlineStr">
        <is>
          <t>equipo \ mes</t>
        </is>
      </c>
      <c r="B4" s="5" t="n">
        <v>2</v>
      </c>
      <c r="C4" s="5" t="n">
        <v>3</v>
      </c>
      <c r="D4" s="5" t="n">
        <v>4</v>
      </c>
      <c r="E4" s="5" t="n">
        <v>5</v>
      </c>
      <c r="F4" s="5" t="n">
        <v>6</v>
      </c>
      <c r="G4" s="5" t="n">
        <v>7</v>
      </c>
      <c r="H4" s="5" t="n">
        <v>8</v>
      </c>
      <c r="I4" s="5" t="n">
        <v>10</v>
      </c>
      <c r="J4" s="5" t="n">
        <v>12</v>
      </c>
      <c r="K4" s="5" t="inlineStr">
        <is>
          <t>TOTAL</t>
        </is>
      </c>
    </row>
    <row r="5">
      <c r="A5" s="3" t="inlineStr">
        <is>
          <t>EQ-110</t>
        </is>
      </c>
      <c r="B5" s="10">
        <f>SUMIFS(tblOrdenes[costo_total],tblOrdenes[equipo],$A5,tblOrdenes[anio],B$3,tblOrdenes[mes],B$4)</f>
        <v/>
      </c>
      <c r="C5" s="10">
        <f>SUMIFS(tblOrdenes[costo_total],tblOrdenes[equipo],$A5,tblOrdenes[anio],C$3,tblOrdenes[mes],C$4)</f>
        <v/>
      </c>
      <c r="D5" s="10">
        <f>SUMIFS(tblOrdenes[costo_total],tblOrdenes[equipo],$A5,tblOrdenes[anio],D$3,tblOrdenes[mes],D$4)</f>
        <v/>
      </c>
      <c r="E5" s="10">
        <f>SUMIFS(tblOrdenes[costo_total],tblOrdenes[equipo],$A5,tblOrdenes[anio],E$3,tblOrdenes[mes],E$4)</f>
        <v/>
      </c>
      <c r="F5" s="10">
        <f>SUMIFS(tblOrdenes[costo_total],tblOrdenes[equipo],$A5,tblOrdenes[anio],F$3,tblOrdenes[mes],F$4)</f>
        <v/>
      </c>
      <c r="G5" s="10">
        <f>SUMIFS(tblOrdenes[costo_total],tblOrdenes[equipo],$A5,tblOrdenes[anio],G$3,tblOrdenes[mes],G$4)</f>
        <v/>
      </c>
      <c r="H5" s="10">
        <f>SUMIFS(tblOrdenes[costo_total],tblOrdenes[equipo],$A5,tblOrdenes[anio],H$3,tblOrdenes[mes],H$4)</f>
        <v/>
      </c>
      <c r="I5" s="10">
        <f>SUMIFS(tblOrdenes[costo_total],tblOrdenes[equipo],$A5,tblOrdenes[anio],I$3,tblOrdenes[mes],I$4)</f>
        <v/>
      </c>
      <c r="J5" s="10">
        <f>SUMIFS(tblOrdenes[costo_total],tblOrdenes[equipo],$A5,tblOrdenes[anio],J$3,tblOrdenes[mes],J$4)</f>
        <v/>
      </c>
      <c r="K5" s="10">
        <f>SUM(B5:J5)</f>
        <v/>
      </c>
    </row>
    <row r="6">
      <c r="A6" s="3" t="inlineStr">
        <is>
          <t>EQ-103</t>
        </is>
      </c>
      <c r="B6" s="10">
        <f>SUMIFS(tblOrdenes[costo_total],tblOrdenes[equipo],$A6,tblOrdenes[anio],B$3,tblOrdenes[mes],B$4)</f>
        <v/>
      </c>
      <c r="C6" s="10">
        <f>SUMIFS(tblOrdenes[costo_total],tblOrdenes[equipo],$A6,tblOrdenes[anio],C$3,tblOrdenes[mes],C$4)</f>
        <v/>
      </c>
      <c r="D6" s="10">
        <f>SUMIFS(tblOrdenes[costo_total],tblOrdenes[equipo],$A6,tblOrdenes[anio],D$3,tblOrdenes[mes],D$4)</f>
        <v/>
      </c>
      <c r="E6" s="10">
        <f>SUMIFS(tblOrdenes[costo_total],tblOrdenes[equipo],$A6,tblOrdenes[anio],E$3,tblOrdenes[mes],E$4)</f>
        <v/>
      </c>
      <c r="F6" s="10">
        <f>SUMIFS(tblOrdenes[costo_total],tblOrdenes[equipo],$A6,tblOrdenes[anio],F$3,tblOrdenes[mes],F$4)</f>
        <v/>
      </c>
      <c r="G6" s="10">
        <f>SUMIFS(tblOrdenes[costo_total],tblOrdenes[equipo],$A6,tblOrdenes[anio],G$3,tblOrdenes[mes],G$4)</f>
        <v/>
      </c>
      <c r="H6" s="10">
        <f>SUMIFS(tblOrdenes[costo_total],tblOrdenes[equipo],$A6,tblOrdenes[anio],H$3,tblOrdenes[mes],H$4)</f>
        <v/>
      </c>
      <c r="I6" s="10">
        <f>SUMIFS(tblOrdenes[costo_total],tblOrdenes[equipo],$A6,tblOrdenes[anio],I$3,tblOrdenes[mes],I$4)</f>
        <v/>
      </c>
      <c r="J6" s="10">
        <f>SUMIFS(tblOrdenes[costo_total],tblOrdenes[equipo],$A6,tblOrdenes[anio],J$3,tblOrdenes[mes],J$4)</f>
        <v/>
      </c>
      <c r="K6" s="10">
        <f>SUM(B6:J6)</f>
        <v/>
      </c>
    </row>
    <row r="7">
      <c r="A7" s="3" t="inlineStr">
        <is>
          <t>EQ-106</t>
        </is>
      </c>
      <c r="B7" s="10">
        <f>SUMIFS(tblOrdenes[costo_total],tblOrdenes[equipo],$A7,tblOrdenes[anio],B$3,tblOrdenes[mes],B$4)</f>
        <v/>
      </c>
      <c r="C7" s="10">
        <f>SUMIFS(tblOrdenes[costo_total],tblOrdenes[equipo],$A7,tblOrdenes[anio],C$3,tblOrdenes[mes],C$4)</f>
        <v/>
      </c>
      <c r="D7" s="10">
        <f>SUMIFS(tblOrdenes[costo_total],tblOrdenes[equipo],$A7,tblOrdenes[anio],D$3,tblOrdenes[mes],D$4)</f>
        <v/>
      </c>
      <c r="E7" s="10">
        <f>SUMIFS(tblOrdenes[costo_total],tblOrdenes[equipo],$A7,tblOrdenes[anio],E$3,tblOrdenes[mes],E$4)</f>
        <v/>
      </c>
      <c r="F7" s="10">
        <f>SUMIFS(tblOrdenes[costo_total],tblOrdenes[equipo],$A7,tblOrdenes[anio],F$3,tblOrdenes[mes],F$4)</f>
        <v/>
      </c>
      <c r="G7" s="10">
        <f>SUMIFS(tblOrdenes[costo_total],tblOrdenes[equipo],$A7,tblOrdenes[anio],G$3,tblOrdenes[mes],G$4)</f>
        <v/>
      </c>
      <c r="H7" s="10">
        <f>SUMIFS(tblOrdenes[costo_total],tblOrdenes[equipo],$A7,tblOrdenes[anio],H$3,tblOrdenes[mes],H$4)</f>
        <v/>
      </c>
      <c r="I7" s="10">
        <f>SUMIFS(tblOrdenes[costo_total],tblOrdenes[equipo],$A7,tblOrdenes[anio],I$3,tblOrdenes[mes],I$4)</f>
        <v/>
      </c>
      <c r="J7" s="10">
        <f>SUMIFS(tblOrdenes[costo_total],tblOrdenes[equipo],$A7,tblOrdenes[anio],J$3,tblOrdenes[mes],J$4)</f>
        <v/>
      </c>
      <c r="K7" s="10">
        <f>SUM(B7:J7)</f>
        <v/>
      </c>
    </row>
    <row r="8">
      <c r="A8" s="3" t="inlineStr">
        <is>
          <t>EQ-101</t>
        </is>
      </c>
      <c r="B8" s="10">
        <f>SUMIFS(tblOrdenes[costo_total],tblOrdenes[equipo],$A8,tblOrdenes[anio],B$3,tblOrdenes[mes],B$4)</f>
        <v/>
      </c>
      <c r="C8" s="10">
        <f>SUMIFS(tblOrdenes[costo_total],tblOrdenes[equipo],$A8,tblOrdenes[anio],C$3,tblOrdenes[mes],C$4)</f>
        <v/>
      </c>
      <c r="D8" s="10">
        <f>SUMIFS(tblOrdenes[costo_total],tblOrdenes[equipo],$A8,tblOrdenes[anio],D$3,tblOrdenes[mes],D$4)</f>
        <v/>
      </c>
      <c r="E8" s="10">
        <f>SUMIFS(tblOrdenes[costo_total],tblOrdenes[equipo],$A8,tblOrdenes[anio],E$3,tblOrdenes[mes],E$4)</f>
        <v/>
      </c>
      <c r="F8" s="10">
        <f>SUMIFS(tblOrdenes[costo_total],tblOrdenes[equipo],$A8,tblOrdenes[anio],F$3,tblOrdenes[mes],F$4)</f>
        <v/>
      </c>
      <c r="G8" s="10">
        <f>SUMIFS(tblOrdenes[costo_total],tblOrdenes[equipo],$A8,tblOrdenes[anio],G$3,tblOrdenes[mes],G$4)</f>
        <v/>
      </c>
      <c r="H8" s="10">
        <f>SUMIFS(tblOrdenes[costo_total],tblOrdenes[equipo],$A8,tblOrdenes[anio],H$3,tblOrdenes[mes],H$4)</f>
        <v/>
      </c>
      <c r="I8" s="10">
        <f>SUMIFS(tblOrdenes[costo_total],tblOrdenes[equipo],$A8,tblOrdenes[anio],I$3,tblOrdenes[mes],I$4)</f>
        <v/>
      </c>
      <c r="J8" s="10">
        <f>SUMIFS(tblOrdenes[costo_total],tblOrdenes[equipo],$A8,tblOrdenes[anio],J$3,tblOrdenes[mes],J$4)</f>
        <v/>
      </c>
      <c r="K8" s="10">
        <f>SUM(B8:J8)</f>
        <v/>
      </c>
    </row>
    <row r="9">
      <c r="A9" s="3" t="inlineStr">
        <is>
          <t>EQ-108</t>
        </is>
      </c>
      <c r="B9" s="10">
        <f>SUMIFS(tblOrdenes[costo_total],tblOrdenes[equipo],$A9,tblOrdenes[anio],B$3,tblOrdenes[mes],B$4)</f>
        <v/>
      </c>
      <c r="C9" s="10">
        <f>SUMIFS(tblOrdenes[costo_total],tblOrdenes[equipo],$A9,tblOrdenes[anio],C$3,tblOrdenes[mes],C$4)</f>
        <v/>
      </c>
      <c r="D9" s="10">
        <f>SUMIFS(tblOrdenes[costo_total],tblOrdenes[equipo],$A9,tblOrdenes[anio],D$3,tblOrdenes[mes],D$4)</f>
        <v/>
      </c>
      <c r="E9" s="10">
        <f>SUMIFS(tblOrdenes[costo_total],tblOrdenes[equipo],$A9,tblOrdenes[anio],E$3,tblOrdenes[mes],E$4)</f>
        <v/>
      </c>
      <c r="F9" s="10">
        <f>SUMIFS(tblOrdenes[costo_total],tblOrdenes[equipo],$A9,tblOrdenes[anio],F$3,tblOrdenes[mes],F$4)</f>
        <v/>
      </c>
      <c r="G9" s="10">
        <f>SUMIFS(tblOrdenes[costo_total],tblOrdenes[equipo],$A9,tblOrdenes[anio],G$3,tblOrdenes[mes],G$4)</f>
        <v/>
      </c>
      <c r="H9" s="10">
        <f>SUMIFS(tblOrdenes[costo_total],tblOrdenes[equipo],$A9,tblOrdenes[anio],H$3,tblOrdenes[mes],H$4)</f>
        <v/>
      </c>
      <c r="I9" s="10">
        <f>SUMIFS(tblOrdenes[costo_total],tblOrdenes[equipo],$A9,tblOrdenes[anio],I$3,tblOrdenes[mes],I$4)</f>
        <v/>
      </c>
      <c r="J9" s="10">
        <f>SUMIFS(tblOrdenes[costo_total],tblOrdenes[equipo],$A9,tblOrdenes[anio],J$3,tblOrdenes[mes],J$4)</f>
        <v/>
      </c>
      <c r="K9" s="10">
        <f>SUM(B9:J9)</f>
        <v/>
      </c>
    </row>
    <row r="10">
      <c r="A10" s="3" t="inlineStr">
        <is>
          <t>EQ-104</t>
        </is>
      </c>
      <c r="B10" s="10">
        <f>SUMIFS(tblOrdenes[costo_total],tblOrdenes[equipo],$A10,tblOrdenes[anio],B$3,tblOrdenes[mes],B$4)</f>
        <v/>
      </c>
      <c r="C10" s="10">
        <f>SUMIFS(tblOrdenes[costo_total],tblOrdenes[equipo],$A10,tblOrdenes[anio],C$3,tblOrdenes[mes],C$4)</f>
        <v/>
      </c>
      <c r="D10" s="10">
        <f>SUMIFS(tblOrdenes[costo_total],tblOrdenes[equipo],$A10,tblOrdenes[anio],D$3,tblOrdenes[mes],D$4)</f>
        <v/>
      </c>
      <c r="E10" s="10">
        <f>SUMIFS(tblOrdenes[costo_total],tblOrdenes[equipo],$A10,tblOrdenes[anio],E$3,tblOrdenes[mes],E$4)</f>
        <v/>
      </c>
      <c r="F10" s="10">
        <f>SUMIFS(tblOrdenes[costo_total],tblOrdenes[equipo],$A10,tblOrdenes[anio],F$3,tblOrdenes[mes],F$4)</f>
        <v/>
      </c>
      <c r="G10" s="10">
        <f>SUMIFS(tblOrdenes[costo_total],tblOrdenes[equipo],$A10,tblOrdenes[anio],G$3,tblOrdenes[mes],G$4)</f>
        <v/>
      </c>
      <c r="H10" s="10">
        <f>SUMIFS(tblOrdenes[costo_total],tblOrdenes[equipo],$A10,tblOrdenes[anio],H$3,tblOrdenes[mes],H$4)</f>
        <v/>
      </c>
      <c r="I10" s="10">
        <f>SUMIFS(tblOrdenes[costo_total],tblOrdenes[equipo],$A10,tblOrdenes[anio],I$3,tblOrdenes[mes],I$4)</f>
        <v/>
      </c>
      <c r="J10" s="10">
        <f>SUMIFS(tblOrdenes[costo_total],tblOrdenes[equipo],$A10,tblOrdenes[anio],J$3,tblOrdenes[mes],J$4)</f>
        <v/>
      </c>
      <c r="K10" s="10">
        <f>SUM(B10:J10)</f>
        <v/>
      </c>
    </row>
    <row r="11">
      <c r="A11" s="3" t="inlineStr">
        <is>
          <t>EQ-102</t>
        </is>
      </c>
      <c r="B11" s="10">
        <f>SUMIFS(tblOrdenes[costo_total],tblOrdenes[equipo],$A11,tblOrdenes[anio],B$3,tblOrdenes[mes],B$4)</f>
        <v/>
      </c>
      <c r="C11" s="10">
        <f>SUMIFS(tblOrdenes[costo_total],tblOrdenes[equipo],$A11,tblOrdenes[anio],C$3,tblOrdenes[mes],C$4)</f>
        <v/>
      </c>
      <c r="D11" s="10">
        <f>SUMIFS(tblOrdenes[costo_total],tblOrdenes[equipo],$A11,tblOrdenes[anio],D$3,tblOrdenes[mes],D$4)</f>
        <v/>
      </c>
      <c r="E11" s="10">
        <f>SUMIFS(tblOrdenes[costo_total],tblOrdenes[equipo],$A11,tblOrdenes[anio],E$3,tblOrdenes[mes],E$4)</f>
        <v/>
      </c>
      <c r="F11" s="10">
        <f>SUMIFS(tblOrdenes[costo_total],tblOrdenes[equipo],$A11,tblOrdenes[anio],F$3,tblOrdenes[mes],F$4)</f>
        <v/>
      </c>
      <c r="G11" s="10">
        <f>SUMIFS(tblOrdenes[costo_total],tblOrdenes[equipo],$A11,tblOrdenes[anio],G$3,tblOrdenes[mes],G$4)</f>
        <v/>
      </c>
      <c r="H11" s="10">
        <f>SUMIFS(tblOrdenes[costo_total],tblOrdenes[equipo],$A11,tblOrdenes[anio],H$3,tblOrdenes[mes],H$4)</f>
        <v/>
      </c>
      <c r="I11" s="10">
        <f>SUMIFS(tblOrdenes[costo_total],tblOrdenes[equipo],$A11,tblOrdenes[anio],I$3,tblOrdenes[mes],I$4)</f>
        <v/>
      </c>
      <c r="J11" s="10">
        <f>SUMIFS(tblOrdenes[costo_total],tblOrdenes[equipo],$A11,tblOrdenes[anio],J$3,tblOrdenes[mes],J$4)</f>
        <v/>
      </c>
      <c r="K11" s="10">
        <f>SUM(B11:J11)</f>
        <v/>
      </c>
    </row>
    <row r="12">
      <c r="A12" s="3" t="inlineStr">
        <is>
          <t>EQ-105</t>
        </is>
      </c>
      <c r="B12" s="10">
        <f>SUMIFS(tblOrdenes[costo_total],tblOrdenes[equipo],$A12,tblOrdenes[anio],B$3,tblOrdenes[mes],B$4)</f>
        <v/>
      </c>
      <c r="C12" s="10">
        <f>SUMIFS(tblOrdenes[costo_total],tblOrdenes[equipo],$A12,tblOrdenes[anio],C$3,tblOrdenes[mes],C$4)</f>
        <v/>
      </c>
      <c r="D12" s="10">
        <f>SUMIFS(tblOrdenes[costo_total],tblOrdenes[equipo],$A12,tblOrdenes[anio],D$3,tblOrdenes[mes],D$4)</f>
        <v/>
      </c>
      <c r="E12" s="10">
        <f>SUMIFS(tblOrdenes[costo_total],tblOrdenes[equipo],$A12,tblOrdenes[anio],E$3,tblOrdenes[mes],E$4)</f>
        <v/>
      </c>
      <c r="F12" s="10">
        <f>SUMIFS(tblOrdenes[costo_total],tblOrdenes[equipo],$A12,tblOrdenes[anio],F$3,tblOrdenes[mes],F$4)</f>
        <v/>
      </c>
      <c r="G12" s="10">
        <f>SUMIFS(tblOrdenes[costo_total],tblOrdenes[equipo],$A12,tblOrdenes[anio],G$3,tblOrdenes[mes],G$4)</f>
        <v/>
      </c>
      <c r="H12" s="10">
        <f>SUMIFS(tblOrdenes[costo_total],tblOrdenes[equipo],$A12,tblOrdenes[anio],H$3,tblOrdenes[mes],H$4)</f>
        <v/>
      </c>
      <c r="I12" s="10">
        <f>SUMIFS(tblOrdenes[costo_total],tblOrdenes[equipo],$A12,tblOrdenes[anio],I$3,tblOrdenes[mes],I$4)</f>
        <v/>
      </c>
      <c r="J12" s="10">
        <f>SUMIFS(tblOrdenes[costo_total],tblOrdenes[equipo],$A12,tblOrdenes[anio],J$3,tblOrdenes[mes],J$4)</f>
        <v/>
      </c>
      <c r="K12" s="10">
        <f>SUM(B12:J12)</f>
        <v/>
      </c>
    </row>
    <row r="13">
      <c r="A13" s="3" t="inlineStr">
        <is>
          <t>EQ-109</t>
        </is>
      </c>
      <c r="B13" s="10">
        <f>SUMIFS(tblOrdenes[costo_total],tblOrdenes[equipo],$A13,tblOrdenes[anio],B$3,tblOrdenes[mes],B$4)</f>
        <v/>
      </c>
      <c r="C13" s="10">
        <f>SUMIFS(tblOrdenes[costo_total],tblOrdenes[equipo],$A13,tblOrdenes[anio],C$3,tblOrdenes[mes],C$4)</f>
        <v/>
      </c>
      <c r="D13" s="10">
        <f>SUMIFS(tblOrdenes[costo_total],tblOrdenes[equipo],$A13,tblOrdenes[anio],D$3,tblOrdenes[mes],D$4)</f>
        <v/>
      </c>
      <c r="E13" s="10">
        <f>SUMIFS(tblOrdenes[costo_total],tblOrdenes[equipo],$A13,tblOrdenes[anio],E$3,tblOrdenes[mes],E$4)</f>
        <v/>
      </c>
      <c r="F13" s="10">
        <f>SUMIFS(tblOrdenes[costo_total],tblOrdenes[equipo],$A13,tblOrdenes[anio],F$3,tblOrdenes[mes],F$4)</f>
        <v/>
      </c>
      <c r="G13" s="10">
        <f>SUMIFS(tblOrdenes[costo_total],tblOrdenes[equipo],$A13,tblOrdenes[anio],G$3,tblOrdenes[mes],G$4)</f>
        <v/>
      </c>
      <c r="H13" s="10">
        <f>SUMIFS(tblOrdenes[costo_total],tblOrdenes[equipo],$A13,tblOrdenes[anio],H$3,tblOrdenes[mes],H$4)</f>
        <v/>
      </c>
      <c r="I13" s="10">
        <f>SUMIFS(tblOrdenes[costo_total],tblOrdenes[equipo],$A13,tblOrdenes[anio],I$3,tblOrdenes[mes],I$4)</f>
        <v/>
      </c>
      <c r="J13" s="10">
        <f>SUMIFS(tblOrdenes[costo_total],tblOrdenes[equipo],$A13,tblOrdenes[anio],J$3,tblOrdenes[mes],J$4)</f>
        <v/>
      </c>
      <c r="K13" s="10">
        <f>SUM(B13:J13)</f>
        <v/>
      </c>
    </row>
    <row r="14">
      <c r="A14" s="3" t="inlineStr">
        <is>
          <t>EQ-107</t>
        </is>
      </c>
      <c r="B14" s="10">
        <f>SUMIFS(tblOrdenes[costo_total],tblOrdenes[equipo],$A14,tblOrdenes[anio],B$3,tblOrdenes[mes],B$4)</f>
        <v/>
      </c>
      <c r="C14" s="10">
        <f>SUMIFS(tblOrdenes[costo_total],tblOrdenes[equipo],$A14,tblOrdenes[anio],C$3,tblOrdenes[mes],C$4)</f>
        <v/>
      </c>
      <c r="D14" s="10">
        <f>SUMIFS(tblOrdenes[costo_total],tblOrdenes[equipo],$A14,tblOrdenes[anio],D$3,tblOrdenes[mes],D$4)</f>
        <v/>
      </c>
      <c r="E14" s="10">
        <f>SUMIFS(tblOrdenes[costo_total],tblOrdenes[equipo],$A14,tblOrdenes[anio],E$3,tblOrdenes[mes],E$4)</f>
        <v/>
      </c>
      <c r="F14" s="10">
        <f>SUMIFS(tblOrdenes[costo_total],tblOrdenes[equipo],$A14,tblOrdenes[anio],F$3,tblOrdenes[mes],F$4)</f>
        <v/>
      </c>
      <c r="G14" s="10">
        <f>SUMIFS(tblOrdenes[costo_total],tblOrdenes[equipo],$A14,tblOrdenes[anio],G$3,tblOrdenes[mes],G$4)</f>
        <v/>
      </c>
      <c r="H14" s="10">
        <f>SUMIFS(tblOrdenes[costo_total],tblOrdenes[equipo],$A14,tblOrdenes[anio],H$3,tblOrdenes[mes],H$4)</f>
        <v/>
      </c>
      <c r="I14" s="10">
        <f>SUMIFS(tblOrdenes[costo_total],tblOrdenes[equipo],$A14,tblOrdenes[anio],I$3,tblOrdenes[mes],I$4)</f>
        <v/>
      </c>
      <c r="J14" s="10">
        <f>SUMIFS(tblOrdenes[costo_total],tblOrdenes[equipo],$A14,tblOrdenes[anio],J$3,tblOrdenes[mes],J$4)</f>
        <v/>
      </c>
      <c r="K14" s="10">
        <f>SUM(B14:J14)</f>
        <v/>
      </c>
    </row>
    <row r="15">
      <c r="A15" s="3" t="inlineStr">
        <is>
          <t>EQ-112</t>
        </is>
      </c>
      <c r="B15" s="10">
        <f>SUMIFS(tblOrdenes[costo_total],tblOrdenes[equipo],$A15,tblOrdenes[anio],B$3,tblOrdenes[mes],B$4)</f>
        <v/>
      </c>
      <c r="C15" s="10">
        <f>SUMIFS(tblOrdenes[costo_total],tblOrdenes[equipo],$A15,tblOrdenes[anio],C$3,tblOrdenes[mes],C$4)</f>
        <v/>
      </c>
      <c r="D15" s="10">
        <f>SUMIFS(tblOrdenes[costo_total],tblOrdenes[equipo],$A15,tblOrdenes[anio],D$3,tblOrdenes[mes],D$4)</f>
        <v/>
      </c>
      <c r="E15" s="10">
        <f>SUMIFS(tblOrdenes[costo_total],tblOrdenes[equipo],$A15,tblOrdenes[anio],E$3,tblOrdenes[mes],E$4)</f>
        <v/>
      </c>
      <c r="F15" s="10">
        <f>SUMIFS(tblOrdenes[costo_total],tblOrdenes[equipo],$A15,tblOrdenes[anio],F$3,tblOrdenes[mes],F$4)</f>
        <v/>
      </c>
      <c r="G15" s="10">
        <f>SUMIFS(tblOrdenes[costo_total],tblOrdenes[equipo],$A15,tblOrdenes[anio],G$3,tblOrdenes[mes],G$4)</f>
        <v/>
      </c>
      <c r="H15" s="10">
        <f>SUMIFS(tblOrdenes[costo_total],tblOrdenes[equipo],$A15,tblOrdenes[anio],H$3,tblOrdenes[mes],H$4)</f>
        <v/>
      </c>
      <c r="I15" s="10">
        <f>SUMIFS(tblOrdenes[costo_total],tblOrdenes[equipo],$A15,tblOrdenes[anio],I$3,tblOrdenes[mes],I$4)</f>
        <v/>
      </c>
      <c r="J15" s="10">
        <f>SUMIFS(tblOrdenes[costo_total],tblOrdenes[equipo],$A15,tblOrdenes[anio],J$3,tblOrdenes[mes],J$4)</f>
        <v/>
      </c>
      <c r="K15" s="10">
        <f>SUM(B15:J15)</f>
        <v/>
      </c>
    </row>
    <row r="16">
      <c r="A16" s="3" t="inlineStr">
        <is>
          <t>EQ-111</t>
        </is>
      </c>
      <c r="B16" s="10">
        <f>SUMIFS(tblOrdenes[costo_total],tblOrdenes[equipo],$A16,tblOrdenes[anio],B$3,tblOrdenes[mes],B$4)</f>
        <v/>
      </c>
      <c r="C16" s="10">
        <f>SUMIFS(tblOrdenes[costo_total],tblOrdenes[equipo],$A16,tblOrdenes[anio],C$3,tblOrdenes[mes],C$4)</f>
        <v/>
      </c>
      <c r="D16" s="10">
        <f>SUMIFS(tblOrdenes[costo_total],tblOrdenes[equipo],$A16,tblOrdenes[anio],D$3,tblOrdenes[mes],D$4)</f>
        <v/>
      </c>
      <c r="E16" s="10">
        <f>SUMIFS(tblOrdenes[costo_total],tblOrdenes[equipo],$A16,tblOrdenes[anio],E$3,tblOrdenes[mes],E$4)</f>
        <v/>
      </c>
      <c r="F16" s="10">
        <f>SUMIFS(tblOrdenes[costo_total],tblOrdenes[equipo],$A16,tblOrdenes[anio],F$3,tblOrdenes[mes],F$4)</f>
        <v/>
      </c>
      <c r="G16" s="10">
        <f>SUMIFS(tblOrdenes[costo_total],tblOrdenes[equipo],$A16,tblOrdenes[anio],G$3,tblOrdenes[mes],G$4)</f>
        <v/>
      </c>
      <c r="H16" s="10">
        <f>SUMIFS(tblOrdenes[costo_total],tblOrdenes[equipo],$A16,tblOrdenes[anio],H$3,tblOrdenes[mes],H$4)</f>
        <v/>
      </c>
      <c r="I16" s="10">
        <f>SUMIFS(tblOrdenes[costo_total],tblOrdenes[equipo],$A16,tblOrdenes[anio],I$3,tblOrdenes[mes],I$4)</f>
        <v/>
      </c>
      <c r="J16" s="10">
        <f>SUMIFS(tblOrdenes[costo_total],tblOrdenes[equipo],$A16,tblOrdenes[anio],J$3,tblOrdenes[mes],J$4)</f>
        <v/>
      </c>
      <c r="K16" s="10">
        <f>SUM(B16:J16)</f>
        <v/>
      </c>
    </row>
    <row r="18">
      <c r="A18" s="2" t="inlineStr">
        <is>
          <t>Ordenado de mayor a menor gasto total (con los datos de ejemplo).</t>
        </is>
      </c>
    </row>
  </sheetData>
  <conditionalFormatting sqref="B5:J16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C00000"/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1" t="inlineStr">
        <is>
          <t>VALIDACIÓN DE IMPORTACIÓN (REGLA-10) — reporta, nunca bloquea</t>
        </is>
      </c>
    </row>
    <row r="3">
      <c r="A3" s="5" t="inlineStr">
        <is>
          <t>chequeo</t>
        </is>
      </c>
      <c r="B3" s="5" t="inlineStr">
        <is>
          <t>resultado</t>
        </is>
      </c>
      <c r="C3" s="5" t="inlineStr">
        <is>
          <t>detalle</t>
        </is>
      </c>
    </row>
    <row r="4">
      <c r="A4" s="3" t="inlineStr">
        <is>
          <t>Órdenes duplicadas por id_operacion</t>
        </is>
      </c>
      <c r="B4" s="3">
        <f>SUMPRODUCT(--(COUNTIF(tblOrdenes[id_operacion],tblOrdenes[id_operacion])&gt;1))</f>
        <v/>
      </c>
      <c r="C4" s="2" t="inlineStr">
        <is>
          <t>Filas de ORDENES cuyo id_operacion aparece más de una vez.</t>
        </is>
      </c>
    </row>
    <row r="5">
      <c r="A5" s="3" t="inlineStr">
        <is>
          <t>Órdenes sin fecha de inicio</t>
        </is>
      </c>
      <c r="B5" s="3">
        <f>SUMPRODUCT(--(tblOrdenes[fecha_inicio]=""))</f>
        <v/>
      </c>
      <c r="C5" s="2" t="inlineStr">
        <is>
          <t>Sin fecha no hay semana, backlog ni plan.</t>
        </is>
      </c>
    </row>
    <row r="6">
      <c r="A6" s="3" t="inlineStr">
        <is>
          <t>Órdenes sin horas estimadas</t>
        </is>
      </c>
      <c r="B6" s="3">
        <f>SUMPRODUCT(--(tblOrdenes[horas_estimadas]=""))</f>
        <v/>
      </c>
      <c r="C6" s="2" t="inlineStr">
        <is>
          <t>No cargan el perfil de HH (REGLA-6).</t>
        </is>
      </c>
    </row>
    <row r="7">
      <c r="A7" s="3" t="inlineStr">
        <is>
          <t>Centros de costo fuera de catálogo</t>
        </is>
      </c>
      <c r="B7" s="3">
        <f>SUMPRODUCT(--ISNA(MATCH(tblOrdenes[centro_costo],tblCECO[codigo],0)))</f>
        <v/>
      </c>
      <c r="C7" s="2" t="inlineStr">
        <is>
          <t>Revisar CAT_CENTROS_COSTO.</t>
        </is>
      </c>
    </row>
    <row r="8">
      <c r="A8" s="3" t="inlineStr">
        <is>
          <t>Puestos de trabajo fuera de catálogo</t>
        </is>
      </c>
      <c r="B8" s="3">
        <f>SUMPRODUCT(--ISNA(MATCH(tblOrdenes[puesto_trabajo],tblPuestos[codigo],0)))</f>
        <v/>
      </c>
      <c r="C8" s="2" t="inlineStr">
        <is>
          <t>Revisar CAT_PUESTOS.</t>
        </is>
      </c>
    </row>
    <row r="9">
      <c r="A9" s="3" t="inlineStr">
        <is>
          <t>Actividades fuera de catálogo</t>
        </is>
      </c>
      <c r="B9" s="3">
        <f>SUMPRODUCT(--ISNA(MATCH(tblOrdenes[cod_actividad],tblActividades[codigo],0)))</f>
        <v/>
      </c>
      <c r="C9" s="2" t="inlineStr">
        <is>
          <t>Revisar CAT_ACTIVIDADES.</t>
        </is>
      </c>
    </row>
    <row r="10">
      <c r="A10" s="3" t="inlineStr">
        <is>
          <t>Tipos de OT fuera de catálogo (sin_clasificar)</t>
        </is>
      </c>
      <c r="B10" s="3">
        <f>SUMPRODUCT(--ISNA(MATCH(tblOrdenes[tipo_ot],tblTiposOT[codigo],0)))</f>
        <v/>
      </c>
      <c r="C10" s="2" t="inlineStr">
        <is>
          <t>REGLA-1 las marca sin_clasificar; agregar el código a CAT_TIPOS_OT.</t>
        </is>
      </c>
    </row>
    <row r="11">
      <c r="A11" s="3" t="inlineStr">
        <is>
          <t>Registros de EJECUCION sin par en ORDENES</t>
        </is>
      </c>
      <c r="B11" s="3">
        <f>SUMPRODUCT(--ISNA(MATCH(tblEjecucion[id_operacion],tblOrdenes[id_operacion],0)))</f>
        <v/>
      </c>
      <c r="C11" s="2" t="inlineStr">
        <is>
          <t>Estados/costos que no encuentran su orden.</t>
        </is>
      </c>
    </row>
    <row r="12">
      <c r="A12" s="3" t="inlineStr">
        <is>
          <t>Órdenes sin par en EJECUCION</t>
        </is>
      </c>
      <c r="B12" s="3">
        <f>SUMPRODUCT(--ISNA(MATCH(tblOrdenes[id_operacion],tblEjecucion[id_operacion],0)))</f>
        <v/>
      </c>
      <c r="C12" s="2" t="inlineStr">
        <is>
          <t>Quedan como "Pendiente" (comportamiento esperado).</t>
        </is>
      </c>
    </row>
    <row r="14">
      <c r="A14" s="2" t="inlineStr">
        <is>
          <t>La validación no bloquea: todo se importa y aquí se reporta (REGLA-10).</t>
        </is>
      </c>
    </row>
  </sheetData>
  <conditionalFormatting sqref="B4:B12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808080"/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4" t="inlineStr">
        <is>
          <t>Catálogo de centros de costo — se carga por empresa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planta</t>
        </is>
      </c>
      <c r="D3" s="5" t="inlineStr">
        <is>
          <t>area</t>
        </is>
      </c>
      <c r="E3" s="5" t="inlineStr">
        <is>
          <t>linea</t>
        </is>
      </c>
      <c r="F3" s="5" t="inlineStr">
        <is>
          <t>coordinador</t>
        </is>
      </c>
    </row>
    <row r="4">
      <c r="A4" s="6" t="inlineStr">
        <is>
          <t>CC-110</t>
        </is>
      </c>
      <c r="B4" s="6" t="inlineStr">
        <is>
          <t>Línea de producción 1</t>
        </is>
      </c>
      <c r="C4" s="6" t="inlineStr">
        <is>
          <t>PLANTA-1</t>
        </is>
      </c>
      <c r="D4" s="6" t="inlineStr">
        <is>
          <t>PRODUCCION</t>
        </is>
      </c>
      <c r="E4" s="6" t="inlineStr">
        <is>
          <t>L1</t>
        </is>
      </c>
      <c r="F4" s="6" t="inlineStr">
        <is>
          <t>Coordinador A</t>
        </is>
      </c>
    </row>
    <row r="5">
      <c r="A5" s="6" t="inlineStr">
        <is>
          <t>CC-120</t>
        </is>
      </c>
      <c r="B5" s="6" t="inlineStr">
        <is>
          <t>Línea de producción 2</t>
        </is>
      </c>
      <c r="C5" s="6" t="inlineStr">
        <is>
          <t>PLANTA-1</t>
        </is>
      </c>
      <c r="D5" s="6" t="inlineStr">
        <is>
          <t>PRODUCCION</t>
        </is>
      </c>
      <c r="E5" s="6" t="inlineStr">
        <is>
          <t>L2</t>
        </is>
      </c>
      <c r="F5" s="6" t="inlineStr">
        <is>
          <t>Coordinador A</t>
        </is>
      </c>
    </row>
    <row r="6">
      <c r="A6" s="6" t="inlineStr">
        <is>
          <t>CC-210</t>
        </is>
      </c>
      <c r="B6" s="6" t="inlineStr">
        <is>
          <t>Línea de empaque 3</t>
        </is>
      </c>
      <c r="C6" s="6" t="inlineStr">
        <is>
          <t>PLANTA-1</t>
        </is>
      </c>
      <c r="D6" s="6" t="inlineStr">
        <is>
          <t>EMPAQUE</t>
        </is>
      </c>
      <c r="E6" s="6" t="inlineStr">
        <is>
          <t>L3</t>
        </is>
      </c>
      <c r="F6" s="6" t="inlineStr">
        <is>
          <t>Coordinador B</t>
        </is>
      </c>
    </row>
    <row r="7">
      <c r="A7" s="6" t="inlineStr">
        <is>
          <t>CC-220</t>
        </is>
      </c>
      <c r="B7" s="6" t="inlineStr">
        <is>
          <t>Línea de empaque 4</t>
        </is>
      </c>
      <c r="C7" s="6" t="inlineStr">
        <is>
          <t>PLANTA-1</t>
        </is>
      </c>
      <c r="D7" s="6" t="inlineStr">
        <is>
          <t>EMPAQUE</t>
        </is>
      </c>
      <c r="E7" s="6" t="inlineStr">
        <is>
          <t>L4</t>
        </is>
      </c>
      <c r="F7" s="6" t="inlineStr">
        <is>
          <t>Coordinador B</t>
        </is>
      </c>
    </row>
    <row r="8">
      <c r="A8" s="6" t="inlineStr">
        <is>
          <t>CC-310</t>
        </is>
      </c>
      <c r="B8" s="6" t="inlineStr">
        <is>
          <t>Servicios generales</t>
        </is>
      </c>
      <c r="C8" s="6" t="inlineStr">
        <is>
          <t>PLANTA-1</t>
        </is>
      </c>
      <c r="D8" s="6" t="inlineStr">
        <is>
          <t>SERVICIOS</t>
        </is>
      </c>
      <c r="E8" s="6" t="inlineStr">
        <is>
          <t>SG</t>
        </is>
      </c>
      <c r="F8" s="6" t="inlineStr">
        <is>
          <t>Coordinador C</t>
        </is>
      </c>
    </row>
    <row r="9">
      <c r="A9" s="6" t="inlineStr">
        <is>
          <t>CC-320</t>
        </is>
      </c>
      <c r="B9" s="6" t="inlineStr">
        <is>
          <t>Taller central</t>
        </is>
      </c>
      <c r="C9" s="6" t="inlineStr">
        <is>
          <t>PLANTA-1</t>
        </is>
      </c>
      <c r="D9" s="6" t="inlineStr">
        <is>
          <t>SERVICIOS</t>
        </is>
      </c>
      <c r="E9" s="6" t="inlineStr">
        <is>
          <t>TC</t>
        </is>
      </c>
      <c r="F9" s="6" t="inlineStr">
        <is>
          <t>Coordinador 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puestos de trabajo → especialidad — editable</t>
        </is>
      </c>
    </row>
    <row r="3">
      <c r="A3" s="5" t="inlineStr">
        <is>
          <t>codigo</t>
        </is>
      </c>
      <c r="B3" s="5" t="inlineStr">
        <is>
          <t>especialidad</t>
        </is>
      </c>
      <c r="C3" s="5" t="inlineStr">
        <is>
          <t>descripcion</t>
        </is>
      </c>
    </row>
    <row r="4">
      <c r="A4" s="6" t="inlineStr">
        <is>
          <t>PU-MEC</t>
        </is>
      </c>
      <c r="B4" s="6" t="inlineStr">
        <is>
          <t>MEC</t>
        </is>
      </c>
      <c r="C4" s="6" t="inlineStr">
        <is>
          <t>Puesto mecánico</t>
        </is>
      </c>
    </row>
    <row r="5">
      <c r="A5" s="6" t="inlineStr">
        <is>
          <t>PU-ELE</t>
        </is>
      </c>
      <c r="B5" s="6" t="inlineStr">
        <is>
          <t>ELE</t>
        </is>
      </c>
      <c r="C5" s="6" t="inlineStr">
        <is>
          <t>Puesto eléctrico</t>
        </is>
      </c>
    </row>
    <row r="6">
      <c r="A6" s="6" t="inlineStr">
        <is>
          <t>PU-AUT</t>
        </is>
      </c>
      <c r="B6" s="6" t="inlineStr">
        <is>
          <t>AUT</t>
        </is>
      </c>
      <c r="C6" s="6" t="inlineStr">
        <is>
          <t>Puesto automatización</t>
        </is>
      </c>
    </row>
    <row r="7">
      <c r="A7" s="6" t="inlineStr">
        <is>
          <t>PU-OP</t>
        </is>
      </c>
      <c r="B7" s="6" t="inlineStr">
        <is>
          <t>OP</t>
        </is>
      </c>
      <c r="C7" s="6" t="inlineStr">
        <is>
          <t>Puesto operaciones</t>
        </is>
      </c>
    </row>
    <row r="8">
      <c r="A8" s="6" t="inlineStr">
        <is>
          <t>PU-TER</t>
        </is>
      </c>
      <c r="B8" s="6" t="inlineStr">
        <is>
          <t>TERCERO</t>
        </is>
      </c>
      <c r="C8" s="6" t="inlineStr">
        <is>
          <t>Contratista externo</t>
        </is>
      </c>
    </row>
  </sheetData>
  <dataValidations count="1">
    <dataValidation sqref="B4:B8" showDropDown="0" showInputMessage="0" showErrorMessage="0" allowBlank="0" type="list">
      <formula1>"ELE,MEC,AUT,OP,TERCERO"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actividades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tipo</t>
        </is>
      </c>
    </row>
    <row r="4">
      <c r="A4" s="6" t="inlineStr">
        <is>
          <t>ACT-01</t>
        </is>
      </c>
      <c r="B4" s="6" t="inlineStr">
        <is>
          <t>Inspección de rutina</t>
        </is>
      </c>
      <c r="C4" s="6" t="inlineStr">
        <is>
          <t>preventivo</t>
        </is>
      </c>
    </row>
    <row r="5">
      <c r="A5" s="6" t="inlineStr">
        <is>
          <t>ACT-02</t>
        </is>
      </c>
      <c r="B5" s="6" t="inlineStr">
        <is>
          <t>Lubricación programada</t>
        </is>
      </c>
      <c r="C5" s="6" t="inlineStr">
        <is>
          <t>preventivo</t>
        </is>
      </c>
    </row>
    <row r="6">
      <c r="A6" s="6" t="inlineStr">
        <is>
          <t>ACT-03</t>
        </is>
      </c>
      <c r="B6" s="6" t="inlineStr">
        <is>
          <t>Reparación de falla</t>
        </is>
      </c>
      <c r="C6" s="6" t="inlineStr">
        <is>
          <t>correctivo</t>
        </is>
      </c>
    </row>
    <row r="7">
      <c r="A7" s="6" t="inlineStr">
        <is>
          <t>ACT-04</t>
        </is>
      </c>
      <c r="B7" s="6" t="inlineStr">
        <is>
          <t>Análisis predictivo</t>
        </is>
      </c>
      <c r="C7" s="6" t="inlineStr">
        <is>
          <t>predictivo</t>
        </is>
      </c>
    </row>
    <row r="8">
      <c r="A8" s="6" t="inlineStr">
        <is>
          <t>ACT-05</t>
        </is>
      </c>
      <c r="B8" s="6" t="inlineStr">
        <is>
          <t>Certificación legal</t>
        </is>
      </c>
      <c r="C8" s="6" t="inlineStr">
        <is>
          <t>legal</t>
        </is>
      </c>
    </row>
  </sheetData>
  <dataValidations count="1">
    <dataValidation sqref="C4:C8" showDropDown="0" showInputMessage="0" showErrorMessage="0" allowBlank="0" type="list">
      <formula1>"correctivo,preventivo,predictivo,legal"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808080"/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Traducción de tipos de OT del ERP → preventiva/correctiva (REGLA-1)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clasificacion</t>
        </is>
      </c>
    </row>
    <row r="4">
      <c r="A4" s="6" t="inlineStr">
        <is>
          <t>TIPO-P1</t>
        </is>
      </c>
      <c r="B4" s="6" t="inlineStr">
        <is>
          <t>Orden preventiva programada</t>
        </is>
      </c>
      <c r="C4" s="6" t="inlineStr">
        <is>
          <t>preventiva</t>
        </is>
      </c>
    </row>
    <row r="5">
      <c r="A5" s="6" t="inlineStr">
        <is>
          <t>TIPO-P2</t>
        </is>
      </c>
      <c r="B5" s="6" t="inlineStr">
        <is>
          <t>Orden preventiva legal/predictiva</t>
        </is>
      </c>
      <c r="C5" s="6" t="inlineStr">
        <is>
          <t>preventiva</t>
        </is>
      </c>
    </row>
    <row r="6">
      <c r="A6" s="6" t="inlineStr">
        <is>
          <t>TIPO-C1</t>
        </is>
      </c>
      <c r="B6" s="6" t="inlineStr">
        <is>
          <t>Orden correctiva planificada</t>
        </is>
      </c>
      <c r="C6" s="6" t="inlineStr">
        <is>
          <t>correctiva</t>
        </is>
      </c>
    </row>
    <row r="7">
      <c r="A7" s="6" t="inlineStr">
        <is>
          <t>TIPO-C2</t>
        </is>
      </c>
      <c r="B7" s="6" t="inlineStr">
        <is>
          <t>Orden correctiva de emergencia</t>
        </is>
      </c>
      <c r="C7" s="6" t="inlineStr">
        <is>
          <t>correctiva</t>
        </is>
      </c>
    </row>
  </sheetData>
  <dataValidations count="1">
    <dataValidation sqref="C4:C7" showDropDown="0" showInputMessage="0" showErrorMessage="0" allowBlank="0" type="list">
      <formula1>"preventiva,correctiva"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4" t="inlineStr">
        <is>
          <t>Traducción de estados del ERP → Cerrada/Pendiente — editable</t>
        </is>
      </c>
    </row>
    <row r="3">
      <c r="A3" s="5" t="inlineStr">
        <is>
          <t>estado_sistema</t>
        </is>
      </c>
      <c r="B3" s="5" t="inlineStr">
        <is>
          <t>estado_normalizado</t>
        </is>
      </c>
    </row>
    <row r="4">
      <c r="A4" s="6" t="inlineStr">
        <is>
          <t>CERR</t>
        </is>
      </c>
      <c r="B4" s="6" t="inlineStr">
        <is>
          <t>Cerrada</t>
        </is>
      </c>
    </row>
    <row r="5">
      <c r="A5" s="6" t="inlineStr">
        <is>
          <t>LIB</t>
        </is>
      </c>
      <c r="B5" s="6" t="inlineStr">
        <is>
          <t>Pendiente</t>
        </is>
      </c>
    </row>
    <row r="6">
      <c r="A6" s="6" t="inlineStr">
        <is>
          <t>EJEC</t>
        </is>
      </c>
      <c r="B6" s="6" t="inlineStr">
        <is>
          <t>Pendiente</t>
        </is>
      </c>
    </row>
    <row r="7">
      <c r="A7" s="6" t="inlineStr">
        <is>
          <t>ABIE</t>
        </is>
      </c>
      <c r="B7" s="6" t="inlineStr">
        <is>
          <t>Pendiente</t>
        </is>
      </c>
    </row>
  </sheetData>
  <dataValidations count="1">
    <dataValidation sqref="B4:B7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ED7D31"/>
    <outlinePr summaryBelow="1" summaryRight="1"/>
    <pageSetUpPr/>
  </sheetPr>
  <dimension ref="A1:K207"/>
  <sheetViews>
    <sheetView workbookViewId="0">
      <selection activeCell="A1" sqref="A1"/>
    </sheetView>
  </sheetViews>
  <sheetFormatPr baseColWidth="8" defaultRowHeight="15"/>
  <cols>
    <col width="60" customWidth="1" min="11" max="11"/>
  </cols>
  <sheetData>
    <row r="1">
      <c r="A1" s="1" t="inlineStr">
        <is>
          <t>EXPORTAR — texto del plan listo para copiar en un correo (sin macros)</t>
        </is>
      </c>
    </row>
    <row r="3">
      <c r="A3" s="4" t="inlineStr">
        <is>
          <t>semana:</t>
        </is>
      </c>
      <c r="B3" s="15" t="inlineStr">
        <is>
          <t>S29</t>
        </is>
      </c>
      <c r="C3" s="4" t="inlineStr">
        <is>
          <t>turno:</t>
        </is>
      </c>
      <c r="D3" s="15" t="inlineStr">
        <is>
          <t>(todos)</t>
        </is>
      </c>
      <c r="E3" s="4" t="inlineStr">
        <is>
          <t>coordinador:</t>
        </is>
      </c>
      <c r="F3" s="15" t="inlineStr">
        <is>
          <t>(todos)</t>
        </is>
      </c>
    </row>
    <row r="5">
      <c r="A5" s="4" t="inlineStr">
        <is>
          <t>texto (seleccione la celda A6, copie y pegue):</t>
        </is>
      </c>
    </row>
    <row r="6">
      <c r="A6" s="17">
        <f>"PLAN "&amp;$B$3&amp;" | turno: "&amp;$D$3&amp;" | coordinador: "&amp;$F$3&amp;CHAR(10)&amp;_xlfn.TEXTJOIN(CHAR(10),TRUE,$K$8:$K$207)</f>
        <v/>
      </c>
    </row>
    <row r="7">
      <c r="K7" s="2" t="inlineStr">
        <is>
          <t>columna auxiliar del armado del texto — no editar</t>
        </is>
      </c>
    </row>
    <row r="8">
      <c r="K8" s="3">
        <f>IF(AND(IF($B$3="(todos)",TRUE,'ORDENES'!$O4=$B$3),IF($D$3="(todos)",TRUE,'ORDENES'!$AC4=$D$3),IF($F$3="(todos)",TRUE,'ORDENES'!$V4=$F$3),'ORDENES'!$AA4=TRUE),'ORDENES'!$C4&amp;" | "&amp;'ORDENES'!$R4&amp;" | "&amp;IF('ORDENES'!$AB4="","(sin técnico)",'ORDENES'!$AB4)&amp;" | "&amp;'ORDENES'!$E4&amp;" ("&amp;'ORDENES'!$L4&amp;" h)","")</f>
        <v/>
      </c>
    </row>
    <row r="9">
      <c r="K9" s="3">
        <f>IF(AND(IF($B$3="(todos)",TRUE,'ORDENES'!$O5=$B$3),IF($D$3="(todos)",TRUE,'ORDENES'!$AC5=$D$3),IF($F$3="(todos)",TRUE,'ORDENES'!$V5=$F$3),'ORDENES'!$AA5=TRUE),'ORDENES'!$C5&amp;" | "&amp;'ORDENES'!$R5&amp;" | "&amp;IF('ORDENES'!$AB5="","(sin técnico)",'ORDENES'!$AB5)&amp;" | "&amp;'ORDENES'!$E5&amp;" ("&amp;'ORDENES'!$L5&amp;" h)","")</f>
        <v/>
      </c>
    </row>
    <row r="10">
      <c r="K10" s="3">
        <f>IF(AND(IF($B$3="(todos)",TRUE,'ORDENES'!$O6=$B$3),IF($D$3="(todos)",TRUE,'ORDENES'!$AC6=$D$3),IF($F$3="(todos)",TRUE,'ORDENES'!$V6=$F$3),'ORDENES'!$AA6=TRUE),'ORDENES'!$C6&amp;" | "&amp;'ORDENES'!$R6&amp;" | "&amp;IF('ORDENES'!$AB6="","(sin técnico)",'ORDENES'!$AB6)&amp;" | "&amp;'ORDENES'!$E6&amp;" ("&amp;'ORDENES'!$L6&amp;" h)","")</f>
        <v/>
      </c>
    </row>
    <row r="11">
      <c r="K11" s="3">
        <f>IF(AND(IF($B$3="(todos)",TRUE,'ORDENES'!$O7=$B$3),IF($D$3="(todos)",TRUE,'ORDENES'!$AC7=$D$3),IF($F$3="(todos)",TRUE,'ORDENES'!$V7=$F$3),'ORDENES'!$AA7=TRUE),'ORDENES'!$C7&amp;" | "&amp;'ORDENES'!$R7&amp;" | "&amp;IF('ORDENES'!$AB7="","(sin técnico)",'ORDENES'!$AB7)&amp;" | "&amp;'ORDENES'!$E7&amp;" ("&amp;'ORDENES'!$L7&amp;" h)","")</f>
        <v/>
      </c>
    </row>
    <row r="12">
      <c r="K12" s="3">
        <f>IF(AND(IF($B$3="(todos)",TRUE,'ORDENES'!$O8=$B$3),IF($D$3="(todos)",TRUE,'ORDENES'!$AC8=$D$3),IF($F$3="(todos)",TRUE,'ORDENES'!$V8=$F$3),'ORDENES'!$AA8=TRUE),'ORDENES'!$C8&amp;" | "&amp;'ORDENES'!$R8&amp;" | "&amp;IF('ORDENES'!$AB8="","(sin técnico)",'ORDENES'!$AB8)&amp;" | "&amp;'ORDENES'!$E8&amp;" ("&amp;'ORDENES'!$L8&amp;" h)","")</f>
        <v/>
      </c>
    </row>
    <row r="13">
      <c r="K13" s="3">
        <f>IF(AND(IF($B$3="(todos)",TRUE,'ORDENES'!$O9=$B$3),IF($D$3="(todos)",TRUE,'ORDENES'!$AC9=$D$3),IF($F$3="(todos)",TRUE,'ORDENES'!$V9=$F$3),'ORDENES'!$AA9=TRUE),'ORDENES'!$C9&amp;" | "&amp;'ORDENES'!$R9&amp;" | "&amp;IF('ORDENES'!$AB9="","(sin técnico)",'ORDENES'!$AB9)&amp;" | "&amp;'ORDENES'!$E9&amp;" ("&amp;'ORDENES'!$L9&amp;" h)","")</f>
        <v/>
      </c>
    </row>
    <row r="14">
      <c r="K14" s="3">
        <f>IF(AND(IF($B$3="(todos)",TRUE,'ORDENES'!$O10=$B$3),IF($D$3="(todos)",TRUE,'ORDENES'!$AC10=$D$3),IF($F$3="(todos)",TRUE,'ORDENES'!$V10=$F$3),'ORDENES'!$AA10=TRUE),'ORDENES'!$C10&amp;" | "&amp;'ORDENES'!$R10&amp;" | "&amp;IF('ORDENES'!$AB10="","(sin técnico)",'ORDENES'!$AB10)&amp;" | "&amp;'ORDENES'!$E10&amp;" ("&amp;'ORDENES'!$L10&amp;" h)","")</f>
        <v/>
      </c>
    </row>
    <row r="15">
      <c r="K15" s="3">
        <f>IF(AND(IF($B$3="(todos)",TRUE,'ORDENES'!$O11=$B$3),IF($D$3="(todos)",TRUE,'ORDENES'!$AC11=$D$3),IF($F$3="(todos)",TRUE,'ORDENES'!$V11=$F$3),'ORDENES'!$AA11=TRUE),'ORDENES'!$C11&amp;" | "&amp;'ORDENES'!$R11&amp;" | "&amp;IF('ORDENES'!$AB11="","(sin técnico)",'ORDENES'!$AB11)&amp;" | "&amp;'ORDENES'!$E11&amp;" ("&amp;'ORDENES'!$L11&amp;" h)","")</f>
        <v/>
      </c>
    </row>
    <row r="16">
      <c r="K16" s="3">
        <f>IF(AND(IF($B$3="(todos)",TRUE,'ORDENES'!$O12=$B$3),IF($D$3="(todos)",TRUE,'ORDENES'!$AC12=$D$3),IF($F$3="(todos)",TRUE,'ORDENES'!$V12=$F$3),'ORDENES'!$AA12=TRUE),'ORDENES'!$C12&amp;" | "&amp;'ORDENES'!$R12&amp;" | "&amp;IF('ORDENES'!$AB12="","(sin técnico)",'ORDENES'!$AB12)&amp;" | "&amp;'ORDENES'!$E12&amp;" ("&amp;'ORDENES'!$L12&amp;" h)","")</f>
        <v/>
      </c>
    </row>
    <row r="17">
      <c r="K17" s="3">
        <f>IF(AND(IF($B$3="(todos)",TRUE,'ORDENES'!$O13=$B$3),IF($D$3="(todos)",TRUE,'ORDENES'!$AC13=$D$3),IF($F$3="(todos)",TRUE,'ORDENES'!$V13=$F$3),'ORDENES'!$AA13=TRUE),'ORDENES'!$C13&amp;" | "&amp;'ORDENES'!$R13&amp;" | "&amp;IF('ORDENES'!$AB13="","(sin técnico)",'ORDENES'!$AB13)&amp;" | "&amp;'ORDENES'!$E13&amp;" ("&amp;'ORDENES'!$L13&amp;" h)","")</f>
        <v/>
      </c>
    </row>
    <row r="18">
      <c r="K18" s="3">
        <f>IF(AND(IF($B$3="(todos)",TRUE,'ORDENES'!$O14=$B$3),IF($D$3="(todos)",TRUE,'ORDENES'!$AC14=$D$3),IF($F$3="(todos)",TRUE,'ORDENES'!$V14=$F$3),'ORDENES'!$AA14=TRUE),'ORDENES'!$C14&amp;" | "&amp;'ORDENES'!$R14&amp;" | "&amp;IF('ORDENES'!$AB14="","(sin técnico)",'ORDENES'!$AB14)&amp;" | "&amp;'ORDENES'!$E14&amp;" ("&amp;'ORDENES'!$L14&amp;" h)","")</f>
        <v/>
      </c>
    </row>
    <row r="19">
      <c r="K19" s="3">
        <f>IF(AND(IF($B$3="(todos)",TRUE,'ORDENES'!$O15=$B$3),IF($D$3="(todos)",TRUE,'ORDENES'!$AC15=$D$3),IF($F$3="(todos)",TRUE,'ORDENES'!$V15=$F$3),'ORDENES'!$AA15=TRUE),'ORDENES'!$C15&amp;" | "&amp;'ORDENES'!$R15&amp;" | "&amp;IF('ORDENES'!$AB15="","(sin técnico)",'ORDENES'!$AB15)&amp;" | "&amp;'ORDENES'!$E15&amp;" ("&amp;'ORDENES'!$L15&amp;" h)","")</f>
        <v/>
      </c>
    </row>
    <row r="20">
      <c r="K20" s="3">
        <f>IF(AND(IF($B$3="(todos)",TRUE,'ORDENES'!$O16=$B$3),IF($D$3="(todos)",TRUE,'ORDENES'!$AC16=$D$3),IF($F$3="(todos)",TRUE,'ORDENES'!$V16=$F$3),'ORDENES'!$AA16=TRUE),'ORDENES'!$C16&amp;" | "&amp;'ORDENES'!$R16&amp;" | "&amp;IF('ORDENES'!$AB16="","(sin técnico)",'ORDENES'!$AB16)&amp;" | "&amp;'ORDENES'!$E16&amp;" ("&amp;'ORDENES'!$L16&amp;" h)","")</f>
        <v/>
      </c>
    </row>
    <row r="21">
      <c r="K21" s="3">
        <f>IF(AND(IF($B$3="(todos)",TRUE,'ORDENES'!$O17=$B$3),IF($D$3="(todos)",TRUE,'ORDENES'!$AC17=$D$3),IF($F$3="(todos)",TRUE,'ORDENES'!$V17=$F$3),'ORDENES'!$AA17=TRUE),'ORDENES'!$C17&amp;" | "&amp;'ORDENES'!$R17&amp;" | "&amp;IF('ORDENES'!$AB17="","(sin técnico)",'ORDENES'!$AB17)&amp;" | "&amp;'ORDENES'!$E17&amp;" ("&amp;'ORDENES'!$L17&amp;" h)","")</f>
        <v/>
      </c>
    </row>
    <row r="22">
      <c r="K22" s="3">
        <f>IF(AND(IF($B$3="(todos)",TRUE,'ORDENES'!$O18=$B$3),IF($D$3="(todos)",TRUE,'ORDENES'!$AC18=$D$3),IF($F$3="(todos)",TRUE,'ORDENES'!$V18=$F$3),'ORDENES'!$AA18=TRUE),'ORDENES'!$C18&amp;" | "&amp;'ORDENES'!$R18&amp;" | "&amp;IF('ORDENES'!$AB18="","(sin técnico)",'ORDENES'!$AB18)&amp;" | "&amp;'ORDENES'!$E18&amp;" ("&amp;'ORDENES'!$L18&amp;" h)","")</f>
        <v/>
      </c>
    </row>
    <row r="23">
      <c r="K23" s="3">
        <f>IF(AND(IF($B$3="(todos)",TRUE,'ORDENES'!$O19=$B$3),IF($D$3="(todos)",TRUE,'ORDENES'!$AC19=$D$3),IF($F$3="(todos)",TRUE,'ORDENES'!$V19=$F$3),'ORDENES'!$AA19=TRUE),'ORDENES'!$C19&amp;" | "&amp;'ORDENES'!$R19&amp;" | "&amp;IF('ORDENES'!$AB19="","(sin técnico)",'ORDENES'!$AB19)&amp;" | "&amp;'ORDENES'!$E19&amp;" ("&amp;'ORDENES'!$L19&amp;" h)","")</f>
        <v/>
      </c>
    </row>
    <row r="24">
      <c r="K24" s="3">
        <f>IF(AND(IF($B$3="(todos)",TRUE,'ORDENES'!$O20=$B$3),IF($D$3="(todos)",TRUE,'ORDENES'!$AC20=$D$3),IF($F$3="(todos)",TRUE,'ORDENES'!$V20=$F$3),'ORDENES'!$AA20=TRUE),'ORDENES'!$C20&amp;" | "&amp;'ORDENES'!$R20&amp;" | "&amp;IF('ORDENES'!$AB20="","(sin técnico)",'ORDENES'!$AB20)&amp;" | "&amp;'ORDENES'!$E20&amp;" ("&amp;'ORDENES'!$L20&amp;" h)","")</f>
        <v/>
      </c>
    </row>
    <row r="25">
      <c r="K25" s="3">
        <f>IF(AND(IF($B$3="(todos)",TRUE,'ORDENES'!$O21=$B$3),IF($D$3="(todos)",TRUE,'ORDENES'!$AC21=$D$3),IF($F$3="(todos)",TRUE,'ORDENES'!$V21=$F$3),'ORDENES'!$AA21=TRUE),'ORDENES'!$C21&amp;" | "&amp;'ORDENES'!$R21&amp;" | "&amp;IF('ORDENES'!$AB21="","(sin técnico)",'ORDENES'!$AB21)&amp;" | "&amp;'ORDENES'!$E21&amp;" ("&amp;'ORDENES'!$L21&amp;" h)","")</f>
        <v/>
      </c>
    </row>
    <row r="26">
      <c r="K26" s="3">
        <f>IF(AND(IF($B$3="(todos)",TRUE,'ORDENES'!$O22=$B$3),IF($D$3="(todos)",TRUE,'ORDENES'!$AC22=$D$3),IF($F$3="(todos)",TRUE,'ORDENES'!$V22=$F$3),'ORDENES'!$AA22=TRUE),'ORDENES'!$C22&amp;" | "&amp;'ORDENES'!$R22&amp;" | "&amp;IF('ORDENES'!$AB22="","(sin técnico)",'ORDENES'!$AB22)&amp;" | "&amp;'ORDENES'!$E22&amp;" ("&amp;'ORDENES'!$L22&amp;" h)","")</f>
        <v/>
      </c>
    </row>
    <row r="27">
      <c r="K27" s="3">
        <f>IF(AND(IF($B$3="(todos)",TRUE,'ORDENES'!$O23=$B$3),IF($D$3="(todos)",TRUE,'ORDENES'!$AC23=$D$3),IF($F$3="(todos)",TRUE,'ORDENES'!$V23=$F$3),'ORDENES'!$AA23=TRUE),'ORDENES'!$C23&amp;" | "&amp;'ORDENES'!$R23&amp;" | "&amp;IF('ORDENES'!$AB23="","(sin técnico)",'ORDENES'!$AB23)&amp;" | "&amp;'ORDENES'!$E23&amp;" ("&amp;'ORDENES'!$L23&amp;" h)","")</f>
        <v/>
      </c>
    </row>
    <row r="28">
      <c r="K28" s="3">
        <f>IF(AND(IF($B$3="(todos)",TRUE,'ORDENES'!$O24=$B$3),IF($D$3="(todos)",TRUE,'ORDENES'!$AC24=$D$3),IF($F$3="(todos)",TRUE,'ORDENES'!$V24=$F$3),'ORDENES'!$AA24=TRUE),'ORDENES'!$C24&amp;" | "&amp;'ORDENES'!$R24&amp;" | "&amp;IF('ORDENES'!$AB24="","(sin técnico)",'ORDENES'!$AB24)&amp;" | "&amp;'ORDENES'!$E24&amp;" ("&amp;'ORDENES'!$L24&amp;" h)","")</f>
        <v/>
      </c>
    </row>
    <row r="29">
      <c r="K29" s="3">
        <f>IF(AND(IF($B$3="(todos)",TRUE,'ORDENES'!$O25=$B$3),IF($D$3="(todos)",TRUE,'ORDENES'!$AC25=$D$3),IF($F$3="(todos)",TRUE,'ORDENES'!$V25=$F$3),'ORDENES'!$AA25=TRUE),'ORDENES'!$C25&amp;" | "&amp;'ORDENES'!$R25&amp;" | "&amp;IF('ORDENES'!$AB25="","(sin técnico)",'ORDENES'!$AB25)&amp;" | "&amp;'ORDENES'!$E25&amp;" ("&amp;'ORDENES'!$L25&amp;" h)","")</f>
        <v/>
      </c>
    </row>
    <row r="30">
      <c r="K30" s="3">
        <f>IF(AND(IF($B$3="(todos)",TRUE,'ORDENES'!$O26=$B$3),IF($D$3="(todos)",TRUE,'ORDENES'!$AC26=$D$3),IF($F$3="(todos)",TRUE,'ORDENES'!$V26=$F$3),'ORDENES'!$AA26=TRUE),'ORDENES'!$C26&amp;" | "&amp;'ORDENES'!$R26&amp;" | "&amp;IF('ORDENES'!$AB26="","(sin técnico)",'ORDENES'!$AB26)&amp;" | "&amp;'ORDENES'!$E26&amp;" ("&amp;'ORDENES'!$L26&amp;" h)","")</f>
        <v/>
      </c>
    </row>
    <row r="31">
      <c r="K31" s="3">
        <f>IF(AND(IF($B$3="(todos)",TRUE,'ORDENES'!$O27=$B$3),IF($D$3="(todos)",TRUE,'ORDENES'!$AC27=$D$3),IF($F$3="(todos)",TRUE,'ORDENES'!$V27=$F$3),'ORDENES'!$AA27=TRUE),'ORDENES'!$C27&amp;" | "&amp;'ORDENES'!$R27&amp;" | "&amp;IF('ORDENES'!$AB27="","(sin técnico)",'ORDENES'!$AB27)&amp;" | "&amp;'ORDENES'!$E27&amp;" ("&amp;'ORDENES'!$L27&amp;" h)","")</f>
        <v/>
      </c>
    </row>
    <row r="32">
      <c r="K32" s="3">
        <f>IF(AND(IF($B$3="(todos)",TRUE,'ORDENES'!$O28=$B$3),IF($D$3="(todos)",TRUE,'ORDENES'!$AC28=$D$3),IF($F$3="(todos)",TRUE,'ORDENES'!$V28=$F$3),'ORDENES'!$AA28=TRUE),'ORDENES'!$C28&amp;" | "&amp;'ORDENES'!$R28&amp;" | "&amp;IF('ORDENES'!$AB28="","(sin técnico)",'ORDENES'!$AB28)&amp;" | "&amp;'ORDENES'!$E28&amp;" ("&amp;'ORDENES'!$L28&amp;" h)","")</f>
        <v/>
      </c>
    </row>
    <row r="33">
      <c r="K33" s="3">
        <f>IF(AND(IF($B$3="(todos)",TRUE,'ORDENES'!$O29=$B$3),IF($D$3="(todos)",TRUE,'ORDENES'!$AC29=$D$3),IF($F$3="(todos)",TRUE,'ORDENES'!$V29=$F$3),'ORDENES'!$AA29=TRUE),'ORDENES'!$C29&amp;" | "&amp;'ORDENES'!$R29&amp;" | "&amp;IF('ORDENES'!$AB29="","(sin técnico)",'ORDENES'!$AB29)&amp;" | "&amp;'ORDENES'!$E29&amp;" ("&amp;'ORDENES'!$L29&amp;" h)","")</f>
        <v/>
      </c>
    </row>
    <row r="34">
      <c r="K34" s="3">
        <f>IF(AND(IF($B$3="(todos)",TRUE,'ORDENES'!$O30=$B$3),IF($D$3="(todos)",TRUE,'ORDENES'!$AC30=$D$3),IF($F$3="(todos)",TRUE,'ORDENES'!$V30=$F$3),'ORDENES'!$AA30=TRUE),'ORDENES'!$C30&amp;" | "&amp;'ORDENES'!$R30&amp;" | "&amp;IF('ORDENES'!$AB30="","(sin técnico)",'ORDENES'!$AB30)&amp;" | "&amp;'ORDENES'!$E30&amp;" ("&amp;'ORDENES'!$L30&amp;" h)","")</f>
        <v/>
      </c>
    </row>
    <row r="35">
      <c r="K35" s="3">
        <f>IF(AND(IF($B$3="(todos)",TRUE,'ORDENES'!$O31=$B$3),IF($D$3="(todos)",TRUE,'ORDENES'!$AC31=$D$3),IF($F$3="(todos)",TRUE,'ORDENES'!$V31=$F$3),'ORDENES'!$AA31=TRUE),'ORDENES'!$C31&amp;" | "&amp;'ORDENES'!$R31&amp;" | "&amp;IF('ORDENES'!$AB31="","(sin técnico)",'ORDENES'!$AB31)&amp;" | "&amp;'ORDENES'!$E31&amp;" ("&amp;'ORDENES'!$L31&amp;" h)","")</f>
        <v/>
      </c>
    </row>
    <row r="36">
      <c r="K36" s="3">
        <f>IF(AND(IF($B$3="(todos)",TRUE,'ORDENES'!$O32=$B$3),IF($D$3="(todos)",TRUE,'ORDENES'!$AC32=$D$3),IF($F$3="(todos)",TRUE,'ORDENES'!$V32=$F$3),'ORDENES'!$AA32=TRUE),'ORDENES'!$C32&amp;" | "&amp;'ORDENES'!$R32&amp;" | "&amp;IF('ORDENES'!$AB32="","(sin técnico)",'ORDENES'!$AB32)&amp;" | "&amp;'ORDENES'!$E32&amp;" ("&amp;'ORDENES'!$L32&amp;" h)","")</f>
        <v/>
      </c>
    </row>
    <row r="37">
      <c r="K37" s="3">
        <f>IF(AND(IF($B$3="(todos)",TRUE,'ORDENES'!$O33=$B$3),IF($D$3="(todos)",TRUE,'ORDENES'!$AC33=$D$3),IF($F$3="(todos)",TRUE,'ORDENES'!$V33=$F$3),'ORDENES'!$AA33=TRUE),'ORDENES'!$C33&amp;" | "&amp;'ORDENES'!$R33&amp;" | "&amp;IF('ORDENES'!$AB33="","(sin técnico)",'ORDENES'!$AB33)&amp;" | "&amp;'ORDENES'!$E33&amp;" ("&amp;'ORDENES'!$L33&amp;" h)","")</f>
        <v/>
      </c>
    </row>
    <row r="38">
      <c r="K38" s="3">
        <f>IF(AND(IF($B$3="(todos)",TRUE,'ORDENES'!$O34=$B$3),IF($D$3="(todos)",TRUE,'ORDENES'!$AC34=$D$3),IF($F$3="(todos)",TRUE,'ORDENES'!$V34=$F$3),'ORDENES'!$AA34=TRUE),'ORDENES'!$C34&amp;" | "&amp;'ORDENES'!$R34&amp;" | "&amp;IF('ORDENES'!$AB34="","(sin técnico)",'ORDENES'!$AB34)&amp;" | "&amp;'ORDENES'!$E34&amp;" ("&amp;'ORDENES'!$L34&amp;" h)","")</f>
        <v/>
      </c>
    </row>
    <row r="39">
      <c r="K39" s="3">
        <f>IF(AND(IF($B$3="(todos)",TRUE,'ORDENES'!$O35=$B$3),IF($D$3="(todos)",TRUE,'ORDENES'!$AC35=$D$3),IF($F$3="(todos)",TRUE,'ORDENES'!$V35=$F$3),'ORDENES'!$AA35=TRUE),'ORDENES'!$C35&amp;" | "&amp;'ORDENES'!$R35&amp;" | "&amp;IF('ORDENES'!$AB35="","(sin técnico)",'ORDENES'!$AB35)&amp;" | "&amp;'ORDENES'!$E35&amp;" ("&amp;'ORDENES'!$L35&amp;" h)","")</f>
        <v/>
      </c>
    </row>
    <row r="40">
      <c r="K40" s="3">
        <f>IF(AND(IF($B$3="(todos)",TRUE,'ORDENES'!$O36=$B$3),IF($D$3="(todos)",TRUE,'ORDENES'!$AC36=$D$3),IF($F$3="(todos)",TRUE,'ORDENES'!$V36=$F$3),'ORDENES'!$AA36=TRUE),'ORDENES'!$C36&amp;" | "&amp;'ORDENES'!$R36&amp;" | "&amp;IF('ORDENES'!$AB36="","(sin técnico)",'ORDENES'!$AB36)&amp;" | "&amp;'ORDENES'!$E36&amp;" ("&amp;'ORDENES'!$L36&amp;" h)","")</f>
        <v/>
      </c>
    </row>
    <row r="41">
      <c r="K41" s="3">
        <f>IF(AND(IF($B$3="(todos)",TRUE,'ORDENES'!$O37=$B$3),IF($D$3="(todos)",TRUE,'ORDENES'!$AC37=$D$3),IF($F$3="(todos)",TRUE,'ORDENES'!$V37=$F$3),'ORDENES'!$AA37=TRUE),'ORDENES'!$C37&amp;" | "&amp;'ORDENES'!$R37&amp;" | "&amp;IF('ORDENES'!$AB37="","(sin técnico)",'ORDENES'!$AB37)&amp;" | "&amp;'ORDENES'!$E37&amp;" ("&amp;'ORDENES'!$L37&amp;" h)","")</f>
        <v/>
      </c>
    </row>
    <row r="42">
      <c r="K42" s="3">
        <f>IF(AND(IF($B$3="(todos)",TRUE,'ORDENES'!$O38=$B$3),IF($D$3="(todos)",TRUE,'ORDENES'!$AC38=$D$3),IF($F$3="(todos)",TRUE,'ORDENES'!$V38=$F$3),'ORDENES'!$AA38=TRUE),'ORDENES'!$C38&amp;" | "&amp;'ORDENES'!$R38&amp;" | "&amp;IF('ORDENES'!$AB38="","(sin técnico)",'ORDENES'!$AB38)&amp;" | "&amp;'ORDENES'!$E38&amp;" ("&amp;'ORDENES'!$L38&amp;" h)","")</f>
        <v/>
      </c>
    </row>
    <row r="43">
      <c r="K43" s="3">
        <f>IF(AND(IF($B$3="(todos)",TRUE,'ORDENES'!$O39=$B$3),IF($D$3="(todos)",TRUE,'ORDENES'!$AC39=$D$3),IF($F$3="(todos)",TRUE,'ORDENES'!$V39=$F$3),'ORDENES'!$AA39=TRUE),'ORDENES'!$C39&amp;" | "&amp;'ORDENES'!$R39&amp;" | "&amp;IF('ORDENES'!$AB39="","(sin técnico)",'ORDENES'!$AB39)&amp;" | "&amp;'ORDENES'!$E39&amp;" ("&amp;'ORDENES'!$L39&amp;" h)","")</f>
        <v/>
      </c>
    </row>
    <row r="44">
      <c r="K44" s="3">
        <f>IF(AND(IF($B$3="(todos)",TRUE,'ORDENES'!$O40=$B$3),IF($D$3="(todos)",TRUE,'ORDENES'!$AC40=$D$3),IF($F$3="(todos)",TRUE,'ORDENES'!$V40=$F$3),'ORDENES'!$AA40=TRUE),'ORDENES'!$C40&amp;" | "&amp;'ORDENES'!$R40&amp;" | "&amp;IF('ORDENES'!$AB40="","(sin técnico)",'ORDENES'!$AB40)&amp;" | "&amp;'ORDENES'!$E40&amp;" ("&amp;'ORDENES'!$L40&amp;" h)","")</f>
        <v/>
      </c>
    </row>
    <row r="45">
      <c r="K45" s="3">
        <f>IF(AND(IF($B$3="(todos)",TRUE,'ORDENES'!$O41=$B$3),IF($D$3="(todos)",TRUE,'ORDENES'!$AC41=$D$3),IF($F$3="(todos)",TRUE,'ORDENES'!$V41=$F$3),'ORDENES'!$AA41=TRUE),'ORDENES'!$C41&amp;" | "&amp;'ORDENES'!$R41&amp;" | "&amp;IF('ORDENES'!$AB41="","(sin técnico)",'ORDENES'!$AB41)&amp;" | "&amp;'ORDENES'!$E41&amp;" ("&amp;'ORDENES'!$L41&amp;" h)","")</f>
        <v/>
      </c>
    </row>
    <row r="46">
      <c r="K46" s="3">
        <f>IF(AND(IF($B$3="(todos)",TRUE,'ORDENES'!$O42=$B$3),IF($D$3="(todos)",TRUE,'ORDENES'!$AC42=$D$3),IF($F$3="(todos)",TRUE,'ORDENES'!$V42=$F$3),'ORDENES'!$AA42=TRUE),'ORDENES'!$C42&amp;" | "&amp;'ORDENES'!$R42&amp;" | "&amp;IF('ORDENES'!$AB42="","(sin técnico)",'ORDENES'!$AB42)&amp;" | "&amp;'ORDENES'!$E42&amp;" ("&amp;'ORDENES'!$L42&amp;" h)","")</f>
        <v/>
      </c>
    </row>
    <row r="47">
      <c r="K47" s="3">
        <f>IF(AND(IF($B$3="(todos)",TRUE,'ORDENES'!$O43=$B$3),IF($D$3="(todos)",TRUE,'ORDENES'!$AC43=$D$3),IF($F$3="(todos)",TRUE,'ORDENES'!$V43=$F$3),'ORDENES'!$AA43=TRUE),'ORDENES'!$C43&amp;" | "&amp;'ORDENES'!$R43&amp;" | "&amp;IF('ORDENES'!$AB43="","(sin técnico)",'ORDENES'!$AB43)&amp;" | "&amp;'ORDENES'!$E43&amp;" ("&amp;'ORDENES'!$L43&amp;" h)","")</f>
        <v/>
      </c>
    </row>
    <row r="48">
      <c r="K48" s="3">
        <f>IF(AND(IF($B$3="(todos)",TRUE,'ORDENES'!$O44=$B$3),IF($D$3="(todos)",TRUE,'ORDENES'!$AC44=$D$3),IF($F$3="(todos)",TRUE,'ORDENES'!$V44=$F$3),'ORDENES'!$AA44=TRUE),'ORDENES'!$C44&amp;" | "&amp;'ORDENES'!$R44&amp;" | "&amp;IF('ORDENES'!$AB44="","(sin técnico)",'ORDENES'!$AB44)&amp;" | "&amp;'ORDENES'!$E44&amp;" ("&amp;'ORDENES'!$L44&amp;" h)","")</f>
        <v/>
      </c>
    </row>
    <row r="49">
      <c r="K49" s="3">
        <f>IF(AND(IF($B$3="(todos)",TRUE,'ORDENES'!$O45=$B$3),IF($D$3="(todos)",TRUE,'ORDENES'!$AC45=$D$3),IF($F$3="(todos)",TRUE,'ORDENES'!$V45=$F$3),'ORDENES'!$AA45=TRUE),'ORDENES'!$C45&amp;" | "&amp;'ORDENES'!$R45&amp;" | "&amp;IF('ORDENES'!$AB45="","(sin técnico)",'ORDENES'!$AB45)&amp;" | "&amp;'ORDENES'!$E45&amp;" ("&amp;'ORDENES'!$L45&amp;" h)","")</f>
        <v/>
      </c>
    </row>
    <row r="50">
      <c r="K50" s="3">
        <f>IF(AND(IF($B$3="(todos)",TRUE,'ORDENES'!$O46=$B$3),IF($D$3="(todos)",TRUE,'ORDENES'!$AC46=$D$3),IF($F$3="(todos)",TRUE,'ORDENES'!$V46=$F$3),'ORDENES'!$AA46=TRUE),'ORDENES'!$C46&amp;" | "&amp;'ORDENES'!$R46&amp;" | "&amp;IF('ORDENES'!$AB46="","(sin técnico)",'ORDENES'!$AB46)&amp;" | "&amp;'ORDENES'!$E46&amp;" ("&amp;'ORDENES'!$L46&amp;" h)","")</f>
        <v/>
      </c>
    </row>
    <row r="51">
      <c r="K51" s="3">
        <f>IF(AND(IF($B$3="(todos)",TRUE,'ORDENES'!$O47=$B$3),IF($D$3="(todos)",TRUE,'ORDENES'!$AC47=$D$3),IF($F$3="(todos)",TRUE,'ORDENES'!$V47=$F$3),'ORDENES'!$AA47=TRUE),'ORDENES'!$C47&amp;" | "&amp;'ORDENES'!$R47&amp;" | "&amp;IF('ORDENES'!$AB47="","(sin técnico)",'ORDENES'!$AB47)&amp;" | "&amp;'ORDENES'!$E47&amp;" ("&amp;'ORDENES'!$L47&amp;" h)","")</f>
        <v/>
      </c>
    </row>
    <row r="52">
      <c r="K52" s="3">
        <f>IF(AND(IF($B$3="(todos)",TRUE,'ORDENES'!$O48=$B$3),IF($D$3="(todos)",TRUE,'ORDENES'!$AC48=$D$3),IF($F$3="(todos)",TRUE,'ORDENES'!$V48=$F$3),'ORDENES'!$AA48=TRUE),'ORDENES'!$C48&amp;" | "&amp;'ORDENES'!$R48&amp;" | "&amp;IF('ORDENES'!$AB48="","(sin técnico)",'ORDENES'!$AB48)&amp;" | "&amp;'ORDENES'!$E48&amp;" ("&amp;'ORDENES'!$L48&amp;" h)","")</f>
        <v/>
      </c>
    </row>
    <row r="53">
      <c r="K53" s="3">
        <f>IF(AND(IF($B$3="(todos)",TRUE,'ORDENES'!$O49=$B$3),IF($D$3="(todos)",TRUE,'ORDENES'!$AC49=$D$3),IF($F$3="(todos)",TRUE,'ORDENES'!$V49=$F$3),'ORDENES'!$AA49=TRUE),'ORDENES'!$C49&amp;" | "&amp;'ORDENES'!$R49&amp;" | "&amp;IF('ORDENES'!$AB49="","(sin técnico)",'ORDENES'!$AB49)&amp;" | "&amp;'ORDENES'!$E49&amp;" ("&amp;'ORDENES'!$L49&amp;" h)","")</f>
        <v/>
      </c>
    </row>
    <row r="54">
      <c r="K54" s="3">
        <f>IF(AND(IF($B$3="(todos)",TRUE,'ORDENES'!$O50=$B$3),IF($D$3="(todos)",TRUE,'ORDENES'!$AC50=$D$3),IF($F$3="(todos)",TRUE,'ORDENES'!$V50=$F$3),'ORDENES'!$AA50=TRUE),'ORDENES'!$C50&amp;" | "&amp;'ORDENES'!$R50&amp;" | "&amp;IF('ORDENES'!$AB50="","(sin técnico)",'ORDENES'!$AB50)&amp;" | "&amp;'ORDENES'!$E50&amp;" ("&amp;'ORDENES'!$L50&amp;" h)","")</f>
        <v/>
      </c>
    </row>
    <row r="55">
      <c r="K55" s="3">
        <f>IF(AND(IF($B$3="(todos)",TRUE,'ORDENES'!$O51=$B$3),IF($D$3="(todos)",TRUE,'ORDENES'!$AC51=$D$3),IF($F$3="(todos)",TRUE,'ORDENES'!$V51=$F$3),'ORDENES'!$AA51=TRUE),'ORDENES'!$C51&amp;" | "&amp;'ORDENES'!$R51&amp;" | "&amp;IF('ORDENES'!$AB51="","(sin técnico)",'ORDENES'!$AB51)&amp;" | "&amp;'ORDENES'!$E51&amp;" ("&amp;'ORDENES'!$L51&amp;" h)","")</f>
        <v/>
      </c>
    </row>
    <row r="56">
      <c r="K56" s="3">
        <f>IF(AND(IF($B$3="(todos)",TRUE,'ORDENES'!$O52=$B$3),IF($D$3="(todos)",TRUE,'ORDENES'!$AC52=$D$3),IF($F$3="(todos)",TRUE,'ORDENES'!$V52=$F$3),'ORDENES'!$AA52=TRUE),'ORDENES'!$C52&amp;" | "&amp;'ORDENES'!$R52&amp;" | "&amp;IF('ORDENES'!$AB52="","(sin técnico)",'ORDENES'!$AB52)&amp;" | "&amp;'ORDENES'!$E52&amp;" ("&amp;'ORDENES'!$L52&amp;" h)","")</f>
        <v/>
      </c>
    </row>
    <row r="57">
      <c r="K57" s="3">
        <f>IF(AND(IF($B$3="(todos)",TRUE,'ORDENES'!$O53=$B$3),IF($D$3="(todos)",TRUE,'ORDENES'!$AC53=$D$3),IF($F$3="(todos)",TRUE,'ORDENES'!$V53=$F$3),'ORDENES'!$AA53=TRUE),'ORDENES'!$C53&amp;" | "&amp;'ORDENES'!$R53&amp;" | "&amp;IF('ORDENES'!$AB53="","(sin técnico)",'ORDENES'!$AB53)&amp;" | "&amp;'ORDENES'!$E53&amp;" ("&amp;'ORDENES'!$L53&amp;" h)","")</f>
        <v/>
      </c>
    </row>
    <row r="58">
      <c r="K58" s="3">
        <f>IF(AND(IF($B$3="(todos)",TRUE,'ORDENES'!$O54=$B$3),IF($D$3="(todos)",TRUE,'ORDENES'!$AC54=$D$3),IF($F$3="(todos)",TRUE,'ORDENES'!$V54=$F$3),'ORDENES'!$AA54=TRUE),'ORDENES'!$C54&amp;" | "&amp;'ORDENES'!$R54&amp;" | "&amp;IF('ORDENES'!$AB54="","(sin técnico)",'ORDENES'!$AB54)&amp;" | "&amp;'ORDENES'!$E54&amp;" ("&amp;'ORDENES'!$L54&amp;" h)","")</f>
        <v/>
      </c>
    </row>
    <row r="59">
      <c r="K59" s="3">
        <f>IF(AND(IF($B$3="(todos)",TRUE,'ORDENES'!$O55=$B$3),IF($D$3="(todos)",TRUE,'ORDENES'!$AC55=$D$3),IF($F$3="(todos)",TRUE,'ORDENES'!$V55=$F$3),'ORDENES'!$AA55=TRUE),'ORDENES'!$C55&amp;" | "&amp;'ORDENES'!$R55&amp;" | "&amp;IF('ORDENES'!$AB55="","(sin técnico)",'ORDENES'!$AB55)&amp;" | "&amp;'ORDENES'!$E55&amp;" ("&amp;'ORDENES'!$L55&amp;" h)","")</f>
        <v/>
      </c>
    </row>
    <row r="60">
      <c r="K60" s="3">
        <f>IF(AND(IF($B$3="(todos)",TRUE,'ORDENES'!$O56=$B$3),IF($D$3="(todos)",TRUE,'ORDENES'!$AC56=$D$3),IF($F$3="(todos)",TRUE,'ORDENES'!$V56=$F$3),'ORDENES'!$AA56=TRUE),'ORDENES'!$C56&amp;" | "&amp;'ORDENES'!$R56&amp;" | "&amp;IF('ORDENES'!$AB56="","(sin técnico)",'ORDENES'!$AB56)&amp;" | "&amp;'ORDENES'!$E56&amp;" ("&amp;'ORDENES'!$L56&amp;" h)","")</f>
        <v/>
      </c>
    </row>
    <row r="61">
      <c r="K61" s="3">
        <f>IF(AND(IF($B$3="(todos)",TRUE,'ORDENES'!$O57=$B$3),IF($D$3="(todos)",TRUE,'ORDENES'!$AC57=$D$3),IF($F$3="(todos)",TRUE,'ORDENES'!$V57=$F$3),'ORDENES'!$AA57=TRUE),'ORDENES'!$C57&amp;" | "&amp;'ORDENES'!$R57&amp;" | "&amp;IF('ORDENES'!$AB57="","(sin técnico)",'ORDENES'!$AB57)&amp;" | "&amp;'ORDENES'!$E57&amp;" ("&amp;'ORDENES'!$L57&amp;" h)","")</f>
        <v/>
      </c>
    </row>
    <row r="62">
      <c r="K62" s="3">
        <f>IF(AND(IF($B$3="(todos)",TRUE,'ORDENES'!$O58=$B$3),IF($D$3="(todos)",TRUE,'ORDENES'!$AC58=$D$3),IF($F$3="(todos)",TRUE,'ORDENES'!$V58=$F$3),'ORDENES'!$AA58=TRUE),'ORDENES'!$C58&amp;" | "&amp;'ORDENES'!$R58&amp;" | "&amp;IF('ORDENES'!$AB58="","(sin técnico)",'ORDENES'!$AB58)&amp;" | "&amp;'ORDENES'!$E58&amp;" ("&amp;'ORDENES'!$L58&amp;" h)","")</f>
        <v/>
      </c>
    </row>
    <row r="63">
      <c r="K63" s="3">
        <f>IF(AND(IF($B$3="(todos)",TRUE,'ORDENES'!$O59=$B$3),IF($D$3="(todos)",TRUE,'ORDENES'!$AC59=$D$3),IF($F$3="(todos)",TRUE,'ORDENES'!$V59=$F$3),'ORDENES'!$AA59=TRUE),'ORDENES'!$C59&amp;" | "&amp;'ORDENES'!$R59&amp;" | "&amp;IF('ORDENES'!$AB59="","(sin técnico)",'ORDENES'!$AB59)&amp;" | "&amp;'ORDENES'!$E59&amp;" ("&amp;'ORDENES'!$L59&amp;" h)","")</f>
        <v/>
      </c>
    </row>
    <row r="64">
      <c r="K64" s="3">
        <f>IF(AND(IF($B$3="(todos)",TRUE,'ORDENES'!$O60=$B$3),IF($D$3="(todos)",TRUE,'ORDENES'!$AC60=$D$3),IF($F$3="(todos)",TRUE,'ORDENES'!$V60=$F$3),'ORDENES'!$AA60=TRUE),'ORDENES'!$C60&amp;" | "&amp;'ORDENES'!$R60&amp;" | "&amp;IF('ORDENES'!$AB60="","(sin técnico)",'ORDENES'!$AB60)&amp;" | "&amp;'ORDENES'!$E60&amp;" ("&amp;'ORDENES'!$L60&amp;" h)","")</f>
        <v/>
      </c>
    </row>
    <row r="65">
      <c r="K65" s="3">
        <f>IF(AND(IF($B$3="(todos)",TRUE,'ORDENES'!$O61=$B$3),IF($D$3="(todos)",TRUE,'ORDENES'!$AC61=$D$3),IF($F$3="(todos)",TRUE,'ORDENES'!$V61=$F$3),'ORDENES'!$AA61=TRUE),'ORDENES'!$C61&amp;" | "&amp;'ORDENES'!$R61&amp;" | "&amp;IF('ORDENES'!$AB61="","(sin técnico)",'ORDENES'!$AB61)&amp;" | "&amp;'ORDENES'!$E61&amp;" ("&amp;'ORDENES'!$L61&amp;" h)","")</f>
        <v/>
      </c>
    </row>
    <row r="66">
      <c r="K66" s="3">
        <f>IF(AND(IF($B$3="(todos)",TRUE,'ORDENES'!$O62=$B$3),IF($D$3="(todos)",TRUE,'ORDENES'!$AC62=$D$3),IF($F$3="(todos)",TRUE,'ORDENES'!$V62=$F$3),'ORDENES'!$AA62=TRUE),'ORDENES'!$C62&amp;" | "&amp;'ORDENES'!$R62&amp;" | "&amp;IF('ORDENES'!$AB62="","(sin técnico)",'ORDENES'!$AB62)&amp;" | "&amp;'ORDENES'!$E62&amp;" ("&amp;'ORDENES'!$L62&amp;" h)","")</f>
        <v/>
      </c>
    </row>
    <row r="67">
      <c r="K67" s="3">
        <f>IF(AND(IF($B$3="(todos)",TRUE,'ORDENES'!$O63=$B$3),IF($D$3="(todos)",TRUE,'ORDENES'!$AC63=$D$3),IF($F$3="(todos)",TRUE,'ORDENES'!$V63=$F$3),'ORDENES'!$AA63=TRUE),'ORDENES'!$C63&amp;" | "&amp;'ORDENES'!$R63&amp;" | "&amp;IF('ORDENES'!$AB63="","(sin técnico)",'ORDENES'!$AB63)&amp;" | "&amp;'ORDENES'!$E63&amp;" ("&amp;'ORDENES'!$L63&amp;" h)","")</f>
        <v/>
      </c>
    </row>
    <row r="68">
      <c r="K68" s="3">
        <f>IF(AND(IF($B$3="(todos)",TRUE,'ORDENES'!$O64=$B$3),IF($D$3="(todos)",TRUE,'ORDENES'!$AC64=$D$3),IF($F$3="(todos)",TRUE,'ORDENES'!$V64=$F$3),'ORDENES'!$AA64=TRUE),'ORDENES'!$C64&amp;" | "&amp;'ORDENES'!$R64&amp;" | "&amp;IF('ORDENES'!$AB64="","(sin técnico)",'ORDENES'!$AB64)&amp;" | "&amp;'ORDENES'!$E64&amp;" ("&amp;'ORDENES'!$L64&amp;" h)","")</f>
        <v/>
      </c>
    </row>
    <row r="69">
      <c r="K69" s="3">
        <f>IF(AND(IF($B$3="(todos)",TRUE,'ORDENES'!$O65=$B$3),IF($D$3="(todos)",TRUE,'ORDENES'!$AC65=$D$3),IF($F$3="(todos)",TRUE,'ORDENES'!$V65=$F$3),'ORDENES'!$AA65=TRUE),'ORDENES'!$C65&amp;" | "&amp;'ORDENES'!$R65&amp;" | "&amp;IF('ORDENES'!$AB65="","(sin técnico)",'ORDENES'!$AB65)&amp;" | "&amp;'ORDENES'!$E65&amp;" ("&amp;'ORDENES'!$L65&amp;" h)","")</f>
        <v/>
      </c>
    </row>
    <row r="70">
      <c r="K70" s="3">
        <f>IF(AND(IF($B$3="(todos)",TRUE,'ORDENES'!$O66=$B$3),IF($D$3="(todos)",TRUE,'ORDENES'!$AC66=$D$3),IF($F$3="(todos)",TRUE,'ORDENES'!$V66=$F$3),'ORDENES'!$AA66=TRUE),'ORDENES'!$C66&amp;" | "&amp;'ORDENES'!$R66&amp;" | "&amp;IF('ORDENES'!$AB66="","(sin técnico)",'ORDENES'!$AB66)&amp;" | "&amp;'ORDENES'!$E66&amp;" ("&amp;'ORDENES'!$L66&amp;" h)","")</f>
        <v/>
      </c>
    </row>
    <row r="71">
      <c r="K71" s="3">
        <f>IF(AND(IF($B$3="(todos)",TRUE,'ORDENES'!$O67=$B$3),IF($D$3="(todos)",TRUE,'ORDENES'!$AC67=$D$3),IF($F$3="(todos)",TRUE,'ORDENES'!$V67=$F$3),'ORDENES'!$AA67=TRUE),'ORDENES'!$C67&amp;" | "&amp;'ORDENES'!$R67&amp;" | "&amp;IF('ORDENES'!$AB67="","(sin técnico)",'ORDENES'!$AB67)&amp;" | "&amp;'ORDENES'!$E67&amp;" ("&amp;'ORDENES'!$L67&amp;" h)","")</f>
        <v/>
      </c>
    </row>
    <row r="72">
      <c r="K72" s="3">
        <f>IF(AND(IF($B$3="(todos)",TRUE,'ORDENES'!$O68=$B$3),IF($D$3="(todos)",TRUE,'ORDENES'!$AC68=$D$3),IF($F$3="(todos)",TRUE,'ORDENES'!$V68=$F$3),'ORDENES'!$AA68=TRUE),'ORDENES'!$C68&amp;" | "&amp;'ORDENES'!$R68&amp;" | "&amp;IF('ORDENES'!$AB68="","(sin técnico)",'ORDENES'!$AB68)&amp;" | "&amp;'ORDENES'!$E68&amp;" ("&amp;'ORDENES'!$L68&amp;" h)","")</f>
        <v/>
      </c>
    </row>
    <row r="73">
      <c r="K73" s="3">
        <f>IF(AND(IF($B$3="(todos)",TRUE,'ORDENES'!$O69=$B$3),IF($D$3="(todos)",TRUE,'ORDENES'!$AC69=$D$3),IF($F$3="(todos)",TRUE,'ORDENES'!$V69=$F$3),'ORDENES'!$AA69=TRUE),'ORDENES'!$C69&amp;" | "&amp;'ORDENES'!$R69&amp;" | "&amp;IF('ORDENES'!$AB69="","(sin técnico)",'ORDENES'!$AB69)&amp;" | "&amp;'ORDENES'!$E69&amp;" ("&amp;'ORDENES'!$L69&amp;" h)","")</f>
        <v/>
      </c>
    </row>
    <row r="74">
      <c r="K74" s="3">
        <f>IF(AND(IF($B$3="(todos)",TRUE,'ORDENES'!$O70=$B$3),IF($D$3="(todos)",TRUE,'ORDENES'!$AC70=$D$3),IF($F$3="(todos)",TRUE,'ORDENES'!$V70=$F$3),'ORDENES'!$AA70=TRUE),'ORDENES'!$C70&amp;" | "&amp;'ORDENES'!$R70&amp;" | "&amp;IF('ORDENES'!$AB70="","(sin técnico)",'ORDENES'!$AB70)&amp;" | "&amp;'ORDENES'!$E70&amp;" ("&amp;'ORDENES'!$L70&amp;" h)","")</f>
        <v/>
      </c>
    </row>
    <row r="75">
      <c r="K75" s="3">
        <f>IF(AND(IF($B$3="(todos)",TRUE,'ORDENES'!$O71=$B$3),IF($D$3="(todos)",TRUE,'ORDENES'!$AC71=$D$3),IF($F$3="(todos)",TRUE,'ORDENES'!$V71=$F$3),'ORDENES'!$AA71=TRUE),'ORDENES'!$C71&amp;" | "&amp;'ORDENES'!$R71&amp;" | "&amp;IF('ORDENES'!$AB71="","(sin técnico)",'ORDENES'!$AB71)&amp;" | "&amp;'ORDENES'!$E71&amp;" ("&amp;'ORDENES'!$L71&amp;" h)","")</f>
        <v/>
      </c>
    </row>
    <row r="76">
      <c r="K76" s="3">
        <f>IF(AND(IF($B$3="(todos)",TRUE,'ORDENES'!$O72=$B$3),IF($D$3="(todos)",TRUE,'ORDENES'!$AC72=$D$3),IF($F$3="(todos)",TRUE,'ORDENES'!$V72=$F$3),'ORDENES'!$AA72=TRUE),'ORDENES'!$C72&amp;" | "&amp;'ORDENES'!$R72&amp;" | "&amp;IF('ORDENES'!$AB72="","(sin técnico)",'ORDENES'!$AB72)&amp;" | "&amp;'ORDENES'!$E72&amp;" ("&amp;'ORDENES'!$L72&amp;" h)","")</f>
        <v/>
      </c>
    </row>
    <row r="77">
      <c r="K77" s="3">
        <f>IF(AND(IF($B$3="(todos)",TRUE,'ORDENES'!$O73=$B$3),IF($D$3="(todos)",TRUE,'ORDENES'!$AC73=$D$3),IF($F$3="(todos)",TRUE,'ORDENES'!$V73=$F$3),'ORDENES'!$AA73=TRUE),'ORDENES'!$C73&amp;" | "&amp;'ORDENES'!$R73&amp;" | "&amp;IF('ORDENES'!$AB73="","(sin técnico)",'ORDENES'!$AB73)&amp;" | "&amp;'ORDENES'!$E73&amp;" ("&amp;'ORDENES'!$L73&amp;" h)","")</f>
        <v/>
      </c>
    </row>
    <row r="78">
      <c r="K78" s="3">
        <f>IF(AND(IF($B$3="(todos)",TRUE,'ORDENES'!$O74=$B$3),IF($D$3="(todos)",TRUE,'ORDENES'!$AC74=$D$3),IF($F$3="(todos)",TRUE,'ORDENES'!$V74=$F$3),'ORDENES'!$AA74=TRUE),'ORDENES'!$C74&amp;" | "&amp;'ORDENES'!$R74&amp;" | "&amp;IF('ORDENES'!$AB74="","(sin técnico)",'ORDENES'!$AB74)&amp;" | "&amp;'ORDENES'!$E74&amp;" ("&amp;'ORDENES'!$L74&amp;" h)","")</f>
        <v/>
      </c>
    </row>
    <row r="79">
      <c r="K79" s="3">
        <f>IF(AND(IF($B$3="(todos)",TRUE,'ORDENES'!$O75=$B$3),IF($D$3="(todos)",TRUE,'ORDENES'!$AC75=$D$3),IF($F$3="(todos)",TRUE,'ORDENES'!$V75=$F$3),'ORDENES'!$AA75=TRUE),'ORDENES'!$C75&amp;" | "&amp;'ORDENES'!$R75&amp;" | "&amp;IF('ORDENES'!$AB75="","(sin técnico)",'ORDENES'!$AB75)&amp;" | "&amp;'ORDENES'!$E75&amp;" ("&amp;'ORDENES'!$L75&amp;" h)","")</f>
        <v/>
      </c>
    </row>
    <row r="80">
      <c r="K80" s="3">
        <f>IF(AND(IF($B$3="(todos)",TRUE,'ORDENES'!$O76=$B$3),IF($D$3="(todos)",TRUE,'ORDENES'!$AC76=$D$3),IF($F$3="(todos)",TRUE,'ORDENES'!$V76=$F$3),'ORDENES'!$AA76=TRUE),'ORDENES'!$C76&amp;" | "&amp;'ORDENES'!$R76&amp;" | "&amp;IF('ORDENES'!$AB76="","(sin técnico)",'ORDENES'!$AB76)&amp;" | "&amp;'ORDENES'!$E76&amp;" ("&amp;'ORDENES'!$L76&amp;" h)","")</f>
        <v/>
      </c>
    </row>
    <row r="81">
      <c r="K81" s="3">
        <f>IF(AND(IF($B$3="(todos)",TRUE,'ORDENES'!$O77=$B$3),IF($D$3="(todos)",TRUE,'ORDENES'!$AC77=$D$3),IF($F$3="(todos)",TRUE,'ORDENES'!$V77=$F$3),'ORDENES'!$AA77=TRUE),'ORDENES'!$C77&amp;" | "&amp;'ORDENES'!$R77&amp;" | "&amp;IF('ORDENES'!$AB77="","(sin técnico)",'ORDENES'!$AB77)&amp;" | "&amp;'ORDENES'!$E77&amp;" ("&amp;'ORDENES'!$L77&amp;" h)","")</f>
        <v/>
      </c>
    </row>
    <row r="82">
      <c r="K82" s="3">
        <f>IF(AND(IF($B$3="(todos)",TRUE,'ORDENES'!$O78=$B$3),IF($D$3="(todos)",TRUE,'ORDENES'!$AC78=$D$3),IF($F$3="(todos)",TRUE,'ORDENES'!$V78=$F$3),'ORDENES'!$AA78=TRUE),'ORDENES'!$C78&amp;" | "&amp;'ORDENES'!$R78&amp;" | "&amp;IF('ORDENES'!$AB78="","(sin técnico)",'ORDENES'!$AB78)&amp;" | "&amp;'ORDENES'!$E78&amp;" ("&amp;'ORDENES'!$L78&amp;" h)","")</f>
        <v/>
      </c>
    </row>
    <row r="83">
      <c r="K83" s="3">
        <f>IF(AND(IF($B$3="(todos)",TRUE,'ORDENES'!$O79=$B$3),IF($D$3="(todos)",TRUE,'ORDENES'!$AC79=$D$3),IF($F$3="(todos)",TRUE,'ORDENES'!$V79=$F$3),'ORDENES'!$AA79=TRUE),'ORDENES'!$C79&amp;" | "&amp;'ORDENES'!$R79&amp;" | "&amp;IF('ORDENES'!$AB79="","(sin técnico)",'ORDENES'!$AB79)&amp;" | "&amp;'ORDENES'!$E79&amp;" ("&amp;'ORDENES'!$L79&amp;" h)","")</f>
        <v/>
      </c>
    </row>
    <row r="84">
      <c r="K84" s="3">
        <f>IF(AND(IF($B$3="(todos)",TRUE,'ORDENES'!$O80=$B$3),IF($D$3="(todos)",TRUE,'ORDENES'!$AC80=$D$3),IF($F$3="(todos)",TRUE,'ORDENES'!$V80=$F$3),'ORDENES'!$AA80=TRUE),'ORDENES'!$C80&amp;" | "&amp;'ORDENES'!$R80&amp;" | "&amp;IF('ORDENES'!$AB80="","(sin técnico)",'ORDENES'!$AB80)&amp;" | "&amp;'ORDENES'!$E80&amp;" ("&amp;'ORDENES'!$L80&amp;" h)","")</f>
        <v/>
      </c>
    </row>
    <row r="85">
      <c r="K85" s="3">
        <f>IF(AND(IF($B$3="(todos)",TRUE,'ORDENES'!$O81=$B$3),IF($D$3="(todos)",TRUE,'ORDENES'!$AC81=$D$3),IF($F$3="(todos)",TRUE,'ORDENES'!$V81=$F$3),'ORDENES'!$AA81=TRUE),'ORDENES'!$C81&amp;" | "&amp;'ORDENES'!$R81&amp;" | "&amp;IF('ORDENES'!$AB81="","(sin técnico)",'ORDENES'!$AB81)&amp;" | "&amp;'ORDENES'!$E81&amp;" ("&amp;'ORDENES'!$L81&amp;" h)","")</f>
        <v/>
      </c>
    </row>
    <row r="86">
      <c r="K86" s="3">
        <f>IF(AND(IF($B$3="(todos)",TRUE,'ORDENES'!$O82=$B$3),IF($D$3="(todos)",TRUE,'ORDENES'!$AC82=$D$3),IF($F$3="(todos)",TRUE,'ORDENES'!$V82=$F$3),'ORDENES'!$AA82=TRUE),'ORDENES'!$C82&amp;" | "&amp;'ORDENES'!$R82&amp;" | "&amp;IF('ORDENES'!$AB82="","(sin técnico)",'ORDENES'!$AB82)&amp;" | "&amp;'ORDENES'!$E82&amp;" ("&amp;'ORDENES'!$L82&amp;" h)","")</f>
        <v/>
      </c>
    </row>
    <row r="87">
      <c r="K87" s="3">
        <f>IF(AND(IF($B$3="(todos)",TRUE,'ORDENES'!$O83=$B$3),IF($D$3="(todos)",TRUE,'ORDENES'!$AC83=$D$3),IF($F$3="(todos)",TRUE,'ORDENES'!$V83=$F$3),'ORDENES'!$AA83=TRUE),'ORDENES'!$C83&amp;" | "&amp;'ORDENES'!$R83&amp;" | "&amp;IF('ORDENES'!$AB83="","(sin técnico)",'ORDENES'!$AB83)&amp;" | "&amp;'ORDENES'!$E83&amp;" ("&amp;'ORDENES'!$L83&amp;" h)","")</f>
        <v/>
      </c>
    </row>
    <row r="88">
      <c r="K88" s="3">
        <f>IF(AND(IF($B$3="(todos)",TRUE,'ORDENES'!$O84=$B$3),IF($D$3="(todos)",TRUE,'ORDENES'!$AC84=$D$3),IF($F$3="(todos)",TRUE,'ORDENES'!$V84=$F$3),'ORDENES'!$AA84=TRUE),'ORDENES'!$C84&amp;" | "&amp;'ORDENES'!$R84&amp;" | "&amp;IF('ORDENES'!$AB84="","(sin técnico)",'ORDENES'!$AB84)&amp;" | "&amp;'ORDENES'!$E84&amp;" ("&amp;'ORDENES'!$L84&amp;" h)","")</f>
        <v/>
      </c>
    </row>
    <row r="89">
      <c r="K89" s="3">
        <f>IF(AND(IF($B$3="(todos)",TRUE,'ORDENES'!$O85=$B$3),IF($D$3="(todos)",TRUE,'ORDENES'!$AC85=$D$3),IF($F$3="(todos)",TRUE,'ORDENES'!$V85=$F$3),'ORDENES'!$AA85=TRUE),'ORDENES'!$C85&amp;" | "&amp;'ORDENES'!$R85&amp;" | "&amp;IF('ORDENES'!$AB85="","(sin técnico)",'ORDENES'!$AB85)&amp;" | "&amp;'ORDENES'!$E85&amp;" ("&amp;'ORDENES'!$L85&amp;" h)","")</f>
        <v/>
      </c>
    </row>
    <row r="90">
      <c r="K90" s="3">
        <f>IF(AND(IF($B$3="(todos)",TRUE,'ORDENES'!$O86=$B$3),IF($D$3="(todos)",TRUE,'ORDENES'!$AC86=$D$3),IF($F$3="(todos)",TRUE,'ORDENES'!$V86=$F$3),'ORDENES'!$AA86=TRUE),'ORDENES'!$C86&amp;" | "&amp;'ORDENES'!$R86&amp;" | "&amp;IF('ORDENES'!$AB86="","(sin técnico)",'ORDENES'!$AB86)&amp;" | "&amp;'ORDENES'!$E86&amp;" ("&amp;'ORDENES'!$L86&amp;" h)","")</f>
        <v/>
      </c>
    </row>
    <row r="91">
      <c r="K91" s="3">
        <f>IF(AND(IF($B$3="(todos)",TRUE,'ORDENES'!$O87=$B$3),IF($D$3="(todos)",TRUE,'ORDENES'!$AC87=$D$3),IF($F$3="(todos)",TRUE,'ORDENES'!$V87=$F$3),'ORDENES'!$AA87=TRUE),'ORDENES'!$C87&amp;" | "&amp;'ORDENES'!$R87&amp;" | "&amp;IF('ORDENES'!$AB87="","(sin técnico)",'ORDENES'!$AB87)&amp;" | "&amp;'ORDENES'!$E87&amp;" ("&amp;'ORDENES'!$L87&amp;" h)","")</f>
        <v/>
      </c>
    </row>
    <row r="92">
      <c r="K92" s="3">
        <f>IF(AND(IF($B$3="(todos)",TRUE,'ORDENES'!$O88=$B$3),IF($D$3="(todos)",TRUE,'ORDENES'!$AC88=$D$3),IF($F$3="(todos)",TRUE,'ORDENES'!$V88=$F$3),'ORDENES'!$AA88=TRUE),'ORDENES'!$C88&amp;" | "&amp;'ORDENES'!$R88&amp;" | "&amp;IF('ORDENES'!$AB88="","(sin técnico)",'ORDENES'!$AB88)&amp;" | "&amp;'ORDENES'!$E88&amp;" ("&amp;'ORDENES'!$L88&amp;" h)","")</f>
        <v/>
      </c>
    </row>
    <row r="93">
      <c r="K93" s="3">
        <f>IF(AND(IF($B$3="(todos)",TRUE,'ORDENES'!$O89=$B$3),IF($D$3="(todos)",TRUE,'ORDENES'!$AC89=$D$3),IF($F$3="(todos)",TRUE,'ORDENES'!$V89=$F$3),'ORDENES'!$AA89=TRUE),'ORDENES'!$C89&amp;" | "&amp;'ORDENES'!$R89&amp;" | "&amp;IF('ORDENES'!$AB89="","(sin técnico)",'ORDENES'!$AB89)&amp;" | "&amp;'ORDENES'!$E89&amp;" ("&amp;'ORDENES'!$L89&amp;" h)","")</f>
        <v/>
      </c>
    </row>
    <row r="94">
      <c r="K94" s="3">
        <f>IF(AND(IF($B$3="(todos)",TRUE,'ORDENES'!$O90=$B$3),IF($D$3="(todos)",TRUE,'ORDENES'!$AC90=$D$3),IF($F$3="(todos)",TRUE,'ORDENES'!$V90=$F$3),'ORDENES'!$AA90=TRUE),'ORDENES'!$C90&amp;" | "&amp;'ORDENES'!$R90&amp;" | "&amp;IF('ORDENES'!$AB90="","(sin técnico)",'ORDENES'!$AB90)&amp;" | "&amp;'ORDENES'!$E90&amp;" ("&amp;'ORDENES'!$L90&amp;" h)","")</f>
        <v/>
      </c>
    </row>
    <row r="95">
      <c r="K95" s="3">
        <f>IF(AND(IF($B$3="(todos)",TRUE,'ORDENES'!$O91=$B$3),IF($D$3="(todos)",TRUE,'ORDENES'!$AC91=$D$3),IF($F$3="(todos)",TRUE,'ORDENES'!$V91=$F$3),'ORDENES'!$AA91=TRUE),'ORDENES'!$C91&amp;" | "&amp;'ORDENES'!$R91&amp;" | "&amp;IF('ORDENES'!$AB91="","(sin técnico)",'ORDENES'!$AB91)&amp;" | "&amp;'ORDENES'!$E91&amp;" ("&amp;'ORDENES'!$L91&amp;" h)","")</f>
        <v/>
      </c>
    </row>
    <row r="96">
      <c r="K96" s="3">
        <f>IF(AND(IF($B$3="(todos)",TRUE,'ORDENES'!$O92=$B$3),IF($D$3="(todos)",TRUE,'ORDENES'!$AC92=$D$3),IF($F$3="(todos)",TRUE,'ORDENES'!$V92=$F$3),'ORDENES'!$AA92=TRUE),'ORDENES'!$C92&amp;" | "&amp;'ORDENES'!$R92&amp;" | "&amp;IF('ORDENES'!$AB92="","(sin técnico)",'ORDENES'!$AB92)&amp;" | "&amp;'ORDENES'!$E92&amp;" ("&amp;'ORDENES'!$L92&amp;" h)","")</f>
        <v/>
      </c>
    </row>
    <row r="97">
      <c r="K97" s="3">
        <f>IF(AND(IF($B$3="(todos)",TRUE,'ORDENES'!$O93=$B$3),IF($D$3="(todos)",TRUE,'ORDENES'!$AC93=$D$3),IF($F$3="(todos)",TRUE,'ORDENES'!$V93=$F$3),'ORDENES'!$AA93=TRUE),'ORDENES'!$C93&amp;" | "&amp;'ORDENES'!$R93&amp;" | "&amp;IF('ORDENES'!$AB93="","(sin técnico)",'ORDENES'!$AB93)&amp;" | "&amp;'ORDENES'!$E93&amp;" ("&amp;'ORDENES'!$L93&amp;" h)","")</f>
        <v/>
      </c>
    </row>
    <row r="98">
      <c r="K98" s="3">
        <f>IF(AND(IF($B$3="(todos)",TRUE,'ORDENES'!$O94=$B$3),IF($D$3="(todos)",TRUE,'ORDENES'!$AC94=$D$3),IF($F$3="(todos)",TRUE,'ORDENES'!$V94=$F$3),'ORDENES'!$AA94=TRUE),'ORDENES'!$C94&amp;" | "&amp;'ORDENES'!$R94&amp;" | "&amp;IF('ORDENES'!$AB94="","(sin técnico)",'ORDENES'!$AB94)&amp;" | "&amp;'ORDENES'!$E94&amp;" ("&amp;'ORDENES'!$L94&amp;" h)","")</f>
        <v/>
      </c>
    </row>
    <row r="99">
      <c r="K99" s="3">
        <f>IF(AND(IF($B$3="(todos)",TRUE,'ORDENES'!$O95=$B$3),IF($D$3="(todos)",TRUE,'ORDENES'!$AC95=$D$3),IF($F$3="(todos)",TRUE,'ORDENES'!$V95=$F$3),'ORDENES'!$AA95=TRUE),'ORDENES'!$C95&amp;" | "&amp;'ORDENES'!$R95&amp;" | "&amp;IF('ORDENES'!$AB95="","(sin técnico)",'ORDENES'!$AB95)&amp;" | "&amp;'ORDENES'!$E95&amp;" ("&amp;'ORDENES'!$L95&amp;" h)","")</f>
        <v/>
      </c>
    </row>
    <row r="100">
      <c r="K100" s="3">
        <f>IF(AND(IF($B$3="(todos)",TRUE,'ORDENES'!$O96=$B$3),IF($D$3="(todos)",TRUE,'ORDENES'!$AC96=$D$3),IF($F$3="(todos)",TRUE,'ORDENES'!$V96=$F$3),'ORDENES'!$AA96=TRUE),'ORDENES'!$C96&amp;" | "&amp;'ORDENES'!$R96&amp;" | "&amp;IF('ORDENES'!$AB96="","(sin técnico)",'ORDENES'!$AB96)&amp;" | "&amp;'ORDENES'!$E96&amp;" ("&amp;'ORDENES'!$L96&amp;" h)","")</f>
        <v/>
      </c>
    </row>
    <row r="101">
      <c r="K101" s="3">
        <f>IF(AND(IF($B$3="(todos)",TRUE,'ORDENES'!$O97=$B$3),IF($D$3="(todos)",TRUE,'ORDENES'!$AC97=$D$3),IF($F$3="(todos)",TRUE,'ORDENES'!$V97=$F$3),'ORDENES'!$AA97=TRUE),'ORDENES'!$C97&amp;" | "&amp;'ORDENES'!$R97&amp;" | "&amp;IF('ORDENES'!$AB97="","(sin técnico)",'ORDENES'!$AB97)&amp;" | "&amp;'ORDENES'!$E97&amp;" ("&amp;'ORDENES'!$L97&amp;" h)","")</f>
        <v/>
      </c>
    </row>
    <row r="102">
      <c r="K102" s="3">
        <f>IF(AND(IF($B$3="(todos)",TRUE,'ORDENES'!$O98=$B$3),IF($D$3="(todos)",TRUE,'ORDENES'!$AC98=$D$3),IF($F$3="(todos)",TRUE,'ORDENES'!$V98=$F$3),'ORDENES'!$AA98=TRUE),'ORDENES'!$C98&amp;" | "&amp;'ORDENES'!$R98&amp;" | "&amp;IF('ORDENES'!$AB98="","(sin técnico)",'ORDENES'!$AB98)&amp;" | "&amp;'ORDENES'!$E98&amp;" ("&amp;'ORDENES'!$L98&amp;" h)","")</f>
        <v/>
      </c>
    </row>
    <row r="103">
      <c r="K103" s="3">
        <f>IF(AND(IF($B$3="(todos)",TRUE,'ORDENES'!$O99=$B$3),IF($D$3="(todos)",TRUE,'ORDENES'!$AC99=$D$3),IF($F$3="(todos)",TRUE,'ORDENES'!$V99=$F$3),'ORDENES'!$AA99=TRUE),'ORDENES'!$C99&amp;" | "&amp;'ORDENES'!$R99&amp;" | "&amp;IF('ORDENES'!$AB99="","(sin técnico)",'ORDENES'!$AB99)&amp;" | "&amp;'ORDENES'!$E99&amp;" ("&amp;'ORDENES'!$L99&amp;" h)","")</f>
        <v/>
      </c>
    </row>
    <row r="104">
      <c r="K104" s="3">
        <f>IF(AND(IF($B$3="(todos)",TRUE,'ORDENES'!$O100=$B$3),IF($D$3="(todos)",TRUE,'ORDENES'!$AC100=$D$3),IF($F$3="(todos)",TRUE,'ORDENES'!$V100=$F$3),'ORDENES'!$AA100=TRUE),'ORDENES'!$C100&amp;" | "&amp;'ORDENES'!$R100&amp;" | "&amp;IF('ORDENES'!$AB100="","(sin técnico)",'ORDENES'!$AB100)&amp;" | "&amp;'ORDENES'!$E100&amp;" ("&amp;'ORDENES'!$L100&amp;" h)","")</f>
        <v/>
      </c>
    </row>
    <row r="105">
      <c r="K105" s="3">
        <f>IF(AND(IF($B$3="(todos)",TRUE,'ORDENES'!$O101=$B$3),IF($D$3="(todos)",TRUE,'ORDENES'!$AC101=$D$3),IF($F$3="(todos)",TRUE,'ORDENES'!$V101=$F$3),'ORDENES'!$AA101=TRUE),'ORDENES'!$C101&amp;" | "&amp;'ORDENES'!$R101&amp;" | "&amp;IF('ORDENES'!$AB101="","(sin técnico)",'ORDENES'!$AB101)&amp;" | "&amp;'ORDENES'!$E101&amp;" ("&amp;'ORDENES'!$L101&amp;" h)","")</f>
        <v/>
      </c>
    </row>
    <row r="106">
      <c r="K106" s="3">
        <f>IF(AND(IF($B$3="(todos)",TRUE,'ORDENES'!$O102=$B$3),IF($D$3="(todos)",TRUE,'ORDENES'!$AC102=$D$3),IF($F$3="(todos)",TRUE,'ORDENES'!$V102=$F$3),'ORDENES'!$AA102=TRUE),'ORDENES'!$C102&amp;" | "&amp;'ORDENES'!$R102&amp;" | "&amp;IF('ORDENES'!$AB102="","(sin técnico)",'ORDENES'!$AB102)&amp;" | "&amp;'ORDENES'!$E102&amp;" ("&amp;'ORDENES'!$L102&amp;" h)","")</f>
        <v/>
      </c>
    </row>
    <row r="107">
      <c r="K107" s="3">
        <f>IF(AND(IF($B$3="(todos)",TRUE,'ORDENES'!$O103=$B$3),IF($D$3="(todos)",TRUE,'ORDENES'!$AC103=$D$3),IF($F$3="(todos)",TRUE,'ORDENES'!$V103=$F$3),'ORDENES'!$AA103=TRUE),'ORDENES'!$C103&amp;" | "&amp;'ORDENES'!$R103&amp;" | "&amp;IF('ORDENES'!$AB103="","(sin técnico)",'ORDENES'!$AB103)&amp;" | "&amp;'ORDENES'!$E103&amp;" ("&amp;'ORDENES'!$L103&amp;" h)","")</f>
        <v/>
      </c>
    </row>
    <row r="108">
      <c r="K108" s="3">
        <f>IF(AND(IF($B$3="(todos)",TRUE,'ORDENES'!$O104=$B$3),IF($D$3="(todos)",TRUE,'ORDENES'!$AC104=$D$3),IF($F$3="(todos)",TRUE,'ORDENES'!$V104=$F$3),'ORDENES'!$AA104=TRUE),'ORDENES'!$C104&amp;" | "&amp;'ORDENES'!$R104&amp;" | "&amp;IF('ORDENES'!$AB104="","(sin técnico)",'ORDENES'!$AB104)&amp;" | "&amp;'ORDENES'!$E104&amp;" ("&amp;'ORDENES'!$L104&amp;" h)","")</f>
        <v/>
      </c>
    </row>
    <row r="109">
      <c r="K109" s="3">
        <f>IF(AND(IF($B$3="(todos)",TRUE,'ORDENES'!$O105=$B$3),IF($D$3="(todos)",TRUE,'ORDENES'!$AC105=$D$3),IF($F$3="(todos)",TRUE,'ORDENES'!$V105=$F$3),'ORDENES'!$AA105=TRUE),'ORDENES'!$C105&amp;" | "&amp;'ORDENES'!$R105&amp;" | "&amp;IF('ORDENES'!$AB105="","(sin técnico)",'ORDENES'!$AB105)&amp;" | "&amp;'ORDENES'!$E105&amp;" ("&amp;'ORDENES'!$L105&amp;" h)","")</f>
        <v/>
      </c>
    </row>
    <row r="110">
      <c r="K110" s="3">
        <f>IF(AND(IF($B$3="(todos)",TRUE,'ORDENES'!$O106=$B$3),IF($D$3="(todos)",TRUE,'ORDENES'!$AC106=$D$3),IF($F$3="(todos)",TRUE,'ORDENES'!$V106=$F$3),'ORDENES'!$AA106=TRUE),'ORDENES'!$C106&amp;" | "&amp;'ORDENES'!$R106&amp;" | "&amp;IF('ORDENES'!$AB106="","(sin técnico)",'ORDENES'!$AB106)&amp;" | "&amp;'ORDENES'!$E106&amp;" ("&amp;'ORDENES'!$L106&amp;" h)","")</f>
        <v/>
      </c>
    </row>
    <row r="111">
      <c r="K111" s="3">
        <f>IF(AND(IF($B$3="(todos)",TRUE,'ORDENES'!$O107=$B$3),IF($D$3="(todos)",TRUE,'ORDENES'!$AC107=$D$3),IF($F$3="(todos)",TRUE,'ORDENES'!$V107=$F$3),'ORDENES'!$AA107=TRUE),'ORDENES'!$C107&amp;" | "&amp;'ORDENES'!$R107&amp;" | "&amp;IF('ORDENES'!$AB107="","(sin técnico)",'ORDENES'!$AB107)&amp;" | "&amp;'ORDENES'!$E107&amp;" ("&amp;'ORDENES'!$L107&amp;" h)","")</f>
        <v/>
      </c>
    </row>
    <row r="112">
      <c r="K112" s="3">
        <f>IF(AND(IF($B$3="(todos)",TRUE,'ORDENES'!$O108=$B$3),IF($D$3="(todos)",TRUE,'ORDENES'!$AC108=$D$3),IF($F$3="(todos)",TRUE,'ORDENES'!$V108=$F$3),'ORDENES'!$AA108=TRUE),'ORDENES'!$C108&amp;" | "&amp;'ORDENES'!$R108&amp;" | "&amp;IF('ORDENES'!$AB108="","(sin técnico)",'ORDENES'!$AB108)&amp;" | "&amp;'ORDENES'!$E108&amp;" ("&amp;'ORDENES'!$L108&amp;" h)","")</f>
        <v/>
      </c>
    </row>
    <row r="113">
      <c r="K113" s="3">
        <f>IF(AND(IF($B$3="(todos)",TRUE,'ORDENES'!$O109=$B$3),IF($D$3="(todos)",TRUE,'ORDENES'!$AC109=$D$3),IF($F$3="(todos)",TRUE,'ORDENES'!$V109=$F$3),'ORDENES'!$AA109=TRUE),'ORDENES'!$C109&amp;" | "&amp;'ORDENES'!$R109&amp;" | "&amp;IF('ORDENES'!$AB109="","(sin técnico)",'ORDENES'!$AB109)&amp;" | "&amp;'ORDENES'!$E109&amp;" ("&amp;'ORDENES'!$L109&amp;" h)","")</f>
        <v/>
      </c>
    </row>
    <row r="114">
      <c r="K114" s="3">
        <f>IF(AND(IF($B$3="(todos)",TRUE,'ORDENES'!$O110=$B$3),IF($D$3="(todos)",TRUE,'ORDENES'!$AC110=$D$3),IF($F$3="(todos)",TRUE,'ORDENES'!$V110=$F$3),'ORDENES'!$AA110=TRUE),'ORDENES'!$C110&amp;" | "&amp;'ORDENES'!$R110&amp;" | "&amp;IF('ORDENES'!$AB110="","(sin técnico)",'ORDENES'!$AB110)&amp;" | "&amp;'ORDENES'!$E110&amp;" ("&amp;'ORDENES'!$L110&amp;" h)","")</f>
        <v/>
      </c>
    </row>
    <row r="115">
      <c r="K115" s="3">
        <f>IF(AND(IF($B$3="(todos)",TRUE,'ORDENES'!$O111=$B$3),IF($D$3="(todos)",TRUE,'ORDENES'!$AC111=$D$3),IF($F$3="(todos)",TRUE,'ORDENES'!$V111=$F$3),'ORDENES'!$AA111=TRUE),'ORDENES'!$C111&amp;" | "&amp;'ORDENES'!$R111&amp;" | "&amp;IF('ORDENES'!$AB111="","(sin técnico)",'ORDENES'!$AB111)&amp;" | "&amp;'ORDENES'!$E111&amp;" ("&amp;'ORDENES'!$L111&amp;" h)","")</f>
        <v/>
      </c>
    </row>
    <row r="116">
      <c r="K116" s="3">
        <f>IF(AND(IF($B$3="(todos)",TRUE,'ORDENES'!$O112=$B$3),IF($D$3="(todos)",TRUE,'ORDENES'!$AC112=$D$3),IF($F$3="(todos)",TRUE,'ORDENES'!$V112=$F$3),'ORDENES'!$AA112=TRUE),'ORDENES'!$C112&amp;" | "&amp;'ORDENES'!$R112&amp;" | "&amp;IF('ORDENES'!$AB112="","(sin técnico)",'ORDENES'!$AB112)&amp;" | "&amp;'ORDENES'!$E112&amp;" ("&amp;'ORDENES'!$L112&amp;" h)","")</f>
        <v/>
      </c>
    </row>
    <row r="117">
      <c r="K117" s="3">
        <f>IF(AND(IF($B$3="(todos)",TRUE,'ORDENES'!$O113=$B$3),IF($D$3="(todos)",TRUE,'ORDENES'!$AC113=$D$3),IF($F$3="(todos)",TRUE,'ORDENES'!$V113=$F$3),'ORDENES'!$AA113=TRUE),'ORDENES'!$C113&amp;" | "&amp;'ORDENES'!$R113&amp;" | "&amp;IF('ORDENES'!$AB113="","(sin técnico)",'ORDENES'!$AB113)&amp;" | "&amp;'ORDENES'!$E113&amp;" ("&amp;'ORDENES'!$L113&amp;" h)","")</f>
        <v/>
      </c>
    </row>
    <row r="118">
      <c r="K118" s="3">
        <f>IF(AND(IF($B$3="(todos)",TRUE,'ORDENES'!$O114=$B$3),IF($D$3="(todos)",TRUE,'ORDENES'!$AC114=$D$3),IF($F$3="(todos)",TRUE,'ORDENES'!$V114=$F$3),'ORDENES'!$AA114=TRUE),'ORDENES'!$C114&amp;" | "&amp;'ORDENES'!$R114&amp;" | "&amp;IF('ORDENES'!$AB114="","(sin técnico)",'ORDENES'!$AB114)&amp;" | "&amp;'ORDENES'!$E114&amp;" ("&amp;'ORDENES'!$L114&amp;" h)","")</f>
        <v/>
      </c>
    </row>
    <row r="119">
      <c r="K119" s="3">
        <f>IF(AND(IF($B$3="(todos)",TRUE,'ORDENES'!$O115=$B$3),IF($D$3="(todos)",TRUE,'ORDENES'!$AC115=$D$3),IF($F$3="(todos)",TRUE,'ORDENES'!$V115=$F$3),'ORDENES'!$AA115=TRUE),'ORDENES'!$C115&amp;" | "&amp;'ORDENES'!$R115&amp;" | "&amp;IF('ORDENES'!$AB115="","(sin técnico)",'ORDENES'!$AB115)&amp;" | "&amp;'ORDENES'!$E115&amp;" ("&amp;'ORDENES'!$L115&amp;" h)","")</f>
        <v/>
      </c>
    </row>
    <row r="120">
      <c r="K120" s="3">
        <f>IF(AND(IF($B$3="(todos)",TRUE,'ORDENES'!$O116=$B$3),IF($D$3="(todos)",TRUE,'ORDENES'!$AC116=$D$3),IF($F$3="(todos)",TRUE,'ORDENES'!$V116=$F$3),'ORDENES'!$AA116=TRUE),'ORDENES'!$C116&amp;" | "&amp;'ORDENES'!$R116&amp;" | "&amp;IF('ORDENES'!$AB116="","(sin técnico)",'ORDENES'!$AB116)&amp;" | "&amp;'ORDENES'!$E116&amp;" ("&amp;'ORDENES'!$L116&amp;" h)","")</f>
        <v/>
      </c>
    </row>
    <row r="121">
      <c r="K121" s="3">
        <f>IF(AND(IF($B$3="(todos)",TRUE,'ORDENES'!$O117=$B$3),IF($D$3="(todos)",TRUE,'ORDENES'!$AC117=$D$3),IF($F$3="(todos)",TRUE,'ORDENES'!$V117=$F$3),'ORDENES'!$AA117=TRUE),'ORDENES'!$C117&amp;" | "&amp;'ORDENES'!$R117&amp;" | "&amp;IF('ORDENES'!$AB117="","(sin técnico)",'ORDENES'!$AB117)&amp;" | "&amp;'ORDENES'!$E117&amp;" ("&amp;'ORDENES'!$L117&amp;" h)","")</f>
        <v/>
      </c>
    </row>
    <row r="122">
      <c r="K122" s="3">
        <f>IF(AND(IF($B$3="(todos)",TRUE,'ORDENES'!$O118=$B$3),IF($D$3="(todos)",TRUE,'ORDENES'!$AC118=$D$3),IF($F$3="(todos)",TRUE,'ORDENES'!$V118=$F$3),'ORDENES'!$AA118=TRUE),'ORDENES'!$C118&amp;" | "&amp;'ORDENES'!$R118&amp;" | "&amp;IF('ORDENES'!$AB118="","(sin técnico)",'ORDENES'!$AB118)&amp;" | "&amp;'ORDENES'!$E118&amp;" ("&amp;'ORDENES'!$L118&amp;" h)","")</f>
        <v/>
      </c>
    </row>
    <row r="123">
      <c r="K123" s="3">
        <f>IF(AND(IF($B$3="(todos)",TRUE,'ORDENES'!$O119=$B$3),IF($D$3="(todos)",TRUE,'ORDENES'!$AC119=$D$3),IF($F$3="(todos)",TRUE,'ORDENES'!$V119=$F$3),'ORDENES'!$AA119=TRUE),'ORDENES'!$C119&amp;" | "&amp;'ORDENES'!$R119&amp;" | "&amp;IF('ORDENES'!$AB119="","(sin técnico)",'ORDENES'!$AB119)&amp;" | "&amp;'ORDENES'!$E119&amp;" ("&amp;'ORDENES'!$L119&amp;" h)","")</f>
        <v/>
      </c>
    </row>
    <row r="124">
      <c r="K124" s="3">
        <f>IF(AND(IF($B$3="(todos)",TRUE,'ORDENES'!$O120=$B$3),IF($D$3="(todos)",TRUE,'ORDENES'!$AC120=$D$3),IF($F$3="(todos)",TRUE,'ORDENES'!$V120=$F$3),'ORDENES'!$AA120=TRUE),'ORDENES'!$C120&amp;" | "&amp;'ORDENES'!$R120&amp;" | "&amp;IF('ORDENES'!$AB120="","(sin técnico)",'ORDENES'!$AB120)&amp;" | "&amp;'ORDENES'!$E120&amp;" ("&amp;'ORDENES'!$L120&amp;" h)","")</f>
        <v/>
      </c>
    </row>
    <row r="125">
      <c r="K125" s="3">
        <f>IF(AND(IF($B$3="(todos)",TRUE,'ORDENES'!$O121=$B$3),IF($D$3="(todos)",TRUE,'ORDENES'!$AC121=$D$3),IF($F$3="(todos)",TRUE,'ORDENES'!$V121=$F$3),'ORDENES'!$AA121=TRUE),'ORDENES'!$C121&amp;" | "&amp;'ORDENES'!$R121&amp;" | "&amp;IF('ORDENES'!$AB121="","(sin técnico)",'ORDENES'!$AB121)&amp;" | "&amp;'ORDENES'!$E121&amp;" ("&amp;'ORDENES'!$L121&amp;" h)","")</f>
        <v/>
      </c>
    </row>
    <row r="126">
      <c r="K126" s="3">
        <f>IF(AND(IF($B$3="(todos)",TRUE,'ORDENES'!$O122=$B$3),IF($D$3="(todos)",TRUE,'ORDENES'!$AC122=$D$3),IF($F$3="(todos)",TRUE,'ORDENES'!$V122=$F$3),'ORDENES'!$AA122=TRUE),'ORDENES'!$C122&amp;" | "&amp;'ORDENES'!$R122&amp;" | "&amp;IF('ORDENES'!$AB122="","(sin técnico)",'ORDENES'!$AB122)&amp;" | "&amp;'ORDENES'!$E122&amp;" ("&amp;'ORDENES'!$L122&amp;" h)","")</f>
        <v/>
      </c>
    </row>
    <row r="127">
      <c r="K127" s="3">
        <f>IF(AND(IF($B$3="(todos)",TRUE,'ORDENES'!$O123=$B$3),IF($D$3="(todos)",TRUE,'ORDENES'!$AC123=$D$3),IF($F$3="(todos)",TRUE,'ORDENES'!$V123=$F$3),'ORDENES'!$AA123=TRUE),'ORDENES'!$C123&amp;" | "&amp;'ORDENES'!$R123&amp;" | "&amp;IF('ORDENES'!$AB123="","(sin técnico)",'ORDENES'!$AB123)&amp;" | "&amp;'ORDENES'!$E123&amp;" ("&amp;'ORDENES'!$L123&amp;" h)","")</f>
        <v/>
      </c>
    </row>
    <row r="128">
      <c r="K128" s="3">
        <f>IF(AND(IF($B$3="(todos)",TRUE,'ORDENES'!$O124=$B$3),IF($D$3="(todos)",TRUE,'ORDENES'!$AC124=$D$3),IF($F$3="(todos)",TRUE,'ORDENES'!$V124=$F$3),'ORDENES'!$AA124=TRUE),'ORDENES'!$C124&amp;" | "&amp;'ORDENES'!$R124&amp;" | "&amp;IF('ORDENES'!$AB124="","(sin técnico)",'ORDENES'!$AB124)&amp;" | "&amp;'ORDENES'!$E124&amp;" ("&amp;'ORDENES'!$L124&amp;" h)","")</f>
        <v/>
      </c>
    </row>
    <row r="129">
      <c r="K129" s="3">
        <f>IF(AND(IF($B$3="(todos)",TRUE,'ORDENES'!$O125=$B$3),IF($D$3="(todos)",TRUE,'ORDENES'!$AC125=$D$3),IF($F$3="(todos)",TRUE,'ORDENES'!$V125=$F$3),'ORDENES'!$AA125=TRUE),'ORDENES'!$C125&amp;" | "&amp;'ORDENES'!$R125&amp;" | "&amp;IF('ORDENES'!$AB125="","(sin técnico)",'ORDENES'!$AB125)&amp;" | "&amp;'ORDENES'!$E125&amp;" ("&amp;'ORDENES'!$L125&amp;" h)","")</f>
        <v/>
      </c>
    </row>
    <row r="130">
      <c r="K130" s="3">
        <f>IF(AND(IF($B$3="(todos)",TRUE,'ORDENES'!$O126=$B$3),IF($D$3="(todos)",TRUE,'ORDENES'!$AC126=$D$3),IF($F$3="(todos)",TRUE,'ORDENES'!$V126=$F$3),'ORDENES'!$AA126=TRUE),'ORDENES'!$C126&amp;" | "&amp;'ORDENES'!$R126&amp;" | "&amp;IF('ORDENES'!$AB126="","(sin técnico)",'ORDENES'!$AB126)&amp;" | "&amp;'ORDENES'!$E126&amp;" ("&amp;'ORDENES'!$L126&amp;" h)","")</f>
        <v/>
      </c>
    </row>
    <row r="131">
      <c r="K131" s="3">
        <f>IF(AND(IF($B$3="(todos)",TRUE,'ORDENES'!$O127=$B$3),IF($D$3="(todos)",TRUE,'ORDENES'!$AC127=$D$3),IF($F$3="(todos)",TRUE,'ORDENES'!$V127=$F$3),'ORDENES'!$AA127=TRUE),'ORDENES'!$C127&amp;" | "&amp;'ORDENES'!$R127&amp;" | "&amp;IF('ORDENES'!$AB127="","(sin técnico)",'ORDENES'!$AB127)&amp;" | "&amp;'ORDENES'!$E127&amp;" ("&amp;'ORDENES'!$L127&amp;" h)","")</f>
        <v/>
      </c>
    </row>
    <row r="132">
      <c r="K132" s="3">
        <f>IF(AND(IF($B$3="(todos)",TRUE,'ORDENES'!$O128=$B$3),IF($D$3="(todos)",TRUE,'ORDENES'!$AC128=$D$3),IF($F$3="(todos)",TRUE,'ORDENES'!$V128=$F$3),'ORDENES'!$AA128=TRUE),'ORDENES'!$C128&amp;" | "&amp;'ORDENES'!$R128&amp;" | "&amp;IF('ORDENES'!$AB128="","(sin técnico)",'ORDENES'!$AB128)&amp;" | "&amp;'ORDENES'!$E128&amp;" ("&amp;'ORDENES'!$L128&amp;" h)","")</f>
        <v/>
      </c>
    </row>
    <row r="133">
      <c r="K133" s="3">
        <f>IF(AND(IF($B$3="(todos)",TRUE,'ORDENES'!$O129=$B$3),IF($D$3="(todos)",TRUE,'ORDENES'!$AC129=$D$3),IF($F$3="(todos)",TRUE,'ORDENES'!$V129=$F$3),'ORDENES'!$AA129=TRUE),'ORDENES'!$C129&amp;" | "&amp;'ORDENES'!$R129&amp;" | "&amp;IF('ORDENES'!$AB129="","(sin técnico)",'ORDENES'!$AB129)&amp;" | "&amp;'ORDENES'!$E129&amp;" ("&amp;'ORDENES'!$L129&amp;" h)","")</f>
        <v/>
      </c>
    </row>
    <row r="134">
      <c r="K134" s="3">
        <f>IF(AND(IF($B$3="(todos)",TRUE,'ORDENES'!$O130=$B$3),IF($D$3="(todos)",TRUE,'ORDENES'!$AC130=$D$3),IF($F$3="(todos)",TRUE,'ORDENES'!$V130=$F$3),'ORDENES'!$AA130=TRUE),'ORDENES'!$C130&amp;" | "&amp;'ORDENES'!$R130&amp;" | "&amp;IF('ORDENES'!$AB130="","(sin técnico)",'ORDENES'!$AB130)&amp;" | "&amp;'ORDENES'!$E130&amp;" ("&amp;'ORDENES'!$L130&amp;" h)","")</f>
        <v/>
      </c>
    </row>
    <row r="135">
      <c r="K135" s="3">
        <f>IF(AND(IF($B$3="(todos)",TRUE,'ORDENES'!$O131=$B$3),IF($D$3="(todos)",TRUE,'ORDENES'!$AC131=$D$3),IF($F$3="(todos)",TRUE,'ORDENES'!$V131=$F$3),'ORDENES'!$AA131=TRUE),'ORDENES'!$C131&amp;" | "&amp;'ORDENES'!$R131&amp;" | "&amp;IF('ORDENES'!$AB131="","(sin técnico)",'ORDENES'!$AB131)&amp;" | "&amp;'ORDENES'!$E131&amp;" ("&amp;'ORDENES'!$L131&amp;" h)","")</f>
        <v/>
      </c>
    </row>
    <row r="136">
      <c r="K136" s="3">
        <f>IF(AND(IF($B$3="(todos)",TRUE,'ORDENES'!$O132=$B$3),IF($D$3="(todos)",TRUE,'ORDENES'!$AC132=$D$3),IF($F$3="(todos)",TRUE,'ORDENES'!$V132=$F$3),'ORDENES'!$AA132=TRUE),'ORDENES'!$C132&amp;" | "&amp;'ORDENES'!$R132&amp;" | "&amp;IF('ORDENES'!$AB132="","(sin técnico)",'ORDENES'!$AB132)&amp;" | "&amp;'ORDENES'!$E132&amp;" ("&amp;'ORDENES'!$L132&amp;" h)","")</f>
        <v/>
      </c>
    </row>
    <row r="137">
      <c r="K137" s="3">
        <f>IF(AND(IF($B$3="(todos)",TRUE,'ORDENES'!$O133=$B$3),IF($D$3="(todos)",TRUE,'ORDENES'!$AC133=$D$3),IF($F$3="(todos)",TRUE,'ORDENES'!$V133=$F$3),'ORDENES'!$AA133=TRUE),'ORDENES'!$C133&amp;" | "&amp;'ORDENES'!$R133&amp;" | "&amp;IF('ORDENES'!$AB133="","(sin técnico)",'ORDENES'!$AB133)&amp;" | "&amp;'ORDENES'!$E133&amp;" ("&amp;'ORDENES'!$L133&amp;" h)","")</f>
        <v/>
      </c>
    </row>
    <row r="138">
      <c r="K138" s="3">
        <f>IF(AND(IF($B$3="(todos)",TRUE,'ORDENES'!$O134=$B$3),IF($D$3="(todos)",TRUE,'ORDENES'!$AC134=$D$3),IF($F$3="(todos)",TRUE,'ORDENES'!$V134=$F$3),'ORDENES'!$AA134=TRUE),'ORDENES'!$C134&amp;" | "&amp;'ORDENES'!$R134&amp;" | "&amp;IF('ORDENES'!$AB134="","(sin técnico)",'ORDENES'!$AB134)&amp;" | "&amp;'ORDENES'!$E134&amp;" ("&amp;'ORDENES'!$L134&amp;" h)","")</f>
        <v/>
      </c>
    </row>
    <row r="139">
      <c r="K139" s="3">
        <f>IF(AND(IF($B$3="(todos)",TRUE,'ORDENES'!$O135=$B$3),IF($D$3="(todos)",TRUE,'ORDENES'!$AC135=$D$3),IF($F$3="(todos)",TRUE,'ORDENES'!$V135=$F$3),'ORDENES'!$AA135=TRUE),'ORDENES'!$C135&amp;" | "&amp;'ORDENES'!$R135&amp;" | "&amp;IF('ORDENES'!$AB135="","(sin técnico)",'ORDENES'!$AB135)&amp;" | "&amp;'ORDENES'!$E135&amp;" ("&amp;'ORDENES'!$L135&amp;" h)","")</f>
        <v/>
      </c>
    </row>
    <row r="140">
      <c r="K140" s="3">
        <f>IF(AND(IF($B$3="(todos)",TRUE,'ORDENES'!$O136=$B$3),IF($D$3="(todos)",TRUE,'ORDENES'!$AC136=$D$3),IF($F$3="(todos)",TRUE,'ORDENES'!$V136=$F$3),'ORDENES'!$AA136=TRUE),'ORDENES'!$C136&amp;" | "&amp;'ORDENES'!$R136&amp;" | "&amp;IF('ORDENES'!$AB136="","(sin técnico)",'ORDENES'!$AB136)&amp;" | "&amp;'ORDENES'!$E136&amp;" ("&amp;'ORDENES'!$L136&amp;" h)","")</f>
        <v/>
      </c>
    </row>
    <row r="141">
      <c r="K141" s="3">
        <f>IF(AND(IF($B$3="(todos)",TRUE,'ORDENES'!$O137=$B$3),IF($D$3="(todos)",TRUE,'ORDENES'!$AC137=$D$3),IF($F$3="(todos)",TRUE,'ORDENES'!$V137=$F$3),'ORDENES'!$AA137=TRUE),'ORDENES'!$C137&amp;" | "&amp;'ORDENES'!$R137&amp;" | "&amp;IF('ORDENES'!$AB137="","(sin técnico)",'ORDENES'!$AB137)&amp;" | "&amp;'ORDENES'!$E137&amp;" ("&amp;'ORDENES'!$L137&amp;" h)","")</f>
        <v/>
      </c>
    </row>
    <row r="142">
      <c r="K142" s="3">
        <f>IF(AND(IF($B$3="(todos)",TRUE,'ORDENES'!$O138=$B$3),IF($D$3="(todos)",TRUE,'ORDENES'!$AC138=$D$3),IF($F$3="(todos)",TRUE,'ORDENES'!$V138=$F$3),'ORDENES'!$AA138=TRUE),'ORDENES'!$C138&amp;" | "&amp;'ORDENES'!$R138&amp;" | "&amp;IF('ORDENES'!$AB138="","(sin técnico)",'ORDENES'!$AB138)&amp;" | "&amp;'ORDENES'!$E138&amp;" ("&amp;'ORDENES'!$L138&amp;" h)","")</f>
        <v/>
      </c>
    </row>
    <row r="143">
      <c r="K143" s="3">
        <f>IF(AND(IF($B$3="(todos)",TRUE,'ORDENES'!$O139=$B$3),IF($D$3="(todos)",TRUE,'ORDENES'!$AC139=$D$3),IF($F$3="(todos)",TRUE,'ORDENES'!$V139=$F$3),'ORDENES'!$AA139=TRUE),'ORDENES'!$C139&amp;" | "&amp;'ORDENES'!$R139&amp;" | "&amp;IF('ORDENES'!$AB139="","(sin técnico)",'ORDENES'!$AB139)&amp;" | "&amp;'ORDENES'!$E139&amp;" ("&amp;'ORDENES'!$L139&amp;" h)","")</f>
        <v/>
      </c>
    </row>
    <row r="144">
      <c r="K144" s="3">
        <f>IF(AND(IF($B$3="(todos)",TRUE,'ORDENES'!$O140=$B$3),IF($D$3="(todos)",TRUE,'ORDENES'!$AC140=$D$3),IF($F$3="(todos)",TRUE,'ORDENES'!$V140=$F$3),'ORDENES'!$AA140=TRUE),'ORDENES'!$C140&amp;" | "&amp;'ORDENES'!$R140&amp;" | "&amp;IF('ORDENES'!$AB140="","(sin técnico)",'ORDENES'!$AB140)&amp;" | "&amp;'ORDENES'!$E140&amp;" ("&amp;'ORDENES'!$L140&amp;" h)","")</f>
        <v/>
      </c>
    </row>
    <row r="145">
      <c r="K145" s="3">
        <f>IF(AND(IF($B$3="(todos)",TRUE,'ORDENES'!$O141=$B$3),IF($D$3="(todos)",TRUE,'ORDENES'!$AC141=$D$3),IF($F$3="(todos)",TRUE,'ORDENES'!$V141=$F$3),'ORDENES'!$AA141=TRUE),'ORDENES'!$C141&amp;" | "&amp;'ORDENES'!$R141&amp;" | "&amp;IF('ORDENES'!$AB141="","(sin técnico)",'ORDENES'!$AB141)&amp;" | "&amp;'ORDENES'!$E141&amp;" ("&amp;'ORDENES'!$L141&amp;" h)","")</f>
        <v/>
      </c>
    </row>
    <row r="146">
      <c r="K146" s="3">
        <f>IF(AND(IF($B$3="(todos)",TRUE,'ORDENES'!$O142=$B$3),IF($D$3="(todos)",TRUE,'ORDENES'!$AC142=$D$3),IF($F$3="(todos)",TRUE,'ORDENES'!$V142=$F$3),'ORDENES'!$AA142=TRUE),'ORDENES'!$C142&amp;" | "&amp;'ORDENES'!$R142&amp;" | "&amp;IF('ORDENES'!$AB142="","(sin técnico)",'ORDENES'!$AB142)&amp;" | "&amp;'ORDENES'!$E142&amp;" ("&amp;'ORDENES'!$L142&amp;" h)","")</f>
        <v/>
      </c>
    </row>
    <row r="147">
      <c r="K147" s="3">
        <f>IF(AND(IF($B$3="(todos)",TRUE,'ORDENES'!$O143=$B$3),IF($D$3="(todos)",TRUE,'ORDENES'!$AC143=$D$3),IF($F$3="(todos)",TRUE,'ORDENES'!$V143=$F$3),'ORDENES'!$AA143=TRUE),'ORDENES'!$C143&amp;" | "&amp;'ORDENES'!$R143&amp;" | "&amp;IF('ORDENES'!$AB143="","(sin técnico)",'ORDENES'!$AB143)&amp;" | "&amp;'ORDENES'!$E143&amp;" ("&amp;'ORDENES'!$L143&amp;" h)","")</f>
        <v/>
      </c>
    </row>
    <row r="148">
      <c r="K148" s="3">
        <f>IF(AND(IF($B$3="(todos)",TRUE,'ORDENES'!$O144=$B$3),IF($D$3="(todos)",TRUE,'ORDENES'!$AC144=$D$3),IF($F$3="(todos)",TRUE,'ORDENES'!$V144=$F$3),'ORDENES'!$AA144=TRUE),'ORDENES'!$C144&amp;" | "&amp;'ORDENES'!$R144&amp;" | "&amp;IF('ORDENES'!$AB144="","(sin técnico)",'ORDENES'!$AB144)&amp;" | "&amp;'ORDENES'!$E144&amp;" ("&amp;'ORDENES'!$L144&amp;" h)","")</f>
        <v/>
      </c>
    </row>
    <row r="149">
      <c r="K149" s="3">
        <f>IF(AND(IF($B$3="(todos)",TRUE,'ORDENES'!$O145=$B$3),IF($D$3="(todos)",TRUE,'ORDENES'!$AC145=$D$3),IF($F$3="(todos)",TRUE,'ORDENES'!$V145=$F$3),'ORDENES'!$AA145=TRUE),'ORDENES'!$C145&amp;" | "&amp;'ORDENES'!$R145&amp;" | "&amp;IF('ORDENES'!$AB145="","(sin técnico)",'ORDENES'!$AB145)&amp;" | "&amp;'ORDENES'!$E145&amp;" ("&amp;'ORDENES'!$L145&amp;" h)","")</f>
        <v/>
      </c>
    </row>
    <row r="150">
      <c r="K150" s="3">
        <f>IF(AND(IF($B$3="(todos)",TRUE,'ORDENES'!$O146=$B$3),IF($D$3="(todos)",TRUE,'ORDENES'!$AC146=$D$3),IF($F$3="(todos)",TRUE,'ORDENES'!$V146=$F$3),'ORDENES'!$AA146=TRUE),'ORDENES'!$C146&amp;" | "&amp;'ORDENES'!$R146&amp;" | "&amp;IF('ORDENES'!$AB146="","(sin técnico)",'ORDENES'!$AB146)&amp;" | "&amp;'ORDENES'!$E146&amp;" ("&amp;'ORDENES'!$L146&amp;" h)","")</f>
        <v/>
      </c>
    </row>
    <row r="151">
      <c r="K151" s="3">
        <f>IF(AND(IF($B$3="(todos)",TRUE,'ORDENES'!$O147=$B$3),IF($D$3="(todos)",TRUE,'ORDENES'!$AC147=$D$3),IF($F$3="(todos)",TRUE,'ORDENES'!$V147=$F$3),'ORDENES'!$AA147=TRUE),'ORDENES'!$C147&amp;" | "&amp;'ORDENES'!$R147&amp;" | "&amp;IF('ORDENES'!$AB147="","(sin técnico)",'ORDENES'!$AB147)&amp;" | "&amp;'ORDENES'!$E147&amp;" ("&amp;'ORDENES'!$L147&amp;" h)","")</f>
        <v/>
      </c>
    </row>
    <row r="152">
      <c r="K152" s="3">
        <f>IF(AND(IF($B$3="(todos)",TRUE,'ORDENES'!$O148=$B$3),IF($D$3="(todos)",TRUE,'ORDENES'!$AC148=$D$3),IF($F$3="(todos)",TRUE,'ORDENES'!$V148=$F$3),'ORDENES'!$AA148=TRUE),'ORDENES'!$C148&amp;" | "&amp;'ORDENES'!$R148&amp;" | "&amp;IF('ORDENES'!$AB148="","(sin técnico)",'ORDENES'!$AB148)&amp;" | "&amp;'ORDENES'!$E148&amp;" ("&amp;'ORDENES'!$L148&amp;" h)","")</f>
        <v/>
      </c>
    </row>
    <row r="153">
      <c r="K153" s="3">
        <f>IF(AND(IF($B$3="(todos)",TRUE,'ORDENES'!$O149=$B$3),IF($D$3="(todos)",TRUE,'ORDENES'!$AC149=$D$3),IF($F$3="(todos)",TRUE,'ORDENES'!$V149=$F$3),'ORDENES'!$AA149=TRUE),'ORDENES'!$C149&amp;" | "&amp;'ORDENES'!$R149&amp;" | "&amp;IF('ORDENES'!$AB149="","(sin técnico)",'ORDENES'!$AB149)&amp;" | "&amp;'ORDENES'!$E149&amp;" ("&amp;'ORDENES'!$L149&amp;" h)","")</f>
        <v/>
      </c>
    </row>
    <row r="154">
      <c r="K154" s="3">
        <f>IF(AND(IF($B$3="(todos)",TRUE,'ORDENES'!$O150=$B$3),IF($D$3="(todos)",TRUE,'ORDENES'!$AC150=$D$3),IF($F$3="(todos)",TRUE,'ORDENES'!$V150=$F$3),'ORDENES'!$AA150=TRUE),'ORDENES'!$C150&amp;" | "&amp;'ORDENES'!$R150&amp;" | "&amp;IF('ORDENES'!$AB150="","(sin técnico)",'ORDENES'!$AB150)&amp;" | "&amp;'ORDENES'!$E150&amp;" ("&amp;'ORDENES'!$L150&amp;" h)","")</f>
        <v/>
      </c>
    </row>
    <row r="155">
      <c r="K155" s="3">
        <f>IF(AND(IF($B$3="(todos)",TRUE,'ORDENES'!$O151=$B$3),IF($D$3="(todos)",TRUE,'ORDENES'!$AC151=$D$3),IF($F$3="(todos)",TRUE,'ORDENES'!$V151=$F$3),'ORDENES'!$AA151=TRUE),'ORDENES'!$C151&amp;" | "&amp;'ORDENES'!$R151&amp;" | "&amp;IF('ORDENES'!$AB151="","(sin técnico)",'ORDENES'!$AB151)&amp;" | "&amp;'ORDENES'!$E151&amp;" ("&amp;'ORDENES'!$L151&amp;" h)","")</f>
        <v/>
      </c>
    </row>
    <row r="156">
      <c r="K156" s="3">
        <f>IF(AND(IF($B$3="(todos)",TRUE,'ORDENES'!$O152=$B$3),IF($D$3="(todos)",TRUE,'ORDENES'!$AC152=$D$3),IF($F$3="(todos)",TRUE,'ORDENES'!$V152=$F$3),'ORDENES'!$AA152=TRUE),'ORDENES'!$C152&amp;" | "&amp;'ORDENES'!$R152&amp;" | "&amp;IF('ORDENES'!$AB152="","(sin técnico)",'ORDENES'!$AB152)&amp;" | "&amp;'ORDENES'!$E152&amp;" ("&amp;'ORDENES'!$L152&amp;" h)","")</f>
        <v/>
      </c>
    </row>
    <row r="157">
      <c r="K157" s="3">
        <f>IF(AND(IF($B$3="(todos)",TRUE,'ORDENES'!$O153=$B$3),IF($D$3="(todos)",TRUE,'ORDENES'!$AC153=$D$3),IF($F$3="(todos)",TRUE,'ORDENES'!$V153=$F$3),'ORDENES'!$AA153=TRUE),'ORDENES'!$C153&amp;" | "&amp;'ORDENES'!$R153&amp;" | "&amp;IF('ORDENES'!$AB153="","(sin técnico)",'ORDENES'!$AB153)&amp;" | "&amp;'ORDENES'!$E153&amp;" ("&amp;'ORDENES'!$L153&amp;" h)","")</f>
        <v/>
      </c>
    </row>
    <row r="158">
      <c r="K158" s="3">
        <f>IF(AND(IF($B$3="(todos)",TRUE,'ORDENES'!$O154=$B$3),IF($D$3="(todos)",TRUE,'ORDENES'!$AC154=$D$3),IF($F$3="(todos)",TRUE,'ORDENES'!$V154=$F$3),'ORDENES'!$AA154=TRUE),'ORDENES'!$C154&amp;" | "&amp;'ORDENES'!$R154&amp;" | "&amp;IF('ORDENES'!$AB154="","(sin técnico)",'ORDENES'!$AB154)&amp;" | "&amp;'ORDENES'!$E154&amp;" ("&amp;'ORDENES'!$L154&amp;" h)","")</f>
        <v/>
      </c>
    </row>
    <row r="159">
      <c r="K159" s="3">
        <f>IF(AND(IF($B$3="(todos)",TRUE,'ORDENES'!$O155=$B$3),IF($D$3="(todos)",TRUE,'ORDENES'!$AC155=$D$3),IF($F$3="(todos)",TRUE,'ORDENES'!$V155=$F$3),'ORDENES'!$AA155=TRUE),'ORDENES'!$C155&amp;" | "&amp;'ORDENES'!$R155&amp;" | "&amp;IF('ORDENES'!$AB155="","(sin técnico)",'ORDENES'!$AB155)&amp;" | "&amp;'ORDENES'!$E155&amp;" ("&amp;'ORDENES'!$L155&amp;" h)","")</f>
        <v/>
      </c>
    </row>
    <row r="160">
      <c r="K160" s="3">
        <f>IF(AND(IF($B$3="(todos)",TRUE,'ORDENES'!$O156=$B$3),IF($D$3="(todos)",TRUE,'ORDENES'!$AC156=$D$3),IF($F$3="(todos)",TRUE,'ORDENES'!$V156=$F$3),'ORDENES'!$AA156=TRUE),'ORDENES'!$C156&amp;" | "&amp;'ORDENES'!$R156&amp;" | "&amp;IF('ORDENES'!$AB156="","(sin técnico)",'ORDENES'!$AB156)&amp;" | "&amp;'ORDENES'!$E156&amp;" ("&amp;'ORDENES'!$L156&amp;" h)","")</f>
        <v/>
      </c>
    </row>
    <row r="161">
      <c r="K161" s="3">
        <f>IF(AND(IF($B$3="(todos)",TRUE,'ORDENES'!$O157=$B$3),IF($D$3="(todos)",TRUE,'ORDENES'!$AC157=$D$3),IF($F$3="(todos)",TRUE,'ORDENES'!$V157=$F$3),'ORDENES'!$AA157=TRUE),'ORDENES'!$C157&amp;" | "&amp;'ORDENES'!$R157&amp;" | "&amp;IF('ORDENES'!$AB157="","(sin técnico)",'ORDENES'!$AB157)&amp;" | "&amp;'ORDENES'!$E157&amp;" ("&amp;'ORDENES'!$L157&amp;" h)","")</f>
        <v/>
      </c>
    </row>
    <row r="162">
      <c r="K162" s="3">
        <f>IF(AND(IF($B$3="(todos)",TRUE,'ORDENES'!$O158=$B$3),IF($D$3="(todos)",TRUE,'ORDENES'!$AC158=$D$3),IF($F$3="(todos)",TRUE,'ORDENES'!$V158=$F$3),'ORDENES'!$AA158=TRUE),'ORDENES'!$C158&amp;" | "&amp;'ORDENES'!$R158&amp;" | "&amp;IF('ORDENES'!$AB158="","(sin técnico)",'ORDENES'!$AB158)&amp;" | "&amp;'ORDENES'!$E158&amp;" ("&amp;'ORDENES'!$L158&amp;" h)","")</f>
        <v/>
      </c>
    </row>
    <row r="163">
      <c r="K163" s="3">
        <f>IF(AND(IF($B$3="(todos)",TRUE,'ORDENES'!$O159=$B$3),IF($D$3="(todos)",TRUE,'ORDENES'!$AC159=$D$3),IF($F$3="(todos)",TRUE,'ORDENES'!$V159=$F$3),'ORDENES'!$AA159=TRUE),'ORDENES'!$C159&amp;" | "&amp;'ORDENES'!$R159&amp;" | "&amp;IF('ORDENES'!$AB159="","(sin técnico)",'ORDENES'!$AB159)&amp;" | "&amp;'ORDENES'!$E159&amp;" ("&amp;'ORDENES'!$L159&amp;" h)","")</f>
        <v/>
      </c>
    </row>
    <row r="164">
      <c r="K164" s="3">
        <f>IF(AND(IF($B$3="(todos)",TRUE,'ORDENES'!$O160=$B$3),IF($D$3="(todos)",TRUE,'ORDENES'!$AC160=$D$3),IF($F$3="(todos)",TRUE,'ORDENES'!$V160=$F$3),'ORDENES'!$AA160=TRUE),'ORDENES'!$C160&amp;" | "&amp;'ORDENES'!$R160&amp;" | "&amp;IF('ORDENES'!$AB160="","(sin técnico)",'ORDENES'!$AB160)&amp;" | "&amp;'ORDENES'!$E160&amp;" ("&amp;'ORDENES'!$L160&amp;" h)","")</f>
        <v/>
      </c>
    </row>
    <row r="165">
      <c r="K165" s="3">
        <f>IF(AND(IF($B$3="(todos)",TRUE,'ORDENES'!$O161=$B$3),IF($D$3="(todos)",TRUE,'ORDENES'!$AC161=$D$3),IF($F$3="(todos)",TRUE,'ORDENES'!$V161=$F$3),'ORDENES'!$AA161=TRUE),'ORDENES'!$C161&amp;" | "&amp;'ORDENES'!$R161&amp;" | "&amp;IF('ORDENES'!$AB161="","(sin técnico)",'ORDENES'!$AB161)&amp;" | "&amp;'ORDENES'!$E161&amp;" ("&amp;'ORDENES'!$L161&amp;" h)","")</f>
        <v/>
      </c>
    </row>
    <row r="166">
      <c r="K166" s="3">
        <f>IF(AND(IF($B$3="(todos)",TRUE,'ORDENES'!$O162=$B$3),IF($D$3="(todos)",TRUE,'ORDENES'!$AC162=$D$3),IF($F$3="(todos)",TRUE,'ORDENES'!$V162=$F$3),'ORDENES'!$AA162=TRUE),'ORDENES'!$C162&amp;" | "&amp;'ORDENES'!$R162&amp;" | "&amp;IF('ORDENES'!$AB162="","(sin técnico)",'ORDENES'!$AB162)&amp;" | "&amp;'ORDENES'!$E162&amp;" ("&amp;'ORDENES'!$L162&amp;" h)","")</f>
        <v/>
      </c>
    </row>
    <row r="167">
      <c r="K167" s="3">
        <f>IF(AND(IF($B$3="(todos)",TRUE,'ORDENES'!$O163=$B$3),IF($D$3="(todos)",TRUE,'ORDENES'!$AC163=$D$3),IF($F$3="(todos)",TRUE,'ORDENES'!$V163=$F$3),'ORDENES'!$AA163=TRUE),'ORDENES'!$C163&amp;" | "&amp;'ORDENES'!$R163&amp;" | "&amp;IF('ORDENES'!$AB163="","(sin técnico)",'ORDENES'!$AB163)&amp;" | "&amp;'ORDENES'!$E163&amp;" ("&amp;'ORDENES'!$L163&amp;" h)","")</f>
        <v/>
      </c>
    </row>
    <row r="168">
      <c r="K168" s="3">
        <f>IF(AND(IF($B$3="(todos)",TRUE,'ORDENES'!$O164=$B$3),IF($D$3="(todos)",TRUE,'ORDENES'!$AC164=$D$3),IF($F$3="(todos)",TRUE,'ORDENES'!$V164=$F$3),'ORDENES'!$AA164=TRUE),'ORDENES'!$C164&amp;" | "&amp;'ORDENES'!$R164&amp;" | "&amp;IF('ORDENES'!$AB164="","(sin técnico)",'ORDENES'!$AB164)&amp;" | "&amp;'ORDENES'!$E164&amp;" ("&amp;'ORDENES'!$L164&amp;" h)","")</f>
        <v/>
      </c>
    </row>
    <row r="169">
      <c r="K169" s="3">
        <f>IF(AND(IF($B$3="(todos)",TRUE,'ORDENES'!$O165=$B$3),IF($D$3="(todos)",TRUE,'ORDENES'!$AC165=$D$3),IF($F$3="(todos)",TRUE,'ORDENES'!$V165=$F$3),'ORDENES'!$AA165=TRUE),'ORDENES'!$C165&amp;" | "&amp;'ORDENES'!$R165&amp;" | "&amp;IF('ORDENES'!$AB165="","(sin técnico)",'ORDENES'!$AB165)&amp;" | "&amp;'ORDENES'!$E165&amp;" ("&amp;'ORDENES'!$L165&amp;" h)","")</f>
        <v/>
      </c>
    </row>
    <row r="170">
      <c r="K170" s="3">
        <f>IF(AND(IF($B$3="(todos)",TRUE,'ORDENES'!$O166=$B$3),IF($D$3="(todos)",TRUE,'ORDENES'!$AC166=$D$3),IF($F$3="(todos)",TRUE,'ORDENES'!$V166=$F$3),'ORDENES'!$AA166=TRUE),'ORDENES'!$C166&amp;" | "&amp;'ORDENES'!$R166&amp;" | "&amp;IF('ORDENES'!$AB166="","(sin técnico)",'ORDENES'!$AB166)&amp;" | "&amp;'ORDENES'!$E166&amp;" ("&amp;'ORDENES'!$L166&amp;" h)","")</f>
        <v/>
      </c>
    </row>
    <row r="171">
      <c r="K171" s="3">
        <f>IF(AND(IF($B$3="(todos)",TRUE,'ORDENES'!$O167=$B$3),IF($D$3="(todos)",TRUE,'ORDENES'!$AC167=$D$3),IF($F$3="(todos)",TRUE,'ORDENES'!$V167=$F$3),'ORDENES'!$AA167=TRUE),'ORDENES'!$C167&amp;" | "&amp;'ORDENES'!$R167&amp;" | "&amp;IF('ORDENES'!$AB167="","(sin técnico)",'ORDENES'!$AB167)&amp;" | "&amp;'ORDENES'!$E167&amp;" ("&amp;'ORDENES'!$L167&amp;" h)","")</f>
        <v/>
      </c>
    </row>
    <row r="172">
      <c r="K172" s="3">
        <f>IF(AND(IF($B$3="(todos)",TRUE,'ORDENES'!$O168=$B$3),IF($D$3="(todos)",TRUE,'ORDENES'!$AC168=$D$3),IF($F$3="(todos)",TRUE,'ORDENES'!$V168=$F$3),'ORDENES'!$AA168=TRUE),'ORDENES'!$C168&amp;" | "&amp;'ORDENES'!$R168&amp;" | "&amp;IF('ORDENES'!$AB168="","(sin técnico)",'ORDENES'!$AB168)&amp;" | "&amp;'ORDENES'!$E168&amp;" ("&amp;'ORDENES'!$L168&amp;" h)","")</f>
        <v/>
      </c>
    </row>
    <row r="173">
      <c r="K173" s="3">
        <f>IF(AND(IF($B$3="(todos)",TRUE,'ORDENES'!$O169=$B$3),IF($D$3="(todos)",TRUE,'ORDENES'!$AC169=$D$3),IF($F$3="(todos)",TRUE,'ORDENES'!$V169=$F$3),'ORDENES'!$AA169=TRUE),'ORDENES'!$C169&amp;" | "&amp;'ORDENES'!$R169&amp;" | "&amp;IF('ORDENES'!$AB169="","(sin técnico)",'ORDENES'!$AB169)&amp;" | "&amp;'ORDENES'!$E169&amp;" ("&amp;'ORDENES'!$L169&amp;" h)","")</f>
        <v/>
      </c>
    </row>
    <row r="174">
      <c r="K174" s="3">
        <f>IF(AND(IF($B$3="(todos)",TRUE,'ORDENES'!$O170=$B$3),IF($D$3="(todos)",TRUE,'ORDENES'!$AC170=$D$3),IF($F$3="(todos)",TRUE,'ORDENES'!$V170=$F$3),'ORDENES'!$AA170=TRUE),'ORDENES'!$C170&amp;" | "&amp;'ORDENES'!$R170&amp;" | "&amp;IF('ORDENES'!$AB170="","(sin técnico)",'ORDENES'!$AB170)&amp;" | "&amp;'ORDENES'!$E170&amp;" ("&amp;'ORDENES'!$L170&amp;" h)","")</f>
        <v/>
      </c>
    </row>
    <row r="175">
      <c r="K175" s="3">
        <f>IF(AND(IF($B$3="(todos)",TRUE,'ORDENES'!$O171=$B$3),IF($D$3="(todos)",TRUE,'ORDENES'!$AC171=$D$3),IF($F$3="(todos)",TRUE,'ORDENES'!$V171=$F$3),'ORDENES'!$AA171=TRUE),'ORDENES'!$C171&amp;" | "&amp;'ORDENES'!$R171&amp;" | "&amp;IF('ORDENES'!$AB171="","(sin técnico)",'ORDENES'!$AB171)&amp;" | "&amp;'ORDENES'!$E171&amp;" ("&amp;'ORDENES'!$L171&amp;" h)","")</f>
        <v/>
      </c>
    </row>
    <row r="176">
      <c r="K176" s="3">
        <f>IF(AND(IF($B$3="(todos)",TRUE,'ORDENES'!$O172=$B$3),IF($D$3="(todos)",TRUE,'ORDENES'!$AC172=$D$3),IF($F$3="(todos)",TRUE,'ORDENES'!$V172=$F$3),'ORDENES'!$AA172=TRUE),'ORDENES'!$C172&amp;" | "&amp;'ORDENES'!$R172&amp;" | "&amp;IF('ORDENES'!$AB172="","(sin técnico)",'ORDENES'!$AB172)&amp;" | "&amp;'ORDENES'!$E172&amp;" ("&amp;'ORDENES'!$L172&amp;" h)","")</f>
        <v/>
      </c>
    </row>
    <row r="177">
      <c r="K177" s="3">
        <f>IF(AND(IF($B$3="(todos)",TRUE,'ORDENES'!$O173=$B$3),IF($D$3="(todos)",TRUE,'ORDENES'!$AC173=$D$3),IF($F$3="(todos)",TRUE,'ORDENES'!$V173=$F$3),'ORDENES'!$AA173=TRUE),'ORDENES'!$C173&amp;" | "&amp;'ORDENES'!$R173&amp;" | "&amp;IF('ORDENES'!$AB173="","(sin técnico)",'ORDENES'!$AB173)&amp;" | "&amp;'ORDENES'!$E173&amp;" ("&amp;'ORDENES'!$L173&amp;" h)","")</f>
        <v/>
      </c>
    </row>
    <row r="178">
      <c r="K178" s="3">
        <f>IF(AND(IF($B$3="(todos)",TRUE,'ORDENES'!$O174=$B$3),IF($D$3="(todos)",TRUE,'ORDENES'!$AC174=$D$3),IF($F$3="(todos)",TRUE,'ORDENES'!$V174=$F$3),'ORDENES'!$AA174=TRUE),'ORDENES'!$C174&amp;" | "&amp;'ORDENES'!$R174&amp;" | "&amp;IF('ORDENES'!$AB174="","(sin técnico)",'ORDENES'!$AB174)&amp;" | "&amp;'ORDENES'!$E174&amp;" ("&amp;'ORDENES'!$L174&amp;" h)","")</f>
        <v/>
      </c>
    </row>
    <row r="179">
      <c r="K179" s="3">
        <f>IF(AND(IF($B$3="(todos)",TRUE,'ORDENES'!$O175=$B$3),IF($D$3="(todos)",TRUE,'ORDENES'!$AC175=$D$3),IF($F$3="(todos)",TRUE,'ORDENES'!$V175=$F$3),'ORDENES'!$AA175=TRUE),'ORDENES'!$C175&amp;" | "&amp;'ORDENES'!$R175&amp;" | "&amp;IF('ORDENES'!$AB175="","(sin técnico)",'ORDENES'!$AB175)&amp;" | "&amp;'ORDENES'!$E175&amp;" ("&amp;'ORDENES'!$L175&amp;" h)","")</f>
        <v/>
      </c>
    </row>
    <row r="180">
      <c r="K180" s="3">
        <f>IF(AND(IF($B$3="(todos)",TRUE,'ORDENES'!$O176=$B$3),IF($D$3="(todos)",TRUE,'ORDENES'!$AC176=$D$3),IF($F$3="(todos)",TRUE,'ORDENES'!$V176=$F$3),'ORDENES'!$AA176=TRUE),'ORDENES'!$C176&amp;" | "&amp;'ORDENES'!$R176&amp;" | "&amp;IF('ORDENES'!$AB176="","(sin técnico)",'ORDENES'!$AB176)&amp;" | "&amp;'ORDENES'!$E176&amp;" ("&amp;'ORDENES'!$L176&amp;" h)","")</f>
        <v/>
      </c>
    </row>
    <row r="181">
      <c r="K181" s="3">
        <f>IF(AND(IF($B$3="(todos)",TRUE,'ORDENES'!$O177=$B$3),IF($D$3="(todos)",TRUE,'ORDENES'!$AC177=$D$3),IF($F$3="(todos)",TRUE,'ORDENES'!$V177=$F$3),'ORDENES'!$AA177=TRUE),'ORDENES'!$C177&amp;" | "&amp;'ORDENES'!$R177&amp;" | "&amp;IF('ORDENES'!$AB177="","(sin técnico)",'ORDENES'!$AB177)&amp;" | "&amp;'ORDENES'!$E177&amp;" ("&amp;'ORDENES'!$L177&amp;" h)","")</f>
        <v/>
      </c>
    </row>
    <row r="182">
      <c r="K182" s="3">
        <f>IF(AND(IF($B$3="(todos)",TRUE,'ORDENES'!$O178=$B$3),IF($D$3="(todos)",TRUE,'ORDENES'!$AC178=$D$3),IF($F$3="(todos)",TRUE,'ORDENES'!$V178=$F$3),'ORDENES'!$AA178=TRUE),'ORDENES'!$C178&amp;" | "&amp;'ORDENES'!$R178&amp;" | "&amp;IF('ORDENES'!$AB178="","(sin técnico)",'ORDENES'!$AB178)&amp;" | "&amp;'ORDENES'!$E178&amp;" ("&amp;'ORDENES'!$L178&amp;" h)","")</f>
        <v/>
      </c>
    </row>
    <row r="183">
      <c r="K183" s="3">
        <f>IF(AND(IF($B$3="(todos)",TRUE,'ORDENES'!$O179=$B$3),IF($D$3="(todos)",TRUE,'ORDENES'!$AC179=$D$3),IF($F$3="(todos)",TRUE,'ORDENES'!$V179=$F$3),'ORDENES'!$AA179=TRUE),'ORDENES'!$C179&amp;" | "&amp;'ORDENES'!$R179&amp;" | "&amp;IF('ORDENES'!$AB179="","(sin técnico)",'ORDENES'!$AB179)&amp;" | "&amp;'ORDENES'!$E179&amp;" ("&amp;'ORDENES'!$L179&amp;" h)","")</f>
        <v/>
      </c>
    </row>
    <row r="184">
      <c r="K184" s="3">
        <f>IF(AND(IF($B$3="(todos)",TRUE,'ORDENES'!$O180=$B$3),IF($D$3="(todos)",TRUE,'ORDENES'!$AC180=$D$3),IF($F$3="(todos)",TRUE,'ORDENES'!$V180=$F$3),'ORDENES'!$AA180=TRUE),'ORDENES'!$C180&amp;" | "&amp;'ORDENES'!$R180&amp;" | "&amp;IF('ORDENES'!$AB180="","(sin técnico)",'ORDENES'!$AB180)&amp;" | "&amp;'ORDENES'!$E180&amp;" ("&amp;'ORDENES'!$L180&amp;" h)","")</f>
        <v/>
      </c>
    </row>
    <row r="185">
      <c r="K185" s="3">
        <f>IF(AND(IF($B$3="(todos)",TRUE,'ORDENES'!$O181=$B$3),IF($D$3="(todos)",TRUE,'ORDENES'!$AC181=$D$3),IF($F$3="(todos)",TRUE,'ORDENES'!$V181=$F$3),'ORDENES'!$AA181=TRUE),'ORDENES'!$C181&amp;" | "&amp;'ORDENES'!$R181&amp;" | "&amp;IF('ORDENES'!$AB181="","(sin técnico)",'ORDENES'!$AB181)&amp;" | "&amp;'ORDENES'!$E181&amp;" ("&amp;'ORDENES'!$L181&amp;" h)","")</f>
        <v/>
      </c>
    </row>
    <row r="186">
      <c r="K186" s="3">
        <f>IF(AND(IF($B$3="(todos)",TRUE,'ORDENES'!$O182=$B$3),IF($D$3="(todos)",TRUE,'ORDENES'!$AC182=$D$3),IF($F$3="(todos)",TRUE,'ORDENES'!$V182=$F$3),'ORDENES'!$AA182=TRUE),'ORDENES'!$C182&amp;" | "&amp;'ORDENES'!$R182&amp;" | "&amp;IF('ORDENES'!$AB182="","(sin técnico)",'ORDENES'!$AB182)&amp;" | "&amp;'ORDENES'!$E182&amp;" ("&amp;'ORDENES'!$L182&amp;" h)","")</f>
        <v/>
      </c>
    </row>
    <row r="187">
      <c r="K187" s="3">
        <f>IF(AND(IF($B$3="(todos)",TRUE,'ORDENES'!$O183=$B$3),IF($D$3="(todos)",TRUE,'ORDENES'!$AC183=$D$3),IF($F$3="(todos)",TRUE,'ORDENES'!$V183=$F$3),'ORDENES'!$AA183=TRUE),'ORDENES'!$C183&amp;" | "&amp;'ORDENES'!$R183&amp;" | "&amp;IF('ORDENES'!$AB183="","(sin técnico)",'ORDENES'!$AB183)&amp;" | "&amp;'ORDENES'!$E183&amp;" ("&amp;'ORDENES'!$L183&amp;" h)","")</f>
        <v/>
      </c>
    </row>
    <row r="188">
      <c r="K188" s="3">
        <f>IF(AND(IF($B$3="(todos)",TRUE,'ORDENES'!$O184=$B$3),IF($D$3="(todos)",TRUE,'ORDENES'!$AC184=$D$3),IF($F$3="(todos)",TRUE,'ORDENES'!$V184=$F$3),'ORDENES'!$AA184=TRUE),'ORDENES'!$C184&amp;" | "&amp;'ORDENES'!$R184&amp;" | "&amp;IF('ORDENES'!$AB184="","(sin técnico)",'ORDENES'!$AB184)&amp;" | "&amp;'ORDENES'!$E184&amp;" ("&amp;'ORDENES'!$L184&amp;" h)","")</f>
        <v/>
      </c>
    </row>
    <row r="189">
      <c r="K189" s="3">
        <f>IF(AND(IF($B$3="(todos)",TRUE,'ORDENES'!$O185=$B$3),IF($D$3="(todos)",TRUE,'ORDENES'!$AC185=$D$3),IF($F$3="(todos)",TRUE,'ORDENES'!$V185=$F$3),'ORDENES'!$AA185=TRUE),'ORDENES'!$C185&amp;" | "&amp;'ORDENES'!$R185&amp;" | "&amp;IF('ORDENES'!$AB185="","(sin técnico)",'ORDENES'!$AB185)&amp;" | "&amp;'ORDENES'!$E185&amp;" ("&amp;'ORDENES'!$L185&amp;" h)","")</f>
        <v/>
      </c>
    </row>
    <row r="190">
      <c r="K190" s="3">
        <f>IF(AND(IF($B$3="(todos)",TRUE,'ORDENES'!$O186=$B$3),IF($D$3="(todos)",TRUE,'ORDENES'!$AC186=$D$3),IF($F$3="(todos)",TRUE,'ORDENES'!$V186=$F$3),'ORDENES'!$AA186=TRUE),'ORDENES'!$C186&amp;" | "&amp;'ORDENES'!$R186&amp;" | "&amp;IF('ORDENES'!$AB186="","(sin técnico)",'ORDENES'!$AB186)&amp;" | "&amp;'ORDENES'!$E186&amp;" ("&amp;'ORDENES'!$L186&amp;" h)","")</f>
        <v/>
      </c>
    </row>
    <row r="191">
      <c r="K191" s="3">
        <f>IF(AND(IF($B$3="(todos)",TRUE,'ORDENES'!$O187=$B$3),IF($D$3="(todos)",TRUE,'ORDENES'!$AC187=$D$3),IF($F$3="(todos)",TRUE,'ORDENES'!$V187=$F$3),'ORDENES'!$AA187=TRUE),'ORDENES'!$C187&amp;" | "&amp;'ORDENES'!$R187&amp;" | "&amp;IF('ORDENES'!$AB187="","(sin técnico)",'ORDENES'!$AB187)&amp;" | "&amp;'ORDENES'!$E187&amp;" ("&amp;'ORDENES'!$L187&amp;" h)","")</f>
        <v/>
      </c>
    </row>
    <row r="192">
      <c r="K192" s="3">
        <f>IF(AND(IF($B$3="(todos)",TRUE,'ORDENES'!$O188=$B$3),IF($D$3="(todos)",TRUE,'ORDENES'!$AC188=$D$3),IF($F$3="(todos)",TRUE,'ORDENES'!$V188=$F$3),'ORDENES'!$AA188=TRUE),'ORDENES'!$C188&amp;" | "&amp;'ORDENES'!$R188&amp;" | "&amp;IF('ORDENES'!$AB188="","(sin técnico)",'ORDENES'!$AB188)&amp;" | "&amp;'ORDENES'!$E188&amp;" ("&amp;'ORDENES'!$L188&amp;" h)","")</f>
        <v/>
      </c>
    </row>
    <row r="193">
      <c r="K193" s="3">
        <f>IF(AND(IF($B$3="(todos)",TRUE,'ORDENES'!$O189=$B$3),IF($D$3="(todos)",TRUE,'ORDENES'!$AC189=$D$3),IF($F$3="(todos)",TRUE,'ORDENES'!$V189=$F$3),'ORDENES'!$AA189=TRUE),'ORDENES'!$C189&amp;" | "&amp;'ORDENES'!$R189&amp;" | "&amp;IF('ORDENES'!$AB189="","(sin técnico)",'ORDENES'!$AB189)&amp;" | "&amp;'ORDENES'!$E189&amp;" ("&amp;'ORDENES'!$L189&amp;" h)","")</f>
        <v/>
      </c>
    </row>
    <row r="194">
      <c r="K194" s="3">
        <f>IF(AND(IF($B$3="(todos)",TRUE,'ORDENES'!$O190=$B$3),IF($D$3="(todos)",TRUE,'ORDENES'!$AC190=$D$3),IF($F$3="(todos)",TRUE,'ORDENES'!$V190=$F$3),'ORDENES'!$AA190=TRUE),'ORDENES'!$C190&amp;" | "&amp;'ORDENES'!$R190&amp;" | "&amp;IF('ORDENES'!$AB190="","(sin técnico)",'ORDENES'!$AB190)&amp;" | "&amp;'ORDENES'!$E190&amp;" ("&amp;'ORDENES'!$L190&amp;" h)","")</f>
        <v/>
      </c>
    </row>
    <row r="195">
      <c r="K195" s="3">
        <f>IF(AND(IF($B$3="(todos)",TRUE,'ORDENES'!$O191=$B$3),IF($D$3="(todos)",TRUE,'ORDENES'!$AC191=$D$3),IF($F$3="(todos)",TRUE,'ORDENES'!$V191=$F$3),'ORDENES'!$AA191=TRUE),'ORDENES'!$C191&amp;" | "&amp;'ORDENES'!$R191&amp;" | "&amp;IF('ORDENES'!$AB191="","(sin técnico)",'ORDENES'!$AB191)&amp;" | "&amp;'ORDENES'!$E191&amp;" ("&amp;'ORDENES'!$L191&amp;" h)","")</f>
        <v/>
      </c>
    </row>
    <row r="196">
      <c r="K196" s="3">
        <f>IF(AND(IF($B$3="(todos)",TRUE,'ORDENES'!$O192=$B$3),IF($D$3="(todos)",TRUE,'ORDENES'!$AC192=$D$3),IF($F$3="(todos)",TRUE,'ORDENES'!$V192=$F$3),'ORDENES'!$AA192=TRUE),'ORDENES'!$C192&amp;" | "&amp;'ORDENES'!$R192&amp;" | "&amp;IF('ORDENES'!$AB192="","(sin técnico)",'ORDENES'!$AB192)&amp;" | "&amp;'ORDENES'!$E192&amp;" ("&amp;'ORDENES'!$L192&amp;" h)","")</f>
        <v/>
      </c>
    </row>
    <row r="197">
      <c r="K197" s="3">
        <f>IF(AND(IF($B$3="(todos)",TRUE,'ORDENES'!$O193=$B$3),IF($D$3="(todos)",TRUE,'ORDENES'!$AC193=$D$3),IF($F$3="(todos)",TRUE,'ORDENES'!$V193=$F$3),'ORDENES'!$AA193=TRUE),'ORDENES'!$C193&amp;" | "&amp;'ORDENES'!$R193&amp;" | "&amp;IF('ORDENES'!$AB193="","(sin técnico)",'ORDENES'!$AB193)&amp;" | "&amp;'ORDENES'!$E193&amp;" ("&amp;'ORDENES'!$L193&amp;" h)","")</f>
        <v/>
      </c>
    </row>
    <row r="198">
      <c r="K198" s="3">
        <f>IF(AND(IF($B$3="(todos)",TRUE,'ORDENES'!$O194=$B$3),IF($D$3="(todos)",TRUE,'ORDENES'!$AC194=$D$3),IF($F$3="(todos)",TRUE,'ORDENES'!$V194=$F$3),'ORDENES'!$AA194=TRUE),'ORDENES'!$C194&amp;" | "&amp;'ORDENES'!$R194&amp;" | "&amp;IF('ORDENES'!$AB194="","(sin técnico)",'ORDENES'!$AB194)&amp;" | "&amp;'ORDENES'!$E194&amp;" ("&amp;'ORDENES'!$L194&amp;" h)","")</f>
        <v/>
      </c>
    </row>
    <row r="199">
      <c r="K199" s="3">
        <f>IF(AND(IF($B$3="(todos)",TRUE,'ORDENES'!$O195=$B$3),IF($D$3="(todos)",TRUE,'ORDENES'!$AC195=$D$3),IF($F$3="(todos)",TRUE,'ORDENES'!$V195=$F$3),'ORDENES'!$AA195=TRUE),'ORDENES'!$C195&amp;" | "&amp;'ORDENES'!$R195&amp;" | "&amp;IF('ORDENES'!$AB195="","(sin técnico)",'ORDENES'!$AB195)&amp;" | "&amp;'ORDENES'!$E195&amp;" ("&amp;'ORDENES'!$L195&amp;" h)","")</f>
        <v/>
      </c>
    </row>
    <row r="200">
      <c r="K200" s="3">
        <f>IF(AND(IF($B$3="(todos)",TRUE,'ORDENES'!$O196=$B$3),IF($D$3="(todos)",TRUE,'ORDENES'!$AC196=$D$3),IF($F$3="(todos)",TRUE,'ORDENES'!$V196=$F$3),'ORDENES'!$AA196=TRUE),'ORDENES'!$C196&amp;" | "&amp;'ORDENES'!$R196&amp;" | "&amp;IF('ORDENES'!$AB196="","(sin técnico)",'ORDENES'!$AB196)&amp;" | "&amp;'ORDENES'!$E196&amp;" ("&amp;'ORDENES'!$L196&amp;" h)","")</f>
        <v/>
      </c>
    </row>
    <row r="201">
      <c r="K201" s="3">
        <f>IF(AND(IF($B$3="(todos)",TRUE,'ORDENES'!$O197=$B$3),IF($D$3="(todos)",TRUE,'ORDENES'!$AC197=$D$3),IF($F$3="(todos)",TRUE,'ORDENES'!$V197=$F$3),'ORDENES'!$AA197=TRUE),'ORDENES'!$C197&amp;" | "&amp;'ORDENES'!$R197&amp;" | "&amp;IF('ORDENES'!$AB197="","(sin técnico)",'ORDENES'!$AB197)&amp;" | "&amp;'ORDENES'!$E197&amp;" ("&amp;'ORDENES'!$L197&amp;" h)","")</f>
        <v/>
      </c>
    </row>
    <row r="202">
      <c r="K202" s="3">
        <f>IF(AND(IF($B$3="(todos)",TRUE,'ORDENES'!$O198=$B$3),IF($D$3="(todos)",TRUE,'ORDENES'!$AC198=$D$3),IF($F$3="(todos)",TRUE,'ORDENES'!$V198=$F$3),'ORDENES'!$AA198=TRUE),'ORDENES'!$C198&amp;" | "&amp;'ORDENES'!$R198&amp;" | "&amp;IF('ORDENES'!$AB198="","(sin técnico)",'ORDENES'!$AB198)&amp;" | "&amp;'ORDENES'!$E198&amp;" ("&amp;'ORDENES'!$L198&amp;" h)","")</f>
        <v/>
      </c>
    </row>
    <row r="203">
      <c r="K203" s="3">
        <f>IF(AND(IF($B$3="(todos)",TRUE,'ORDENES'!$O199=$B$3),IF($D$3="(todos)",TRUE,'ORDENES'!$AC199=$D$3),IF($F$3="(todos)",TRUE,'ORDENES'!$V199=$F$3),'ORDENES'!$AA199=TRUE),'ORDENES'!$C199&amp;" | "&amp;'ORDENES'!$R199&amp;" | "&amp;IF('ORDENES'!$AB199="","(sin técnico)",'ORDENES'!$AB199)&amp;" | "&amp;'ORDENES'!$E199&amp;" ("&amp;'ORDENES'!$L199&amp;" h)","")</f>
        <v/>
      </c>
    </row>
    <row r="204">
      <c r="K204" s="3">
        <f>IF(AND(IF($B$3="(todos)",TRUE,'ORDENES'!$O200=$B$3),IF($D$3="(todos)",TRUE,'ORDENES'!$AC200=$D$3),IF($F$3="(todos)",TRUE,'ORDENES'!$V200=$F$3),'ORDENES'!$AA200=TRUE),'ORDENES'!$C200&amp;" | "&amp;'ORDENES'!$R200&amp;" | "&amp;IF('ORDENES'!$AB200="","(sin técnico)",'ORDENES'!$AB200)&amp;" | "&amp;'ORDENES'!$E200&amp;" ("&amp;'ORDENES'!$L200&amp;" h)","")</f>
        <v/>
      </c>
    </row>
    <row r="205">
      <c r="K205" s="3">
        <f>IF(AND(IF($B$3="(todos)",TRUE,'ORDENES'!$O201=$B$3),IF($D$3="(todos)",TRUE,'ORDENES'!$AC201=$D$3),IF($F$3="(todos)",TRUE,'ORDENES'!$V201=$F$3),'ORDENES'!$AA201=TRUE),'ORDENES'!$C201&amp;" | "&amp;'ORDENES'!$R201&amp;" | "&amp;IF('ORDENES'!$AB201="","(sin técnico)",'ORDENES'!$AB201)&amp;" | "&amp;'ORDENES'!$E201&amp;" ("&amp;'ORDENES'!$L201&amp;" h)","")</f>
        <v/>
      </c>
    </row>
    <row r="206">
      <c r="K206" s="3">
        <f>IF(AND(IF($B$3="(todos)",TRUE,'ORDENES'!$O202=$B$3),IF($D$3="(todos)",TRUE,'ORDENES'!$AC202=$D$3),IF($F$3="(todos)",TRUE,'ORDENES'!$V202=$F$3),'ORDENES'!$AA202=TRUE),'ORDENES'!$C202&amp;" | "&amp;'ORDENES'!$R202&amp;" | "&amp;IF('ORDENES'!$AB202="","(sin técnico)",'ORDENES'!$AB202)&amp;" | "&amp;'ORDENES'!$E202&amp;" ("&amp;'ORDENES'!$L202&amp;" h)","")</f>
        <v/>
      </c>
    </row>
    <row r="207">
      <c r="K207" s="3">
        <f>IF(AND(IF($B$3="(todos)",TRUE,'ORDENES'!$O203=$B$3),IF($D$3="(todos)",TRUE,'ORDENES'!$AC203=$D$3),IF($F$3="(todos)",TRUE,'ORDENES'!$V203=$F$3),'ORDENES'!$AA203=TRUE),'ORDENES'!$C203&amp;" | "&amp;'ORDENES'!$R203&amp;" | "&amp;IF('ORDENES'!$AB203="","(sin técnico)",'ORDENES'!$AB203)&amp;" | "&amp;'ORDENES'!$E203&amp;" ("&amp;'ORDENES'!$L203&amp;" h)","")</f>
        <v/>
      </c>
    </row>
  </sheetData>
  <mergeCells count="1">
    <mergeCell ref="A6:H40"/>
  </mergeCells>
  <dataValidations count="3">
    <dataValidation sqref="B3" showDropDown="0" showInputMessage="0" showErrorMessage="0" allowBlank="0" type="list">
      <formula1>"(todos),S28,S29,S30,S31"</formula1>
    </dataValidation>
    <dataValidation sqref="D3" showDropDown="0" showInputMessage="0" showErrorMessage="0" allowBlank="0" type="list">
      <formula1>"(todos),B1,T1,T2,T3"</formula1>
    </dataValidation>
    <dataValidation sqref="F3" showDropDown="0" showInputMessage="0" showErrorMessage="0" allowBlank="0" type="list">
      <formula1>"(todos),Coordinador A,Coordinador B,Coordinador C"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1" t="inlineStr">
        <is>
          <t>_COMPATIBILIDAD — equivalentes INDEX/MATCH para Excel 2016 o anterior</t>
        </is>
      </c>
    </row>
    <row r="2">
      <c r="A2" s="18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5" t="inlineStr">
        <is>
          <t>campo</t>
        </is>
      </c>
      <c r="B4" s="5" t="inlineStr">
        <is>
          <t>fórmula con XLOOKUP (como en tblOrdenes)</t>
        </is>
      </c>
      <c r="C4" s="5" t="inlineStr">
        <is>
          <t>equivalente INDEX/MATCH</t>
        </is>
      </c>
      <c r="D4" s="5" t="inlineStr">
        <is>
          <t>ejemplo vivo (fila 1 de ORDENES)</t>
        </is>
      </c>
    </row>
    <row r="5">
      <c r="A5" s="3" t="inlineStr">
        <is>
          <t>estado</t>
        </is>
      </c>
      <c r="B5" s="18" t="inlineStr">
        <is>
          <t>XLOOKUP(XLOOKUP(tblOrdenes[[#This Row],[id_operacion]],tblEjecucion[id_operacion],tblEjecucion[estado_sistema],""),tblEstados[estado_sistema],tblEstados[estado_normalizado],"Pendiente")</t>
        </is>
      </c>
      <c r="C5" s="18" t="inlineStr">
        <is>
          <t>IFERROR(INDEX(tblEstados[estado_normalizado],MATCH(IFERROR(INDEX(tblEjecucion[estado_sistema],MATCH('ORDENES'!$C$4,tblEjecucion[id_operacion],0)),""),tblEstados[estado_sistema],0)),"Pendiente")</t>
        </is>
      </c>
      <c r="D5" s="3">
        <f>IFERROR(INDEX(tblEstados[estado_normalizado],MATCH(IFERROR(INDEX(tblEjecucion[estado_sistema],MATCH('ORDENES'!$C$4,tblEjecucion[id_operacion],0)),""),tblEstados[estado_sistema],0)),"Pendiente")</f>
        <v/>
      </c>
    </row>
    <row r="6">
      <c r="A6" s="3" t="inlineStr">
        <is>
          <t>clasificacion</t>
        </is>
      </c>
      <c r="B6" s="18" t="inlineStr">
        <is>
          <t>XLOOKUP(tblOrdenes[[#This Row],[tipo_ot]],tblTiposOT[codigo],tblTiposOT[clasificacion],"sin_clasificar")</t>
        </is>
      </c>
      <c r="C6" s="18" t="inlineStr">
        <is>
          <t>IFERROR(INDEX(tblTiposOT[clasificacion],MATCH('ORDENES'!$J$4,tblTiposOT[codigo],0)),"sin_clasificar")</t>
        </is>
      </c>
      <c r="D6" s="3">
        <f>IFERROR(INDEX(tblTiposOT[clasificacion],MATCH('ORDENES'!$J$4,tblTiposOT[codigo],0)),"sin_clasificar")</f>
        <v/>
      </c>
    </row>
    <row r="7">
      <c r="A7" s="3" t="inlineStr">
        <is>
          <t>linea</t>
        </is>
      </c>
      <c r="B7" s="18" t="inlineStr">
        <is>
          <t>XLOOKUP(tblOrdenes[[#This Row],[centro_costo]],tblCECO[codigo],tblCECO[linea],"(sin catálogo)")</t>
        </is>
      </c>
      <c r="C7" s="18" t="inlineStr">
        <is>
          <t>IFERROR(INDEX(tblCECO[linea],MATCH('ORDENES'!$G$4,tblCECO[codigo],0)),"(sin catálogo)")</t>
        </is>
      </c>
      <c r="D7" s="3">
        <f>IFERROR(INDEX(tblCECO[linea],MATCH('ORDENES'!$G$4,tblCECO[codigo],0)),"(sin catálogo)")</f>
        <v/>
      </c>
    </row>
    <row r="8">
      <c r="A8" s="3" t="inlineStr">
        <is>
          <t>area</t>
        </is>
      </c>
      <c r="B8" s="18" t="inlineStr">
        <is>
          <t>XLOOKUP(tblOrdenes[[#This Row],[centro_costo]],tblCECO[codigo],tblCECO[area],"(sin catálogo)")</t>
        </is>
      </c>
      <c r="C8" s="18" t="inlineStr">
        <is>
          <t>IFERROR(INDEX(tblCECO[area],MATCH('ORDENES'!$G$4,tblCECO[codigo],0)),"(sin catálogo)")</t>
        </is>
      </c>
      <c r="D8" s="3">
        <f>IFERROR(INDEX(tblCECO[area],MATCH('ORDENES'!$G$4,tblCECO[codigo],0)),"(sin catálogo)")</f>
        <v/>
      </c>
    </row>
    <row r="9">
      <c r="A9" s="3" t="inlineStr">
        <is>
          <t>coordinador</t>
        </is>
      </c>
      <c r="B9" s="18" t="inlineStr">
        <is>
          <t>XLOOKUP(tblOrdenes[[#This Row],[centro_costo]],tblCECO[codigo],tblCECO[coordinador],"(sin catálogo)")</t>
        </is>
      </c>
      <c r="C9" s="18" t="inlineStr">
        <is>
          <t>IFERROR(INDEX(tblCECO[coordinador],MATCH('ORDENES'!$G$4,tblCECO[codigo],0)),"(sin catálogo)")</t>
        </is>
      </c>
      <c r="D9" s="3">
        <f>IFERROR(INDEX(tblCECO[coordinador],MATCH('ORDENES'!$G$4,tblCECO[codigo],0)),"(sin catálogo)")</f>
        <v/>
      </c>
    </row>
    <row r="10">
      <c r="A10" s="3" t="inlineStr">
        <is>
          <t>especialidad</t>
        </is>
      </c>
      <c r="B10" s="18" t="inlineStr">
        <is>
          <t>XLOOKUP(tblOrdenes[[#This Row],[puesto_trabajo]],tblPuestos[codigo],tblPuestos[especialidad],"(sin catálogo)")</t>
        </is>
      </c>
      <c r="C10" s="18" t="inlineStr">
        <is>
          <t>IFERROR(INDEX(tblPuestos[especialidad],MATCH('ORDENES'!$H$4,tblPuestos[codigo],0)),"(sin catálogo)")</t>
        </is>
      </c>
      <c r="D10" s="3">
        <f>IFERROR(INDEX(tblPuestos[especialidad],MATCH('ORDENES'!$H$4,tblPuestos[codigo],0)),"(sin catálogo)")</f>
        <v/>
      </c>
    </row>
    <row r="11">
      <c r="A11" s="3" t="inlineStr">
        <is>
          <t>actividad</t>
        </is>
      </c>
      <c r="B11" s="18" t="inlineStr">
        <is>
          <t>XLOOKUP(tblOrdenes[[#This Row],[cod_actividad]],tblActividades[codigo],tblActividades[descripcion],"(sin catálogo)")</t>
        </is>
      </c>
      <c r="C11" s="18" t="inlineStr">
        <is>
          <t>IFERROR(INDEX(tblActividades[descripcion],MATCH('ORDENES'!$I$4,tblActividades[codigo],0)),"(sin catálogo)")</t>
        </is>
      </c>
      <c r="D11" s="3">
        <f>IFERROR(INDEX(tblActividades[descripcion],MATCH('ORDENES'!$I$4,tblActividades[codigo],0)),"(sin catálogo)")</f>
        <v/>
      </c>
    </row>
    <row r="12">
      <c r="A12" s="3" t="inlineStr">
        <is>
          <t>turno_asignado</t>
        </is>
      </c>
      <c r="B12" s="18" t="inlineStr">
        <is>
          <t>IF(tblOrdenes[[#This Row],[tecnico_asignado]]="","",XLOOKUP(tblOrdenes[[#This Row],[semana]]&amp;"|"&amp;tblOrdenes[[#This Row],[dia_semana]]&amp;"|"&amp;tblOrdenes[[#This Row],[tecnico_asignado]],tblAsignaciones[clave],tblAsignaciones[turno],""))</t>
        </is>
      </c>
      <c r="C12" s="18" t="inlineStr">
        <is>
          <t>IF('ORDENES'!$AB$4="","",IFERROR(INDEX(tblAsignaciones[turno],MATCH('ORDENES'!$O$4&amp;"|"&amp;'ORDENES'!$R$4&amp;"|"&amp;'ORDENES'!$AB$4,tblAsignaciones[clave],0)),""))</t>
        </is>
      </c>
      <c r="D12" s="3">
        <f>IF('ORDENES'!$AB$4="","",IFERROR(INDEX(tblAsignaciones[turno],MATCH('ORDENES'!$O$4&amp;"|"&amp;'ORDENES'!$R$4&amp;"|"&amp;'ORDENES'!$AB$4,tblAsignaciones[clave],0)),""))</f>
        <v/>
      </c>
    </row>
    <row r="13">
      <c r="A13" s="3" t="inlineStr">
        <is>
          <t>costo_servicio</t>
        </is>
      </c>
      <c r="B13" s="18" t="inlineStr">
        <is>
          <t>XLOOKUP(tblOrdenes[[#This Row],[id_operacion]],tblEjecucion[id_operacion],tblEjecucion[precio],0)</t>
        </is>
      </c>
      <c r="C13" s="18" t="inlineStr">
        <is>
          <t>IFERROR(INDEX(tblEjecucion[precio],MATCH('ORDENES'!$C$4,tblEjecucion[id_operacion],0)),0)</t>
        </is>
      </c>
      <c r="D13" s="3">
        <f>IFERROR(INDEX(tblEjecucion[precio],MATCH('ORDENES'!$C$4,tblEjecucion[id_operacion],0)),0)</f>
        <v/>
      </c>
    </row>
    <row r="14">
      <c r="A14" s="3" t="inlineStr">
        <is>
          <t>costo_materiales</t>
        </is>
      </c>
      <c r="B14" s="18" t="inlineStr">
        <is>
          <t>MAX(0,XLOOKUP(tblOrdenes[[#This Row],[id_operacion]],tblEjecucion[id_operacion],tblEjecucion[costo_plan_total],0)-tblOrdenes[[#This Row],[costo_servicio]])</t>
        </is>
      </c>
      <c r="C14" s="18" t="inlineStr">
        <is>
          <t>MAX(0,IFERROR(INDEX(tblEjecucion[costo_plan_total],MATCH('ORDENES'!$C$4,tblEjecucion[id_operacion],0)),0)-'ORDENES'!$AD$4)</t>
        </is>
      </c>
      <c r="D14" s="3">
        <f>MAX(0,IFERROR(INDEX(tblEjecucion[costo_plan_total],MATCH('ORDENES'!$C$4,tblEjecucion[id_operacion],0)),0)-'ORDENES'!$AD$4)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2026-07-19T19:28:20Z</dcterms:created>
  <dcterms:modified xsi:type="dcterms:W3CDTF">2026-07-19T19:28:20Z</dcterms:modified>
</cp:coreProperties>
</file>